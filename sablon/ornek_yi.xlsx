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pak" sheetId="1" state="visible" r:id="rId3"/>
    <sheet name="TEKNİK RAPOR" sheetId="2" state="visible" r:id="rId4"/>
    <sheet name="TEKNİK RAPOR (2)" sheetId="3" state="visible" r:id="rId5"/>
    <sheet name="ZEMİN" sheetId="4" state="visible" r:id="rId6"/>
    <sheet name="1 NK" sheetId="5" state="visible" r:id="rId7"/>
    <sheet name="PETEK LİST" sheetId="6" state="visible" r:id="rId8"/>
    <sheet name="YERDEN ISITMA" sheetId="7" state="visible" r:id="rId9"/>
    <sheet name="MMO YERDEN ISITMA" sheetId="8" state="visible" r:id="rId10"/>
    <sheet name="YERDEN ISITMA- DEVAMI" sheetId="9" state="visible" r:id="rId11"/>
  </sheets>
  <externalReferences>
    <externalReference r:id="rId12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<sst xmlns="http://schemas.openxmlformats.org/spreadsheetml/2006/main" count="1292" uniqueCount="462">
  <si>
    <t xml:space="preserve">P R O J E Y İ   H A Z I R L A Y A N</t>
  </si>
  <si>
    <r>
      <rPr>
        <b val="true"/>
        <sz val="40"/>
        <color rgb="FF000000"/>
        <rFont val="Swis721 Cn BT"/>
        <family val="2"/>
      </rPr>
      <t xml:space="preserve">dcmmakina
</t>
    </r>
    <r>
      <rPr>
        <b val="true"/>
        <sz val="16"/>
        <color rgb="FF000000"/>
        <rFont val="Swis721 Cn BT"/>
        <family val="2"/>
      </rPr>
      <t xml:space="preserve">ümit çavuşoğlu -makine mühendisi
</t>
    </r>
    <r>
      <rPr>
        <b val="true"/>
        <sz val="10"/>
        <color rgb="FF000000"/>
        <rFont val="Times New Roman"/>
        <family val="1"/>
        <charset val="162"/>
      </rPr>
      <t xml:space="preserve">ŞEREFİYE MH. ÇINLAR SK. KUNDURACILAR İŞMERKEZİ NO:205 DÜZCE
</t>
    </r>
    <r>
      <rPr>
        <b val="true"/>
        <sz val="12"/>
        <color rgb="FF000000"/>
        <rFont val="Times New Roman"/>
        <family val="1"/>
        <charset val="162"/>
      </rPr>
      <t xml:space="preserve">TEL/FAX:0380 514 23 55  dcmmakina@gmail.com / www.dcmmakina.com
</t>
    </r>
  </si>
  <si>
    <t xml:space="preserve">ÜNVANI</t>
  </si>
  <si>
    <t xml:space="preserve">Adı Soyadı</t>
  </si>
  <si>
    <t xml:space="preserve">Oda Sicil No</t>
  </si>
  <si>
    <t xml:space="preserve">SMM Büro 
Tescil No</t>
  </si>
  <si>
    <t xml:space="preserve">İmza</t>
  </si>
  <si>
    <t xml:space="preserve">Makine Mühendisi</t>
  </si>
  <si>
    <t xml:space="preserve">ÜMİT ÇAVUŞOĞLU</t>
  </si>
  <si>
    <t xml:space="preserve">KALORİFER TESİSATI PROJE RAPORU</t>
  </si>
  <si>
    <t xml:space="preserve">  Yapı Denetim Onay</t>
  </si>
  <si>
    <t xml:space="preserve">Belediye Onay</t>
  </si>
  <si>
    <t xml:space="preserve">P R O J E Y İ     Y A P T I R A N</t>
  </si>
  <si>
    <t xml:space="preserve">ADI SOYADI/ÜNVANI</t>
  </si>
  <si>
    <t xml:space="preserve">MEHMET DAL - A-B-C-D BLOK</t>
  </si>
  <si>
    <t xml:space="preserve">Y A P I N I N   B U L U N D U Ğ U   Y E R</t>
  </si>
  <si>
    <t xml:space="preserve">İl</t>
  </si>
  <si>
    <t xml:space="preserve">İlçe</t>
  </si>
  <si>
    <t xml:space="preserve">Belediye</t>
  </si>
  <si>
    <t xml:space="preserve">Mahalle</t>
  </si>
  <si>
    <t xml:space="preserve">Sok.</t>
  </si>
  <si>
    <t xml:space="preserve">Pafta</t>
  </si>
  <si>
    <t xml:space="preserve">Ada</t>
  </si>
  <si>
    <t xml:space="preserve">Parsel</t>
  </si>
  <si>
    <t xml:space="preserve">DÜZCE</t>
  </si>
  <si>
    <t xml:space="preserve">KAZUKOĞLU</t>
  </si>
  <si>
    <t xml:space="preserve"> ---</t>
  </si>
  <si>
    <t xml:space="preserve">YAPININ ÖZELLİKLERİ</t>
  </si>
  <si>
    <t xml:space="preserve">Yapının
 Sistemi</t>
  </si>
  <si>
    <t xml:space="preserve">Yapının
Sınıfı</t>
  </si>
  <si>
    <t xml:space="preserve">Toplam
Bağımsız
Bölüm</t>
  </si>
  <si>
    <t xml:space="preserve">Toplam Kat Sayısı</t>
  </si>
  <si>
    <t xml:space="preserve">Toplam
İnşaat
Alanı m²</t>
  </si>
  <si>
    <t xml:space="preserve">Tarih</t>
  </si>
  <si>
    <t xml:space="preserve">Kullanım Amacı</t>
  </si>
  <si>
    <t xml:space="preserve">BETONARME</t>
  </si>
  <si>
    <t xml:space="preserve">KONUT</t>
  </si>
  <si>
    <t xml:space="preserve">KALORİFER TESİSATI PROJESİ TEKNİK RAPORU</t>
  </si>
  <si>
    <t xml:space="preserve">Sayfa</t>
  </si>
  <si>
    <t xml:space="preserve">Proje Adı              :</t>
  </si>
  <si>
    <t xml:space="preserve">Düzenleyen          :</t>
  </si>
  <si>
    <t xml:space="preserve">1.1.</t>
  </si>
  <si>
    <t xml:space="preserve">Binanın kalorifer projesi aşağıdaki değerler esas alınarak hazırlanmıştır.</t>
  </si>
  <si>
    <t xml:space="preserve">Binanın Yeri </t>
  </si>
  <si>
    <t xml:space="preserve">   / DÜZCE</t>
  </si>
  <si>
    <t xml:space="preserve">Sıcaklık Bölgesi </t>
  </si>
  <si>
    <t xml:space="preserve">:2.Bölge</t>
  </si>
  <si>
    <t xml:space="preserve"> -9 Rüzgarlı</t>
  </si>
  <si>
    <t xml:space="preserve">Bina Tipi</t>
  </si>
  <si>
    <t xml:space="preserve">:Konut</t>
  </si>
  <si>
    <t xml:space="preserve">Isıtıcı Cinsi</t>
  </si>
  <si>
    <t xml:space="preserve">:Kombi</t>
  </si>
  <si>
    <t xml:space="preserve">Kullanılacak Yakıt</t>
  </si>
  <si>
    <t xml:space="preserve">: Doğalgaz</t>
  </si>
  <si>
    <t xml:space="preserve">Radyatör Türü / Isıl Verimi</t>
  </si>
  <si>
    <t xml:space="preserve">: Zeminden ısıtma Borusu   / 50-40 °C çalışma sıcaklığında 17.5 watt/m </t>
  </si>
  <si>
    <t xml:space="preserve">Binanın bulunduğu yerleşim bölgesi</t>
  </si>
  <si>
    <t xml:space="preserve">:Korunmuş Nizam</t>
  </si>
  <si>
    <t xml:space="preserve">Havalandırma Tipi</t>
  </si>
  <si>
    <t xml:space="preserve">:Doğal havalandırma</t>
  </si>
  <si>
    <t xml:space="preserve">Bina tanımı</t>
  </si>
  <si>
    <t xml:space="preserve">:Zemin+1. Normal kat</t>
  </si>
  <si>
    <t xml:space="preserve">Radyatör Türü</t>
  </si>
  <si>
    <t xml:space="preserve">: Zeminden ısıtma Borusu  </t>
  </si>
  <si>
    <t xml:space="preserve">Çalışma Sıcaklığı</t>
  </si>
  <si>
    <t xml:space="preserve">: 50 -40 °C</t>
  </si>
  <si>
    <t xml:space="preserve">1.2.</t>
  </si>
  <si>
    <t xml:space="preserve">Mahal Sıcaklıkları :</t>
  </si>
  <si>
    <t xml:space="preserve">Salon</t>
  </si>
  <si>
    <t xml:space="preserve">: 22°C</t>
  </si>
  <si>
    <t xml:space="preserve">Oturma Odası</t>
  </si>
  <si>
    <t xml:space="preserve">: 20°C</t>
  </si>
  <si>
    <t xml:space="preserve">Yatak Odası</t>
  </si>
  <si>
    <t xml:space="preserve">Banyo</t>
  </si>
  <si>
    <t xml:space="preserve">: 26°C</t>
  </si>
  <si>
    <t xml:space="preserve">Antre</t>
  </si>
  <si>
    <r>
      <rPr>
        <sz val="12"/>
        <rFont val="Arial Tur"/>
        <family val="2"/>
        <charset val="162"/>
      </rPr>
      <t xml:space="preserve">: 22°C </t>
    </r>
    <r>
      <rPr>
        <sz val="12"/>
        <color rgb="FFFF0000"/>
        <rFont val="Arial Tur"/>
        <family val="0"/>
        <charset val="162"/>
      </rPr>
      <t xml:space="preserve">( </t>
    </r>
    <r>
      <rPr>
        <sz val="9"/>
        <color rgb="FFFF0000"/>
        <rFont val="Arial Tur"/>
        <family val="0"/>
        <charset val="162"/>
      </rPr>
      <t xml:space="preserve">ZEMİN KAT ANTRE İLE SALON ARASINDA DUVAR OLMADIĞI</t>
    </r>
  </si>
  <si>
    <t xml:space="preserve">              İÇİN ANTRE SICAKLIĞI HESABA 22 °C OLARAK </t>
  </si>
  <si>
    <t xml:space="preserve">              KATILMIŞTIR OLUP SALON, MUTFAK VE ANTRE</t>
  </si>
  <si>
    <t xml:space="preserve">              BİRLEŞİK HESAP EDİLMİŞTİR..)</t>
  </si>
  <si>
    <t xml:space="preserve">Çatı Arası </t>
  </si>
  <si>
    <t xml:space="preserve">:   0°C</t>
  </si>
  <si>
    <t xml:space="preserve">Toprağa Bitişik Döşeme </t>
  </si>
  <si>
    <t xml:space="preserve">:   6°C</t>
  </si>
  <si>
    <t xml:space="preserve">Mutfak</t>
  </si>
  <si>
    <t xml:space="preserve">: 18°C</t>
  </si>
  <si>
    <t xml:space="preserve">1.3.</t>
  </si>
  <si>
    <t xml:space="preserve">Isı İletim Katsayıları:</t>
  </si>
  <si>
    <t xml:space="preserve">Dış Duvar                                         :</t>
  </si>
  <si>
    <t xml:space="preserve">:</t>
  </si>
  <si>
    <t xml:space="preserve">W/M²k</t>
  </si>
  <si>
    <t xml:space="preserve">Kiriş 25 cm</t>
  </si>
  <si>
    <t xml:space="preserve">Kiriş 30 cm</t>
  </si>
  <si>
    <t xml:space="preserve">Kapı                                                  :</t>
  </si>
  <si>
    <t xml:space="preserve">Pencere                                           :</t>
  </si>
  <si>
    <t xml:space="preserve">Döşeme      ara                              :</t>
  </si>
  <si>
    <t xml:space="preserve">Merdiven Duvarı </t>
  </si>
  <si>
    <t xml:space="preserve">Merdiven Kiriş-kolon </t>
  </si>
  <si>
    <t xml:space="preserve">Döşeme  </t>
  </si>
  <si>
    <t xml:space="preserve">Tavan                                               :</t>
  </si>
  <si>
    <t xml:space="preserve">Döşeme  Açık Geçit</t>
  </si>
  <si>
    <t xml:space="preserve">Bağımsız bölüm</t>
  </si>
  <si>
    <t xml:space="preserve">Bağımsız bölüm kolon kiriş</t>
  </si>
  <si>
    <t xml:space="preserve">İç Duvar</t>
  </si>
  <si>
    <t xml:space="preserve">Kullanılan Kısaltmalar:</t>
  </si>
  <si>
    <t xml:space="preserve">Dış Duvar</t>
  </si>
  <si>
    <t xml:space="preserve">:DD</t>
  </si>
  <si>
    <t xml:space="preserve">Pencere</t>
  </si>
  <si>
    <t xml:space="preserve">:ÇP</t>
  </si>
  <si>
    <t xml:space="preserve">İç Kapı</t>
  </si>
  <si>
    <t xml:space="preserve">:İK</t>
  </si>
  <si>
    <t xml:space="preserve">Dış Kapı</t>
  </si>
  <si>
    <t xml:space="preserve">:DK</t>
  </si>
  <si>
    <t xml:space="preserve">Balkon Kapısı</t>
  </si>
  <si>
    <t xml:space="preserve">:BK</t>
  </si>
  <si>
    <t xml:space="preserve">Döşeme</t>
  </si>
  <si>
    <t xml:space="preserve">:Dö</t>
  </si>
  <si>
    <t xml:space="preserve">Tavan</t>
  </si>
  <si>
    <t xml:space="preserve">:Ta</t>
  </si>
  <si>
    <t xml:space="preserve">Dükkan</t>
  </si>
  <si>
    <t xml:space="preserve">:DÜK</t>
  </si>
  <si>
    <t xml:space="preserve">Bodrum</t>
  </si>
  <si>
    <t xml:space="preserve">:B</t>
  </si>
  <si>
    <t xml:space="preserve">Sürgülü  kapı                                </t>
  </si>
  <si>
    <t xml:space="preserve">:SK</t>
  </si>
  <si>
    <t xml:space="preserve">Kiriş - Kolon</t>
  </si>
  <si>
    <t xml:space="preserve">: DD2</t>
  </si>
  <si>
    <t xml:space="preserve">İç Taban</t>
  </si>
  <si>
    <t xml:space="preserve">: İD</t>
  </si>
  <si>
    <t xml:space="preserve">: İDM</t>
  </si>
  <si>
    <t xml:space="preserve">: İDMK</t>
  </si>
  <si>
    <t xml:space="preserve">1.4.</t>
  </si>
  <si>
    <t xml:space="preserve">İnfitrasyon Değerleri MMO Yayınları 352 Kalorifer Tesisat Hazırlama Esasları kitabına göre yapılmştır</t>
  </si>
  <si>
    <t xml:space="preserve">Qs = a.L.R.H.t.Ze</t>
  </si>
  <si>
    <t xml:space="preserve">Qs  = infiltrasyon ile ısı kaybı ( watt)</t>
  </si>
  <si>
    <t xml:space="preserve">a = sızdırganlı katsayısı (m3/mh )                      ( tablodan 2,0 kabul edilmiştir)</t>
  </si>
  <si>
    <t xml:space="preserve">L = Pencere kapı çevre uzunluğu                     ( projeden alınacak)</t>
  </si>
  <si>
    <t xml:space="preserve">R = Oda Durum Katsayısı                                   (tablodan 0,9 kabul edilmiştir)</t>
  </si>
  <si>
    <t xml:space="preserve">H = Bina Durum Katsayısı                                  ( tablodan 0,67 kabul edilmiştir. Rüzgarlı serbest)</t>
  </si>
  <si>
    <t xml:space="preserve">T = Sıcaklık Farkı                                                                                                                                 </t>
  </si>
  <si>
    <t xml:space="preserve">        ( projeden alınacak)</t>
  </si>
  <si>
    <t xml:space="preserve">Ze = Köşe açıklıkları etkisi  ( tek köşeye bağlı 2 duvarı olan odalarda 1,2 , tek duvar olan oda-</t>
  </si>
  <si>
    <t xml:space="preserve">         lar için 1,0 alınmıştır. Tablodan )</t>
  </si>
  <si>
    <t xml:space="preserve">1.5.</t>
  </si>
  <si>
    <t xml:space="preserve">Zamlar : </t>
  </si>
  <si>
    <t xml:space="preserve">ZD İşletme zammı           </t>
  </si>
  <si>
    <t xml:space="preserve">: 1. işletme seçilmiş değer 0,7 alınmıştır.</t>
  </si>
  <si>
    <t xml:space="preserve">ZW Kat yükseklik zammı</t>
  </si>
  <si>
    <t xml:space="preserve">: 3 katlı bina için zam 0 alınmıştır.</t>
  </si>
  <si>
    <t xml:space="preserve">ZH Yön zammı</t>
  </si>
  <si>
    <t xml:space="preserve">: G =-5, GB= -5 , GD= -5 , K = 5 , KB= 5, KD= 5 , D= 0 , B= 0 )</t>
  </si>
  <si>
    <t xml:space="preserve">ISI  KAYBI  HESABI</t>
  </si>
  <si>
    <t xml:space="preserve">Kat :</t>
  </si>
  <si>
    <t xml:space="preserve">ZEMİN </t>
  </si>
  <si>
    <t xml:space="preserve">   PROJE ADI :</t>
  </si>
  <si>
    <t xml:space="preserve">  Sayfa :</t>
  </si>
  <si>
    <t xml:space="preserve"> Yapı Bileşeni</t>
  </si>
  <si>
    <t xml:space="preserve"> Alan Hesabı</t>
  </si>
  <si>
    <t xml:space="preserve">                 Isı kaybı hesabı</t>
  </si>
  <si>
    <t xml:space="preserve">            Zamlar</t>
  </si>
  <si>
    <t xml:space="preserve">Toplam </t>
  </si>
  <si>
    <t xml:space="preserve">İşaret</t>
  </si>
  <si>
    <t xml:space="preserve">Yön</t>
  </si>
  <si>
    <t xml:space="preserve">Kalınlık</t>
  </si>
  <si>
    <t xml:space="preserve">Uzunluk</t>
  </si>
  <si>
    <t xml:space="preserve">Yükseklik</t>
  </si>
  <si>
    <t xml:space="preserve">  Toplam Alan</t>
  </si>
  <si>
    <t xml:space="preserve">Miktar</t>
  </si>
  <si>
    <t xml:space="preserve">Çıkarıla alan</t>
  </si>
  <si>
    <t xml:space="preserve">Hesaba giren Alan</t>
  </si>
  <si>
    <t xml:space="preserve">    Isı İletim Katsayısı</t>
  </si>
  <si>
    <t xml:space="preserve">Sıcaklık Farkı </t>
  </si>
  <si>
    <t xml:space="preserve">Zamsız Isı Kaybı</t>
  </si>
  <si>
    <t xml:space="preserve">İşletme</t>
  </si>
  <si>
    <t xml:space="preserve">Kat Yük.</t>
  </si>
  <si>
    <t xml:space="preserve">Toplam</t>
  </si>
  <si>
    <t xml:space="preserve">Toplam Is
ı İhtiyacı</t>
  </si>
  <si>
    <t xml:space="preserve">[Ao]</t>
  </si>
  <si>
    <t xml:space="preserve">[A]</t>
  </si>
  <si>
    <t xml:space="preserve">[k]</t>
  </si>
  <si>
    <t xml:space="preserve">D T</t>
  </si>
  <si>
    <t xml:space="preserve">Qo</t>
  </si>
  <si>
    <r>
      <rPr>
        <sz val="7.5"/>
        <rFont val="Arial Tur"/>
        <family val="0"/>
        <charset val="162"/>
      </rPr>
      <t xml:space="preserve">Z</t>
    </r>
    <r>
      <rPr>
        <sz val="7.5"/>
        <rFont val="Arial Tur"/>
        <family val="2"/>
        <charset val="162"/>
      </rPr>
      <t xml:space="preserve">D</t>
    </r>
  </si>
  <si>
    <r>
      <rPr>
        <sz val="7.5"/>
        <rFont val="Arial Tur"/>
        <family val="0"/>
        <charset val="162"/>
      </rPr>
      <t xml:space="preserve">Z</t>
    </r>
    <r>
      <rPr>
        <sz val="7.5"/>
        <rFont val="Arial Tur"/>
        <family val="2"/>
        <charset val="162"/>
      </rPr>
      <t xml:space="preserve">W</t>
    </r>
  </si>
  <si>
    <r>
      <rPr>
        <sz val="7.5"/>
        <rFont val="Arial Tur"/>
        <family val="0"/>
        <charset val="162"/>
      </rPr>
      <t xml:space="preserve">Z</t>
    </r>
    <r>
      <rPr>
        <sz val="7.5"/>
        <rFont val="Arial Tur"/>
        <family val="2"/>
        <charset val="162"/>
      </rPr>
      <t xml:space="preserve">H</t>
    </r>
  </si>
  <si>
    <t xml:space="preserve">Z</t>
  </si>
  <si>
    <r>
      <rPr>
        <sz val="7.5"/>
        <rFont val="Arial Tur"/>
        <family val="0"/>
        <charset val="162"/>
      </rPr>
      <t xml:space="preserve">Q</t>
    </r>
    <r>
      <rPr>
        <sz val="7.5"/>
        <rFont val="Arial Tur"/>
        <family val="2"/>
        <charset val="162"/>
      </rPr>
      <t xml:space="preserve">h</t>
    </r>
    <r>
      <rPr>
        <sz val="7.5"/>
        <rFont val="Arial Tur"/>
        <family val="0"/>
        <charset val="162"/>
      </rPr>
      <t xml:space="preserve">=Q</t>
    </r>
    <r>
      <rPr>
        <sz val="7.5"/>
        <rFont val="Arial Tur"/>
        <family val="2"/>
        <charset val="162"/>
      </rPr>
      <t xml:space="preserve">i</t>
    </r>
    <r>
      <rPr>
        <sz val="7.5"/>
        <rFont val="Arial Tur"/>
        <family val="0"/>
        <charset val="162"/>
      </rPr>
      <t xml:space="preserve">+Q</t>
    </r>
    <r>
      <rPr>
        <sz val="7.5"/>
        <rFont val="Arial Tur"/>
        <family val="2"/>
        <charset val="162"/>
      </rPr>
      <t xml:space="preserve">s</t>
    </r>
  </si>
  <si>
    <t xml:space="preserve">cm</t>
  </si>
  <si>
    <t xml:space="preserve">m</t>
  </si>
  <si>
    <t xml:space="preserve">m²</t>
  </si>
  <si>
    <t xml:space="preserve">ad</t>
  </si>
  <si>
    <r>
      <rPr>
        <u val="single"/>
        <sz val="7.5"/>
        <rFont val="Arial Tur"/>
        <family val="0"/>
        <charset val="162"/>
      </rPr>
      <t xml:space="preserve">watt </t>
    </r>
    <r>
      <rPr>
        <sz val="7.5"/>
        <rFont val="Arial Tur"/>
        <family val="2"/>
        <charset val="162"/>
      </rPr>
      <t xml:space="preserve"> m²hºC</t>
    </r>
  </si>
  <si>
    <t xml:space="preserve">ºC</t>
  </si>
  <si>
    <t xml:space="preserve">watt</t>
  </si>
  <si>
    <t xml:space="preserve">%</t>
  </si>
  <si>
    <t xml:space="preserve">1+%</t>
  </si>
  <si>
    <t xml:space="preserve">0</t>
  </si>
  <si>
    <t xml:space="preserve">1</t>
  </si>
  <si>
    <t xml:space="preserve">SALON+MUTFAK+ANTRE</t>
  </si>
  <si>
    <t xml:space="preserve">22ºC</t>
  </si>
  <si>
    <t xml:space="preserve">DD</t>
  </si>
  <si>
    <t xml:space="preserve">K</t>
  </si>
  <si>
    <t xml:space="preserve">DD25</t>
  </si>
  <si>
    <t xml:space="preserve">ÇP</t>
  </si>
  <si>
    <t xml:space="preserve">DD30</t>
  </si>
  <si>
    <t xml:space="preserve">D</t>
  </si>
  <si>
    <t xml:space="preserve">G</t>
  </si>
  <si>
    <t xml:space="preserve">DK</t>
  </si>
  <si>
    <t xml:space="preserve">B</t>
  </si>
  <si>
    <t xml:space="preserve">Dö </t>
  </si>
  <si>
    <t xml:space="preserve">Qs=</t>
  </si>
  <si>
    <t xml:space="preserve">S a</t>
  </si>
  <si>
    <t xml:space="preserve">L</t>
  </si>
  <si>
    <t xml:space="preserve">R</t>
  </si>
  <si>
    <t xml:space="preserve">H</t>
  </si>
  <si>
    <t xml:space="preserve">D  T</t>
  </si>
  <si>
    <t xml:space="preserve">Ze</t>
  </si>
  <si>
    <t xml:space="preserve"> </t>
  </si>
  <si>
    <t xml:space="preserve">Qs  =</t>
  </si>
  <si>
    <t xml:space="preserve">   TOPLAM ISI KAYBI =</t>
  </si>
  <si>
    <t xml:space="preserve">2</t>
  </si>
  <si>
    <t xml:space="preserve">BANYO</t>
  </si>
  <si>
    <t xml:space="preserve">26ºC</t>
  </si>
  <si>
    <t xml:space="preserve">İD</t>
  </si>
  <si>
    <t xml:space="preserve">Dö</t>
  </si>
  <si>
    <t xml:space="preserve">KİLER</t>
  </si>
  <si>
    <t xml:space="preserve">18ºC</t>
  </si>
  <si>
    <t xml:space="preserve">4</t>
  </si>
  <si>
    <t xml:space="preserve">ODA</t>
  </si>
  <si>
    <t xml:space="preserve">20ºC</t>
  </si>
  <si>
    <t xml:space="preserve">5</t>
  </si>
  <si>
    <t xml:space="preserve">DUŞ</t>
  </si>
  <si>
    <t xml:space="preserve">İK</t>
  </si>
  <si>
    <t xml:space="preserve">1 NK</t>
  </si>
  <si>
    <t xml:space="preserve">YATAK ODASI+GİY.</t>
  </si>
  <si>
    <t xml:space="preserve">Ta</t>
  </si>
  <si>
    <t xml:space="preserve">ANTRE</t>
  </si>
  <si>
    <t xml:space="preserve">DöAG</t>
  </si>
  <si>
    <t xml:space="preserve">6</t>
  </si>
  <si>
    <t xml:space="preserve">SAUNA</t>
  </si>
  <si>
    <t xml:space="preserve">30ºC</t>
  </si>
  <si>
    <t xml:space="preserve">7</t>
  </si>
  <si>
    <t xml:space="preserve">8</t>
  </si>
  <si>
    <t xml:space="preserve">dcmmakina</t>
  </si>
  <si>
    <t xml:space="preserve">RADYATÖR VE TEFERRUAT HESABI CETVELİ</t>
  </si>
  <si>
    <t xml:space="preserve">SAYFA</t>
  </si>
  <si>
    <t xml:space="preserve">TARİH</t>
  </si>
  <si>
    <t xml:space="preserve">ODANIN</t>
  </si>
  <si>
    <t xml:space="preserve">RADYATÖRLERİN</t>
  </si>
  <si>
    <t xml:space="preserve">TEFERRUATIN</t>
  </si>
  <si>
    <t xml:space="preserve">NO</t>
  </si>
  <si>
    <t xml:space="preserve">ADI</t>
  </si>
  <si>
    <t xml:space="preserve">SICAKLIĞI</t>
  </si>
  <si>
    <t xml:space="preserve">ISI
KAYBI</t>
  </si>
  <si>
    <t xml:space="preserve">BİRİM 
VERİMİ</t>
  </si>
  <si>
    <t xml:space="preserve">VERİMİ</t>
  </si>
  <si>
    <t xml:space="preserve">BORU UZUNLUĞU</t>
  </si>
  <si>
    <t xml:space="preserve">GRUP</t>
  </si>
  <si>
    <t xml:space="preserve">KONSOL</t>
  </si>
  <si>
    <t xml:space="preserve">KELEPÇE</t>
  </si>
  <si>
    <t xml:space="preserve">MUSLUK</t>
  </si>
  <si>
    <t xml:space="preserve">REKOR</t>
  </si>
  <si>
    <t xml:space="preserve">1/2"</t>
  </si>
  <si>
    <t xml:space="preserve">3/4"</t>
  </si>
  <si>
    <t xml:space="preserve">1"</t>
  </si>
  <si>
    <r>
      <rPr>
        <vertAlign val="superscript"/>
        <sz val="10"/>
        <rFont val="Arial"/>
        <family val="2"/>
        <charset val="162"/>
      </rPr>
      <t xml:space="preserve">0</t>
    </r>
    <r>
      <rPr>
        <sz val="14"/>
        <rFont val="Arial"/>
        <family val="2"/>
        <charset val="162"/>
      </rPr>
      <t xml:space="preserve">c</t>
    </r>
  </si>
  <si>
    <t xml:space="preserve">W/h</t>
  </si>
  <si>
    <r>
      <rPr>
        <sz val="10"/>
        <rFont val="Arial"/>
        <family val="2"/>
        <charset val="162"/>
      </rPr>
      <t xml:space="preserve">W/m</t>
    </r>
    <r>
      <rPr>
        <vertAlign val="superscript"/>
        <sz val="10"/>
        <rFont val="Arial"/>
        <family val="2"/>
        <charset val="162"/>
      </rPr>
      <t xml:space="preserve">2</t>
    </r>
    <r>
      <rPr>
        <sz val="10"/>
        <rFont val="Arial Tur"/>
        <family val="0"/>
        <charset val="162"/>
      </rPr>
      <t xml:space="preserve">K</t>
    </r>
  </si>
  <si>
    <t xml:space="preserve">Z01</t>
  </si>
  <si>
    <t xml:space="preserve">22</t>
  </si>
  <si>
    <t xml:space="preserve">ZEMİNDEN ISITMA</t>
  </si>
  <si>
    <t xml:space="preserve">Z02</t>
  </si>
  <si>
    <t xml:space="preserve">26</t>
  </si>
  <si>
    <t xml:space="preserve">Z03</t>
  </si>
  <si>
    <t xml:space="preserve">18</t>
  </si>
  <si>
    <t xml:space="preserve">Z04</t>
  </si>
  <si>
    <t xml:space="preserve">20</t>
  </si>
  <si>
    <t xml:space="preserve">Z05</t>
  </si>
  <si>
    <t xml:space="preserve">TOPLAM =</t>
  </si>
  <si>
    <t xml:space="preserve">EB.+GİYSİ ODASI</t>
  </si>
  <si>
    <t xml:space="preserve">ANTRE </t>
  </si>
  <si>
    <t xml:space="preserve">30</t>
  </si>
  <si>
    <t xml:space="preserve">ZEMİNDEN ISITMA MODÜLASYON HESABI</t>
  </si>
  <si>
    <t xml:space="preserve">PROJE ADI :</t>
  </si>
  <si>
    <t xml:space="preserve">HESAPLARI YAPAN MAKİNA MÜHENDİSİ :</t>
  </si>
  <si>
    <t xml:space="preserve">MAHAL NO</t>
  </si>
  <si>
    <t xml:space="preserve">MAHAL ADI</t>
  </si>
  <si>
    <t xml:space="preserve">MAHAL SICAKLIĞI</t>
  </si>
  <si>
    <t xml:space="preserve">Mahal ısı ihtiyacı Q</t>
  </si>
  <si>
    <t xml:space="preserve">MAHAL ALANI A</t>
  </si>
  <si>
    <t xml:space="preserve">1 m2 ' DEKİ TOPLAM ISI YÜKÜ Q/A</t>
  </si>
  <si>
    <t xml:space="preserve">MODÜL</t>
  </si>
  <si>
    <t xml:space="preserve">m2</t>
  </si>
  <si>
    <t xml:space="preserve">STANDART MODÜL</t>
  </si>
  <si>
    <t xml:space="preserve">BORU BOYU</t>
  </si>
  <si>
    <t xml:space="preserve">KOLLEKTÖR ADETİ</t>
  </si>
  <si>
    <t xml:space="preserve">TOPLAM OLMASI GEREKEN KOLLEKTÖR ADETİ</t>
  </si>
  <si>
    <t xml:space="preserve">BİRİM VERİM</t>
  </si>
  <si>
    <t xml:space="preserve">TOPLAM VERİM</t>
  </si>
  <si>
    <r>
      <rPr>
        <sz val="8"/>
        <rFont val="Arial Tur"/>
        <family val="2"/>
        <charset val="162"/>
      </rPr>
      <t xml:space="preserve">C</t>
    </r>
    <r>
      <rPr>
        <vertAlign val="superscript"/>
        <sz val="8"/>
        <rFont val="Arial Tur"/>
        <family val="0"/>
        <charset val="162"/>
      </rPr>
      <t xml:space="preserve">0</t>
    </r>
  </si>
  <si>
    <t xml:space="preserve">watt/h</t>
  </si>
  <si>
    <r>
      <rPr>
        <sz val="8"/>
        <rFont val="Arial Tur"/>
        <family val="2"/>
        <charset val="162"/>
      </rPr>
      <t xml:space="preserve">watt/m</t>
    </r>
    <r>
      <rPr>
        <vertAlign val="superscript"/>
        <sz val="8"/>
        <rFont val="Arial Tur"/>
        <family val="2"/>
        <charset val="162"/>
      </rPr>
      <t xml:space="preserve">2</t>
    </r>
    <r>
      <rPr>
        <sz val="8"/>
        <rFont val="Arial Tur"/>
        <family val="2"/>
        <charset val="162"/>
      </rPr>
      <t xml:space="preserve">h</t>
    </r>
  </si>
  <si>
    <t xml:space="preserve">Ad.</t>
  </si>
  <si>
    <t xml:space="preserve">Watt</t>
  </si>
  <si>
    <t xml:space="preserve">YERDEN ISITMA HESABI</t>
  </si>
  <si>
    <t xml:space="preserve">ZEMİN ve 1.KAT</t>
  </si>
  <si>
    <t xml:space="preserve">DÖŞEMEDEN ISITMA HESAP ÖZETİ</t>
  </si>
  <si>
    <t xml:space="preserve">Ts.g  = 50 °C</t>
  </si>
  <si>
    <t xml:space="preserve">TOPLAM ISI KAYBI</t>
  </si>
  <si>
    <t xml:space="preserve">Isıtma Çevrim Sayısı : 6</t>
  </si>
  <si>
    <t xml:space="preserve">MAX. BASINÇ KAYBI</t>
  </si>
  <si>
    <t xml:space="preserve">VEYSEL DANIŞ 3152-30</t>
  </si>
  <si>
    <t xml:space="preserve">ISITMA ÇEVRİM SIRASI</t>
  </si>
  <si>
    <t xml:space="preserve">Z1</t>
  </si>
  <si>
    <t xml:space="preserve">Z2</t>
  </si>
  <si>
    <t xml:space="preserve">Z3</t>
  </si>
  <si>
    <t xml:space="preserve">Z4</t>
  </si>
  <si>
    <t xml:space="preserve">Z5</t>
  </si>
  <si>
    <t xml:space="preserve">Z6</t>
  </si>
  <si>
    <t xml:space="preserve">Z7</t>
  </si>
  <si>
    <t xml:space="preserve">Z8</t>
  </si>
  <si>
    <t xml:space="preserve">Z9</t>
  </si>
  <si>
    <t xml:space="preserve">Z10</t>
  </si>
  <si>
    <t xml:space="preserve">ODA NO</t>
  </si>
  <si>
    <t xml:space="preserve">Z06</t>
  </si>
  <si>
    <t xml:space="preserve">102.</t>
  </si>
  <si>
    <t xml:space="preserve">104.</t>
  </si>
  <si>
    <t xml:space="preserve">105.</t>
  </si>
  <si>
    <t xml:space="preserve">106.</t>
  </si>
  <si>
    <t xml:space="preserve">ODA ADI</t>
  </si>
  <si>
    <t xml:space="preserve">Salon+Mutfak+ Hol</t>
  </si>
  <si>
    <t xml:space="preserve">Oda 1</t>
  </si>
  <si>
    <t xml:space="preserve">Oda 2</t>
  </si>
  <si>
    <t xml:space="preserve">Ebv. Banyo</t>
  </si>
  <si>
    <t xml:space="preserve">Th1</t>
  </si>
  <si>
    <t xml:space="preserve">ODA SICAKLIĞI</t>
  </si>
  <si>
    <t xml:space="preserve">°C</t>
  </si>
  <si>
    <t xml:space="preserve">Th2</t>
  </si>
  <si>
    <t xml:space="preserve">DÖŞEME ALTI SICAKLIĞI</t>
  </si>
  <si>
    <t xml:space="preserve">A</t>
  </si>
  <si>
    <t xml:space="preserve">NET DÖŞEME ALANI</t>
  </si>
  <si>
    <t xml:space="preserve">qh</t>
  </si>
  <si>
    <t xml:space="preserve">ISI KAYBI</t>
  </si>
  <si>
    <t xml:space="preserve">TS 825 ve TS 2164 'e göre</t>
  </si>
  <si>
    <t xml:space="preserve">W</t>
  </si>
  <si>
    <t xml:space="preserve">q"</t>
  </si>
  <si>
    <t xml:space="preserve">ISI AKISI</t>
  </si>
  <si>
    <t xml:space="preserve">qh/A</t>
  </si>
  <si>
    <t xml:space="preserve">W/m²</t>
  </si>
  <si>
    <t xml:space="preserve">Rd</t>
  </si>
  <si>
    <t xml:space="preserve">DÖŞEME ISIL DİRENCİ (1)</t>
  </si>
  <si>
    <t xml:space="preserve">Seramik fayans</t>
  </si>
  <si>
    <t xml:space="preserve">m²K/W</t>
  </si>
  <si>
    <t xml:space="preserve">ISITMA ÇEVRİMİ SAYISI</t>
  </si>
  <si>
    <t xml:space="preserve">Ataban</t>
  </si>
  <si>
    <t xml:space="preserve">İÇ VEYA DIŞ ÇEVRİM ALANI</t>
  </si>
  <si>
    <t xml:space="preserve">qtaban</t>
  </si>
  <si>
    <t xml:space="preserve">İÇ VEya DIŞ ISI AKISI</t>
  </si>
  <si>
    <t xml:space="preserve">Ty</t>
  </si>
  <si>
    <t xml:space="preserve">ORTALAMA DÖŞEME SICAKLIĞI</t>
  </si>
  <si>
    <t xml:space="preserve">Ts.g</t>
  </si>
  <si>
    <t xml:space="preserve">SICAK SU GİRİŞ SICAKLIĞI  (2)</t>
  </si>
  <si>
    <r>
      <rPr>
        <sz val="10"/>
        <rFont val="Arial"/>
        <family val="2"/>
        <charset val="162"/>
      </rPr>
      <t xml:space="preserve">ΔTs</t>
    </r>
    <r>
      <rPr>
        <sz val="10"/>
        <rFont val="Arial Tur"/>
        <family val="0"/>
        <charset val="162"/>
      </rPr>
      <t xml:space="preserve">g</t>
    </r>
  </si>
  <si>
    <t xml:space="preserve">SICAK SU GİRİŞ - ODA SICAKLIĞI</t>
  </si>
  <si>
    <t xml:space="preserve">Tsg - Th1</t>
  </si>
  <si>
    <t xml:space="preserve">Lr</t>
  </si>
  <si>
    <t xml:space="preserve">BORU ARALIĞI (1)</t>
  </si>
  <si>
    <t xml:space="preserve">Kat Planından</t>
  </si>
  <si>
    <t xml:space="preserve">17a</t>
  </si>
  <si>
    <t xml:space="preserve">Ts.m</t>
  </si>
  <si>
    <t xml:space="preserve">ORTALAMA SU SICAKLIĞI (3)</t>
  </si>
  <si>
    <t xml:space="preserve">(Tsg-Tsç)/2</t>
  </si>
  <si>
    <t xml:space="preserve">17b</t>
  </si>
  <si>
    <t xml:space="preserve">ΔTs.m</t>
  </si>
  <si>
    <t xml:space="preserve">ORTALAMA SICAK SU - ODA SICAKLIĞI</t>
  </si>
  <si>
    <t xml:space="preserve">ΔTs</t>
  </si>
  <si>
    <t xml:space="preserve">SICAK SU GİDİŞ - DÖNÜŞ SICAKLIĞI</t>
  </si>
  <si>
    <t xml:space="preserve">2(ΔTsg - ΔTs.m)</t>
  </si>
  <si>
    <t xml:space="preserve">q"döşeme</t>
  </si>
  <si>
    <t xml:space="preserve">ALTA GEÇEN ISI AKISI (4)</t>
  </si>
  <si>
    <t xml:space="preserve">0,2 q değerinden küçük alınmıştır.</t>
  </si>
  <si>
    <t xml:space="preserve">q</t>
  </si>
  <si>
    <t xml:space="preserve">ÇEVRİMİN TOPLAM ISISI</t>
  </si>
  <si>
    <t xml:space="preserve">A(q"döşeme + q"tavan)</t>
  </si>
  <si>
    <t xml:space="preserve">w</t>
  </si>
  <si>
    <t xml:space="preserve">SICAK SU DEBİSİ</t>
  </si>
  <si>
    <t xml:space="preserve">q/(1,163ΔTsg)</t>
  </si>
  <si>
    <t xml:space="preserve">kg/h</t>
  </si>
  <si>
    <t xml:space="preserve">Lç</t>
  </si>
  <si>
    <t xml:space="preserve">A/Lr</t>
  </si>
  <si>
    <t xml:space="preserve">Lb</t>
  </si>
  <si>
    <t xml:space="preserve">BAĞLANTI BORULARI</t>
  </si>
  <si>
    <t xml:space="preserve">bağlantı boruları toplam boru boyuna ilave edilmiştir.</t>
  </si>
  <si>
    <t xml:space="preserve">TOPLAM BORU UZUNLUĞU</t>
  </si>
  <si>
    <t xml:space="preserve">Lç + Lb</t>
  </si>
  <si>
    <t xml:space="preserve">ΔPs</t>
  </si>
  <si>
    <t xml:space="preserve">DÜZ BORU BASINÇ KAYBI (5)</t>
  </si>
  <si>
    <t xml:space="preserve">Kısım 9.4  , EK VI-14i</t>
  </si>
  <si>
    <t xml:space="preserve">Pa</t>
  </si>
  <si>
    <t xml:space="preserve">Δpö</t>
  </si>
  <si>
    <t xml:space="preserve">ÖZEL BASINÇ KAYIPLARI (6)</t>
  </si>
  <si>
    <t xml:space="preserve">Kısım 9.4  , Denk. (8.7.22)</t>
  </si>
  <si>
    <t xml:space="preserve">ΔP</t>
  </si>
  <si>
    <t xml:space="preserve">TOPLAM BASINÇ KAYBI</t>
  </si>
  <si>
    <t xml:space="preserve">ΔPs + Δpö</t>
  </si>
  <si>
    <t xml:space="preserve">ΔPd</t>
  </si>
  <si>
    <t xml:space="preserve">DENGELENMESİ GEREKEN BASINÇ(7)</t>
  </si>
  <si>
    <t xml:space="preserve">Δpmax - ΔP</t>
  </si>
  <si>
    <t xml:space="preserve">Δpmax = 9828 Pa</t>
  </si>
  <si>
    <t xml:space="preserve">BASINÇ AYARLI KOLLEKTÖRDEN HERBİR</t>
  </si>
  <si>
    <t xml:space="preserve">HATTA GİDEN BASINÇ BU BASINÇ DEĞERLERİNE</t>
  </si>
  <si>
    <t xml:space="preserve">GÖRE AYARLANMALIDIR….</t>
  </si>
  <si>
    <t xml:space="preserve">EK VI-14i Tablosundan q değeri m³/h çevrilir DN10 borusu </t>
  </si>
  <si>
    <t xml:space="preserve"> (1)</t>
  </si>
  <si>
    <t xml:space="preserve">Şek. 19.7.1 den seçilmiştir.</t>
  </si>
  <si>
    <t xml:space="preserve">için R (Pa/m) 1metre borudaki basın. Kaybı bulunur..</t>
  </si>
  <si>
    <t xml:space="preserve"> (2)</t>
  </si>
  <si>
    <t xml:space="preserve">Sıcak su girişi ( kazan çıkış suyu sıcaklığı ) 50 °C  olarak seçilmiştir.</t>
  </si>
  <si>
    <t xml:space="preserve">toplam boru boyu ile çarpımından Δpö (Pa) bulunur.  </t>
  </si>
  <si>
    <t xml:space="preserve"> (3)</t>
  </si>
  <si>
    <t xml:space="preserve">Şek. 19.7.1 den bulunmuştur..</t>
  </si>
  <si>
    <t xml:space="preserve"> (4)</t>
  </si>
  <si>
    <t xml:space="preserve">Bu ısı , geçiş bağlantılarından hesaplanabildiği gibi maksimum 0,2 q" olarak alınmıştır.</t>
  </si>
  <si>
    <t xml:space="preserve"> (5)</t>
  </si>
  <si>
    <t xml:space="preserve">R ( Pa/m) özgül basın. Kayıpları EK VI-14f ' de 15x1 çapındakiboru çapına göre alınmıştır.</t>
  </si>
  <si>
    <t xml:space="preserve"> (6)</t>
  </si>
  <si>
    <t xml:space="preserve">kollektörden sonraki özel basınç kayıpları, düz boru kayıpları yanında çok küçük olduğundan düz boru basınç kaybının % 5 i kabul edilmiştir.</t>
  </si>
  <si>
    <t xml:space="preserve"> (7)</t>
  </si>
  <si>
    <t xml:space="preserve">Isıtma çevriminin basıncı , kollektördeki reglaj vanası ile ayarlanmalıdır…</t>
  </si>
  <si>
    <t xml:space="preserve">2. ve 3. KAT</t>
  </si>
  <si>
    <t xml:space="preserve">KAT</t>
  </si>
  <si>
    <t xml:space="preserve">3.1.</t>
  </si>
  <si>
    <t xml:space="preserve">3.9.</t>
  </si>
  <si>
    <t xml:space="preserve">3.3.</t>
  </si>
  <si>
    <t xml:space="preserve">3.8.</t>
  </si>
  <si>
    <t xml:space="preserve">3.4.</t>
  </si>
  <si>
    <t xml:space="preserve">3.5.</t>
  </si>
  <si>
    <t xml:space="preserve">3.10.</t>
  </si>
  <si>
    <t xml:space="preserve">3.7.</t>
  </si>
  <si>
    <t xml:space="preserve">2.6.</t>
  </si>
  <si>
    <t xml:space="preserve">2.2.</t>
  </si>
  <si>
    <t xml:space="preserve">2.7.</t>
  </si>
  <si>
    <t xml:space="preserve">2.8.</t>
  </si>
  <si>
    <t xml:space="preserve">4.4.</t>
  </si>
  <si>
    <t xml:space="preserve">4.3.</t>
  </si>
  <si>
    <t xml:space="preserve">4.1.</t>
  </si>
  <si>
    <t xml:space="preserve">4.2.</t>
  </si>
  <si>
    <t xml:space="preserve">4.6.</t>
  </si>
  <si>
    <t xml:space="preserve">4.7.</t>
  </si>
  <si>
    <t xml:space="preserve">4.10.</t>
  </si>
  <si>
    <t xml:space="preserve">4.9.</t>
  </si>
  <si>
    <t xml:space="preserve">İşyeri</t>
  </si>
  <si>
    <t xml:space="preserve">Koridor</t>
  </si>
  <si>
    <t xml:space="preserve">Hol</t>
  </si>
  <si>
    <t xml:space="preserve">SalonMutfak</t>
  </si>
  <si>
    <t xml:space="preserve">Oda</t>
  </si>
  <si>
    <t xml:space="preserve">Çocuk Odası</t>
  </si>
  <si>
    <t xml:space="preserve">Eb.Od</t>
  </si>
  <si>
    <t xml:space="preserve">Sauna</t>
  </si>
  <si>
    <t xml:space="preserve">Salon+Mutfak</t>
  </si>
  <si>
    <t xml:space="preserve">EK VI-14i Tablosundan q değeri m³/h çevrilir DN10 borusu için</t>
  </si>
  <si>
    <t xml:space="preserve">R (Pa/m) 1metre borudaki basın. Kaybı bulunur..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</si>
</sst>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%"/>
    <numFmt numFmtId="166" formatCode="[$-409]d\-mmm"/>
    <numFmt numFmtId="167" formatCode="[$-409]m/d/yyyy"/>
    <numFmt numFmtId="168" formatCode="General"/>
    <numFmt numFmtId="169" formatCode="General&quot; W/m²K&quot;"/>
    <numFmt numFmtId="170" formatCode="00000"/>
    <numFmt numFmtId="171" formatCode="#,##0.00"/>
    <numFmt numFmtId="172" formatCode="#,##0"/>
    <numFmt numFmtId="173" formatCode="#,##0&quot;  &quot;"/>
    <numFmt numFmtId="174" formatCode="@"/>
    <numFmt numFmtId="175" formatCode="&quot;  &quot;@"/>
    <numFmt numFmtId="176" formatCode="0"/>
    <numFmt numFmtId="177" formatCode="0.00"/>
  </numFmts>
  <fonts count="55">
    <font>
      <sz val="10"/>
      <name val="Arial Tur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62"/>
    </font>
    <font>
      <sz val="12"/>
      <color rgb="FF000000"/>
      <name val="Calibri"/>
      <family val="2"/>
      <charset val="162"/>
    </font>
    <font>
      <b val="true"/>
      <sz val="40"/>
      <color rgb="FF000000"/>
      <name val="Swis721 Cn BT"/>
      <family val="2"/>
    </font>
    <font>
      <b val="true"/>
      <sz val="16"/>
      <color rgb="FF000000"/>
      <name val="Swis721 Cn BT"/>
      <family val="2"/>
    </font>
    <font>
      <b val="true"/>
      <sz val="10"/>
      <color rgb="FF000000"/>
      <name val="Times New Roman"/>
      <family val="1"/>
      <charset val="162"/>
    </font>
    <font>
      <b val="true"/>
      <sz val="12"/>
      <color rgb="FF000000"/>
      <name val="Times New Roman"/>
      <family val="1"/>
      <charset val="162"/>
    </font>
    <font>
      <sz val="20"/>
      <color rgb="FF000000"/>
      <name val="Calibri"/>
      <family val="2"/>
      <charset val="162"/>
    </font>
    <font>
      <b val="true"/>
      <sz val="28"/>
      <color rgb="FF000000"/>
      <name val="Calibri"/>
      <family val="2"/>
      <charset val="162"/>
    </font>
    <font>
      <sz val="16"/>
      <color rgb="FF000000"/>
      <name val="Calibri"/>
      <family val="2"/>
      <charset val="162"/>
    </font>
    <font>
      <sz val="14"/>
      <color rgb="FF000000"/>
      <name val="Calibri"/>
      <family val="2"/>
      <charset val="162"/>
    </font>
    <font>
      <b val="true"/>
      <sz val="14"/>
      <name val="Arial Tur"/>
      <family val="0"/>
      <charset val="162"/>
    </font>
    <font>
      <b val="true"/>
      <sz val="14"/>
      <name val="Arial Tur"/>
      <family val="2"/>
      <charset val="162"/>
    </font>
    <font>
      <b val="true"/>
      <sz val="10"/>
      <name val="Arial Tur"/>
      <family val="0"/>
      <charset val="162"/>
    </font>
    <font>
      <b val="true"/>
      <sz val="12"/>
      <name val="Arial Tur"/>
      <family val="2"/>
      <charset val="162"/>
    </font>
    <font>
      <sz val="12"/>
      <name val="Arial Tur"/>
      <family val="2"/>
      <charset val="162"/>
    </font>
    <font>
      <b val="true"/>
      <sz val="12"/>
      <name val="Arial Tur"/>
      <family val="0"/>
      <charset val="162"/>
    </font>
    <font>
      <sz val="11"/>
      <name val="Arial Tur"/>
      <family val="2"/>
      <charset val="162"/>
    </font>
    <font>
      <sz val="12"/>
      <color rgb="FFFF0000"/>
      <name val="Arial Tur"/>
      <family val="0"/>
      <charset val="162"/>
    </font>
    <font>
      <sz val="9"/>
      <color rgb="FFFF0000"/>
      <name val="Arial Tur"/>
      <family val="0"/>
      <charset val="162"/>
    </font>
    <font>
      <sz val="9"/>
      <color rgb="FFFF0000"/>
      <name val="Arial Tur"/>
      <family val="2"/>
      <charset val="162"/>
    </font>
    <font>
      <sz val="9"/>
      <name val="Arial Tur"/>
      <family val="0"/>
      <charset val="162"/>
    </font>
    <font>
      <sz val="8"/>
      <name val="Arial Tur"/>
      <family val="0"/>
      <charset val="162"/>
    </font>
    <font>
      <sz val="8"/>
      <name val="Arial"/>
      <family val="2"/>
      <charset val="162"/>
    </font>
    <font>
      <b val="true"/>
      <sz val="11"/>
      <name val="Arial Tur"/>
      <family val="2"/>
      <charset val="162"/>
    </font>
    <font>
      <sz val="7.5"/>
      <name val="Arial Tur"/>
      <family val="0"/>
      <charset val="162"/>
    </font>
    <font>
      <sz val="7.5"/>
      <name val="Arial"/>
      <family val="2"/>
      <charset val="162"/>
    </font>
    <font>
      <b val="true"/>
      <sz val="7.5"/>
      <name val="Arial Tur"/>
      <family val="0"/>
      <charset val="162"/>
    </font>
    <font>
      <sz val="7.5"/>
      <name val="Symbol"/>
      <family val="1"/>
      <charset val="2"/>
    </font>
    <font>
      <sz val="7.5"/>
      <name val="Arial Tur"/>
      <family val="2"/>
      <charset val="162"/>
    </font>
    <font>
      <u val="single"/>
      <sz val="7.5"/>
      <name val="Arial Tur"/>
      <family val="0"/>
      <charset val="162"/>
    </font>
    <font>
      <sz val="5"/>
      <name val="Arial Tur"/>
      <family val="0"/>
      <charset val="162"/>
    </font>
    <font>
      <i val="true"/>
      <sz val="7.5"/>
      <name val="Arial Tur"/>
      <family val="2"/>
      <charset val="162"/>
    </font>
    <font>
      <i val="true"/>
      <sz val="7.5"/>
      <name val="Symbol"/>
      <family val="1"/>
      <charset val="2"/>
    </font>
    <font>
      <i val="true"/>
      <sz val="7.5"/>
      <name val="Arial Tur"/>
      <family val="0"/>
      <charset val="162"/>
    </font>
    <font>
      <b val="true"/>
      <sz val="7.5"/>
      <name val="Arial Tur"/>
      <family val="2"/>
      <charset val="162"/>
    </font>
    <font>
      <sz val="9"/>
      <name val="Arial"/>
      <family val="2"/>
      <charset val="162"/>
    </font>
    <font>
      <vertAlign val="superscript"/>
      <sz val="10"/>
      <name val="Arial"/>
      <family val="2"/>
      <charset val="162"/>
    </font>
    <font>
      <sz val="14"/>
      <name val="Arial"/>
      <family val="2"/>
      <charset val="162"/>
    </font>
    <font>
      <sz val="8"/>
      <name val="Arial Tur"/>
      <family val="2"/>
      <charset val="162"/>
    </font>
    <font>
      <vertAlign val="superscript"/>
      <sz val="8"/>
      <name val="Arial Tur"/>
      <family val="0"/>
      <charset val="162"/>
    </font>
    <font>
      <vertAlign val="superscript"/>
      <sz val="8"/>
      <name val="Arial Tur"/>
      <family val="2"/>
      <charset val="162"/>
    </font>
    <font>
      <sz val="9"/>
      <name val="Arial Tur"/>
      <family val="2"/>
      <charset val="162"/>
    </font>
    <font>
      <sz val="6.5"/>
      <name val="Arial Tur"/>
      <family val="0"/>
      <charset val="162"/>
    </font>
    <font>
      <b val="true"/>
      <sz val="11"/>
      <name val="Arial Tur"/>
      <family val="0"/>
      <charset val="162"/>
    </font>
    <font>
      <b val="true"/>
      <sz val="9"/>
      <name val="Arial Tur"/>
      <family val="0"/>
      <charset val="162"/>
    </font>
    <font>
      <sz val="10"/>
      <name val="Arial Tur"/>
      <family val="2"/>
      <charset val="162"/>
    </font>
    <font>
      <sz val="8.5"/>
      <name val="Arial Tur"/>
      <family val="0"/>
      <charset val="162"/>
    </font>
    <font>
      <sz val="10"/>
      <color rgb="FFFF0000"/>
      <name val="Arial Tur"/>
      <family val="0"/>
      <charset val="162"/>
    </font>
    <font>
      <sz val="11"/>
      <color rgb="FF000000"/>
      <name val="Arial Tur"/>
      <family val="0"/>
    </font>
    <font>
      <sz val="11"/>
      <color rgb="FF000000"/>
      <name val="DejaVu Sans"/>
      <family val="2"/>
    </font>
    <font>
      <sz val="11"/>
      <color rgb="FF000000"/>
      <name val="Cambria Math"/>
      <family val="0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99CC00"/>
        <bgColor rgb="FFFFCC00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double"/>
      <right style="double"/>
      <top style="double"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 style="double"/>
      <top style="thin"/>
      <bottom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 style="double"/>
      <right style="thin"/>
      <top style="double"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double"/>
      <top style="double"/>
      <bottom style="thin"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false" applyProtection="false"/>
  </cellStyleXfs>
  <cellXfs count="2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2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25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9" fillId="0" borderId="2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8" fillId="0" borderId="2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8" fillId="0" borderId="2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0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4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8" fillId="0" borderId="4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8" fillId="0" borderId="2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8" fillId="0" borderId="27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28" fillId="0" borderId="2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4" fillId="0" borderId="2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0" borderId="2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8" fillId="0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8" fillId="0" borderId="2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8" fillId="0" borderId="3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28" fillId="0" borderId="2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28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0" borderId="2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28" fillId="0" borderId="3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28" fillId="0" borderId="3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8" fillId="0" borderId="3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28" fillId="0" borderId="3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8" fillId="0" borderId="3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8" fillId="0" borderId="3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8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2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8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5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1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2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3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3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3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8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2" fillId="0" borderId="2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8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3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3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3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38" fillId="0" borderId="3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8" fillId="0" borderId="2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5" fontId="28" fillId="0" borderId="2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5" fontId="28" fillId="0" borderId="2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28" fillId="0" borderId="2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1" fontId="2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2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4" xfId="2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" xfId="2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4" xfId="2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39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4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4" xfId="2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2" borderId="4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" fillId="2" borderId="4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72" fontId="17" fillId="0" borderId="4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4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4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4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2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2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6" xfId="2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Yüzde 2" xfId="21"/>
  </cellStyles>
  <dxfs count="27"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externalLink" Target="externalLinks/externalLink1.xml"/><Relationship Id="rId1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261360</xdr:colOff>
      <xdr:row>1</xdr:row>
      <xdr:rowOff>37800</xdr:rowOff>
    </xdr:from>
    <xdr:to>
      <xdr:col>0</xdr:col>
      <xdr:colOff>1379880</xdr:colOff>
      <xdr:row>5</xdr:row>
      <xdr:rowOff>9360</xdr:rowOff>
    </xdr:to>
    <xdr:pic>
      <xdr:nvPicPr>
        <xdr:cNvPr id="0" name="Resim 1" descr=""/>
        <xdr:cNvPicPr/>
      </xdr:nvPicPr>
      <xdr:blipFill>
        <a:blip r:embed="rId1"/>
        <a:stretch/>
      </xdr:blipFill>
      <xdr:spPr>
        <a:xfrm>
          <a:off x="261360" y="247320"/>
          <a:ext cx="1118520" cy="1200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62280</xdr:colOff>
      <xdr:row>3</xdr:row>
      <xdr:rowOff>142920</xdr:rowOff>
    </xdr:to>
    <xdr:pic>
      <xdr:nvPicPr>
        <xdr:cNvPr id="1" name="Resim 1" descr=""/>
        <xdr:cNvPicPr/>
      </xdr:nvPicPr>
      <xdr:blipFill>
        <a:blip r:embed="rId1"/>
        <a:stretch/>
      </xdr:blipFill>
      <xdr:spPr>
        <a:xfrm>
          <a:off x="0" y="0"/>
          <a:ext cx="443880" cy="476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442800</xdr:colOff>
      <xdr:row>2</xdr:row>
      <xdr:rowOff>152640</xdr:rowOff>
    </xdr:to>
    <xdr:pic>
      <xdr:nvPicPr>
        <xdr:cNvPr id="2" name="Resim 1" descr=""/>
        <xdr:cNvPicPr/>
      </xdr:nvPicPr>
      <xdr:blipFill>
        <a:blip r:embed="rId1"/>
        <a:stretch/>
      </xdr:blipFill>
      <xdr:spPr>
        <a:xfrm>
          <a:off x="0" y="0"/>
          <a:ext cx="442800" cy="476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181440</xdr:colOff>
      <xdr:row>17</xdr:row>
      <xdr:rowOff>152280</xdr:rowOff>
    </xdr:from>
    <xdr:to>
      <xdr:col>4</xdr:col>
      <xdr:colOff>191160</xdr:colOff>
      <xdr:row>19</xdr:row>
      <xdr:rowOff>47520</xdr:rowOff>
    </xdr:to>
    <xdr:sp>
      <xdr:nvSpPr>
        <xdr:cNvPr id="3" name="Metin kutusu 1"/>
        <xdr:cNvSpPr/>
      </xdr:nvSpPr>
      <xdr:spPr>
        <a:xfrm>
          <a:off x="3602880" y="2895480"/>
          <a:ext cx="1781280" cy="352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t">
          <a:noAutofit/>
        </a:bodyPr>
        <a:p>
          <a:r>
            <a:rPr b="0" lang="en-US" sz="1100" spc="-1" strike="noStrike">
              <a:solidFill>
                <a:srgbClr val="000000"/>
              </a:solidFill>
              <a:latin typeface="Arial Tur"/>
            </a:rPr>
            <a:t>Th1 + ( q"/8,92 ) </a:t>
          </a:r>
          <a:r>
            <a:rPr b="0" lang="zh-CN" sz="1100" spc="-1" strike="noStrike">
              <a:solidFill>
                <a:srgbClr val="000000"/>
              </a:solidFill>
              <a:latin typeface="Cambria Math"/>
            </a:rPr>
            <a:t>〖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^(1/1,1)</a:t>
          </a:r>
          <a:r>
            <a:rPr b="0" lang="zh-CN" sz="1100" spc="-1" strike="noStrike">
              <a:solidFill>
                <a:srgbClr val="000000"/>
              </a:solidFill>
              <a:latin typeface="Cambria Math"/>
            </a:rPr>
            <a:t>〗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3</xdr:col>
      <xdr:colOff>181440</xdr:colOff>
      <xdr:row>47</xdr:row>
      <xdr:rowOff>0</xdr:rowOff>
    </xdr:from>
    <xdr:to>
      <xdr:col>4</xdr:col>
      <xdr:colOff>201240</xdr:colOff>
      <xdr:row>49</xdr:row>
      <xdr:rowOff>9360</xdr:rowOff>
    </xdr:to>
    <xdr:sp>
      <xdr:nvSpPr>
        <xdr:cNvPr id="4" name="Metin kutusu 3"/>
        <xdr:cNvSpPr/>
      </xdr:nvSpPr>
      <xdr:spPr>
        <a:xfrm>
          <a:off x="3602880" y="7715160"/>
          <a:ext cx="1791360" cy="333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181440</xdr:colOff>
      <xdr:row>17</xdr:row>
      <xdr:rowOff>152280</xdr:rowOff>
    </xdr:from>
    <xdr:to>
      <xdr:col>4</xdr:col>
      <xdr:colOff>191160</xdr:colOff>
      <xdr:row>19</xdr:row>
      <xdr:rowOff>47520</xdr:rowOff>
    </xdr:to>
    <xdr:sp>
      <xdr:nvSpPr>
        <xdr:cNvPr id="5" name="Metin kutusu 1"/>
        <xdr:cNvSpPr/>
      </xdr:nvSpPr>
      <xdr:spPr>
        <a:xfrm>
          <a:off x="3602880" y="2895480"/>
          <a:ext cx="1781280" cy="352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t">
          <a:noAutofit/>
        </a:bodyPr>
        <a:p>
          <a:r>
            <a:rPr b="0" lang="en-US" sz="1100" spc="-1" strike="noStrike">
              <a:solidFill>
                <a:srgbClr val="000000"/>
              </a:solidFill>
              <a:latin typeface="Arial Tur"/>
            </a:rPr>
            <a:t>Th1 + ( q"/8,92 ) </a:t>
          </a:r>
          <a:r>
            <a:rPr b="0" lang="zh-CN" sz="1100" spc="-1" strike="noStrike">
              <a:solidFill>
                <a:srgbClr val="000000"/>
              </a:solidFill>
              <a:latin typeface="Cambria Math"/>
            </a:rPr>
            <a:t>〖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^(1/1,1)</a:t>
          </a:r>
          <a:r>
            <a:rPr b="0" lang="zh-CN" sz="1100" spc="-1" strike="noStrike">
              <a:solidFill>
                <a:srgbClr val="000000"/>
              </a:solidFill>
              <a:latin typeface="Cambria Math"/>
            </a:rPr>
            <a:t>〗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3</xdr:col>
      <xdr:colOff>181440</xdr:colOff>
      <xdr:row>47</xdr:row>
      <xdr:rowOff>0</xdr:rowOff>
    </xdr:from>
    <xdr:to>
      <xdr:col>4</xdr:col>
      <xdr:colOff>201240</xdr:colOff>
      <xdr:row>49</xdr:row>
      <xdr:rowOff>9360</xdr:rowOff>
    </xdr:to>
    <xdr:sp>
      <xdr:nvSpPr>
        <xdr:cNvPr id="6" name="Metin kutusu 2"/>
        <xdr:cNvSpPr/>
      </xdr:nvSpPr>
      <xdr:spPr>
        <a:xfrm>
          <a:off x="3602880" y="7715160"/>
          <a:ext cx="1791360" cy="333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Users/user/Desktop/dcm/PROJE/MEKAN&#304;K%20HESAPLAR/MEKAN&#304;K%20HESAPLAR%20KOMB&#304;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kapak"/>
      <sheetName val="TEKNİK RAPOR"/>
      <sheetName val="TEKNİK RAPOR (2)"/>
      <sheetName val="ZEMİN"/>
      <sheetName val="1 NK"/>
      <sheetName val="PETEK LİST"/>
      <sheetName val="TAHHÜTNAME"/>
      <sheetName val="FENNİ MESUL"/>
      <sheetName val="HİDRAFOR HESABI ÜMİT"/>
      <sheetName val="Sayfa1"/>
    </sheetNames>
    <sheetDataSet>
      <sheetData sheetId="0">
        <row r="41">
          <cell r="G41">
            <v>44267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0.99"/>
    <col collapsed="false" customWidth="true" hidden="false" outlineLevel="0" max="2" min="2" style="0" width="16.13"/>
    <col collapsed="false" customWidth="true" hidden="false" outlineLevel="0" max="3" min="3" style="0" width="14.14"/>
    <col collapsed="false" customWidth="true" hidden="false" outlineLevel="0" max="4" min="4" style="0" width="11.7"/>
    <col collapsed="false" customWidth="true" hidden="false" outlineLevel="0" max="5" min="5" style="0" width="9.85"/>
    <col collapsed="false" customWidth="true" hidden="false" outlineLevel="0" max="6" min="6" style="0" width="10.56"/>
    <col collapsed="false" customWidth="true" hidden="false" outlineLevel="0" max="7" min="7" style="0" width="11.13"/>
    <col collapsed="false" customWidth="true" hidden="false" outlineLevel="0" max="8" min="8" style="0" width="7.14"/>
    <col collapsed="false" customWidth="true" hidden="false" outlineLevel="0" max="9" min="9" style="0" width="10.28"/>
  </cols>
  <sheetData>
    <row r="1" customFormat="false" ht="16.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customFormat="false" ht="26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4"/>
    </row>
    <row r="3" customFormat="false" ht="26.2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4"/>
    </row>
    <row r="4" customFormat="false" ht="18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4"/>
    </row>
    <row r="5" customFormat="false" ht="26.2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4"/>
    </row>
    <row r="6" customFormat="false" ht="26.2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4"/>
    </row>
    <row r="7" customFormat="false" ht="26.2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4"/>
    </row>
    <row r="8" customFormat="false" ht="26.2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4"/>
    </row>
    <row r="9" customFormat="false" ht="33.75" hidden="false" customHeight="true" outlineLevel="0" collapsed="false">
      <c r="A9" s="5" t="s">
        <v>2</v>
      </c>
      <c r="B9" s="6" t="s">
        <v>3</v>
      </c>
      <c r="C9" s="6"/>
      <c r="D9" s="7" t="s">
        <v>4</v>
      </c>
      <c r="E9" s="7"/>
      <c r="F9" s="8" t="s">
        <v>5</v>
      </c>
      <c r="G9" s="9" t="s">
        <v>6</v>
      </c>
      <c r="H9" s="9"/>
      <c r="I9" s="9"/>
      <c r="J9" s="4"/>
      <c r="M9" s="10"/>
    </row>
    <row r="10" customFormat="false" ht="88.5" hidden="false" customHeight="true" outlineLevel="0" collapsed="false">
      <c r="A10" s="11" t="s">
        <v>7</v>
      </c>
      <c r="B10" s="12" t="s">
        <v>8</v>
      </c>
      <c r="C10" s="12"/>
      <c r="D10" s="13" t="n">
        <v>51889</v>
      </c>
      <c r="E10" s="13"/>
      <c r="F10" s="13" t="n">
        <v>2807</v>
      </c>
      <c r="G10" s="14"/>
      <c r="H10" s="14"/>
      <c r="I10" s="14"/>
    </row>
    <row r="11" customFormat="false" ht="27.75" hidden="false" customHeight="true" outlineLevel="0" collapsed="false">
      <c r="A11" s="15" t="s">
        <v>9</v>
      </c>
      <c r="B11" s="15"/>
      <c r="C11" s="15"/>
      <c r="D11" s="15"/>
      <c r="E11" s="15"/>
      <c r="F11" s="15"/>
      <c r="G11" s="15"/>
      <c r="H11" s="15"/>
      <c r="I11" s="15"/>
    </row>
    <row r="12" customFormat="false" ht="27.75" hidden="false" customHeight="true" outlineLevel="0" collapsed="false">
      <c r="A12" s="15"/>
      <c r="B12" s="15"/>
      <c r="C12" s="15"/>
      <c r="D12" s="15"/>
      <c r="E12" s="15"/>
      <c r="F12" s="15"/>
      <c r="G12" s="15"/>
      <c r="H12" s="15"/>
      <c r="I12" s="15"/>
    </row>
    <row r="13" customFormat="false" ht="27.75" hidden="false" customHeight="true" outlineLevel="0" collapsed="false">
      <c r="A13" s="15"/>
      <c r="B13" s="15"/>
      <c r="C13" s="15"/>
      <c r="D13" s="15"/>
      <c r="E13" s="15"/>
      <c r="F13" s="15"/>
      <c r="G13" s="15"/>
      <c r="H13" s="15"/>
      <c r="I13" s="15"/>
    </row>
    <row r="14" customFormat="false" ht="12.75" hidden="false" customHeight="false" outlineLevel="0" collapsed="false">
      <c r="A14" s="16" t="s">
        <v>10</v>
      </c>
      <c r="B14" s="16"/>
      <c r="C14" s="16"/>
      <c r="D14" s="16" t="s">
        <v>11</v>
      </c>
      <c r="E14" s="16"/>
      <c r="F14" s="16"/>
      <c r="G14" s="16"/>
      <c r="H14" s="16"/>
      <c r="I14" s="16"/>
    </row>
    <row r="15" customFormat="false" ht="12.75" hidden="false" customHeight="false" outlineLevel="0" collapsed="false">
      <c r="A15" s="16"/>
      <c r="B15" s="16"/>
      <c r="C15" s="16"/>
      <c r="D15" s="16"/>
      <c r="E15" s="16"/>
      <c r="F15" s="16"/>
      <c r="G15" s="16"/>
      <c r="H15" s="16"/>
      <c r="I15" s="16"/>
    </row>
    <row r="16" customFormat="false" ht="12.75" hidden="false" customHeight="false" outlineLevel="0" collapsed="false">
      <c r="A16" s="16"/>
      <c r="B16" s="16"/>
      <c r="C16" s="16"/>
      <c r="D16" s="16"/>
      <c r="E16" s="16"/>
      <c r="F16" s="16"/>
      <c r="G16" s="16"/>
      <c r="H16" s="16"/>
      <c r="I16" s="16"/>
    </row>
    <row r="17" customFormat="false" ht="12.75" hidden="false" customHeight="false" outlineLevel="0" collapsed="false">
      <c r="A17" s="16"/>
      <c r="B17" s="16"/>
      <c r="C17" s="16"/>
      <c r="D17" s="16"/>
      <c r="E17" s="16"/>
      <c r="F17" s="16"/>
      <c r="G17" s="16"/>
      <c r="H17" s="16"/>
      <c r="I17" s="16"/>
    </row>
    <row r="18" customFormat="false" ht="12.75" hidden="false" customHeight="false" outlineLevel="0" collapsed="false">
      <c r="A18" s="16"/>
      <c r="B18" s="16"/>
      <c r="C18" s="16"/>
      <c r="D18" s="16"/>
      <c r="E18" s="16"/>
      <c r="F18" s="16"/>
      <c r="G18" s="16"/>
      <c r="H18" s="16"/>
      <c r="I18" s="16"/>
    </row>
    <row r="19" customFormat="false" ht="12.75" hidden="false" customHeight="false" outlineLevel="0" collapsed="false">
      <c r="A19" s="16"/>
      <c r="B19" s="16"/>
      <c r="C19" s="16"/>
      <c r="D19" s="16"/>
      <c r="E19" s="16"/>
      <c r="F19" s="16"/>
      <c r="G19" s="16"/>
      <c r="H19" s="16"/>
      <c r="I19" s="16"/>
    </row>
    <row r="20" customFormat="false" ht="12.75" hidden="false" customHeight="false" outlineLevel="0" collapsed="false">
      <c r="A20" s="16"/>
      <c r="B20" s="16"/>
      <c r="C20" s="16"/>
      <c r="D20" s="16"/>
      <c r="E20" s="16"/>
      <c r="F20" s="16"/>
      <c r="G20" s="16"/>
      <c r="H20" s="16"/>
      <c r="I20" s="16"/>
    </row>
    <row r="21" customFormat="false" ht="12.75" hidden="false" customHeight="false" outlineLevel="0" collapsed="false">
      <c r="A21" s="16"/>
      <c r="B21" s="16"/>
      <c r="C21" s="16"/>
      <c r="D21" s="16"/>
      <c r="E21" s="16"/>
      <c r="F21" s="16"/>
      <c r="G21" s="16"/>
      <c r="H21" s="16"/>
      <c r="I21" s="16"/>
    </row>
    <row r="22" customFormat="false" ht="27.75" hidden="false" customHeight="true" outlineLevel="0" collapsed="false">
      <c r="A22" s="16"/>
      <c r="B22" s="16"/>
      <c r="C22" s="16"/>
      <c r="D22" s="16"/>
      <c r="E22" s="16"/>
      <c r="F22" s="16"/>
      <c r="G22" s="16"/>
      <c r="H22" s="16"/>
      <c r="I22" s="16"/>
    </row>
    <row r="23" customFormat="false" ht="27.75" hidden="false" customHeight="true" outlineLevel="0" collapsed="false">
      <c r="A23" s="16"/>
      <c r="B23" s="16"/>
      <c r="C23" s="16"/>
      <c r="D23" s="16"/>
      <c r="E23" s="16"/>
      <c r="F23" s="16"/>
      <c r="G23" s="16"/>
      <c r="H23" s="16"/>
      <c r="I23" s="16"/>
    </row>
    <row r="24" customFormat="false" ht="27.75" hidden="false" customHeight="true" outlineLevel="0" collapsed="false">
      <c r="A24" s="16"/>
      <c r="B24" s="16"/>
      <c r="C24" s="16"/>
      <c r="D24" s="16"/>
      <c r="E24" s="16"/>
      <c r="F24" s="16"/>
      <c r="G24" s="16"/>
      <c r="H24" s="16"/>
      <c r="I24" s="16"/>
    </row>
    <row r="25" customFormat="false" ht="12.75" hidden="false" customHeight="false" outlineLevel="0" collapsed="false">
      <c r="A25" s="16"/>
      <c r="B25" s="16"/>
      <c r="C25" s="16"/>
      <c r="D25" s="16"/>
      <c r="E25" s="16"/>
      <c r="F25" s="16"/>
      <c r="G25" s="16"/>
      <c r="H25" s="16"/>
      <c r="I25" s="16"/>
    </row>
    <row r="26" customFormat="false" ht="6" hidden="false" customHeight="true" outlineLevel="0" collapsed="false">
      <c r="A26" s="16"/>
      <c r="B26" s="16"/>
      <c r="C26" s="16"/>
      <c r="D26" s="16"/>
      <c r="E26" s="16"/>
      <c r="F26" s="16"/>
      <c r="G26" s="16"/>
      <c r="H26" s="16"/>
      <c r="I26" s="16"/>
    </row>
    <row r="27" customFormat="false" ht="12.75" hidden="true" customHeight="true" outlineLevel="0" collapsed="false">
      <c r="A27" s="16"/>
      <c r="B27" s="16"/>
      <c r="C27" s="16"/>
      <c r="D27" s="16"/>
      <c r="E27" s="16"/>
      <c r="F27" s="16"/>
      <c r="G27" s="16"/>
      <c r="H27" s="16"/>
      <c r="I27" s="16"/>
    </row>
    <row r="28" customFormat="false" ht="12.75" hidden="true" customHeight="true" outlineLevel="0" collapsed="false">
      <c r="A28" s="16"/>
      <c r="B28" s="16"/>
      <c r="C28" s="16"/>
      <c r="D28" s="16"/>
      <c r="E28" s="16"/>
      <c r="F28" s="16"/>
      <c r="G28" s="16"/>
      <c r="H28" s="16"/>
      <c r="I28" s="16"/>
    </row>
    <row r="29" customFormat="false" ht="12.75" hidden="false" customHeight="false" outlineLevel="0" collapsed="false">
      <c r="A29" s="16"/>
      <c r="B29" s="16"/>
      <c r="C29" s="16"/>
      <c r="D29" s="16"/>
      <c r="E29" s="16"/>
      <c r="F29" s="16"/>
      <c r="G29" s="16"/>
      <c r="H29" s="16"/>
      <c r="I29" s="16"/>
    </row>
    <row r="30" customFormat="false" ht="15.75" hidden="false" customHeight="false" outlineLevel="0" collapsed="false">
      <c r="A30" s="17" t="s">
        <v>12</v>
      </c>
      <c r="B30" s="17"/>
      <c r="C30" s="17"/>
      <c r="D30" s="17"/>
      <c r="E30" s="17"/>
      <c r="F30" s="17"/>
      <c r="G30" s="17"/>
      <c r="H30" s="17"/>
      <c r="I30" s="17"/>
    </row>
    <row r="31" customFormat="false" ht="12.75" hidden="false" customHeight="false" outlineLevel="0" collapsed="false">
      <c r="A31" s="18" t="s">
        <v>13</v>
      </c>
      <c r="B31" s="18"/>
      <c r="C31" s="19" t="s">
        <v>14</v>
      </c>
      <c r="D31" s="19"/>
      <c r="E31" s="19"/>
      <c r="F31" s="19"/>
      <c r="G31" s="19"/>
      <c r="H31" s="19"/>
      <c r="I31" s="19"/>
    </row>
    <row r="32" customFormat="false" ht="12.75" hidden="false" customHeight="false" outlineLevel="0" collapsed="false">
      <c r="A32" s="18"/>
      <c r="B32" s="18"/>
      <c r="C32" s="19"/>
      <c r="D32" s="19"/>
      <c r="E32" s="19"/>
      <c r="F32" s="19"/>
      <c r="G32" s="19"/>
      <c r="H32" s="19"/>
      <c r="I32" s="19"/>
    </row>
    <row r="33" customFormat="false" ht="12.75" hidden="false" customHeight="false" outlineLevel="0" collapsed="false">
      <c r="A33" s="20"/>
      <c r="I33" s="21"/>
    </row>
    <row r="34" customFormat="false" ht="15.75" hidden="false" customHeight="false" outlineLevel="0" collapsed="false">
      <c r="A34" s="17" t="s">
        <v>15</v>
      </c>
      <c r="B34" s="17"/>
      <c r="C34" s="17"/>
      <c r="D34" s="17"/>
      <c r="E34" s="17"/>
      <c r="F34" s="17"/>
      <c r="G34" s="17"/>
      <c r="H34" s="17"/>
      <c r="I34" s="17"/>
    </row>
    <row r="35" customFormat="false" ht="12.75" hidden="false" customHeight="false" outlineLevel="0" collapsed="false">
      <c r="A35" s="22" t="s">
        <v>16</v>
      </c>
      <c r="B35" s="23" t="s">
        <v>17</v>
      </c>
      <c r="C35" s="0" t="s">
        <v>18</v>
      </c>
      <c r="D35" s="23" t="s">
        <v>19</v>
      </c>
      <c r="E35" s="7" t="s">
        <v>20</v>
      </c>
      <c r="F35" s="7"/>
      <c r="G35" s="23" t="s">
        <v>21</v>
      </c>
      <c r="H35" s="23" t="s">
        <v>22</v>
      </c>
      <c r="I35" s="24" t="s">
        <v>23</v>
      </c>
      <c r="K35" s="25"/>
    </row>
    <row r="36" customFormat="false" ht="12.75" hidden="false" customHeight="false" outlineLevel="0" collapsed="false">
      <c r="A36" s="22" t="s">
        <v>24</v>
      </c>
      <c r="B36" s="23" t="s">
        <v>24</v>
      </c>
      <c r="C36" s="23" t="str">
        <f aca="false">B36</f>
        <v>DÜZCE</v>
      </c>
      <c r="D36" s="23" t="s">
        <v>25</v>
      </c>
      <c r="E36" s="7"/>
      <c r="F36" s="7"/>
      <c r="G36" s="8" t="s">
        <v>26</v>
      </c>
      <c r="H36" s="23" t="s">
        <v>26</v>
      </c>
      <c r="I36" s="26" t="n">
        <v>982</v>
      </c>
    </row>
    <row r="37" customFormat="false" ht="12.75" hidden="false" customHeight="false" outlineLevel="0" collapsed="false">
      <c r="A37" s="20"/>
      <c r="I37" s="21"/>
    </row>
    <row r="38" customFormat="false" ht="12.75" hidden="false" customHeight="true" outlineLevel="0" collapsed="false">
      <c r="A38" s="27" t="s">
        <v>27</v>
      </c>
      <c r="B38" s="27"/>
      <c r="C38" s="27"/>
      <c r="D38" s="27"/>
      <c r="E38" s="27"/>
      <c r="F38" s="27"/>
      <c r="G38" s="27"/>
      <c r="H38" s="27"/>
      <c r="I38" s="27"/>
    </row>
    <row r="39" customFormat="false" ht="12.7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7"/>
    </row>
    <row r="40" customFormat="false" ht="38.25" hidden="false" customHeight="true" outlineLevel="0" collapsed="false">
      <c r="A40" s="28" t="s">
        <v>28</v>
      </c>
      <c r="B40" s="29" t="s">
        <v>29</v>
      </c>
      <c r="C40" s="29" t="s">
        <v>30</v>
      </c>
      <c r="D40" s="13" t="s">
        <v>31</v>
      </c>
      <c r="E40" s="13"/>
      <c r="F40" s="29" t="s">
        <v>32</v>
      </c>
      <c r="G40" s="29" t="s">
        <v>33</v>
      </c>
      <c r="H40" s="30" t="s">
        <v>34</v>
      </c>
      <c r="I40" s="30"/>
    </row>
    <row r="41" customFormat="false" ht="12.75" hidden="false" customHeight="true" outlineLevel="0" collapsed="false">
      <c r="A41" s="31" t="s">
        <v>35</v>
      </c>
      <c r="B41" s="32"/>
      <c r="C41" s="32"/>
      <c r="D41" s="33"/>
      <c r="E41" s="33"/>
      <c r="F41" s="32"/>
      <c r="G41" s="34" t="n">
        <v>44211</v>
      </c>
      <c r="H41" s="35" t="s">
        <v>36</v>
      </c>
      <c r="I41" s="35"/>
    </row>
    <row r="42" customFormat="false" ht="13.5" hidden="false" customHeight="false" outlineLevel="0" collapsed="false">
      <c r="A42" s="31"/>
      <c r="B42" s="32"/>
      <c r="C42" s="32"/>
      <c r="D42" s="33"/>
      <c r="E42" s="33"/>
      <c r="F42" s="32"/>
      <c r="G42" s="34"/>
      <c r="H42" s="35"/>
      <c r="I42" s="35"/>
    </row>
    <row r="43" customFormat="false" ht="13.5" hidden="false" customHeight="false" outlineLevel="0" collapsed="false"/>
  </sheetData>
  <mergeCells count="27">
    <mergeCell ref="A1:I1"/>
    <mergeCell ref="A2:I8"/>
    <mergeCell ref="B9:C9"/>
    <mergeCell ref="D9:E9"/>
    <mergeCell ref="G9:I9"/>
    <mergeCell ref="B10:C10"/>
    <mergeCell ref="D10:E10"/>
    <mergeCell ref="G10:I10"/>
    <mergeCell ref="A11:I13"/>
    <mergeCell ref="A14:C29"/>
    <mergeCell ref="D14:I29"/>
    <mergeCell ref="A30:I30"/>
    <mergeCell ref="A31:B32"/>
    <mergeCell ref="C31:I32"/>
    <mergeCell ref="A34:I34"/>
    <mergeCell ref="E35:F35"/>
    <mergeCell ref="E36:F36"/>
    <mergeCell ref="A38:I39"/>
    <mergeCell ref="D40:E40"/>
    <mergeCell ref="H40:I40"/>
    <mergeCell ref="A41:A42"/>
    <mergeCell ref="B41:B42"/>
    <mergeCell ref="C41:C42"/>
    <mergeCell ref="D41:E42"/>
    <mergeCell ref="F41:F42"/>
    <mergeCell ref="G41:G42"/>
    <mergeCell ref="H41:I42"/>
  </mergeCells>
  <printOptions headings="false" gridLines="false" gridLinesSet="true" horizontalCentered="false" verticalCentered="false"/>
  <pageMargins left="0.157638888888889" right="0.157638888888889" top="0.479861111111111" bottom="0.1576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6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selection pane="topLeft" activeCell="F24" activeCellId="0" sqref="F24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4.99"/>
    <col collapsed="false" customWidth="true" hidden="false" outlineLevel="0" max="2" min="2" style="0" width="12.14"/>
    <col collapsed="false" customWidth="true" hidden="false" outlineLevel="0" max="4" min="3" style="0" width="10.28"/>
    <col collapsed="false" customWidth="true" hidden="false" outlineLevel="0" max="6" min="6" style="0" width="22.85"/>
    <col collapsed="false" customWidth="true" hidden="false" outlineLevel="0" max="7" min="7" style="0" width="22.7"/>
    <col collapsed="false" customWidth="true" hidden="false" outlineLevel="0" max="8" min="8" style="0" width="14.85"/>
    <col collapsed="false" customWidth="true" hidden="false" outlineLevel="0" max="9" min="9" style="0" width="17.56"/>
  </cols>
  <sheetData>
    <row r="1" customFormat="false" ht="12" hidden="false" customHeight="true" outlineLevel="0" collapsed="false">
      <c r="A1" s="36" t="s">
        <v>37</v>
      </c>
      <c r="B1" s="36"/>
      <c r="C1" s="36"/>
      <c r="D1" s="36"/>
      <c r="E1" s="36"/>
      <c r="F1" s="36"/>
      <c r="G1" s="37" t="s">
        <v>38</v>
      </c>
      <c r="H1" s="38" t="n">
        <v>1</v>
      </c>
    </row>
    <row r="2" customFormat="false" ht="12" hidden="false" customHeight="true" outlineLevel="0" collapsed="false">
      <c r="A2" s="36"/>
      <c r="B2" s="36"/>
      <c r="C2" s="36"/>
      <c r="D2" s="36"/>
      <c r="E2" s="36"/>
      <c r="F2" s="36"/>
      <c r="G2" s="37"/>
      <c r="H2" s="38"/>
    </row>
    <row r="3" customFormat="false" ht="17.25" hidden="false" customHeight="true" outlineLevel="0" collapsed="false">
      <c r="A3" s="39" t="s">
        <v>39</v>
      </c>
      <c r="B3" s="39"/>
      <c r="C3" s="40" t="str">
        <f aca="false">kapak!C31</f>
        <v>MEHMET DAL - A-B-C-D BLOK</v>
      </c>
      <c r="D3" s="40"/>
      <c r="E3" s="40"/>
      <c r="F3" s="40"/>
      <c r="G3" s="7" t="s">
        <v>33</v>
      </c>
      <c r="H3" s="41" t="n">
        <f aca="false">kapak!G41</f>
        <v>44211</v>
      </c>
    </row>
    <row r="4" customFormat="false" ht="17.25" hidden="false" customHeight="true" outlineLevel="0" collapsed="false">
      <c r="A4" s="39" t="s">
        <v>40</v>
      </c>
      <c r="B4" s="39"/>
      <c r="C4" s="40" t="str">
        <f aca="false">kapak!B10</f>
        <v>ÜMİT ÇAVUŞOĞLU</v>
      </c>
      <c r="D4" s="40"/>
      <c r="E4" s="40"/>
      <c r="F4" s="40"/>
      <c r="G4" s="7"/>
      <c r="H4" s="41"/>
    </row>
    <row r="5" customFormat="false" ht="18" hidden="false" customHeight="false" outlineLevel="0" collapsed="false">
      <c r="A5" s="20"/>
      <c r="B5" s="42"/>
      <c r="C5" s="42"/>
      <c r="D5" s="42"/>
      <c r="E5" s="42"/>
      <c r="F5" s="42"/>
      <c r="G5" s="42"/>
      <c r="H5" s="43"/>
      <c r="I5" s="42"/>
    </row>
    <row r="6" customFormat="false" ht="15.75" hidden="false" customHeight="false" outlineLevel="0" collapsed="false">
      <c r="A6" s="44"/>
      <c r="B6" s="45"/>
      <c r="C6" s="45"/>
      <c r="D6" s="45"/>
      <c r="E6" s="45"/>
      <c r="F6" s="45"/>
      <c r="G6" s="45"/>
      <c r="H6" s="46"/>
      <c r="I6" s="45"/>
    </row>
    <row r="7" customFormat="false" ht="15" hidden="false" customHeight="false" outlineLevel="0" collapsed="false">
      <c r="A7" s="44" t="s">
        <v>41</v>
      </c>
      <c r="B7" s="47" t="s">
        <v>42</v>
      </c>
      <c r="C7" s="47"/>
      <c r="D7" s="47"/>
      <c r="E7" s="47"/>
      <c r="F7" s="47"/>
      <c r="G7" s="47"/>
      <c r="H7" s="48"/>
      <c r="I7" s="47"/>
    </row>
    <row r="8" customFormat="false" ht="15.75" hidden="false" customHeight="false" outlineLevel="0" collapsed="false">
      <c r="A8" s="44"/>
      <c r="B8" s="49" t="s">
        <v>43</v>
      </c>
      <c r="D8" s="47"/>
      <c r="E8" s="50" t="str">
        <f aca="false">kapak!B36</f>
        <v>DÜZCE</v>
      </c>
      <c r="F8" s="47" t="s">
        <v>44</v>
      </c>
      <c r="G8" s="47"/>
      <c r="H8" s="48"/>
      <c r="I8" s="47"/>
    </row>
    <row r="9" customFormat="false" ht="15.75" hidden="false" customHeight="false" outlineLevel="0" collapsed="false">
      <c r="A9" s="44"/>
      <c r="B9" s="49" t="s">
        <v>45</v>
      </c>
      <c r="E9" s="51" t="s">
        <v>46</v>
      </c>
      <c r="F9" s="52" t="s">
        <v>47</v>
      </c>
      <c r="G9" s="47"/>
      <c r="H9" s="48"/>
      <c r="I9" s="47"/>
    </row>
    <row r="10" customFormat="false" ht="15.75" hidden="false" customHeight="false" outlineLevel="0" collapsed="false">
      <c r="A10" s="44"/>
      <c r="B10" s="49" t="s">
        <v>48</v>
      </c>
      <c r="D10" s="47"/>
      <c r="E10" s="47" t="s">
        <v>49</v>
      </c>
      <c r="F10" s="47"/>
      <c r="G10" s="47"/>
      <c r="H10" s="48"/>
      <c r="I10" s="47"/>
    </row>
    <row r="11" customFormat="false" ht="15.75" hidden="false" customHeight="false" outlineLevel="0" collapsed="false">
      <c r="A11" s="44"/>
      <c r="B11" s="49" t="s">
        <v>50</v>
      </c>
      <c r="D11" s="47"/>
      <c r="E11" s="47" t="s">
        <v>51</v>
      </c>
      <c r="F11" s="47"/>
      <c r="G11" s="47"/>
      <c r="H11" s="48"/>
      <c r="I11" s="47"/>
      <c r="K11" s="53"/>
      <c r="L11" s="53"/>
      <c r="M11" s="53"/>
      <c r="N11" s="53"/>
    </row>
    <row r="12" customFormat="false" ht="15.75" hidden="false" customHeight="false" outlineLevel="0" collapsed="false">
      <c r="A12" s="44"/>
      <c r="B12" s="49" t="s">
        <v>52</v>
      </c>
      <c r="D12" s="47"/>
      <c r="E12" s="47" t="s">
        <v>53</v>
      </c>
      <c r="F12" s="47"/>
      <c r="G12" s="47"/>
      <c r="H12" s="48"/>
      <c r="I12" s="47"/>
      <c r="K12" s="53"/>
      <c r="L12" s="53"/>
      <c r="M12" s="53"/>
      <c r="N12" s="53"/>
    </row>
    <row r="13" customFormat="false" ht="15.75" hidden="false" customHeight="false" outlineLevel="0" collapsed="false">
      <c r="A13" s="44"/>
      <c r="B13" s="49" t="s">
        <v>54</v>
      </c>
      <c r="D13" s="47"/>
      <c r="E13" s="47" t="s">
        <v>55</v>
      </c>
      <c r="F13" s="47"/>
      <c r="G13" s="47"/>
      <c r="H13" s="48"/>
      <c r="I13" s="47"/>
      <c r="K13" s="53"/>
      <c r="L13" s="53"/>
      <c r="M13" s="53"/>
      <c r="N13" s="53"/>
    </row>
    <row r="14" customFormat="false" ht="31.5" hidden="false" customHeight="true" outlineLevel="0" collapsed="false">
      <c r="A14" s="44"/>
      <c r="B14" s="54" t="s">
        <v>56</v>
      </c>
      <c r="C14" s="54"/>
      <c r="D14" s="54"/>
      <c r="E14" s="47" t="s">
        <v>57</v>
      </c>
      <c r="F14" s="47"/>
      <c r="G14" s="47"/>
      <c r="H14" s="48"/>
      <c r="I14" s="47"/>
    </row>
    <row r="15" customFormat="false" ht="15.75" hidden="false" customHeight="false" outlineLevel="0" collapsed="false">
      <c r="A15" s="44"/>
      <c r="B15" s="49" t="s">
        <v>58</v>
      </c>
      <c r="D15" s="47"/>
      <c r="E15" s="47" t="s">
        <v>59</v>
      </c>
      <c r="F15" s="47"/>
      <c r="G15" s="47"/>
      <c r="H15" s="48"/>
      <c r="I15" s="47"/>
    </row>
    <row r="16" customFormat="false" ht="15.75" hidden="false" customHeight="false" outlineLevel="0" collapsed="false">
      <c r="A16" s="44"/>
      <c r="B16" s="49" t="s">
        <v>60</v>
      </c>
      <c r="D16" s="47"/>
      <c r="E16" s="47" t="s">
        <v>61</v>
      </c>
      <c r="F16" s="47"/>
      <c r="G16" s="47"/>
      <c r="H16" s="48"/>
      <c r="I16" s="47"/>
    </row>
    <row r="17" customFormat="false" ht="15.75" hidden="false" customHeight="false" outlineLevel="0" collapsed="false">
      <c r="A17" s="44"/>
      <c r="B17" s="49" t="s">
        <v>62</v>
      </c>
      <c r="C17" s="47"/>
      <c r="D17" s="47"/>
      <c r="E17" s="47" t="s">
        <v>63</v>
      </c>
      <c r="F17" s="47"/>
      <c r="G17" s="47"/>
      <c r="H17" s="48"/>
      <c r="I17" s="47"/>
    </row>
    <row r="18" customFormat="false" ht="15.75" hidden="false" customHeight="false" outlineLevel="0" collapsed="false">
      <c r="A18" s="44"/>
      <c r="B18" s="49" t="s">
        <v>64</v>
      </c>
      <c r="C18" s="47"/>
      <c r="D18" s="47"/>
      <c r="E18" s="51" t="s">
        <v>65</v>
      </c>
      <c r="F18" s="47"/>
      <c r="G18" s="47"/>
      <c r="H18" s="48"/>
      <c r="I18" s="47"/>
    </row>
    <row r="19" customFormat="false" ht="15.75" hidden="false" customHeight="false" outlineLevel="0" collapsed="false">
      <c r="A19" s="44"/>
      <c r="B19" s="49"/>
      <c r="C19" s="47"/>
      <c r="D19" s="47"/>
      <c r="E19" s="47"/>
      <c r="F19" s="47"/>
      <c r="G19" s="47"/>
      <c r="H19" s="48"/>
      <c r="I19" s="47"/>
    </row>
    <row r="20" customFormat="false" ht="15.75" hidden="false" customHeight="false" outlineLevel="0" collapsed="false">
      <c r="A20" s="44" t="s">
        <v>66</v>
      </c>
      <c r="B20" s="49" t="s">
        <v>67</v>
      </c>
      <c r="C20" s="47"/>
      <c r="D20" s="47"/>
      <c r="E20" s="47"/>
      <c r="F20" s="47"/>
      <c r="G20" s="47"/>
      <c r="H20" s="48"/>
      <c r="I20" s="47"/>
    </row>
    <row r="21" customFormat="false" ht="15" hidden="false" customHeight="false" outlineLevel="0" collapsed="false">
      <c r="A21" s="44"/>
      <c r="B21" s="47" t="s">
        <v>68</v>
      </c>
      <c r="F21" s="51" t="s">
        <v>69</v>
      </c>
      <c r="H21" s="55"/>
      <c r="I21" s="47"/>
    </row>
    <row r="22" customFormat="false" ht="15" hidden="false" customHeight="false" outlineLevel="0" collapsed="false">
      <c r="A22" s="44"/>
      <c r="B22" s="47" t="s">
        <v>70</v>
      </c>
      <c r="F22" s="51" t="s">
        <v>71</v>
      </c>
      <c r="H22" s="55"/>
      <c r="I22" s="47"/>
    </row>
    <row r="23" customFormat="false" ht="15" hidden="false" customHeight="false" outlineLevel="0" collapsed="false">
      <c r="A23" s="44"/>
      <c r="B23" s="47" t="s">
        <v>72</v>
      </c>
      <c r="F23" s="51" t="s">
        <v>71</v>
      </c>
      <c r="H23" s="55"/>
      <c r="I23" s="47"/>
    </row>
    <row r="24" customFormat="false" ht="15" hidden="false" customHeight="false" outlineLevel="0" collapsed="false">
      <c r="A24" s="44"/>
      <c r="B24" s="47" t="s">
        <v>73</v>
      </c>
      <c r="F24" s="51" t="s">
        <v>74</v>
      </c>
      <c r="H24" s="55"/>
      <c r="I24" s="47"/>
    </row>
    <row r="25" customFormat="false" ht="15" hidden="false" customHeight="false" outlineLevel="0" collapsed="false">
      <c r="A25" s="44"/>
      <c r="B25" s="47" t="s">
        <v>75</v>
      </c>
      <c r="F25" s="51" t="s">
        <v>76</v>
      </c>
      <c r="H25" s="55"/>
      <c r="I25" s="47"/>
    </row>
    <row r="26" customFormat="false" ht="15" hidden="false" customHeight="false" outlineLevel="0" collapsed="false">
      <c r="A26" s="44"/>
      <c r="B26" s="47"/>
      <c r="F26" s="56" t="s">
        <v>77</v>
      </c>
      <c r="H26" s="55"/>
      <c r="I26" s="47"/>
    </row>
    <row r="27" customFormat="false" ht="15" hidden="false" customHeight="false" outlineLevel="0" collapsed="false">
      <c r="A27" s="44"/>
      <c r="B27" s="47"/>
      <c r="F27" s="56" t="s">
        <v>78</v>
      </c>
      <c r="H27" s="55"/>
      <c r="I27" s="47"/>
    </row>
    <row r="28" customFormat="false" ht="15" hidden="false" customHeight="false" outlineLevel="0" collapsed="false">
      <c r="A28" s="44"/>
      <c r="B28" s="47"/>
      <c r="F28" s="56" t="s">
        <v>79</v>
      </c>
      <c r="H28" s="55"/>
      <c r="I28" s="47"/>
    </row>
    <row r="29" customFormat="false" ht="15" hidden="false" customHeight="false" outlineLevel="0" collapsed="false">
      <c r="A29" s="44"/>
      <c r="B29" s="47" t="s">
        <v>80</v>
      </c>
      <c r="F29" s="51" t="s">
        <v>81</v>
      </c>
      <c r="H29" s="55"/>
      <c r="I29" s="47"/>
    </row>
    <row r="30" customFormat="false" ht="15" hidden="false" customHeight="false" outlineLevel="0" collapsed="false">
      <c r="A30" s="44"/>
      <c r="B30" s="47" t="s">
        <v>82</v>
      </c>
      <c r="F30" s="51" t="s">
        <v>83</v>
      </c>
      <c r="H30" s="55"/>
      <c r="I30" s="47"/>
    </row>
    <row r="31" customFormat="false" ht="15" hidden="false" customHeight="false" outlineLevel="0" collapsed="false">
      <c r="A31" s="44"/>
      <c r="B31" s="47" t="s">
        <v>84</v>
      </c>
      <c r="F31" s="51" t="s">
        <v>85</v>
      </c>
      <c r="H31" s="55"/>
      <c r="I31" s="47"/>
    </row>
    <row r="32" customFormat="false" ht="15" hidden="false" customHeight="false" outlineLevel="0" collapsed="false">
      <c r="A32" s="44"/>
      <c r="B32" s="47"/>
      <c r="D32" s="51"/>
      <c r="E32" s="47"/>
      <c r="F32" s="47"/>
      <c r="H32" s="55"/>
      <c r="I32" s="47"/>
    </row>
    <row r="33" customFormat="false" ht="15.75" hidden="false" customHeight="false" outlineLevel="0" collapsed="false">
      <c r="A33" s="44" t="s">
        <v>86</v>
      </c>
      <c r="B33" s="49" t="s">
        <v>87</v>
      </c>
      <c r="C33" s="51"/>
      <c r="D33" s="51"/>
      <c r="E33" s="47"/>
      <c r="F33" s="47"/>
      <c r="G33" s="47"/>
      <c r="H33" s="48"/>
      <c r="I33" s="47"/>
    </row>
    <row r="34" customFormat="false" ht="15.75" hidden="false" customHeight="false" outlineLevel="0" collapsed="false">
      <c r="A34" s="44"/>
      <c r="B34" s="49"/>
      <c r="C34" s="51"/>
      <c r="D34" s="51"/>
      <c r="H34" s="21"/>
    </row>
    <row r="35" customFormat="false" ht="15" hidden="false" customHeight="false" outlineLevel="0" collapsed="false">
      <c r="A35" s="44"/>
      <c r="B35" s="47" t="s">
        <v>88</v>
      </c>
      <c r="E35" s="0" t="s">
        <v>89</v>
      </c>
      <c r="F35" s="51" t="n">
        <v>0.479</v>
      </c>
      <c r="G35" s="57" t="s">
        <v>90</v>
      </c>
      <c r="H35" s="21"/>
    </row>
    <row r="36" customFormat="false" ht="15" hidden="false" customHeight="false" outlineLevel="0" collapsed="false">
      <c r="A36" s="44"/>
      <c r="B36" s="47" t="s">
        <v>91</v>
      </c>
      <c r="E36" s="0" t="s">
        <v>89</v>
      </c>
      <c r="F36" s="51" t="n">
        <v>0.577</v>
      </c>
      <c r="G36" s="57" t="s">
        <v>90</v>
      </c>
      <c r="H36" s="21"/>
    </row>
    <row r="37" customFormat="false" ht="15" hidden="false" customHeight="false" outlineLevel="0" collapsed="false">
      <c r="A37" s="44"/>
      <c r="B37" s="47" t="s">
        <v>92</v>
      </c>
      <c r="E37" s="0" t="s">
        <v>89</v>
      </c>
      <c r="F37" s="51" t="n">
        <v>0.577</v>
      </c>
      <c r="G37" s="57" t="s">
        <v>90</v>
      </c>
      <c r="H37" s="21"/>
    </row>
    <row r="38" customFormat="false" ht="15" hidden="false" customHeight="false" outlineLevel="0" collapsed="false">
      <c r="A38" s="44"/>
      <c r="B38" s="47" t="s">
        <v>93</v>
      </c>
      <c r="E38" s="0" t="s">
        <v>89</v>
      </c>
      <c r="F38" s="51" t="n">
        <v>3.5</v>
      </c>
      <c r="G38" s="57" t="s">
        <v>90</v>
      </c>
      <c r="H38" s="21"/>
    </row>
    <row r="39" customFormat="false" ht="15" hidden="false" customHeight="false" outlineLevel="0" collapsed="false">
      <c r="A39" s="44"/>
      <c r="B39" s="47" t="s">
        <v>94</v>
      </c>
      <c r="E39" s="0" t="s">
        <v>89</v>
      </c>
      <c r="F39" s="51" t="n">
        <v>2.4</v>
      </c>
      <c r="G39" s="57" t="s">
        <v>90</v>
      </c>
      <c r="H39" s="21"/>
    </row>
    <row r="40" customFormat="false" ht="15" hidden="false" customHeight="false" outlineLevel="0" collapsed="false">
      <c r="A40" s="44"/>
      <c r="B40" s="47" t="s">
        <v>95</v>
      </c>
      <c r="E40" s="0" t="s">
        <v>89</v>
      </c>
      <c r="F40" s="51" t="n">
        <v>0.561</v>
      </c>
      <c r="G40" s="57" t="s">
        <v>90</v>
      </c>
      <c r="H40" s="21"/>
    </row>
    <row r="41" customFormat="false" ht="15" hidden="false" customHeight="false" outlineLevel="0" collapsed="false">
      <c r="A41" s="44"/>
      <c r="B41" s="47" t="s">
        <v>96</v>
      </c>
      <c r="E41" s="0" t="s">
        <v>89</v>
      </c>
      <c r="F41" s="51" t="n">
        <v>0</v>
      </c>
      <c r="G41" s="57" t="s">
        <v>90</v>
      </c>
      <c r="H41" s="21"/>
    </row>
    <row r="42" customFormat="false" ht="15" hidden="false" customHeight="false" outlineLevel="0" collapsed="false">
      <c r="A42" s="44"/>
      <c r="B42" s="47" t="s">
        <v>97</v>
      </c>
      <c r="E42" s="0" t="s">
        <v>89</v>
      </c>
      <c r="F42" s="51" t="n">
        <v>0</v>
      </c>
      <c r="G42" s="57" t="s">
        <v>90</v>
      </c>
      <c r="H42" s="21"/>
    </row>
    <row r="43" customFormat="false" ht="15" hidden="false" customHeight="false" outlineLevel="0" collapsed="false">
      <c r="A43" s="44"/>
      <c r="B43" s="47" t="s">
        <v>98</v>
      </c>
      <c r="E43" s="0" t="s">
        <v>89</v>
      </c>
      <c r="F43" s="51" t="n">
        <v>0.269</v>
      </c>
      <c r="G43" s="57" t="s">
        <v>90</v>
      </c>
      <c r="H43" s="21"/>
    </row>
    <row r="44" customFormat="false" ht="15" hidden="false" customHeight="false" outlineLevel="0" collapsed="false">
      <c r="A44" s="44"/>
      <c r="B44" s="47" t="s">
        <v>99</v>
      </c>
      <c r="E44" s="0" t="s">
        <v>89</v>
      </c>
      <c r="F44" s="51" t="n">
        <v>0.318</v>
      </c>
      <c r="G44" s="57" t="s">
        <v>90</v>
      </c>
      <c r="H44" s="21"/>
    </row>
    <row r="45" customFormat="false" ht="15" hidden="false" customHeight="false" outlineLevel="0" collapsed="false">
      <c r="A45" s="44"/>
      <c r="B45" s="47" t="s">
        <v>100</v>
      </c>
      <c r="E45" s="0" t="s">
        <v>89</v>
      </c>
      <c r="F45" s="51" t="n">
        <v>0.327</v>
      </c>
      <c r="G45" s="57" t="s">
        <v>90</v>
      </c>
      <c r="H45" s="21"/>
    </row>
    <row r="46" customFormat="false" ht="15" hidden="false" customHeight="false" outlineLevel="0" collapsed="false">
      <c r="A46" s="44"/>
      <c r="B46" s="47" t="s">
        <v>101</v>
      </c>
      <c r="C46" s="58"/>
      <c r="D46" s="57"/>
      <c r="E46" s="0" t="s">
        <v>89</v>
      </c>
      <c r="F46" s="51" t="n">
        <v>0</v>
      </c>
      <c r="G46" s="57" t="s">
        <v>90</v>
      </c>
      <c r="H46" s="21"/>
    </row>
    <row r="47" customFormat="false" ht="15" hidden="false" customHeight="false" outlineLevel="0" collapsed="false">
      <c r="A47" s="44"/>
      <c r="B47" s="47" t="s">
        <v>102</v>
      </c>
      <c r="C47" s="58"/>
      <c r="D47" s="57"/>
      <c r="E47" s="0" t="s">
        <v>89</v>
      </c>
      <c r="F47" s="51" t="n">
        <v>0</v>
      </c>
      <c r="G47" s="57" t="s">
        <v>90</v>
      </c>
      <c r="H47" s="21"/>
    </row>
    <row r="48" customFormat="false" ht="15" hidden="false" customHeight="false" outlineLevel="0" collapsed="false">
      <c r="A48" s="44"/>
      <c r="B48" s="47" t="s">
        <v>103</v>
      </c>
      <c r="C48" s="58"/>
      <c r="D48" s="57"/>
      <c r="E48" s="0" t="s">
        <v>89</v>
      </c>
      <c r="F48" s="51" t="n">
        <v>0.814</v>
      </c>
      <c r="G48" s="57" t="s">
        <v>90</v>
      </c>
      <c r="H48" s="21"/>
    </row>
    <row r="49" customFormat="false" ht="15.75" hidden="false" customHeight="false" outlineLevel="0" collapsed="false">
      <c r="A49" s="44"/>
      <c r="B49" s="49" t="s">
        <v>104</v>
      </c>
      <c r="D49" s="57"/>
      <c r="H49" s="21"/>
    </row>
    <row r="50" customFormat="false" ht="15" hidden="false" customHeight="false" outlineLevel="0" collapsed="false">
      <c r="A50" s="44"/>
      <c r="B50" s="47" t="s">
        <v>105</v>
      </c>
      <c r="D50" s="57"/>
      <c r="E50" s="51" t="s">
        <v>106</v>
      </c>
      <c r="H50" s="21"/>
    </row>
    <row r="51" customFormat="false" ht="15" hidden="false" customHeight="false" outlineLevel="0" collapsed="false">
      <c r="A51" s="44"/>
      <c r="B51" s="47" t="s">
        <v>107</v>
      </c>
      <c r="D51" s="57"/>
      <c r="E51" s="51" t="s">
        <v>108</v>
      </c>
      <c r="H51" s="21"/>
    </row>
    <row r="52" customFormat="false" ht="15" hidden="false" customHeight="false" outlineLevel="0" collapsed="false">
      <c r="A52" s="44"/>
      <c r="B52" s="47" t="s">
        <v>109</v>
      </c>
      <c r="E52" s="51" t="s">
        <v>110</v>
      </c>
      <c r="H52" s="21"/>
    </row>
    <row r="53" customFormat="false" ht="15" hidden="false" customHeight="false" outlineLevel="0" collapsed="false">
      <c r="A53" s="44"/>
      <c r="B53" s="47" t="s">
        <v>111</v>
      </c>
      <c r="E53" s="51" t="s">
        <v>112</v>
      </c>
      <c r="H53" s="21"/>
    </row>
    <row r="54" customFormat="false" ht="15" hidden="false" customHeight="false" outlineLevel="0" collapsed="false">
      <c r="A54" s="44"/>
      <c r="B54" s="47" t="s">
        <v>113</v>
      </c>
      <c r="E54" s="51" t="s">
        <v>114</v>
      </c>
      <c r="H54" s="21"/>
    </row>
    <row r="55" customFormat="false" ht="15" hidden="false" customHeight="false" outlineLevel="0" collapsed="false">
      <c r="A55" s="44"/>
      <c r="B55" s="47" t="s">
        <v>115</v>
      </c>
      <c r="E55" s="51" t="s">
        <v>116</v>
      </c>
      <c r="H55" s="21"/>
    </row>
    <row r="56" customFormat="false" ht="15" hidden="false" customHeight="false" outlineLevel="0" collapsed="false">
      <c r="A56" s="44"/>
      <c r="B56" s="47" t="s">
        <v>117</v>
      </c>
      <c r="E56" s="51" t="s">
        <v>118</v>
      </c>
      <c r="H56" s="21"/>
    </row>
    <row r="57" customFormat="false" ht="15" hidden="false" customHeight="false" outlineLevel="0" collapsed="false">
      <c r="A57" s="44"/>
      <c r="B57" s="47" t="s">
        <v>119</v>
      </c>
      <c r="E57" s="51" t="s">
        <v>120</v>
      </c>
      <c r="H57" s="21"/>
    </row>
    <row r="58" customFormat="false" ht="15" hidden="false" customHeight="false" outlineLevel="0" collapsed="false">
      <c r="A58" s="44"/>
      <c r="B58" s="47" t="s">
        <v>121</v>
      </c>
      <c r="E58" s="51" t="s">
        <v>122</v>
      </c>
      <c r="H58" s="21"/>
    </row>
    <row r="59" customFormat="false" ht="15" hidden="false" customHeight="false" outlineLevel="0" collapsed="false">
      <c r="A59" s="44"/>
      <c r="B59" s="47" t="s">
        <v>123</v>
      </c>
      <c r="E59" s="51" t="s">
        <v>124</v>
      </c>
      <c r="H59" s="21"/>
    </row>
    <row r="60" customFormat="false" ht="15" hidden="false" customHeight="false" outlineLevel="0" collapsed="false">
      <c r="A60" s="44"/>
      <c r="B60" s="47" t="s">
        <v>125</v>
      </c>
      <c r="E60" s="51" t="s">
        <v>126</v>
      </c>
      <c r="H60" s="21"/>
    </row>
    <row r="61" customFormat="false" ht="15" hidden="false" customHeight="false" outlineLevel="0" collapsed="false">
      <c r="A61" s="44"/>
      <c r="B61" s="47" t="s">
        <v>127</v>
      </c>
      <c r="E61" s="51" t="s">
        <v>116</v>
      </c>
      <c r="H61" s="21"/>
    </row>
    <row r="62" customFormat="false" ht="15" hidden="false" customHeight="false" outlineLevel="0" collapsed="false">
      <c r="A62" s="44"/>
      <c r="B62" s="47" t="s">
        <v>103</v>
      </c>
      <c r="E62" s="51" t="s">
        <v>128</v>
      </c>
      <c r="H62" s="21"/>
    </row>
    <row r="63" customFormat="false" ht="15" hidden="false" customHeight="false" outlineLevel="0" collapsed="false">
      <c r="A63" s="20"/>
      <c r="B63" s="47" t="s">
        <v>96</v>
      </c>
      <c r="E63" s="51" t="s">
        <v>129</v>
      </c>
      <c r="H63" s="21"/>
    </row>
    <row r="64" customFormat="false" ht="15" hidden="false" customHeight="false" outlineLevel="0" collapsed="false">
      <c r="A64" s="20"/>
      <c r="B64" s="47" t="s">
        <v>97</v>
      </c>
      <c r="E64" s="51" t="s">
        <v>130</v>
      </c>
      <c r="H64" s="21"/>
    </row>
    <row r="65" customFormat="false" ht="13.5" hidden="false" customHeight="false" outlineLevel="0" collapsed="false">
      <c r="A65" s="59"/>
      <c r="B65" s="60"/>
      <c r="C65" s="60"/>
      <c r="D65" s="60"/>
      <c r="E65" s="60"/>
      <c r="F65" s="60"/>
      <c r="G65" s="60"/>
      <c r="H65" s="61"/>
    </row>
    <row r="66" customFormat="false" ht="13.5" hidden="false" customHeight="false" outlineLevel="0" collapsed="false"/>
  </sheetData>
  <mergeCells count="10">
    <mergeCell ref="A1:F2"/>
    <mergeCell ref="G1:G2"/>
    <mergeCell ref="H1:H2"/>
    <mergeCell ref="A3:B3"/>
    <mergeCell ref="C3:F3"/>
    <mergeCell ref="G3:G4"/>
    <mergeCell ref="H3:H4"/>
    <mergeCell ref="A4:B4"/>
    <mergeCell ref="C4:F4"/>
    <mergeCell ref="B14:D14"/>
  </mergeCells>
  <printOptions headings="false" gridLines="false" gridLinesSet="true" horizontalCentered="true" verticalCentered="false"/>
  <pageMargins left="0.309722222222222" right="0.3" top="0.59027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5"/>
  <sheetViews>
    <sheetView showFormulas="false" showGridLines="true" showRowColHeaders="true" showZeros="true" rightToLeft="false" tabSelected="true" showOutlineSymbols="true" defaultGridColor="true" view="normal" topLeftCell="A3" colorId="64" zoomScale="130" zoomScaleNormal="130" zoomScalePageLayoutView="100" workbookViewId="0">
      <selection pane="topLeft" activeCell="G20" activeCellId="0" sqref="G20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4.99"/>
    <col collapsed="false" customWidth="true" hidden="false" outlineLevel="0" max="2" min="2" style="0" width="12.14"/>
    <col collapsed="false" customWidth="true" hidden="false" outlineLevel="0" max="4" min="3" style="0" width="10.28"/>
    <col collapsed="false" customWidth="true" hidden="false" outlineLevel="0" max="6" min="6" style="0" width="22.85"/>
    <col collapsed="false" customWidth="true" hidden="false" outlineLevel="0" max="7" min="7" style="0" width="22.7"/>
    <col collapsed="false" customWidth="true" hidden="false" outlineLevel="0" max="8" min="8" style="0" width="14.85"/>
    <col collapsed="false" customWidth="true" hidden="false" outlineLevel="0" max="9" min="9" style="0" width="17.56"/>
  </cols>
  <sheetData>
    <row r="1" customFormat="false" ht="12" hidden="false" customHeight="true" outlineLevel="0" collapsed="false">
      <c r="A1" s="36" t="s">
        <v>37</v>
      </c>
      <c r="B1" s="36"/>
      <c r="C1" s="36"/>
      <c r="D1" s="36"/>
      <c r="E1" s="36"/>
      <c r="F1" s="36"/>
      <c r="G1" s="37" t="s">
        <v>38</v>
      </c>
      <c r="H1" s="38" t="n">
        <v>2</v>
      </c>
    </row>
    <row r="2" customFormat="false" ht="12" hidden="false" customHeight="true" outlineLevel="0" collapsed="false">
      <c r="A2" s="36"/>
      <c r="B2" s="36"/>
      <c r="C2" s="36"/>
      <c r="D2" s="36"/>
      <c r="E2" s="36"/>
      <c r="F2" s="36"/>
      <c r="G2" s="37"/>
      <c r="H2" s="38"/>
    </row>
    <row r="3" customFormat="false" ht="17.25" hidden="false" customHeight="true" outlineLevel="0" collapsed="false">
      <c r="A3" s="39" t="s">
        <v>39</v>
      </c>
      <c r="B3" s="39"/>
      <c r="C3" s="40" t="str">
        <f aca="false">kapak!C31</f>
        <v>MEHMET DAL - A-B-C-D BLOK</v>
      </c>
      <c r="D3" s="40"/>
      <c r="E3" s="40"/>
      <c r="F3" s="40"/>
      <c r="G3" s="7" t="s">
        <v>33</v>
      </c>
      <c r="H3" s="41" t="n">
        <f aca="false">kapak!G41</f>
        <v>44211</v>
      </c>
    </row>
    <row r="4" customFormat="false" ht="17.25" hidden="false" customHeight="true" outlineLevel="0" collapsed="false">
      <c r="A4" s="39" t="s">
        <v>40</v>
      </c>
      <c r="B4" s="39"/>
      <c r="C4" s="40" t="str">
        <f aca="false">kapak!B10</f>
        <v>ÜMİT ÇAVUŞOĞLU</v>
      </c>
      <c r="D4" s="40"/>
      <c r="E4" s="40"/>
      <c r="F4" s="40"/>
      <c r="G4" s="7"/>
      <c r="H4" s="41"/>
    </row>
    <row r="5" customFormat="false" ht="18" hidden="false" customHeight="false" outlineLevel="0" collapsed="false">
      <c r="A5" s="20"/>
      <c r="B5" s="42"/>
      <c r="C5" s="42"/>
      <c r="D5" s="42"/>
      <c r="E5" s="42"/>
      <c r="F5" s="42"/>
      <c r="G5" s="42"/>
      <c r="H5" s="43"/>
      <c r="I5" s="42"/>
    </row>
    <row r="6" customFormat="false" ht="15.75" hidden="false" customHeight="false" outlineLevel="0" collapsed="false">
      <c r="A6" s="44"/>
      <c r="B6" s="45"/>
      <c r="C6" s="45"/>
      <c r="D6" s="45"/>
      <c r="E6" s="45"/>
      <c r="F6" s="45"/>
      <c r="G6" s="45"/>
      <c r="H6" s="46"/>
      <c r="I6" s="45"/>
    </row>
    <row r="7" customFormat="false" ht="15" hidden="false" customHeight="false" outlineLevel="0" collapsed="false">
      <c r="A7" s="44" t="s">
        <v>131</v>
      </c>
      <c r="B7" s="47" t="s">
        <v>132</v>
      </c>
      <c r="C7" s="47"/>
      <c r="D7" s="47"/>
      <c r="E7" s="47"/>
      <c r="F7" s="47"/>
      <c r="G7" s="47"/>
      <c r="H7" s="48"/>
      <c r="I7" s="47"/>
    </row>
    <row r="8" customFormat="false" ht="15.75" hidden="false" customHeight="false" outlineLevel="0" collapsed="false">
      <c r="A8" s="44"/>
      <c r="B8" s="49" t="s">
        <v>133</v>
      </c>
      <c r="D8" s="47"/>
      <c r="E8" s="50"/>
      <c r="F8" s="47"/>
      <c r="G8" s="47"/>
      <c r="H8" s="48"/>
      <c r="I8" s="47"/>
    </row>
    <row r="9" customFormat="false" ht="15.75" hidden="false" customHeight="false" outlineLevel="0" collapsed="false">
      <c r="A9" s="44"/>
      <c r="B9" s="49" t="s">
        <v>134</v>
      </c>
      <c r="E9" s="51"/>
      <c r="F9" s="52"/>
      <c r="G9" s="47"/>
      <c r="H9" s="48"/>
      <c r="I9" s="47"/>
    </row>
    <row r="10" customFormat="false" ht="15.75" hidden="false" customHeight="false" outlineLevel="0" collapsed="false">
      <c r="A10" s="44"/>
      <c r="B10" s="49" t="s">
        <v>135</v>
      </c>
      <c r="D10" s="47"/>
      <c r="E10" s="47"/>
      <c r="F10" s="47"/>
      <c r="G10" s="47"/>
      <c r="H10" s="48"/>
      <c r="I10" s="47"/>
    </row>
    <row r="11" customFormat="false" ht="15.75" hidden="false" customHeight="false" outlineLevel="0" collapsed="false">
      <c r="A11" s="44"/>
      <c r="B11" s="49" t="s">
        <v>136</v>
      </c>
      <c r="D11" s="47"/>
      <c r="E11" s="47"/>
      <c r="F11" s="47"/>
      <c r="G11" s="47"/>
      <c r="H11" s="48"/>
      <c r="I11" s="47"/>
      <c r="K11" s="53"/>
      <c r="L11" s="53"/>
      <c r="M11" s="53"/>
      <c r="N11" s="53"/>
    </row>
    <row r="12" customFormat="false" ht="15.75" hidden="false" customHeight="false" outlineLevel="0" collapsed="false">
      <c r="A12" s="44"/>
      <c r="B12" s="49" t="s">
        <v>137</v>
      </c>
      <c r="D12" s="47"/>
      <c r="E12" s="47"/>
      <c r="F12" s="47"/>
      <c r="G12" s="47"/>
      <c r="H12" s="48"/>
      <c r="I12" s="47"/>
      <c r="K12" s="53"/>
      <c r="L12" s="53"/>
      <c r="M12" s="53"/>
      <c r="N12" s="53"/>
    </row>
    <row r="13" customFormat="false" ht="15.75" hidden="false" customHeight="false" outlineLevel="0" collapsed="false">
      <c r="A13" s="44"/>
      <c r="B13" s="49" t="s">
        <v>138</v>
      </c>
      <c r="D13" s="47"/>
      <c r="E13" s="47"/>
      <c r="F13" s="47"/>
      <c r="G13" s="47"/>
      <c r="H13" s="48"/>
      <c r="I13" s="47"/>
      <c r="K13" s="53"/>
      <c r="L13" s="53"/>
      <c r="M13" s="53"/>
      <c r="N13" s="53"/>
    </row>
    <row r="14" customFormat="false" ht="21" hidden="false" customHeight="true" outlineLevel="0" collapsed="false">
      <c r="A14" s="44"/>
      <c r="B14" s="54" t="s">
        <v>139</v>
      </c>
      <c r="C14" s="54"/>
      <c r="D14" s="54"/>
      <c r="E14" s="47"/>
      <c r="F14" s="49" t="s">
        <v>140</v>
      </c>
      <c r="G14" s="47"/>
      <c r="H14" s="48"/>
      <c r="I14" s="47"/>
    </row>
    <row r="15" customFormat="false" ht="15.75" hidden="false" customHeight="false" outlineLevel="0" collapsed="false">
      <c r="A15" s="44"/>
      <c r="B15" s="49" t="s">
        <v>141</v>
      </c>
      <c r="D15" s="47"/>
      <c r="E15" s="47"/>
      <c r="F15" s="47"/>
      <c r="G15" s="47"/>
      <c r="H15" s="48"/>
      <c r="I15" s="47"/>
    </row>
    <row r="16" customFormat="false" ht="15.75" hidden="false" customHeight="false" outlineLevel="0" collapsed="false">
      <c r="A16" s="44"/>
      <c r="B16" s="49" t="s">
        <v>142</v>
      </c>
      <c r="D16" s="47"/>
      <c r="E16" s="47"/>
      <c r="F16" s="47"/>
      <c r="G16" s="47"/>
      <c r="H16" s="48"/>
      <c r="I16" s="47"/>
    </row>
    <row r="17" customFormat="false" ht="15.75" hidden="false" customHeight="false" outlineLevel="0" collapsed="false">
      <c r="A17" s="44"/>
      <c r="B17" s="49"/>
      <c r="C17" s="47"/>
      <c r="D17" s="47"/>
      <c r="E17" s="47"/>
      <c r="F17" s="47"/>
      <c r="G17" s="47"/>
      <c r="H17" s="48"/>
      <c r="I17" s="47"/>
    </row>
    <row r="18" customFormat="false" ht="15.75" hidden="false" customHeight="false" outlineLevel="0" collapsed="false">
      <c r="A18" s="44"/>
      <c r="B18" s="49"/>
      <c r="C18" s="47"/>
      <c r="D18" s="47"/>
      <c r="E18" s="51"/>
      <c r="F18" s="47"/>
      <c r="G18" s="47"/>
      <c r="H18" s="48"/>
      <c r="I18" s="47"/>
    </row>
    <row r="19" customFormat="false" ht="15.75" hidden="false" customHeight="false" outlineLevel="0" collapsed="false">
      <c r="A19" s="44"/>
      <c r="B19" s="49"/>
      <c r="C19" s="47"/>
      <c r="D19" s="47"/>
      <c r="E19" s="47"/>
      <c r="F19" s="47"/>
      <c r="G19" s="47"/>
      <c r="H19" s="48"/>
      <c r="I19" s="47"/>
    </row>
    <row r="20" customFormat="false" ht="15.75" hidden="false" customHeight="false" outlineLevel="0" collapsed="false">
      <c r="A20" s="44" t="s">
        <v>143</v>
      </c>
      <c r="B20" s="49" t="s">
        <v>144</v>
      </c>
      <c r="C20" s="47"/>
      <c r="D20" s="47"/>
      <c r="E20" s="47"/>
      <c r="F20" s="47"/>
      <c r="G20" s="47"/>
      <c r="H20" s="48"/>
      <c r="I20" s="47"/>
    </row>
    <row r="21" customFormat="false" ht="15" hidden="false" customHeight="false" outlineLevel="0" collapsed="false">
      <c r="A21" s="44"/>
      <c r="B21" s="47"/>
      <c r="F21" s="51"/>
      <c r="H21" s="55"/>
      <c r="I21" s="47"/>
    </row>
    <row r="22" customFormat="false" ht="15.75" hidden="false" customHeight="false" outlineLevel="0" collapsed="false">
      <c r="A22" s="44"/>
      <c r="B22" s="49" t="s">
        <v>145</v>
      </c>
      <c r="E22" s="0" t="s">
        <v>146</v>
      </c>
      <c r="F22" s="51"/>
      <c r="H22" s="55"/>
      <c r="I22" s="47"/>
    </row>
    <row r="23" customFormat="false" ht="15.75" hidden="false" customHeight="false" outlineLevel="0" collapsed="false">
      <c r="A23" s="44"/>
      <c r="B23" s="49" t="s">
        <v>147</v>
      </c>
      <c r="E23" s="0" t="s">
        <v>148</v>
      </c>
      <c r="F23" s="51"/>
      <c r="H23" s="55"/>
      <c r="I23" s="47"/>
    </row>
    <row r="24" customFormat="false" ht="15.75" hidden="false" customHeight="false" outlineLevel="0" collapsed="false">
      <c r="A24" s="44"/>
      <c r="B24" s="49" t="s">
        <v>149</v>
      </c>
      <c r="E24" s="0" t="s">
        <v>150</v>
      </c>
      <c r="F24" s="51"/>
      <c r="H24" s="55"/>
      <c r="I24" s="47"/>
    </row>
    <row r="25" customFormat="false" ht="15" hidden="false" customHeight="false" outlineLevel="0" collapsed="false">
      <c r="A25" s="44"/>
      <c r="B25" s="47"/>
      <c r="F25" s="51"/>
      <c r="H25" s="55"/>
      <c r="I25" s="47"/>
    </row>
    <row r="26" customFormat="false" ht="15" hidden="false" customHeight="false" outlineLevel="0" collapsed="false">
      <c r="A26" s="44"/>
      <c r="B26" s="47"/>
      <c r="F26" s="51"/>
      <c r="H26" s="55"/>
      <c r="I26" s="47"/>
    </row>
    <row r="27" customFormat="false" ht="15" hidden="false" customHeight="false" outlineLevel="0" collapsed="false">
      <c r="A27" s="44"/>
      <c r="B27" s="47"/>
      <c r="F27" s="51"/>
      <c r="H27" s="55"/>
      <c r="I27" s="47"/>
    </row>
    <row r="28" customFormat="false" ht="15" hidden="false" customHeight="false" outlineLevel="0" collapsed="false">
      <c r="A28" s="44"/>
      <c r="B28" s="47"/>
      <c r="F28" s="51"/>
      <c r="H28" s="55"/>
      <c r="I28" s="47"/>
    </row>
    <row r="29" customFormat="false" ht="15" hidden="false" customHeight="false" outlineLevel="0" collapsed="false">
      <c r="A29" s="44"/>
      <c r="B29" s="47"/>
      <c r="F29" s="51"/>
      <c r="H29" s="55"/>
      <c r="I29" s="47"/>
    </row>
    <row r="30" customFormat="false" ht="15" hidden="false" customHeight="false" outlineLevel="0" collapsed="false">
      <c r="A30" s="44"/>
      <c r="B30" s="47"/>
      <c r="F30" s="51"/>
      <c r="H30" s="55"/>
      <c r="I30" s="47"/>
    </row>
    <row r="31" customFormat="false" ht="15" hidden="false" customHeight="false" outlineLevel="0" collapsed="false">
      <c r="A31" s="44"/>
      <c r="B31" s="47"/>
      <c r="F31" s="51"/>
      <c r="H31" s="55"/>
      <c r="I31" s="47"/>
    </row>
    <row r="32" customFormat="false" ht="15" hidden="false" customHeight="false" outlineLevel="0" collapsed="false">
      <c r="A32" s="44"/>
      <c r="B32" s="47"/>
      <c r="D32" s="51"/>
      <c r="E32" s="47"/>
      <c r="F32" s="47"/>
      <c r="H32" s="55"/>
      <c r="I32" s="47"/>
    </row>
    <row r="33" customFormat="false" ht="15.75" hidden="false" customHeight="false" outlineLevel="0" collapsed="false">
      <c r="A33" s="44" t="s">
        <v>86</v>
      </c>
      <c r="B33" s="49"/>
      <c r="C33" s="51"/>
      <c r="D33" s="51"/>
      <c r="E33" s="47"/>
      <c r="F33" s="47"/>
      <c r="G33" s="47"/>
      <c r="H33" s="48"/>
      <c r="I33" s="47"/>
    </row>
    <row r="34" customFormat="false" ht="15.75" hidden="false" customHeight="false" outlineLevel="0" collapsed="false">
      <c r="A34" s="44"/>
      <c r="B34" s="49"/>
      <c r="C34" s="51"/>
      <c r="D34" s="51"/>
      <c r="H34" s="21"/>
    </row>
    <row r="35" customFormat="false" ht="15" hidden="false" customHeight="false" outlineLevel="0" collapsed="false">
      <c r="A35" s="44"/>
      <c r="B35" s="47"/>
      <c r="F35" s="51"/>
      <c r="G35" s="57"/>
      <c r="H35" s="21"/>
    </row>
    <row r="36" customFormat="false" ht="15" hidden="false" customHeight="false" outlineLevel="0" collapsed="false">
      <c r="A36" s="44"/>
      <c r="B36" s="47"/>
      <c r="F36" s="51"/>
      <c r="G36" s="57"/>
      <c r="H36" s="21"/>
    </row>
    <row r="37" customFormat="false" ht="15" hidden="false" customHeight="false" outlineLevel="0" collapsed="false">
      <c r="A37" s="44"/>
      <c r="B37" s="47"/>
      <c r="F37" s="51"/>
      <c r="G37" s="57"/>
      <c r="H37" s="21"/>
    </row>
    <row r="38" customFormat="false" ht="15" hidden="false" customHeight="false" outlineLevel="0" collapsed="false">
      <c r="A38" s="44"/>
      <c r="B38" s="47"/>
      <c r="F38" s="51"/>
      <c r="G38" s="57"/>
      <c r="H38" s="21"/>
    </row>
    <row r="39" customFormat="false" ht="15" hidden="false" customHeight="false" outlineLevel="0" collapsed="false">
      <c r="A39" s="44"/>
      <c r="B39" s="47"/>
      <c r="F39" s="51"/>
      <c r="G39" s="57"/>
      <c r="H39" s="21"/>
    </row>
    <row r="40" customFormat="false" ht="15" hidden="false" customHeight="false" outlineLevel="0" collapsed="false">
      <c r="A40" s="44"/>
      <c r="B40" s="47"/>
      <c r="F40" s="51"/>
      <c r="G40" s="57"/>
      <c r="H40" s="21"/>
    </row>
    <row r="41" customFormat="false" ht="15" hidden="false" customHeight="false" outlineLevel="0" collapsed="false">
      <c r="A41" s="44"/>
      <c r="B41" s="47"/>
      <c r="F41" s="51"/>
      <c r="G41" s="57"/>
      <c r="H41" s="21"/>
    </row>
    <row r="42" customFormat="false" ht="15" hidden="false" customHeight="false" outlineLevel="0" collapsed="false">
      <c r="A42" s="44"/>
      <c r="B42" s="47"/>
      <c r="F42" s="51"/>
      <c r="G42" s="57"/>
      <c r="H42" s="21"/>
    </row>
    <row r="43" customFormat="false" ht="15" hidden="false" customHeight="false" outlineLevel="0" collapsed="false">
      <c r="A43" s="44"/>
      <c r="B43" s="47"/>
      <c r="F43" s="51"/>
      <c r="G43" s="57"/>
      <c r="H43" s="21"/>
    </row>
    <row r="44" customFormat="false" ht="15" hidden="false" customHeight="false" outlineLevel="0" collapsed="false">
      <c r="A44" s="44"/>
      <c r="B44" s="47"/>
      <c r="F44" s="51"/>
      <c r="G44" s="57"/>
      <c r="H44" s="21"/>
    </row>
    <row r="45" customFormat="false" ht="15" hidden="false" customHeight="false" outlineLevel="0" collapsed="false">
      <c r="A45" s="44"/>
      <c r="B45" s="47"/>
      <c r="F45" s="51"/>
      <c r="G45" s="57"/>
      <c r="H45" s="21"/>
    </row>
    <row r="46" customFormat="false" ht="15" hidden="false" customHeight="false" outlineLevel="0" collapsed="false">
      <c r="A46" s="44"/>
      <c r="B46" s="47"/>
      <c r="C46" s="58"/>
      <c r="D46" s="57"/>
      <c r="F46" s="51"/>
      <c r="G46" s="57"/>
      <c r="H46" s="21"/>
    </row>
    <row r="47" customFormat="false" ht="15" hidden="false" customHeight="false" outlineLevel="0" collapsed="false">
      <c r="A47" s="44"/>
      <c r="B47" s="47"/>
      <c r="C47" s="58"/>
      <c r="D47" s="57"/>
      <c r="F47" s="51"/>
      <c r="G47" s="57"/>
      <c r="H47" s="21"/>
    </row>
    <row r="48" customFormat="false" ht="15.75" hidden="false" customHeight="false" outlineLevel="0" collapsed="false">
      <c r="A48" s="44"/>
      <c r="B48" s="49"/>
      <c r="D48" s="57"/>
      <c r="H48" s="21"/>
    </row>
    <row r="49" customFormat="false" ht="15" hidden="false" customHeight="false" outlineLevel="0" collapsed="false">
      <c r="A49" s="44"/>
      <c r="B49" s="47"/>
      <c r="D49" s="57"/>
      <c r="E49" s="51"/>
      <c r="H49" s="21"/>
    </row>
    <row r="50" customFormat="false" ht="15" hidden="false" customHeight="false" outlineLevel="0" collapsed="false">
      <c r="A50" s="44"/>
      <c r="B50" s="47"/>
      <c r="D50" s="57"/>
      <c r="E50" s="51"/>
      <c r="H50" s="21"/>
    </row>
    <row r="51" customFormat="false" ht="15" hidden="false" customHeight="false" outlineLevel="0" collapsed="false">
      <c r="A51" s="44"/>
      <c r="B51" s="47"/>
      <c r="E51" s="51"/>
      <c r="H51" s="21"/>
    </row>
    <row r="52" customFormat="false" ht="15" hidden="false" customHeight="false" outlineLevel="0" collapsed="false">
      <c r="A52" s="44"/>
      <c r="B52" s="47"/>
      <c r="E52" s="51"/>
      <c r="H52" s="21"/>
    </row>
    <row r="53" customFormat="false" ht="15" hidden="false" customHeight="false" outlineLevel="0" collapsed="false">
      <c r="A53" s="44"/>
      <c r="B53" s="47"/>
      <c r="E53" s="51"/>
      <c r="H53" s="21"/>
    </row>
    <row r="54" customFormat="false" ht="15" hidden="false" customHeight="false" outlineLevel="0" collapsed="false">
      <c r="A54" s="44"/>
      <c r="B54" s="47"/>
      <c r="E54" s="51"/>
      <c r="H54" s="21"/>
    </row>
    <row r="55" customFormat="false" ht="15" hidden="false" customHeight="false" outlineLevel="0" collapsed="false">
      <c r="A55" s="44"/>
      <c r="B55" s="47"/>
      <c r="E55" s="51"/>
      <c r="H55" s="21"/>
    </row>
    <row r="56" customFormat="false" ht="15" hidden="false" customHeight="false" outlineLevel="0" collapsed="false">
      <c r="A56" s="44"/>
      <c r="B56" s="47"/>
      <c r="E56" s="51"/>
      <c r="H56" s="21"/>
    </row>
    <row r="57" customFormat="false" ht="15" hidden="false" customHeight="false" outlineLevel="0" collapsed="false">
      <c r="A57" s="44"/>
      <c r="B57" s="47"/>
      <c r="E57" s="51"/>
      <c r="H57" s="21"/>
    </row>
    <row r="58" customFormat="false" ht="15" hidden="false" customHeight="false" outlineLevel="0" collapsed="false">
      <c r="A58" s="44"/>
      <c r="B58" s="47"/>
      <c r="E58" s="51"/>
      <c r="H58" s="21"/>
    </row>
    <row r="59" customFormat="false" ht="15" hidden="false" customHeight="false" outlineLevel="0" collapsed="false">
      <c r="A59" s="44"/>
      <c r="B59" s="47"/>
      <c r="E59" s="51"/>
      <c r="H59" s="21"/>
    </row>
    <row r="60" customFormat="false" ht="15" hidden="false" customHeight="false" outlineLevel="0" collapsed="false">
      <c r="A60" s="44"/>
      <c r="B60" s="47"/>
      <c r="E60" s="51"/>
      <c r="H60" s="21"/>
    </row>
    <row r="61" customFormat="false" ht="15" hidden="false" customHeight="false" outlineLevel="0" collapsed="false">
      <c r="A61" s="44"/>
      <c r="B61" s="47"/>
      <c r="E61" s="51"/>
      <c r="H61" s="21"/>
    </row>
    <row r="62" customFormat="false" ht="15" hidden="false" customHeight="false" outlineLevel="0" collapsed="false">
      <c r="A62" s="20"/>
      <c r="B62" s="47"/>
      <c r="E62" s="51"/>
      <c r="H62" s="21"/>
    </row>
    <row r="63" customFormat="false" ht="15" hidden="false" customHeight="false" outlineLevel="0" collapsed="false">
      <c r="A63" s="20"/>
      <c r="B63" s="47"/>
      <c r="E63" s="51"/>
      <c r="H63" s="21"/>
    </row>
    <row r="64" customFormat="false" ht="13.5" hidden="false" customHeight="false" outlineLevel="0" collapsed="false">
      <c r="A64" s="59"/>
      <c r="B64" s="60"/>
      <c r="C64" s="60"/>
      <c r="D64" s="60"/>
      <c r="E64" s="60"/>
      <c r="F64" s="60"/>
      <c r="G64" s="60"/>
      <c r="H64" s="61"/>
    </row>
    <row r="65" customFormat="false" ht="13.5" hidden="false" customHeight="false" outlineLevel="0" collapsed="false"/>
  </sheetData>
  <mergeCells count="10">
    <mergeCell ref="A1:F2"/>
    <mergeCell ref="G1:G2"/>
    <mergeCell ref="H1:H2"/>
    <mergeCell ref="A3:B3"/>
    <mergeCell ref="C3:F3"/>
    <mergeCell ref="G3:G4"/>
    <mergeCell ref="H3:H4"/>
    <mergeCell ref="A4:B4"/>
    <mergeCell ref="C4:F4"/>
    <mergeCell ref="B14:D14"/>
  </mergeCells>
  <printOptions headings="false" gridLines="false" gridLinesSet="true" horizontalCentered="true" verticalCentered="false"/>
  <pageMargins left="0.309722222222222" right="0.3" top="0.59027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"/>
  <sheetViews>
    <sheetView showFormulas="false" showGridLines="true" showRowColHeaders="true" showZeros="true" rightToLeft="false" tabSelected="false" showOutlineSymbols="true" defaultGridColor="true" view="normal" topLeftCell="A8" colorId="64" zoomScale="160" zoomScaleNormal="160" zoomScalePageLayoutView="100" workbookViewId="0">
      <selection pane="topLeft" activeCell="Q43" activeCellId="0" sqref="Q43"/>
    </sheetView>
  </sheetViews>
  <sheetFormatPr defaultColWidth="6.84765625" defaultRowHeight="11.25" zeroHeight="false" outlineLevelRow="0" outlineLevelCol="0"/>
  <cols>
    <col collapsed="false" customWidth="true" hidden="false" outlineLevel="0" max="1" min="1" style="62" width="7.28"/>
    <col collapsed="false" customWidth="true" hidden="false" outlineLevel="0" max="3" min="2" style="62" width="3.85"/>
    <col collapsed="false" customWidth="true" hidden="false" outlineLevel="0" max="4" min="4" style="62" width="5.56"/>
    <col collapsed="false" customWidth="true" hidden="false" outlineLevel="0" max="5" min="5" style="62" width="6.13"/>
    <col collapsed="false" customWidth="true" hidden="false" outlineLevel="0" max="7" min="6" style="62" width="5.56"/>
    <col collapsed="false" customWidth="true" hidden="false" outlineLevel="0" max="9" min="8" style="62" width="6.56"/>
    <col collapsed="false" customWidth="true" hidden="false" outlineLevel="0" max="10" min="10" style="62" width="6.41"/>
    <col collapsed="false" customWidth="true" hidden="false" outlineLevel="0" max="11" min="11" style="62" width="6.13"/>
    <col collapsed="false" customWidth="true" hidden="false" outlineLevel="0" max="12" min="12" style="62" width="7.28"/>
    <col collapsed="false" customWidth="true" hidden="false" outlineLevel="0" max="16" min="13" style="62" width="5.56"/>
    <col collapsed="false" customWidth="true" hidden="false" outlineLevel="0" max="17" min="17" style="62" width="8.28"/>
    <col collapsed="false" customWidth="false" hidden="false" outlineLevel="0" max="257" min="18" style="62" width="6.85"/>
  </cols>
  <sheetData>
    <row r="1" s="72" customFormat="true" ht="9.75" hidden="false" customHeight="true" outlineLevel="0" collapsed="false">
      <c r="A1" s="63"/>
      <c r="B1" s="64"/>
      <c r="C1" s="64"/>
      <c r="D1" s="64"/>
      <c r="E1" s="64"/>
      <c r="F1" s="65"/>
      <c r="G1" s="66"/>
      <c r="H1" s="67" t="s">
        <v>151</v>
      </c>
      <c r="I1" s="66"/>
      <c r="J1" s="66"/>
      <c r="K1" s="64"/>
      <c r="L1" s="68"/>
      <c r="M1" s="64"/>
      <c r="N1" s="69" t="s">
        <v>152</v>
      </c>
      <c r="O1" s="70" t="s">
        <v>153</v>
      </c>
      <c r="P1" s="70" t="s">
        <v>33</v>
      </c>
      <c r="Q1" s="71" t="n">
        <f aca="false">[1]kapak!G41</f>
        <v>44267</v>
      </c>
    </row>
    <row r="2" s="74" customFormat="true" ht="10.5" hidden="false" customHeight="false" outlineLevel="0" collapsed="false">
      <c r="A2" s="73"/>
      <c r="F2" s="75" t="s">
        <v>154</v>
      </c>
      <c r="G2" s="76"/>
      <c r="H2" s="77" t="str">
        <f aca="false">kapak!C31</f>
        <v>MEHMET DAL - A-B-C-D BLOK</v>
      </c>
      <c r="I2" s="77"/>
      <c r="J2" s="77"/>
      <c r="K2" s="78"/>
      <c r="L2" s="79"/>
      <c r="N2" s="80" t="s">
        <v>155</v>
      </c>
      <c r="O2" s="81" t="n">
        <v>3</v>
      </c>
      <c r="P2" s="81"/>
      <c r="Q2" s="81"/>
    </row>
    <row r="3" s="74" customFormat="true" ht="8.25" hidden="false" customHeight="true" outlineLevel="0" collapsed="false">
      <c r="A3" s="82" t="s">
        <v>156</v>
      </c>
      <c r="B3" s="82"/>
      <c r="C3" s="82"/>
      <c r="D3" s="82"/>
      <c r="E3" s="83" t="s">
        <v>157</v>
      </c>
      <c r="F3" s="83"/>
      <c r="G3" s="83"/>
      <c r="H3" s="83"/>
      <c r="I3" s="84" t="s">
        <v>158</v>
      </c>
      <c r="J3" s="84"/>
      <c r="K3" s="84"/>
      <c r="L3" s="84"/>
      <c r="M3" s="84" t="s">
        <v>159</v>
      </c>
      <c r="N3" s="84"/>
      <c r="O3" s="84"/>
      <c r="P3" s="84"/>
      <c r="Q3" s="84" t="s">
        <v>160</v>
      </c>
    </row>
    <row r="4" s="87" customFormat="true" ht="31.5" hidden="false" customHeight="true" outlineLevel="0" collapsed="false">
      <c r="A4" s="85" t="s">
        <v>161</v>
      </c>
      <c r="B4" s="85" t="s">
        <v>162</v>
      </c>
      <c r="C4" s="85" t="s">
        <v>163</v>
      </c>
      <c r="D4" s="85" t="s">
        <v>164</v>
      </c>
      <c r="E4" s="85" t="s">
        <v>165</v>
      </c>
      <c r="F4" s="86" t="s">
        <v>166</v>
      </c>
      <c r="G4" s="85" t="s">
        <v>167</v>
      </c>
      <c r="H4" s="86" t="s">
        <v>168</v>
      </c>
      <c r="I4" s="86" t="s">
        <v>169</v>
      </c>
      <c r="J4" s="86" t="s">
        <v>170</v>
      </c>
      <c r="K4" s="86" t="s">
        <v>171</v>
      </c>
      <c r="L4" s="86" t="s">
        <v>172</v>
      </c>
      <c r="M4" s="85" t="s">
        <v>173</v>
      </c>
      <c r="N4" s="85" t="s">
        <v>174</v>
      </c>
      <c r="O4" s="85" t="s">
        <v>162</v>
      </c>
      <c r="P4" s="85" t="s">
        <v>175</v>
      </c>
      <c r="Q4" s="86" t="s">
        <v>176</v>
      </c>
    </row>
    <row r="5" s="87" customFormat="true" ht="9.75" hidden="false" customHeight="true" outlineLevel="0" collapsed="false">
      <c r="A5" s="88"/>
      <c r="B5" s="88"/>
      <c r="C5" s="88"/>
      <c r="D5" s="88"/>
      <c r="E5" s="88"/>
      <c r="F5" s="88" t="s">
        <v>177</v>
      </c>
      <c r="G5" s="88"/>
      <c r="H5" s="88"/>
      <c r="I5" s="88" t="s">
        <v>178</v>
      </c>
      <c r="J5" s="88" t="s">
        <v>179</v>
      </c>
      <c r="K5" s="89" t="s">
        <v>180</v>
      </c>
      <c r="L5" s="88" t="s">
        <v>181</v>
      </c>
      <c r="M5" s="88" t="s">
        <v>182</v>
      </c>
      <c r="N5" s="88" t="s">
        <v>183</v>
      </c>
      <c r="O5" s="88" t="s">
        <v>184</v>
      </c>
      <c r="P5" s="88" t="s">
        <v>185</v>
      </c>
      <c r="Q5" s="88" t="s">
        <v>186</v>
      </c>
    </row>
    <row r="6" s="92" customFormat="true" ht="15.75" hidden="false" customHeight="true" outlineLevel="0" collapsed="false">
      <c r="A6" s="80"/>
      <c r="B6" s="80"/>
      <c r="C6" s="80" t="s">
        <v>187</v>
      </c>
      <c r="D6" s="80" t="s">
        <v>188</v>
      </c>
      <c r="E6" s="80" t="s">
        <v>188</v>
      </c>
      <c r="F6" s="80" t="s">
        <v>189</v>
      </c>
      <c r="G6" s="80" t="s">
        <v>190</v>
      </c>
      <c r="H6" s="80" t="s">
        <v>189</v>
      </c>
      <c r="I6" s="80" t="s">
        <v>189</v>
      </c>
      <c r="J6" s="90" t="s">
        <v>191</v>
      </c>
      <c r="K6" s="80" t="s">
        <v>192</v>
      </c>
      <c r="L6" s="91" t="s">
        <v>193</v>
      </c>
      <c r="M6" s="80" t="s">
        <v>194</v>
      </c>
      <c r="N6" s="80" t="s">
        <v>194</v>
      </c>
      <c r="O6" s="80" t="s">
        <v>194</v>
      </c>
      <c r="P6" s="80" t="s">
        <v>195</v>
      </c>
      <c r="Q6" s="91" t="s">
        <v>193</v>
      </c>
    </row>
    <row r="7" s="92" customFormat="true" ht="11.25" hidden="false" customHeight="true" outlineLevel="0" collapsed="false">
      <c r="A7" s="80" t="n">
        <v>1</v>
      </c>
      <c r="B7" s="80" t="n">
        <v>2</v>
      </c>
      <c r="C7" s="80" t="n">
        <v>3</v>
      </c>
      <c r="D7" s="80" t="n">
        <v>4</v>
      </c>
      <c r="E7" s="80" t="n">
        <v>5</v>
      </c>
      <c r="F7" s="80" t="n">
        <v>6</v>
      </c>
      <c r="G7" s="80" t="n">
        <v>7</v>
      </c>
      <c r="H7" s="80" t="n">
        <v>8</v>
      </c>
      <c r="I7" s="80" t="n">
        <v>9</v>
      </c>
      <c r="J7" s="80" t="n">
        <v>10</v>
      </c>
      <c r="K7" s="80" t="n">
        <v>11</v>
      </c>
      <c r="L7" s="80" t="n">
        <v>12</v>
      </c>
      <c r="M7" s="80" t="n">
        <v>13</v>
      </c>
      <c r="N7" s="80" t="n">
        <v>14</v>
      </c>
      <c r="O7" s="80" t="n">
        <v>15</v>
      </c>
      <c r="P7" s="80" t="n">
        <v>16</v>
      </c>
      <c r="Q7" s="80" t="n">
        <v>17</v>
      </c>
    </row>
    <row r="8" s="92" customFormat="true" ht="10.35" hidden="false" customHeight="true" outlineLevel="0" collapsed="false">
      <c r="A8" s="93"/>
      <c r="B8" s="94"/>
      <c r="C8" s="94"/>
      <c r="D8" s="94"/>
      <c r="E8" s="94"/>
      <c r="F8" s="95" t="s">
        <v>185</v>
      </c>
      <c r="G8" s="96" t="s">
        <v>196</v>
      </c>
      <c r="H8" s="94" t="s">
        <v>197</v>
      </c>
      <c r="I8" s="97" t="s">
        <v>198</v>
      </c>
      <c r="J8" s="97"/>
      <c r="K8" s="94" t="s">
        <v>199</v>
      </c>
      <c r="L8" s="94"/>
      <c r="M8" s="94"/>
      <c r="N8" s="94"/>
      <c r="O8" s="94"/>
      <c r="P8" s="94"/>
      <c r="Q8" s="98"/>
    </row>
    <row r="9" s="92" customFormat="true" ht="9.95" hidden="false" customHeight="true" outlineLevel="0" collapsed="false">
      <c r="A9" s="99" t="s">
        <v>200</v>
      </c>
      <c r="B9" s="100" t="s">
        <v>201</v>
      </c>
      <c r="C9" s="101"/>
      <c r="D9" s="102" t="n">
        <v>8.1</v>
      </c>
      <c r="E9" s="102" t="n">
        <v>2.8</v>
      </c>
      <c r="F9" s="103" t="n">
        <f aca="false">IF(D9=0," ",D9*E9)</f>
        <v>22.68</v>
      </c>
      <c r="G9" s="104" t="n">
        <v>1</v>
      </c>
      <c r="H9" s="105" t="n">
        <f aca="false">F11*G11+F12*G12</f>
        <v>14.02</v>
      </c>
      <c r="I9" s="103" t="n">
        <f aca="false">IF(F9=" "," ",F9*G9-H9)</f>
        <v>8.66</v>
      </c>
      <c r="J9" s="102" t="n">
        <v>0.479</v>
      </c>
      <c r="K9" s="104" t="n">
        <v>31</v>
      </c>
      <c r="L9" s="106" t="n">
        <f aca="false">IF(I9=" "," ",I9*J9*K9)</f>
        <v>128.59234</v>
      </c>
      <c r="M9" s="107" t="n">
        <v>7</v>
      </c>
      <c r="N9" s="104" t="n">
        <v>0</v>
      </c>
      <c r="O9" s="107" t="n">
        <v>5</v>
      </c>
      <c r="P9" s="103" t="n">
        <f aca="false">IF(M9=" "," ",(1+(M9+N9+O9)/100))</f>
        <v>1.12</v>
      </c>
      <c r="Q9" s="108" t="n">
        <f aca="false">IF(L9=" "," ",L9*P9)</f>
        <v>144.0234208</v>
      </c>
    </row>
    <row r="10" s="92" customFormat="true" ht="9.95" hidden="false" customHeight="true" outlineLevel="0" collapsed="false">
      <c r="A10" s="99" t="s">
        <v>202</v>
      </c>
      <c r="B10" s="100" t="s">
        <v>201</v>
      </c>
      <c r="C10" s="101"/>
      <c r="D10" s="102" t="n">
        <f aca="false">D9</f>
        <v>8.1</v>
      </c>
      <c r="E10" s="102" t="n">
        <v>0.37</v>
      </c>
      <c r="F10" s="103" t="n">
        <f aca="false">IF(D10=0," ",D10*E10)</f>
        <v>2.997</v>
      </c>
      <c r="G10" s="104" t="n">
        <v>1</v>
      </c>
      <c r="H10" s="105"/>
      <c r="I10" s="103" t="n">
        <f aca="false">IF(F10=" "," ",F10*G10-H10)</f>
        <v>2.997</v>
      </c>
      <c r="J10" s="102" t="n">
        <v>0.577</v>
      </c>
      <c r="K10" s="104" t="n">
        <v>31</v>
      </c>
      <c r="L10" s="106" t="n">
        <f aca="false">IF(I10=" "," ",I10*J10*K10)</f>
        <v>53.607339</v>
      </c>
      <c r="M10" s="107" t="n">
        <v>7</v>
      </c>
      <c r="N10" s="104" t="n">
        <v>0</v>
      </c>
      <c r="O10" s="107" t="n">
        <v>5</v>
      </c>
      <c r="P10" s="103" t="n">
        <f aca="false">IF(M10=" "," ",(1+(M10+N10+O10)/100))</f>
        <v>1.12</v>
      </c>
      <c r="Q10" s="108" t="n">
        <f aca="false">IF(L10=" "," ",L10*P10)</f>
        <v>60.04021968</v>
      </c>
    </row>
    <row r="11" s="92" customFormat="true" ht="9.95" hidden="false" customHeight="true" outlineLevel="0" collapsed="false">
      <c r="A11" s="99" t="s">
        <v>203</v>
      </c>
      <c r="B11" s="100" t="s">
        <v>201</v>
      </c>
      <c r="C11" s="101"/>
      <c r="D11" s="102" t="n">
        <v>1.5</v>
      </c>
      <c r="E11" s="102" t="n">
        <v>1.6</v>
      </c>
      <c r="F11" s="103" t="n">
        <f aca="false">IF(D11=0," ",D11*E11)</f>
        <v>2.4</v>
      </c>
      <c r="G11" s="104" t="n">
        <v>1</v>
      </c>
      <c r="H11" s="105"/>
      <c r="I11" s="103" t="n">
        <f aca="false">IF(F11=" "," ",F11*G11-H11)</f>
        <v>2.4</v>
      </c>
      <c r="J11" s="102" t="n">
        <v>2.4</v>
      </c>
      <c r="K11" s="104" t="n">
        <v>31</v>
      </c>
      <c r="L11" s="106" t="n">
        <f aca="false">IF(I11=" "," ",I11*J11*K11)</f>
        <v>178.56</v>
      </c>
      <c r="M11" s="107" t="n">
        <v>7</v>
      </c>
      <c r="N11" s="104" t="n">
        <v>0</v>
      </c>
      <c r="O11" s="107" t="n">
        <v>5</v>
      </c>
      <c r="P11" s="103" t="n">
        <f aca="false">IF(M11=" "," ",(1+(M11+N11+O11)/100))</f>
        <v>1.12</v>
      </c>
      <c r="Q11" s="109" t="n">
        <f aca="false">IF(L11=" "," ",L11*P11)</f>
        <v>199.9872</v>
      </c>
    </row>
    <row r="12" s="92" customFormat="true" ht="9.95" hidden="false" customHeight="true" outlineLevel="0" collapsed="false">
      <c r="A12" s="99" t="s">
        <v>203</v>
      </c>
      <c r="B12" s="100" t="s">
        <v>201</v>
      </c>
      <c r="C12" s="101"/>
      <c r="D12" s="102" t="n">
        <v>4.15</v>
      </c>
      <c r="E12" s="102" t="n">
        <v>2.8</v>
      </c>
      <c r="F12" s="103" t="n">
        <f aca="false">IF(D12=0," ",D12*E12)</f>
        <v>11.62</v>
      </c>
      <c r="G12" s="104" t="n">
        <v>1</v>
      </c>
      <c r="H12" s="105"/>
      <c r="I12" s="103" t="n">
        <f aca="false">IF(F12=" "," ",F12*G12-H12)</f>
        <v>11.62</v>
      </c>
      <c r="J12" s="102" t="n">
        <v>2.4</v>
      </c>
      <c r="K12" s="104" t="n">
        <v>31</v>
      </c>
      <c r="L12" s="106" t="n">
        <f aca="false">IF(I12=" "," ",I12*J12*K12)</f>
        <v>864.528</v>
      </c>
      <c r="M12" s="107" t="n">
        <v>7</v>
      </c>
      <c r="N12" s="104" t="n">
        <v>0</v>
      </c>
      <c r="O12" s="107" t="n">
        <v>5</v>
      </c>
      <c r="P12" s="103" t="n">
        <f aca="false">IF(M12=" "," ",(1+(M12+N12+O12)/100))</f>
        <v>1.12</v>
      </c>
      <c r="Q12" s="109" t="n">
        <f aca="false">IF(L12=" "," ",L12*P12)</f>
        <v>968.27136</v>
      </c>
    </row>
    <row r="13" s="92" customFormat="true" ht="9.95" hidden="false" customHeight="true" outlineLevel="0" collapsed="false">
      <c r="A13" s="99" t="s">
        <v>204</v>
      </c>
      <c r="B13" s="100" t="s">
        <v>201</v>
      </c>
      <c r="C13" s="101"/>
      <c r="D13" s="102" t="n">
        <v>1.7</v>
      </c>
      <c r="E13" s="102" t="n">
        <v>3.17</v>
      </c>
      <c r="F13" s="103" t="n">
        <f aca="false">IF(D13=0," ",D13*E13)</f>
        <v>5.389</v>
      </c>
      <c r="G13" s="104" t="n">
        <v>1</v>
      </c>
      <c r="H13" s="105"/>
      <c r="I13" s="103" t="n">
        <f aca="false">IF(F13=" "," ",F13*G13-H13)</f>
        <v>5.389</v>
      </c>
      <c r="J13" s="102" t="n">
        <v>0.57</v>
      </c>
      <c r="K13" s="104" t="n">
        <v>31</v>
      </c>
      <c r="L13" s="106" t="n">
        <f aca="false">IF(I13=" "," ",I13*J13*K13)</f>
        <v>95.22363</v>
      </c>
      <c r="M13" s="107" t="n">
        <v>7</v>
      </c>
      <c r="N13" s="104" t="n">
        <v>0</v>
      </c>
      <c r="O13" s="107" t="n">
        <v>5</v>
      </c>
      <c r="P13" s="103" t="n">
        <f aca="false">IF(M13=" "," ",(1+(M13+N13+O13)/100))</f>
        <v>1.12</v>
      </c>
      <c r="Q13" s="108" t="n">
        <f aca="false">IF(L13=" "," ",L13*P13)</f>
        <v>106.6504656</v>
      </c>
    </row>
    <row r="14" s="92" customFormat="true" ht="9.95" hidden="false" customHeight="true" outlineLevel="0" collapsed="false">
      <c r="A14" s="99" t="s">
        <v>200</v>
      </c>
      <c r="B14" s="100" t="s">
        <v>205</v>
      </c>
      <c r="C14" s="101"/>
      <c r="D14" s="102" t="n">
        <v>9.55</v>
      </c>
      <c r="E14" s="102" t="n">
        <v>2.8</v>
      </c>
      <c r="F14" s="103" t="n">
        <f aca="false">IF(D14=0," ",D14*E14)</f>
        <v>26.74</v>
      </c>
      <c r="G14" s="104" t="n">
        <v>1</v>
      </c>
      <c r="H14" s="105" t="n">
        <f aca="false">F16*G16</f>
        <v>21.98</v>
      </c>
      <c r="I14" s="103" t="n">
        <f aca="false">IF(F14=" "," ",F14*G14-H14)</f>
        <v>4.76000000000001</v>
      </c>
      <c r="J14" s="102" t="n">
        <v>0.479</v>
      </c>
      <c r="K14" s="104" t="n">
        <v>31</v>
      </c>
      <c r="L14" s="106" t="n">
        <f aca="false">IF(I14=" "," ",I14*J14*K14)</f>
        <v>70.6812400000001</v>
      </c>
      <c r="M14" s="107" t="n">
        <v>7</v>
      </c>
      <c r="N14" s="104" t="n">
        <v>0</v>
      </c>
      <c r="O14" s="107" t="n">
        <v>0</v>
      </c>
      <c r="P14" s="103" t="n">
        <f aca="false">IF(M14=" "," ",(1+(M14+N14+O14)/100))</f>
        <v>1.07</v>
      </c>
      <c r="Q14" s="108" t="n">
        <f aca="false">IF(L14=" "," ",L14*P14)</f>
        <v>75.6289268000001</v>
      </c>
    </row>
    <row r="15" s="92" customFormat="true" ht="9.95" hidden="false" customHeight="true" outlineLevel="0" collapsed="false">
      <c r="A15" s="99" t="s">
        <v>202</v>
      </c>
      <c r="B15" s="100" t="s">
        <v>205</v>
      </c>
      <c r="C15" s="101"/>
      <c r="D15" s="102" t="n">
        <f aca="false">D14</f>
        <v>9.55</v>
      </c>
      <c r="E15" s="102" t="n">
        <v>0.37</v>
      </c>
      <c r="F15" s="103" t="n">
        <f aca="false">IF(D15=0," ",D15*E15)</f>
        <v>3.5335</v>
      </c>
      <c r="G15" s="104" t="n">
        <v>1</v>
      </c>
      <c r="H15" s="105"/>
      <c r="I15" s="103" t="n">
        <f aca="false">IF(F15=" "," ",F15*G15-H15)</f>
        <v>3.5335</v>
      </c>
      <c r="J15" s="102" t="n">
        <v>0.577</v>
      </c>
      <c r="K15" s="104" t="n">
        <v>31</v>
      </c>
      <c r="L15" s="106" t="n">
        <f aca="false">IF(I15=" "," ",I15*J15*K15)</f>
        <v>63.2037145</v>
      </c>
      <c r="M15" s="107" t="n">
        <v>7</v>
      </c>
      <c r="N15" s="104" t="n">
        <v>0</v>
      </c>
      <c r="O15" s="107" t="n">
        <v>0</v>
      </c>
      <c r="P15" s="103" t="n">
        <f aca="false">IF(M15=" "," ",(1+(M15+N15+O15)/100))</f>
        <v>1.07</v>
      </c>
      <c r="Q15" s="108" t="n">
        <f aca="false">IF(L15=" "," ",L15*P15)</f>
        <v>67.627974515</v>
      </c>
    </row>
    <row r="16" s="92" customFormat="true" ht="9.95" hidden="false" customHeight="true" outlineLevel="0" collapsed="false">
      <c r="A16" s="99" t="s">
        <v>203</v>
      </c>
      <c r="B16" s="100" t="s">
        <v>205</v>
      </c>
      <c r="C16" s="101"/>
      <c r="D16" s="102" t="n">
        <v>7.85</v>
      </c>
      <c r="E16" s="102" t="n">
        <v>2.8</v>
      </c>
      <c r="F16" s="103" t="n">
        <f aca="false">IF(D16=0," ",D16*E16)</f>
        <v>21.98</v>
      </c>
      <c r="G16" s="104" t="n">
        <v>1</v>
      </c>
      <c r="H16" s="105"/>
      <c r="I16" s="103" t="n">
        <f aca="false">IF(F16=" "," ",F16*G16-H16)</f>
        <v>21.98</v>
      </c>
      <c r="J16" s="102" t="n">
        <v>2.4</v>
      </c>
      <c r="K16" s="104" t="n">
        <v>31</v>
      </c>
      <c r="L16" s="106" t="n">
        <f aca="false">IF(I16=" "," ",I16*J16*K16)</f>
        <v>1635.312</v>
      </c>
      <c r="M16" s="107" t="n">
        <v>7</v>
      </c>
      <c r="N16" s="104" t="n">
        <v>0</v>
      </c>
      <c r="O16" s="107" t="n">
        <v>0</v>
      </c>
      <c r="P16" s="103" t="n">
        <f aca="false">IF(M16=" "," ",(1+(M16+N16+O16)/100))</f>
        <v>1.07</v>
      </c>
      <c r="Q16" s="109" t="n">
        <f aca="false">IF(L16=" "," ",L16*P16)</f>
        <v>1749.78384</v>
      </c>
    </row>
    <row r="17" s="92" customFormat="true" ht="9.95" hidden="false" customHeight="true" outlineLevel="0" collapsed="false">
      <c r="A17" s="99" t="s">
        <v>204</v>
      </c>
      <c r="B17" s="100" t="s">
        <v>205</v>
      </c>
      <c r="C17" s="101"/>
      <c r="D17" s="102" t="n">
        <v>2.15</v>
      </c>
      <c r="E17" s="102" t="n">
        <v>3.17</v>
      </c>
      <c r="F17" s="103" t="n">
        <f aca="false">IF(D17=0," ",D17*E17)</f>
        <v>6.8155</v>
      </c>
      <c r="G17" s="104" t="n">
        <v>1</v>
      </c>
      <c r="H17" s="105"/>
      <c r="I17" s="103" t="n">
        <f aca="false">IF(F17=" "," ",F17*G17-H17)</f>
        <v>6.8155</v>
      </c>
      <c r="J17" s="102" t="n">
        <v>0.57</v>
      </c>
      <c r="K17" s="104" t="n">
        <v>31</v>
      </c>
      <c r="L17" s="106" t="n">
        <f aca="false">IF(I17=" "," ",I17*J17*K17)</f>
        <v>120.429885</v>
      </c>
      <c r="M17" s="107" t="n">
        <v>7</v>
      </c>
      <c r="N17" s="104" t="n">
        <v>0</v>
      </c>
      <c r="O17" s="107" t="n">
        <v>0</v>
      </c>
      <c r="P17" s="103" t="n">
        <f aca="false">IF(M17=" "," ",(1+(M17+N17+O17)/100))</f>
        <v>1.07</v>
      </c>
      <c r="Q17" s="108" t="n">
        <f aca="false">IF(L17=" "," ",L17*P17)</f>
        <v>128.85997695</v>
      </c>
    </row>
    <row r="18" s="92" customFormat="true" ht="9.95" hidden="false" customHeight="true" outlineLevel="0" collapsed="false">
      <c r="A18" s="99" t="s">
        <v>200</v>
      </c>
      <c r="B18" s="100" t="s">
        <v>206</v>
      </c>
      <c r="C18" s="101"/>
      <c r="D18" s="102" t="n">
        <v>9.35</v>
      </c>
      <c r="E18" s="102" t="n">
        <v>2.8</v>
      </c>
      <c r="F18" s="103" t="n">
        <f aca="false">IF(D18=0," ",D18*E18)</f>
        <v>26.18</v>
      </c>
      <c r="G18" s="104" t="n">
        <v>1</v>
      </c>
      <c r="H18" s="105" t="n">
        <f aca="false">F20*G20+F21*G21</f>
        <v>6.735</v>
      </c>
      <c r="I18" s="103" t="n">
        <f aca="false">IF(F18=" "," ",F18*G18-H18)</f>
        <v>19.445</v>
      </c>
      <c r="J18" s="102" t="n">
        <v>0.479</v>
      </c>
      <c r="K18" s="104" t="n">
        <v>31</v>
      </c>
      <c r="L18" s="106" t="n">
        <f aca="false">IF(I18=" "," ",I18*J18*K18)</f>
        <v>288.738805</v>
      </c>
      <c r="M18" s="107" t="n">
        <v>7</v>
      </c>
      <c r="N18" s="104" t="n">
        <v>0</v>
      </c>
      <c r="O18" s="107" t="n">
        <v>-5</v>
      </c>
      <c r="P18" s="103" t="n">
        <f aca="false">IF(M18=" "," ",(1+(M18+N18+O18)/100))</f>
        <v>1.02</v>
      </c>
      <c r="Q18" s="108" t="n">
        <f aca="false">IF(L18=" "," ",L18*P18)</f>
        <v>294.5135811</v>
      </c>
    </row>
    <row r="19" s="92" customFormat="true" ht="9.95" hidden="false" customHeight="true" outlineLevel="0" collapsed="false">
      <c r="A19" s="99" t="s">
        <v>202</v>
      </c>
      <c r="B19" s="100" t="s">
        <v>206</v>
      </c>
      <c r="C19" s="101"/>
      <c r="D19" s="102" t="n">
        <f aca="false">D18</f>
        <v>9.35</v>
      </c>
      <c r="E19" s="102" t="n">
        <v>0.37</v>
      </c>
      <c r="F19" s="103" t="n">
        <f aca="false">IF(D19=0," ",D19*E19)</f>
        <v>3.4595</v>
      </c>
      <c r="G19" s="104" t="n">
        <v>1</v>
      </c>
      <c r="H19" s="105"/>
      <c r="I19" s="103" t="n">
        <f aca="false">IF(F19=" "," ",F19*G19-H19)</f>
        <v>3.4595</v>
      </c>
      <c r="J19" s="102" t="n">
        <v>0.577</v>
      </c>
      <c r="K19" s="104" t="n">
        <v>31</v>
      </c>
      <c r="L19" s="106" t="n">
        <f aca="false">IF(I19=" "," ",I19*J19*K19)</f>
        <v>61.8800765</v>
      </c>
      <c r="M19" s="107" t="n">
        <v>7</v>
      </c>
      <c r="N19" s="104" t="n">
        <v>0</v>
      </c>
      <c r="O19" s="107" t="n">
        <v>-5</v>
      </c>
      <c r="P19" s="103" t="n">
        <f aca="false">IF(M19=" "," ",(1+(M19+N19+O19)/100))</f>
        <v>1.02</v>
      </c>
      <c r="Q19" s="108" t="n">
        <f aca="false">IF(L19=" "," ",L19*P19)</f>
        <v>63.11767803</v>
      </c>
    </row>
    <row r="20" s="92" customFormat="true" ht="9.95" hidden="false" customHeight="true" outlineLevel="0" collapsed="false">
      <c r="A20" s="99" t="s">
        <v>203</v>
      </c>
      <c r="B20" s="100" t="s">
        <v>206</v>
      </c>
      <c r="C20" s="101"/>
      <c r="D20" s="102" t="n">
        <v>0.6</v>
      </c>
      <c r="E20" s="102" t="n">
        <v>2.8</v>
      </c>
      <c r="F20" s="103" t="n">
        <f aca="false">IF(D20=0," ",D20*E20)</f>
        <v>1.68</v>
      </c>
      <c r="G20" s="104" t="n">
        <v>2</v>
      </c>
      <c r="H20" s="105"/>
      <c r="I20" s="103" t="n">
        <f aca="false">IF(F20=" "," ",F20*G20-H20)</f>
        <v>3.36</v>
      </c>
      <c r="J20" s="102" t="n">
        <v>2.4</v>
      </c>
      <c r="K20" s="104" t="n">
        <v>31</v>
      </c>
      <c r="L20" s="106" t="n">
        <f aca="false">IF(I20=" "," ",I20*J20*K20)</f>
        <v>249.984</v>
      </c>
      <c r="M20" s="107" t="n">
        <v>7</v>
      </c>
      <c r="N20" s="104" t="n">
        <v>0</v>
      </c>
      <c r="O20" s="107" t="n">
        <v>-5</v>
      </c>
      <c r="P20" s="103" t="n">
        <f aca="false">IF(M20=" "," ",(1+(M20+N20+O20)/100))</f>
        <v>1.02</v>
      </c>
      <c r="Q20" s="109" t="n">
        <f aca="false">IF(L20=" "," ",L20*P20)</f>
        <v>254.98368</v>
      </c>
    </row>
    <row r="21" s="92" customFormat="true" ht="9.95" hidden="false" customHeight="true" outlineLevel="0" collapsed="false">
      <c r="A21" s="99" t="s">
        <v>207</v>
      </c>
      <c r="B21" s="100" t="s">
        <v>206</v>
      </c>
      <c r="C21" s="101"/>
      <c r="D21" s="102" t="n">
        <v>1.5</v>
      </c>
      <c r="E21" s="102" t="n">
        <v>2.25</v>
      </c>
      <c r="F21" s="103" t="n">
        <f aca="false">IF(D21=0," ",D21*E21)</f>
        <v>3.375</v>
      </c>
      <c r="G21" s="104" t="n">
        <v>1</v>
      </c>
      <c r="H21" s="105"/>
      <c r="I21" s="103" t="n">
        <f aca="false">IF(F21=" "," ",F21*G21-H21)</f>
        <v>3.375</v>
      </c>
      <c r="J21" s="102" t="n">
        <v>3.5</v>
      </c>
      <c r="K21" s="104" t="n">
        <v>31</v>
      </c>
      <c r="L21" s="106" t="n">
        <f aca="false">IF(I21=" "," ",I21*J21*K21)</f>
        <v>366.1875</v>
      </c>
      <c r="M21" s="107" t="n">
        <v>7</v>
      </c>
      <c r="N21" s="104" t="n">
        <v>0</v>
      </c>
      <c r="O21" s="107" t="n">
        <v>-5</v>
      </c>
      <c r="P21" s="103" t="n">
        <f aca="false">IF(M21=" "," ",(1+(M21+N21+O21)/100))</f>
        <v>1.02</v>
      </c>
      <c r="Q21" s="109" t="n">
        <f aca="false">IF(L21=" "," ",L21*P21)</f>
        <v>373.51125</v>
      </c>
    </row>
    <row r="22" s="92" customFormat="true" ht="9.95" hidden="false" customHeight="true" outlineLevel="0" collapsed="false">
      <c r="A22" s="99" t="s">
        <v>204</v>
      </c>
      <c r="B22" s="100" t="s">
        <v>206</v>
      </c>
      <c r="C22" s="101"/>
      <c r="D22" s="102" t="n">
        <v>1.3</v>
      </c>
      <c r="E22" s="102" t="n">
        <v>3.17</v>
      </c>
      <c r="F22" s="103" t="n">
        <f aca="false">IF(D22=0," ",D22*E22)</f>
        <v>4.121</v>
      </c>
      <c r="G22" s="104" t="n">
        <v>1</v>
      </c>
      <c r="H22" s="105"/>
      <c r="I22" s="103" t="n">
        <f aca="false">IF(F22=" "," ",F22*G22-H22)</f>
        <v>4.121</v>
      </c>
      <c r="J22" s="102" t="n">
        <v>0.57</v>
      </c>
      <c r="K22" s="104" t="n">
        <v>31</v>
      </c>
      <c r="L22" s="106" t="n">
        <f aca="false">IF(I22=" "," ",I22*J22*K22)</f>
        <v>72.81807</v>
      </c>
      <c r="M22" s="107" t="n">
        <v>7</v>
      </c>
      <c r="N22" s="104" t="n">
        <v>0</v>
      </c>
      <c r="O22" s="107" t="n">
        <v>-5</v>
      </c>
      <c r="P22" s="103" t="n">
        <f aca="false">IF(M22=" "," ",(1+(M22+N22+O22)/100))</f>
        <v>1.02</v>
      </c>
      <c r="Q22" s="108" t="n">
        <f aca="false">IF(L22=" "," ",L22*P22)</f>
        <v>74.2744314</v>
      </c>
    </row>
    <row r="23" s="92" customFormat="true" ht="9.95" hidden="false" customHeight="true" outlineLevel="0" collapsed="false">
      <c r="A23" s="99" t="s">
        <v>200</v>
      </c>
      <c r="B23" s="100" t="s">
        <v>208</v>
      </c>
      <c r="C23" s="101"/>
      <c r="D23" s="102" t="n">
        <v>2.4</v>
      </c>
      <c r="E23" s="102" t="n">
        <v>2.8</v>
      </c>
      <c r="F23" s="103" t="n">
        <f aca="false">IF(D23=0," ",D23*E23)</f>
        <v>6.72</v>
      </c>
      <c r="G23" s="104" t="n">
        <v>1</v>
      </c>
      <c r="H23" s="105" t="n">
        <f aca="false">F25*G25</f>
        <v>1.2</v>
      </c>
      <c r="I23" s="103" t="n">
        <f aca="false">IF(F23=" "," ",F23*G23-H23)</f>
        <v>5.52</v>
      </c>
      <c r="J23" s="102" t="n">
        <v>0.479</v>
      </c>
      <c r="K23" s="104" t="n">
        <v>31</v>
      </c>
      <c r="L23" s="106" t="n">
        <f aca="false">IF(I23=" "," ",I23*J23*K23)</f>
        <v>81.96648</v>
      </c>
      <c r="M23" s="107" t="n">
        <v>7</v>
      </c>
      <c r="N23" s="104" t="n">
        <v>0</v>
      </c>
      <c r="O23" s="107" t="n">
        <v>0</v>
      </c>
      <c r="P23" s="103" t="n">
        <f aca="false">IF(M23=" "," ",(1+(M23+N23+O23)/100))</f>
        <v>1.07</v>
      </c>
      <c r="Q23" s="108" t="n">
        <f aca="false">IF(L23=" "," ",L23*P23)</f>
        <v>87.7041336</v>
      </c>
    </row>
    <row r="24" s="92" customFormat="true" ht="9.95" hidden="false" customHeight="true" outlineLevel="0" collapsed="false">
      <c r="A24" s="99" t="s">
        <v>202</v>
      </c>
      <c r="B24" s="100" t="s">
        <v>208</v>
      </c>
      <c r="C24" s="101"/>
      <c r="D24" s="102" t="n">
        <f aca="false">D23</f>
        <v>2.4</v>
      </c>
      <c r="E24" s="102" t="n">
        <v>0.37</v>
      </c>
      <c r="F24" s="103" t="n">
        <f aca="false">IF(D24=0," ",D24*E24)</f>
        <v>0.888</v>
      </c>
      <c r="G24" s="104" t="n">
        <v>1</v>
      </c>
      <c r="H24" s="105"/>
      <c r="I24" s="103" t="n">
        <f aca="false">IF(F24=" "," ",F24*G24-H24)</f>
        <v>0.888</v>
      </c>
      <c r="J24" s="102" t="n">
        <v>0.577</v>
      </c>
      <c r="K24" s="104" t="n">
        <v>31</v>
      </c>
      <c r="L24" s="106" t="n">
        <f aca="false">IF(I24=" "," ",I24*J24*K24)</f>
        <v>15.883656</v>
      </c>
      <c r="M24" s="107" t="n">
        <v>7</v>
      </c>
      <c r="N24" s="104" t="n">
        <v>0</v>
      </c>
      <c r="O24" s="107" t="n">
        <v>0</v>
      </c>
      <c r="P24" s="103" t="n">
        <f aca="false">IF(M24=" "," ",(1+(M24+N24+O24)/100))</f>
        <v>1.07</v>
      </c>
      <c r="Q24" s="108" t="n">
        <f aca="false">IF(L24=" "," ",L24*P24)</f>
        <v>16.99551192</v>
      </c>
    </row>
    <row r="25" s="92" customFormat="true" ht="9.95" hidden="false" customHeight="true" outlineLevel="0" collapsed="false">
      <c r="A25" s="99" t="s">
        <v>203</v>
      </c>
      <c r="B25" s="100" t="s">
        <v>208</v>
      </c>
      <c r="C25" s="101"/>
      <c r="D25" s="102" t="n">
        <v>0.8</v>
      </c>
      <c r="E25" s="102" t="n">
        <v>1.5</v>
      </c>
      <c r="F25" s="103" t="n">
        <f aca="false">IF(D25=0," ",D25*E25)</f>
        <v>1.2</v>
      </c>
      <c r="G25" s="104" t="n">
        <v>1</v>
      </c>
      <c r="H25" s="105"/>
      <c r="I25" s="103" t="n">
        <f aca="false">IF(F25=" "," ",F25*G25-H25)</f>
        <v>1.2</v>
      </c>
      <c r="J25" s="102" t="n">
        <v>2.4</v>
      </c>
      <c r="K25" s="104" t="n">
        <v>31</v>
      </c>
      <c r="L25" s="106" t="n">
        <f aca="false">IF(I25=" "," ",I25*J25*K25)</f>
        <v>89.28</v>
      </c>
      <c r="M25" s="107" t="n">
        <v>7</v>
      </c>
      <c r="N25" s="104" t="n">
        <v>0</v>
      </c>
      <c r="O25" s="107" t="n">
        <v>0</v>
      </c>
      <c r="P25" s="103" t="n">
        <f aca="false">IF(M25=" "," ",(1+(M25+N25+O25)/100))</f>
        <v>1.07</v>
      </c>
      <c r="Q25" s="109" t="n">
        <f aca="false">IF(L25=" "," ",L25*P25)</f>
        <v>95.5296</v>
      </c>
    </row>
    <row r="26" s="92" customFormat="true" ht="9.95" hidden="false" customHeight="true" outlineLevel="0" collapsed="false">
      <c r="A26" s="99" t="s">
        <v>209</v>
      </c>
      <c r="B26" s="100"/>
      <c r="C26" s="101"/>
      <c r="D26" s="102" t="n">
        <v>0.5</v>
      </c>
      <c r="E26" s="102" t="n">
        <v>1.8</v>
      </c>
      <c r="F26" s="103" t="n">
        <f aca="false">IF(D26=0," ",D26*E26)</f>
        <v>0.9</v>
      </c>
      <c r="G26" s="104" t="n">
        <v>1</v>
      </c>
      <c r="H26" s="105"/>
      <c r="I26" s="103" t="n">
        <f aca="false">IF(F26=" "," ",F26*G26-H26)</f>
        <v>0.9</v>
      </c>
      <c r="J26" s="102" t="n">
        <v>0.269</v>
      </c>
      <c r="K26" s="104" t="n">
        <v>16</v>
      </c>
      <c r="L26" s="106" t="n">
        <f aca="false">IF(I26=" "," ",I26*J26*K26)</f>
        <v>3.8736</v>
      </c>
      <c r="M26" s="107" t="n">
        <v>7</v>
      </c>
      <c r="N26" s="104" t="n">
        <v>0</v>
      </c>
      <c r="O26" s="107" t="n">
        <v>0</v>
      </c>
      <c r="P26" s="103" t="n">
        <f aca="false">IF(M26=" "," ",(1+(M26+N26+O26)/100))</f>
        <v>1.07</v>
      </c>
      <c r="Q26" s="109" t="n">
        <f aca="false">IF(L26=" "," ",L26*P26)</f>
        <v>4.144752</v>
      </c>
    </row>
    <row r="27" s="92" customFormat="true" ht="9.95" hidden="false" customHeight="true" outlineLevel="0" collapsed="false">
      <c r="A27" s="99" t="s">
        <v>209</v>
      </c>
      <c r="B27" s="100"/>
      <c r="C27" s="101"/>
      <c r="D27" s="102" t="n">
        <v>5.2</v>
      </c>
      <c r="E27" s="102" t="n">
        <v>4.2</v>
      </c>
      <c r="F27" s="103" t="n">
        <f aca="false">IF(D27=0," ",D27*E27)</f>
        <v>21.84</v>
      </c>
      <c r="G27" s="104" t="n">
        <v>1</v>
      </c>
      <c r="H27" s="105"/>
      <c r="I27" s="103" t="n">
        <f aca="false">IF(F27=" "," ",F27*G27-H27)</f>
        <v>21.84</v>
      </c>
      <c r="J27" s="102" t="n">
        <v>0.269</v>
      </c>
      <c r="K27" s="104" t="n">
        <v>16</v>
      </c>
      <c r="L27" s="106" t="n">
        <f aca="false">IF(I27=" "," ",I27*J27*K27)</f>
        <v>93.99936</v>
      </c>
      <c r="M27" s="107" t="n">
        <v>7</v>
      </c>
      <c r="N27" s="104" t="n">
        <v>0</v>
      </c>
      <c r="O27" s="107" t="n">
        <v>0</v>
      </c>
      <c r="P27" s="103" t="n">
        <f aca="false">IF(M27=" "," ",(1+(M27+N27+O27)/100))</f>
        <v>1.07</v>
      </c>
      <c r="Q27" s="109" t="n">
        <f aca="false">IF(L27=" "," ",L27*P27)</f>
        <v>100.5793152</v>
      </c>
    </row>
    <row r="28" s="92" customFormat="true" ht="9.95" hidden="false" customHeight="true" outlineLevel="0" collapsed="false">
      <c r="A28" s="99" t="s">
        <v>209</v>
      </c>
      <c r="B28" s="100"/>
      <c r="C28" s="101"/>
      <c r="D28" s="102" t="n">
        <v>6.5</v>
      </c>
      <c r="E28" s="102" t="n">
        <v>10.65</v>
      </c>
      <c r="F28" s="103" t="n">
        <f aca="false">IF(D28=0," ",D28*E28)</f>
        <v>69.225</v>
      </c>
      <c r="G28" s="104" t="n">
        <v>1</v>
      </c>
      <c r="H28" s="105"/>
      <c r="I28" s="103" t="n">
        <f aca="false">IF(F28=" "," ",F28*G28-H28)</f>
        <v>69.225</v>
      </c>
      <c r="J28" s="102" t="n">
        <v>0.269</v>
      </c>
      <c r="K28" s="104" t="n">
        <v>16</v>
      </c>
      <c r="L28" s="106" t="n">
        <f aca="false">IF(I28=" "," ",I28*J28*K28)</f>
        <v>297.9444</v>
      </c>
      <c r="M28" s="107" t="n">
        <v>7</v>
      </c>
      <c r="N28" s="104" t="n">
        <v>0</v>
      </c>
      <c r="O28" s="107" t="n">
        <v>0</v>
      </c>
      <c r="P28" s="103" t="n">
        <f aca="false">IF(M28=" "," ",(1+(M28+N28+O28)/100))</f>
        <v>1.07</v>
      </c>
      <c r="Q28" s="109" t="n">
        <f aca="false">IF(L28=" "," ",L28*P28)</f>
        <v>318.800508</v>
      </c>
    </row>
    <row r="29" s="92" customFormat="true" ht="9.95" hidden="false" customHeight="true" outlineLevel="0" collapsed="false">
      <c r="A29" s="110"/>
      <c r="B29" s="111"/>
      <c r="C29" s="111"/>
      <c r="D29" s="112"/>
      <c r="E29" s="112"/>
      <c r="F29" s="112" t="str">
        <f aca="false">IF(D29=0," ",D29*E29)</f>
        <v> </v>
      </c>
      <c r="G29" s="113"/>
      <c r="H29" s="112"/>
      <c r="I29" s="112" t="str">
        <f aca="false">IF(F29=" "," ",F29*G29-H29)</f>
        <v> </v>
      </c>
      <c r="J29" s="112"/>
      <c r="K29" s="113"/>
      <c r="L29" s="114"/>
      <c r="M29" s="115"/>
      <c r="N29" s="115"/>
      <c r="O29" s="115"/>
      <c r="P29" s="116"/>
      <c r="Q29" s="117" t="n">
        <f aca="false">SUM(Q9:Q28)</f>
        <v>5185.027825595</v>
      </c>
    </row>
    <row r="30" s="129" customFormat="true" ht="9.95" hidden="false" customHeight="true" outlineLevel="0" collapsed="false">
      <c r="A30" s="118"/>
      <c r="B30" s="119"/>
      <c r="C30" s="119"/>
      <c r="D30" s="120"/>
      <c r="E30" s="121"/>
      <c r="F30" s="122"/>
      <c r="G30" s="123"/>
      <c r="H30" s="122"/>
      <c r="I30" s="124"/>
      <c r="J30" s="125" t="s">
        <v>210</v>
      </c>
      <c r="K30" s="124" t="s">
        <v>211</v>
      </c>
      <c r="L30" s="122" t="s">
        <v>212</v>
      </c>
      <c r="M30" s="123" t="s">
        <v>213</v>
      </c>
      <c r="N30" s="126" t="s">
        <v>214</v>
      </c>
      <c r="O30" s="127" t="s">
        <v>215</v>
      </c>
      <c r="P30" s="123" t="s">
        <v>216</v>
      </c>
      <c r="Q30" s="128"/>
    </row>
    <row r="31" s="129" customFormat="true" ht="9.95" hidden="false" customHeight="true" outlineLevel="0" collapsed="false">
      <c r="A31" s="130" t="s">
        <v>217</v>
      </c>
      <c r="C31" s="131"/>
      <c r="D31" s="131"/>
      <c r="E31" s="132"/>
      <c r="F31" s="133"/>
      <c r="G31" s="134"/>
      <c r="H31" s="135"/>
      <c r="I31" s="136"/>
      <c r="J31" s="137" t="s">
        <v>218</v>
      </c>
      <c r="K31" s="138" t="n">
        <v>2</v>
      </c>
      <c r="L31" s="138" t="n">
        <f aca="false">(D11+E11)*2*G11+(D16+E16)*2*G16+(D12+E12)*2*G12+(D20+E20)*2*G20+(D21+E21)*2*G21+(D25+E25)*2*G25</f>
        <v>67.1</v>
      </c>
      <c r="M31" s="138" t="n">
        <v>0.9</v>
      </c>
      <c r="N31" s="138" t="n">
        <v>0.67</v>
      </c>
      <c r="O31" s="115" t="n">
        <v>31</v>
      </c>
      <c r="P31" s="138" t="n">
        <v>1.2</v>
      </c>
      <c r="Q31" s="117" t="n">
        <f aca="false">K31*L31*M31*N31*O31*P31</f>
        <v>3010.32072</v>
      </c>
    </row>
    <row r="32" s="87" customFormat="true" ht="9.95" hidden="false" customHeight="true" outlineLevel="0" collapsed="false">
      <c r="A32" s="139"/>
      <c r="B32" s="129"/>
      <c r="C32" s="131"/>
      <c r="D32" s="131"/>
      <c r="E32" s="112"/>
      <c r="F32" s="112"/>
      <c r="G32" s="140"/>
      <c r="H32" s="131"/>
      <c r="I32" s="131"/>
      <c r="J32" s="131"/>
      <c r="K32" s="140"/>
      <c r="L32" s="141"/>
      <c r="M32" s="142" t="s">
        <v>219</v>
      </c>
      <c r="N32" s="142"/>
      <c r="O32" s="143"/>
      <c r="P32" s="142"/>
      <c r="Q32" s="144" t="n">
        <f aca="false">Q29+Q31</f>
        <v>8195.348545595</v>
      </c>
    </row>
    <row r="33" s="92" customFormat="true" ht="9.75" hidden="false" customHeight="true" outlineLevel="0" collapsed="false">
      <c r="A33" s="145"/>
      <c r="B33" s="146"/>
      <c r="C33" s="146"/>
      <c r="D33" s="146"/>
      <c r="E33" s="146"/>
      <c r="F33" s="95" t="str">
        <f aca="false">F8</f>
        <v>Z</v>
      </c>
      <c r="G33" s="147" t="s">
        <v>196</v>
      </c>
      <c r="H33" s="146" t="s">
        <v>220</v>
      </c>
      <c r="I33" s="147" t="s">
        <v>221</v>
      </c>
      <c r="J33" s="147"/>
      <c r="K33" s="146" t="s">
        <v>222</v>
      </c>
      <c r="L33" s="146"/>
      <c r="M33" s="146"/>
      <c r="N33" s="146"/>
      <c r="O33" s="146"/>
      <c r="P33" s="146"/>
      <c r="Q33" s="148"/>
    </row>
    <row r="34" s="92" customFormat="true" ht="9.95" hidden="false" customHeight="true" outlineLevel="0" collapsed="false">
      <c r="A34" s="99" t="s">
        <v>200</v>
      </c>
      <c r="B34" s="100" t="s">
        <v>208</v>
      </c>
      <c r="C34" s="101"/>
      <c r="D34" s="102" t="n">
        <v>0.75</v>
      </c>
      <c r="E34" s="102" t="n">
        <v>2.8</v>
      </c>
      <c r="F34" s="103" t="n">
        <f aca="false">IF(D34=0," ",D34*E34)</f>
        <v>2.1</v>
      </c>
      <c r="G34" s="104" t="n">
        <v>1</v>
      </c>
      <c r="H34" s="105" t="n">
        <f aca="false">F36*G36</f>
        <v>0.36</v>
      </c>
      <c r="I34" s="103" t="n">
        <f aca="false">IF(F34=" "," ",F34*G34-H34)</f>
        <v>1.74</v>
      </c>
      <c r="J34" s="102" t="n">
        <v>0.479</v>
      </c>
      <c r="K34" s="104" t="n">
        <v>35</v>
      </c>
      <c r="L34" s="106" t="n">
        <f aca="false">IF(I34=" "," ",I34*J34*K34)</f>
        <v>29.1711</v>
      </c>
      <c r="M34" s="107" t="n">
        <v>7</v>
      </c>
      <c r="N34" s="104" t="n">
        <v>0</v>
      </c>
      <c r="O34" s="107" t="n">
        <v>5</v>
      </c>
      <c r="P34" s="103" t="n">
        <f aca="false">IF(M34=" "," ",(1+(M34+N34+O34)/100))</f>
        <v>1.12</v>
      </c>
      <c r="Q34" s="108" t="n">
        <f aca="false">IF(L34=" "," ",L34*P34)</f>
        <v>32.671632</v>
      </c>
    </row>
    <row r="35" s="92" customFormat="true" ht="9.95" hidden="false" customHeight="true" outlineLevel="0" collapsed="false">
      <c r="A35" s="99" t="s">
        <v>202</v>
      </c>
      <c r="B35" s="100" t="s">
        <v>208</v>
      </c>
      <c r="C35" s="101"/>
      <c r="D35" s="102" t="n">
        <f aca="false">D34</f>
        <v>0.75</v>
      </c>
      <c r="E35" s="102" t="n">
        <v>0.37</v>
      </c>
      <c r="F35" s="103" t="n">
        <f aca="false">IF(D35=0," ",D35*E35)</f>
        <v>0.2775</v>
      </c>
      <c r="G35" s="104" t="n">
        <v>1</v>
      </c>
      <c r="H35" s="105"/>
      <c r="I35" s="103" t="n">
        <f aca="false">IF(F35=" "," ",F35*G35-H35)</f>
        <v>0.2775</v>
      </c>
      <c r="J35" s="102" t="n">
        <v>0.577</v>
      </c>
      <c r="K35" s="104" t="n">
        <v>35</v>
      </c>
      <c r="L35" s="106" t="n">
        <f aca="false">IF(I35=" "," ",I35*J35*K35)</f>
        <v>5.6041125</v>
      </c>
      <c r="M35" s="107" t="n">
        <v>7</v>
      </c>
      <c r="N35" s="104" t="n">
        <v>0</v>
      </c>
      <c r="O35" s="107" t="n">
        <v>5</v>
      </c>
      <c r="P35" s="103" t="n">
        <f aca="false">IF(M35=" "," ",(1+(M35+N35+O35)/100))</f>
        <v>1.12</v>
      </c>
      <c r="Q35" s="108" t="n">
        <f aca="false">IF(L35=" "," ",L35*P35)</f>
        <v>6.276606</v>
      </c>
    </row>
    <row r="36" s="92" customFormat="true" ht="9.95" hidden="false" customHeight="true" outlineLevel="0" collapsed="false">
      <c r="A36" s="99" t="s">
        <v>203</v>
      </c>
      <c r="B36" s="100" t="s">
        <v>208</v>
      </c>
      <c r="C36" s="101"/>
      <c r="D36" s="102" t="n">
        <v>0.6</v>
      </c>
      <c r="E36" s="102" t="n">
        <v>0.6</v>
      </c>
      <c r="F36" s="103" t="n">
        <f aca="false">IF(D36=0," ",D36*E36)</f>
        <v>0.36</v>
      </c>
      <c r="G36" s="104" t="n">
        <v>1</v>
      </c>
      <c r="H36" s="105"/>
      <c r="I36" s="103" t="n">
        <f aca="false">IF(F36=" "," ",F36*G36-H36)</f>
        <v>0.36</v>
      </c>
      <c r="J36" s="102" t="n">
        <v>2.4</v>
      </c>
      <c r="K36" s="104" t="n">
        <v>35</v>
      </c>
      <c r="L36" s="106" t="n">
        <f aca="false">IF(I36=" "," ",I36*J36*K36)</f>
        <v>30.24</v>
      </c>
      <c r="M36" s="107" t="n">
        <v>7</v>
      </c>
      <c r="N36" s="104" t="n">
        <v>0</v>
      </c>
      <c r="O36" s="107" t="n">
        <v>5</v>
      </c>
      <c r="P36" s="103" t="n">
        <f aca="false">IF(M36=" "," ",(1+(M36+N36+O36)/100))</f>
        <v>1.12</v>
      </c>
      <c r="Q36" s="109" t="n">
        <f aca="false">IF(L36=" "," ",L36*P36)</f>
        <v>33.8688</v>
      </c>
    </row>
    <row r="37" s="92" customFormat="true" ht="9.95" hidden="false" customHeight="true" outlineLevel="0" collapsed="false">
      <c r="A37" s="99" t="s">
        <v>204</v>
      </c>
      <c r="B37" s="100" t="s">
        <v>208</v>
      </c>
      <c r="C37" s="101"/>
      <c r="D37" s="102" t="n">
        <v>0.2</v>
      </c>
      <c r="E37" s="102" t="n">
        <v>3.17</v>
      </c>
      <c r="F37" s="103" t="n">
        <f aca="false">IF(D37=0," ",D37*E37)</f>
        <v>0.634</v>
      </c>
      <c r="G37" s="104" t="n">
        <v>1</v>
      </c>
      <c r="H37" s="105"/>
      <c r="I37" s="103" t="n">
        <f aca="false">IF(F37=" "," ",F37*G37-H37)</f>
        <v>0.634</v>
      </c>
      <c r="J37" s="102" t="n">
        <v>0.57</v>
      </c>
      <c r="K37" s="104" t="n">
        <v>35</v>
      </c>
      <c r="L37" s="106" t="n">
        <f aca="false">IF(I37=" "," ",I37*J37*K37)</f>
        <v>12.6483</v>
      </c>
      <c r="M37" s="107" t="n">
        <v>7</v>
      </c>
      <c r="N37" s="104" t="n">
        <v>0</v>
      </c>
      <c r="O37" s="107" t="n">
        <v>5</v>
      </c>
      <c r="P37" s="103" t="n">
        <f aca="false">IF(M37=" "," ",(1+(M37+N37+O37)/100))</f>
        <v>1.12</v>
      </c>
      <c r="Q37" s="108" t="n">
        <f aca="false">IF(L37=" "," ",L37*P37)</f>
        <v>14.166096</v>
      </c>
    </row>
    <row r="38" s="92" customFormat="true" ht="9.95" hidden="false" customHeight="true" outlineLevel="0" collapsed="false">
      <c r="A38" s="99" t="s">
        <v>223</v>
      </c>
      <c r="B38" s="100"/>
      <c r="C38" s="101"/>
      <c r="D38" s="102" t="n">
        <v>4.9</v>
      </c>
      <c r="E38" s="102" t="n">
        <v>3.17</v>
      </c>
      <c r="F38" s="103" t="n">
        <f aca="false">IF(D38=0," ",D38*E38)</f>
        <v>15.533</v>
      </c>
      <c r="G38" s="104" t="n">
        <v>1</v>
      </c>
      <c r="H38" s="105"/>
      <c r="I38" s="103" t="n">
        <f aca="false">IF(F38=" "," ",F38*G38-H38)</f>
        <v>15.533</v>
      </c>
      <c r="J38" s="102" t="n">
        <v>0.814</v>
      </c>
      <c r="K38" s="104" t="n">
        <v>6</v>
      </c>
      <c r="L38" s="106" t="n">
        <f aca="false">IF(I38=" "," ",I38*J38*K38)</f>
        <v>75.863172</v>
      </c>
      <c r="M38" s="107" t="n">
        <v>7</v>
      </c>
      <c r="N38" s="104" t="n">
        <v>0</v>
      </c>
      <c r="O38" s="107" t="n">
        <v>0</v>
      </c>
      <c r="P38" s="103" t="n">
        <f aca="false">IF(M38=" "," ",(1+(M38+N38+O38)/100))</f>
        <v>1.07</v>
      </c>
      <c r="Q38" s="108" t="n">
        <f aca="false">IF(L38=" "," ",L38*P38)</f>
        <v>81.17359404</v>
      </c>
    </row>
    <row r="39" s="92" customFormat="true" ht="9.95" hidden="false" customHeight="true" outlineLevel="0" collapsed="false">
      <c r="A39" s="99" t="s">
        <v>224</v>
      </c>
      <c r="B39" s="100"/>
      <c r="C39" s="101"/>
      <c r="D39" s="102" t="n">
        <v>1</v>
      </c>
      <c r="E39" s="102" t="n">
        <v>0.5</v>
      </c>
      <c r="F39" s="103" t="n">
        <f aca="false">IF(D39=0," ",D39*E39)</f>
        <v>0.5</v>
      </c>
      <c r="G39" s="104" t="n">
        <v>1</v>
      </c>
      <c r="H39" s="105"/>
      <c r="I39" s="103" t="n">
        <f aca="false">IF(F39=" "," ",F39*G39-H39)</f>
        <v>0.5</v>
      </c>
      <c r="J39" s="102" t="n">
        <v>0.269</v>
      </c>
      <c r="K39" s="104" t="n">
        <v>20</v>
      </c>
      <c r="L39" s="106" t="n">
        <f aca="false">IF(I39=" "," ",I39*J39*K39)</f>
        <v>2.69</v>
      </c>
      <c r="M39" s="107" t="n">
        <v>7</v>
      </c>
      <c r="N39" s="104" t="n">
        <v>0</v>
      </c>
      <c r="O39" s="107" t="n">
        <v>0</v>
      </c>
      <c r="P39" s="103" t="n">
        <f aca="false">IF(M39=" "," ",(1+(M39+N39+O39)/100))</f>
        <v>1.07</v>
      </c>
      <c r="Q39" s="109" t="n">
        <f aca="false">IF(L39=" "," ",L39*P39)</f>
        <v>2.8783</v>
      </c>
    </row>
    <row r="40" s="92" customFormat="true" ht="9.95" hidden="false" customHeight="true" outlineLevel="0" collapsed="false">
      <c r="A40" s="99" t="s">
        <v>224</v>
      </c>
      <c r="B40" s="100"/>
      <c r="C40" s="101"/>
      <c r="D40" s="102" t="n">
        <v>2.9</v>
      </c>
      <c r="E40" s="102" t="n">
        <v>2.3</v>
      </c>
      <c r="F40" s="103" t="n">
        <f aca="false">IF(D40=0," ",D40*E40)</f>
        <v>6.67</v>
      </c>
      <c r="G40" s="104" t="n">
        <v>1</v>
      </c>
      <c r="H40" s="105"/>
      <c r="I40" s="103" t="n">
        <f aca="false">IF(F40=" "," ",F40*G40-H40)</f>
        <v>6.67</v>
      </c>
      <c r="J40" s="102" t="n">
        <v>0.269</v>
      </c>
      <c r="K40" s="104" t="n">
        <v>20</v>
      </c>
      <c r="L40" s="106" t="n">
        <f aca="false">IF(I40=" "," ",I40*J40*K40)</f>
        <v>35.8846</v>
      </c>
      <c r="M40" s="107" t="n">
        <v>7</v>
      </c>
      <c r="N40" s="104" t="n">
        <v>0</v>
      </c>
      <c r="O40" s="107" t="n">
        <v>0</v>
      </c>
      <c r="P40" s="103" t="n">
        <f aca="false">IF(M40=" "," ",(1+(M40+N40+O40)/100))</f>
        <v>1.07</v>
      </c>
      <c r="Q40" s="109" t="n">
        <f aca="false">IF(L40=" "," ",L40*P40)</f>
        <v>38.396522</v>
      </c>
    </row>
    <row r="41" s="92" customFormat="true" ht="9.95" hidden="false" customHeight="true" outlineLevel="0" collapsed="false">
      <c r="A41" s="110"/>
      <c r="B41" s="111"/>
      <c r="C41" s="111"/>
      <c r="D41" s="112"/>
      <c r="E41" s="112"/>
      <c r="F41" s="112" t="str">
        <f aca="false">IF(D41=0," ",D41*E41)</f>
        <v> </v>
      </c>
      <c r="G41" s="113"/>
      <c r="H41" s="112"/>
      <c r="I41" s="112" t="str">
        <f aca="false">IF(F41=" "," ",F41*G41-H41)</f>
        <v> </v>
      </c>
      <c r="J41" s="112"/>
      <c r="K41" s="113"/>
      <c r="L41" s="114"/>
      <c r="M41" s="115"/>
      <c r="N41" s="115"/>
      <c r="O41" s="115"/>
      <c r="P41" s="116"/>
      <c r="Q41" s="117" t="n">
        <f aca="false">SUM(Q34:Q40)</f>
        <v>209.43155004</v>
      </c>
    </row>
    <row r="42" s="129" customFormat="true" ht="9.95" hidden="false" customHeight="true" outlineLevel="0" collapsed="false">
      <c r="A42" s="118"/>
      <c r="B42" s="119"/>
      <c r="C42" s="119"/>
      <c r="D42" s="120"/>
      <c r="E42" s="121"/>
      <c r="F42" s="122"/>
      <c r="G42" s="123"/>
      <c r="H42" s="122"/>
      <c r="I42" s="124"/>
      <c r="J42" s="125" t="s">
        <v>210</v>
      </c>
      <c r="K42" s="124" t="s">
        <v>211</v>
      </c>
      <c r="L42" s="122" t="s">
        <v>212</v>
      </c>
      <c r="M42" s="123" t="s">
        <v>213</v>
      </c>
      <c r="N42" s="126" t="s">
        <v>214</v>
      </c>
      <c r="O42" s="127" t="s">
        <v>215</v>
      </c>
      <c r="P42" s="123" t="s">
        <v>216</v>
      </c>
      <c r="Q42" s="128"/>
    </row>
    <row r="43" s="129" customFormat="true" ht="9.95" hidden="false" customHeight="true" outlineLevel="0" collapsed="false">
      <c r="A43" s="130" t="s">
        <v>217</v>
      </c>
      <c r="C43" s="131"/>
      <c r="D43" s="131"/>
      <c r="E43" s="132"/>
      <c r="F43" s="133"/>
      <c r="G43" s="134"/>
      <c r="H43" s="135"/>
      <c r="I43" s="136"/>
      <c r="J43" s="137" t="s">
        <v>218</v>
      </c>
      <c r="K43" s="138" t="n">
        <v>2</v>
      </c>
      <c r="L43" s="138" t="n">
        <f aca="false">(D36+E36)*2*G36</f>
        <v>2.4</v>
      </c>
      <c r="M43" s="138" t="n">
        <v>0.9</v>
      </c>
      <c r="N43" s="138" t="n">
        <v>0.67</v>
      </c>
      <c r="O43" s="115" t="n">
        <v>35</v>
      </c>
      <c r="P43" s="138" t="n">
        <v>1.2</v>
      </c>
      <c r="Q43" s="117" t="n">
        <f aca="false">K43*L43*M43*N43*O43*P43</f>
        <v>121.5648</v>
      </c>
    </row>
    <row r="44" s="87" customFormat="true" ht="9.95" hidden="false" customHeight="true" outlineLevel="0" collapsed="false">
      <c r="A44" s="139"/>
      <c r="B44" s="129"/>
      <c r="C44" s="131"/>
      <c r="D44" s="131"/>
      <c r="E44" s="112"/>
      <c r="F44" s="112"/>
      <c r="G44" s="140"/>
      <c r="H44" s="131"/>
      <c r="I44" s="131"/>
      <c r="J44" s="131"/>
      <c r="K44" s="140"/>
      <c r="L44" s="141"/>
      <c r="M44" s="142" t="s">
        <v>219</v>
      </c>
      <c r="N44" s="142"/>
      <c r="O44" s="143"/>
      <c r="P44" s="142"/>
      <c r="Q44" s="144" t="n">
        <f aca="false">Q41+Q43</f>
        <v>330.99635004</v>
      </c>
    </row>
    <row r="45" s="92" customFormat="true" ht="9.95" hidden="false" customHeight="true" outlineLevel="0" collapsed="false">
      <c r="A45" s="145"/>
      <c r="B45" s="146"/>
      <c r="C45" s="146"/>
      <c r="D45" s="146"/>
      <c r="E45" s="146"/>
      <c r="F45" s="95" t="str">
        <f aca="false">F8</f>
        <v>Z</v>
      </c>
      <c r="G45" s="147" t="s">
        <v>196</v>
      </c>
      <c r="H45" s="146" t="n">
        <f aca="false">H33+1</f>
        <v>3</v>
      </c>
      <c r="I45" s="147" t="s">
        <v>225</v>
      </c>
      <c r="J45" s="147"/>
      <c r="K45" s="146" t="s">
        <v>226</v>
      </c>
      <c r="L45" s="146"/>
      <c r="M45" s="146"/>
      <c r="N45" s="146"/>
      <c r="O45" s="146"/>
      <c r="P45" s="146"/>
      <c r="Q45" s="148"/>
    </row>
    <row r="46" s="92" customFormat="true" ht="9.95" hidden="false" customHeight="true" outlineLevel="0" collapsed="false">
      <c r="A46" s="99" t="s">
        <v>200</v>
      </c>
      <c r="B46" s="100" t="s">
        <v>208</v>
      </c>
      <c r="C46" s="101"/>
      <c r="D46" s="102" t="n">
        <v>1.45</v>
      </c>
      <c r="E46" s="102" t="n">
        <v>2.8</v>
      </c>
      <c r="F46" s="103" t="n">
        <f aca="false">IF(D46=0," ",D46*E46)</f>
        <v>4.06</v>
      </c>
      <c r="G46" s="104" t="n">
        <v>1</v>
      </c>
      <c r="H46" s="105"/>
      <c r="I46" s="103" t="n">
        <f aca="false">IF(F46=" "," ",F46*G46-H46)</f>
        <v>4.06</v>
      </c>
      <c r="J46" s="102" t="n">
        <v>0.479</v>
      </c>
      <c r="K46" s="104" t="n">
        <v>27</v>
      </c>
      <c r="L46" s="106" t="n">
        <f aca="false">IF(I46=" "," ",I46*J46*K46)</f>
        <v>52.50798</v>
      </c>
      <c r="M46" s="107" t="n">
        <v>7</v>
      </c>
      <c r="N46" s="104" t="n">
        <v>0</v>
      </c>
      <c r="O46" s="107" t="n">
        <v>0</v>
      </c>
      <c r="P46" s="103" t="n">
        <f aca="false">IF(M46=" "," ",(1+(M46+N46+O46)/100))</f>
        <v>1.07</v>
      </c>
      <c r="Q46" s="108" t="n">
        <f aca="false">IF(L46=" "," ",L46*P46)</f>
        <v>56.1835386</v>
      </c>
    </row>
    <row r="47" s="92" customFormat="true" ht="9.95" hidden="false" customHeight="true" outlineLevel="0" collapsed="false">
      <c r="A47" s="99" t="s">
        <v>202</v>
      </c>
      <c r="B47" s="100" t="s">
        <v>208</v>
      </c>
      <c r="C47" s="101"/>
      <c r="D47" s="102" t="n">
        <f aca="false">D46</f>
        <v>1.45</v>
      </c>
      <c r="E47" s="102" t="n">
        <v>0.37</v>
      </c>
      <c r="F47" s="103" t="n">
        <f aca="false">IF(D47=0," ",D47*E47)</f>
        <v>0.5365</v>
      </c>
      <c r="G47" s="104" t="n">
        <v>1</v>
      </c>
      <c r="H47" s="105"/>
      <c r="I47" s="103" t="n">
        <f aca="false">IF(F47=" "," ",F47*G47-H47)</f>
        <v>0.5365</v>
      </c>
      <c r="J47" s="102" t="n">
        <v>0.577</v>
      </c>
      <c r="K47" s="104" t="n">
        <v>27</v>
      </c>
      <c r="L47" s="106" t="n">
        <v>26</v>
      </c>
      <c r="M47" s="107" t="n">
        <v>7</v>
      </c>
      <c r="N47" s="104" t="n">
        <v>0</v>
      </c>
      <c r="O47" s="107" t="n">
        <v>0</v>
      </c>
      <c r="P47" s="103" t="n">
        <f aca="false">IF(M47=" "," ",(1+(M47+N47+O47)/100))</f>
        <v>1.07</v>
      </c>
      <c r="Q47" s="108" t="n">
        <f aca="false">IF(L47=" "," ",L47*P47)</f>
        <v>27.82</v>
      </c>
    </row>
    <row r="48" s="92" customFormat="true" ht="9.95" hidden="false" customHeight="true" outlineLevel="0" collapsed="false">
      <c r="A48" s="99" t="s">
        <v>204</v>
      </c>
      <c r="B48" s="100" t="s">
        <v>208</v>
      </c>
      <c r="C48" s="101"/>
      <c r="D48" s="102" t="n">
        <v>0.15</v>
      </c>
      <c r="E48" s="102" t="n">
        <v>3.17</v>
      </c>
      <c r="F48" s="103" t="n">
        <f aca="false">IF(D48=0," ",D48*E48)</f>
        <v>0.4755</v>
      </c>
      <c r="G48" s="104" t="n">
        <v>1</v>
      </c>
      <c r="H48" s="105"/>
      <c r="I48" s="103" t="n">
        <f aca="false">IF(F48=" "," ",F48*G48-H48)</f>
        <v>0.4755</v>
      </c>
      <c r="J48" s="102" t="n">
        <v>0.57</v>
      </c>
      <c r="K48" s="104" t="n">
        <v>27</v>
      </c>
      <c r="L48" s="106" t="n">
        <v>26</v>
      </c>
      <c r="M48" s="107" t="n">
        <v>7</v>
      </c>
      <c r="N48" s="104" t="n">
        <v>0</v>
      </c>
      <c r="O48" s="107" t="n">
        <v>0</v>
      </c>
      <c r="P48" s="103" t="n">
        <f aca="false">IF(M48=" "," ",(1+(M48+N48+O48)/100))</f>
        <v>1.07</v>
      </c>
      <c r="Q48" s="108" t="n">
        <f aca="false">IF(L48=" "," ",L48*P48)</f>
        <v>27.82</v>
      </c>
    </row>
    <row r="49" s="92" customFormat="true" ht="9.95" hidden="false" customHeight="true" outlineLevel="0" collapsed="false">
      <c r="A49" s="99" t="s">
        <v>200</v>
      </c>
      <c r="B49" s="100" t="s">
        <v>206</v>
      </c>
      <c r="C49" s="101"/>
      <c r="D49" s="102" t="n">
        <v>3.05</v>
      </c>
      <c r="E49" s="102" t="n">
        <v>2.8</v>
      </c>
      <c r="F49" s="103" t="n">
        <f aca="false">IF(D49=0," ",D49*E49)</f>
        <v>8.54</v>
      </c>
      <c r="G49" s="104" t="n">
        <v>1</v>
      </c>
      <c r="H49" s="105"/>
      <c r="I49" s="103" t="n">
        <f aca="false">IF(F49=" "," ",F49*G49-H49)</f>
        <v>8.54</v>
      </c>
      <c r="J49" s="102" t="n">
        <v>0.479</v>
      </c>
      <c r="K49" s="104" t="n">
        <v>27</v>
      </c>
      <c r="L49" s="106" t="n">
        <f aca="false">IF(I49=" "," ",I49*J49*K49)</f>
        <v>110.44782</v>
      </c>
      <c r="M49" s="107" t="n">
        <v>7</v>
      </c>
      <c r="N49" s="104" t="n">
        <v>0</v>
      </c>
      <c r="O49" s="107" t="n">
        <v>-5</v>
      </c>
      <c r="P49" s="103" t="n">
        <f aca="false">IF(M49=" "," ",(1+(M49+N49+O49)/100))</f>
        <v>1.02</v>
      </c>
      <c r="Q49" s="108" t="n">
        <f aca="false">IF(L49=" "," ",L49*P49)</f>
        <v>112.6567764</v>
      </c>
    </row>
    <row r="50" s="92" customFormat="true" ht="9.95" hidden="false" customHeight="true" outlineLevel="0" collapsed="false">
      <c r="A50" s="99" t="s">
        <v>202</v>
      </c>
      <c r="B50" s="100" t="s">
        <v>206</v>
      </c>
      <c r="C50" s="101"/>
      <c r="D50" s="102" t="n">
        <f aca="false">D49</f>
        <v>3.05</v>
      </c>
      <c r="E50" s="102" t="n">
        <v>0.37</v>
      </c>
      <c r="F50" s="103" t="n">
        <f aca="false">IF(D50=0," ",D50*E50)</f>
        <v>1.1285</v>
      </c>
      <c r="G50" s="104" t="n">
        <v>1</v>
      </c>
      <c r="H50" s="105"/>
      <c r="I50" s="103" t="n">
        <f aca="false">IF(F50=" "," ",F50*G50-H50)</f>
        <v>1.1285</v>
      </c>
      <c r="J50" s="102" t="n">
        <v>0.577</v>
      </c>
      <c r="K50" s="104" t="n">
        <v>27</v>
      </c>
      <c r="L50" s="106" t="n">
        <v>26</v>
      </c>
      <c r="M50" s="107" t="n">
        <v>7</v>
      </c>
      <c r="N50" s="104" t="n">
        <v>0</v>
      </c>
      <c r="O50" s="107" t="n">
        <v>-5</v>
      </c>
      <c r="P50" s="103" t="n">
        <f aca="false">IF(M50=" "," ",(1+(M50+N50+O50)/100))</f>
        <v>1.02</v>
      </c>
      <c r="Q50" s="108" t="n">
        <f aca="false">IF(L50=" "," ",L50*P50)</f>
        <v>26.52</v>
      </c>
    </row>
    <row r="51" s="92" customFormat="true" ht="9.95" hidden="false" customHeight="true" outlineLevel="0" collapsed="false">
      <c r="A51" s="99" t="s">
        <v>204</v>
      </c>
      <c r="B51" s="100" t="s">
        <v>206</v>
      </c>
      <c r="C51" s="101"/>
      <c r="D51" s="102" t="n">
        <v>0.35</v>
      </c>
      <c r="E51" s="102" t="n">
        <v>3.17</v>
      </c>
      <c r="F51" s="103" t="n">
        <f aca="false">IF(D51=0," ",D51*E51)</f>
        <v>1.1095</v>
      </c>
      <c r="G51" s="104" t="n">
        <v>1</v>
      </c>
      <c r="H51" s="105"/>
      <c r="I51" s="103" t="n">
        <f aca="false">IF(F51=" "," ",F51*G51-H51)</f>
        <v>1.1095</v>
      </c>
      <c r="J51" s="102" t="n">
        <v>0.57</v>
      </c>
      <c r="K51" s="104" t="n">
        <v>27</v>
      </c>
      <c r="L51" s="106" t="n">
        <v>26</v>
      </c>
      <c r="M51" s="107" t="n">
        <v>7</v>
      </c>
      <c r="N51" s="104" t="n">
        <v>0</v>
      </c>
      <c r="O51" s="107" t="n">
        <v>-5</v>
      </c>
      <c r="P51" s="103" t="n">
        <f aca="false">IF(M51=" "," ",(1+(M51+N51+O51)/100))</f>
        <v>1.02</v>
      </c>
      <c r="Q51" s="108" t="n">
        <f aca="false">IF(L51=" "," ",L51*P51)</f>
        <v>26.52</v>
      </c>
    </row>
    <row r="52" s="92" customFormat="true" ht="9.95" hidden="false" customHeight="true" outlineLevel="0" collapsed="false">
      <c r="A52" s="99" t="s">
        <v>224</v>
      </c>
      <c r="B52" s="100"/>
      <c r="C52" s="101"/>
      <c r="D52" s="102" t="n">
        <v>1</v>
      </c>
      <c r="E52" s="102" t="n">
        <v>0.5</v>
      </c>
      <c r="F52" s="103" t="n">
        <f aca="false">IF(D52=0," ",D52*E52)</f>
        <v>0.5</v>
      </c>
      <c r="G52" s="104" t="n">
        <v>1</v>
      </c>
      <c r="H52" s="105"/>
      <c r="I52" s="103" t="n">
        <f aca="false">IF(F52=" "," ",F52*G52-H52)</f>
        <v>0.5</v>
      </c>
      <c r="J52" s="102" t="n">
        <v>0.269</v>
      </c>
      <c r="K52" s="104" t="n">
        <v>12</v>
      </c>
      <c r="L52" s="106" t="n">
        <f aca="false">IF(I52=" "," ",I52*J52*K52)</f>
        <v>1.614</v>
      </c>
      <c r="M52" s="107" t="n">
        <v>7</v>
      </c>
      <c r="N52" s="104" t="n">
        <v>0</v>
      </c>
      <c r="O52" s="107" t="n">
        <v>0</v>
      </c>
      <c r="P52" s="103" t="n">
        <f aca="false">IF(M52=" "," ",(1+(M52+N52+O52)/100))</f>
        <v>1.07</v>
      </c>
      <c r="Q52" s="109" t="n">
        <f aca="false">IF(L52=" "," ",L52*P52)</f>
        <v>1.72698</v>
      </c>
    </row>
    <row r="53" s="92" customFormat="true" ht="9.95" hidden="false" customHeight="true" outlineLevel="0" collapsed="false">
      <c r="A53" s="99" t="s">
        <v>224</v>
      </c>
      <c r="B53" s="100"/>
      <c r="C53" s="101"/>
      <c r="D53" s="102" t="n">
        <v>2.9</v>
      </c>
      <c r="E53" s="102" t="n">
        <v>1.6</v>
      </c>
      <c r="F53" s="103" t="n">
        <f aca="false">IF(D53=0," ",D53*E53)</f>
        <v>4.64</v>
      </c>
      <c r="G53" s="104" t="n">
        <v>1</v>
      </c>
      <c r="H53" s="105"/>
      <c r="I53" s="103" t="n">
        <f aca="false">IF(F53=" "," ",F53*G53-H53)</f>
        <v>4.64</v>
      </c>
      <c r="J53" s="102" t="n">
        <v>0.269</v>
      </c>
      <c r="K53" s="104" t="n">
        <v>12</v>
      </c>
      <c r="L53" s="106" t="n">
        <f aca="false">IF(I53=" "," ",I53*J53*K53)</f>
        <v>14.97792</v>
      </c>
      <c r="M53" s="107" t="n">
        <v>7</v>
      </c>
      <c r="N53" s="104" t="n">
        <v>0</v>
      </c>
      <c r="O53" s="107" t="n">
        <v>0</v>
      </c>
      <c r="P53" s="103" t="n">
        <f aca="false">IF(M53=" "," ",(1+(M53+N53+O53)/100))</f>
        <v>1.07</v>
      </c>
      <c r="Q53" s="109" t="n">
        <f aca="false">IF(L53=" "," ",L53*P53)</f>
        <v>16.0263744</v>
      </c>
    </row>
    <row r="54" s="92" customFormat="true" ht="9.95" hidden="false" customHeight="true" outlineLevel="0" collapsed="false">
      <c r="A54" s="110"/>
      <c r="B54" s="111"/>
      <c r="C54" s="111"/>
      <c r="D54" s="112"/>
      <c r="E54" s="112"/>
      <c r="F54" s="112" t="str">
        <f aca="false">IF(D54=0," ",D54*E54)</f>
        <v> </v>
      </c>
      <c r="G54" s="113"/>
      <c r="H54" s="112"/>
      <c r="I54" s="112" t="str">
        <f aca="false">IF(F54=" "," ",F54*G54-H54)</f>
        <v> </v>
      </c>
      <c r="J54" s="112"/>
      <c r="K54" s="113"/>
      <c r="L54" s="114"/>
      <c r="M54" s="115"/>
      <c r="N54" s="115"/>
      <c r="O54" s="115"/>
      <c r="P54" s="116"/>
      <c r="Q54" s="117" t="n">
        <f aca="false">SUM(Q47:Q53)</f>
        <v>239.0901308</v>
      </c>
    </row>
    <row r="55" s="129" customFormat="true" ht="9.95" hidden="false" customHeight="true" outlineLevel="0" collapsed="false">
      <c r="A55" s="118"/>
      <c r="B55" s="119"/>
      <c r="C55" s="119"/>
      <c r="D55" s="120"/>
      <c r="E55" s="121"/>
      <c r="F55" s="122"/>
      <c r="G55" s="123"/>
      <c r="H55" s="122"/>
      <c r="I55" s="124"/>
      <c r="J55" s="125" t="s">
        <v>210</v>
      </c>
      <c r="K55" s="124" t="s">
        <v>211</v>
      </c>
      <c r="L55" s="122" t="s">
        <v>212</v>
      </c>
      <c r="M55" s="123" t="s">
        <v>213</v>
      </c>
      <c r="N55" s="126" t="s">
        <v>214</v>
      </c>
      <c r="O55" s="127" t="s">
        <v>215</v>
      </c>
      <c r="P55" s="123" t="s">
        <v>216</v>
      </c>
      <c r="Q55" s="128"/>
    </row>
    <row r="56" s="129" customFormat="true" ht="9.95" hidden="false" customHeight="true" outlineLevel="0" collapsed="false">
      <c r="A56" s="130" t="s">
        <v>217</v>
      </c>
      <c r="C56" s="131"/>
      <c r="D56" s="131"/>
      <c r="E56" s="132"/>
      <c r="F56" s="133"/>
      <c r="G56" s="134"/>
      <c r="H56" s="135"/>
      <c r="I56" s="136"/>
      <c r="J56" s="137" t="s">
        <v>218</v>
      </c>
      <c r="K56" s="138" t="n">
        <v>2</v>
      </c>
      <c r="L56" s="138" t="n">
        <v>0</v>
      </c>
      <c r="M56" s="138" t="n">
        <v>0.9</v>
      </c>
      <c r="N56" s="138" t="n">
        <v>0.67</v>
      </c>
      <c r="O56" s="115" t="n">
        <v>27</v>
      </c>
      <c r="P56" s="138" t="n">
        <v>1.2</v>
      </c>
      <c r="Q56" s="117" t="n">
        <f aca="false">K56*L56*M56*N56*O56*P56</f>
        <v>0</v>
      </c>
    </row>
    <row r="57" s="87" customFormat="true" ht="9.95" hidden="false" customHeight="true" outlineLevel="0" collapsed="false">
      <c r="A57" s="139"/>
      <c r="B57" s="129"/>
      <c r="C57" s="131"/>
      <c r="D57" s="131"/>
      <c r="E57" s="149"/>
      <c r="F57" s="149"/>
      <c r="G57" s="140"/>
      <c r="H57" s="131"/>
      <c r="I57" s="131"/>
      <c r="J57" s="131"/>
      <c r="K57" s="140"/>
      <c r="L57" s="141"/>
      <c r="M57" s="142" t="s">
        <v>219</v>
      </c>
      <c r="N57" s="142"/>
      <c r="O57" s="143"/>
      <c r="P57" s="142"/>
      <c r="Q57" s="144" t="n">
        <f aca="false">Q54+Q56</f>
        <v>239.0901308</v>
      </c>
    </row>
    <row r="58" s="92" customFormat="true" ht="9.95" hidden="false" customHeight="true" outlineLevel="0" collapsed="false">
      <c r="A58" s="145"/>
      <c r="B58" s="146"/>
      <c r="C58" s="146"/>
      <c r="D58" s="146"/>
      <c r="E58" s="146"/>
      <c r="F58" s="95" t="s">
        <v>185</v>
      </c>
      <c r="G58" s="147" t="s">
        <v>196</v>
      </c>
      <c r="H58" s="146" t="s">
        <v>227</v>
      </c>
      <c r="I58" s="147" t="s">
        <v>228</v>
      </c>
      <c r="J58" s="147"/>
      <c r="K58" s="146" t="s">
        <v>229</v>
      </c>
      <c r="L58" s="146"/>
      <c r="M58" s="146"/>
      <c r="N58" s="146"/>
      <c r="O58" s="146"/>
      <c r="P58" s="146"/>
      <c r="Q58" s="148"/>
    </row>
    <row r="59" s="92" customFormat="true" ht="9.95" hidden="false" customHeight="true" outlineLevel="0" collapsed="false">
      <c r="A59" s="99" t="s">
        <v>200</v>
      </c>
      <c r="B59" s="100" t="s">
        <v>201</v>
      </c>
      <c r="C59" s="101"/>
      <c r="D59" s="102" t="n">
        <v>3.8</v>
      </c>
      <c r="E59" s="102" t="n">
        <v>2.8</v>
      </c>
      <c r="F59" s="103" t="n">
        <f aca="false">IF(D59=0," ",D59*E59)</f>
        <v>10.64</v>
      </c>
      <c r="G59" s="104" t="n">
        <v>1</v>
      </c>
      <c r="H59" s="105" t="n">
        <f aca="false">F61*G61</f>
        <v>5.04</v>
      </c>
      <c r="I59" s="103" t="n">
        <f aca="false">IF(F59=" "," ",F59*G59-H59)</f>
        <v>5.6</v>
      </c>
      <c r="J59" s="102" t="n">
        <v>0.479</v>
      </c>
      <c r="K59" s="104" t="n">
        <v>29</v>
      </c>
      <c r="L59" s="106" t="n">
        <f aca="false">IF(I59=" "," ",I59*J59*K59)</f>
        <v>77.7896</v>
      </c>
      <c r="M59" s="107" t="n">
        <v>7</v>
      </c>
      <c r="N59" s="104" t="n">
        <v>0</v>
      </c>
      <c r="O59" s="107" t="n">
        <v>5</v>
      </c>
      <c r="P59" s="103" t="n">
        <f aca="false">IF(M59=" "," ",(1+(M59+N59+O59)/100))</f>
        <v>1.12</v>
      </c>
      <c r="Q59" s="108" t="n">
        <f aca="false">IF(L59=" "," ",L59*P59)</f>
        <v>87.124352</v>
      </c>
    </row>
    <row r="60" s="92" customFormat="true" ht="9.95" hidden="false" customHeight="true" outlineLevel="0" collapsed="false">
      <c r="A60" s="99" t="s">
        <v>202</v>
      </c>
      <c r="B60" s="100" t="s">
        <v>201</v>
      </c>
      <c r="C60" s="101"/>
      <c r="D60" s="102" t="n">
        <f aca="false">D59</f>
        <v>3.8</v>
      </c>
      <c r="E60" s="102" t="n">
        <v>0.37</v>
      </c>
      <c r="F60" s="103" t="n">
        <f aca="false">IF(D60=0," ",D60*E60)</f>
        <v>1.406</v>
      </c>
      <c r="G60" s="104" t="n">
        <v>1</v>
      </c>
      <c r="H60" s="105"/>
      <c r="I60" s="103" t="n">
        <f aca="false">IF(F60=" "," ",F60*G60-H60)</f>
        <v>1.406</v>
      </c>
      <c r="J60" s="102" t="n">
        <v>0.577</v>
      </c>
      <c r="K60" s="104" t="n">
        <v>29</v>
      </c>
      <c r="L60" s="106" t="n">
        <f aca="false">IF(I60=" "," ",I60*J60*K60)</f>
        <v>23.526598</v>
      </c>
      <c r="M60" s="107" t="n">
        <v>7</v>
      </c>
      <c r="N60" s="104" t="n">
        <v>0</v>
      </c>
      <c r="O60" s="107" t="n">
        <v>5</v>
      </c>
      <c r="P60" s="103" t="n">
        <f aca="false">IF(M60=" "," ",(1+(M60+N60+O60)/100))</f>
        <v>1.12</v>
      </c>
      <c r="Q60" s="108" t="n">
        <f aca="false">IF(L60=" "," ",L60*P60)</f>
        <v>26.34978976</v>
      </c>
    </row>
    <row r="61" s="92" customFormat="true" ht="9.95" hidden="false" customHeight="true" outlineLevel="0" collapsed="false">
      <c r="A61" s="99" t="s">
        <v>203</v>
      </c>
      <c r="B61" s="100" t="s">
        <v>201</v>
      </c>
      <c r="C61" s="101"/>
      <c r="D61" s="102" t="n">
        <v>1.8</v>
      </c>
      <c r="E61" s="102" t="n">
        <v>2.8</v>
      </c>
      <c r="F61" s="103" t="n">
        <f aca="false">IF(D61=0," ",D61*E61)</f>
        <v>5.04</v>
      </c>
      <c r="G61" s="104" t="n">
        <v>1</v>
      </c>
      <c r="H61" s="105"/>
      <c r="I61" s="103" t="n">
        <f aca="false">IF(F61=" "," ",F61*G61-H61)</f>
        <v>5.04</v>
      </c>
      <c r="J61" s="102" t="n">
        <v>2.4</v>
      </c>
      <c r="K61" s="104" t="n">
        <v>29</v>
      </c>
      <c r="L61" s="106" t="n">
        <f aca="false">IF(I61=" "," ",I61*J61*K61)</f>
        <v>350.784</v>
      </c>
      <c r="M61" s="107" t="n">
        <v>7</v>
      </c>
      <c r="N61" s="104" t="n">
        <v>0</v>
      </c>
      <c r="O61" s="107" t="n">
        <v>5</v>
      </c>
      <c r="P61" s="103" t="n">
        <f aca="false">IF(M61=" "," ",(1+(M61+N61+O61)/100))</f>
        <v>1.12</v>
      </c>
      <c r="Q61" s="109" t="n">
        <f aca="false">IF(L61=" "," ",L61*P61)</f>
        <v>392.87808</v>
      </c>
    </row>
    <row r="62" s="92" customFormat="true" ht="9.95" hidden="false" customHeight="true" outlineLevel="0" collapsed="false">
      <c r="A62" s="99" t="s">
        <v>204</v>
      </c>
      <c r="B62" s="100" t="s">
        <v>201</v>
      </c>
      <c r="C62" s="101"/>
      <c r="D62" s="102" t="n">
        <v>0.15</v>
      </c>
      <c r="E62" s="102" t="n">
        <v>3.17</v>
      </c>
      <c r="F62" s="103" t="n">
        <f aca="false">IF(D62=0," ",D62*E62)</f>
        <v>0.4755</v>
      </c>
      <c r="G62" s="104" t="n">
        <v>1</v>
      </c>
      <c r="H62" s="105"/>
      <c r="I62" s="103" t="n">
        <f aca="false">IF(F62=" "," ",F62*G62-H62)</f>
        <v>0.4755</v>
      </c>
      <c r="J62" s="102" t="n">
        <v>0.57</v>
      </c>
      <c r="K62" s="104" t="n">
        <v>29</v>
      </c>
      <c r="L62" s="106" t="n">
        <f aca="false">IF(I62=" "," ",I62*J62*K62)</f>
        <v>7.860015</v>
      </c>
      <c r="M62" s="107" t="n">
        <v>7</v>
      </c>
      <c r="N62" s="104" t="n">
        <v>0</v>
      </c>
      <c r="O62" s="107" t="n">
        <v>5</v>
      </c>
      <c r="P62" s="103" t="n">
        <f aca="false">IF(M62=" "," ",(1+(M62+N62+O62)/100))</f>
        <v>1.12</v>
      </c>
      <c r="Q62" s="108" t="n">
        <f aca="false">IF(L62=" "," ",L62*P62)</f>
        <v>8.8032168</v>
      </c>
    </row>
    <row r="63" s="92" customFormat="true" ht="9.95" hidden="false" customHeight="true" outlineLevel="0" collapsed="false">
      <c r="A63" s="99" t="s">
        <v>200</v>
      </c>
      <c r="B63" s="100" t="s">
        <v>208</v>
      </c>
      <c r="C63" s="101"/>
      <c r="D63" s="102" t="n">
        <v>3.7</v>
      </c>
      <c r="E63" s="102" t="n">
        <v>2.8</v>
      </c>
      <c r="F63" s="103" t="n">
        <f aca="false">IF(D63=0," ",D63*E63)</f>
        <v>10.36</v>
      </c>
      <c r="G63" s="104" t="n">
        <v>1</v>
      </c>
      <c r="H63" s="105"/>
      <c r="I63" s="103" t="n">
        <f aca="false">IF(F63=" "," ",F63*G63-H63)</f>
        <v>10.36</v>
      </c>
      <c r="J63" s="102" t="n">
        <v>0.479</v>
      </c>
      <c r="K63" s="104" t="n">
        <v>29</v>
      </c>
      <c r="L63" s="106" t="n">
        <f aca="false">IF(I63=" "," ",I63*J63*K63)</f>
        <v>143.91076</v>
      </c>
      <c r="M63" s="107" t="n">
        <v>7</v>
      </c>
      <c r="N63" s="104" t="n">
        <v>0</v>
      </c>
      <c r="O63" s="107" t="n">
        <v>0</v>
      </c>
      <c r="P63" s="103" t="n">
        <f aca="false">IF(M63=" "," ",(1+(M63+N63+O63)/100))</f>
        <v>1.07</v>
      </c>
      <c r="Q63" s="108" t="n">
        <f aca="false">IF(L63=" "," ",L63*P63)</f>
        <v>153.9845132</v>
      </c>
    </row>
    <row r="64" s="92" customFormat="true" ht="9.95" hidden="false" customHeight="true" outlineLevel="0" collapsed="false">
      <c r="A64" s="99" t="s">
        <v>202</v>
      </c>
      <c r="B64" s="100" t="s">
        <v>208</v>
      </c>
      <c r="C64" s="101"/>
      <c r="D64" s="102" t="n">
        <f aca="false">D63</f>
        <v>3.7</v>
      </c>
      <c r="E64" s="102" t="n">
        <v>0.37</v>
      </c>
      <c r="F64" s="103" t="n">
        <f aca="false">IF(D64=0," ",D64*E64)</f>
        <v>1.369</v>
      </c>
      <c r="G64" s="104" t="n">
        <v>1</v>
      </c>
      <c r="H64" s="105"/>
      <c r="I64" s="103" t="n">
        <f aca="false">IF(F64=" "," ",F64*G64-H64)</f>
        <v>1.369</v>
      </c>
      <c r="J64" s="102" t="n">
        <v>0.577</v>
      </c>
      <c r="K64" s="104" t="n">
        <v>29</v>
      </c>
      <c r="L64" s="106" t="n">
        <f aca="false">IF(I64=" "," ",I64*J64*K64)</f>
        <v>22.907477</v>
      </c>
      <c r="M64" s="107" t="n">
        <v>7</v>
      </c>
      <c r="N64" s="104" t="n">
        <v>0</v>
      </c>
      <c r="O64" s="107" t="n">
        <v>0</v>
      </c>
      <c r="P64" s="103" t="n">
        <f aca="false">IF(M64=" "," ",(1+(M64+N64+O64)/100))</f>
        <v>1.07</v>
      </c>
      <c r="Q64" s="108" t="n">
        <f aca="false">IF(L64=" "," ",L64*P64)</f>
        <v>24.51100039</v>
      </c>
    </row>
    <row r="65" s="92" customFormat="true" ht="9.95" hidden="false" customHeight="true" outlineLevel="0" collapsed="false">
      <c r="A65" s="99" t="s">
        <v>204</v>
      </c>
      <c r="B65" s="100" t="s">
        <v>208</v>
      </c>
      <c r="C65" s="101"/>
      <c r="D65" s="102" t="n">
        <v>0.35</v>
      </c>
      <c r="E65" s="102" t="n">
        <v>3.17</v>
      </c>
      <c r="F65" s="103" t="n">
        <f aca="false">IF(D65=0," ",D65*E65)</f>
        <v>1.1095</v>
      </c>
      <c r="G65" s="104" t="n">
        <v>1</v>
      </c>
      <c r="H65" s="105"/>
      <c r="I65" s="103" t="n">
        <f aca="false">IF(F65=" "," ",F65*G65-H65)</f>
        <v>1.1095</v>
      </c>
      <c r="J65" s="102" t="n">
        <v>0.57</v>
      </c>
      <c r="K65" s="104" t="n">
        <v>29</v>
      </c>
      <c r="L65" s="106" t="n">
        <f aca="false">IF(I65=" "," ",I65*J65*K65)</f>
        <v>18.340035</v>
      </c>
      <c r="M65" s="107" t="n">
        <v>7</v>
      </c>
      <c r="N65" s="104" t="n">
        <v>0</v>
      </c>
      <c r="O65" s="107" t="n">
        <v>0</v>
      </c>
      <c r="P65" s="103" t="n">
        <f aca="false">IF(M65=" "," ",(1+(M65+N65+O65)/100))</f>
        <v>1.07</v>
      </c>
      <c r="Q65" s="108" t="n">
        <f aca="false">IF(L65=" "," ",L65*P65)</f>
        <v>19.62383745</v>
      </c>
    </row>
    <row r="66" s="92" customFormat="true" ht="9.95" hidden="false" customHeight="true" outlineLevel="0" collapsed="false">
      <c r="A66" s="99" t="s">
        <v>209</v>
      </c>
      <c r="B66" s="100"/>
      <c r="C66" s="101"/>
      <c r="D66" s="102" t="n">
        <v>1.05</v>
      </c>
      <c r="E66" s="102" t="n">
        <v>1.6</v>
      </c>
      <c r="F66" s="103" t="n">
        <f aca="false">IF(D66=0," ",D66*E66)</f>
        <v>1.68</v>
      </c>
      <c r="G66" s="104" t="n">
        <v>1</v>
      </c>
      <c r="H66" s="105"/>
      <c r="I66" s="103" t="n">
        <f aca="false">IF(F66=" "," ",F66*G66-H66)</f>
        <v>1.68</v>
      </c>
      <c r="J66" s="102" t="n">
        <v>0.269</v>
      </c>
      <c r="K66" s="104" t="n">
        <v>14</v>
      </c>
      <c r="L66" s="106" t="n">
        <f aca="false">IF(I66=" "," ",I66*J66*K66)</f>
        <v>6.32688</v>
      </c>
      <c r="M66" s="107" t="n">
        <v>7</v>
      </c>
      <c r="N66" s="104" t="n">
        <v>0</v>
      </c>
      <c r="O66" s="107" t="n">
        <v>0</v>
      </c>
      <c r="P66" s="103" t="n">
        <f aca="false">IF(M66=" "," ",(1+(M66+N66+O66)/100))</f>
        <v>1.07</v>
      </c>
      <c r="Q66" s="109" t="n">
        <f aca="false">IF(L66=" "," ",L66*P66)</f>
        <v>6.7697616</v>
      </c>
    </row>
    <row r="67" s="92" customFormat="true" ht="9.95" hidden="false" customHeight="true" outlineLevel="0" collapsed="false">
      <c r="A67" s="99" t="s">
        <v>209</v>
      </c>
      <c r="B67" s="100"/>
      <c r="C67" s="101"/>
      <c r="D67" s="102" t="n">
        <v>3.95</v>
      </c>
      <c r="E67" s="102" t="n">
        <v>4.05</v>
      </c>
      <c r="F67" s="103" t="n">
        <f aca="false">IF(D67=0," ",D67*E67)</f>
        <v>15.9975</v>
      </c>
      <c r="G67" s="104" t="n">
        <v>1</v>
      </c>
      <c r="H67" s="105"/>
      <c r="I67" s="103" t="n">
        <f aca="false">IF(F67=" "," ",F67*G67-H67)</f>
        <v>15.9975</v>
      </c>
      <c r="J67" s="102" t="n">
        <v>0.269</v>
      </c>
      <c r="K67" s="104" t="n">
        <v>14</v>
      </c>
      <c r="L67" s="106" t="n">
        <f aca="false">IF(I67=" "," ",I67*J67*K67)</f>
        <v>60.246585</v>
      </c>
      <c r="M67" s="107" t="n">
        <v>7</v>
      </c>
      <c r="N67" s="104" t="n">
        <v>0</v>
      </c>
      <c r="O67" s="107" t="n">
        <v>0</v>
      </c>
      <c r="P67" s="103" t="n">
        <f aca="false">IF(M67=" "," ",(1+(M67+N67+O67)/100))</f>
        <v>1.07</v>
      </c>
      <c r="Q67" s="109" t="n">
        <f aca="false">IF(L67=" "," ",L67*P67)</f>
        <v>64.46384595</v>
      </c>
    </row>
    <row r="68" s="92" customFormat="true" ht="9.95" hidden="false" customHeight="true" outlineLevel="0" collapsed="false">
      <c r="A68" s="110"/>
      <c r="B68" s="111"/>
      <c r="C68" s="111"/>
      <c r="D68" s="112"/>
      <c r="E68" s="112"/>
      <c r="F68" s="112" t="str">
        <f aca="false">IF(D68=0," ",D68*E68)</f>
        <v> </v>
      </c>
      <c r="G68" s="113"/>
      <c r="H68" s="112"/>
      <c r="I68" s="112" t="str">
        <f aca="false">IF(F68=" "," ",F68*G68-H68)</f>
        <v> </v>
      </c>
      <c r="J68" s="112"/>
      <c r="K68" s="113"/>
      <c r="L68" s="114"/>
      <c r="M68" s="115"/>
      <c r="N68" s="115"/>
      <c r="O68" s="115"/>
      <c r="P68" s="116"/>
      <c r="Q68" s="117" t="n">
        <f aca="false">SUM(Q59:Q67)</f>
        <v>784.50839715</v>
      </c>
    </row>
    <row r="69" s="129" customFormat="true" ht="9.95" hidden="false" customHeight="true" outlineLevel="0" collapsed="false">
      <c r="A69" s="118"/>
      <c r="B69" s="119"/>
      <c r="C69" s="119"/>
      <c r="D69" s="120"/>
      <c r="E69" s="121"/>
      <c r="F69" s="122"/>
      <c r="G69" s="123"/>
      <c r="H69" s="122"/>
      <c r="I69" s="124"/>
      <c r="J69" s="125" t="s">
        <v>210</v>
      </c>
      <c r="K69" s="124" t="s">
        <v>211</v>
      </c>
      <c r="L69" s="122" t="s">
        <v>212</v>
      </c>
      <c r="M69" s="123" t="s">
        <v>213</v>
      </c>
      <c r="N69" s="126" t="s">
        <v>214</v>
      </c>
      <c r="O69" s="127" t="s">
        <v>215</v>
      </c>
      <c r="P69" s="123" t="s">
        <v>216</v>
      </c>
      <c r="Q69" s="128"/>
    </row>
    <row r="70" s="129" customFormat="true" ht="9.95" hidden="false" customHeight="true" outlineLevel="0" collapsed="false">
      <c r="A70" s="130" t="s">
        <v>217</v>
      </c>
      <c r="C70" s="131"/>
      <c r="D70" s="131"/>
      <c r="E70" s="132"/>
      <c r="F70" s="133"/>
      <c r="G70" s="134"/>
      <c r="H70" s="135"/>
      <c r="I70" s="136"/>
      <c r="J70" s="137" t="s">
        <v>218</v>
      </c>
      <c r="K70" s="138" t="n">
        <v>2</v>
      </c>
      <c r="L70" s="138" t="n">
        <f aca="false">(D61+E61)*2*G61</f>
        <v>9.2</v>
      </c>
      <c r="M70" s="138" t="n">
        <v>0.9</v>
      </c>
      <c r="N70" s="138" t="n">
        <v>0.67</v>
      </c>
      <c r="O70" s="115" t="n">
        <v>29</v>
      </c>
      <c r="P70" s="138" t="n">
        <v>1.2</v>
      </c>
      <c r="Q70" s="117" t="n">
        <f aca="false">K70*L70*M70*N70*O70*P70</f>
        <v>386.11296</v>
      </c>
    </row>
    <row r="71" s="87" customFormat="true" ht="9.95" hidden="false" customHeight="true" outlineLevel="0" collapsed="false">
      <c r="A71" s="139"/>
      <c r="B71" s="129"/>
      <c r="C71" s="131"/>
      <c r="D71" s="131"/>
      <c r="E71" s="112"/>
      <c r="F71" s="112"/>
      <c r="G71" s="140"/>
      <c r="H71" s="131"/>
      <c r="I71" s="131"/>
      <c r="J71" s="131"/>
      <c r="K71" s="140"/>
      <c r="L71" s="141"/>
      <c r="M71" s="142" t="s">
        <v>219</v>
      </c>
      <c r="N71" s="142"/>
      <c r="O71" s="143"/>
      <c r="P71" s="142"/>
      <c r="Q71" s="144" t="n">
        <f aca="false">Q68+Q70</f>
        <v>1170.62135715</v>
      </c>
    </row>
    <row r="72" s="87" customFormat="true" ht="9.95" hidden="false" customHeight="true" outlineLevel="0" collapsed="false">
      <c r="A72" s="139"/>
      <c r="B72" s="129"/>
      <c r="C72" s="131"/>
      <c r="D72" s="131"/>
      <c r="E72" s="150"/>
      <c r="F72" s="150"/>
      <c r="G72" s="140"/>
      <c r="H72" s="131"/>
      <c r="I72" s="131"/>
      <c r="J72" s="131"/>
      <c r="K72" s="140"/>
      <c r="L72" s="141"/>
      <c r="M72" s="142"/>
      <c r="N72" s="142"/>
      <c r="O72" s="143"/>
      <c r="P72" s="142"/>
      <c r="Q72" s="144"/>
    </row>
    <row r="73" s="87" customFormat="true" ht="9.95" hidden="false" customHeight="true" outlineLevel="0" collapsed="false">
      <c r="A73" s="139"/>
      <c r="B73" s="129"/>
      <c r="C73" s="131"/>
      <c r="D73" s="131"/>
      <c r="E73" s="150"/>
      <c r="F73" s="150"/>
      <c r="G73" s="140"/>
      <c r="H73" s="131"/>
      <c r="I73" s="131"/>
      <c r="J73" s="131"/>
      <c r="K73" s="140"/>
      <c r="L73" s="141"/>
      <c r="M73" s="142"/>
      <c r="N73" s="142"/>
      <c r="O73" s="143"/>
      <c r="P73" s="142"/>
      <c r="Q73" s="144"/>
    </row>
    <row r="74" s="87" customFormat="true" ht="9.95" hidden="false" customHeight="true" outlineLevel="0" collapsed="false">
      <c r="A74" s="139"/>
      <c r="B74" s="129"/>
      <c r="C74" s="131"/>
      <c r="D74" s="131"/>
      <c r="E74" s="150"/>
      <c r="F74" s="150"/>
      <c r="G74" s="140"/>
      <c r="H74" s="131"/>
      <c r="I74" s="131"/>
      <c r="J74" s="131"/>
      <c r="K74" s="140"/>
      <c r="L74" s="141"/>
      <c r="M74" s="142"/>
      <c r="N74" s="142"/>
      <c r="O74" s="143"/>
      <c r="P74" s="142"/>
      <c r="Q74" s="144"/>
    </row>
    <row r="75" s="87" customFormat="true" ht="9.95" hidden="false" customHeight="true" outlineLevel="0" collapsed="false">
      <c r="A75" s="139"/>
      <c r="B75" s="129"/>
      <c r="C75" s="131"/>
      <c r="D75" s="131"/>
      <c r="E75" s="150"/>
      <c r="F75" s="150"/>
      <c r="G75" s="140"/>
      <c r="H75" s="131"/>
      <c r="I75" s="131"/>
      <c r="J75" s="131"/>
      <c r="K75" s="140"/>
      <c r="L75" s="141"/>
      <c r="M75" s="142"/>
      <c r="N75" s="142"/>
      <c r="O75" s="143"/>
      <c r="P75" s="142"/>
      <c r="Q75" s="144"/>
    </row>
    <row r="80" s="72" customFormat="true" ht="9.75" hidden="false" customHeight="true" outlineLevel="0" collapsed="false">
      <c r="A80" s="63"/>
      <c r="B80" s="64"/>
      <c r="C80" s="64"/>
      <c r="D80" s="64"/>
      <c r="E80" s="64"/>
      <c r="F80" s="65"/>
      <c r="G80" s="66"/>
      <c r="H80" s="67" t="s">
        <v>151</v>
      </c>
      <c r="I80" s="66"/>
      <c r="J80" s="66"/>
      <c r="K80" s="64"/>
      <c r="L80" s="68"/>
      <c r="M80" s="64"/>
      <c r="N80" s="69" t="s">
        <v>152</v>
      </c>
      <c r="O80" s="70" t="str">
        <f aca="false">O1</f>
        <v>ZEMİN </v>
      </c>
      <c r="P80" s="70" t="s">
        <v>33</v>
      </c>
      <c r="Q80" s="71" t="n">
        <f aca="false">Q1</f>
        <v>44267</v>
      </c>
    </row>
    <row r="81" s="74" customFormat="true" ht="10.5" hidden="false" customHeight="false" outlineLevel="0" collapsed="false">
      <c r="A81" s="73"/>
      <c r="F81" s="75" t="s">
        <v>154</v>
      </c>
      <c r="G81" s="76"/>
      <c r="H81" s="77" t="str">
        <f aca="false">H2</f>
        <v>MEHMET DAL - A-B-C-D BLOK</v>
      </c>
      <c r="I81" s="77"/>
      <c r="J81" s="77"/>
      <c r="K81" s="78"/>
      <c r="L81" s="79"/>
      <c r="N81" s="80" t="s">
        <v>155</v>
      </c>
      <c r="O81" s="81" t="n">
        <f aca="false">O2+1</f>
        <v>4</v>
      </c>
      <c r="P81" s="81"/>
      <c r="Q81" s="81"/>
    </row>
    <row r="82" s="74" customFormat="true" ht="8.25" hidden="false" customHeight="true" outlineLevel="0" collapsed="false">
      <c r="A82" s="82" t="s">
        <v>156</v>
      </c>
      <c r="B82" s="82"/>
      <c r="C82" s="82"/>
      <c r="D82" s="82"/>
      <c r="E82" s="83" t="s">
        <v>157</v>
      </c>
      <c r="F82" s="83"/>
      <c r="G82" s="83"/>
      <c r="H82" s="83"/>
      <c r="I82" s="84" t="s">
        <v>158</v>
      </c>
      <c r="J82" s="84"/>
      <c r="K82" s="84"/>
      <c r="L82" s="84"/>
      <c r="M82" s="84" t="s">
        <v>159</v>
      </c>
      <c r="N82" s="84"/>
      <c r="O82" s="84"/>
      <c r="P82" s="84"/>
      <c r="Q82" s="84" t="s">
        <v>160</v>
      </c>
    </row>
    <row r="83" s="87" customFormat="true" ht="31.5" hidden="false" customHeight="true" outlineLevel="0" collapsed="false">
      <c r="A83" s="85" t="s">
        <v>161</v>
      </c>
      <c r="B83" s="85" t="s">
        <v>162</v>
      </c>
      <c r="C83" s="85" t="s">
        <v>163</v>
      </c>
      <c r="D83" s="85" t="s">
        <v>164</v>
      </c>
      <c r="E83" s="85" t="s">
        <v>165</v>
      </c>
      <c r="F83" s="86" t="s">
        <v>166</v>
      </c>
      <c r="G83" s="85" t="s">
        <v>167</v>
      </c>
      <c r="H83" s="86" t="s">
        <v>168</v>
      </c>
      <c r="I83" s="86" t="s">
        <v>169</v>
      </c>
      <c r="J83" s="86" t="s">
        <v>170</v>
      </c>
      <c r="K83" s="86" t="s">
        <v>171</v>
      </c>
      <c r="L83" s="86" t="s">
        <v>172</v>
      </c>
      <c r="M83" s="85" t="s">
        <v>173</v>
      </c>
      <c r="N83" s="85" t="s">
        <v>174</v>
      </c>
      <c r="O83" s="85" t="s">
        <v>162</v>
      </c>
      <c r="P83" s="85" t="s">
        <v>175</v>
      </c>
      <c r="Q83" s="86" t="s">
        <v>176</v>
      </c>
    </row>
    <row r="84" s="87" customFormat="true" ht="9.75" hidden="false" customHeight="true" outlineLevel="0" collapsed="false">
      <c r="A84" s="88"/>
      <c r="B84" s="88"/>
      <c r="C84" s="88"/>
      <c r="D84" s="88"/>
      <c r="E84" s="88"/>
      <c r="F84" s="88" t="s">
        <v>177</v>
      </c>
      <c r="G84" s="88"/>
      <c r="H84" s="88"/>
      <c r="I84" s="88" t="s">
        <v>178</v>
      </c>
      <c r="J84" s="88" t="s">
        <v>179</v>
      </c>
      <c r="K84" s="89" t="s">
        <v>180</v>
      </c>
      <c r="L84" s="88" t="s">
        <v>181</v>
      </c>
      <c r="M84" s="88" t="s">
        <v>182</v>
      </c>
      <c r="N84" s="88" t="s">
        <v>183</v>
      </c>
      <c r="O84" s="88" t="s">
        <v>184</v>
      </c>
      <c r="P84" s="88" t="s">
        <v>185</v>
      </c>
      <c r="Q84" s="88" t="s">
        <v>186</v>
      </c>
    </row>
    <row r="85" s="92" customFormat="true" ht="15.75" hidden="false" customHeight="true" outlineLevel="0" collapsed="false">
      <c r="A85" s="80"/>
      <c r="B85" s="80"/>
      <c r="C85" s="80" t="s">
        <v>187</v>
      </c>
      <c r="D85" s="80" t="s">
        <v>188</v>
      </c>
      <c r="E85" s="80" t="s">
        <v>188</v>
      </c>
      <c r="F85" s="80" t="s">
        <v>189</v>
      </c>
      <c r="G85" s="80" t="s">
        <v>190</v>
      </c>
      <c r="H85" s="80" t="s">
        <v>189</v>
      </c>
      <c r="I85" s="80" t="s">
        <v>189</v>
      </c>
      <c r="J85" s="90" t="s">
        <v>191</v>
      </c>
      <c r="K85" s="80" t="s">
        <v>192</v>
      </c>
      <c r="L85" s="91" t="s">
        <v>193</v>
      </c>
      <c r="M85" s="80" t="s">
        <v>194</v>
      </c>
      <c r="N85" s="80" t="s">
        <v>194</v>
      </c>
      <c r="O85" s="80" t="s">
        <v>194</v>
      </c>
      <c r="P85" s="80" t="s">
        <v>195</v>
      </c>
      <c r="Q85" s="91" t="s">
        <v>193</v>
      </c>
    </row>
    <row r="86" s="92" customFormat="true" ht="11.25" hidden="false" customHeight="true" outlineLevel="0" collapsed="false">
      <c r="A86" s="80" t="n">
        <v>1</v>
      </c>
      <c r="B86" s="80" t="n">
        <v>2</v>
      </c>
      <c r="C86" s="80" t="n">
        <v>3</v>
      </c>
      <c r="D86" s="80" t="n">
        <v>4</v>
      </c>
      <c r="E86" s="80" t="n">
        <v>5</v>
      </c>
      <c r="F86" s="80" t="n">
        <v>6</v>
      </c>
      <c r="G86" s="80" t="n">
        <v>7</v>
      </c>
      <c r="H86" s="80" t="n">
        <v>8</v>
      </c>
      <c r="I86" s="80" t="n">
        <v>9</v>
      </c>
      <c r="J86" s="80" t="n">
        <v>10</v>
      </c>
      <c r="K86" s="80" t="n">
        <v>11</v>
      </c>
      <c r="L86" s="80" t="n">
        <v>12</v>
      </c>
      <c r="M86" s="80" t="n">
        <v>13</v>
      </c>
      <c r="N86" s="80" t="n">
        <v>14</v>
      </c>
      <c r="O86" s="80" t="n">
        <v>15</v>
      </c>
      <c r="P86" s="80" t="n">
        <v>16</v>
      </c>
      <c r="Q86" s="80" t="n">
        <v>17</v>
      </c>
    </row>
    <row r="87" s="92" customFormat="true" ht="9.75" hidden="false" customHeight="true" outlineLevel="0" collapsed="false">
      <c r="A87" s="145"/>
      <c r="B87" s="146"/>
      <c r="C87" s="146"/>
      <c r="D87" s="146"/>
      <c r="E87" s="146"/>
      <c r="F87" s="95" t="str">
        <f aca="false">F58</f>
        <v>Z</v>
      </c>
      <c r="G87" s="147" t="s">
        <v>196</v>
      </c>
      <c r="H87" s="146" t="s">
        <v>230</v>
      </c>
      <c r="I87" s="147" t="s">
        <v>231</v>
      </c>
      <c r="J87" s="147"/>
      <c r="K87" s="146" t="s">
        <v>222</v>
      </c>
      <c r="L87" s="146"/>
      <c r="M87" s="146"/>
      <c r="N87" s="146"/>
      <c r="O87" s="146"/>
      <c r="P87" s="146"/>
      <c r="Q87" s="148"/>
    </row>
    <row r="88" s="92" customFormat="true" ht="9.95" hidden="false" customHeight="true" outlineLevel="0" collapsed="false">
      <c r="A88" s="99" t="s">
        <v>200</v>
      </c>
      <c r="B88" s="100" t="s">
        <v>208</v>
      </c>
      <c r="C88" s="101"/>
      <c r="D88" s="102" t="n">
        <v>0.75</v>
      </c>
      <c r="E88" s="102" t="n">
        <v>2.8</v>
      </c>
      <c r="F88" s="103" t="n">
        <f aca="false">IF(D88=0," ",D88*E88)</f>
        <v>2.1</v>
      </c>
      <c r="G88" s="104" t="n">
        <v>1</v>
      </c>
      <c r="H88" s="105" t="n">
        <f aca="false">F90*G90</f>
        <v>0.36</v>
      </c>
      <c r="I88" s="103" t="n">
        <f aca="false">IF(F88=" "," ",F88*G88-H88)</f>
        <v>1.74</v>
      </c>
      <c r="J88" s="102" t="n">
        <v>0.479</v>
      </c>
      <c r="K88" s="104" t="n">
        <v>35</v>
      </c>
      <c r="L88" s="106" t="n">
        <f aca="false">IF(I88=" "," ",I88*J88*K88)</f>
        <v>29.1711</v>
      </c>
      <c r="M88" s="107" t="n">
        <v>7</v>
      </c>
      <c r="N88" s="104" t="n">
        <v>0</v>
      </c>
      <c r="O88" s="107" t="n">
        <v>0</v>
      </c>
      <c r="P88" s="103" t="n">
        <f aca="false">IF(M88=" "," ",(1+(M88+N88+O88)/100))</f>
        <v>1.07</v>
      </c>
      <c r="Q88" s="108" t="n">
        <f aca="false">IF(L88=" "," ",L88*P88)</f>
        <v>31.213077</v>
      </c>
    </row>
    <row r="89" s="92" customFormat="true" ht="9.95" hidden="false" customHeight="true" outlineLevel="0" collapsed="false">
      <c r="A89" s="99" t="s">
        <v>202</v>
      </c>
      <c r="B89" s="100" t="s">
        <v>208</v>
      </c>
      <c r="C89" s="101"/>
      <c r="D89" s="102" t="n">
        <f aca="false">D88</f>
        <v>0.75</v>
      </c>
      <c r="E89" s="102" t="n">
        <v>0.37</v>
      </c>
      <c r="F89" s="103" t="n">
        <f aca="false">IF(D89=0," ",D89*E89)</f>
        <v>0.2775</v>
      </c>
      <c r="G89" s="104" t="n">
        <v>1</v>
      </c>
      <c r="H89" s="105"/>
      <c r="I89" s="103" t="n">
        <f aca="false">IF(F89=" "," ",F89*G89-H89)</f>
        <v>0.2775</v>
      </c>
      <c r="J89" s="102" t="n">
        <v>0.577</v>
      </c>
      <c r="K89" s="104" t="n">
        <v>35</v>
      </c>
      <c r="L89" s="106" t="n">
        <f aca="false">IF(I89=" "," ",I89*J89*K89)</f>
        <v>5.6041125</v>
      </c>
      <c r="M89" s="107" t="n">
        <v>7</v>
      </c>
      <c r="N89" s="104" t="n">
        <v>0</v>
      </c>
      <c r="O89" s="107" t="n">
        <v>0</v>
      </c>
      <c r="P89" s="103" t="n">
        <f aca="false">IF(M89=" "," ",(1+(M89+N89+O89)/100))</f>
        <v>1.07</v>
      </c>
      <c r="Q89" s="108" t="n">
        <f aca="false">IF(L89=" "," ",L89*P89)</f>
        <v>5.996400375</v>
      </c>
    </row>
    <row r="90" s="92" customFormat="true" ht="9.95" hidden="false" customHeight="true" outlineLevel="0" collapsed="false">
      <c r="A90" s="99" t="s">
        <v>203</v>
      </c>
      <c r="B90" s="100" t="s">
        <v>208</v>
      </c>
      <c r="C90" s="101"/>
      <c r="D90" s="102" t="n">
        <v>0.6</v>
      </c>
      <c r="E90" s="102" t="n">
        <v>0.6</v>
      </c>
      <c r="F90" s="103" t="n">
        <f aca="false">IF(D90=0," ",D90*E90)</f>
        <v>0.36</v>
      </c>
      <c r="G90" s="104" t="n">
        <v>1</v>
      </c>
      <c r="H90" s="105"/>
      <c r="I90" s="103" t="n">
        <f aca="false">IF(F90=" "," ",F90*G90-H90)</f>
        <v>0.36</v>
      </c>
      <c r="J90" s="102" t="n">
        <v>2.4</v>
      </c>
      <c r="K90" s="104" t="n">
        <v>35</v>
      </c>
      <c r="L90" s="106" t="n">
        <f aca="false">IF(I90=" "," ",I90*J90*K90)</f>
        <v>30.24</v>
      </c>
      <c r="M90" s="107" t="n">
        <v>7</v>
      </c>
      <c r="N90" s="104" t="n">
        <v>0</v>
      </c>
      <c r="O90" s="107" t="n">
        <v>0</v>
      </c>
      <c r="P90" s="103" t="n">
        <f aca="false">IF(M90=" "," ",(1+(M90+N90+O90)/100))</f>
        <v>1.07</v>
      </c>
      <c r="Q90" s="109" t="n">
        <f aca="false">IF(L90=" "," ",L90*P90)</f>
        <v>32.3568</v>
      </c>
    </row>
    <row r="91" s="92" customFormat="true" ht="9.95" hidden="false" customHeight="true" outlineLevel="0" collapsed="false">
      <c r="A91" s="99" t="s">
        <v>204</v>
      </c>
      <c r="B91" s="100" t="s">
        <v>208</v>
      </c>
      <c r="C91" s="101"/>
      <c r="D91" s="102" t="n">
        <v>0.2</v>
      </c>
      <c r="E91" s="102" t="n">
        <v>3.17</v>
      </c>
      <c r="F91" s="103" t="n">
        <f aca="false">IF(D91=0," ",D91*E91)</f>
        <v>0.634</v>
      </c>
      <c r="G91" s="104" t="n">
        <v>1</v>
      </c>
      <c r="H91" s="105"/>
      <c r="I91" s="103" t="n">
        <f aca="false">IF(F91=" "," ",F91*G91-H91)</f>
        <v>0.634</v>
      </c>
      <c r="J91" s="102" t="n">
        <v>0.57</v>
      </c>
      <c r="K91" s="104" t="n">
        <v>35</v>
      </c>
      <c r="L91" s="106" t="n">
        <f aca="false">IF(I91=" "," ",I91*J91*K91)</f>
        <v>12.6483</v>
      </c>
      <c r="M91" s="107" t="n">
        <v>7</v>
      </c>
      <c r="N91" s="104" t="n">
        <v>0</v>
      </c>
      <c r="O91" s="107" t="n">
        <v>0</v>
      </c>
      <c r="P91" s="103" t="n">
        <f aca="false">IF(M91=" "," ",(1+(M91+N91+O91)/100))</f>
        <v>1.07</v>
      </c>
      <c r="Q91" s="108" t="n">
        <f aca="false">IF(L91=" "," ",L91*P91)</f>
        <v>13.533681</v>
      </c>
    </row>
    <row r="92" s="92" customFormat="true" ht="9.95" hidden="false" customHeight="true" outlineLevel="0" collapsed="false">
      <c r="A92" s="99" t="s">
        <v>223</v>
      </c>
      <c r="B92" s="100"/>
      <c r="C92" s="101"/>
      <c r="D92" s="102" t="n">
        <v>3.3</v>
      </c>
      <c r="E92" s="102" t="n">
        <v>3.17</v>
      </c>
      <c r="F92" s="103" t="n">
        <f aca="false">IF(D92=0," ",D92*E92)</f>
        <v>10.461</v>
      </c>
      <c r="G92" s="104" t="n">
        <v>1</v>
      </c>
      <c r="H92" s="105" t="n">
        <f aca="false">F93*G93</f>
        <v>1.76</v>
      </c>
      <c r="I92" s="103" t="n">
        <f aca="false">IF(F92=" "," ",F92*G92-H92)</f>
        <v>8.701</v>
      </c>
      <c r="J92" s="102" t="n">
        <v>2</v>
      </c>
      <c r="K92" s="104" t="n">
        <v>6</v>
      </c>
      <c r="L92" s="106" t="n">
        <f aca="false">IF(I92=" "," ",I92*J92*K92)</f>
        <v>104.412</v>
      </c>
      <c r="M92" s="107" t="n">
        <v>7</v>
      </c>
      <c r="N92" s="104" t="n">
        <v>0</v>
      </c>
      <c r="O92" s="107" t="n">
        <v>0</v>
      </c>
      <c r="P92" s="103" t="n">
        <f aca="false">IF(M92=" "," ",(1+(M92+N92+O92)/100))</f>
        <v>1.07</v>
      </c>
      <c r="Q92" s="108" t="n">
        <f aca="false">IF(L92=" "," ",L92*P92)</f>
        <v>111.72084</v>
      </c>
    </row>
    <row r="93" s="92" customFormat="true" ht="9.95" hidden="false" customHeight="true" outlineLevel="0" collapsed="false">
      <c r="A93" s="99" t="s">
        <v>232</v>
      </c>
      <c r="B93" s="100"/>
      <c r="C93" s="101"/>
      <c r="D93" s="102" t="n">
        <v>0.8</v>
      </c>
      <c r="E93" s="102" t="n">
        <v>2.2</v>
      </c>
      <c r="F93" s="103" t="n">
        <f aca="false">IF(D93=0," ",D93*E93)</f>
        <v>1.76</v>
      </c>
      <c r="G93" s="104" t="n">
        <v>1</v>
      </c>
      <c r="H93" s="105"/>
      <c r="I93" s="103" t="n">
        <f aca="false">IF(F93=" "," ",F93*G93-H93)</f>
        <v>1.76</v>
      </c>
      <c r="J93" s="102" t="n">
        <v>2</v>
      </c>
      <c r="K93" s="104" t="n">
        <v>6</v>
      </c>
      <c r="L93" s="106" t="n">
        <f aca="false">IF(I93=" "," ",I93*J93*K93)</f>
        <v>21.12</v>
      </c>
      <c r="M93" s="107" t="n">
        <v>7</v>
      </c>
      <c r="N93" s="104" t="n">
        <v>0</v>
      </c>
      <c r="O93" s="107" t="n">
        <v>0</v>
      </c>
      <c r="P93" s="103" t="n">
        <f aca="false">IF(M93=" "," ",(1+(M93+N93+O93)/100))</f>
        <v>1.07</v>
      </c>
      <c r="Q93" s="108" t="n">
        <f aca="false">IF(L93=" "," ",L93*P93)</f>
        <v>22.5984</v>
      </c>
    </row>
    <row r="94" s="92" customFormat="true" ht="9.95" hidden="false" customHeight="true" outlineLevel="0" collapsed="false">
      <c r="A94" s="99" t="s">
        <v>224</v>
      </c>
      <c r="B94" s="100"/>
      <c r="C94" s="101"/>
      <c r="D94" s="102" t="n">
        <v>1.25</v>
      </c>
      <c r="E94" s="102" t="n">
        <v>1.4</v>
      </c>
      <c r="F94" s="103" t="n">
        <f aca="false">IF(D94=0," ",D94*E94)</f>
        <v>1.75</v>
      </c>
      <c r="G94" s="104" t="n">
        <v>1</v>
      </c>
      <c r="H94" s="105"/>
      <c r="I94" s="103" t="n">
        <f aca="false">IF(F94=" "," ",F94*G94-H94)</f>
        <v>1.75</v>
      </c>
      <c r="J94" s="102" t="n">
        <v>0.269</v>
      </c>
      <c r="K94" s="104" t="n">
        <v>20</v>
      </c>
      <c r="L94" s="106" t="n">
        <f aca="false">IF(I94=" "," ",I94*J94*K94)</f>
        <v>9.415</v>
      </c>
      <c r="M94" s="107" t="n">
        <v>7</v>
      </c>
      <c r="N94" s="104" t="n">
        <v>0</v>
      </c>
      <c r="O94" s="107" t="n">
        <v>0</v>
      </c>
      <c r="P94" s="103" t="n">
        <f aca="false">IF(M94=" "," ",(1+(M94+N94+O94)/100))</f>
        <v>1.07</v>
      </c>
      <c r="Q94" s="109" t="n">
        <f aca="false">IF(L94=" "," ",L94*P94)</f>
        <v>10.07405</v>
      </c>
    </row>
    <row r="95" s="92" customFormat="true" ht="9.95" hidden="false" customHeight="true" outlineLevel="0" collapsed="false">
      <c r="A95" s="99" t="s">
        <v>224</v>
      </c>
      <c r="B95" s="100"/>
      <c r="C95" s="101"/>
      <c r="D95" s="102" t="n">
        <v>0.95</v>
      </c>
      <c r="E95" s="102" t="n">
        <v>2.25</v>
      </c>
      <c r="F95" s="103" t="n">
        <f aca="false">IF(D95=0," ",D95*E95)</f>
        <v>2.1375</v>
      </c>
      <c r="G95" s="104" t="n">
        <v>1</v>
      </c>
      <c r="H95" s="105"/>
      <c r="I95" s="103" t="n">
        <f aca="false">IF(F95=" "," ",F95*G95-H95)</f>
        <v>2.1375</v>
      </c>
      <c r="J95" s="102" t="n">
        <v>0.269</v>
      </c>
      <c r="K95" s="104" t="n">
        <v>20</v>
      </c>
      <c r="L95" s="106" t="n">
        <f aca="false">IF(I95=" "," ",I95*J95*K95)</f>
        <v>11.49975</v>
      </c>
      <c r="M95" s="107" t="n">
        <v>7</v>
      </c>
      <c r="N95" s="104" t="n">
        <v>0</v>
      </c>
      <c r="O95" s="107" t="n">
        <v>0</v>
      </c>
      <c r="P95" s="103" t="n">
        <f aca="false">IF(M95=" "," ",(1+(M95+N95+O95)/100))</f>
        <v>1.07</v>
      </c>
      <c r="Q95" s="109" t="n">
        <f aca="false">IF(L95=" "," ",L95*P95)</f>
        <v>12.3047325</v>
      </c>
    </row>
    <row r="96" s="92" customFormat="true" ht="9.95" hidden="false" customHeight="true" outlineLevel="0" collapsed="false">
      <c r="A96" s="110"/>
      <c r="B96" s="111"/>
      <c r="C96" s="111"/>
      <c r="D96" s="112"/>
      <c r="E96" s="112"/>
      <c r="F96" s="112" t="str">
        <f aca="false">IF(D96=0," ",D96*E96)</f>
        <v> </v>
      </c>
      <c r="G96" s="113"/>
      <c r="H96" s="112"/>
      <c r="I96" s="112" t="str">
        <f aca="false">IF(F96=" "," ",F96*G96-H96)</f>
        <v> </v>
      </c>
      <c r="J96" s="112"/>
      <c r="K96" s="113"/>
      <c r="L96" s="114"/>
      <c r="M96" s="115"/>
      <c r="N96" s="115"/>
      <c r="O96" s="115"/>
      <c r="P96" s="116"/>
      <c r="Q96" s="117" t="n">
        <f aca="false">SUM(Q88:Q95)</f>
        <v>239.797980875</v>
      </c>
    </row>
    <row r="97" s="129" customFormat="true" ht="9.95" hidden="false" customHeight="true" outlineLevel="0" collapsed="false">
      <c r="A97" s="118"/>
      <c r="B97" s="119"/>
      <c r="C97" s="119"/>
      <c r="D97" s="120"/>
      <c r="E97" s="121"/>
      <c r="F97" s="122"/>
      <c r="G97" s="123"/>
      <c r="H97" s="122"/>
      <c r="I97" s="124"/>
      <c r="J97" s="125" t="s">
        <v>210</v>
      </c>
      <c r="K97" s="124" t="s">
        <v>211</v>
      </c>
      <c r="L97" s="122" t="s">
        <v>212</v>
      </c>
      <c r="M97" s="123" t="s">
        <v>213</v>
      </c>
      <c r="N97" s="126" t="s">
        <v>214</v>
      </c>
      <c r="O97" s="127" t="s">
        <v>215</v>
      </c>
      <c r="P97" s="123" t="s">
        <v>216</v>
      </c>
      <c r="Q97" s="128"/>
    </row>
    <row r="98" s="129" customFormat="true" ht="9.95" hidden="false" customHeight="true" outlineLevel="0" collapsed="false">
      <c r="A98" s="130" t="s">
        <v>217</v>
      </c>
      <c r="C98" s="131"/>
      <c r="D98" s="131"/>
      <c r="E98" s="132"/>
      <c r="F98" s="133"/>
      <c r="G98" s="134"/>
      <c r="H98" s="135"/>
      <c r="I98" s="136"/>
      <c r="J98" s="137" t="s">
        <v>218</v>
      </c>
      <c r="K98" s="138" t="n">
        <v>2</v>
      </c>
      <c r="L98" s="138" t="n">
        <f aca="false">(D90+E90)*2*G90</f>
        <v>2.4</v>
      </c>
      <c r="M98" s="138" t="n">
        <v>0.9</v>
      </c>
      <c r="N98" s="138" t="n">
        <v>0.67</v>
      </c>
      <c r="O98" s="115" t="n">
        <v>35</v>
      </c>
      <c r="P98" s="138" t="n">
        <v>1.2</v>
      </c>
      <c r="Q98" s="117" t="n">
        <f aca="false">K98*L98*M98*N98*O98*P98</f>
        <v>121.5648</v>
      </c>
    </row>
    <row r="99" s="87" customFormat="true" ht="9.95" hidden="false" customHeight="true" outlineLevel="0" collapsed="false">
      <c r="A99" s="139"/>
      <c r="B99" s="129"/>
      <c r="C99" s="131"/>
      <c r="D99" s="131"/>
      <c r="E99" s="112"/>
      <c r="F99" s="112"/>
      <c r="G99" s="140"/>
      <c r="H99" s="131"/>
      <c r="I99" s="131"/>
      <c r="J99" s="131"/>
      <c r="K99" s="140"/>
      <c r="L99" s="141"/>
      <c r="M99" s="142" t="s">
        <v>219</v>
      </c>
      <c r="N99" s="142"/>
      <c r="O99" s="143"/>
      <c r="P99" s="142"/>
      <c r="Q99" s="144" t="n">
        <f aca="false">Q96+Q98</f>
        <v>361.362780875</v>
      </c>
    </row>
  </sheetData>
  <mergeCells count="18">
    <mergeCell ref="A3:D3"/>
    <mergeCell ref="E3:H3"/>
    <mergeCell ref="I3:L3"/>
    <mergeCell ref="M3:P3"/>
    <mergeCell ref="I8:J8"/>
    <mergeCell ref="E32:F32"/>
    <mergeCell ref="I33:J33"/>
    <mergeCell ref="E44:F44"/>
    <mergeCell ref="I45:J45"/>
    <mergeCell ref="E57:F57"/>
    <mergeCell ref="I58:J58"/>
    <mergeCell ref="E71:F71"/>
    <mergeCell ref="A82:D82"/>
    <mergeCell ref="E82:H82"/>
    <mergeCell ref="I82:L82"/>
    <mergeCell ref="M82:P82"/>
    <mergeCell ref="I87:J87"/>
    <mergeCell ref="E99:F99"/>
  </mergeCells>
  <printOptions headings="false" gridLines="false" gridLinesSet="true" horizontalCentered="false" verticalCentered="false"/>
  <pageMargins left="0.196527777777778" right="0.157638888888889" top="0.315277777777778" bottom="0.315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1"/>
  <sheetViews>
    <sheetView showFormulas="false" showGridLines="true" showRowColHeaders="true" showZeros="true" rightToLeft="false" tabSelected="false" showOutlineSymbols="true" defaultGridColor="true" view="normal" topLeftCell="A7" colorId="64" zoomScale="145" zoomScaleNormal="145" zoomScalePageLayoutView="100" workbookViewId="0">
      <selection pane="topLeft" activeCell="H18" activeCellId="0" sqref="H18"/>
    </sheetView>
  </sheetViews>
  <sheetFormatPr defaultColWidth="6.84765625" defaultRowHeight="11.25" zeroHeight="false" outlineLevelRow="0" outlineLevelCol="0"/>
  <cols>
    <col collapsed="false" customWidth="true" hidden="false" outlineLevel="0" max="1" min="1" style="62" width="7.28"/>
    <col collapsed="false" customWidth="true" hidden="false" outlineLevel="0" max="3" min="2" style="62" width="3.85"/>
    <col collapsed="false" customWidth="true" hidden="false" outlineLevel="0" max="4" min="4" style="62" width="5.56"/>
    <col collapsed="false" customWidth="true" hidden="false" outlineLevel="0" max="5" min="5" style="62" width="6.13"/>
    <col collapsed="false" customWidth="true" hidden="false" outlineLevel="0" max="7" min="6" style="62" width="5.56"/>
    <col collapsed="false" customWidth="true" hidden="false" outlineLevel="0" max="9" min="8" style="62" width="6.56"/>
    <col collapsed="false" customWidth="true" hidden="false" outlineLevel="0" max="10" min="10" style="62" width="6.41"/>
    <col collapsed="false" customWidth="true" hidden="false" outlineLevel="0" max="11" min="11" style="62" width="6.13"/>
    <col collapsed="false" customWidth="true" hidden="false" outlineLevel="0" max="12" min="12" style="62" width="7.28"/>
    <col collapsed="false" customWidth="true" hidden="false" outlineLevel="0" max="16" min="13" style="62" width="5.56"/>
    <col collapsed="false" customWidth="true" hidden="false" outlineLevel="0" max="17" min="17" style="62" width="8.28"/>
    <col collapsed="false" customWidth="false" hidden="false" outlineLevel="0" max="257" min="18" style="62" width="6.85"/>
  </cols>
  <sheetData>
    <row r="1" s="72" customFormat="true" ht="9.75" hidden="false" customHeight="true" outlineLevel="0" collapsed="false">
      <c r="A1" s="63"/>
      <c r="B1" s="64"/>
      <c r="C1" s="64"/>
      <c r="D1" s="64"/>
      <c r="E1" s="64"/>
      <c r="F1" s="65"/>
      <c r="G1" s="66"/>
      <c r="H1" s="67" t="s">
        <v>151</v>
      </c>
      <c r="I1" s="66"/>
      <c r="J1" s="66"/>
      <c r="K1" s="64"/>
      <c r="L1" s="68"/>
      <c r="M1" s="64"/>
      <c r="N1" s="69" t="s">
        <v>152</v>
      </c>
      <c r="O1" s="70" t="s">
        <v>233</v>
      </c>
      <c r="P1" s="70" t="s">
        <v>33</v>
      </c>
      <c r="Q1" s="71" t="n">
        <f aca="false">[1]kapak!G41</f>
        <v>44267</v>
      </c>
    </row>
    <row r="2" s="74" customFormat="true" ht="10.5" hidden="false" customHeight="false" outlineLevel="0" collapsed="false">
      <c r="A2" s="73"/>
      <c r="F2" s="75" t="s">
        <v>154</v>
      </c>
      <c r="G2" s="76"/>
      <c r="H2" s="77" t="str">
        <f aca="false">kapak!C31</f>
        <v>MEHMET DAL - A-B-C-D BLOK</v>
      </c>
      <c r="I2" s="77"/>
      <c r="J2" s="77"/>
      <c r="K2" s="78"/>
      <c r="L2" s="79"/>
      <c r="N2" s="80" t="s">
        <v>155</v>
      </c>
      <c r="O2" s="81" t="n">
        <v>5</v>
      </c>
      <c r="P2" s="81"/>
      <c r="Q2" s="81"/>
    </row>
    <row r="3" s="74" customFormat="true" ht="8.25" hidden="false" customHeight="true" outlineLevel="0" collapsed="false">
      <c r="A3" s="82" t="s">
        <v>156</v>
      </c>
      <c r="B3" s="82"/>
      <c r="C3" s="82"/>
      <c r="D3" s="82"/>
      <c r="E3" s="83" t="s">
        <v>157</v>
      </c>
      <c r="F3" s="83"/>
      <c r="G3" s="83"/>
      <c r="H3" s="83"/>
      <c r="I3" s="84" t="s">
        <v>158</v>
      </c>
      <c r="J3" s="84"/>
      <c r="K3" s="84"/>
      <c r="L3" s="84"/>
      <c r="M3" s="84" t="s">
        <v>159</v>
      </c>
      <c r="N3" s="84"/>
      <c r="O3" s="84"/>
      <c r="P3" s="84"/>
      <c r="Q3" s="84" t="s">
        <v>160</v>
      </c>
    </row>
    <row r="4" s="87" customFormat="true" ht="31.5" hidden="false" customHeight="true" outlineLevel="0" collapsed="false">
      <c r="A4" s="85" t="s">
        <v>161</v>
      </c>
      <c r="B4" s="85" t="s">
        <v>162</v>
      </c>
      <c r="C4" s="85" t="s">
        <v>163</v>
      </c>
      <c r="D4" s="85" t="s">
        <v>164</v>
      </c>
      <c r="E4" s="85" t="s">
        <v>165</v>
      </c>
      <c r="F4" s="86" t="s">
        <v>166</v>
      </c>
      <c r="G4" s="85" t="s">
        <v>167</v>
      </c>
      <c r="H4" s="86" t="s">
        <v>168</v>
      </c>
      <c r="I4" s="86" t="s">
        <v>169</v>
      </c>
      <c r="J4" s="86" t="s">
        <v>170</v>
      </c>
      <c r="K4" s="86" t="s">
        <v>171</v>
      </c>
      <c r="L4" s="86" t="s">
        <v>172</v>
      </c>
      <c r="M4" s="85" t="s">
        <v>173</v>
      </c>
      <c r="N4" s="85" t="s">
        <v>174</v>
      </c>
      <c r="O4" s="85" t="s">
        <v>162</v>
      </c>
      <c r="P4" s="85" t="s">
        <v>175</v>
      </c>
      <c r="Q4" s="86" t="s">
        <v>176</v>
      </c>
    </row>
    <row r="5" s="87" customFormat="true" ht="9.75" hidden="false" customHeight="true" outlineLevel="0" collapsed="false">
      <c r="A5" s="88"/>
      <c r="B5" s="88"/>
      <c r="C5" s="88"/>
      <c r="D5" s="88"/>
      <c r="E5" s="88"/>
      <c r="F5" s="88" t="s">
        <v>177</v>
      </c>
      <c r="G5" s="88"/>
      <c r="H5" s="88"/>
      <c r="I5" s="88" t="s">
        <v>178</v>
      </c>
      <c r="J5" s="88" t="s">
        <v>179</v>
      </c>
      <c r="K5" s="89" t="s">
        <v>180</v>
      </c>
      <c r="L5" s="88" t="s">
        <v>181</v>
      </c>
      <c r="M5" s="88" t="s">
        <v>182</v>
      </c>
      <c r="N5" s="88" t="s">
        <v>183</v>
      </c>
      <c r="O5" s="88" t="s">
        <v>184</v>
      </c>
      <c r="P5" s="88" t="s">
        <v>185</v>
      </c>
      <c r="Q5" s="88" t="s">
        <v>186</v>
      </c>
    </row>
    <row r="6" s="92" customFormat="true" ht="15.75" hidden="false" customHeight="true" outlineLevel="0" collapsed="false">
      <c r="A6" s="80"/>
      <c r="B6" s="80"/>
      <c r="C6" s="80" t="s">
        <v>187</v>
      </c>
      <c r="D6" s="80" t="s">
        <v>188</v>
      </c>
      <c r="E6" s="80" t="s">
        <v>188</v>
      </c>
      <c r="F6" s="80" t="s">
        <v>189</v>
      </c>
      <c r="G6" s="80" t="s">
        <v>190</v>
      </c>
      <c r="H6" s="80" t="s">
        <v>189</v>
      </c>
      <c r="I6" s="80" t="s">
        <v>189</v>
      </c>
      <c r="J6" s="90" t="s">
        <v>191</v>
      </c>
      <c r="K6" s="80" t="s">
        <v>192</v>
      </c>
      <c r="L6" s="91" t="s">
        <v>193</v>
      </c>
      <c r="M6" s="80" t="s">
        <v>194</v>
      </c>
      <c r="N6" s="80" t="s">
        <v>194</v>
      </c>
      <c r="O6" s="80" t="s">
        <v>194</v>
      </c>
      <c r="P6" s="80" t="s">
        <v>195</v>
      </c>
      <c r="Q6" s="91" t="s">
        <v>193</v>
      </c>
    </row>
    <row r="7" s="92" customFormat="true" ht="9.75" hidden="false" customHeight="true" outlineLevel="0" collapsed="false">
      <c r="A7" s="80" t="n">
        <v>1</v>
      </c>
      <c r="B7" s="80" t="n">
        <v>2</v>
      </c>
      <c r="C7" s="80" t="n">
        <v>3</v>
      </c>
      <c r="D7" s="80" t="n">
        <v>4</v>
      </c>
      <c r="E7" s="80" t="n">
        <v>5</v>
      </c>
      <c r="F7" s="80" t="n">
        <v>6</v>
      </c>
      <c r="G7" s="80" t="n">
        <v>7</v>
      </c>
      <c r="H7" s="80" t="n">
        <v>8</v>
      </c>
      <c r="I7" s="80" t="n">
        <v>9</v>
      </c>
      <c r="J7" s="80" t="n">
        <v>10</v>
      </c>
      <c r="K7" s="80" t="n">
        <v>11</v>
      </c>
      <c r="L7" s="80" t="n">
        <v>12</v>
      </c>
      <c r="M7" s="80" t="n">
        <v>13</v>
      </c>
      <c r="N7" s="80" t="n">
        <v>14</v>
      </c>
      <c r="O7" s="80" t="n">
        <v>15</v>
      </c>
      <c r="P7" s="80" t="n">
        <v>16</v>
      </c>
      <c r="Q7" s="80" t="n">
        <v>17</v>
      </c>
    </row>
    <row r="8" s="92" customFormat="true" ht="9.75" hidden="false" customHeight="true" outlineLevel="0" collapsed="false">
      <c r="A8" s="93"/>
      <c r="B8" s="94"/>
      <c r="C8" s="94"/>
      <c r="D8" s="94"/>
      <c r="E8" s="94"/>
      <c r="F8" s="95" t="n">
        <v>1</v>
      </c>
      <c r="G8" s="96" t="s">
        <v>196</v>
      </c>
      <c r="H8" s="94" t="s">
        <v>197</v>
      </c>
      <c r="I8" s="96" t="s">
        <v>234</v>
      </c>
      <c r="J8" s="96"/>
      <c r="K8" s="94" t="s">
        <v>229</v>
      </c>
      <c r="L8" s="94"/>
      <c r="M8" s="94"/>
      <c r="N8" s="94"/>
      <c r="O8" s="94"/>
      <c r="P8" s="94"/>
      <c r="Q8" s="98"/>
    </row>
    <row r="9" s="92" customFormat="true" ht="9.75" hidden="false" customHeight="true" outlineLevel="0" collapsed="false">
      <c r="A9" s="99" t="s">
        <v>200</v>
      </c>
      <c r="B9" s="100" t="s">
        <v>201</v>
      </c>
      <c r="C9" s="101"/>
      <c r="D9" s="102" t="n">
        <v>4.45</v>
      </c>
      <c r="E9" s="102" t="n">
        <v>2.8</v>
      </c>
      <c r="F9" s="103" t="n">
        <f aca="false">IF(D9=0," ",D9*E9)</f>
        <v>12.46</v>
      </c>
      <c r="G9" s="104" t="n">
        <v>1</v>
      </c>
      <c r="H9" s="105" t="n">
        <f aca="false">F11*G11</f>
        <v>4.2</v>
      </c>
      <c r="I9" s="103" t="n">
        <f aca="false">IF(F9=" "," ",F9*G9-H9)</f>
        <v>8.26</v>
      </c>
      <c r="J9" s="102" t="n">
        <v>0.479</v>
      </c>
      <c r="K9" s="104" t="n">
        <v>29</v>
      </c>
      <c r="L9" s="106" t="n">
        <f aca="false">IF(I9=" "," ",I9*J9*K9)</f>
        <v>114.73966</v>
      </c>
      <c r="M9" s="107" t="n">
        <v>7</v>
      </c>
      <c r="N9" s="104" t="n">
        <v>0</v>
      </c>
      <c r="O9" s="107" t="n">
        <v>5</v>
      </c>
      <c r="P9" s="103" t="n">
        <f aca="false">IF(M9=" "," ",(1+(M9+N9+O9)/100))</f>
        <v>1.12</v>
      </c>
      <c r="Q9" s="108" t="n">
        <f aca="false">IF(L9=" "," ",L9*P9)</f>
        <v>128.5084192</v>
      </c>
    </row>
    <row r="10" s="92" customFormat="true" ht="9.75" hidden="false" customHeight="true" outlineLevel="0" collapsed="false">
      <c r="A10" s="99" t="s">
        <v>202</v>
      </c>
      <c r="B10" s="100" t="s">
        <v>201</v>
      </c>
      <c r="C10" s="101"/>
      <c r="D10" s="102" t="n">
        <f aca="false">D9</f>
        <v>4.45</v>
      </c>
      <c r="E10" s="102" t="n">
        <v>0.37</v>
      </c>
      <c r="F10" s="103" t="n">
        <f aca="false">IF(D10=0," ",D10*E10)</f>
        <v>1.6465</v>
      </c>
      <c r="G10" s="104" t="n">
        <v>1</v>
      </c>
      <c r="H10" s="105"/>
      <c r="I10" s="103" t="n">
        <f aca="false">IF(F10=" "," ",F10*G10-H10)</f>
        <v>1.6465</v>
      </c>
      <c r="J10" s="102" t="n">
        <v>0.577</v>
      </c>
      <c r="K10" s="104" t="n">
        <v>29</v>
      </c>
      <c r="L10" s="106" t="n">
        <f aca="false">IF(I10=" "," ",I10*J10*K10)</f>
        <v>27.5508845</v>
      </c>
      <c r="M10" s="107" t="n">
        <v>7</v>
      </c>
      <c r="N10" s="104" t="n">
        <v>0</v>
      </c>
      <c r="O10" s="107" t="n">
        <v>5</v>
      </c>
      <c r="P10" s="103" t="n">
        <f aca="false">IF(M10=" "," ",(1+(M10+N10+O10)/100))</f>
        <v>1.12</v>
      </c>
      <c r="Q10" s="108" t="n">
        <f aca="false">IF(L10=" "," ",L10*P10)</f>
        <v>30.85699064</v>
      </c>
    </row>
    <row r="11" s="92" customFormat="true" ht="9.75" hidden="false" customHeight="true" outlineLevel="0" collapsed="false">
      <c r="A11" s="99" t="s">
        <v>203</v>
      </c>
      <c r="B11" s="100" t="s">
        <v>201</v>
      </c>
      <c r="C11" s="101"/>
      <c r="D11" s="102" t="n">
        <v>0.75</v>
      </c>
      <c r="E11" s="102" t="n">
        <v>2.8</v>
      </c>
      <c r="F11" s="103" t="n">
        <f aca="false">IF(D11=0," ",D11*E11)</f>
        <v>2.1</v>
      </c>
      <c r="G11" s="104" t="n">
        <v>2</v>
      </c>
      <c r="H11" s="105"/>
      <c r="I11" s="103" t="n">
        <f aca="false">IF(F11=" "," ",F11*G11-H11)</f>
        <v>4.2</v>
      </c>
      <c r="J11" s="102" t="n">
        <v>2.4</v>
      </c>
      <c r="K11" s="104" t="n">
        <v>29</v>
      </c>
      <c r="L11" s="106" t="n">
        <f aca="false">IF(I11=" "," ",I11*J11*K11)</f>
        <v>292.32</v>
      </c>
      <c r="M11" s="107" t="n">
        <v>7</v>
      </c>
      <c r="N11" s="104" t="n">
        <v>0</v>
      </c>
      <c r="O11" s="107" t="n">
        <v>5</v>
      </c>
      <c r="P11" s="103" t="n">
        <f aca="false">IF(M11=" "," ",(1+(M11+N11+O11)/100))</f>
        <v>1.12</v>
      </c>
      <c r="Q11" s="109" t="n">
        <f aca="false">IF(L11=" "," ",L11*P11)</f>
        <v>327.3984</v>
      </c>
    </row>
    <row r="12" s="92" customFormat="true" ht="9.75" hidden="false" customHeight="true" outlineLevel="0" collapsed="false">
      <c r="A12" s="99" t="s">
        <v>204</v>
      </c>
      <c r="B12" s="100" t="s">
        <v>201</v>
      </c>
      <c r="C12" s="101"/>
      <c r="D12" s="102" t="n">
        <v>0.15</v>
      </c>
      <c r="E12" s="102" t="n">
        <v>3.17</v>
      </c>
      <c r="F12" s="103" t="n">
        <f aca="false">IF(D12=0," ",D12*E12)</f>
        <v>0.4755</v>
      </c>
      <c r="G12" s="104" t="n">
        <v>1</v>
      </c>
      <c r="H12" s="105"/>
      <c r="I12" s="103" t="n">
        <f aca="false">IF(F12=" "," ",F12*G12-H12)</f>
        <v>0.4755</v>
      </c>
      <c r="J12" s="102" t="n">
        <v>0.57</v>
      </c>
      <c r="K12" s="104" t="n">
        <v>29</v>
      </c>
      <c r="L12" s="106" t="n">
        <f aca="false">IF(I12=" "," ",I12*J12*K12)</f>
        <v>7.860015</v>
      </c>
      <c r="M12" s="107" t="n">
        <v>7</v>
      </c>
      <c r="N12" s="104" t="n">
        <v>0</v>
      </c>
      <c r="O12" s="107" t="n">
        <v>5</v>
      </c>
      <c r="P12" s="103" t="n">
        <f aca="false">IF(M12=" "," ",(1+(M12+N12+O12)/100))</f>
        <v>1.12</v>
      </c>
      <c r="Q12" s="108" t="n">
        <f aca="false">IF(L12=" "," ",L12*P12)</f>
        <v>8.8032168</v>
      </c>
    </row>
    <row r="13" s="92" customFormat="true" ht="9.75" hidden="false" customHeight="true" outlineLevel="0" collapsed="false">
      <c r="A13" s="99" t="s">
        <v>200</v>
      </c>
      <c r="B13" s="100" t="s">
        <v>205</v>
      </c>
      <c r="C13" s="101"/>
      <c r="D13" s="102" t="n">
        <v>5.6</v>
      </c>
      <c r="E13" s="102" t="n">
        <v>2.8</v>
      </c>
      <c r="F13" s="103" t="n">
        <f aca="false">IF(D13=0," ",D13*E13)</f>
        <v>15.68</v>
      </c>
      <c r="G13" s="104" t="n">
        <v>1</v>
      </c>
      <c r="H13" s="105" t="n">
        <f aca="false">F15*G15</f>
        <v>13.02</v>
      </c>
      <c r="I13" s="103" t="n">
        <f aca="false">IF(F13=" "," ",F13*G13-H13)</f>
        <v>2.66</v>
      </c>
      <c r="J13" s="102" t="n">
        <v>0.479</v>
      </c>
      <c r="K13" s="104" t="n">
        <v>29</v>
      </c>
      <c r="L13" s="106" t="n">
        <f aca="false">IF(I13=" "," ",I13*J13*K13)</f>
        <v>36.95006</v>
      </c>
      <c r="M13" s="107" t="n">
        <v>7</v>
      </c>
      <c r="N13" s="104" t="n">
        <v>0</v>
      </c>
      <c r="O13" s="107" t="n">
        <v>0</v>
      </c>
      <c r="P13" s="103" t="n">
        <f aca="false">IF(M13=" "," ",(1+(M13+N13+O13)/100))</f>
        <v>1.07</v>
      </c>
      <c r="Q13" s="108" t="n">
        <f aca="false">IF(L13=" "," ",L13*P13)</f>
        <v>39.5365642</v>
      </c>
    </row>
    <row r="14" s="92" customFormat="true" ht="9.75" hidden="false" customHeight="true" outlineLevel="0" collapsed="false">
      <c r="A14" s="99" t="s">
        <v>202</v>
      </c>
      <c r="B14" s="100" t="s">
        <v>205</v>
      </c>
      <c r="C14" s="101"/>
      <c r="D14" s="102" t="n">
        <f aca="false">D13</f>
        <v>5.6</v>
      </c>
      <c r="E14" s="102" t="n">
        <v>0.37</v>
      </c>
      <c r="F14" s="103" t="n">
        <f aca="false">IF(D14=0," ",D14*E14)</f>
        <v>2.072</v>
      </c>
      <c r="G14" s="104" t="n">
        <v>1</v>
      </c>
      <c r="H14" s="105"/>
      <c r="I14" s="103" t="n">
        <f aca="false">IF(F14=" "," ",F14*G14-H14)</f>
        <v>2.072</v>
      </c>
      <c r="J14" s="102" t="n">
        <v>0.577</v>
      </c>
      <c r="K14" s="104" t="n">
        <v>29</v>
      </c>
      <c r="L14" s="106" t="n">
        <f aca="false">IF(I14=" "," ",I14*J14*K14)</f>
        <v>34.670776</v>
      </c>
      <c r="M14" s="107" t="n">
        <v>7</v>
      </c>
      <c r="N14" s="104" t="n">
        <v>0</v>
      </c>
      <c r="O14" s="107" t="n">
        <v>0</v>
      </c>
      <c r="P14" s="103" t="n">
        <f aca="false">IF(M14=" "," ",(1+(M14+N14+O14)/100))</f>
        <v>1.07</v>
      </c>
      <c r="Q14" s="108" t="n">
        <f aca="false">IF(L14=" "," ",L14*P14)</f>
        <v>37.09773032</v>
      </c>
    </row>
    <row r="15" s="92" customFormat="true" ht="9.75" hidden="false" customHeight="true" outlineLevel="0" collapsed="false">
      <c r="A15" s="99" t="s">
        <v>203</v>
      </c>
      <c r="B15" s="100" t="s">
        <v>205</v>
      </c>
      <c r="C15" s="101"/>
      <c r="D15" s="102" t="n">
        <v>4.65</v>
      </c>
      <c r="E15" s="102" t="n">
        <v>2.8</v>
      </c>
      <c r="F15" s="103" t="n">
        <f aca="false">IF(D15=0," ",D15*E15)</f>
        <v>13.02</v>
      </c>
      <c r="G15" s="104" t="n">
        <v>1</v>
      </c>
      <c r="H15" s="105"/>
      <c r="I15" s="103" t="n">
        <f aca="false">IF(F15=" "," ",F15*G15-H15)</f>
        <v>13.02</v>
      </c>
      <c r="J15" s="102" t="n">
        <v>2.4</v>
      </c>
      <c r="K15" s="104" t="n">
        <v>29</v>
      </c>
      <c r="L15" s="106" t="n">
        <f aca="false">IF(I15=" "," ",I15*J15*K15)</f>
        <v>906.192</v>
      </c>
      <c r="M15" s="107" t="n">
        <v>7</v>
      </c>
      <c r="N15" s="104" t="n">
        <v>0</v>
      </c>
      <c r="O15" s="107" t="n">
        <v>0</v>
      </c>
      <c r="P15" s="103" t="n">
        <f aca="false">IF(M15=" "," ",(1+(M15+N15+O15)/100))</f>
        <v>1.07</v>
      </c>
      <c r="Q15" s="109" t="n">
        <f aca="false">IF(L15=" "," ",L15*P15)</f>
        <v>969.62544</v>
      </c>
    </row>
    <row r="16" s="92" customFormat="true" ht="9.75" hidden="false" customHeight="true" outlineLevel="0" collapsed="false">
      <c r="A16" s="99" t="s">
        <v>204</v>
      </c>
      <c r="B16" s="100" t="s">
        <v>205</v>
      </c>
      <c r="C16" s="101"/>
      <c r="D16" s="102" t="n">
        <v>0.9</v>
      </c>
      <c r="E16" s="102" t="n">
        <v>2.67</v>
      </c>
      <c r="F16" s="103" t="n">
        <f aca="false">IF(D16=0," ",D16*E16)</f>
        <v>2.403</v>
      </c>
      <c r="G16" s="104" t="n">
        <v>1</v>
      </c>
      <c r="H16" s="105"/>
      <c r="I16" s="103" t="n">
        <f aca="false">IF(F16=" "," ",F16*G16-H16)</f>
        <v>2.403</v>
      </c>
      <c r="J16" s="102" t="n">
        <v>0.57</v>
      </c>
      <c r="K16" s="104" t="n">
        <v>29</v>
      </c>
      <c r="L16" s="106" t="n">
        <f aca="false">IF(I16=" "," ",I16*J16*K16)</f>
        <v>39.72159</v>
      </c>
      <c r="M16" s="107" t="n">
        <v>7</v>
      </c>
      <c r="N16" s="104" t="n">
        <v>0</v>
      </c>
      <c r="O16" s="107" t="n">
        <v>0</v>
      </c>
      <c r="P16" s="103" t="n">
        <f aca="false">IF(M16=" "," ",(1+(M16+N16+O16)/100))</f>
        <v>1.07</v>
      </c>
      <c r="Q16" s="108" t="n">
        <f aca="false">IF(L16=" "," ",L16*P16)</f>
        <v>42.5021013</v>
      </c>
    </row>
    <row r="17" s="92" customFormat="true" ht="9.75" hidden="false" customHeight="true" outlineLevel="0" collapsed="false">
      <c r="A17" s="99" t="s">
        <v>200</v>
      </c>
      <c r="B17" s="100" t="s">
        <v>206</v>
      </c>
      <c r="C17" s="101"/>
      <c r="D17" s="102" t="n">
        <v>4.45</v>
      </c>
      <c r="E17" s="102" t="n">
        <v>2.8</v>
      </c>
      <c r="F17" s="103" t="n">
        <f aca="false">IF(D17=0," ",D17*E17)</f>
        <v>12.46</v>
      </c>
      <c r="G17" s="104" t="n">
        <v>1</v>
      </c>
      <c r="H17" s="105"/>
      <c r="I17" s="103" t="n">
        <f aca="false">IF(F17=" "," ",F17*G17-H17)</f>
        <v>12.46</v>
      </c>
      <c r="J17" s="102" t="n">
        <v>0.479</v>
      </c>
      <c r="K17" s="104" t="n">
        <v>29</v>
      </c>
      <c r="L17" s="106" t="n">
        <f aca="false">IF(I17=" "," ",I17*J17*K17)</f>
        <v>173.08186</v>
      </c>
      <c r="M17" s="107" t="n">
        <v>7</v>
      </c>
      <c r="N17" s="104" t="n">
        <v>0</v>
      </c>
      <c r="O17" s="107" t="n">
        <v>-5</v>
      </c>
      <c r="P17" s="103" t="n">
        <f aca="false">IF(M17=" "," ",(1+(M17+N17+O17)/100))</f>
        <v>1.02</v>
      </c>
      <c r="Q17" s="108" t="n">
        <f aca="false">IF(L17=" "," ",L17*P17)</f>
        <v>176.5434972</v>
      </c>
    </row>
    <row r="18" s="92" customFormat="true" ht="9.75" hidden="false" customHeight="true" outlineLevel="0" collapsed="false">
      <c r="A18" s="99" t="s">
        <v>202</v>
      </c>
      <c r="B18" s="100" t="s">
        <v>206</v>
      </c>
      <c r="C18" s="101"/>
      <c r="D18" s="102" t="n">
        <f aca="false">D17</f>
        <v>4.45</v>
      </c>
      <c r="E18" s="102" t="n">
        <v>0.37</v>
      </c>
      <c r="F18" s="103" t="n">
        <f aca="false">IF(D18=0," ",D18*E18)</f>
        <v>1.6465</v>
      </c>
      <c r="G18" s="104" t="n">
        <v>1</v>
      </c>
      <c r="H18" s="105"/>
      <c r="I18" s="103" t="n">
        <f aca="false">IF(F18=" "," ",F18*G18-H18)</f>
        <v>1.6465</v>
      </c>
      <c r="J18" s="102" t="n">
        <v>0.577</v>
      </c>
      <c r="K18" s="104" t="n">
        <v>29</v>
      </c>
      <c r="L18" s="106" t="n">
        <f aca="false">IF(I18=" "," ",I18*J18*K18)</f>
        <v>27.5508845</v>
      </c>
      <c r="M18" s="107" t="n">
        <v>7</v>
      </c>
      <c r="N18" s="104" t="n">
        <v>0</v>
      </c>
      <c r="O18" s="107" t="n">
        <v>-5</v>
      </c>
      <c r="P18" s="103" t="n">
        <f aca="false">IF(M18=" "," ",(1+(M18+N18+O18)/100))</f>
        <v>1.02</v>
      </c>
      <c r="Q18" s="108" t="n">
        <f aca="false">IF(L18=" "," ",L18*P18)</f>
        <v>28.10190219</v>
      </c>
    </row>
    <row r="19" s="92" customFormat="true" ht="9.75" hidden="false" customHeight="true" outlineLevel="0" collapsed="false">
      <c r="A19" s="99" t="s">
        <v>204</v>
      </c>
      <c r="B19" s="100" t="s">
        <v>206</v>
      </c>
      <c r="C19" s="101"/>
      <c r="D19" s="102" t="n">
        <v>0.15</v>
      </c>
      <c r="E19" s="102" t="n">
        <v>3.17</v>
      </c>
      <c r="F19" s="103" t="n">
        <f aca="false">IF(D19=0," ",D19*E19)</f>
        <v>0.4755</v>
      </c>
      <c r="G19" s="104" t="n">
        <v>1</v>
      </c>
      <c r="H19" s="105"/>
      <c r="I19" s="103" t="n">
        <f aca="false">IF(F19=" "," ",F19*G19-H19)</f>
        <v>0.4755</v>
      </c>
      <c r="J19" s="102" t="n">
        <v>0.57</v>
      </c>
      <c r="K19" s="104" t="n">
        <v>29</v>
      </c>
      <c r="L19" s="106" t="n">
        <f aca="false">IF(I19=" "," ",I19*J19*K19)</f>
        <v>7.860015</v>
      </c>
      <c r="M19" s="107" t="n">
        <v>7</v>
      </c>
      <c r="N19" s="104" t="n">
        <v>0</v>
      </c>
      <c r="O19" s="107" t="n">
        <v>-5</v>
      </c>
      <c r="P19" s="103" t="n">
        <f aca="false">IF(M19=" "," ",(1+(M19+N19+O19)/100))</f>
        <v>1.02</v>
      </c>
      <c r="Q19" s="108" t="n">
        <f aca="false">IF(L19=" "," ",L19*P19)</f>
        <v>8.0172153</v>
      </c>
    </row>
    <row r="20" s="92" customFormat="true" ht="9.75" hidden="false" customHeight="true" outlineLevel="0" collapsed="false">
      <c r="A20" s="99" t="s">
        <v>235</v>
      </c>
      <c r="B20" s="100"/>
      <c r="C20" s="101"/>
      <c r="D20" s="102" t="n">
        <v>3.5</v>
      </c>
      <c r="E20" s="102" t="n">
        <v>2.8</v>
      </c>
      <c r="F20" s="103" t="n">
        <f aca="false">IF(D20=0," ",D20*E20)</f>
        <v>9.8</v>
      </c>
      <c r="G20" s="104" t="n">
        <v>1</v>
      </c>
      <c r="H20" s="105"/>
      <c r="I20" s="103" t="n">
        <f aca="false">IF(F20=" "," ",F20*G20-H20)</f>
        <v>9.8</v>
      </c>
      <c r="J20" s="102" t="n">
        <v>0.318</v>
      </c>
      <c r="K20" s="104" t="n">
        <v>20</v>
      </c>
      <c r="L20" s="106" t="n">
        <f aca="false">IF(I20=" "," ",I20*J20*K20)</f>
        <v>62.328</v>
      </c>
      <c r="M20" s="107" t="n">
        <v>7</v>
      </c>
      <c r="N20" s="104" t="n">
        <v>0</v>
      </c>
      <c r="O20" s="107" t="n">
        <v>0</v>
      </c>
      <c r="P20" s="103" t="n">
        <f aca="false">IF(M20=" "," ",(1+(M20+N20+O20)/100))</f>
        <v>1.07</v>
      </c>
      <c r="Q20" s="109" t="n">
        <f aca="false">IF(L20=" "," ",L20*P20)</f>
        <v>66.69096</v>
      </c>
    </row>
    <row r="21" s="92" customFormat="true" ht="9.75" hidden="false" customHeight="true" outlineLevel="0" collapsed="false">
      <c r="A21" s="99" t="s">
        <v>235</v>
      </c>
      <c r="B21" s="100"/>
      <c r="C21" s="101"/>
      <c r="D21" s="102" t="n">
        <v>1.4</v>
      </c>
      <c r="E21" s="102" t="n">
        <v>2.2</v>
      </c>
      <c r="F21" s="103" t="n">
        <f aca="false">IF(D21=0," ",D21*E21)</f>
        <v>3.08</v>
      </c>
      <c r="G21" s="104" t="n">
        <v>1</v>
      </c>
      <c r="H21" s="105"/>
      <c r="I21" s="103" t="n">
        <f aca="false">IF(F21=" "," ",F21*G21-H21)</f>
        <v>3.08</v>
      </c>
      <c r="J21" s="102" t="n">
        <v>0.318</v>
      </c>
      <c r="K21" s="104" t="n">
        <v>20</v>
      </c>
      <c r="L21" s="106" t="n">
        <f aca="false">IF(I21=" "," ",I21*J21*K21)</f>
        <v>19.5888</v>
      </c>
      <c r="M21" s="107" t="n">
        <v>7</v>
      </c>
      <c r="N21" s="104" t="n">
        <v>0</v>
      </c>
      <c r="O21" s="107" t="n">
        <v>0</v>
      </c>
      <c r="P21" s="103" t="n">
        <f aca="false">IF(M21=" "," ",(1+(M21+N21+O21)/100))</f>
        <v>1.07</v>
      </c>
      <c r="Q21" s="109" t="n">
        <f aca="false">IF(L21=" "," ",L21*P21)</f>
        <v>20.960016</v>
      </c>
    </row>
    <row r="22" s="92" customFormat="true" ht="9.75" hidden="false" customHeight="true" outlineLevel="0" collapsed="false">
      <c r="A22" s="99" t="s">
        <v>235</v>
      </c>
      <c r="B22" s="100"/>
      <c r="C22" s="101"/>
      <c r="D22" s="102" t="n">
        <v>4.6</v>
      </c>
      <c r="E22" s="102" t="n">
        <v>6.5</v>
      </c>
      <c r="F22" s="103" t="n">
        <f aca="false">IF(D22=0," ",D22*E22)</f>
        <v>29.9</v>
      </c>
      <c r="G22" s="104" t="n">
        <v>1</v>
      </c>
      <c r="H22" s="105"/>
      <c r="I22" s="103" t="n">
        <f aca="false">IF(F22=" "," ",F22*G22-H22)</f>
        <v>29.9</v>
      </c>
      <c r="J22" s="102" t="n">
        <v>0.318</v>
      </c>
      <c r="K22" s="104" t="n">
        <v>20</v>
      </c>
      <c r="L22" s="106" t="n">
        <f aca="false">IF(I22=" "," ",I22*J22*K22)</f>
        <v>190.164</v>
      </c>
      <c r="M22" s="107" t="n">
        <v>7</v>
      </c>
      <c r="N22" s="104" t="n">
        <v>0</v>
      </c>
      <c r="O22" s="107" t="n">
        <v>0</v>
      </c>
      <c r="P22" s="103" t="n">
        <f aca="false">IF(M22=" "," ",(1+(M22+N22+O22)/100))</f>
        <v>1.07</v>
      </c>
      <c r="Q22" s="109" t="n">
        <f aca="false">IF(L22=" "," ",L22*P22)</f>
        <v>203.47548</v>
      </c>
    </row>
    <row r="23" s="92" customFormat="true" ht="9.75" hidden="false" customHeight="true" outlineLevel="0" collapsed="false">
      <c r="A23" s="110"/>
      <c r="B23" s="111"/>
      <c r="C23" s="111"/>
      <c r="D23" s="112"/>
      <c r="E23" s="112"/>
      <c r="F23" s="112" t="str">
        <f aca="false">IF(D23=0," ",D23*E23)</f>
        <v> </v>
      </c>
      <c r="G23" s="113"/>
      <c r="H23" s="112"/>
      <c r="I23" s="112" t="str">
        <f aca="false">IF(F23=" "," ",F23*G23-H23)</f>
        <v> </v>
      </c>
      <c r="J23" s="112"/>
      <c r="K23" s="113"/>
      <c r="L23" s="114"/>
      <c r="M23" s="115"/>
      <c r="N23" s="115"/>
      <c r="O23" s="115"/>
      <c r="P23" s="116"/>
      <c r="Q23" s="117" t="n">
        <f aca="false">SUM(Q9:Q22)</f>
        <v>2088.11793315</v>
      </c>
    </row>
    <row r="24" s="129" customFormat="true" ht="9.75" hidden="false" customHeight="true" outlineLevel="0" collapsed="false">
      <c r="A24" s="118"/>
      <c r="B24" s="119"/>
      <c r="C24" s="119"/>
      <c r="D24" s="120"/>
      <c r="E24" s="121"/>
      <c r="F24" s="122"/>
      <c r="G24" s="123"/>
      <c r="H24" s="122"/>
      <c r="I24" s="124"/>
      <c r="J24" s="125" t="s">
        <v>210</v>
      </c>
      <c r="K24" s="124" t="s">
        <v>211</v>
      </c>
      <c r="L24" s="122" t="s">
        <v>212</v>
      </c>
      <c r="M24" s="123" t="s">
        <v>213</v>
      </c>
      <c r="N24" s="126" t="s">
        <v>214</v>
      </c>
      <c r="O24" s="127" t="s">
        <v>215</v>
      </c>
      <c r="P24" s="123" t="s">
        <v>216</v>
      </c>
      <c r="Q24" s="128"/>
    </row>
    <row r="25" s="129" customFormat="true" ht="9.75" hidden="false" customHeight="true" outlineLevel="0" collapsed="false">
      <c r="A25" s="130" t="s">
        <v>217</v>
      </c>
      <c r="C25" s="131"/>
      <c r="D25" s="131"/>
      <c r="E25" s="132"/>
      <c r="F25" s="133"/>
      <c r="G25" s="134"/>
      <c r="H25" s="135"/>
      <c r="I25" s="136"/>
      <c r="J25" s="137" t="s">
        <v>218</v>
      </c>
      <c r="K25" s="138" t="n">
        <v>2</v>
      </c>
      <c r="L25" s="138" t="n">
        <f aca="false">(D11+E11)*2*G11+(D15+E15)*2*G15</f>
        <v>29.1</v>
      </c>
      <c r="M25" s="138" t="n">
        <v>0.9</v>
      </c>
      <c r="N25" s="138" t="n">
        <v>0.67</v>
      </c>
      <c r="O25" s="115" t="n">
        <v>29</v>
      </c>
      <c r="P25" s="138" t="n">
        <v>1.2</v>
      </c>
      <c r="Q25" s="117" t="n">
        <f aca="false">K25*L25*M25*N25*O25*P25</f>
        <v>1221.29208</v>
      </c>
    </row>
    <row r="26" s="87" customFormat="true" ht="9.75" hidden="false" customHeight="true" outlineLevel="0" collapsed="false">
      <c r="A26" s="139"/>
      <c r="B26" s="129"/>
      <c r="C26" s="131"/>
      <c r="D26" s="131"/>
      <c r="E26" s="112"/>
      <c r="F26" s="112"/>
      <c r="G26" s="140"/>
      <c r="H26" s="131"/>
      <c r="I26" s="131"/>
      <c r="J26" s="131"/>
      <c r="K26" s="140"/>
      <c r="L26" s="141"/>
      <c r="M26" s="142" t="s">
        <v>219</v>
      </c>
      <c r="N26" s="142"/>
      <c r="O26" s="143"/>
      <c r="P26" s="142"/>
      <c r="Q26" s="144" t="n">
        <f aca="false">Q23+Q25</f>
        <v>3309.41001315</v>
      </c>
    </row>
    <row r="27" s="92" customFormat="true" ht="9.75" hidden="false" customHeight="true" outlineLevel="0" collapsed="false">
      <c r="A27" s="145"/>
      <c r="B27" s="146"/>
      <c r="C27" s="146"/>
      <c r="D27" s="146"/>
      <c r="E27" s="146"/>
      <c r="F27" s="95" t="n">
        <f aca="false">F8</f>
        <v>1</v>
      </c>
      <c r="G27" s="147" t="s">
        <v>196</v>
      </c>
      <c r="H27" s="146" t="s">
        <v>220</v>
      </c>
      <c r="I27" s="147" t="s">
        <v>221</v>
      </c>
      <c r="J27" s="147"/>
      <c r="K27" s="146" t="s">
        <v>222</v>
      </c>
      <c r="L27" s="146"/>
      <c r="M27" s="146"/>
      <c r="N27" s="146"/>
      <c r="O27" s="146"/>
      <c r="P27" s="146"/>
      <c r="Q27" s="148"/>
    </row>
    <row r="28" s="92" customFormat="true" ht="9.75" hidden="false" customHeight="true" outlineLevel="0" collapsed="false">
      <c r="A28" s="99" t="s">
        <v>200</v>
      </c>
      <c r="B28" s="100" t="s">
        <v>206</v>
      </c>
      <c r="C28" s="101"/>
      <c r="D28" s="102" t="n">
        <v>1.7</v>
      </c>
      <c r="E28" s="102" t="n">
        <v>2.8</v>
      </c>
      <c r="F28" s="103" t="n">
        <f aca="false">IF(D28=0," ",D28*E28)</f>
        <v>4.76</v>
      </c>
      <c r="G28" s="104" t="n">
        <v>1</v>
      </c>
      <c r="H28" s="105" t="n">
        <f aca="false">F30*G30</f>
        <v>0.36</v>
      </c>
      <c r="I28" s="103" t="n">
        <f aca="false">IF(F28=" "," ",F28*G28-H28)</f>
        <v>4.4</v>
      </c>
      <c r="J28" s="102" t="n">
        <v>0.479</v>
      </c>
      <c r="K28" s="104" t="n">
        <v>35</v>
      </c>
      <c r="L28" s="106" t="n">
        <f aca="false">IF(I28=" "," ",I28*J28*K28)</f>
        <v>73.766</v>
      </c>
      <c r="M28" s="107" t="n">
        <v>7</v>
      </c>
      <c r="N28" s="104" t="n">
        <v>0</v>
      </c>
      <c r="O28" s="107" t="n">
        <v>-5</v>
      </c>
      <c r="P28" s="103" t="n">
        <f aca="false">IF(M28=" "," ",(1+(M28+N28+O28)/100))</f>
        <v>1.02</v>
      </c>
      <c r="Q28" s="108" t="n">
        <f aca="false">IF(L28=" "," ",L28*P28)</f>
        <v>75.24132</v>
      </c>
    </row>
    <row r="29" s="92" customFormat="true" ht="9.75" hidden="false" customHeight="true" outlineLevel="0" collapsed="false">
      <c r="A29" s="99" t="s">
        <v>202</v>
      </c>
      <c r="B29" s="100" t="s">
        <v>206</v>
      </c>
      <c r="C29" s="101"/>
      <c r="D29" s="102" t="n">
        <f aca="false">D28</f>
        <v>1.7</v>
      </c>
      <c r="E29" s="102" t="n">
        <v>0.37</v>
      </c>
      <c r="F29" s="103" t="n">
        <f aca="false">IF(D29=0," ",D29*E29)</f>
        <v>0.629</v>
      </c>
      <c r="G29" s="104" t="n">
        <v>1</v>
      </c>
      <c r="H29" s="105"/>
      <c r="I29" s="103" t="n">
        <f aca="false">IF(F29=" "," ",F29*G29-H29)</f>
        <v>0.629</v>
      </c>
      <c r="J29" s="102" t="n">
        <v>0.577</v>
      </c>
      <c r="K29" s="104" t="n">
        <v>35</v>
      </c>
      <c r="L29" s="106" t="n">
        <f aca="false">IF(I29=" "," ",I29*J29*K29)</f>
        <v>12.702655</v>
      </c>
      <c r="M29" s="107" t="n">
        <v>7</v>
      </c>
      <c r="N29" s="104" t="n">
        <v>0</v>
      </c>
      <c r="O29" s="107" t="n">
        <v>-5</v>
      </c>
      <c r="P29" s="103" t="n">
        <f aca="false">IF(M29=" "," ",(1+(M29+N29+O29)/100))</f>
        <v>1.02</v>
      </c>
      <c r="Q29" s="108" t="n">
        <f aca="false">IF(L29=" "," ",L29*P29)</f>
        <v>12.9567081</v>
      </c>
    </row>
    <row r="30" s="92" customFormat="true" ht="9.75" hidden="false" customHeight="true" outlineLevel="0" collapsed="false">
      <c r="A30" s="99" t="s">
        <v>203</v>
      </c>
      <c r="B30" s="100" t="s">
        <v>206</v>
      </c>
      <c r="C30" s="101"/>
      <c r="D30" s="102" t="n">
        <v>0.6</v>
      </c>
      <c r="E30" s="102" t="n">
        <v>0.6</v>
      </c>
      <c r="F30" s="103" t="n">
        <f aca="false">IF(D30=0," ",D30*E30)</f>
        <v>0.36</v>
      </c>
      <c r="G30" s="104" t="n">
        <v>1</v>
      </c>
      <c r="H30" s="105"/>
      <c r="I30" s="103" t="n">
        <f aca="false">IF(F30=" "," ",F30*G30-H30)</f>
        <v>0.36</v>
      </c>
      <c r="J30" s="102" t="n">
        <v>2.4</v>
      </c>
      <c r="K30" s="104" t="n">
        <v>35</v>
      </c>
      <c r="L30" s="106" t="n">
        <f aca="false">IF(I30=" "," ",I30*J30*K30)</f>
        <v>30.24</v>
      </c>
      <c r="M30" s="107" t="n">
        <v>7</v>
      </c>
      <c r="N30" s="104" t="n">
        <v>0</v>
      </c>
      <c r="O30" s="107" t="n">
        <v>-5</v>
      </c>
      <c r="P30" s="103" t="n">
        <f aca="false">IF(M30=" "," ",(1+(M30+N30+O30)/100))</f>
        <v>1.02</v>
      </c>
      <c r="Q30" s="109" t="n">
        <f aca="false">IF(L30=" "," ",L30*P30)</f>
        <v>30.8448</v>
      </c>
    </row>
    <row r="31" s="92" customFormat="true" ht="9.75" hidden="false" customHeight="true" outlineLevel="0" collapsed="false">
      <c r="A31" s="99" t="s">
        <v>204</v>
      </c>
      <c r="B31" s="100" t="s">
        <v>206</v>
      </c>
      <c r="C31" s="101"/>
      <c r="D31" s="102" t="n">
        <v>0.4</v>
      </c>
      <c r="E31" s="102" t="n">
        <v>3.17</v>
      </c>
      <c r="F31" s="103" t="n">
        <f aca="false">IF(D31=0," ",D31*E31)</f>
        <v>1.268</v>
      </c>
      <c r="G31" s="104" t="n">
        <v>1</v>
      </c>
      <c r="H31" s="105"/>
      <c r="I31" s="103" t="n">
        <f aca="false">IF(F31=" "," ",F31*G31-H31)</f>
        <v>1.268</v>
      </c>
      <c r="J31" s="102" t="n">
        <v>0.57</v>
      </c>
      <c r="K31" s="104" t="n">
        <v>35</v>
      </c>
      <c r="L31" s="106" t="n">
        <f aca="false">IF(I31=" "," ",I31*J31*K31)</f>
        <v>25.2966</v>
      </c>
      <c r="M31" s="107" t="n">
        <v>7</v>
      </c>
      <c r="N31" s="104" t="n">
        <v>0</v>
      </c>
      <c r="O31" s="107" t="n">
        <v>-5</v>
      </c>
      <c r="P31" s="103" t="n">
        <f aca="false">IF(M31=" "," ",(1+(M31+N31+O31)/100))</f>
        <v>1.02</v>
      </c>
      <c r="Q31" s="108" t="n">
        <f aca="false">IF(L31=" "," ",L31*P31)</f>
        <v>25.802532</v>
      </c>
    </row>
    <row r="32" s="92" customFormat="true" ht="9.75" hidden="false" customHeight="true" outlineLevel="0" collapsed="false">
      <c r="A32" s="99" t="s">
        <v>223</v>
      </c>
      <c r="B32" s="100"/>
      <c r="C32" s="101"/>
      <c r="D32" s="102" t="n">
        <v>4.2</v>
      </c>
      <c r="E32" s="102" t="n">
        <v>3.17</v>
      </c>
      <c r="F32" s="103" t="n">
        <f aca="false">IF(D32=0," ",D32*E32)</f>
        <v>13.314</v>
      </c>
      <c r="G32" s="104" t="n">
        <v>1</v>
      </c>
      <c r="H32" s="105" t="n">
        <f aca="false">F33*G33</f>
        <v>1.76</v>
      </c>
      <c r="I32" s="103" t="n">
        <f aca="false">IF(F32=" "," ",F32*G32-H32)</f>
        <v>11.554</v>
      </c>
      <c r="J32" s="102" t="n">
        <v>0.814</v>
      </c>
      <c r="K32" s="104" t="n">
        <v>6</v>
      </c>
      <c r="L32" s="106" t="n">
        <f aca="false">IF(I32=" "," ",I32*J32*K32)</f>
        <v>56.429736</v>
      </c>
      <c r="M32" s="107" t="n">
        <v>7</v>
      </c>
      <c r="N32" s="104" t="n">
        <v>0</v>
      </c>
      <c r="O32" s="107" t="n">
        <v>0</v>
      </c>
      <c r="P32" s="103" t="n">
        <f aca="false">IF(M32=" "," ",(1+(M32+N32+O32)/100))</f>
        <v>1.07</v>
      </c>
      <c r="Q32" s="108" t="n">
        <f aca="false">IF(L32=" "," ",L32*P32)</f>
        <v>60.37981752</v>
      </c>
    </row>
    <row r="33" s="92" customFormat="true" ht="9.75" hidden="false" customHeight="true" outlineLevel="0" collapsed="false">
      <c r="A33" s="99" t="s">
        <v>232</v>
      </c>
      <c r="B33" s="100"/>
      <c r="C33" s="101"/>
      <c r="D33" s="102" t="n">
        <v>0.8</v>
      </c>
      <c r="E33" s="102" t="n">
        <v>2.2</v>
      </c>
      <c r="F33" s="103" t="n">
        <f aca="false">D33*E33</f>
        <v>1.76</v>
      </c>
      <c r="G33" s="104" t="n">
        <v>1</v>
      </c>
      <c r="H33" s="105"/>
      <c r="I33" s="103" t="n">
        <f aca="false">IF(F33=" "," ",F33*G33-H33)</f>
        <v>1.76</v>
      </c>
      <c r="J33" s="102" t="n">
        <v>3.5</v>
      </c>
      <c r="K33" s="104" t="n">
        <v>6</v>
      </c>
      <c r="L33" s="106" t="n">
        <f aca="false">IF(I33=" "," ",I33*J33*K33)</f>
        <v>36.96</v>
      </c>
      <c r="M33" s="107" t="n">
        <v>7</v>
      </c>
      <c r="N33" s="104" t="n">
        <v>0</v>
      </c>
      <c r="O33" s="107" t="n">
        <v>0</v>
      </c>
      <c r="P33" s="103" t="n">
        <f aca="false">IF(M33=" "," ",(1+(M33+N33+O33)/100))</f>
        <v>1.07</v>
      </c>
      <c r="Q33" s="109" t="n">
        <f aca="false">IF(L33=" "," ",L33*P33)</f>
        <v>39.5472</v>
      </c>
    </row>
    <row r="34" s="92" customFormat="true" ht="9.75" hidden="false" customHeight="true" outlineLevel="0" collapsed="false">
      <c r="A34" s="99" t="s">
        <v>235</v>
      </c>
      <c r="B34" s="100"/>
      <c r="C34" s="101"/>
      <c r="D34" s="102" t="n">
        <v>2.1</v>
      </c>
      <c r="E34" s="102" t="n">
        <v>2.1</v>
      </c>
      <c r="F34" s="103" t="n">
        <f aca="false">IF(D34=0," ",D34*E34)</f>
        <v>4.41</v>
      </c>
      <c r="G34" s="104" t="n">
        <v>1</v>
      </c>
      <c r="H34" s="105"/>
      <c r="I34" s="103" t="n">
        <f aca="false">IF(F34=" "," ",F34*G34-H34)</f>
        <v>4.41</v>
      </c>
      <c r="J34" s="102" t="n">
        <v>0.318</v>
      </c>
      <c r="K34" s="104" t="n">
        <v>26</v>
      </c>
      <c r="L34" s="106" t="n">
        <f aca="false">IF(I34=" "," ",I34*J34*K34)</f>
        <v>36.46188</v>
      </c>
      <c r="M34" s="107" t="n">
        <v>7</v>
      </c>
      <c r="N34" s="104" t="n">
        <v>0</v>
      </c>
      <c r="O34" s="107" t="n">
        <v>0</v>
      </c>
      <c r="P34" s="103" t="n">
        <f aca="false">IF(M34=" "," ",(1+(M34+N34+O34)/100))</f>
        <v>1.07</v>
      </c>
      <c r="Q34" s="109" t="n">
        <f aca="false">IF(L34=" "," ",L34*P34)</f>
        <v>39.0142116</v>
      </c>
    </row>
    <row r="35" s="92" customFormat="true" ht="9.75" hidden="false" customHeight="true" outlineLevel="0" collapsed="false">
      <c r="A35" s="110"/>
      <c r="B35" s="111"/>
      <c r="C35" s="111"/>
      <c r="D35" s="112"/>
      <c r="E35" s="112"/>
      <c r="F35" s="112" t="str">
        <f aca="false">IF(D35=0," ",D35*E35)</f>
        <v> </v>
      </c>
      <c r="G35" s="113"/>
      <c r="H35" s="112"/>
      <c r="I35" s="112" t="str">
        <f aca="false">IF(F35=" "," ",F35*G35-H35)</f>
        <v> </v>
      </c>
      <c r="J35" s="112"/>
      <c r="K35" s="113"/>
      <c r="L35" s="114"/>
      <c r="M35" s="115"/>
      <c r="N35" s="115"/>
      <c r="O35" s="115"/>
      <c r="P35" s="116"/>
      <c r="Q35" s="117" t="n">
        <f aca="false">SUM(Q28:Q34)</f>
        <v>283.78658922</v>
      </c>
    </row>
    <row r="36" s="129" customFormat="true" ht="9.75" hidden="false" customHeight="true" outlineLevel="0" collapsed="false">
      <c r="A36" s="118"/>
      <c r="B36" s="119"/>
      <c r="C36" s="119"/>
      <c r="D36" s="120"/>
      <c r="E36" s="121"/>
      <c r="F36" s="122"/>
      <c r="G36" s="123"/>
      <c r="H36" s="122"/>
      <c r="I36" s="124"/>
      <c r="J36" s="125" t="s">
        <v>210</v>
      </c>
      <c r="K36" s="124" t="s">
        <v>211</v>
      </c>
      <c r="L36" s="122" t="s">
        <v>212</v>
      </c>
      <c r="M36" s="123" t="s">
        <v>213</v>
      </c>
      <c r="N36" s="126" t="s">
        <v>214</v>
      </c>
      <c r="O36" s="127" t="s">
        <v>215</v>
      </c>
      <c r="P36" s="123" t="s">
        <v>216</v>
      </c>
      <c r="Q36" s="128"/>
    </row>
    <row r="37" s="129" customFormat="true" ht="9.75" hidden="false" customHeight="true" outlineLevel="0" collapsed="false">
      <c r="A37" s="130" t="s">
        <v>217</v>
      </c>
      <c r="C37" s="131"/>
      <c r="D37" s="131"/>
      <c r="E37" s="132"/>
      <c r="F37" s="133"/>
      <c r="G37" s="134"/>
      <c r="H37" s="135"/>
      <c r="I37" s="136"/>
      <c r="J37" s="137" t="s">
        <v>218</v>
      </c>
      <c r="K37" s="138" t="n">
        <v>2</v>
      </c>
      <c r="L37" s="138" t="n">
        <f aca="false">(D30+E30)*2*G30</f>
        <v>2.4</v>
      </c>
      <c r="M37" s="138" t="n">
        <v>0.9</v>
      </c>
      <c r="N37" s="138" t="n">
        <v>0.67</v>
      </c>
      <c r="O37" s="115" t="n">
        <v>35</v>
      </c>
      <c r="P37" s="138" t="n">
        <v>1</v>
      </c>
      <c r="Q37" s="117" t="n">
        <f aca="false">K37*L37*M37*N37*O37*P37</f>
        <v>101.304</v>
      </c>
    </row>
    <row r="38" s="87" customFormat="true" ht="9.75" hidden="false" customHeight="true" outlineLevel="0" collapsed="false">
      <c r="A38" s="139"/>
      <c r="B38" s="129"/>
      <c r="C38" s="131"/>
      <c r="D38" s="131"/>
      <c r="E38" s="112"/>
      <c r="F38" s="112"/>
      <c r="G38" s="140"/>
      <c r="H38" s="131"/>
      <c r="I38" s="131"/>
      <c r="J38" s="131"/>
      <c r="K38" s="140"/>
      <c r="L38" s="141"/>
      <c r="M38" s="142" t="s">
        <v>219</v>
      </c>
      <c r="N38" s="142"/>
      <c r="O38" s="143"/>
      <c r="P38" s="142"/>
      <c r="Q38" s="144" t="n">
        <f aca="false">Q35+Q37</f>
        <v>385.09058922</v>
      </c>
    </row>
    <row r="39" s="92" customFormat="true" ht="9.75" hidden="false" customHeight="true" outlineLevel="0" collapsed="false">
      <c r="A39" s="145"/>
      <c r="B39" s="146"/>
      <c r="C39" s="146"/>
      <c r="D39" s="146"/>
      <c r="E39" s="146"/>
      <c r="F39" s="95" t="n">
        <f aca="false">F8</f>
        <v>1</v>
      </c>
      <c r="G39" s="147" t="s">
        <v>196</v>
      </c>
      <c r="H39" s="146" t="n">
        <f aca="false">H27+1</f>
        <v>3</v>
      </c>
      <c r="I39" s="147" t="s">
        <v>236</v>
      </c>
      <c r="J39" s="147"/>
      <c r="K39" s="146" t="s">
        <v>226</v>
      </c>
      <c r="L39" s="146"/>
      <c r="M39" s="146"/>
      <c r="N39" s="146"/>
      <c r="O39" s="146"/>
      <c r="P39" s="146"/>
      <c r="Q39" s="148"/>
    </row>
    <row r="40" s="92" customFormat="true" ht="9.75" hidden="false" customHeight="true" outlineLevel="0" collapsed="false">
      <c r="A40" s="99" t="s">
        <v>204</v>
      </c>
      <c r="B40" s="100" t="s">
        <v>201</v>
      </c>
      <c r="C40" s="101"/>
      <c r="D40" s="102" t="n">
        <v>1</v>
      </c>
      <c r="E40" s="102" t="n">
        <v>3.17</v>
      </c>
      <c r="F40" s="103" t="n">
        <f aca="false">IF(D40=0," ",D40*E40)</f>
        <v>3.17</v>
      </c>
      <c r="G40" s="104" t="n">
        <v>1</v>
      </c>
      <c r="H40" s="105"/>
      <c r="I40" s="103" t="n">
        <f aca="false">IF(F40=" "," ",F40*G40-H40)</f>
        <v>3.17</v>
      </c>
      <c r="J40" s="102" t="n">
        <v>0.57</v>
      </c>
      <c r="K40" s="104" t="n">
        <v>27</v>
      </c>
      <c r="L40" s="106" t="n">
        <v>26</v>
      </c>
      <c r="M40" s="107" t="n">
        <v>7</v>
      </c>
      <c r="N40" s="104" t="n">
        <v>0</v>
      </c>
      <c r="O40" s="107" t="n">
        <v>5</v>
      </c>
      <c r="P40" s="103" t="n">
        <f aca="false">IF(M40=" "," ",(1+(M40+N40+O40)/100))</f>
        <v>1.12</v>
      </c>
      <c r="Q40" s="108" t="n">
        <f aca="false">IF(L40=" "," ",L40*P40)</f>
        <v>29.12</v>
      </c>
    </row>
    <row r="41" s="92" customFormat="true" ht="9.75" hidden="false" customHeight="true" outlineLevel="0" collapsed="false">
      <c r="A41" s="99" t="s">
        <v>200</v>
      </c>
      <c r="B41" s="100" t="s">
        <v>208</v>
      </c>
      <c r="C41" s="101"/>
      <c r="D41" s="102" t="n">
        <v>2.4</v>
      </c>
      <c r="E41" s="102" t="n">
        <v>2.8</v>
      </c>
      <c r="F41" s="103" t="n">
        <f aca="false">IF(D41=0," ",D41*E41)</f>
        <v>6.72</v>
      </c>
      <c r="G41" s="104" t="n">
        <v>1</v>
      </c>
      <c r="H41" s="105" t="n">
        <f aca="false">F43*G43</f>
        <v>1.68</v>
      </c>
      <c r="I41" s="103" t="n">
        <f aca="false">IF(F41=" "," ",F41*G41-H41)</f>
        <v>5.04</v>
      </c>
      <c r="J41" s="102" t="n">
        <v>0.479</v>
      </c>
      <c r="K41" s="104" t="n">
        <v>27</v>
      </c>
      <c r="L41" s="106" t="n">
        <f aca="false">IF(I41=" "," ",I41*J41*K41)</f>
        <v>65.18232</v>
      </c>
      <c r="M41" s="107" t="n">
        <v>7</v>
      </c>
      <c r="N41" s="104" t="n">
        <v>0</v>
      </c>
      <c r="O41" s="107" t="n">
        <v>0</v>
      </c>
      <c r="P41" s="103" t="n">
        <f aca="false">IF(M41=" "," ",(1+(M41+N41+O41)/100))</f>
        <v>1.07</v>
      </c>
      <c r="Q41" s="108" t="n">
        <f aca="false">IF(L41=" "," ",L41*P41)</f>
        <v>69.7450824</v>
      </c>
    </row>
    <row r="42" s="92" customFormat="true" ht="9.75" hidden="false" customHeight="true" outlineLevel="0" collapsed="false">
      <c r="A42" s="99" t="s">
        <v>202</v>
      </c>
      <c r="B42" s="100" t="s">
        <v>208</v>
      </c>
      <c r="C42" s="101"/>
      <c r="D42" s="102" t="n">
        <f aca="false">D41</f>
        <v>2.4</v>
      </c>
      <c r="E42" s="102" t="n">
        <v>0.37</v>
      </c>
      <c r="F42" s="103" t="n">
        <f aca="false">IF(D42=0," ",D42*E42)</f>
        <v>0.888</v>
      </c>
      <c r="G42" s="104" t="n">
        <v>1</v>
      </c>
      <c r="H42" s="105"/>
      <c r="I42" s="103" t="n">
        <f aca="false">IF(F42=" "," ",F42*G42-H42)</f>
        <v>0.888</v>
      </c>
      <c r="J42" s="102" t="n">
        <v>0.577</v>
      </c>
      <c r="K42" s="104" t="n">
        <v>27</v>
      </c>
      <c r="L42" s="106" t="n">
        <v>26</v>
      </c>
      <c r="M42" s="107" t="n">
        <v>7</v>
      </c>
      <c r="N42" s="104" t="n">
        <v>0</v>
      </c>
      <c r="O42" s="107" t="n">
        <v>0</v>
      </c>
      <c r="P42" s="103" t="n">
        <f aca="false">IF(M42=" "," ",(1+(M42+N42+O42)/100))</f>
        <v>1.07</v>
      </c>
      <c r="Q42" s="108" t="n">
        <f aca="false">IF(L42=" "," ",L42*P42)</f>
        <v>27.82</v>
      </c>
    </row>
    <row r="43" s="92" customFormat="true" ht="9.75" hidden="false" customHeight="true" outlineLevel="0" collapsed="false">
      <c r="A43" s="99" t="s">
        <v>203</v>
      </c>
      <c r="B43" s="100" t="s">
        <v>208</v>
      </c>
      <c r="C43" s="101"/>
      <c r="D43" s="102" t="n">
        <v>0.6</v>
      </c>
      <c r="E43" s="102" t="n">
        <v>2.8</v>
      </c>
      <c r="F43" s="103" t="n">
        <f aca="false">IF(D43=0," ",D43*E43)</f>
        <v>1.68</v>
      </c>
      <c r="G43" s="104" t="n">
        <v>1</v>
      </c>
      <c r="H43" s="105"/>
      <c r="I43" s="103" t="n">
        <f aca="false">IF(F43=" "," ",F43*G43-H43)</f>
        <v>1.68</v>
      </c>
      <c r="J43" s="102" t="n">
        <v>2.4</v>
      </c>
      <c r="K43" s="104" t="n">
        <v>27</v>
      </c>
      <c r="L43" s="106" t="n">
        <f aca="false">IF(I43=" "," ",I43*J43*K43)</f>
        <v>108.864</v>
      </c>
      <c r="M43" s="107" t="n">
        <v>7</v>
      </c>
      <c r="N43" s="104" t="n">
        <v>0</v>
      </c>
      <c r="O43" s="107" t="n">
        <v>0</v>
      </c>
      <c r="P43" s="103" t="n">
        <f aca="false">IF(M43=" "," ",(1+(M43+N43+O43)/100))</f>
        <v>1.07</v>
      </c>
      <c r="Q43" s="109" t="n">
        <f aca="false">IF(L43=" "," ",L43*P43)</f>
        <v>116.48448</v>
      </c>
    </row>
    <row r="44" s="92" customFormat="true" ht="9.75" hidden="false" customHeight="true" outlineLevel="0" collapsed="false">
      <c r="A44" s="99" t="s">
        <v>235</v>
      </c>
      <c r="B44" s="100"/>
      <c r="C44" s="101"/>
      <c r="D44" s="102" t="n">
        <v>1.2</v>
      </c>
      <c r="E44" s="102" t="n">
        <v>2.8</v>
      </c>
      <c r="F44" s="103" t="n">
        <f aca="false">IF(D44=0," ",D44*E44)</f>
        <v>3.36</v>
      </c>
      <c r="G44" s="104" t="n">
        <v>1</v>
      </c>
      <c r="H44" s="105"/>
      <c r="I44" s="103" t="n">
        <f aca="false">IF(F44=" "," ",F44*G44-H44)</f>
        <v>3.36</v>
      </c>
      <c r="J44" s="102" t="n">
        <v>0.318</v>
      </c>
      <c r="K44" s="104" t="n">
        <v>18</v>
      </c>
      <c r="L44" s="106" t="n">
        <f aca="false">IF(I44=" "," ",I44*J44*K44)</f>
        <v>19.23264</v>
      </c>
      <c r="M44" s="107" t="n">
        <v>7</v>
      </c>
      <c r="N44" s="104" t="n">
        <v>0</v>
      </c>
      <c r="O44" s="107" t="n">
        <v>0</v>
      </c>
      <c r="P44" s="103" t="n">
        <f aca="false">IF(M44=" "," ",(1+(M44+N44+O44)/100))</f>
        <v>1.07</v>
      </c>
      <c r="Q44" s="109" t="n">
        <f aca="false">IF(L44=" "," ",L44*P44)</f>
        <v>20.5789248</v>
      </c>
    </row>
    <row r="45" s="92" customFormat="true" ht="9.75" hidden="false" customHeight="true" outlineLevel="0" collapsed="false">
      <c r="A45" s="99" t="s">
        <v>235</v>
      </c>
      <c r="B45" s="100"/>
      <c r="C45" s="101"/>
      <c r="D45" s="102" t="n">
        <v>1.4</v>
      </c>
      <c r="E45" s="102" t="n">
        <v>1.4</v>
      </c>
      <c r="F45" s="103" t="n">
        <f aca="false">IF(D45=0," ",D45*E45)</f>
        <v>1.96</v>
      </c>
      <c r="G45" s="104" t="n">
        <v>1</v>
      </c>
      <c r="H45" s="105"/>
      <c r="I45" s="103" t="n">
        <f aca="false">IF(F45=" "," ",F45*G45-H45)</f>
        <v>1.96</v>
      </c>
      <c r="J45" s="102" t="n">
        <v>0.318</v>
      </c>
      <c r="K45" s="104" t="n">
        <v>18</v>
      </c>
      <c r="L45" s="106" t="n">
        <f aca="false">IF(I45=" "," ",I45*J45*K45)</f>
        <v>11.21904</v>
      </c>
      <c r="M45" s="107" t="n">
        <v>7</v>
      </c>
      <c r="N45" s="104" t="n">
        <v>0</v>
      </c>
      <c r="O45" s="107" t="n">
        <v>0</v>
      </c>
      <c r="P45" s="103" t="n">
        <f aca="false">IF(M45=" "," ",(1+(M45+N45+O45)/100))</f>
        <v>1.07</v>
      </c>
      <c r="Q45" s="109" t="n">
        <f aca="false">IF(L45=" "," ",L45*P45)</f>
        <v>12.0043728</v>
      </c>
    </row>
    <row r="46" s="92" customFormat="true" ht="9.75" hidden="false" customHeight="true" outlineLevel="0" collapsed="false">
      <c r="A46" s="99" t="s">
        <v>235</v>
      </c>
      <c r="B46" s="100"/>
      <c r="C46" s="101"/>
      <c r="D46" s="102" t="n">
        <v>2.4</v>
      </c>
      <c r="E46" s="102" t="n">
        <v>5.7</v>
      </c>
      <c r="F46" s="103" t="n">
        <f aca="false">IF(D46=0," ",D46*E46)</f>
        <v>13.68</v>
      </c>
      <c r="G46" s="104" t="n">
        <v>1</v>
      </c>
      <c r="H46" s="105"/>
      <c r="I46" s="103" t="n">
        <f aca="false">IF(F46=" "," ",F46*G46-H46)</f>
        <v>13.68</v>
      </c>
      <c r="J46" s="102" t="n">
        <v>0.318</v>
      </c>
      <c r="K46" s="104" t="n">
        <v>18</v>
      </c>
      <c r="L46" s="106" t="n">
        <f aca="false">IF(I46=" "," ",I46*J46*K46)</f>
        <v>78.30432</v>
      </c>
      <c r="M46" s="107" t="n">
        <v>7</v>
      </c>
      <c r="N46" s="104" t="n">
        <v>0</v>
      </c>
      <c r="O46" s="107" t="n">
        <v>0</v>
      </c>
      <c r="P46" s="103" t="n">
        <f aca="false">IF(M46=" "," ",(1+(M46+N46+O46)/100))</f>
        <v>1.07</v>
      </c>
      <c r="Q46" s="109" t="n">
        <f aca="false">IF(L46=" "," ",L46*P46)</f>
        <v>83.7856224</v>
      </c>
    </row>
    <row r="47" s="92" customFormat="true" ht="9.75" hidden="false" customHeight="true" outlineLevel="0" collapsed="false">
      <c r="A47" s="110"/>
      <c r="B47" s="111"/>
      <c r="C47" s="111"/>
      <c r="D47" s="112"/>
      <c r="E47" s="112"/>
      <c r="F47" s="112" t="str">
        <f aca="false">IF(D47=0," ",D47*E47)</f>
        <v> </v>
      </c>
      <c r="G47" s="113"/>
      <c r="H47" s="112"/>
      <c r="I47" s="112" t="str">
        <f aca="false">IF(F47=" "," ",F47*G47-H47)</f>
        <v> </v>
      </c>
      <c r="J47" s="112"/>
      <c r="K47" s="113"/>
      <c r="L47" s="114"/>
      <c r="M47" s="115"/>
      <c r="N47" s="115"/>
      <c r="O47" s="115"/>
      <c r="P47" s="116"/>
      <c r="Q47" s="117" t="n">
        <f aca="false">SUM(Q40:Q46)</f>
        <v>359.5384824</v>
      </c>
    </row>
    <row r="48" s="129" customFormat="true" ht="9.75" hidden="false" customHeight="true" outlineLevel="0" collapsed="false">
      <c r="A48" s="118"/>
      <c r="B48" s="119"/>
      <c r="C48" s="119"/>
      <c r="D48" s="120"/>
      <c r="E48" s="121"/>
      <c r="F48" s="122"/>
      <c r="G48" s="123"/>
      <c r="H48" s="122"/>
      <c r="I48" s="124"/>
      <c r="J48" s="125" t="s">
        <v>210</v>
      </c>
      <c r="K48" s="124" t="s">
        <v>211</v>
      </c>
      <c r="L48" s="122" t="s">
        <v>212</v>
      </c>
      <c r="M48" s="123" t="s">
        <v>213</v>
      </c>
      <c r="N48" s="126" t="s">
        <v>214</v>
      </c>
      <c r="O48" s="127" t="s">
        <v>215</v>
      </c>
      <c r="P48" s="123" t="s">
        <v>216</v>
      </c>
      <c r="Q48" s="128"/>
    </row>
    <row r="49" s="129" customFormat="true" ht="9.75" hidden="false" customHeight="true" outlineLevel="0" collapsed="false">
      <c r="A49" s="130" t="s">
        <v>217</v>
      </c>
      <c r="C49" s="131"/>
      <c r="D49" s="131"/>
      <c r="E49" s="132"/>
      <c r="F49" s="133"/>
      <c r="G49" s="134"/>
      <c r="H49" s="135"/>
      <c r="I49" s="136"/>
      <c r="J49" s="137" t="s">
        <v>218</v>
      </c>
      <c r="K49" s="138" t="n">
        <v>2</v>
      </c>
      <c r="L49" s="138" t="n">
        <f aca="false">(D43+E43)*2*G43</f>
        <v>6.8</v>
      </c>
      <c r="M49" s="138" t="n">
        <v>0.9</v>
      </c>
      <c r="N49" s="138" t="n">
        <v>0.67</v>
      </c>
      <c r="O49" s="115" t="n">
        <v>27</v>
      </c>
      <c r="P49" s="138" t="n">
        <v>1.2</v>
      </c>
      <c r="Q49" s="117" t="n">
        <f aca="false">K49*L49*M49*N49*O49*P49</f>
        <v>265.70592</v>
      </c>
    </row>
    <row r="50" s="87" customFormat="true" ht="9.75" hidden="false" customHeight="true" outlineLevel="0" collapsed="false">
      <c r="A50" s="139"/>
      <c r="B50" s="129"/>
      <c r="C50" s="131"/>
      <c r="D50" s="131"/>
      <c r="E50" s="149"/>
      <c r="F50" s="149"/>
      <c r="G50" s="140"/>
      <c r="H50" s="131"/>
      <c r="I50" s="131"/>
      <c r="J50" s="131"/>
      <c r="K50" s="140"/>
      <c r="L50" s="141"/>
      <c r="M50" s="142" t="s">
        <v>219</v>
      </c>
      <c r="N50" s="142"/>
      <c r="O50" s="143"/>
      <c r="P50" s="142"/>
      <c r="Q50" s="144" t="n">
        <f aca="false">Q47+Q49</f>
        <v>625.2444024</v>
      </c>
    </row>
    <row r="51" s="92" customFormat="true" ht="9.75" hidden="false" customHeight="true" outlineLevel="0" collapsed="false">
      <c r="A51" s="145"/>
      <c r="B51" s="146"/>
      <c r="C51" s="146"/>
      <c r="D51" s="146"/>
      <c r="E51" s="146"/>
      <c r="F51" s="95" t="n">
        <v>1</v>
      </c>
      <c r="G51" s="147" t="s">
        <v>196</v>
      </c>
      <c r="H51" s="146" t="s">
        <v>227</v>
      </c>
      <c r="I51" s="147" t="s">
        <v>228</v>
      </c>
      <c r="J51" s="147"/>
      <c r="K51" s="146" t="s">
        <v>229</v>
      </c>
      <c r="L51" s="146"/>
      <c r="M51" s="146"/>
      <c r="N51" s="146"/>
      <c r="O51" s="146"/>
      <c r="P51" s="146"/>
      <c r="Q51" s="148"/>
    </row>
    <row r="52" s="92" customFormat="true" ht="9.75" hidden="false" customHeight="true" outlineLevel="0" collapsed="false">
      <c r="A52" s="99" t="s">
        <v>200</v>
      </c>
      <c r="B52" s="100" t="s">
        <v>206</v>
      </c>
      <c r="C52" s="101"/>
      <c r="D52" s="102" t="n">
        <v>3.45</v>
      </c>
      <c r="E52" s="102" t="n">
        <v>2.8</v>
      </c>
      <c r="F52" s="103" t="n">
        <f aca="false">IF(D52=0," ",D52*E52)</f>
        <v>9.66</v>
      </c>
      <c r="G52" s="104" t="n">
        <v>1</v>
      </c>
      <c r="H52" s="105" t="n">
        <f aca="false">F54*G54</f>
        <v>5.04</v>
      </c>
      <c r="I52" s="103" t="n">
        <f aca="false">IF(F52=" "," ",F52*G52-H52)</f>
        <v>4.62</v>
      </c>
      <c r="J52" s="102" t="n">
        <v>0.479</v>
      </c>
      <c r="K52" s="104" t="n">
        <v>29</v>
      </c>
      <c r="L52" s="106" t="n">
        <f aca="false">IF(I52=" "," ",I52*J52*K52)</f>
        <v>64.17642</v>
      </c>
      <c r="M52" s="107" t="n">
        <v>7</v>
      </c>
      <c r="N52" s="104" t="n">
        <v>0</v>
      </c>
      <c r="O52" s="107" t="n">
        <v>-5</v>
      </c>
      <c r="P52" s="103" t="n">
        <f aca="false">IF(M52=" "," ",(1+(M52+N52+O52)/100))</f>
        <v>1.02</v>
      </c>
      <c r="Q52" s="108" t="n">
        <f aca="false">IF(L52=" "," ",L52*P52)</f>
        <v>65.4599484</v>
      </c>
    </row>
    <row r="53" s="92" customFormat="true" ht="9.75" hidden="false" customHeight="true" outlineLevel="0" collapsed="false">
      <c r="A53" s="99" t="s">
        <v>202</v>
      </c>
      <c r="B53" s="100" t="s">
        <v>206</v>
      </c>
      <c r="C53" s="101"/>
      <c r="D53" s="102" t="n">
        <f aca="false">D52</f>
        <v>3.45</v>
      </c>
      <c r="E53" s="102" t="n">
        <v>0.37</v>
      </c>
      <c r="F53" s="103" t="n">
        <f aca="false">IF(D53=0," ",D53*E53)</f>
        <v>1.2765</v>
      </c>
      <c r="G53" s="104" t="n">
        <v>1</v>
      </c>
      <c r="H53" s="105"/>
      <c r="I53" s="103" t="n">
        <f aca="false">IF(F53=" "," ",F53*G53-H53)</f>
        <v>1.2765</v>
      </c>
      <c r="J53" s="102" t="n">
        <v>0.577</v>
      </c>
      <c r="K53" s="104" t="n">
        <v>29</v>
      </c>
      <c r="L53" s="106" t="n">
        <f aca="false">IF(I53=" "," ",I53*J53*K53)</f>
        <v>21.3596745</v>
      </c>
      <c r="M53" s="107" t="n">
        <v>7</v>
      </c>
      <c r="N53" s="104" t="n">
        <v>0</v>
      </c>
      <c r="O53" s="107" t="n">
        <v>-5</v>
      </c>
      <c r="P53" s="103" t="n">
        <f aca="false">IF(M53=" "," ",(1+(M53+N53+O53)/100))</f>
        <v>1.02</v>
      </c>
      <c r="Q53" s="108" t="n">
        <f aca="false">IF(L53=" "," ",L53*P53)</f>
        <v>21.78686799</v>
      </c>
    </row>
    <row r="54" s="92" customFormat="true" ht="9.75" hidden="false" customHeight="true" outlineLevel="0" collapsed="false">
      <c r="A54" s="99" t="s">
        <v>203</v>
      </c>
      <c r="B54" s="100" t="s">
        <v>206</v>
      </c>
      <c r="C54" s="101"/>
      <c r="D54" s="102" t="n">
        <v>1.8</v>
      </c>
      <c r="E54" s="102" t="n">
        <v>2.8</v>
      </c>
      <c r="F54" s="103" t="n">
        <f aca="false">IF(D54=0," ",D54*E54)</f>
        <v>5.04</v>
      </c>
      <c r="G54" s="104" t="n">
        <v>1</v>
      </c>
      <c r="H54" s="105"/>
      <c r="I54" s="103" t="n">
        <f aca="false">IF(F54=" "," ",F54*G54-H54)</f>
        <v>5.04</v>
      </c>
      <c r="J54" s="102" t="n">
        <v>2.4</v>
      </c>
      <c r="K54" s="104" t="n">
        <v>29</v>
      </c>
      <c r="L54" s="106" t="n">
        <f aca="false">IF(I54=" "," ",I54*J54*K54)</f>
        <v>350.784</v>
      </c>
      <c r="M54" s="107" t="n">
        <v>7</v>
      </c>
      <c r="N54" s="104" t="n">
        <v>0</v>
      </c>
      <c r="O54" s="107" t="n">
        <v>-5</v>
      </c>
      <c r="P54" s="103" t="n">
        <f aca="false">IF(M54=" "," ",(1+(M54+N54+O54)/100))</f>
        <v>1.02</v>
      </c>
      <c r="Q54" s="109" t="n">
        <f aca="false">IF(L54=" "," ",L54*P54)</f>
        <v>357.79968</v>
      </c>
    </row>
    <row r="55" s="92" customFormat="true" ht="9.75" hidden="false" customHeight="true" outlineLevel="0" collapsed="false">
      <c r="A55" s="99" t="s">
        <v>204</v>
      </c>
      <c r="B55" s="100" t="s">
        <v>206</v>
      </c>
      <c r="C55" s="101"/>
      <c r="D55" s="102" t="n">
        <v>0.35</v>
      </c>
      <c r="E55" s="102" t="n">
        <v>3.17</v>
      </c>
      <c r="F55" s="103" t="n">
        <f aca="false">IF(D55=0," ",D55*E55)</f>
        <v>1.1095</v>
      </c>
      <c r="G55" s="104" t="n">
        <v>1</v>
      </c>
      <c r="H55" s="105"/>
      <c r="I55" s="103" t="n">
        <f aca="false">IF(F55=" "," ",F55*G55-H55)</f>
        <v>1.1095</v>
      </c>
      <c r="J55" s="102" t="n">
        <v>0.57</v>
      </c>
      <c r="K55" s="104" t="n">
        <v>29</v>
      </c>
      <c r="L55" s="106" t="n">
        <f aca="false">IF(I55=" "," ",I55*J55*K55)</f>
        <v>18.340035</v>
      </c>
      <c r="M55" s="107" t="n">
        <v>7</v>
      </c>
      <c r="N55" s="104" t="n">
        <v>0</v>
      </c>
      <c r="O55" s="107" t="n">
        <v>-5</v>
      </c>
      <c r="P55" s="103" t="n">
        <f aca="false">IF(M55=" "," ",(1+(M55+N55+O55)/100))</f>
        <v>1.02</v>
      </c>
      <c r="Q55" s="108" t="n">
        <f aca="false">IF(L55=" "," ",L55*P55)</f>
        <v>18.7068357</v>
      </c>
    </row>
    <row r="56" s="92" customFormat="true" ht="9.75" hidden="false" customHeight="true" outlineLevel="0" collapsed="false">
      <c r="A56" s="99" t="s">
        <v>200</v>
      </c>
      <c r="B56" s="100" t="s">
        <v>208</v>
      </c>
      <c r="C56" s="101"/>
      <c r="D56" s="102" t="n">
        <v>3.95</v>
      </c>
      <c r="E56" s="102" t="n">
        <v>2.3</v>
      </c>
      <c r="F56" s="103" t="n">
        <f aca="false">IF(D56=0," ",D56*E56)</f>
        <v>9.085</v>
      </c>
      <c r="G56" s="104" t="n">
        <v>1</v>
      </c>
      <c r="H56" s="105"/>
      <c r="I56" s="103" t="n">
        <f aca="false">IF(F56=" "," ",F56*G56-H56)</f>
        <v>9.085</v>
      </c>
      <c r="J56" s="102" t="n">
        <v>0.479</v>
      </c>
      <c r="K56" s="104" t="n">
        <v>29</v>
      </c>
      <c r="L56" s="106" t="n">
        <f aca="false">IF(I56=" "," ",I56*J56*K56)</f>
        <v>126.199735</v>
      </c>
      <c r="M56" s="107" t="n">
        <v>7</v>
      </c>
      <c r="N56" s="104" t="n">
        <v>0</v>
      </c>
      <c r="O56" s="107" t="n">
        <v>0</v>
      </c>
      <c r="P56" s="103" t="n">
        <f aca="false">IF(M56=" "," ",(1+(M56+N56+O56)/100))</f>
        <v>1.07</v>
      </c>
      <c r="Q56" s="108" t="n">
        <f aca="false">IF(L56=" "," ",L56*P56)</f>
        <v>135.03371645</v>
      </c>
    </row>
    <row r="57" s="92" customFormat="true" ht="9.75" hidden="false" customHeight="true" outlineLevel="0" collapsed="false">
      <c r="A57" s="99" t="s">
        <v>202</v>
      </c>
      <c r="B57" s="100" t="s">
        <v>208</v>
      </c>
      <c r="C57" s="101"/>
      <c r="D57" s="102" t="n">
        <f aca="false">D56</f>
        <v>3.95</v>
      </c>
      <c r="E57" s="102" t="n">
        <v>0.37</v>
      </c>
      <c r="F57" s="103" t="n">
        <f aca="false">IF(D57=0," ",D57*E57)</f>
        <v>1.4615</v>
      </c>
      <c r="G57" s="104" t="n">
        <v>1</v>
      </c>
      <c r="H57" s="105"/>
      <c r="I57" s="103" t="n">
        <f aca="false">IF(F57=" "," ",F57*G57-H57)</f>
        <v>1.4615</v>
      </c>
      <c r="J57" s="102" t="n">
        <v>0.577</v>
      </c>
      <c r="K57" s="104" t="n">
        <v>29</v>
      </c>
      <c r="L57" s="106" t="n">
        <f aca="false">IF(I57=" "," ",I57*J57*K57)</f>
        <v>24.4552795</v>
      </c>
      <c r="M57" s="107" t="n">
        <v>7</v>
      </c>
      <c r="N57" s="104" t="n">
        <v>0</v>
      </c>
      <c r="O57" s="107" t="n">
        <v>0</v>
      </c>
      <c r="P57" s="103" t="n">
        <f aca="false">IF(M57=" "," ",(1+(M57+N57+O57)/100))</f>
        <v>1.07</v>
      </c>
      <c r="Q57" s="108" t="n">
        <f aca="false">IF(L57=" "," ",L57*P57)</f>
        <v>26.167149065</v>
      </c>
    </row>
    <row r="58" s="92" customFormat="true" ht="9.75" hidden="false" customHeight="true" outlineLevel="0" collapsed="false">
      <c r="A58" s="99" t="s">
        <v>200</v>
      </c>
      <c r="B58" s="100" t="s">
        <v>201</v>
      </c>
      <c r="C58" s="101"/>
      <c r="D58" s="102" t="n">
        <v>0.85</v>
      </c>
      <c r="E58" s="102" t="n">
        <v>2.8</v>
      </c>
      <c r="F58" s="103" t="n">
        <f aca="false">IF(D58=0," ",D58*E58)</f>
        <v>2.38</v>
      </c>
      <c r="G58" s="104" t="n">
        <v>1</v>
      </c>
      <c r="H58" s="105"/>
      <c r="I58" s="103" t="n">
        <f aca="false">IF(F58=" "," ",F58*G58-H58)</f>
        <v>2.38</v>
      </c>
      <c r="J58" s="102" t="n">
        <v>0.479</v>
      </c>
      <c r="K58" s="104" t="n">
        <v>29</v>
      </c>
      <c r="L58" s="106" t="n">
        <f aca="false">IF(I58=" "," ",I58*J58*K58)</f>
        <v>33.06058</v>
      </c>
      <c r="M58" s="107" t="n">
        <v>7</v>
      </c>
      <c r="N58" s="104" t="n">
        <v>0</v>
      </c>
      <c r="O58" s="107" t="n">
        <v>5</v>
      </c>
      <c r="P58" s="103" t="n">
        <f aca="false">IF(M58=" "," ",(1+(M58+N58+O58)/100))</f>
        <v>1.12</v>
      </c>
      <c r="Q58" s="108" t="n">
        <f aca="false">IF(L58=" "," ",L58*P58)</f>
        <v>37.0278496</v>
      </c>
    </row>
    <row r="59" s="92" customFormat="true" ht="9.75" hidden="false" customHeight="true" outlineLevel="0" collapsed="false">
      <c r="A59" s="99" t="s">
        <v>202</v>
      </c>
      <c r="B59" s="100" t="s">
        <v>201</v>
      </c>
      <c r="C59" s="101"/>
      <c r="D59" s="102" t="n">
        <f aca="false">D58</f>
        <v>0.85</v>
      </c>
      <c r="E59" s="102" t="n">
        <v>0.37</v>
      </c>
      <c r="F59" s="103" t="n">
        <f aca="false">IF(D59=0," ",D59*E59)</f>
        <v>0.3145</v>
      </c>
      <c r="G59" s="104" t="n">
        <v>1</v>
      </c>
      <c r="H59" s="105"/>
      <c r="I59" s="103" t="n">
        <f aca="false">IF(F59=" "," ",F59*G59-H59)</f>
        <v>0.3145</v>
      </c>
      <c r="J59" s="102" t="n">
        <v>0.577</v>
      </c>
      <c r="K59" s="104" t="n">
        <v>29</v>
      </c>
      <c r="L59" s="106" t="n">
        <f aca="false">IF(I59=" "," ",I59*J59*K59)</f>
        <v>5.2625285</v>
      </c>
      <c r="M59" s="107" t="n">
        <v>7</v>
      </c>
      <c r="N59" s="104" t="n">
        <v>0</v>
      </c>
      <c r="O59" s="107" t="n">
        <v>5</v>
      </c>
      <c r="P59" s="103" t="n">
        <f aca="false">IF(M59=" "," ",(1+(M59+N59+O59)/100))</f>
        <v>1.12</v>
      </c>
      <c r="Q59" s="108" t="n">
        <f aca="false">IF(L59=" "," ",L59*P59)</f>
        <v>5.89403192</v>
      </c>
    </row>
    <row r="60" s="92" customFormat="true" ht="9.75" hidden="false" customHeight="true" outlineLevel="0" collapsed="false">
      <c r="A60" s="99" t="s">
        <v>237</v>
      </c>
      <c r="B60" s="100"/>
      <c r="C60" s="101"/>
      <c r="D60" s="102" t="n">
        <v>3.95</v>
      </c>
      <c r="E60" s="102" t="n">
        <v>0.85</v>
      </c>
      <c r="F60" s="103" t="n">
        <f aca="false">IF(D60=0," ",D60*E60)</f>
        <v>3.3575</v>
      </c>
      <c r="G60" s="104" t="n">
        <v>1</v>
      </c>
      <c r="H60" s="105"/>
      <c r="I60" s="103" t="n">
        <f aca="false">IF(F60=" "," ",F60*G60-H60)</f>
        <v>3.3575</v>
      </c>
      <c r="J60" s="102" t="n">
        <v>0.327</v>
      </c>
      <c r="K60" s="104" t="n">
        <v>29</v>
      </c>
      <c r="L60" s="106" t="n">
        <f aca="false">IF(I60=" "," ",I60*J60*K60)</f>
        <v>31.8391725</v>
      </c>
      <c r="M60" s="107" t="n">
        <v>7</v>
      </c>
      <c r="N60" s="104" t="n">
        <v>0</v>
      </c>
      <c r="O60" s="107" t="n">
        <v>0</v>
      </c>
      <c r="P60" s="103" t="n">
        <f aca="false">IF(M60=" "," ",(1+(M60+N60+O60)/100))</f>
        <v>1.07</v>
      </c>
      <c r="Q60" s="109" t="n">
        <f aca="false">IF(L60=" "," ",L60*P60)</f>
        <v>34.067914575</v>
      </c>
    </row>
    <row r="61" s="92" customFormat="true" ht="9.75" hidden="false" customHeight="true" outlineLevel="0" collapsed="false">
      <c r="A61" s="99" t="s">
        <v>235</v>
      </c>
      <c r="B61" s="100"/>
      <c r="C61" s="101"/>
      <c r="D61" s="102" t="n">
        <v>3.95</v>
      </c>
      <c r="E61" s="102" t="n">
        <v>3.8</v>
      </c>
      <c r="F61" s="103" t="n">
        <f aca="false">IF(D61=0," ",D61*E61)</f>
        <v>15.01</v>
      </c>
      <c r="G61" s="104" t="n">
        <v>1</v>
      </c>
      <c r="H61" s="105"/>
      <c r="I61" s="103" t="n">
        <f aca="false">IF(F61=" "," ",F61*G61-H61)</f>
        <v>15.01</v>
      </c>
      <c r="J61" s="102" t="n">
        <v>0.318</v>
      </c>
      <c r="K61" s="104" t="n">
        <v>20</v>
      </c>
      <c r="L61" s="106" t="n">
        <f aca="false">IF(I61=" "," ",I61*J61*K61)</f>
        <v>95.4636</v>
      </c>
      <c r="M61" s="107" t="n">
        <v>7</v>
      </c>
      <c r="N61" s="104" t="n">
        <v>0</v>
      </c>
      <c r="O61" s="107" t="n">
        <v>0</v>
      </c>
      <c r="P61" s="103" t="n">
        <f aca="false">IF(M61=" "," ",(1+(M61+N61+O61)/100))</f>
        <v>1.07</v>
      </c>
      <c r="Q61" s="109" t="n">
        <f aca="false">IF(L61=" "," ",L61*P61)</f>
        <v>102.146052</v>
      </c>
    </row>
    <row r="62" s="92" customFormat="true" ht="9.75" hidden="false" customHeight="true" outlineLevel="0" collapsed="false">
      <c r="A62" s="110"/>
      <c r="B62" s="111"/>
      <c r="C62" s="111"/>
      <c r="D62" s="112"/>
      <c r="E62" s="112"/>
      <c r="F62" s="112" t="str">
        <f aca="false">IF(D62=0," ",D62*E62)</f>
        <v> </v>
      </c>
      <c r="G62" s="113"/>
      <c r="H62" s="112"/>
      <c r="I62" s="112" t="str">
        <f aca="false">IF(F62=" "," ",F62*G62-H62)</f>
        <v> </v>
      </c>
      <c r="J62" s="112"/>
      <c r="K62" s="113"/>
      <c r="L62" s="114"/>
      <c r="M62" s="115"/>
      <c r="N62" s="115"/>
      <c r="O62" s="115"/>
      <c r="P62" s="116"/>
      <c r="Q62" s="117" t="n">
        <f aca="false">SUM(Q52:Q61)</f>
        <v>804.0900457</v>
      </c>
    </row>
    <row r="63" s="129" customFormat="true" ht="9.75" hidden="false" customHeight="true" outlineLevel="0" collapsed="false">
      <c r="A63" s="118"/>
      <c r="B63" s="119"/>
      <c r="C63" s="119"/>
      <c r="D63" s="120"/>
      <c r="E63" s="121"/>
      <c r="F63" s="122"/>
      <c r="G63" s="123"/>
      <c r="H63" s="122"/>
      <c r="I63" s="124"/>
      <c r="J63" s="125" t="s">
        <v>210</v>
      </c>
      <c r="K63" s="124" t="s">
        <v>211</v>
      </c>
      <c r="L63" s="122" t="s">
        <v>212</v>
      </c>
      <c r="M63" s="123" t="s">
        <v>213</v>
      </c>
      <c r="N63" s="126" t="s">
        <v>214</v>
      </c>
      <c r="O63" s="127" t="s">
        <v>215</v>
      </c>
      <c r="P63" s="123" t="s">
        <v>216</v>
      </c>
      <c r="Q63" s="128"/>
    </row>
    <row r="64" s="129" customFormat="true" ht="9.75" hidden="false" customHeight="true" outlineLevel="0" collapsed="false">
      <c r="A64" s="130" t="s">
        <v>217</v>
      </c>
      <c r="C64" s="131"/>
      <c r="D64" s="131"/>
      <c r="E64" s="132"/>
      <c r="F64" s="133"/>
      <c r="G64" s="134"/>
      <c r="H64" s="135"/>
      <c r="I64" s="136"/>
      <c r="J64" s="137" t="s">
        <v>218</v>
      </c>
      <c r="K64" s="138" t="n">
        <v>2</v>
      </c>
      <c r="L64" s="138" t="n">
        <f aca="false">(D54+E54)*2*G54</f>
        <v>9.2</v>
      </c>
      <c r="M64" s="138" t="n">
        <v>0.9</v>
      </c>
      <c r="N64" s="138" t="n">
        <v>0.67</v>
      </c>
      <c r="O64" s="115" t="n">
        <v>29</v>
      </c>
      <c r="P64" s="138" t="n">
        <v>1.2</v>
      </c>
      <c r="Q64" s="117" t="n">
        <f aca="false">K64*L64*M64*N64*O64*P64</f>
        <v>386.11296</v>
      </c>
    </row>
    <row r="65" s="87" customFormat="true" ht="9.75" hidden="false" customHeight="true" outlineLevel="0" collapsed="false">
      <c r="A65" s="139"/>
      <c r="B65" s="129"/>
      <c r="C65" s="131"/>
      <c r="D65" s="131"/>
      <c r="E65" s="149"/>
      <c r="F65" s="149"/>
      <c r="G65" s="140"/>
      <c r="H65" s="131"/>
      <c r="I65" s="131"/>
      <c r="J65" s="131"/>
      <c r="K65" s="140"/>
      <c r="L65" s="141"/>
      <c r="M65" s="142" t="s">
        <v>219</v>
      </c>
      <c r="N65" s="142"/>
      <c r="O65" s="143"/>
      <c r="P65" s="142"/>
      <c r="Q65" s="144" t="n">
        <f aca="false">Q62+Q64</f>
        <v>1190.2030057</v>
      </c>
    </row>
    <row r="66" s="92" customFormat="true" ht="9.75" hidden="false" customHeight="true" outlineLevel="0" collapsed="false">
      <c r="A66" s="145"/>
      <c r="B66" s="146"/>
      <c r="C66" s="146"/>
      <c r="D66" s="146"/>
      <c r="E66" s="146"/>
      <c r="F66" s="95" t="n">
        <v>1</v>
      </c>
      <c r="G66" s="147" t="s">
        <v>196</v>
      </c>
      <c r="H66" s="146" t="s">
        <v>230</v>
      </c>
      <c r="I66" s="147" t="s">
        <v>221</v>
      </c>
      <c r="J66" s="147"/>
      <c r="K66" s="146" t="s">
        <v>222</v>
      </c>
      <c r="L66" s="146"/>
      <c r="M66" s="146"/>
      <c r="N66" s="146"/>
      <c r="O66" s="146"/>
      <c r="P66" s="146"/>
      <c r="Q66" s="148"/>
    </row>
    <row r="67" s="92" customFormat="true" ht="9.75" hidden="false" customHeight="true" outlineLevel="0" collapsed="false">
      <c r="A67" s="99" t="s">
        <v>200</v>
      </c>
      <c r="B67" s="100" t="s">
        <v>206</v>
      </c>
      <c r="C67" s="101"/>
      <c r="D67" s="102" t="n">
        <v>2.6</v>
      </c>
      <c r="E67" s="102" t="n">
        <v>2.8</v>
      </c>
      <c r="F67" s="103" t="n">
        <f aca="false">IF(D67=0," ",D67*E67)</f>
        <v>7.28</v>
      </c>
      <c r="G67" s="104" t="n">
        <v>1</v>
      </c>
      <c r="H67" s="105" t="n">
        <f aca="false">F69*G69</f>
        <v>0.36</v>
      </c>
      <c r="I67" s="103" t="n">
        <f aca="false">IF(F67=" "," ",F67*G67-H67)</f>
        <v>6.92</v>
      </c>
      <c r="J67" s="102" t="n">
        <v>0.479</v>
      </c>
      <c r="K67" s="104" t="n">
        <v>35</v>
      </c>
      <c r="L67" s="106" t="n">
        <f aca="false">IF(I67=" "," ",I67*J67*K67)</f>
        <v>116.0138</v>
      </c>
      <c r="M67" s="107" t="n">
        <v>7</v>
      </c>
      <c r="N67" s="104" t="n">
        <v>0</v>
      </c>
      <c r="O67" s="107" t="n">
        <v>-5</v>
      </c>
      <c r="P67" s="103" t="n">
        <f aca="false">IF(M67=" "," ",(1+(M67+N67+O67)/100))</f>
        <v>1.02</v>
      </c>
      <c r="Q67" s="108" t="n">
        <f aca="false">IF(L67=" "," ",L67*P67)</f>
        <v>118.334076</v>
      </c>
    </row>
    <row r="68" s="92" customFormat="true" ht="9.75" hidden="false" customHeight="true" outlineLevel="0" collapsed="false">
      <c r="A68" s="99" t="s">
        <v>202</v>
      </c>
      <c r="B68" s="100" t="s">
        <v>206</v>
      </c>
      <c r="C68" s="101"/>
      <c r="D68" s="102" t="n">
        <f aca="false">D67</f>
        <v>2.6</v>
      </c>
      <c r="E68" s="102" t="n">
        <v>0.37</v>
      </c>
      <c r="F68" s="103" t="n">
        <f aca="false">IF(D68=0," ",D68*E68)</f>
        <v>0.962</v>
      </c>
      <c r="G68" s="104" t="n">
        <v>1</v>
      </c>
      <c r="H68" s="105"/>
      <c r="I68" s="103" t="n">
        <f aca="false">IF(F68=" "," ",F68*G68-H68)</f>
        <v>0.962</v>
      </c>
      <c r="J68" s="102" t="n">
        <v>0.577</v>
      </c>
      <c r="K68" s="104" t="n">
        <v>35</v>
      </c>
      <c r="L68" s="106" t="n">
        <f aca="false">IF(I68=" "," ",I68*J68*K68)</f>
        <v>19.42759</v>
      </c>
      <c r="M68" s="107" t="n">
        <v>7</v>
      </c>
      <c r="N68" s="104" t="n">
        <v>0</v>
      </c>
      <c r="O68" s="107" t="n">
        <v>-5</v>
      </c>
      <c r="P68" s="103" t="n">
        <f aca="false">IF(M68=" "," ",(1+(M68+N68+O68)/100))</f>
        <v>1.02</v>
      </c>
      <c r="Q68" s="108" t="n">
        <f aca="false">IF(L68=" "," ",L68*P68)</f>
        <v>19.8161418</v>
      </c>
    </row>
    <row r="69" s="92" customFormat="true" ht="9.75" hidden="false" customHeight="true" outlineLevel="0" collapsed="false">
      <c r="A69" s="99" t="s">
        <v>203</v>
      </c>
      <c r="B69" s="100" t="s">
        <v>206</v>
      </c>
      <c r="C69" s="101"/>
      <c r="D69" s="102" t="n">
        <v>0.6</v>
      </c>
      <c r="E69" s="102" t="n">
        <v>0.6</v>
      </c>
      <c r="F69" s="103" t="n">
        <f aca="false">IF(D69=0," ",D69*E69)</f>
        <v>0.36</v>
      </c>
      <c r="G69" s="104" t="n">
        <v>1</v>
      </c>
      <c r="H69" s="105"/>
      <c r="I69" s="103" t="n">
        <f aca="false">IF(F69=" "," ",F69*G69-H69)</f>
        <v>0.36</v>
      </c>
      <c r="J69" s="102" t="n">
        <v>2.4</v>
      </c>
      <c r="K69" s="104" t="n">
        <v>35</v>
      </c>
      <c r="L69" s="106" t="n">
        <f aca="false">IF(I69=" "," ",I69*J69*K69)</f>
        <v>30.24</v>
      </c>
      <c r="M69" s="107" t="n">
        <v>7</v>
      </c>
      <c r="N69" s="104" t="n">
        <v>0</v>
      </c>
      <c r="O69" s="107" t="n">
        <v>-5</v>
      </c>
      <c r="P69" s="103" t="n">
        <f aca="false">IF(M69=" "," ",(1+(M69+N69+O69)/100))</f>
        <v>1.02</v>
      </c>
      <c r="Q69" s="109" t="n">
        <f aca="false">IF(L69=" "," ",L69*P69)</f>
        <v>30.8448</v>
      </c>
    </row>
    <row r="70" s="92" customFormat="true" ht="9.75" hidden="false" customHeight="true" outlineLevel="0" collapsed="false">
      <c r="A70" s="99" t="s">
        <v>204</v>
      </c>
      <c r="B70" s="100" t="s">
        <v>206</v>
      </c>
      <c r="C70" s="101"/>
      <c r="D70" s="102" t="n">
        <v>0.2</v>
      </c>
      <c r="E70" s="102" t="n">
        <v>3.17</v>
      </c>
      <c r="F70" s="103" t="n">
        <f aca="false">IF(D70=0," ",D70*E70)</f>
        <v>0.634</v>
      </c>
      <c r="G70" s="104" t="n">
        <v>1</v>
      </c>
      <c r="H70" s="105"/>
      <c r="I70" s="103" t="n">
        <f aca="false">IF(F70=" "," ",F70*G70-H70)</f>
        <v>0.634</v>
      </c>
      <c r="J70" s="102" t="n">
        <v>0.57</v>
      </c>
      <c r="K70" s="104" t="n">
        <v>35</v>
      </c>
      <c r="L70" s="106" t="n">
        <f aca="false">IF(I70=" "," ",I70*J70*K70)</f>
        <v>12.6483</v>
      </c>
      <c r="M70" s="107" t="n">
        <v>7</v>
      </c>
      <c r="N70" s="104" t="n">
        <v>0</v>
      </c>
      <c r="O70" s="107" t="n">
        <v>-5</v>
      </c>
      <c r="P70" s="103" t="n">
        <f aca="false">IF(M70=" "," ",(1+(M70+N70+O70)/100))</f>
        <v>1.02</v>
      </c>
      <c r="Q70" s="108" t="n">
        <f aca="false">IF(L70=" "," ",L70*P70)</f>
        <v>12.901266</v>
      </c>
    </row>
    <row r="71" s="92" customFormat="true" ht="9.75" hidden="false" customHeight="true" outlineLevel="0" collapsed="false">
      <c r="A71" s="99" t="s">
        <v>223</v>
      </c>
      <c r="B71" s="100"/>
      <c r="C71" s="101"/>
      <c r="D71" s="102" t="n">
        <v>2.7</v>
      </c>
      <c r="E71" s="102" t="n">
        <v>3.17</v>
      </c>
      <c r="F71" s="103" t="n">
        <f aca="false">IF(D71=0," ",D71*E71)</f>
        <v>8.559</v>
      </c>
      <c r="G71" s="104" t="n">
        <v>1</v>
      </c>
      <c r="H71" s="105" t="n">
        <f aca="false">F72*G72</f>
        <v>1.76</v>
      </c>
      <c r="I71" s="103" t="n">
        <f aca="false">IF(F71=" "," ",F71*G71-H71)</f>
        <v>6.799</v>
      </c>
      <c r="J71" s="102" t="n">
        <v>0.814</v>
      </c>
      <c r="K71" s="104" t="n">
        <v>8</v>
      </c>
      <c r="L71" s="106" t="n">
        <f aca="false">IF(I71=" "," ",I71*J71*K71)</f>
        <v>44.275088</v>
      </c>
      <c r="M71" s="107" t="n">
        <v>7</v>
      </c>
      <c r="N71" s="104" t="n">
        <v>0</v>
      </c>
      <c r="O71" s="107" t="n">
        <v>0</v>
      </c>
      <c r="P71" s="103" t="n">
        <f aca="false">IF(M71=" "," ",(1+(M71+N71+O71)/100))</f>
        <v>1.07</v>
      </c>
      <c r="Q71" s="108" t="n">
        <f aca="false">IF(L71=" "," ",L71*P71)</f>
        <v>47.37434416</v>
      </c>
    </row>
    <row r="72" s="92" customFormat="true" ht="9.75" hidden="false" customHeight="true" outlineLevel="0" collapsed="false">
      <c r="A72" s="99" t="s">
        <v>232</v>
      </c>
      <c r="B72" s="100"/>
      <c r="C72" s="101"/>
      <c r="D72" s="102" t="n">
        <v>0.8</v>
      </c>
      <c r="E72" s="102" t="n">
        <v>2.2</v>
      </c>
      <c r="F72" s="103" t="n">
        <f aca="false">D72*E72</f>
        <v>1.76</v>
      </c>
      <c r="G72" s="104" t="n">
        <v>1</v>
      </c>
      <c r="H72" s="105"/>
      <c r="I72" s="103" t="n">
        <f aca="false">IF(F72=" "," ",F72*G72-H72)</f>
        <v>1.76</v>
      </c>
      <c r="J72" s="102" t="n">
        <v>3.5</v>
      </c>
      <c r="K72" s="104" t="n">
        <v>8</v>
      </c>
      <c r="L72" s="106" t="n">
        <f aca="false">IF(I72=" "," ",I72*J72*K72)</f>
        <v>49.28</v>
      </c>
      <c r="M72" s="107" t="n">
        <v>7</v>
      </c>
      <c r="N72" s="104" t="n">
        <v>0</v>
      </c>
      <c r="O72" s="107" t="n">
        <v>0</v>
      </c>
      <c r="P72" s="103" t="n">
        <f aca="false">IF(M72=" "," ",(1+(M72+N72+O72)/100))</f>
        <v>1.07</v>
      </c>
      <c r="Q72" s="109" t="n">
        <f aca="false">IF(L72=" "," ",L72*P72)</f>
        <v>52.7296</v>
      </c>
    </row>
    <row r="73" s="92" customFormat="true" ht="9.75" hidden="false" customHeight="true" outlineLevel="0" collapsed="false">
      <c r="A73" s="99" t="s">
        <v>223</v>
      </c>
      <c r="B73" s="100"/>
      <c r="C73" s="101"/>
      <c r="D73" s="102" t="n">
        <v>3.4</v>
      </c>
      <c r="E73" s="102" t="n">
        <v>3.17</v>
      </c>
      <c r="F73" s="103" t="n">
        <f aca="false">IF(D73=0," ",D73*E73)</f>
        <v>10.778</v>
      </c>
      <c r="G73" s="104" t="n">
        <v>1</v>
      </c>
      <c r="H73" s="105"/>
      <c r="I73" s="103" t="n">
        <f aca="false">IF(F73=" "," ",F73*G73-H73)</f>
        <v>10.778</v>
      </c>
      <c r="J73" s="102" t="n">
        <v>0.814</v>
      </c>
      <c r="K73" s="104" t="n">
        <v>6</v>
      </c>
      <c r="L73" s="106" t="n">
        <f aca="false">IF(I73=" "," ",I73*J73*K73)</f>
        <v>52.639752</v>
      </c>
      <c r="M73" s="107" t="n">
        <v>7</v>
      </c>
      <c r="N73" s="104" t="n">
        <v>0</v>
      </c>
      <c r="O73" s="107" t="n">
        <v>0</v>
      </c>
      <c r="P73" s="103" t="n">
        <f aca="false">IF(M73=" "," ",(1+(M73+N73+O73)/100))</f>
        <v>1.07</v>
      </c>
      <c r="Q73" s="108" t="n">
        <f aca="false">IF(L73=" "," ",L73*P73)</f>
        <v>56.32453464</v>
      </c>
    </row>
    <row r="74" s="92" customFormat="true" ht="9.75" hidden="false" customHeight="true" outlineLevel="0" collapsed="false">
      <c r="A74" s="99" t="s">
        <v>235</v>
      </c>
      <c r="B74" s="100"/>
      <c r="C74" s="101"/>
      <c r="D74" s="102" t="n">
        <v>2.8</v>
      </c>
      <c r="E74" s="102" t="n">
        <v>2.8</v>
      </c>
      <c r="F74" s="103" t="n">
        <f aca="false">IF(D74=0," ",D74*E74)</f>
        <v>7.84</v>
      </c>
      <c r="G74" s="104" t="n">
        <v>1</v>
      </c>
      <c r="H74" s="105"/>
      <c r="I74" s="103" t="n">
        <f aca="false">IF(F74=" "," ",F74*G74-H74)</f>
        <v>7.84</v>
      </c>
      <c r="J74" s="102" t="n">
        <v>0.318</v>
      </c>
      <c r="K74" s="104" t="n">
        <v>26</v>
      </c>
      <c r="L74" s="106" t="n">
        <f aca="false">IF(I74=" "," ",I74*J74*K74)</f>
        <v>64.82112</v>
      </c>
      <c r="M74" s="107" t="n">
        <v>7</v>
      </c>
      <c r="N74" s="104" t="n">
        <v>0</v>
      </c>
      <c r="O74" s="107" t="n">
        <v>0</v>
      </c>
      <c r="P74" s="103" t="n">
        <f aca="false">IF(M74=" "," ",(1+(M74+N74+O74)/100))</f>
        <v>1.07</v>
      </c>
      <c r="Q74" s="109" t="n">
        <f aca="false">IF(L74=" "," ",L74*P74)</f>
        <v>69.3585984</v>
      </c>
    </row>
    <row r="75" s="92" customFormat="true" ht="9.75" hidden="false" customHeight="true" outlineLevel="0" collapsed="false">
      <c r="A75" s="110"/>
      <c r="B75" s="111"/>
      <c r="C75" s="111"/>
      <c r="D75" s="112"/>
      <c r="E75" s="112"/>
      <c r="F75" s="112" t="str">
        <f aca="false">IF(D75=0," ",D75*E75)</f>
        <v> </v>
      </c>
      <c r="G75" s="113"/>
      <c r="H75" s="112"/>
      <c r="I75" s="112" t="str">
        <f aca="false">IF(F75=" "," ",F75*G75-H75)</f>
        <v> </v>
      </c>
      <c r="J75" s="112"/>
      <c r="K75" s="113"/>
      <c r="L75" s="114"/>
      <c r="M75" s="115"/>
      <c r="N75" s="115"/>
      <c r="O75" s="115"/>
      <c r="P75" s="116"/>
      <c r="Q75" s="117" t="n">
        <f aca="false">SUM(Q67:Q74)</f>
        <v>407.683361</v>
      </c>
    </row>
    <row r="76" s="129" customFormat="true" ht="9.75" hidden="false" customHeight="true" outlineLevel="0" collapsed="false">
      <c r="A76" s="118"/>
      <c r="B76" s="119"/>
      <c r="C76" s="119"/>
      <c r="D76" s="120"/>
      <c r="E76" s="121"/>
      <c r="F76" s="122"/>
      <c r="G76" s="123"/>
      <c r="H76" s="122"/>
      <c r="I76" s="124"/>
      <c r="J76" s="125" t="s">
        <v>210</v>
      </c>
      <c r="K76" s="124" t="s">
        <v>211</v>
      </c>
      <c r="L76" s="122" t="s">
        <v>212</v>
      </c>
      <c r="M76" s="123" t="s">
        <v>213</v>
      </c>
      <c r="N76" s="126" t="s">
        <v>214</v>
      </c>
      <c r="O76" s="127" t="s">
        <v>215</v>
      </c>
      <c r="P76" s="123" t="s">
        <v>216</v>
      </c>
      <c r="Q76" s="128"/>
    </row>
    <row r="77" s="129" customFormat="true" ht="9.75" hidden="false" customHeight="true" outlineLevel="0" collapsed="false">
      <c r="A77" s="130" t="s">
        <v>217</v>
      </c>
      <c r="C77" s="131"/>
      <c r="D77" s="131"/>
      <c r="E77" s="132"/>
      <c r="F77" s="133"/>
      <c r="G77" s="134"/>
      <c r="H77" s="135"/>
      <c r="I77" s="136"/>
      <c r="J77" s="137" t="s">
        <v>218</v>
      </c>
      <c r="K77" s="138" t="n">
        <v>2</v>
      </c>
      <c r="L77" s="138" t="n">
        <f aca="false">(D69+E69)*2*G69</f>
        <v>2.4</v>
      </c>
      <c r="M77" s="138" t="n">
        <v>0.9</v>
      </c>
      <c r="N77" s="138" t="n">
        <v>0.67</v>
      </c>
      <c r="O77" s="115" t="n">
        <v>35</v>
      </c>
      <c r="P77" s="138" t="n">
        <v>1</v>
      </c>
      <c r="Q77" s="117" t="n">
        <f aca="false">K77*L77*M77*N77*O77*P77</f>
        <v>101.304</v>
      </c>
    </row>
    <row r="78" s="87" customFormat="true" ht="9.75" hidden="false" customHeight="true" outlineLevel="0" collapsed="false">
      <c r="A78" s="139"/>
      <c r="B78" s="129"/>
      <c r="C78" s="131"/>
      <c r="D78" s="131"/>
      <c r="E78" s="112"/>
      <c r="F78" s="112"/>
      <c r="G78" s="140"/>
      <c r="H78" s="131"/>
      <c r="I78" s="131"/>
      <c r="J78" s="131"/>
      <c r="K78" s="140"/>
      <c r="L78" s="141"/>
      <c r="M78" s="142" t="s">
        <v>219</v>
      </c>
      <c r="N78" s="142"/>
      <c r="O78" s="143"/>
      <c r="P78" s="142"/>
      <c r="Q78" s="144" t="n">
        <f aca="false">Q75+Q77</f>
        <v>508.987361</v>
      </c>
    </row>
    <row r="84" s="72" customFormat="true" ht="9.75" hidden="false" customHeight="true" outlineLevel="0" collapsed="false">
      <c r="A84" s="63"/>
      <c r="B84" s="64"/>
      <c r="C84" s="64"/>
      <c r="D84" s="64"/>
      <c r="E84" s="64"/>
      <c r="F84" s="65"/>
      <c r="G84" s="66"/>
      <c r="H84" s="67" t="s">
        <v>151</v>
      </c>
      <c r="I84" s="66"/>
      <c r="J84" s="66"/>
      <c r="K84" s="64"/>
      <c r="L84" s="68"/>
      <c r="M84" s="64"/>
      <c r="N84" s="69" t="s">
        <v>152</v>
      </c>
      <c r="O84" s="70" t="s">
        <v>233</v>
      </c>
      <c r="P84" s="70" t="s">
        <v>33</v>
      </c>
      <c r="Q84" s="71" t="n">
        <f aca="false">Q1</f>
        <v>44267</v>
      </c>
    </row>
    <row r="85" s="74" customFormat="true" ht="10.5" hidden="false" customHeight="false" outlineLevel="0" collapsed="false">
      <c r="A85" s="73"/>
      <c r="F85" s="75" t="s">
        <v>154</v>
      </c>
      <c r="G85" s="76"/>
      <c r="H85" s="77" t="str">
        <f aca="false">H2</f>
        <v>MEHMET DAL - A-B-C-D BLOK</v>
      </c>
      <c r="I85" s="77"/>
      <c r="J85" s="77"/>
      <c r="K85" s="78"/>
      <c r="L85" s="79"/>
      <c r="N85" s="80" t="s">
        <v>155</v>
      </c>
      <c r="O85" s="81" t="n">
        <v>6</v>
      </c>
      <c r="P85" s="81"/>
      <c r="Q85" s="81"/>
    </row>
    <row r="86" s="74" customFormat="true" ht="8.25" hidden="false" customHeight="true" outlineLevel="0" collapsed="false">
      <c r="A86" s="82" t="s">
        <v>156</v>
      </c>
      <c r="B86" s="82"/>
      <c r="C86" s="82"/>
      <c r="D86" s="82"/>
      <c r="E86" s="83" t="s">
        <v>157</v>
      </c>
      <c r="F86" s="83"/>
      <c r="G86" s="83"/>
      <c r="H86" s="83"/>
      <c r="I86" s="84" t="s">
        <v>158</v>
      </c>
      <c r="J86" s="84"/>
      <c r="K86" s="84"/>
      <c r="L86" s="84"/>
      <c r="M86" s="84" t="s">
        <v>159</v>
      </c>
      <c r="N86" s="84"/>
      <c r="O86" s="84"/>
      <c r="P86" s="84"/>
      <c r="Q86" s="84" t="s">
        <v>160</v>
      </c>
    </row>
    <row r="87" s="87" customFormat="true" ht="31.5" hidden="false" customHeight="true" outlineLevel="0" collapsed="false">
      <c r="A87" s="85" t="s">
        <v>161</v>
      </c>
      <c r="B87" s="85" t="s">
        <v>162</v>
      </c>
      <c r="C87" s="85" t="s">
        <v>163</v>
      </c>
      <c r="D87" s="85" t="s">
        <v>164</v>
      </c>
      <c r="E87" s="85" t="s">
        <v>165</v>
      </c>
      <c r="F87" s="86" t="s">
        <v>166</v>
      </c>
      <c r="G87" s="85" t="s">
        <v>167</v>
      </c>
      <c r="H87" s="86" t="s">
        <v>168</v>
      </c>
      <c r="I87" s="86" t="s">
        <v>169</v>
      </c>
      <c r="J87" s="86" t="s">
        <v>170</v>
      </c>
      <c r="K87" s="86" t="s">
        <v>171</v>
      </c>
      <c r="L87" s="86" t="s">
        <v>172</v>
      </c>
      <c r="M87" s="85" t="s">
        <v>173</v>
      </c>
      <c r="N87" s="85" t="s">
        <v>174</v>
      </c>
      <c r="O87" s="85" t="s">
        <v>162</v>
      </c>
      <c r="P87" s="85" t="s">
        <v>175</v>
      </c>
      <c r="Q87" s="86" t="s">
        <v>176</v>
      </c>
    </row>
    <row r="88" s="87" customFormat="true" ht="9.75" hidden="false" customHeight="true" outlineLevel="0" collapsed="false">
      <c r="A88" s="88"/>
      <c r="B88" s="88"/>
      <c r="C88" s="88"/>
      <c r="D88" s="88"/>
      <c r="E88" s="88"/>
      <c r="F88" s="88" t="s">
        <v>177</v>
      </c>
      <c r="G88" s="88"/>
      <c r="H88" s="88"/>
      <c r="I88" s="88" t="s">
        <v>178</v>
      </c>
      <c r="J88" s="88" t="s">
        <v>179</v>
      </c>
      <c r="K88" s="89" t="s">
        <v>180</v>
      </c>
      <c r="L88" s="88" t="s">
        <v>181</v>
      </c>
      <c r="M88" s="88" t="s">
        <v>182</v>
      </c>
      <c r="N88" s="88" t="s">
        <v>183</v>
      </c>
      <c r="O88" s="88" t="s">
        <v>184</v>
      </c>
      <c r="P88" s="88" t="s">
        <v>185</v>
      </c>
      <c r="Q88" s="88" t="s">
        <v>186</v>
      </c>
    </row>
    <row r="89" s="92" customFormat="true" ht="15.75" hidden="false" customHeight="true" outlineLevel="0" collapsed="false">
      <c r="A89" s="80"/>
      <c r="B89" s="80"/>
      <c r="C89" s="80" t="s">
        <v>187</v>
      </c>
      <c r="D89" s="80" t="s">
        <v>188</v>
      </c>
      <c r="E89" s="80" t="s">
        <v>188</v>
      </c>
      <c r="F89" s="80" t="s">
        <v>189</v>
      </c>
      <c r="G89" s="80" t="s">
        <v>190</v>
      </c>
      <c r="H89" s="80" t="s">
        <v>189</v>
      </c>
      <c r="I89" s="80" t="s">
        <v>189</v>
      </c>
      <c r="J89" s="90" t="s">
        <v>191</v>
      </c>
      <c r="K89" s="80" t="s">
        <v>192</v>
      </c>
      <c r="L89" s="91" t="s">
        <v>193</v>
      </c>
      <c r="M89" s="80" t="s">
        <v>194</v>
      </c>
      <c r="N89" s="80" t="s">
        <v>194</v>
      </c>
      <c r="O89" s="80" t="s">
        <v>194</v>
      </c>
      <c r="P89" s="80" t="s">
        <v>195</v>
      </c>
      <c r="Q89" s="91" t="s">
        <v>193</v>
      </c>
    </row>
    <row r="90" s="92" customFormat="true" ht="9.75" hidden="false" customHeight="true" outlineLevel="0" collapsed="false">
      <c r="A90" s="80" t="n">
        <v>1</v>
      </c>
      <c r="B90" s="80" t="n">
        <v>2</v>
      </c>
      <c r="C90" s="80" t="n">
        <v>3</v>
      </c>
      <c r="D90" s="80" t="n">
        <v>4</v>
      </c>
      <c r="E90" s="80" t="n">
        <v>5</v>
      </c>
      <c r="F90" s="80" t="n">
        <v>6</v>
      </c>
      <c r="G90" s="80" t="n">
        <v>7</v>
      </c>
      <c r="H90" s="80" t="n">
        <v>8</v>
      </c>
      <c r="I90" s="80" t="n">
        <v>9</v>
      </c>
      <c r="J90" s="80" t="n">
        <v>10</v>
      </c>
      <c r="K90" s="80" t="n">
        <v>11</v>
      </c>
      <c r="L90" s="80" t="n">
        <v>12</v>
      </c>
      <c r="M90" s="80" t="n">
        <v>13</v>
      </c>
      <c r="N90" s="80" t="n">
        <v>14</v>
      </c>
      <c r="O90" s="80" t="n">
        <v>15</v>
      </c>
      <c r="P90" s="80" t="n">
        <v>16</v>
      </c>
      <c r="Q90" s="80" t="n">
        <v>17</v>
      </c>
    </row>
    <row r="91" s="92" customFormat="true" ht="9.75" hidden="false" customHeight="true" outlineLevel="0" collapsed="false">
      <c r="A91" s="145"/>
      <c r="B91" s="146"/>
      <c r="C91" s="146"/>
      <c r="D91" s="146"/>
      <c r="E91" s="146"/>
      <c r="F91" s="95" t="n">
        <v>1</v>
      </c>
      <c r="G91" s="147" t="s">
        <v>196</v>
      </c>
      <c r="H91" s="146" t="s">
        <v>238</v>
      </c>
      <c r="I91" s="147" t="s">
        <v>239</v>
      </c>
      <c r="J91" s="147"/>
      <c r="K91" s="146" t="s">
        <v>240</v>
      </c>
      <c r="L91" s="146"/>
      <c r="M91" s="146"/>
      <c r="N91" s="146"/>
      <c r="O91" s="146"/>
      <c r="P91" s="146"/>
      <c r="Q91" s="148"/>
    </row>
    <row r="92" s="92" customFormat="true" ht="9.75" hidden="false" customHeight="true" outlineLevel="0" collapsed="false">
      <c r="A92" s="99" t="s">
        <v>200</v>
      </c>
      <c r="B92" s="100" t="s">
        <v>206</v>
      </c>
      <c r="C92" s="101"/>
      <c r="D92" s="102" t="n">
        <v>1.1</v>
      </c>
      <c r="E92" s="102" t="n">
        <v>2.8</v>
      </c>
      <c r="F92" s="103" t="n">
        <f aca="false">IF(D92=0," ",D92*E92)</f>
        <v>3.08</v>
      </c>
      <c r="G92" s="104" t="n">
        <v>1</v>
      </c>
      <c r="H92" s="105" t="n">
        <f aca="false">F94*G94</f>
        <v>0.36</v>
      </c>
      <c r="I92" s="103" t="n">
        <f aca="false">IF(F92=" "," ",F92*G92-H92)</f>
        <v>2.72</v>
      </c>
      <c r="J92" s="102" t="n">
        <v>0.479</v>
      </c>
      <c r="K92" s="104" t="n">
        <v>30</v>
      </c>
      <c r="L92" s="106" t="n">
        <f aca="false">IF(I92=" "," ",I92*J92*K92)</f>
        <v>39.0864</v>
      </c>
      <c r="M92" s="107" t="n">
        <v>7</v>
      </c>
      <c r="N92" s="104" t="n">
        <v>0</v>
      </c>
      <c r="O92" s="107" t="n">
        <v>-5</v>
      </c>
      <c r="P92" s="103" t="n">
        <f aca="false">IF(M92=" "," ",(1+(M92+N92+O92)/100))</f>
        <v>1.02</v>
      </c>
      <c r="Q92" s="108" t="n">
        <f aca="false">IF(L92=" "," ",L92*P92)</f>
        <v>39.868128</v>
      </c>
    </row>
    <row r="93" s="92" customFormat="true" ht="9.75" hidden="false" customHeight="true" outlineLevel="0" collapsed="false">
      <c r="A93" s="99" t="s">
        <v>202</v>
      </c>
      <c r="B93" s="100" t="s">
        <v>206</v>
      </c>
      <c r="C93" s="101"/>
      <c r="D93" s="102" t="n">
        <f aca="false">D92</f>
        <v>1.1</v>
      </c>
      <c r="E93" s="102" t="n">
        <v>0.37</v>
      </c>
      <c r="F93" s="103" t="n">
        <f aca="false">IF(D93=0," ",D93*E93)</f>
        <v>0.407</v>
      </c>
      <c r="G93" s="104" t="n">
        <v>1</v>
      </c>
      <c r="H93" s="105"/>
      <c r="I93" s="103" t="n">
        <f aca="false">IF(F93=" "," ",F93*G93-H93)</f>
        <v>0.407</v>
      </c>
      <c r="J93" s="102" t="n">
        <v>0.577</v>
      </c>
      <c r="K93" s="104" t="n">
        <v>39</v>
      </c>
      <c r="L93" s="106" t="n">
        <f aca="false">IF(I93=" "," ",I93*J93*K93)</f>
        <v>9.158721</v>
      </c>
      <c r="M93" s="107" t="n">
        <v>7</v>
      </c>
      <c r="N93" s="104" t="n">
        <v>0</v>
      </c>
      <c r="O93" s="107" t="n">
        <v>-5</v>
      </c>
      <c r="P93" s="103" t="n">
        <f aca="false">IF(M93=" "," ",(1+(M93+N93+O93)/100))</f>
        <v>1.02</v>
      </c>
      <c r="Q93" s="108" t="n">
        <f aca="false">IF(L93=" "," ",L93*P93)</f>
        <v>9.34189542</v>
      </c>
    </row>
    <row r="94" s="92" customFormat="true" ht="9.75" hidden="false" customHeight="true" outlineLevel="0" collapsed="false">
      <c r="A94" s="99" t="s">
        <v>203</v>
      </c>
      <c r="B94" s="100" t="s">
        <v>206</v>
      </c>
      <c r="C94" s="101"/>
      <c r="D94" s="102" t="n">
        <v>0.6</v>
      </c>
      <c r="E94" s="102" t="n">
        <v>0.6</v>
      </c>
      <c r="F94" s="103" t="n">
        <f aca="false">IF(D94=0," ",D94*E94)</f>
        <v>0.36</v>
      </c>
      <c r="G94" s="104" t="n">
        <v>1</v>
      </c>
      <c r="H94" s="105"/>
      <c r="I94" s="103" t="n">
        <f aca="false">IF(F94=" "," ",F94*G94-H94)</f>
        <v>0.36</v>
      </c>
      <c r="J94" s="102" t="n">
        <v>2.4</v>
      </c>
      <c r="K94" s="104" t="n">
        <v>39</v>
      </c>
      <c r="L94" s="106" t="n">
        <f aca="false">IF(I94=" "," ",I94*J94*K94)</f>
        <v>33.696</v>
      </c>
      <c r="M94" s="107" t="n">
        <v>7</v>
      </c>
      <c r="N94" s="104" t="n">
        <v>0</v>
      </c>
      <c r="O94" s="107" t="n">
        <v>-5</v>
      </c>
      <c r="P94" s="103" t="n">
        <f aca="false">IF(M94=" "," ",(1+(M94+N94+O94)/100))</f>
        <v>1.02</v>
      </c>
      <c r="Q94" s="109" t="n">
        <f aca="false">IF(L94=" "," ",L94*P94)</f>
        <v>34.36992</v>
      </c>
    </row>
    <row r="95" s="92" customFormat="true" ht="9.75" hidden="false" customHeight="true" outlineLevel="0" collapsed="false">
      <c r="A95" s="99" t="s">
        <v>204</v>
      </c>
      <c r="B95" s="100" t="s">
        <v>206</v>
      </c>
      <c r="C95" s="101"/>
      <c r="D95" s="102" t="n">
        <v>0.2</v>
      </c>
      <c r="E95" s="102" t="n">
        <v>3.17</v>
      </c>
      <c r="F95" s="103" t="n">
        <f aca="false">IF(D95=0," ",D95*E95)</f>
        <v>0.634</v>
      </c>
      <c r="G95" s="104" t="n">
        <v>1</v>
      </c>
      <c r="H95" s="105"/>
      <c r="I95" s="103" t="n">
        <f aca="false">IF(F95=" "," ",F95*G95-H95)</f>
        <v>0.634</v>
      </c>
      <c r="J95" s="102" t="n">
        <v>0.57</v>
      </c>
      <c r="K95" s="104" t="n">
        <v>39</v>
      </c>
      <c r="L95" s="106" t="n">
        <f aca="false">IF(I95=" "," ",I95*J95*K95)</f>
        <v>14.09382</v>
      </c>
      <c r="M95" s="107" t="n">
        <v>7</v>
      </c>
      <c r="N95" s="104" t="n">
        <v>0</v>
      </c>
      <c r="O95" s="107" t="n">
        <v>-5</v>
      </c>
      <c r="P95" s="103" t="n">
        <f aca="false">IF(M95=" "," ",(1+(M95+N95+O95)/100))</f>
        <v>1.02</v>
      </c>
      <c r="Q95" s="108" t="n">
        <f aca="false">IF(L95=" "," ",L95*P95)</f>
        <v>14.3756964</v>
      </c>
    </row>
    <row r="96" s="92" customFormat="true" ht="9.75" hidden="false" customHeight="true" outlineLevel="0" collapsed="false">
      <c r="A96" s="99" t="s">
        <v>223</v>
      </c>
      <c r="B96" s="100"/>
      <c r="C96" s="101"/>
      <c r="D96" s="102" t="n">
        <v>4.2</v>
      </c>
      <c r="E96" s="102" t="n">
        <v>3.17</v>
      </c>
      <c r="F96" s="103" t="n">
        <f aca="false">IF(D96=0," ",D96*E96)</f>
        <v>13.314</v>
      </c>
      <c r="G96" s="104" t="n">
        <v>1</v>
      </c>
      <c r="H96" s="105" t="n">
        <f aca="false">F97*G97</f>
        <v>1.76</v>
      </c>
      <c r="I96" s="103" t="n">
        <f aca="false">IF(F96=" "," ",F96*G96-H96)</f>
        <v>11.554</v>
      </c>
      <c r="J96" s="102" t="n">
        <v>0.814</v>
      </c>
      <c r="K96" s="104" t="n">
        <v>4</v>
      </c>
      <c r="L96" s="106" t="n">
        <f aca="false">IF(I96=" "," ",I96*J96*K96)</f>
        <v>37.619824</v>
      </c>
      <c r="M96" s="107" t="n">
        <v>7</v>
      </c>
      <c r="N96" s="104" t="n">
        <v>0</v>
      </c>
      <c r="O96" s="107" t="n">
        <v>0</v>
      </c>
      <c r="P96" s="103" t="n">
        <f aca="false">IF(M96=" "," ",(1+(M96+N96+O96)/100))</f>
        <v>1.07</v>
      </c>
      <c r="Q96" s="108" t="n">
        <f aca="false">IF(L96=" "," ",L96*P96)</f>
        <v>40.25321168</v>
      </c>
    </row>
    <row r="97" s="92" customFormat="true" ht="9.75" hidden="false" customHeight="true" outlineLevel="0" collapsed="false">
      <c r="A97" s="99" t="s">
        <v>232</v>
      </c>
      <c r="B97" s="100"/>
      <c r="C97" s="101"/>
      <c r="D97" s="102" t="n">
        <v>0.8</v>
      </c>
      <c r="E97" s="102" t="n">
        <v>2.2</v>
      </c>
      <c r="F97" s="103" t="n">
        <f aca="false">D97*E97</f>
        <v>1.76</v>
      </c>
      <c r="G97" s="104" t="n">
        <v>1</v>
      </c>
      <c r="H97" s="105"/>
      <c r="I97" s="103" t="n">
        <f aca="false">IF(F97=" "," ",F97*G97-H97)</f>
        <v>1.76</v>
      </c>
      <c r="J97" s="102" t="n">
        <v>3.5</v>
      </c>
      <c r="K97" s="104" t="n">
        <v>4</v>
      </c>
      <c r="L97" s="106" t="n">
        <f aca="false">IF(I97=" "," ",I97*J97*K97)</f>
        <v>24.64</v>
      </c>
      <c r="M97" s="107" t="n">
        <v>7</v>
      </c>
      <c r="N97" s="104" t="n">
        <v>0</v>
      </c>
      <c r="O97" s="107" t="n">
        <v>0</v>
      </c>
      <c r="P97" s="103" t="n">
        <f aca="false">IF(M97=" "," ",(1+(M97+N97+O97)/100))</f>
        <v>1.07</v>
      </c>
      <c r="Q97" s="109" t="n">
        <f aca="false">IF(L97=" "," ",L97*P97)</f>
        <v>26.3648</v>
      </c>
    </row>
    <row r="98" s="92" customFormat="true" ht="9.75" hidden="false" customHeight="true" outlineLevel="0" collapsed="false">
      <c r="A98" s="99" t="s">
        <v>223</v>
      </c>
      <c r="B98" s="100"/>
      <c r="C98" s="101"/>
      <c r="D98" s="102" t="n">
        <v>1.3</v>
      </c>
      <c r="E98" s="102" t="n">
        <v>3.17</v>
      </c>
      <c r="F98" s="103" t="n">
        <f aca="false">IF(D98=0," ",D98*E98)</f>
        <v>4.121</v>
      </c>
      <c r="G98" s="104" t="n">
        <v>1</v>
      </c>
      <c r="H98" s="105"/>
      <c r="I98" s="103" t="n">
        <f aca="false">IF(F98=" "," ",F98*G98-H98)</f>
        <v>4.121</v>
      </c>
      <c r="J98" s="102" t="n">
        <v>0.814</v>
      </c>
      <c r="K98" s="104" t="n">
        <v>12</v>
      </c>
      <c r="L98" s="106" t="n">
        <f aca="false">IF(I98=" "," ",I98*J98*K98)</f>
        <v>40.253928</v>
      </c>
      <c r="M98" s="107" t="n">
        <v>7</v>
      </c>
      <c r="N98" s="104" t="n">
        <v>0</v>
      </c>
      <c r="O98" s="107" t="n">
        <v>0</v>
      </c>
      <c r="P98" s="103" t="n">
        <f aca="false">IF(M98=" "," ",(1+(M98+N98+O98)/100))</f>
        <v>1.07</v>
      </c>
      <c r="Q98" s="108" t="n">
        <f aca="false">IF(L98=" "," ",L98*P98)</f>
        <v>43.07170296</v>
      </c>
    </row>
    <row r="99" s="92" customFormat="true" ht="9.75" hidden="false" customHeight="true" outlineLevel="0" collapsed="false">
      <c r="A99" s="99" t="s">
        <v>224</v>
      </c>
      <c r="B99" s="100"/>
      <c r="C99" s="101"/>
      <c r="D99" s="102" t="n">
        <v>1.3</v>
      </c>
      <c r="E99" s="102" t="n">
        <v>2.1</v>
      </c>
      <c r="F99" s="103" t="n">
        <f aca="false">IF(D99=0," ",D99*E99)</f>
        <v>2.73</v>
      </c>
      <c r="G99" s="104" t="n">
        <v>1</v>
      </c>
      <c r="H99" s="105"/>
      <c r="I99" s="103" t="n">
        <f aca="false">IF(F99=" "," ",F99*G99-H99)</f>
        <v>2.73</v>
      </c>
      <c r="J99" s="102" t="n">
        <v>0.561</v>
      </c>
      <c r="K99" s="104" t="n">
        <v>8</v>
      </c>
      <c r="L99" s="106" t="n">
        <f aca="false">IF(I99=" "," ",I99*J99*K99)</f>
        <v>12.25224</v>
      </c>
      <c r="M99" s="107" t="n">
        <v>7</v>
      </c>
      <c r="N99" s="104" t="n">
        <v>0</v>
      </c>
      <c r="O99" s="107" t="n">
        <v>0</v>
      </c>
      <c r="P99" s="103" t="n">
        <f aca="false">IF(M99=" "," ",(1+(M99+N99+O99)/100))</f>
        <v>1.07</v>
      </c>
      <c r="Q99" s="109" t="n">
        <f aca="false">IF(L99=" "," ",L99*P99)</f>
        <v>13.1098968</v>
      </c>
    </row>
    <row r="100" s="92" customFormat="true" ht="9.75" hidden="false" customHeight="true" outlineLevel="0" collapsed="false">
      <c r="A100" s="99" t="s">
        <v>235</v>
      </c>
      <c r="B100" s="100"/>
      <c r="C100" s="101"/>
      <c r="D100" s="102" t="n">
        <v>1.3</v>
      </c>
      <c r="E100" s="102" t="n">
        <v>2.1</v>
      </c>
      <c r="F100" s="103" t="n">
        <f aca="false">IF(D100=0," ",D100*E100)</f>
        <v>2.73</v>
      </c>
      <c r="G100" s="104" t="n">
        <v>1</v>
      </c>
      <c r="H100" s="105"/>
      <c r="I100" s="103" t="n">
        <f aca="false">IF(F100=" "," ",F100*G100-H100)</f>
        <v>2.73</v>
      </c>
      <c r="J100" s="102" t="n">
        <v>0.318</v>
      </c>
      <c r="K100" s="104" t="n">
        <v>30</v>
      </c>
      <c r="L100" s="106" t="n">
        <f aca="false">IF(I100=" "," ",I100*J100*K100)</f>
        <v>26.0442</v>
      </c>
      <c r="M100" s="107" t="n">
        <v>7</v>
      </c>
      <c r="N100" s="104" t="n">
        <v>0</v>
      </c>
      <c r="O100" s="107" t="n">
        <v>0</v>
      </c>
      <c r="P100" s="103" t="n">
        <f aca="false">IF(M100=" "," ",(1+(M100+N100+O100)/100))</f>
        <v>1.07</v>
      </c>
      <c r="Q100" s="109" t="n">
        <f aca="false">IF(L100=" "," ",L100*P100)</f>
        <v>27.867294</v>
      </c>
    </row>
    <row r="101" s="92" customFormat="true" ht="9.75" hidden="false" customHeight="true" outlineLevel="0" collapsed="false">
      <c r="A101" s="110"/>
      <c r="B101" s="111"/>
      <c r="C101" s="111"/>
      <c r="D101" s="112"/>
      <c r="E101" s="112"/>
      <c r="F101" s="112" t="str">
        <f aca="false">IF(D101=0," ",D101*E101)</f>
        <v> </v>
      </c>
      <c r="G101" s="113"/>
      <c r="H101" s="112"/>
      <c r="I101" s="112" t="str">
        <f aca="false">IF(F101=" "," ",F101*G101-H101)</f>
        <v> </v>
      </c>
      <c r="J101" s="112"/>
      <c r="K101" s="113"/>
      <c r="L101" s="114"/>
      <c r="M101" s="115"/>
      <c r="N101" s="115"/>
      <c r="O101" s="115"/>
      <c r="P101" s="116"/>
      <c r="Q101" s="117" t="n">
        <f aca="false">SUM(Q92:Q100)</f>
        <v>248.62254526</v>
      </c>
    </row>
    <row r="102" s="129" customFormat="true" ht="9.75" hidden="false" customHeight="true" outlineLevel="0" collapsed="false">
      <c r="A102" s="118"/>
      <c r="B102" s="119"/>
      <c r="C102" s="119"/>
      <c r="D102" s="120"/>
      <c r="E102" s="121"/>
      <c r="F102" s="122"/>
      <c r="G102" s="123"/>
      <c r="H102" s="122"/>
      <c r="I102" s="124"/>
      <c r="J102" s="125" t="s">
        <v>210</v>
      </c>
      <c r="K102" s="124" t="s">
        <v>211</v>
      </c>
      <c r="L102" s="122" t="s">
        <v>212</v>
      </c>
      <c r="M102" s="123" t="s">
        <v>213</v>
      </c>
      <c r="N102" s="126" t="s">
        <v>214</v>
      </c>
      <c r="O102" s="127" t="s">
        <v>215</v>
      </c>
      <c r="P102" s="123" t="s">
        <v>216</v>
      </c>
      <c r="Q102" s="128"/>
    </row>
    <row r="103" s="129" customFormat="true" ht="9.75" hidden="false" customHeight="true" outlineLevel="0" collapsed="false">
      <c r="A103" s="130" t="s">
        <v>217</v>
      </c>
      <c r="C103" s="131"/>
      <c r="D103" s="131"/>
      <c r="E103" s="132"/>
      <c r="F103" s="133"/>
      <c r="G103" s="134"/>
      <c r="H103" s="135"/>
      <c r="I103" s="136"/>
      <c r="J103" s="137" t="s">
        <v>218</v>
      </c>
      <c r="K103" s="138" t="n">
        <v>2</v>
      </c>
      <c r="L103" s="138" t="n">
        <f aca="false">(D94+E94)*2*G94</f>
        <v>2.4</v>
      </c>
      <c r="M103" s="138" t="n">
        <v>0.9</v>
      </c>
      <c r="N103" s="138" t="n">
        <v>0.67</v>
      </c>
      <c r="O103" s="115" t="n">
        <v>35</v>
      </c>
      <c r="P103" s="138" t="n">
        <v>1</v>
      </c>
      <c r="Q103" s="117" t="n">
        <f aca="false">K103*L103*M103*N103*O103*P103</f>
        <v>101.304</v>
      </c>
    </row>
    <row r="104" s="87" customFormat="true" ht="9.75" hidden="false" customHeight="true" outlineLevel="0" collapsed="false">
      <c r="A104" s="139"/>
      <c r="B104" s="129"/>
      <c r="C104" s="131"/>
      <c r="D104" s="131"/>
      <c r="E104" s="112"/>
      <c r="F104" s="112"/>
      <c r="G104" s="140"/>
      <c r="H104" s="131"/>
      <c r="I104" s="131"/>
      <c r="J104" s="131"/>
      <c r="K104" s="140"/>
      <c r="L104" s="141"/>
      <c r="M104" s="142" t="s">
        <v>219</v>
      </c>
      <c r="N104" s="142"/>
      <c r="O104" s="143"/>
      <c r="P104" s="142"/>
      <c r="Q104" s="144" t="n">
        <f aca="false">Q101+Q103</f>
        <v>349.92654526</v>
      </c>
    </row>
    <row r="105" s="92" customFormat="true" ht="9.95" hidden="false" customHeight="true" outlineLevel="0" collapsed="false">
      <c r="A105" s="145"/>
      <c r="B105" s="146"/>
      <c r="C105" s="146"/>
      <c r="D105" s="146"/>
      <c r="E105" s="146"/>
      <c r="F105" s="95" t="n">
        <v>1</v>
      </c>
      <c r="G105" s="147" t="s">
        <v>196</v>
      </c>
      <c r="H105" s="146" t="s">
        <v>241</v>
      </c>
      <c r="I105" s="147" t="s">
        <v>228</v>
      </c>
      <c r="J105" s="147"/>
      <c r="K105" s="146" t="s">
        <v>229</v>
      </c>
      <c r="L105" s="146"/>
      <c r="M105" s="146"/>
      <c r="N105" s="146"/>
      <c r="O105" s="146"/>
      <c r="P105" s="146"/>
      <c r="Q105" s="148"/>
    </row>
    <row r="106" s="92" customFormat="true" ht="9.95" hidden="false" customHeight="true" outlineLevel="0" collapsed="false">
      <c r="A106" s="99" t="s">
        <v>200</v>
      </c>
      <c r="B106" s="100" t="s">
        <v>201</v>
      </c>
      <c r="C106" s="101"/>
      <c r="D106" s="102" t="n">
        <v>3.8</v>
      </c>
      <c r="E106" s="102" t="n">
        <v>2.8</v>
      </c>
      <c r="F106" s="103" t="n">
        <f aca="false">IF(D106=0," ",D106*E106)</f>
        <v>10.64</v>
      </c>
      <c r="G106" s="104" t="n">
        <v>1</v>
      </c>
      <c r="H106" s="105" t="n">
        <f aca="false">F108*G108</f>
        <v>5.04</v>
      </c>
      <c r="I106" s="103" t="n">
        <f aca="false">IF(F106=" "," ",F106*G106-H106)</f>
        <v>5.6</v>
      </c>
      <c r="J106" s="102" t="n">
        <v>0.479</v>
      </c>
      <c r="K106" s="104" t="n">
        <v>29</v>
      </c>
      <c r="L106" s="106" t="n">
        <f aca="false">IF(I106=" "," ",I106*J106*K106)</f>
        <v>77.7896</v>
      </c>
      <c r="M106" s="107" t="n">
        <v>7</v>
      </c>
      <c r="N106" s="104" t="n">
        <v>0</v>
      </c>
      <c r="O106" s="107" t="n">
        <v>5</v>
      </c>
      <c r="P106" s="103" t="n">
        <f aca="false">IF(M106=" "," ",(1+(M106+N106+O106)/100))</f>
        <v>1.12</v>
      </c>
      <c r="Q106" s="108" t="n">
        <f aca="false">IF(L106=" "," ",L106*P106)</f>
        <v>87.124352</v>
      </c>
    </row>
    <row r="107" s="92" customFormat="true" ht="9.95" hidden="false" customHeight="true" outlineLevel="0" collapsed="false">
      <c r="A107" s="99" t="s">
        <v>202</v>
      </c>
      <c r="B107" s="100" t="s">
        <v>201</v>
      </c>
      <c r="C107" s="101"/>
      <c r="D107" s="102" t="n">
        <f aca="false">D106</f>
        <v>3.8</v>
      </c>
      <c r="E107" s="102" t="n">
        <v>0.37</v>
      </c>
      <c r="F107" s="103" t="n">
        <f aca="false">IF(D107=0," ",D107*E107)</f>
        <v>1.406</v>
      </c>
      <c r="G107" s="104" t="n">
        <v>1</v>
      </c>
      <c r="H107" s="105"/>
      <c r="I107" s="103" t="n">
        <f aca="false">IF(F107=" "," ",F107*G107-H107)</f>
        <v>1.406</v>
      </c>
      <c r="J107" s="102" t="n">
        <v>0.577</v>
      </c>
      <c r="K107" s="104" t="n">
        <v>29</v>
      </c>
      <c r="L107" s="106" t="n">
        <f aca="false">IF(I107=" "," ",I107*J107*K107)</f>
        <v>23.526598</v>
      </c>
      <c r="M107" s="107" t="n">
        <v>7</v>
      </c>
      <c r="N107" s="104" t="n">
        <v>0</v>
      </c>
      <c r="O107" s="107" t="n">
        <v>5</v>
      </c>
      <c r="P107" s="103" t="n">
        <f aca="false">IF(M107=" "," ",(1+(M107+N107+O107)/100))</f>
        <v>1.12</v>
      </c>
      <c r="Q107" s="108" t="n">
        <f aca="false">IF(L107=" "," ",L107*P107)</f>
        <v>26.34978976</v>
      </c>
    </row>
    <row r="108" s="92" customFormat="true" ht="9.95" hidden="false" customHeight="true" outlineLevel="0" collapsed="false">
      <c r="A108" s="99" t="s">
        <v>203</v>
      </c>
      <c r="B108" s="100" t="s">
        <v>201</v>
      </c>
      <c r="C108" s="101"/>
      <c r="D108" s="102" t="n">
        <v>1.8</v>
      </c>
      <c r="E108" s="102" t="n">
        <v>2.8</v>
      </c>
      <c r="F108" s="103" t="n">
        <f aca="false">IF(D108=0," ",D108*E108)</f>
        <v>5.04</v>
      </c>
      <c r="G108" s="104" t="n">
        <v>1</v>
      </c>
      <c r="H108" s="105"/>
      <c r="I108" s="103" t="n">
        <f aca="false">IF(F108=" "," ",F108*G108-H108)</f>
        <v>5.04</v>
      </c>
      <c r="J108" s="102" t="n">
        <v>2.4</v>
      </c>
      <c r="K108" s="104" t="n">
        <v>29</v>
      </c>
      <c r="L108" s="106" t="n">
        <f aca="false">IF(I108=" "," ",I108*J108*K108)</f>
        <v>350.784</v>
      </c>
      <c r="M108" s="107" t="n">
        <v>7</v>
      </c>
      <c r="N108" s="104" t="n">
        <v>0</v>
      </c>
      <c r="O108" s="107" t="n">
        <v>5</v>
      </c>
      <c r="P108" s="103" t="n">
        <f aca="false">IF(M108=" "," ",(1+(M108+N108+O108)/100))</f>
        <v>1.12</v>
      </c>
      <c r="Q108" s="109" t="n">
        <f aca="false">IF(L108=" "," ",L108*P108)</f>
        <v>392.87808</v>
      </c>
    </row>
    <row r="109" s="92" customFormat="true" ht="9.95" hidden="false" customHeight="true" outlineLevel="0" collapsed="false">
      <c r="A109" s="99" t="s">
        <v>204</v>
      </c>
      <c r="B109" s="100" t="s">
        <v>201</v>
      </c>
      <c r="C109" s="101"/>
      <c r="D109" s="102" t="n">
        <v>0.15</v>
      </c>
      <c r="E109" s="102" t="n">
        <v>3.17</v>
      </c>
      <c r="F109" s="103" t="n">
        <f aca="false">IF(D109=0," ",D109*E109)</f>
        <v>0.4755</v>
      </c>
      <c r="G109" s="104" t="n">
        <v>1</v>
      </c>
      <c r="H109" s="105"/>
      <c r="I109" s="103" t="n">
        <f aca="false">IF(F109=" "," ",F109*G109-H109)</f>
        <v>0.4755</v>
      </c>
      <c r="J109" s="102" t="n">
        <v>0.57</v>
      </c>
      <c r="K109" s="104" t="n">
        <v>29</v>
      </c>
      <c r="L109" s="106" t="n">
        <f aca="false">IF(I109=" "," ",I109*J109*K109)</f>
        <v>7.860015</v>
      </c>
      <c r="M109" s="107" t="n">
        <v>7</v>
      </c>
      <c r="N109" s="104" t="n">
        <v>0</v>
      </c>
      <c r="O109" s="107" t="n">
        <v>5</v>
      </c>
      <c r="P109" s="103" t="n">
        <f aca="false">IF(M109=" "," ",(1+(M109+N109+O109)/100))</f>
        <v>1.12</v>
      </c>
      <c r="Q109" s="108" t="n">
        <f aca="false">IF(L109=" "," ",L109*P109)</f>
        <v>8.8032168</v>
      </c>
    </row>
    <row r="110" s="92" customFormat="true" ht="9.95" hidden="false" customHeight="true" outlineLevel="0" collapsed="false">
      <c r="A110" s="99" t="s">
        <v>200</v>
      </c>
      <c r="B110" s="100" t="s">
        <v>208</v>
      </c>
      <c r="C110" s="101"/>
      <c r="D110" s="102" t="n">
        <v>4.55</v>
      </c>
      <c r="E110" s="102" t="n">
        <v>2.8</v>
      </c>
      <c r="F110" s="103" t="n">
        <f aca="false">IF(D110=0," ",D110*E110)</f>
        <v>12.74</v>
      </c>
      <c r="G110" s="104" t="n">
        <v>1</v>
      </c>
      <c r="H110" s="105" t="n">
        <f aca="false">F112*G112</f>
        <v>2.8</v>
      </c>
      <c r="I110" s="103" t="n">
        <f aca="false">IF(F110=" "," ",F110*G110-H110)</f>
        <v>9.94</v>
      </c>
      <c r="J110" s="102" t="n">
        <v>0.479</v>
      </c>
      <c r="K110" s="104" t="n">
        <v>29</v>
      </c>
      <c r="L110" s="106" t="n">
        <f aca="false">IF(I110=" "," ",I110*J110*K110)</f>
        <v>138.07654</v>
      </c>
      <c r="M110" s="107" t="n">
        <v>7</v>
      </c>
      <c r="N110" s="104" t="n">
        <v>0</v>
      </c>
      <c r="O110" s="107" t="n">
        <v>0</v>
      </c>
      <c r="P110" s="103" t="n">
        <f aca="false">IF(M110=" "," ",(1+(M110+N110+O110)/100))</f>
        <v>1.07</v>
      </c>
      <c r="Q110" s="108" t="n">
        <f aca="false">IF(L110=" "," ",L110*P110)</f>
        <v>147.7418978</v>
      </c>
    </row>
    <row r="111" s="92" customFormat="true" ht="9.95" hidden="false" customHeight="true" outlineLevel="0" collapsed="false">
      <c r="A111" s="99" t="s">
        <v>202</v>
      </c>
      <c r="B111" s="100" t="s">
        <v>208</v>
      </c>
      <c r="C111" s="101"/>
      <c r="D111" s="102" t="n">
        <f aca="false">D110</f>
        <v>4.55</v>
      </c>
      <c r="E111" s="102" t="n">
        <v>0.37</v>
      </c>
      <c r="F111" s="103" t="n">
        <f aca="false">IF(D111=0," ",D111*E111)</f>
        <v>1.6835</v>
      </c>
      <c r="G111" s="104" t="n">
        <v>1</v>
      </c>
      <c r="H111" s="105"/>
      <c r="I111" s="103" t="n">
        <f aca="false">IF(F111=" "," ",F111*G111-H111)</f>
        <v>1.6835</v>
      </c>
      <c r="J111" s="102" t="n">
        <v>0.577</v>
      </c>
      <c r="K111" s="104" t="n">
        <v>29</v>
      </c>
      <c r="L111" s="106" t="n">
        <f aca="false">IF(I111=" "," ",I111*J111*K111)</f>
        <v>28.1700055</v>
      </c>
      <c r="M111" s="107" t="n">
        <v>7</v>
      </c>
      <c r="N111" s="104" t="n">
        <v>0</v>
      </c>
      <c r="O111" s="107" t="n">
        <v>0</v>
      </c>
      <c r="P111" s="103" t="n">
        <f aca="false">IF(M111=" "," ",(1+(M111+N111+O111)/100))</f>
        <v>1.07</v>
      </c>
      <c r="Q111" s="108" t="n">
        <f aca="false">IF(L111=" "," ",L111*P111)</f>
        <v>30.141905885</v>
      </c>
    </row>
    <row r="112" s="92" customFormat="true" ht="9.95" hidden="false" customHeight="true" outlineLevel="0" collapsed="false">
      <c r="A112" s="99" t="s">
        <v>203</v>
      </c>
      <c r="B112" s="100" t="s">
        <v>208</v>
      </c>
      <c r="C112" s="101"/>
      <c r="D112" s="102" t="n">
        <v>1</v>
      </c>
      <c r="E112" s="102" t="n">
        <v>2.8</v>
      </c>
      <c r="F112" s="103" t="n">
        <f aca="false">IF(D112=0," ",D112*E112)</f>
        <v>2.8</v>
      </c>
      <c r="G112" s="104" t="n">
        <v>1</v>
      </c>
      <c r="H112" s="105"/>
      <c r="I112" s="103" t="n">
        <f aca="false">IF(F112=" "," ",F112*G112-H112)</f>
        <v>2.8</v>
      </c>
      <c r="J112" s="102" t="n">
        <v>2.4</v>
      </c>
      <c r="K112" s="104" t="n">
        <v>29</v>
      </c>
      <c r="L112" s="106" t="n">
        <f aca="false">IF(I112=" "," ",I112*J112*K112)</f>
        <v>194.88</v>
      </c>
      <c r="M112" s="107" t="n">
        <v>7</v>
      </c>
      <c r="N112" s="104" t="n">
        <v>0</v>
      </c>
      <c r="O112" s="107" t="n">
        <v>0</v>
      </c>
      <c r="P112" s="103" t="n">
        <f aca="false">IF(M112=" "," ",(1+(M112+N112+O112)/100))</f>
        <v>1.07</v>
      </c>
      <c r="Q112" s="109" t="n">
        <f aca="false">IF(L112=" "," ",L112*P112)</f>
        <v>208.5216</v>
      </c>
    </row>
    <row r="113" s="92" customFormat="true" ht="9.95" hidden="false" customHeight="true" outlineLevel="0" collapsed="false">
      <c r="A113" s="99" t="s">
        <v>204</v>
      </c>
      <c r="B113" s="100" t="s">
        <v>208</v>
      </c>
      <c r="C113" s="101"/>
      <c r="D113" s="102" t="n">
        <v>1.55</v>
      </c>
      <c r="E113" s="102" t="n">
        <v>3.17</v>
      </c>
      <c r="F113" s="103" t="n">
        <f aca="false">IF(D113=0," ",D113*E113)</f>
        <v>4.9135</v>
      </c>
      <c r="G113" s="104" t="n">
        <v>1</v>
      </c>
      <c r="H113" s="105"/>
      <c r="I113" s="103" t="n">
        <f aca="false">IF(F113=" "," ",F113*G113-H113)</f>
        <v>4.9135</v>
      </c>
      <c r="J113" s="102" t="n">
        <v>0.57</v>
      </c>
      <c r="K113" s="104" t="n">
        <v>29</v>
      </c>
      <c r="L113" s="106" t="n">
        <f aca="false">IF(I113=" "," ",I113*J113*K113)</f>
        <v>81.220155</v>
      </c>
      <c r="M113" s="107" t="n">
        <v>7</v>
      </c>
      <c r="N113" s="104" t="n">
        <v>0</v>
      </c>
      <c r="O113" s="107" t="n">
        <v>0</v>
      </c>
      <c r="P113" s="103" t="n">
        <f aca="false">IF(M113=" "," ",(1+(M113+N113+O113)/100))</f>
        <v>1.07</v>
      </c>
      <c r="Q113" s="108" t="n">
        <f aca="false">IF(L113=" "," ",L113*P113)</f>
        <v>86.90556585</v>
      </c>
    </row>
    <row r="114" s="92" customFormat="true" ht="9.95" hidden="false" customHeight="true" outlineLevel="0" collapsed="false">
      <c r="A114" s="99" t="s">
        <v>235</v>
      </c>
      <c r="B114" s="100"/>
      <c r="C114" s="101"/>
      <c r="D114" s="102" t="n">
        <v>3.95</v>
      </c>
      <c r="E114" s="102" t="n">
        <v>5.1</v>
      </c>
      <c r="F114" s="103" t="n">
        <f aca="false">IF(D114=0," ",D114*E114)</f>
        <v>20.145</v>
      </c>
      <c r="G114" s="104" t="n">
        <v>1</v>
      </c>
      <c r="H114" s="105"/>
      <c r="I114" s="103" t="n">
        <f aca="false">IF(F114=" "," ",F114*G114-H114)</f>
        <v>20.145</v>
      </c>
      <c r="J114" s="102" t="n">
        <v>0.318</v>
      </c>
      <c r="K114" s="104" t="n">
        <v>20</v>
      </c>
      <c r="L114" s="106" t="n">
        <f aca="false">IF(I114=" "," ",I114*J114*K114)</f>
        <v>128.1222</v>
      </c>
      <c r="M114" s="107" t="n">
        <v>7</v>
      </c>
      <c r="N114" s="104" t="n">
        <v>0</v>
      </c>
      <c r="O114" s="107" t="n">
        <v>0</v>
      </c>
      <c r="P114" s="103" t="n">
        <f aca="false">IF(M114=" "," ",(1+(M114+N114+O114)/100))</f>
        <v>1.07</v>
      </c>
      <c r="Q114" s="109" t="n">
        <f aca="false">IF(L114=" "," ",L114*P114)</f>
        <v>137.090754</v>
      </c>
    </row>
    <row r="115" s="92" customFormat="true" ht="9.95" hidden="false" customHeight="true" outlineLevel="0" collapsed="false">
      <c r="A115" s="110"/>
      <c r="B115" s="111"/>
      <c r="C115" s="111"/>
      <c r="D115" s="112"/>
      <c r="E115" s="112"/>
      <c r="F115" s="112" t="str">
        <f aca="false">IF(D115=0," ",D115*E115)</f>
        <v> </v>
      </c>
      <c r="G115" s="113"/>
      <c r="H115" s="112"/>
      <c r="I115" s="112" t="str">
        <f aca="false">IF(F115=" "," ",F115*G115-H115)</f>
        <v> </v>
      </c>
      <c r="J115" s="112"/>
      <c r="K115" s="113"/>
      <c r="L115" s="114"/>
      <c r="M115" s="115"/>
      <c r="N115" s="115"/>
      <c r="O115" s="115"/>
      <c r="P115" s="116"/>
      <c r="Q115" s="117" t="n">
        <f aca="false">SUM(Q106:Q114)</f>
        <v>1125.557162095</v>
      </c>
    </row>
    <row r="116" s="129" customFormat="true" ht="9.95" hidden="false" customHeight="true" outlineLevel="0" collapsed="false">
      <c r="A116" s="118"/>
      <c r="B116" s="119"/>
      <c r="C116" s="119"/>
      <c r="D116" s="120"/>
      <c r="E116" s="121"/>
      <c r="F116" s="122"/>
      <c r="G116" s="123"/>
      <c r="H116" s="122"/>
      <c r="I116" s="124"/>
      <c r="J116" s="125" t="s">
        <v>210</v>
      </c>
      <c r="K116" s="124" t="s">
        <v>211</v>
      </c>
      <c r="L116" s="122" t="s">
        <v>212</v>
      </c>
      <c r="M116" s="123" t="s">
        <v>213</v>
      </c>
      <c r="N116" s="126" t="s">
        <v>214</v>
      </c>
      <c r="O116" s="127" t="s">
        <v>215</v>
      </c>
      <c r="P116" s="123" t="s">
        <v>216</v>
      </c>
      <c r="Q116" s="128"/>
    </row>
    <row r="117" s="129" customFormat="true" ht="9.95" hidden="false" customHeight="true" outlineLevel="0" collapsed="false">
      <c r="A117" s="130" t="s">
        <v>217</v>
      </c>
      <c r="C117" s="131"/>
      <c r="D117" s="131"/>
      <c r="E117" s="132"/>
      <c r="F117" s="133"/>
      <c r="G117" s="134"/>
      <c r="H117" s="135"/>
      <c r="I117" s="136"/>
      <c r="J117" s="137" t="s">
        <v>218</v>
      </c>
      <c r="K117" s="138" t="n">
        <v>2</v>
      </c>
      <c r="L117" s="138" t="n">
        <f aca="false">(D108+E108)*2*G108+(D112+E112)*2*G112</f>
        <v>16.8</v>
      </c>
      <c r="M117" s="138" t="n">
        <v>0.9</v>
      </c>
      <c r="N117" s="138" t="n">
        <v>0.67</v>
      </c>
      <c r="O117" s="115" t="n">
        <v>29</v>
      </c>
      <c r="P117" s="138" t="n">
        <v>1.2</v>
      </c>
      <c r="Q117" s="117" t="n">
        <f aca="false">K117*L117*M117*N117*O117*P117</f>
        <v>705.07584</v>
      </c>
    </row>
    <row r="118" s="87" customFormat="true" ht="9.95" hidden="false" customHeight="true" outlineLevel="0" collapsed="false">
      <c r="A118" s="139"/>
      <c r="B118" s="129"/>
      <c r="C118" s="131"/>
      <c r="D118" s="131"/>
      <c r="E118" s="112"/>
      <c r="F118" s="112"/>
      <c r="G118" s="140"/>
      <c r="H118" s="131"/>
      <c r="I118" s="131"/>
      <c r="J118" s="131"/>
      <c r="K118" s="140"/>
      <c r="L118" s="141"/>
      <c r="M118" s="142" t="s">
        <v>219</v>
      </c>
      <c r="N118" s="142"/>
      <c r="O118" s="143"/>
      <c r="P118" s="142"/>
      <c r="Q118" s="144" t="n">
        <f aca="false">Q115+Q117</f>
        <v>1830.633002095</v>
      </c>
    </row>
    <row r="119" s="92" customFormat="true" ht="9.95" hidden="false" customHeight="true" outlineLevel="0" collapsed="false">
      <c r="A119" s="145"/>
      <c r="B119" s="146"/>
      <c r="C119" s="146"/>
      <c r="D119" s="146"/>
      <c r="E119" s="146"/>
      <c r="F119" s="95" t="n">
        <v>1</v>
      </c>
      <c r="G119" s="147" t="s">
        <v>196</v>
      </c>
      <c r="H119" s="146" t="s">
        <v>242</v>
      </c>
      <c r="I119" s="147" t="s">
        <v>228</v>
      </c>
      <c r="J119" s="147"/>
      <c r="K119" s="146" t="s">
        <v>229</v>
      </c>
      <c r="L119" s="146"/>
      <c r="M119" s="146"/>
      <c r="N119" s="146"/>
      <c r="O119" s="146"/>
      <c r="P119" s="146"/>
      <c r="Q119" s="148"/>
    </row>
    <row r="120" s="92" customFormat="true" ht="9.95" hidden="false" customHeight="true" outlineLevel="0" collapsed="false">
      <c r="A120" s="99" t="s">
        <v>200</v>
      </c>
      <c r="B120" s="100" t="s">
        <v>201</v>
      </c>
      <c r="C120" s="101"/>
      <c r="D120" s="102" t="n">
        <v>3.65</v>
      </c>
      <c r="E120" s="102" t="n">
        <v>2.8</v>
      </c>
      <c r="F120" s="103" t="n">
        <f aca="false">IF(D120=0," ",D120*E120)</f>
        <v>10.22</v>
      </c>
      <c r="G120" s="104" t="n">
        <v>1</v>
      </c>
      <c r="H120" s="105"/>
      <c r="I120" s="103" t="n">
        <f aca="false">IF(F120=" "," ",F120*G120-H120)</f>
        <v>10.22</v>
      </c>
      <c r="J120" s="102" t="n">
        <v>0.479</v>
      </c>
      <c r="K120" s="104" t="n">
        <v>29</v>
      </c>
      <c r="L120" s="106" t="n">
        <f aca="false">IF(I120=" "," ",I120*J120*K120)</f>
        <v>141.96602</v>
      </c>
      <c r="M120" s="107" t="n">
        <v>7</v>
      </c>
      <c r="N120" s="104" t="n">
        <v>0</v>
      </c>
      <c r="O120" s="107" t="n">
        <v>5</v>
      </c>
      <c r="P120" s="103" t="n">
        <f aca="false">IF(M120=" "," ",(1+(M120+N120+O120)/100))</f>
        <v>1.12</v>
      </c>
      <c r="Q120" s="108" t="n">
        <f aca="false">IF(L120=" "," ",L120*P120)</f>
        <v>159.0019424</v>
      </c>
    </row>
    <row r="121" s="92" customFormat="true" ht="9.95" hidden="false" customHeight="true" outlineLevel="0" collapsed="false">
      <c r="A121" s="99" t="s">
        <v>202</v>
      </c>
      <c r="B121" s="100" t="s">
        <v>201</v>
      </c>
      <c r="C121" s="101"/>
      <c r="D121" s="102" t="n">
        <f aca="false">D120</f>
        <v>3.65</v>
      </c>
      <c r="E121" s="102" t="n">
        <v>0.37</v>
      </c>
      <c r="F121" s="103" t="n">
        <f aca="false">IF(D121=0," ",D121*E121)</f>
        <v>1.3505</v>
      </c>
      <c r="G121" s="104" t="n">
        <v>1</v>
      </c>
      <c r="H121" s="105"/>
      <c r="I121" s="103" t="n">
        <f aca="false">IF(F121=" "," ",F121*G121-H121)</f>
        <v>1.3505</v>
      </c>
      <c r="J121" s="102" t="n">
        <v>0.577</v>
      </c>
      <c r="K121" s="104" t="n">
        <v>29</v>
      </c>
      <c r="L121" s="106" t="n">
        <f aca="false">IF(I121=" "," ",I121*J121*K121)</f>
        <v>22.5979165</v>
      </c>
      <c r="M121" s="107" t="n">
        <v>7</v>
      </c>
      <c r="N121" s="104" t="n">
        <v>0</v>
      </c>
      <c r="O121" s="107" t="n">
        <v>5</v>
      </c>
      <c r="P121" s="103" t="n">
        <f aca="false">IF(M121=" "," ",(1+(M121+N121+O121)/100))</f>
        <v>1.12</v>
      </c>
      <c r="Q121" s="108" t="n">
        <f aca="false">IF(L121=" "," ",L121*P121)</f>
        <v>25.30966648</v>
      </c>
    </row>
    <row r="122" s="92" customFormat="true" ht="9.95" hidden="false" customHeight="true" outlineLevel="0" collapsed="false">
      <c r="A122" s="99" t="s">
        <v>204</v>
      </c>
      <c r="B122" s="100" t="s">
        <v>201</v>
      </c>
      <c r="C122" s="101"/>
      <c r="D122" s="102" t="n">
        <v>0.55</v>
      </c>
      <c r="E122" s="102" t="n">
        <v>3.17</v>
      </c>
      <c r="F122" s="103" t="n">
        <f aca="false">IF(D122=0," ",D122*E122)</f>
        <v>1.7435</v>
      </c>
      <c r="G122" s="104" t="n">
        <v>1</v>
      </c>
      <c r="H122" s="105"/>
      <c r="I122" s="103" t="n">
        <f aca="false">IF(F122=" "," ",F122*G122-H122)</f>
        <v>1.7435</v>
      </c>
      <c r="J122" s="102" t="n">
        <v>0.57</v>
      </c>
      <c r="K122" s="104" t="n">
        <v>29</v>
      </c>
      <c r="L122" s="106" t="n">
        <f aca="false">IF(I122=" "," ",I122*J122*K122)</f>
        <v>28.820055</v>
      </c>
      <c r="M122" s="107" t="n">
        <v>7</v>
      </c>
      <c r="N122" s="104" t="n">
        <v>0</v>
      </c>
      <c r="O122" s="107" t="n">
        <v>5</v>
      </c>
      <c r="P122" s="103" t="n">
        <f aca="false">IF(M122=" "," ",(1+(M122+N122+O122)/100))</f>
        <v>1.12</v>
      </c>
      <c r="Q122" s="108" t="n">
        <f aca="false">IF(L122=" "," ",L122*P122)</f>
        <v>32.2784616</v>
      </c>
    </row>
    <row r="123" s="92" customFormat="true" ht="9.95" hidden="false" customHeight="true" outlineLevel="0" collapsed="false">
      <c r="A123" s="99" t="s">
        <v>200</v>
      </c>
      <c r="B123" s="100" t="s">
        <v>205</v>
      </c>
      <c r="C123" s="101"/>
      <c r="D123" s="102" t="n">
        <v>3.95</v>
      </c>
      <c r="E123" s="102" t="n">
        <v>2.8</v>
      </c>
      <c r="F123" s="103" t="n">
        <f aca="false">IF(D123=0," ",D123*E123)</f>
        <v>11.06</v>
      </c>
      <c r="G123" s="104" t="n">
        <v>1</v>
      </c>
      <c r="H123" s="105" t="n">
        <f aca="false">F125*G125</f>
        <v>8.96</v>
      </c>
      <c r="I123" s="103" t="n">
        <f aca="false">IF(F123=" "," ",F123*G123-H123)</f>
        <v>2.1</v>
      </c>
      <c r="J123" s="102" t="n">
        <v>0.479</v>
      </c>
      <c r="K123" s="104" t="n">
        <v>29</v>
      </c>
      <c r="L123" s="106" t="n">
        <f aca="false">IF(I123=" "," ",I123*J123*K123)</f>
        <v>29.1711</v>
      </c>
      <c r="M123" s="107" t="n">
        <v>7</v>
      </c>
      <c r="N123" s="104" t="n">
        <v>0</v>
      </c>
      <c r="O123" s="107" t="n">
        <v>0</v>
      </c>
      <c r="P123" s="103" t="n">
        <f aca="false">IF(M123=" "," ",(1+(M123+N123+O123)/100))</f>
        <v>1.07</v>
      </c>
      <c r="Q123" s="108" t="n">
        <f aca="false">IF(L123=" "," ",L123*P123)</f>
        <v>31.213077</v>
      </c>
    </row>
    <row r="124" s="92" customFormat="true" ht="9.95" hidden="false" customHeight="true" outlineLevel="0" collapsed="false">
      <c r="A124" s="99" t="s">
        <v>202</v>
      </c>
      <c r="B124" s="100" t="s">
        <v>205</v>
      </c>
      <c r="C124" s="101"/>
      <c r="D124" s="102" t="n">
        <f aca="false">D123</f>
        <v>3.95</v>
      </c>
      <c r="E124" s="102" t="n">
        <v>0.37</v>
      </c>
      <c r="F124" s="103" t="n">
        <f aca="false">IF(D124=0," ",D124*E124)</f>
        <v>1.4615</v>
      </c>
      <c r="G124" s="104" t="n">
        <v>1</v>
      </c>
      <c r="H124" s="105"/>
      <c r="I124" s="103" t="n">
        <f aca="false">IF(F124=" "," ",F124*G124-H124)</f>
        <v>1.4615</v>
      </c>
      <c r="J124" s="102" t="n">
        <v>0.577</v>
      </c>
      <c r="K124" s="104" t="n">
        <v>29</v>
      </c>
      <c r="L124" s="106" t="n">
        <f aca="false">IF(I124=" "," ",I124*J124*K124)</f>
        <v>24.4552795</v>
      </c>
      <c r="M124" s="107" t="n">
        <v>7</v>
      </c>
      <c r="N124" s="104" t="n">
        <v>0</v>
      </c>
      <c r="O124" s="107" t="n">
        <v>0</v>
      </c>
      <c r="P124" s="103" t="n">
        <f aca="false">IF(M124=" "," ",(1+(M124+N124+O124)/100))</f>
        <v>1.07</v>
      </c>
      <c r="Q124" s="108" t="n">
        <f aca="false">IF(L124=" "," ",L124*P124)</f>
        <v>26.167149065</v>
      </c>
    </row>
    <row r="125" s="92" customFormat="true" ht="9.95" hidden="false" customHeight="true" outlineLevel="0" collapsed="false">
      <c r="A125" s="99" t="s">
        <v>203</v>
      </c>
      <c r="B125" s="100" t="s">
        <v>205</v>
      </c>
      <c r="C125" s="101"/>
      <c r="D125" s="102" t="n">
        <v>3.2</v>
      </c>
      <c r="E125" s="102" t="n">
        <v>2.8</v>
      </c>
      <c r="F125" s="103" t="n">
        <f aca="false">IF(D125=0," ",D125*E125)</f>
        <v>8.96</v>
      </c>
      <c r="G125" s="104" t="n">
        <v>1</v>
      </c>
      <c r="H125" s="105"/>
      <c r="I125" s="103" t="n">
        <f aca="false">IF(F125=" "," ",F125*G125-H125)</f>
        <v>8.96</v>
      </c>
      <c r="J125" s="102" t="n">
        <v>2.4</v>
      </c>
      <c r="K125" s="104" t="n">
        <v>29</v>
      </c>
      <c r="L125" s="106" t="n">
        <f aca="false">IF(I125=" "," ",I125*J125*K125)</f>
        <v>623.616</v>
      </c>
      <c r="M125" s="107" t="n">
        <v>7</v>
      </c>
      <c r="N125" s="104" t="n">
        <v>0</v>
      </c>
      <c r="O125" s="107" t="n">
        <v>0</v>
      </c>
      <c r="P125" s="103" t="n">
        <f aca="false">IF(M125=" "," ",(1+(M125+N125+O125)/100))</f>
        <v>1.07</v>
      </c>
      <c r="Q125" s="109" t="n">
        <f aca="false">IF(L125=" "," ",L125*P125)</f>
        <v>667.26912</v>
      </c>
    </row>
    <row r="126" s="92" customFormat="true" ht="9.95" hidden="false" customHeight="true" outlineLevel="0" collapsed="false">
      <c r="A126" s="99" t="s">
        <v>204</v>
      </c>
      <c r="B126" s="100" t="s">
        <v>205</v>
      </c>
      <c r="C126" s="101"/>
      <c r="D126" s="102" t="n">
        <v>1.15</v>
      </c>
      <c r="E126" s="102" t="n">
        <v>3.17</v>
      </c>
      <c r="F126" s="103" t="n">
        <f aca="false">IF(D126=0," ",D126*E126)</f>
        <v>3.6455</v>
      </c>
      <c r="G126" s="104" t="n">
        <v>1</v>
      </c>
      <c r="H126" s="105"/>
      <c r="I126" s="103" t="n">
        <f aca="false">IF(F126=" "," ",F126*G126-H126)</f>
        <v>3.6455</v>
      </c>
      <c r="J126" s="102" t="n">
        <v>0.57</v>
      </c>
      <c r="K126" s="104" t="n">
        <v>29</v>
      </c>
      <c r="L126" s="106" t="n">
        <f aca="false">IF(I126=" "," ",I126*J126*K126)</f>
        <v>60.260115</v>
      </c>
      <c r="M126" s="107" t="n">
        <v>7</v>
      </c>
      <c r="N126" s="104" t="n">
        <v>0</v>
      </c>
      <c r="O126" s="107" t="n">
        <v>0</v>
      </c>
      <c r="P126" s="103" t="n">
        <f aca="false">IF(M126=" "," ",(1+(M126+N126+O126)/100))</f>
        <v>1.07</v>
      </c>
      <c r="Q126" s="108" t="n">
        <f aca="false">IF(L126=" "," ",L126*P126)</f>
        <v>64.47832305</v>
      </c>
    </row>
    <row r="127" s="92" customFormat="true" ht="9.95" hidden="false" customHeight="true" outlineLevel="0" collapsed="false">
      <c r="A127" s="99" t="s">
        <v>235</v>
      </c>
      <c r="B127" s="100"/>
      <c r="C127" s="101"/>
      <c r="D127" s="102" t="n">
        <v>4.2</v>
      </c>
      <c r="E127" s="102" t="n">
        <v>5.1</v>
      </c>
      <c r="F127" s="103" t="n">
        <f aca="false">IF(D127=0," ",D127*E127)</f>
        <v>21.42</v>
      </c>
      <c r="G127" s="104" t="n">
        <v>1</v>
      </c>
      <c r="H127" s="105"/>
      <c r="I127" s="103" t="n">
        <f aca="false">IF(F127=" "," ",F127*G127-H127)</f>
        <v>21.42</v>
      </c>
      <c r="J127" s="102" t="n">
        <v>0.318</v>
      </c>
      <c r="K127" s="104" t="n">
        <v>20</v>
      </c>
      <c r="L127" s="106" t="n">
        <f aca="false">IF(I127=" "," ",I127*J127*K127)</f>
        <v>136.2312</v>
      </c>
      <c r="M127" s="107" t="n">
        <v>7</v>
      </c>
      <c r="N127" s="104" t="n">
        <v>0</v>
      </c>
      <c r="O127" s="107" t="n">
        <v>0</v>
      </c>
      <c r="P127" s="103" t="n">
        <f aca="false">IF(M127=" "," ",(1+(M127+N127+O127)/100))</f>
        <v>1.07</v>
      </c>
      <c r="Q127" s="109" t="n">
        <f aca="false">IF(L127=" "," ",L127*P127)</f>
        <v>145.767384</v>
      </c>
    </row>
    <row r="128" s="92" customFormat="true" ht="9.95" hidden="false" customHeight="true" outlineLevel="0" collapsed="false">
      <c r="A128" s="110"/>
      <c r="B128" s="111"/>
      <c r="C128" s="111"/>
      <c r="D128" s="112"/>
      <c r="E128" s="112"/>
      <c r="F128" s="112" t="str">
        <f aca="false">IF(D128=0," ",D128*E128)</f>
        <v> </v>
      </c>
      <c r="G128" s="113"/>
      <c r="H128" s="112"/>
      <c r="I128" s="112" t="str">
        <f aca="false">IF(F128=" "," ",F128*G128-H128)</f>
        <v> </v>
      </c>
      <c r="J128" s="112"/>
      <c r="K128" s="113"/>
      <c r="L128" s="114"/>
      <c r="M128" s="115"/>
      <c r="N128" s="115"/>
      <c r="O128" s="115"/>
      <c r="P128" s="116"/>
      <c r="Q128" s="117" t="n">
        <f aca="false">SUM(Q120:Q127)</f>
        <v>1151.485123595</v>
      </c>
    </row>
    <row r="129" s="129" customFormat="true" ht="9.95" hidden="false" customHeight="true" outlineLevel="0" collapsed="false">
      <c r="A129" s="118"/>
      <c r="B129" s="119"/>
      <c r="C129" s="119"/>
      <c r="D129" s="120"/>
      <c r="E129" s="121"/>
      <c r="F129" s="122"/>
      <c r="G129" s="123"/>
      <c r="H129" s="122"/>
      <c r="I129" s="124"/>
      <c r="J129" s="125" t="s">
        <v>210</v>
      </c>
      <c r="K129" s="124" t="s">
        <v>211</v>
      </c>
      <c r="L129" s="122" t="s">
        <v>212</v>
      </c>
      <c r="M129" s="123" t="s">
        <v>213</v>
      </c>
      <c r="N129" s="126" t="s">
        <v>214</v>
      </c>
      <c r="O129" s="127" t="s">
        <v>215</v>
      </c>
      <c r="P129" s="123" t="s">
        <v>216</v>
      </c>
      <c r="Q129" s="128"/>
    </row>
    <row r="130" s="129" customFormat="true" ht="9.95" hidden="false" customHeight="true" outlineLevel="0" collapsed="false">
      <c r="A130" s="130" t="s">
        <v>217</v>
      </c>
      <c r="C130" s="131"/>
      <c r="D130" s="131"/>
      <c r="E130" s="132"/>
      <c r="F130" s="133"/>
      <c r="G130" s="134"/>
      <c r="H130" s="135"/>
      <c r="I130" s="136"/>
      <c r="J130" s="137" t="s">
        <v>218</v>
      </c>
      <c r="K130" s="138" t="n">
        <v>2</v>
      </c>
      <c r="L130" s="138" t="n">
        <f aca="false">(D125+E125)*2*G125</f>
        <v>12</v>
      </c>
      <c r="M130" s="138" t="n">
        <v>0.9</v>
      </c>
      <c r="N130" s="138" t="n">
        <v>0.67</v>
      </c>
      <c r="O130" s="115" t="n">
        <v>29</v>
      </c>
      <c r="P130" s="138" t="n">
        <v>1.2</v>
      </c>
      <c r="Q130" s="117" t="n">
        <f aca="false">K130*L130*M130*N130*O130*P130</f>
        <v>503.6256</v>
      </c>
    </row>
    <row r="131" s="87" customFormat="true" ht="9.95" hidden="false" customHeight="true" outlineLevel="0" collapsed="false">
      <c r="A131" s="139"/>
      <c r="B131" s="129"/>
      <c r="C131" s="131"/>
      <c r="D131" s="131"/>
      <c r="E131" s="112"/>
      <c r="F131" s="112"/>
      <c r="G131" s="140"/>
      <c r="H131" s="131"/>
      <c r="I131" s="131"/>
      <c r="J131" s="131"/>
      <c r="K131" s="140"/>
      <c r="L131" s="141"/>
      <c r="M131" s="142" t="s">
        <v>219</v>
      </c>
      <c r="N131" s="142"/>
      <c r="O131" s="143"/>
      <c r="P131" s="142"/>
      <c r="Q131" s="144" t="n">
        <f aca="false">Q128+Q130</f>
        <v>1655.110723595</v>
      </c>
    </row>
  </sheetData>
  <mergeCells count="24">
    <mergeCell ref="A3:D3"/>
    <mergeCell ref="E3:H3"/>
    <mergeCell ref="I3:L3"/>
    <mergeCell ref="M3:P3"/>
    <mergeCell ref="I8:J8"/>
    <mergeCell ref="E26:F26"/>
    <mergeCell ref="I27:J27"/>
    <mergeCell ref="E38:F38"/>
    <mergeCell ref="I39:J39"/>
    <mergeCell ref="E50:F50"/>
    <mergeCell ref="I51:J51"/>
    <mergeCell ref="E65:F65"/>
    <mergeCell ref="I66:J66"/>
    <mergeCell ref="E78:F78"/>
    <mergeCell ref="A86:D86"/>
    <mergeCell ref="E86:H86"/>
    <mergeCell ref="I86:L86"/>
    <mergeCell ref="M86:P86"/>
    <mergeCell ref="I91:J91"/>
    <mergeCell ref="E104:F104"/>
    <mergeCell ref="I105:J105"/>
    <mergeCell ref="E118:F118"/>
    <mergeCell ref="I119:J119"/>
    <mergeCell ref="E131:F131"/>
  </mergeCells>
  <printOptions headings="false" gridLines="false" gridLinesSet="true" horizontalCentered="false" verticalCentered="false"/>
  <pageMargins left="0.196527777777778" right="0.157638888888889" top="0.315277777777778" bottom="0.315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4625" ySplit="0" topLeftCell="A1" activePane="topLeft" state="split"/>
      <selection pane="topLeft" activeCell="F19" activeCellId="0" sqref="F19"/>
      <selection pane="topRigh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51" width="5.41"/>
    <col collapsed="false" customWidth="true" hidden="false" outlineLevel="0" max="2" min="2" style="151" width="20.99"/>
    <col collapsed="false" customWidth="true" hidden="false" outlineLevel="0" max="3" min="3" style="151" width="11.85"/>
    <col collapsed="false" customWidth="true" hidden="false" outlineLevel="0" max="4" min="4" style="151" width="10.13"/>
    <col collapsed="false" customWidth="true" hidden="false" outlineLevel="0" max="5" min="5" style="151" width="9.99"/>
    <col collapsed="false" customWidth="true" hidden="false" outlineLevel="0" max="6" min="6" style="151" width="9.85"/>
    <col collapsed="false" customWidth="true" hidden="false" outlineLevel="0" max="7" min="7" style="151" width="16.99"/>
    <col collapsed="false" customWidth="true" hidden="false" outlineLevel="0" max="8" min="8" style="151" width="3.28"/>
    <col collapsed="false" customWidth="true" hidden="false" outlineLevel="0" max="10" min="9" style="151" width="4.14"/>
    <col collapsed="false" customWidth="true" hidden="false" outlineLevel="0" max="11" min="11" style="151" width="3.99"/>
    <col collapsed="false" customWidth="true" hidden="false" outlineLevel="0" max="16" min="12" style="151" width="4.14"/>
    <col collapsed="false" customWidth="false" hidden="false" outlineLevel="0" max="21" min="17" style="152" width="9.14"/>
    <col collapsed="false" customWidth="true" hidden="false" outlineLevel="0" max="22" min="22" style="152" width="16.7"/>
    <col collapsed="false" customWidth="false" hidden="false" outlineLevel="0" max="257" min="23" style="152" width="9.14"/>
  </cols>
  <sheetData>
    <row r="1" customFormat="false" ht="12.75" hidden="false" customHeight="true" outlineLevel="0" collapsed="false">
      <c r="A1" s="153" t="s">
        <v>243</v>
      </c>
      <c r="B1" s="153"/>
      <c r="C1" s="154" t="s">
        <v>244</v>
      </c>
      <c r="D1" s="154"/>
      <c r="E1" s="154"/>
      <c r="F1" s="154"/>
      <c r="G1" s="154"/>
      <c r="H1" s="154" t="s">
        <v>245</v>
      </c>
      <c r="I1" s="154"/>
      <c r="J1" s="154"/>
      <c r="K1" s="154"/>
      <c r="L1" s="154"/>
      <c r="M1" s="154"/>
      <c r="N1" s="155" t="n">
        <v>7</v>
      </c>
      <c r="O1" s="155"/>
      <c r="P1" s="155"/>
    </row>
    <row r="2" customFormat="false" ht="8.25" hidden="false" customHeight="true" outlineLevel="0" collapsed="false">
      <c r="A2" s="153"/>
      <c r="B2" s="153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5"/>
      <c r="O2" s="155"/>
      <c r="P2" s="155"/>
    </row>
    <row r="3" customFormat="false" ht="5.25" hidden="false" customHeight="true" outlineLevel="0" collapsed="false">
      <c r="A3" s="153"/>
      <c r="B3" s="153"/>
      <c r="C3" s="154"/>
      <c r="D3" s="154"/>
      <c r="E3" s="154"/>
      <c r="F3" s="154"/>
      <c r="G3" s="154"/>
      <c r="H3" s="154" t="s">
        <v>246</v>
      </c>
      <c r="I3" s="154"/>
      <c r="J3" s="154"/>
      <c r="K3" s="154"/>
      <c r="L3" s="154"/>
      <c r="M3" s="154"/>
      <c r="N3" s="156" t="n">
        <v>43850</v>
      </c>
      <c r="O3" s="156"/>
      <c r="P3" s="156"/>
    </row>
    <row r="4" customFormat="false" ht="15" hidden="false" customHeight="true" outlineLevel="0" collapsed="false">
      <c r="A4" s="153"/>
      <c r="B4" s="153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6"/>
      <c r="O4" s="156"/>
      <c r="P4" s="156"/>
    </row>
    <row r="5" customFormat="false" ht="13.5" hidden="false" customHeight="true" outlineLevel="0" collapsed="false">
      <c r="A5" s="154" t="s">
        <v>247</v>
      </c>
      <c r="B5" s="154"/>
      <c r="C5" s="154" t="s">
        <v>248</v>
      </c>
      <c r="D5" s="154"/>
      <c r="E5" s="154"/>
      <c r="F5" s="154"/>
      <c r="G5" s="154"/>
      <c r="H5" s="154" t="s">
        <v>249</v>
      </c>
      <c r="I5" s="154"/>
      <c r="J5" s="154"/>
      <c r="K5" s="154"/>
      <c r="L5" s="154"/>
      <c r="M5" s="154"/>
      <c r="N5" s="154"/>
      <c r="O5" s="154"/>
      <c r="P5" s="154"/>
    </row>
    <row r="6" customFormat="false" ht="12.75" hidden="false" customHeight="true" outlineLevel="0" collapsed="false">
      <c r="A6" s="154" t="s">
        <v>250</v>
      </c>
      <c r="B6" s="154" t="s">
        <v>251</v>
      </c>
      <c r="C6" s="157" t="s">
        <v>252</v>
      </c>
      <c r="D6" s="153" t="s">
        <v>253</v>
      </c>
      <c r="E6" s="153" t="s">
        <v>254</v>
      </c>
      <c r="F6" s="154" t="s">
        <v>255</v>
      </c>
      <c r="G6" s="154" t="s">
        <v>256</v>
      </c>
      <c r="H6" s="158" t="s">
        <v>257</v>
      </c>
      <c r="I6" s="158" t="s">
        <v>258</v>
      </c>
      <c r="J6" s="158" t="s">
        <v>259</v>
      </c>
      <c r="K6" s="154" t="s">
        <v>260</v>
      </c>
      <c r="L6" s="154"/>
      <c r="M6" s="154"/>
      <c r="N6" s="154" t="s">
        <v>261</v>
      </c>
      <c r="O6" s="154"/>
      <c r="P6" s="154"/>
    </row>
    <row r="7" customFormat="false" ht="12.75" hidden="false" customHeight="false" outlineLevel="0" collapsed="false">
      <c r="A7" s="154"/>
      <c r="B7" s="154"/>
      <c r="C7" s="157"/>
      <c r="D7" s="153"/>
      <c r="E7" s="153"/>
      <c r="F7" s="153"/>
      <c r="G7" s="153"/>
      <c r="H7" s="158"/>
      <c r="I7" s="158"/>
      <c r="J7" s="158"/>
      <c r="K7" s="159" t="s">
        <v>262</v>
      </c>
      <c r="L7" s="159" t="s">
        <v>263</v>
      </c>
      <c r="M7" s="159" t="s">
        <v>264</v>
      </c>
      <c r="N7" s="159" t="s">
        <v>262</v>
      </c>
      <c r="O7" s="159" t="s">
        <v>263</v>
      </c>
      <c r="P7" s="159" t="s">
        <v>264</v>
      </c>
    </row>
    <row r="8" customFormat="false" ht="6" hidden="false" customHeight="true" outlineLevel="0" collapsed="false">
      <c r="A8" s="154"/>
      <c r="B8" s="154"/>
      <c r="C8" s="157"/>
      <c r="D8" s="153"/>
      <c r="E8" s="153"/>
      <c r="F8" s="153"/>
      <c r="G8" s="153"/>
      <c r="H8" s="158"/>
      <c r="I8" s="158"/>
      <c r="J8" s="158"/>
      <c r="K8" s="159"/>
      <c r="L8" s="159"/>
      <c r="M8" s="159"/>
      <c r="N8" s="159"/>
      <c r="O8" s="159"/>
      <c r="P8" s="159"/>
    </row>
    <row r="9" customFormat="false" ht="12.75" hidden="false" customHeight="true" outlineLevel="0" collapsed="false">
      <c r="A9" s="154"/>
      <c r="B9" s="154"/>
      <c r="C9" s="160" t="s">
        <v>265</v>
      </c>
      <c r="D9" s="154" t="s">
        <v>266</v>
      </c>
      <c r="E9" s="154" t="s">
        <v>267</v>
      </c>
      <c r="F9" s="154" t="s">
        <v>267</v>
      </c>
      <c r="G9" s="154" t="s">
        <v>188</v>
      </c>
      <c r="H9" s="158"/>
      <c r="I9" s="158"/>
      <c r="J9" s="158"/>
      <c r="K9" s="159"/>
      <c r="L9" s="159"/>
      <c r="M9" s="159"/>
      <c r="N9" s="159"/>
      <c r="O9" s="159"/>
      <c r="P9" s="159"/>
    </row>
    <row r="10" customFormat="false" ht="12.75" hidden="false" customHeight="true" outlineLevel="0" collapsed="false">
      <c r="A10" s="161" t="s">
        <v>268</v>
      </c>
      <c r="B10" s="162" t="s">
        <v>198</v>
      </c>
      <c r="C10" s="163" t="s">
        <v>269</v>
      </c>
      <c r="D10" s="164" t="n">
        <f aca="false">ZEMİN!Q32</f>
        <v>8195.348545595</v>
      </c>
      <c r="E10" s="165" t="n">
        <v>17.5</v>
      </c>
      <c r="F10" s="164" t="n">
        <f aca="false">'YERDEN ISITMA'!N10</f>
        <v>14700</v>
      </c>
      <c r="G10" s="166" t="n">
        <v>840</v>
      </c>
      <c r="H10" s="166" t="n">
        <v>1</v>
      </c>
      <c r="I10" s="161" t="s">
        <v>270</v>
      </c>
      <c r="J10" s="161"/>
      <c r="K10" s="161"/>
      <c r="L10" s="161"/>
      <c r="M10" s="161"/>
      <c r="N10" s="161"/>
      <c r="O10" s="161"/>
      <c r="P10" s="161"/>
    </row>
    <row r="11" customFormat="false" ht="12.75" hidden="false" customHeight="false" outlineLevel="0" collapsed="false">
      <c r="A11" s="161" t="s">
        <v>271</v>
      </c>
      <c r="B11" s="161" t="s">
        <v>221</v>
      </c>
      <c r="C11" s="163" t="s">
        <v>272</v>
      </c>
      <c r="D11" s="164" t="n">
        <f aca="false">ZEMİN!Q44</f>
        <v>330.99635004</v>
      </c>
      <c r="E11" s="165" t="n">
        <v>17.5</v>
      </c>
      <c r="F11" s="164" t="n">
        <f aca="false">'YERDEN ISITMA'!N11</f>
        <v>1225</v>
      </c>
      <c r="G11" s="161" t="n">
        <v>70</v>
      </c>
      <c r="H11" s="166" t="n">
        <v>1</v>
      </c>
      <c r="I11" s="161" t="s">
        <v>270</v>
      </c>
      <c r="J11" s="161"/>
      <c r="K11" s="161"/>
      <c r="L11" s="161"/>
      <c r="M11" s="161"/>
      <c r="N11" s="161"/>
      <c r="O11" s="161"/>
      <c r="P11" s="161"/>
    </row>
    <row r="12" customFormat="false" ht="12.75" hidden="false" customHeight="false" outlineLevel="0" collapsed="false">
      <c r="A12" s="161" t="s">
        <v>273</v>
      </c>
      <c r="B12" s="161" t="s">
        <v>225</v>
      </c>
      <c r="C12" s="163" t="s">
        <v>274</v>
      </c>
      <c r="D12" s="164" t="n">
        <f aca="false">ZEMİN!Q57</f>
        <v>239.0901308</v>
      </c>
      <c r="E12" s="165" t="n">
        <v>17.5</v>
      </c>
      <c r="F12" s="164" t="n">
        <f aca="false">'YERDEN ISITMA'!N12</f>
        <v>735</v>
      </c>
      <c r="G12" s="161" t="n">
        <v>42</v>
      </c>
      <c r="H12" s="166" t="n">
        <v>1</v>
      </c>
      <c r="I12" s="161" t="s">
        <v>270</v>
      </c>
      <c r="J12" s="161"/>
      <c r="K12" s="161"/>
      <c r="L12" s="161"/>
      <c r="M12" s="161"/>
      <c r="N12" s="161"/>
      <c r="O12" s="161"/>
      <c r="P12" s="161"/>
    </row>
    <row r="13" customFormat="false" ht="12.75" hidden="false" customHeight="false" outlineLevel="0" collapsed="false">
      <c r="A13" s="161" t="s">
        <v>275</v>
      </c>
      <c r="B13" s="161" t="s">
        <v>228</v>
      </c>
      <c r="C13" s="163" t="s">
        <v>276</v>
      </c>
      <c r="D13" s="164" t="n">
        <f aca="false">ZEMİN!Q71</f>
        <v>1170.62135715</v>
      </c>
      <c r="E13" s="165" t="n">
        <v>17.5</v>
      </c>
      <c r="F13" s="164" t="n">
        <f aca="false">'YERDEN ISITMA'!N13</f>
        <v>2362.5</v>
      </c>
      <c r="G13" s="161" t="n">
        <v>135</v>
      </c>
      <c r="H13" s="166" t="n">
        <v>1</v>
      </c>
      <c r="I13" s="161" t="s">
        <v>270</v>
      </c>
      <c r="J13" s="161"/>
      <c r="K13" s="161"/>
      <c r="L13" s="161"/>
      <c r="M13" s="161"/>
      <c r="N13" s="161"/>
      <c r="O13" s="161"/>
      <c r="P13" s="161"/>
    </row>
    <row r="14" customFormat="false" ht="12.75" hidden="false" customHeight="false" outlineLevel="0" collapsed="false">
      <c r="A14" s="161" t="s">
        <v>277</v>
      </c>
      <c r="B14" s="161" t="s">
        <v>231</v>
      </c>
      <c r="C14" s="163" t="s">
        <v>272</v>
      </c>
      <c r="D14" s="164" t="n">
        <f aca="false">ZEMİN!Q99</f>
        <v>361.362780875</v>
      </c>
      <c r="E14" s="165" t="n">
        <v>17.5</v>
      </c>
      <c r="F14" s="164" t="n">
        <f aca="false">'YERDEN ISITMA'!N14</f>
        <v>490</v>
      </c>
      <c r="G14" s="161" t="n">
        <v>28</v>
      </c>
      <c r="H14" s="166" t="n">
        <v>1</v>
      </c>
      <c r="I14" s="161" t="s">
        <v>270</v>
      </c>
      <c r="J14" s="161"/>
      <c r="K14" s="161"/>
      <c r="L14" s="161"/>
      <c r="M14" s="161"/>
      <c r="N14" s="161"/>
      <c r="O14" s="161"/>
      <c r="P14" s="161"/>
    </row>
    <row r="15" customFormat="false" ht="12.75" hidden="false" customHeight="false" outlineLevel="0" collapsed="false">
      <c r="A15" s="161"/>
      <c r="B15" s="161"/>
      <c r="C15" s="163"/>
      <c r="D15" s="164"/>
      <c r="E15" s="167" t="s">
        <v>278</v>
      </c>
      <c r="F15" s="168" t="n">
        <f aca="false">SUM(F10:F14)</f>
        <v>19512.5</v>
      </c>
      <c r="G15" s="161" t="s">
        <v>193</v>
      </c>
      <c r="H15" s="166"/>
      <c r="I15" s="166"/>
      <c r="J15" s="166"/>
      <c r="K15" s="166"/>
      <c r="L15" s="166"/>
      <c r="M15" s="166"/>
      <c r="N15" s="166"/>
      <c r="O15" s="166"/>
      <c r="P15" s="166"/>
    </row>
    <row r="16" customFormat="false" ht="12.75" hidden="false" customHeight="false" outlineLevel="0" collapsed="false">
      <c r="A16" s="161" t="n">
        <v>101</v>
      </c>
      <c r="B16" s="161" t="s">
        <v>279</v>
      </c>
      <c r="C16" s="163" t="s">
        <v>276</v>
      </c>
      <c r="D16" s="164" t="n">
        <f aca="false">'1 NK'!Q26</f>
        <v>3309.41001315</v>
      </c>
      <c r="E16" s="165" t="n">
        <v>17.5</v>
      </c>
      <c r="F16" s="164" t="n">
        <f aca="false">'YERDEN ISITMA'!N16</f>
        <v>4410</v>
      </c>
      <c r="G16" s="166" t="n">
        <v>252</v>
      </c>
      <c r="H16" s="166" t="n">
        <v>1</v>
      </c>
      <c r="I16" s="161" t="s">
        <v>270</v>
      </c>
      <c r="J16" s="161"/>
      <c r="K16" s="161"/>
      <c r="L16" s="161"/>
      <c r="M16" s="161"/>
      <c r="N16" s="161"/>
      <c r="O16" s="161"/>
      <c r="P16" s="161"/>
    </row>
    <row r="17" customFormat="false" ht="12.75" hidden="false" customHeight="false" outlineLevel="0" collapsed="false">
      <c r="A17" s="161" t="n">
        <v>102</v>
      </c>
      <c r="B17" s="161" t="s">
        <v>221</v>
      </c>
      <c r="C17" s="163" t="s">
        <v>272</v>
      </c>
      <c r="D17" s="164" t="n">
        <f aca="false">'1 NK'!Q38</f>
        <v>385.09058922</v>
      </c>
      <c r="E17" s="165" t="n">
        <v>17.5</v>
      </c>
      <c r="F17" s="164" t="n">
        <f aca="false">'YERDEN ISITMA'!N17</f>
        <v>700</v>
      </c>
      <c r="G17" s="161" t="n">
        <v>40</v>
      </c>
      <c r="H17" s="166" t="n">
        <v>1</v>
      </c>
      <c r="I17" s="161" t="s">
        <v>270</v>
      </c>
      <c r="J17" s="161"/>
      <c r="K17" s="161"/>
      <c r="L17" s="161"/>
      <c r="M17" s="161"/>
      <c r="N17" s="161"/>
      <c r="O17" s="161"/>
      <c r="P17" s="161"/>
    </row>
    <row r="18" customFormat="false" ht="12.75" hidden="false" customHeight="false" outlineLevel="0" collapsed="false">
      <c r="A18" s="161" t="n">
        <v>103</v>
      </c>
      <c r="B18" s="161" t="s">
        <v>280</v>
      </c>
      <c r="C18" s="163" t="s">
        <v>274</v>
      </c>
      <c r="D18" s="164" t="n">
        <f aca="false">'1 NK'!Q50</f>
        <v>625.2444024</v>
      </c>
      <c r="E18" s="165" t="n">
        <v>17.5</v>
      </c>
      <c r="F18" s="164" t="n">
        <f aca="false">'YERDEN ISITMA'!N18</f>
        <v>962.5</v>
      </c>
      <c r="G18" s="161" t="n">
        <v>55</v>
      </c>
      <c r="H18" s="166" t="n">
        <v>1</v>
      </c>
      <c r="I18" s="161" t="s">
        <v>270</v>
      </c>
      <c r="J18" s="161"/>
      <c r="K18" s="161"/>
      <c r="L18" s="161"/>
      <c r="M18" s="161"/>
      <c r="N18" s="161"/>
      <c r="O18" s="161"/>
      <c r="P18" s="161"/>
    </row>
    <row r="19" customFormat="false" ht="12.75" hidden="false" customHeight="false" outlineLevel="0" collapsed="false">
      <c r="A19" s="161" t="n">
        <v>104</v>
      </c>
      <c r="B19" s="161" t="s">
        <v>228</v>
      </c>
      <c r="C19" s="163" t="s">
        <v>276</v>
      </c>
      <c r="D19" s="164" t="n">
        <f aca="false">'1 NK'!Q65</f>
        <v>1190.2030057</v>
      </c>
      <c r="E19" s="165" t="n">
        <v>17.5</v>
      </c>
      <c r="F19" s="164" t="n">
        <f aca="false">'YERDEN ISITMA'!N19</f>
        <v>2327.5</v>
      </c>
      <c r="G19" s="161" t="n">
        <v>133</v>
      </c>
      <c r="H19" s="166" t="n">
        <v>1</v>
      </c>
      <c r="I19" s="161" t="s">
        <v>270</v>
      </c>
      <c r="J19" s="161"/>
      <c r="K19" s="161"/>
      <c r="L19" s="161"/>
      <c r="M19" s="161"/>
      <c r="N19" s="161"/>
      <c r="O19" s="161"/>
      <c r="P19" s="161"/>
    </row>
    <row r="20" customFormat="false" ht="12.75" hidden="false" customHeight="false" outlineLevel="0" collapsed="false">
      <c r="A20" s="161" t="n">
        <v>105</v>
      </c>
      <c r="B20" s="161" t="s">
        <v>221</v>
      </c>
      <c r="C20" s="163" t="s">
        <v>272</v>
      </c>
      <c r="D20" s="164" t="n">
        <f aca="false">'1 NK'!Q78</f>
        <v>508.987361</v>
      </c>
      <c r="E20" s="165" t="n">
        <v>17.5</v>
      </c>
      <c r="F20" s="164" t="n">
        <f aca="false">'YERDEN ISITMA'!N20</f>
        <v>1312.5</v>
      </c>
      <c r="G20" s="161" t="n">
        <v>75</v>
      </c>
      <c r="H20" s="166" t="n">
        <v>1</v>
      </c>
      <c r="I20" s="161" t="s">
        <v>270</v>
      </c>
      <c r="J20" s="161"/>
      <c r="K20" s="161"/>
      <c r="L20" s="161"/>
      <c r="M20" s="161"/>
      <c r="N20" s="161"/>
      <c r="O20" s="161"/>
      <c r="P20" s="161"/>
    </row>
    <row r="21" customFormat="false" ht="12.75" hidden="false" customHeight="false" outlineLevel="0" collapsed="false">
      <c r="A21" s="161" t="n">
        <v>106</v>
      </c>
      <c r="B21" s="161" t="s">
        <v>239</v>
      </c>
      <c r="C21" s="163" t="s">
        <v>281</v>
      </c>
      <c r="D21" s="164" t="n">
        <f aca="false">'1 NK'!Q104</f>
        <v>349.92654526</v>
      </c>
      <c r="E21" s="165" t="n">
        <v>17.5</v>
      </c>
      <c r="F21" s="164" t="n">
        <f aca="false">'YERDEN ISITMA'!N21</f>
        <v>490</v>
      </c>
      <c r="G21" s="161" t="n">
        <v>28</v>
      </c>
      <c r="H21" s="166" t="n">
        <v>1</v>
      </c>
      <c r="I21" s="161" t="s">
        <v>270</v>
      </c>
      <c r="J21" s="161"/>
      <c r="K21" s="161"/>
      <c r="L21" s="161"/>
      <c r="M21" s="161"/>
      <c r="N21" s="161"/>
      <c r="O21" s="161"/>
      <c r="P21" s="161"/>
    </row>
    <row r="22" customFormat="false" ht="12.75" hidden="false" customHeight="false" outlineLevel="0" collapsed="false">
      <c r="A22" s="161" t="n">
        <v>107</v>
      </c>
      <c r="B22" s="161" t="s">
        <v>228</v>
      </c>
      <c r="C22" s="163" t="s">
        <v>276</v>
      </c>
      <c r="D22" s="164" t="n">
        <f aca="false">'1 NK'!Q118</f>
        <v>1830.633002095</v>
      </c>
      <c r="E22" s="165" t="n">
        <v>17.5</v>
      </c>
      <c r="F22" s="164" t="n">
        <f aca="false">'YERDEN ISITMA'!N22</f>
        <v>3027.5</v>
      </c>
      <c r="G22" s="161" t="n">
        <v>173</v>
      </c>
      <c r="H22" s="166" t="n">
        <v>1</v>
      </c>
      <c r="I22" s="161" t="s">
        <v>270</v>
      </c>
      <c r="J22" s="161"/>
      <c r="K22" s="161"/>
      <c r="L22" s="161"/>
      <c r="M22" s="161"/>
      <c r="N22" s="161"/>
      <c r="O22" s="161"/>
      <c r="P22" s="161"/>
    </row>
    <row r="23" customFormat="false" ht="12.75" hidden="false" customHeight="false" outlineLevel="0" collapsed="false">
      <c r="A23" s="161" t="n">
        <v>108</v>
      </c>
      <c r="B23" s="161" t="s">
        <v>228</v>
      </c>
      <c r="C23" s="163" t="s">
        <v>276</v>
      </c>
      <c r="D23" s="164" t="n">
        <f aca="false">'1 NK'!Q131</f>
        <v>1655.110723595</v>
      </c>
      <c r="E23" s="165" t="n">
        <v>17.5</v>
      </c>
      <c r="F23" s="164" t="n">
        <f aca="false">'YERDEN ISITMA'!N23</f>
        <v>3045</v>
      </c>
      <c r="G23" s="161" t="n">
        <v>174</v>
      </c>
      <c r="H23" s="166" t="n">
        <v>1</v>
      </c>
      <c r="I23" s="161" t="s">
        <v>270</v>
      </c>
      <c r="J23" s="161"/>
      <c r="K23" s="161"/>
      <c r="L23" s="161"/>
      <c r="M23" s="161"/>
      <c r="N23" s="161"/>
      <c r="O23" s="161"/>
      <c r="P23" s="161"/>
    </row>
    <row r="24" customFormat="false" ht="12.75" hidden="false" customHeight="false" outlineLevel="0" collapsed="false">
      <c r="A24" s="161"/>
      <c r="B24" s="161"/>
      <c r="C24" s="163"/>
      <c r="D24" s="164"/>
      <c r="E24" s="167" t="s">
        <v>278</v>
      </c>
      <c r="F24" s="168" t="n">
        <f aca="false">SUM(F16:F23)</f>
        <v>16275</v>
      </c>
      <c r="G24" s="161" t="s">
        <v>193</v>
      </c>
      <c r="H24" s="166"/>
      <c r="I24" s="166"/>
      <c r="J24" s="166"/>
      <c r="K24" s="166"/>
      <c r="L24" s="166"/>
      <c r="M24" s="166"/>
      <c r="N24" s="166"/>
      <c r="O24" s="166"/>
      <c r="P24" s="166"/>
    </row>
  </sheetData>
  <mergeCells count="40">
    <mergeCell ref="A1:B4"/>
    <mergeCell ref="C1:G4"/>
    <mergeCell ref="H1:M2"/>
    <mergeCell ref="N1:P2"/>
    <mergeCell ref="H3:M4"/>
    <mergeCell ref="N3:P4"/>
    <mergeCell ref="A5:B5"/>
    <mergeCell ref="C5:G5"/>
    <mergeCell ref="H5:P5"/>
    <mergeCell ref="A6:A9"/>
    <mergeCell ref="B6:B9"/>
    <mergeCell ref="C6:C8"/>
    <mergeCell ref="D6:D8"/>
    <mergeCell ref="E6:E8"/>
    <mergeCell ref="F6:F8"/>
    <mergeCell ref="G6:G8"/>
    <mergeCell ref="H6:H9"/>
    <mergeCell ref="I6:I9"/>
    <mergeCell ref="J6:J9"/>
    <mergeCell ref="K6:M6"/>
    <mergeCell ref="N6:P6"/>
    <mergeCell ref="K7:K9"/>
    <mergeCell ref="L7:L9"/>
    <mergeCell ref="M7:M9"/>
    <mergeCell ref="N7:N9"/>
    <mergeCell ref="O7:O9"/>
    <mergeCell ref="P7:P9"/>
    <mergeCell ref="I10:P10"/>
    <mergeCell ref="I11:P11"/>
    <mergeCell ref="I12:P12"/>
    <mergeCell ref="I13:P13"/>
    <mergeCell ref="I14:P14"/>
    <mergeCell ref="I16:P16"/>
    <mergeCell ref="I17:P17"/>
    <mergeCell ref="I18:P18"/>
    <mergeCell ref="I19:P19"/>
    <mergeCell ref="I20:P20"/>
    <mergeCell ref="I21:P21"/>
    <mergeCell ref="I22:P22"/>
    <mergeCell ref="I23:P23"/>
  </mergeCells>
  <conditionalFormatting sqref="F10 F12:F14 F16:F20 F23">
    <cfRule type="cellIs" priority="2" operator="lessThan" aboveAverage="0" equalAverage="0" bottom="0" percent="0" rank="0" text="" dxfId="0">
      <formula>D10</formula>
    </cfRule>
  </conditionalFormatting>
  <conditionalFormatting sqref="G10 G18 G12 G16">
    <cfRule type="cellIs" priority="3" operator="greaterThan" aboveAverage="0" equalAverage="0" bottom="0" percent="0" rank="0" text="" dxfId="1">
      <formula>D10*1.4</formula>
    </cfRule>
  </conditionalFormatting>
  <conditionalFormatting sqref="F15">
    <cfRule type="cellIs" priority="4" operator="lessThan" aboveAverage="0" equalAverage="0" bottom="0" percent="0" rank="0" text="" dxfId="2">
      <formula>D15</formula>
    </cfRule>
  </conditionalFormatting>
  <conditionalFormatting sqref="G15">
    <cfRule type="cellIs" priority="5" operator="greaterThan" aboveAverage="0" equalAverage="0" bottom="0" percent="0" rank="0" text="" dxfId="3">
      <formula>D15*1.4</formula>
    </cfRule>
  </conditionalFormatting>
  <conditionalFormatting sqref="F24">
    <cfRule type="cellIs" priority="6" operator="lessThan" aboveAverage="0" equalAverage="0" bottom="0" percent="0" rank="0" text="" dxfId="4">
      <formula>D24</formula>
    </cfRule>
  </conditionalFormatting>
  <conditionalFormatting sqref="G24">
    <cfRule type="cellIs" priority="7" operator="greaterThan" aboveAverage="0" equalAverage="0" bottom="0" percent="0" rank="0" text="" dxfId="5">
      <formula>D24*1.4</formula>
    </cfRule>
  </conditionalFormatting>
  <conditionalFormatting sqref="G19">
    <cfRule type="cellIs" priority="8" operator="greaterThan" aboveAverage="0" equalAverage="0" bottom="0" percent="0" rank="0" text="" dxfId="6">
      <formula>D19*1.4</formula>
    </cfRule>
  </conditionalFormatting>
  <conditionalFormatting sqref="G23">
    <cfRule type="cellIs" priority="9" operator="greaterThan" aboveAverage="0" equalAverage="0" bottom="0" percent="0" rank="0" text="" dxfId="7">
      <formula>D23*1.4</formula>
    </cfRule>
  </conditionalFormatting>
  <conditionalFormatting sqref="G20">
    <cfRule type="cellIs" priority="10" operator="greaterThan" aboveAverage="0" equalAverage="0" bottom="0" percent="0" rank="0" text="" dxfId="8">
      <formula>D20*1.4</formula>
    </cfRule>
  </conditionalFormatting>
  <conditionalFormatting sqref="G13">
    <cfRule type="cellIs" priority="11" operator="greaterThan" aboveAverage="0" equalAverage="0" bottom="0" percent="0" rank="0" text="" dxfId="9">
      <formula>D13*1.4</formula>
    </cfRule>
  </conditionalFormatting>
  <conditionalFormatting sqref="G14">
    <cfRule type="cellIs" priority="12" operator="greaterThan" aboveAverage="0" equalAverage="0" bottom="0" percent="0" rank="0" text="" dxfId="10">
      <formula>D14*1.4</formula>
    </cfRule>
  </conditionalFormatting>
  <conditionalFormatting sqref="G17">
    <cfRule type="cellIs" priority="13" operator="greaterThan" aboveAverage="0" equalAverage="0" bottom="0" percent="0" rank="0" text="" dxfId="11">
      <formula>D17*1.4</formula>
    </cfRule>
  </conditionalFormatting>
  <conditionalFormatting sqref="F11">
    <cfRule type="cellIs" priority="14" operator="lessThan" aboveAverage="0" equalAverage="0" bottom="0" percent="0" rank="0" text="" dxfId="12">
      <formula>D11</formula>
    </cfRule>
  </conditionalFormatting>
  <conditionalFormatting sqref="G11">
    <cfRule type="cellIs" priority="15" operator="greaterThan" aboveAverage="0" equalAverage="0" bottom="0" percent="0" rank="0" text="" dxfId="13">
      <formula>D11*1.4</formula>
    </cfRule>
  </conditionalFormatting>
  <conditionalFormatting sqref="F21:F22">
    <cfRule type="cellIs" priority="16" operator="lessThan" aboveAverage="0" equalAverage="0" bottom="0" percent="0" rank="0" text="" dxfId="14">
      <formula>D21</formula>
    </cfRule>
  </conditionalFormatting>
  <conditionalFormatting sqref="G21:G22">
    <cfRule type="cellIs" priority="17" operator="greaterThan" aboveAverage="0" equalAverage="0" bottom="0" percent="0" rank="0" text="" dxfId="15">
      <formula>D21*1.4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U23"/>
  <sheetViews>
    <sheetView showFormulas="false" showGridLines="true" showRowColHeaders="true" showZeros="true" rightToLeft="false" tabSelected="false" showOutlineSymbols="true" defaultGridColor="true" view="normal" topLeftCell="A10" colorId="64" zoomScale="115" zoomScaleNormal="115" zoomScalePageLayoutView="100" workbookViewId="0">
      <selection pane="topLeft" activeCell="D23" activeCellId="0" sqref="D23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7.56"/>
    <col collapsed="false" customWidth="true" hidden="false" outlineLevel="0" max="2" min="2" style="0" width="16.42"/>
    <col collapsed="false" customWidth="true" hidden="false" outlineLevel="0" max="3" min="3" style="0" width="7.56"/>
    <col collapsed="false" customWidth="true" hidden="false" outlineLevel="0" max="4" min="4" style="169" width="8.41"/>
    <col collapsed="false" customWidth="true" hidden="false" outlineLevel="0" max="5" min="5" style="0" width="7.42"/>
    <col collapsed="false" customWidth="true" hidden="false" outlineLevel="0" max="9" min="9" style="0" width="7.7"/>
    <col collapsed="false" customWidth="true" hidden="false" outlineLevel="0" max="12" min="12" style="0" width="11.7"/>
    <col collapsed="false" customWidth="true" hidden="false" outlineLevel="0" max="13" min="13" style="0" width="12.28"/>
    <col collapsed="false" customWidth="true" hidden="false" outlineLevel="0" max="14" min="14" style="0" width="7.56"/>
  </cols>
  <sheetData>
    <row r="1" customFormat="false" ht="12.75" hidden="false" customHeight="true" outlineLevel="0" collapsed="false">
      <c r="A1" s="170" t="s">
        <v>243</v>
      </c>
      <c r="B1" s="170"/>
      <c r="C1" s="171" t="s">
        <v>282</v>
      </c>
      <c r="D1" s="171"/>
      <c r="E1" s="171"/>
      <c r="F1" s="171"/>
      <c r="G1" s="171"/>
      <c r="H1" s="154" t="s">
        <v>245</v>
      </c>
      <c r="I1" s="154"/>
      <c r="J1" s="154"/>
      <c r="K1" s="154"/>
      <c r="L1" s="155" t="n">
        <v>8</v>
      </c>
      <c r="M1" s="155"/>
      <c r="N1" s="155"/>
      <c r="O1" s="172"/>
      <c r="P1" s="172"/>
    </row>
    <row r="2" customFormat="false" ht="12.75" hidden="false" customHeight="false" outlineLevel="0" collapsed="false">
      <c r="A2" s="170"/>
      <c r="B2" s="170"/>
      <c r="C2" s="171"/>
      <c r="D2" s="171"/>
      <c r="E2" s="171"/>
      <c r="F2" s="171"/>
      <c r="G2" s="171"/>
      <c r="H2" s="154"/>
      <c r="I2" s="154"/>
      <c r="J2" s="154"/>
      <c r="K2" s="154"/>
      <c r="L2" s="155"/>
      <c r="M2" s="155"/>
      <c r="N2" s="155"/>
      <c r="O2" s="172"/>
      <c r="P2" s="172"/>
    </row>
    <row r="3" customFormat="false" ht="14.25" hidden="false" customHeight="false" outlineLevel="0" collapsed="false">
      <c r="A3" s="170"/>
      <c r="B3" s="170"/>
      <c r="C3" s="171"/>
      <c r="D3" s="171"/>
      <c r="E3" s="171"/>
      <c r="F3" s="171"/>
      <c r="G3" s="171"/>
      <c r="H3" s="171" t="s">
        <v>246</v>
      </c>
      <c r="I3" s="171"/>
      <c r="J3" s="171"/>
      <c r="K3" s="171"/>
      <c r="L3" s="156" t="n">
        <f aca="false">kapak!G41</f>
        <v>44211</v>
      </c>
      <c r="M3" s="156"/>
      <c r="N3" s="156"/>
      <c r="O3" s="172"/>
      <c r="P3" s="172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Q3" s="173"/>
      <c r="AR3" s="173"/>
      <c r="AS3" s="173"/>
      <c r="AT3" s="173"/>
      <c r="AU3" s="173"/>
      <c r="AV3" s="173"/>
      <c r="AW3" s="173"/>
      <c r="AX3" s="173"/>
      <c r="AY3" s="173"/>
      <c r="AZ3" s="173"/>
      <c r="BA3" s="173"/>
      <c r="BB3" s="173"/>
      <c r="BC3" s="173"/>
      <c r="BD3" s="173"/>
      <c r="BE3" s="173"/>
      <c r="BF3" s="173"/>
      <c r="BG3" s="173"/>
      <c r="BH3" s="173"/>
      <c r="BI3" s="173"/>
      <c r="BJ3" s="173"/>
      <c r="BK3" s="173"/>
      <c r="BL3" s="173"/>
      <c r="BM3" s="173"/>
      <c r="BN3" s="173"/>
      <c r="BO3" s="173"/>
      <c r="BP3" s="173"/>
      <c r="BQ3" s="173"/>
      <c r="BR3" s="173"/>
      <c r="BS3" s="173"/>
      <c r="BT3" s="173"/>
      <c r="BU3" s="173"/>
      <c r="BV3" s="173"/>
      <c r="BW3" s="173"/>
      <c r="BX3" s="173"/>
      <c r="BY3" s="173"/>
      <c r="BZ3" s="173"/>
      <c r="CA3" s="173"/>
      <c r="CB3" s="173"/>
      <c r="CC3" s="173"/>
      <c r="CD3" s="173"/>
      <c r="CE3" s="173"/>
      <c r="CF3" s="173"/>
      <c r="CG3" s="173"/>
      <c r="CH3" s="173"/>
      <c r="CI3" s="173"/>
      <c r="CJ3" s="173"/>
      <c r="CK3" s="173"/>
      <c r="CL3" s="173"/>
      <c r="CM3" s="173"/>
      <c r="CN3" s="173"/>
      <c r="CO3" s="173"/>
      <c r="CP3" s="173"/>
      <c r="CQ3" s="173"/>
      <c r="CR3" s="173"/>
      <c r="CS3" s="173"/>
      <c r="CT3" s="173"/>
      <c r="CU3" s="173"/>
      <c r="CV3" s="173"/>
      <c r="CW3" s="173"/>
      <c r="CX3" s="173"/>
      <c r="CY3" s="173"/>
      <c r="CZ3" s="173"/>
      <c r="DA3" s="173"/>
      <c r="DB3" s="173"/>
      <c r="DC3" s="173"/>
      <c r="DD3" s="173"/>
      <c r="DE3" s="173"/>
      <c r="DF3" s="173"/>
      <c r="DG3" s="173"/>
      <c r="DH3" s="173"/>
      <c r="DI3" s="173"/>
      <c r="DJ3" s="173"/>
      <c r="DK3" s="173"/>
      <c r="DL3" s="173"/>
      <c r="DM3" s="173"/>
      <c r="DN3" s="173"/>
      <c r="DO3" s="173"/>
      <c r="DP3" s="173"/>
      <c r="DQ3" s="173"/>
      <c r="DR3" s="173"/>
      <c r="DS3" s="173"/>
      <c r="DT3" s="173"/>
      <c r="DU3" s="173"/>
      <c r="DV3" s="173"/>
      <c r="DW3" s="173"/>
      <c r="DX3" s="173"/>
      <c r="DY3" s="173"/>
      <c r="DZ3" s="173"/>
      <c r="EA3" s="173"/>
      <c r="EB3" s="173"/>
      <c r="EC3" s="173"/>
      <c r="ED3" s="173"/>
      <c r="EE3" s="173"/>
      <c r="EF3" s="173"/>
      <c r="EG3" s="173"/>
      <c r="EH3" s="173"/>
      <c r="EI3" s="173"/>
      <c r="EJ3" s="173"/>
      <c r="EK3" s="173"/>
      <c r="EL3" s="173"/>
      <c r="EM3" s="173"/>
      <c r="EN3" s="173"/>
      <c r="EO3" s="173"/>
      <c r="EP3" s="173"/>
      <c r="EQ3" s="173"/>
      <c r="ER3" s="173"/>
      <c r="ES3" s="173"/>
      <c r="ET3" s="173"/>
      <c r="EU3" s="173"/>
      <c r="EV3" s="173"/>
      <c r="EW3" s="173"/>
      <c r="EX3" s="173"/>
      <c r="EY3" s="173"/>
      <c r="EZ3" s="173"/>
      <c r="FA3" s="173"/>
      <c r="FB3" s="173"/>
      <c r="FC3" s="173"/>
      <c r="FD3" s="173"/>
      <c r="FE3" s="173"/>
      <c r="FF3" s="173"/>
      <c r="FG3" s="173"/>
      <c r="FH3" s="173"/>
      <c r="FI3" s="173"/>
      <c r="FJ3" s="173"/>
      <c r="FK3" s="173"/>
      <c r="FL3" s="173"/>
      <c r="FM3" s="173"/>
      <c r="FN3" s="173"/>
      <c r="FO3" s="173"/>
      <c r="FP3" s="173"/>
      <c r="FQ3" s="173"/>
      <c r="FR3" s="173"/>
      <c r="FS3" s="173"/>
      <c r="FT3" s="173"/>
      <c r="FU3" s="173"/>
      <c r="FV3" s="173"/>
      <c r="FW3" s="173"/>
      <c r="FX3" s="173"/>
      <c r="FY3" s="173"/>
      <c r="FZ3" s="173"/>
      <c r="GA3" s="173"/>
      <c r="GB3" s="173"/>
      <c r="GC3" s="173"/>
      <c r="GD3" s="173"/>
      <c r="GE3" s="173"/>
      <c r="GF3" s="173"/>
      <c r="GG3" s="173"/>
      <c r="GH3" s="173"/>
      <c r="GI3" s="173"/>
      <c r="GJ3" s="173"/>
      <c r="GK3" s="173"/>
      <c r="GL3" s="173"/>
      <c r="GM3" s="173"/>
      <c r="GN3" s="173"/>
      <c r="GO3" s="173"/>
      <c r="GP3" s="173"/>
      <c r="GQ3" s="173"/>
      <c r="GR3" s="173"/>
      <c r="GS3" s="173"/>
      <c r="GT3" s="173"/>
      <c r="GU3" s="173"/>
      <c r="GV3" s="173"/>
      <c r="GW3" s="173"/>
      <c r="GX3" s="173"/>
      <c r="GY3" s="173"/>
      <c r="GZ3" s="173"/>
      <c r="HA3" s="173"/>
      <c r="HB3" s="173"/>
      <c r="HC3" s="173"/>
      <c r="HD3" s="173"/>
      <c r="HE3" s="173"/>
      <c r="HF3" s="173"/>
      <c r="HG3" s="173"/>
      <c r="HH3" s="173"/>
      <c r="HI3" s="173"/>
      <c r="HJ3" s="173"/>
      <c r="HK3" s="173"/>
      <c r="HL3" s="173"/>
      <c r="HM3" s="173"/>
      <c r="HN3" s="173"/>
      <c r="HO3" s="173"/>
      <c r="HP3" s="173"/>
      <c r="HQ3" s="173"/>
      <c r="HR3" s="173"/>
      <c r="HS3" s="173"/>
      <c r="HT3" s="173"/>
      <c r="HU3" s="173"/>
      <c r="HV3" s="173"/>
      <c r="HW3" s="173"/>
      <c r="HX3" s="173"/>
      <c r="HY3" s="173"/>
      <c r="HZ3" s="173"/>
      <c r="IA3" s="173"/>
      <c r="IB3" s="173"/>
      <c r="IC3" s="173"/>
      <c r="ID3" s="173"/>
      <c r="IE3" s="173"/>
      <c r="IF3" s="173"/>
      <c r="IG3" s="173"/>
      <c r="IH3" s="173"/>
      <c r="II3" s="173"/>
      <c r="IJ3" s="173"/>
      <c r="IK3" s="173"/>
      <c r="IL3" s="173"/>
      <c r="IM3" s="173"/>
      <c r="IN3" s="173"/>
      <c r="IO3" s="173"/>
      <c r="IP3" s="173"/>
      <c r="IQ3" s="173"/>
      <c r="IR3" s="173"/>
      <c r="IS3" s="173"/>
      <c r="IT3" s="173"/>
      <c r="IU3" s="173"/>
    </row>
    <row r="4" customFormat="false" ht="14.25" hidden="false" customHeight="false" outlineLevel="0" collapsed="false">
      <c r="A4" s="170"/>
      <c r="B4" s="170"/>
      <c r="C4" s="171"/>
      <c r="D4" s="171"/>
      <c r="E4" s="171"/>
      <c r="F4" s="171"/>
      <c r="G4" s="171"/>
      <c r="H4" s="171"/>
      <c r="I4" s="171"/>
      <c r="J4" s="171"/>
      <c r="K4" s="171"/>
      <c r="L4" s="156"/>
      <c r="M4" s="156"/>
      <c r="N4" s="156"/>
      <c r="O4" s="172"/>
      <c r="P4" s="172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3"/>
      <c r="AP4" s="173"/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3"/>
      <c r="BL4" s="173"/>
      <c r="BM4" s="173"/>
      <c r="BN4" s="173"/>
      <c r="BO4" s="173"/>
      <c r="BP4" s="173"/>
      <c r="BQ4" s="173"/>
      <c r="BR4" s="173"/>
      <c r="BS4" s="173"/>
      <c r="BT4" s="173"/>
      <c r="BU4" s="173"/>
      <c r="BV4" s="173"/>
      <c r="BW4" s="173"/>
      <c r="BX4" s="173"/>
      <c r="BY4" s="173"/>
      <c r="BZ4" s="173"/>
      <c r="CA4" s="173"/>
      <c r="CB4" s="173"/>
      <c r="CC4" s="173"/>
      <c r="CD4" s="173"/>
      <c r="CE4" s="173"/>
      <c r="CF4" s="173"/>
      <c r="CG4" s="173"/>
      <c r="CH4" s="173"/>
      <c r="CI4" s="173"/>
      <c r="CJ4" s="173"/>
      <c r="CK4" s="173"/>
      <c r="CL4" s="173"/>
      <c r="CM4" s="173"/>
      <c r="CN4" s="173"/>
      <c r="CO4" s="173"/>
      <c r="CP4" s="173"/>
      <c r="CQ4" s="173"/>
      <c r="CR4" s="173"/>
      <c r="CS4" s="173"/>
      <c r="CT4" s="173"/>
      <c r="CU4" s="173"/>
      <c r="CV4" s="173"/>
      <c r="CW4" s="173"/>
      <c r="CX4" s="173"/>
      <c r="CY4" s="173"/>
      <c r="CZ4" s="173"/>
      <c r="DA4" s="173"/>
      <c r="DB4" s="173"/>
      <c r="DC4" s="173"/>
      <c r="DD4" s="173"/>
      <c r="DE4" s="173"/>
      <c r="DF4" s="173"/>
      <c r="DG4" s="173"/>
      <c r="DH4" s="173"/>
      <c r="DI4" s="173"/>
      <c r="DJ4" s="173"/>
      <c r="DK4" s="173"/>
      <c r="DL4" s="173"/>
      <c r="DM4" s="173"/>
      <c r="DN4" s="173"/>
      <c r="DO4" s="173"/>
      <c r="DP4" s="173"/>
      <c r="DQ4" s="173"/>
      <c r="DR4" s="173"/>
      <c r="DS4" s="173"/>
      <c r="DT4" s="173"/>
      <c r="DU4" s="173"/>
      <c r="DV4" s="173"/>
      <c r="DW4" s="173"/>
      <c r="DX4" s="173"/>
      <c r="DY4" s="173"/>
      <c r="DZ4" s="173"/>
      <c r="EA4" s="173"/>
      <c r="EB4" s="173"/>
      <c r="EC4" s="173"/>
      <c r="ED4" s="173"/>
      <c r="EE4" s="173"/>
      <c r="EF4" s="173"/>
      <c r="EG4" s="173"/>
      <c r="EH4" s="173"/>
      <c r="EI4" s="173"/>
      <c r="EJ4" s="173"/>
      <c r="EK4" s="173"/>
      <c r="EL4" s="173"/>
      <c r="EM4" s="173"/>
      <c r="EN4" s="173"/>
      <c r="EO4" s="173"/>
      <c r="EP4" s="173"/>
      <c r="EQ4" s="173"/>
      <c r="ER4" s="173"/>
      <c r="ES4" s="173"/>
      <c r="ET4" s="173"/>
      <c r="EU4" s="173"/>
      <c r="EV4" s="173"/>
      <c r="EW4" s="173"/>
      <c r="EX4" s="173"/>
      <c r="EY4" s="173"/>
      <c r="EZ4" s="173"/>
      <c r="FA4" s="173"/>
      <c r="FB4" s="173"/>
      <c r="FC4" s="173"/>
      <c r="FD4" s="173"/>
      <c r="FE4" s="173"/>
      <c r="FF4" s="173"/>
      <c r="FG4" s="173"/>
      <c r="FH4" s="173"/>
      <c r="FI4" s="173"/>
      <c r="FJ4" s="173"/>
      <c r="FK4" s="173"/>
      <c r="FL4" s="173"/>
      <c r="FM4" s="173"/>
      <c r="FN4" s="173"/>
      <c r="FO4" s="173"/>
      <c r="FP4" s="173"/>
      <c r="FQ4" s="173"/>
      <c r="FR4" s="173"/>
      <c r="FS4" s="173"/>
      <c r="FT4" s="173"/>
      <c r="FU4" s="173"/>
      <c r="FV4" s="173"/>
      <c r="FW4" s="173"/>
      <c r="FX4" s="173"/>
      <c r="FY4" s="173"/>
      <c r="FZ4" s="173"/>
      <c r="GA4" s="173"/>
      <c r="GB4" s="173"/>
      <c r="GC4" s="173"/>
      <c r="GD4" s="173"/>
      <c r="GE4" s="173"/>
      <c r="GF4" s="173"/>
      <c r="GG4" s="173"/>
      <c r="GH4" s="173"/>
      <c r="GI4" s="173"/>
      <c r="GJ4" s="173"/>
      <c r="GK4" s="173"/>
      <c r="GL4" s="173"/>
      <c r="GM4" s="173"/>
      <c r="GN4" s="173"/>
      <c r="GO4" s="173"/>
      <c r="GP4" s="173"/>
      <c r="GQ4" s="173"/>
      <c r="GR4" s="173"/>
      <c r="GS4" s="173"/>
      <c r="GT4" s="173"/>
      <c r="GU4" s="173"/>
      <c r="GV4" s="173"/>
      <c r="GW4" s="173"/>
      <c r="GX4" s="173"/>
      <c r="GY4" s="173"/>
      <c r="GZ4" s="173"/>
      <c r="HA4" s="173"/>
      <c r="HB4" s="173"/>
      <c r="HC4" s="173"/>
      <c r="HD4" s="173"/>
      <c r="HE4" s="173"/>
      <c r="HF4" s="173"/>
      <c r="HG4" s="173"/>
      <c r="HH4" s="173"/>
      <c r="HI4" s="173"/>
      <c r="HJ4" s="173"/>
      <c r="HK4" s="173"/>
      <c r="HL4" s="173"/>
      <c r="HM4" s="173"/>
      <c r="HN4" s="173"/>
      <c r="HO4" s="173"/>
      <c r="HP4" s="173"/>
      <c r="HQ4" s="173"/>
      <c r="HR4" s="173"/>
      <c r="HS4" s="173"/>
      <c r="HT4" s="173"/>
      <c r="HU4" s="173"/>
      <c r="HV4" s="173"/>
      <c r="HW4" s="173"/>
      <c r="HX4" s="173"/>
      <c r="HY4" s="173"/>
      <c r="HZ4" s="173"/>
      <c r="IA4" s="173"/>
      <c r="IB4" s="173"/>
      <c r="IC4" s="173"/>
      <c r="ID4" s="173"/>
      <c r="IE4" s="173"/>
      <c r="IF4" s="173"/>
      <c r="IG4" s="173"/>
      <c r="IH4" s="173"/>
      <c r="II4" s="173"/>
      <c r="IJ4" s="173"/>
      <c r="IK4" s="173"/>
      <c r="IL4" s="173"/>
      <c r="IM4" s="173"/>
      <c r="IN4" s="173"/>
      <c r="IO4" s="173"/>
      <c r="IP4" s="173"/>
      <c r="IQ4" s="173"/>
      <c r="IR4" s="173"/>
      <c r="IS4" s="173"/>
      <c r="IT4" s="173"/>
      <c r="IU4" s="173"/>
    </row>
    <row r="5" customFormat="false" ht="14.25" hidden="false" customHeight="true" outlineLevel="0" collapsed="false">
      <c r="A5" s="174" t="s">
        <v>283</v>
      </c>
      <c r="B5" s="174"/>
      <c r="C5" s="174"/>
      <c r="D5" s="174"/>
      <c r="E5" s="174"/>
      <c r="F5" s="174"/>
      <c r="G5" s="174"/>
      <c r="H5" s="174" t="str">
        <f aca="false">kapak!C31</f>
        <v>MEHMET DAL - A-B-C-D BLOK</v>
      </c>
      <c r="I5" s="174"/>
      <c r="J5" s="174"/>
      <c r="K5" s="174"/>
      <c r="L5" s="174"/>
      <c r="M5" s="174"/>
      <c r="N5" s="174"/>
      <c r="O5" s="173"/>
      <c r="P5" s="175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3"/>
      <c r="AQ5" s="173"/>
      <c r="AR5" s="173"/>
      <c r="AS5" s="173"/>
      <c r="AT5" s="173"/>
      <c r="AU5" s="173"/>
      <c r="AV5" s="173"/>
      <c r="AW5" s="173"/>
      <c r="AX5" s="173"/>
      <c r="AY5" s="173"/>
      <c r="AZ5" s="173"/>
      <c r="BA5" s="173"/>
      <c r="BB5" s="173"/>
      <c r="BC5" s="173"/>
      <c r="BD5" s="173"/>
      <c r="BE5" s="173"/>
      <c r="BF5" s="173"/>
      <c r="BG5" s="173"/>
      <c r="BH5" s="173"/>
      <c r="BI5" s="173"/>
      <c r="BJ5" s="173"/>
      <c r="BK5" s="173"/>
      <c r="BL5" s="173"/>
      <c r="BM5" s="173"/>
      <c r="BN5" s="173"/>
      <c r="BO5" s="173"/>
      <c r="BP5" s="173"/>
      <c r="BQ5" s="173"/>
      <c r="BR5" s="173"/>
      <c r="BS5" s="173"/>
      <c r="BT5" s="173"/>
      <c r="BU5" s="173"/>
      <c r="BV5" s="173"/>
      <c r="BW5" s="173"/>
      <c r="BX5" s="173"/>
      <c r="BY5" s="173"/>
      <c r="BZ5" s="173"/>
      <c r="CA5" s="173"/>
      <c r="CB5" s="173"/>
      <c r="CC5" s="173"/>
      <c r="CD5" s="173"/>
      <c r="CE5" s="173"/>
      <c r="CF5" s="173"/>
      <c r="CG5" s="173"/>
      <c r="CH5" s="173"/>
      <c r="CI5" s="173"/>
      <c r="CJ5" s="173"/>
      <c r="CK5" s="173"/>
      <c r="CL5" s="173"/>
      <c r="CM5" s="173"/>
      <c r="CN5" s="173"/>
      <c r="CO5" s="173"/>
      <c r="CP5" s="173"/>
      <c r="CQ5" s="173"/>
      <c r="CR5" s="173"/>
      <c r="CS5" s="173"/>
      <c r="CT5" s="173"/>
      <c r="CU5" s="173"/>
      <c r="CV5" s="173"/>
      <c r="CW5" s="173"/>
      <c r="CX5" s="173"/>
      <c r="CY5" s="173"/>
      <c r="CZ5" s="173"/>
      <c r="DA5" s="173"/>
      <c r="DB5" s="173"/>
      <c r="DC5" s="173"/>
      <c r="DD5" s="173"/>
      <c r="DE5" s="173"/>
      <c r="DF5" s="173"/>
      <c r="DG5" s="173"/>
      <c r="DH5" s="173"/>
      <c r="DI5" s="173"/>
      <c r="DJ5" s="173"/>
      <c r="DK5" s="173"/>
      <c r="DL5" s="173"/>
      <c r="DM5" s="173"/>
      <c r="DN5" s="173"/>
      <c r="DO5" s="173"/>
      <c r="DP5" s="173"/>
      <c r="DQ5" s="173"/>
      <c r="DR5" s="173"/>
      <c r="DS5" s="173"/>
      <c r="DT5" s="173"/>
      <c r="DU5" s="173"/>
      <c r="DV5" s="173"/>
      <c r="DW5" s="173"/>
      <c r="DX5" s="173"/>
      <c r="DY5" s="173"/>
      <c r="DZ5" s="173"/>
      <c r="EA5" s="173"/>
      <c r="EB5" s="173"/>
      <c r="EC5" s="173"/>
      <c r="ED5" s="173"/>
      <c r="EE5" s="173"/>
      <c r="EF5" s="173"/>
      <c r="EG5" s="173"/>
      <c r="EH5" s="173"/>
      <c r="EI5" s="173"/>
      <c r="EJ5" s="173"/>
      <c r="EK5" s="173"/>
      <c r="EL5" s="173"/>
      <c r="EM5" s="173"/>
      <c r="EN5" s="173"/>
      <c r="EO5" s="173"/>
      <c r="EP5" s="173"/>
      <c r="EQ5" s="173"/>
      <c r="ER5" s="173"/>
      <c r="ES5" s="173"/>
      <c r="ET5" s="173"/>
      <c r="EU5" s="173"/>
      <c r="EV5" s="173"/>
      <c r="EW5" s="173"/>
      <c r="EX5" s="173"/>
      <c r="EY5" s="173"/>
      <c r="EZ5" s="173"/>
      <c r="FA5" s="173"/>
      <c r="FB5" s="173"/>
      <c r="FC5" s="173"/>
      <c r="FD5" s="173"/>
      <c r="FE5" s="173"/>
      <c r="FF5" s="173"/>
      <c r="FG5" s="173"/>
      <c r="FH5" s="173"/>
      <c r="FI5" s="173"/>
      <c r="FJ5" s="173"/>
      <c r="FK5" s="173"/>
      <c r="FL5" s="173"/>
      <c r="FM5" s="173"/>
      <c r="FN5" s="173"/>
      <c r="FO5" s="173"/>
      <c r="FP5" s="173"/>
      <c r="FQ5" s="173"/>
      <c r="FR5" s="173"/>
      <c r="FS5" s="173"/>
      <c r="FT5" s="173"/>
      <c r="FU5" s="173"/>
      <c r="FV5" s="173"/>
      <c r="FW5" s="173"/>
      <c r="FX5" s="173"/>
      <c r="FY5" s="173"/>
      <c r="FZ5" s="173"/>
      <c r="GA5" s="173"/>
      <c r="GB5" s="173"/>
      <c r="GC5" s="173"/>
      <c r="GD5" s="173"/>
      <c r="GE5" s="173"/>
      <c r="GF5" s="173"/>
      <c r="GG5" s="173"/>
      <c r="GH5" s="173"/>
      <c r="GI5" s="173"/>
      <c r="GJ5" s="173"/>
      <c r="GK5" s="173"/>
      <c r="GL5" s="173"/>
      <c r="GM5" s="173"/>
      <c r="GN5" s="173"/>
      <c r="GO5" s="173"/>
      <c r="GP5" s="173"/>
      <c r="GQ5" s="173"/>
      <c r="GR5" s="173"/>
      <c r="GS5" s="173"/>
      <c r="GT5" s="173"/>
      <c r="GU5" s="173"/>
      <c r="GV5" s="173"/>
      <c r="GW5" s="173"/>
      <c r="GX5" s="173"/>
      <c r="GY5" s="173"/>
      <c r="GZ5" s="173"/>
      <c r="HA5" s="173"/>
      <c r="HB5" s="173"/>
      <c r="HC5" s="173"/>
      <c r="HD5" s="173"/>
      <c r="HE5" s="173"/>
      <c r="HF5" s="173"/>
      <c r="HG5" s="173"/>
      <c r="HH5" s="173"/>
      <c r="HI5" s="173"/>
      <c r="HJ5" s="173"/>
      <c r="HK5" s="173"/>
      <c r="HL5" s="173"/>
      <c r="HM5" s="173"/>
      <c r="HN5" s="173"/>
      <c r="HO5" s="173"/>
      <c r="HP5" s="173"/>
      <c r="HQ5" s="173"/>
      <c r="HR5" s="173"/>
      <c r="HS5" s="173"/>
      <c r="HT5" s="173"/>
      <c r="HU5" s="173"/>
      <c r="HV5" s="173"/>
      <c r="HW5" s="173"/>
      <c r="HX5" s="173"/>
      <c r="HY5" s="173"/>
      <c r="HZ5" s="173"/>
      <c r="IA5" s="173"/>
      <c r="IB5" s="173"/>
      <c r="IC5" s="173"/>
      <c r="ID5" s="173"/>
      <c r="IE5" s="173"/>
      <c r="IF5" s="173"/>
      <c r="IG5" s="173"/>
      <c r="IH5" s="173"/>
      <c r="II5" s="173"/>
      <c r="IJ5" s="173"/>
      <c r="IK5" s="173"/>
      <c r="IL5" s="173"/>
      <c r="IM5" s="173"/>
      <c r="IN5" s="173"/>
      <c r="IO5" s="173"/>
      <c r="IP5" s="173"/>
      <c r="IQ5" s="173"/>
      <c r="IR5" s="173"/>
      <c r="IS5" s="173"/>
      <c r="IT5" s="173"/>
      <c r="IU5" s="173"/>
    </row>
    <row r="6" customFormat="false" ht="14.25" hidden="false" customHeight="true" outlineLevel="0" collapsed="false">
      <c r="A6" s="174" t="s">
        <v>284</v>
      </c>
      <c r="B6" s="174"/>
      <c r="C6" s="174"/>
      <c r="D6" s="174"/>
      <c r="E6" s="174"/>
      <c r="F6" s="174"/>
      <c r="G6" s="174"/>
      <c r="H6" s="174" t="s">
        <v>8</v>
      </c>
      <c r="I6" s="174"/>
      <c r="J6" s="174"/>
      <c r="K6" s="174"/>
      <c r="L6" s="174"/>
      <c r="M6" s="174"/>
      <c r="N6" s="174"/>
    </row>
    <row r="8" customFormat="false" ht="127.5" hidden="false" customHeight="false" outlineLevel="0" collapsed="false">
      <c r="A8" s="176" t="s">
        <v>285</v>
      </c>
      <c r="B8" s="176" t="s">
        <v>286</v>
      </c>
      <c r="C8" s="176" t="s">
        <v>287</v>
      </c>
      <c r="D8" s="177" t="s">
        <v>288</v>
      </c>
      <c r="E8" s="176" t="s">
        <v>289</v>
      </c>
      <c r="F8" s="176" t="s">
        <v>290</v>
      </c>
      <c r="G8" s="176" t="s">
        <v>291</v>
      </c>
      <c r="H8" s="176" t="s">
        <v>292</v>
      </c>
      <c r="I8" s="176" t="s">
        <v>293</v>
      </c>
      <c r="J8" s="176" t="s">
        <v>294</v>
      </c>
      <c r="K8" s="176" t="s">
        <v>295</v>
      </c>
      <c r="L8" s="176" t="s">
        <v>296</v>
      </c>
      <c r="M8" s="176" t="s">
        <v>297</v>
      </c>
      <c r="N8" s="176" t="s">
        <v>298</v>
      </c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8"/>
      <c r="AO8" s="178"/>
      <c r="AP8" s="178"/>
      <c r="AQ8" s="178"/>
      <c r="AR8" s="178"/>
      <c r="AS8" s="178"/>
      <c r="AT8" s="178"/>
      <c r="AU8" s="178"/>
      <c r="AV8" s="178"/>
      <c r="AW8" s="178"/>
      <c r="AX8" s="178"/>
      <c r="AY8" s="178"/>
      <c r="AZ8" s="178"/>
      <c r="BA8" s="178"/>
      <c r="BB8" s="178"/>
      <c r="BC8" s="178"/>
      <c r="BD8" s="178"/>
      <c r="BE8" s="178"/>
      <c r="BF8" s="178"/>
      <c r="BG8" s="178"/>
      <c r="BH8" s="178"/>
      <c r="BI8" s="178"/>
      <c r="BJ8" s="178"/>
      <c r="BK8" s="178"/>
      <c r="BL8" s="178"/>
      <c r="BM8" s="178"/>
      <c r="BN8" s="178"/>
      <c r="BO8" s="178"/>
      <c r="BP8" s="178"/>
      <c r="BQ8" s="178"/>
      <c r="BR8" s="178"/>
      <c r="BS8" s="178"/>
      <c r="BT8" s="178"/>
      <c r="BU8" s="178"/>
      <c r="BV8" s="178"/>
      <c r="BW8" s="178"/>
      <c r="BX8" s="178"/>
      <c r="BY8" s="178"/>
      <c r="BZ8" s="178"/>
      <c r="CA8" s="178"/>
      <c r="CB8" s="178"/>
      <c r="CC8" s="178"/>
      <c r="CD8" s="178"/>
      <c r="CE8" s="178"/>
      <c r="CF8" s="178"/>
      <c r="CG8" s="178"/>
      <c r="CH8" s="178"/>
      <c r="CI8" s="178"/>
      <c r="CJ8" s="178"/>
      <c r="CK8" s="178"/>
      <c r="CL8" s="178"/>
      <c r="CM8" s="178"/>
      <c r="CN8" s="178"/>
      <c r="CO8" s="178"/>
      <c r="CP8" s="178"/>
      <c r="CQ8" s="178"/>
      <c r="CR8" s="178"/>
      <c r="CS8" s="178"/>
      <c r="CT8" s="178"/>
      <c r="CU8" s="178"/>
      <c r="CV8" s="178"/>
      <c r="CW8" s="178"/>
      <c r="CX8" s="178"/>
      <c r="CY8" s="178"/>
      <c r="CZ8" s="178"/>
      <c r="DA8" s="178"/>
      <c r="DB8" s="178"/>
      <c r="DC8" s="178"/>
      <c r="DD8" s="178"/>
      <c r="DE8" s="178"/>
      <c r="DF8" s="178"/>
      <c r="DG8" s="178"/>
      <c r="DH8" s="178"/>
      <c r="DI8" s="178"/>
      <c r="DJ8" s="178"/>
      <c r="DK8" s="178"/>
      <c r="DL8" s="178"/>
      <c r="DM8" s="178"/>
      <c r="DN8" s="178"/>
      <c r="DO8" s="178"/>
      <c r="DP8" s="178"/>
      <c r="DQ8" s="178"/>
      <c r="DR8" s="178"/>
      <c r="DS8" s="178"/>
      <c r="DT8" s="178"/>
      <c r="DU8" s="178"/>
      <c r="DV8" s="178"/>
      <c r="DW8" s="178"/>
      <c r="DX8" s="178"/>
      <c r="DY8" s="178"/>
      <c r="DZ8" s="178"/>
      <c r="EA8" s="178"/>
      <c r="EB8" s="178"/>
      <c r="EC8" s="178"/>
      <c r="ED8" s="178"/>
      <c r="EE8" s="178"/>
      <c r="EF8" s="178"/>
      <c r="EG8" s="178"/>
      <c r="EH8" s="178"/>
      <c r="EI8" s="178"/>
      <c r="EJ8" s="178"/>
      <c r="EK8" s="178"/>
      <c r="EL8" s="178"/>
      <c r="EM8" s="178"/>
      <c r="EN8" s="178"/>
      <c r="EO8" s="178"/>
      <c r="EP8" s="178"/>
      <c r="EQ8" s="178"/>
      <c r="ER8" s="178"/>
      <c r="ES8" s="178"/>
      <c r="ET8" s="178"/>
      <c r="EU8" s="178"/>
      <c r="EV8" s="178"/>
      <c r="EW8" s="178"/>
      <c r="EX8" s="178"/>
      <c r="EY8" s="178"/>
      <c r="EZ8" s="178"/>
      <c r="FA8" s="178"/>
      <c r="FB8" s="178"/>
      <c r="FC8" s="178"/>
      <c r="FD8" s="178"/>
      <c r="FE8" s="178"/>
      <c r="FF8" s="178"/>
      <c r="FG8" s="178"/>
      <c r="FH8" s="178"/>
      <c r="FI8" s="178"/>
      <c r="FJ8" s="178"/>
      <c r="FK8" s="178"/>
      <c r="FL8" s="178"/>
      <c r="FM8" s="178"/>
      <c r="FN8" s="178"/>
      <c r="FO8" s="178"/>
      <c r="FP8" s="178"/>
      <c r="FQ8" s="178"/>
      <c r="FR8" s="178"/>
      <c r="FS8" s="178"/>
      <c r="FT8" s="178"/>
      <c r="FU8" s="178"/>
      <c r="FV8" s="178"/>
      <c r="FW8" s="178"/>
      <c r="FX8" s="178"/>
      <c r="FY8" s="178"/>
      <c r="FZ8" s="178"/>
      <c r="GA8" s="178"/>
      <c r="GB8" s="178"/>
      <c r="GC8" s="178"/>
      <c r="GD8" s="178"/>
      <c r="GE8" s="178"/>
      <c r="GF8" s="178"/>
      <c r="GG8" s="178"/>
      <c r="GH8" s="178"/>
      <c r="GI8" s="178"/>
      <c r="GJ8" s="178"/>
      <c r="GK8" s="178"/>
      <c r="GL8" s="178"/>
      <c r="GM8" s="178"/>
      <c r="GN8" s="178"/>
      <c r="GO8" s="178"/>
      <c r="GP8" s="178"/>
      <c r="GQ8" s="178"/>
      <c r="GR8" s="178"/>
      <c r="GS8" s="178"/>
      <c r="GT8" s="178"/>
      <c r="GU8" s="178"/>
      <c r="GV8" s="178"/>
      <c r="GW8" s="178"/>
      <c r="GX8" s="178"/>
      <c r="GY8" s="178"/>
      <c r="GZ8" s="178"/>
      <c r="HA8" s="178"/>
      <c r="HB8" s="178"/>
      <c r="HC8" s="178"/>
      <c r="HD8" s="178"/>
      <c r="HE8" s="178"/>
      <c r="HF8" s="178"/>
      <c r="HG8" s="178"/>
      <c r="HH8" s="178"/>
      <c r="HI8" s="178"/>
      <c r="HJ8" s="178"/>
      <c r="HK8" s="178"/>
      <c r="HL8" s="178"/>
      <c r="HM8" s="178"/>
      <c r="HN8" s="178"/>
      <c r="HO8" s="178"/>
      <c r="HP8" s="178"/>
      <c r="HQ8" s="178"/>
      <c r="HR8" s="178"/>
      <c r="HS8" s="178"/>
      <c r="HT8" s="178"/>
      <c r="HU8" s="178"/>
      <c r="HV8" s="178"/>
      <c r="HW8" s="178"/>
      <c r="HX8" s="178"/>
      <c r="HY8" s="178"/>
      <c r="HZ8" s="178"/>
      <c r="IA8" s="178"/>
      <c r="IB8" s="178"/>
      <c r="IC8" s="178"/>
      <c r="ID8" s="178"/>
      <c r="IE8" s="178"/>
      <c r="IF8" s="178"/>
      <c r="IG8" s="178"/>
      <c r="IH8" s="178"/>
      <c r="II8" s="178"/>
      <c r="IJ8" s="178"/>
      <c r="IK8" s="178"/>
      <c r="IL8" s="178"/>
      <c r="IM8" s="178"/>
      <c r="IN8" s="178"/>
      <c r="IO8" s="178"/>
      <c r="IP8" s="178"/>
      <c r="IQ8" s="178"/>
      <c r="IR8" s="178"/>
      <c r="IS8" s="178"/>
      <c r="IT8" s="178"/>
      <c r="IU8" s="178"/>
    </row>
    <row r="9" customFormat="false" ht="12.75" hidden="false" customHeight="true" outlineLevel="0" collapsed="false">
      <c r="A9" s="179"/>
      <c r="B9" s="180"/>
      <c r="C9" s="180" t="s">
        <v>299</v>
      </c>
      <c r="D9" s="181" t="s">
        <v>300</v>
      </c>
      <c r="E9" s="179" t="s">
        <v>292</v>
      </c>
      <c r="F9" s="182" t="s">
        <v>301</v>
      </c>
      <c r="G9" s="182" t="s">
        <v>301</v>
      </c>
      <c r="H9" s="179" t="s">
        <v>292</v>
      </c>
      <c r="I9" s="179"/>
      <c r="J9" s="179" t="s">
        <v>188</v>
      </c>
      <c r="K9" s="179" t="s">
        <v>302</v>
      </c>
      <c r="L9" s="179" t="s">
        <v>302</v>
      </c>
      <c r="M9" s="179" t="s">
        <v>188</v>
      </c>
      <c r="N9" s="180" t="s">
        <v>303</v>
      </c>
      <c r="O9" s="183"/>
      <c r="P9" s="183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  <c r="AO9" s="184"/>
      <c r="AP9" s="184"/>
      <c r="AQ9" s="184"/>
      <c r="AR9" s="184"/>
      <c r="AS9" s="184"/>
      <c r="AT9" s="184"/>
      <c r="AU9" s="184"/>
      <c r="AV9" s="184"/>
      <c r="AW9" s="184"/>
      <c r="AX9" s="184"/>
      <c r="AY9" s="184"/>
      <c r="AZ9" s="184"/>
      <c r="BA9" s="184"/>
      <c r="BB9" s="184"/>
      <c r="BC9" s="184"/>
      <c r="BD9" s="184"/>
      <c r="BE9" s="184"/>
      <c r="BF9" s="184"/>
      <c r="BG9" s="184"/>
      <c r="BH9" s="184"/>
      <c r="BI9" s="184"/>
      <c r="BJ9" s="184"/>
      <c r="BK9" s="184"/>
      <c r="BL9" s="184"/>
      <c r="BM9" s="184"/>
      <c r="BN9" s="184"/>
      <c r="BO9" s="184"/>
      <c r="BP9" s="184"/>
      <c r="BQ9" s="184"/>
      <c r="BR9" s="184"/>
      <c r="BS9" s="184"/>
      <c r="BT9" s="184"/>
      <c r="BU9" s="184"/>
      <c r="BV9" s="184"/>
      <c r="BW9" s="184"/>
      <c r="BX9" s="184"/>
      <c r="BY9" s="184"/>
      <c r="BZ9" s="184"/>
      <c r="CA9" s="184"/>
      <c r="CB9" s="184"/>
      <c r="CC9" s="184"/>
      <c r="CD9" s="184"/>
      <c r="CE9" s="184"/>
      <c r="CF9" s="184"/>
      <c r="CG9" s="184"/>
      <c r="CH9" s="184"/>
      <c r="CI9" s="184"/>
      <c r="CJ9" s="184"/>
      <c r="CK9" s="184"/>
      <c r="CL9" s="184"/>
      <c r="CM9" s="184"/>
      <c r="CN9" s="184"/>
      <c r="CO9" s="184"/>
      <c r="CP9" s="184"/>
      <c r="CQ9" s="184"/>
      <c r="CR9" s="184"/>
      <c r="CS9" s="184"/>
      <c r="CT9" s="184"/>
      <c r="CU9" s="184"/>
      <c r="CV9" s="184"/>
      <c r="CW9" s="184"/>
      <c r="CX9" s="184"/>
      <c r="CY9" s="184"/>
      <c r="CZ9" s="184"/>
      <c r="DA9" s="184"/>
      <c r="DB9" s="184"/>
      <c r="DC9" s="184"/>
      <c r="DD9" s="184"/>
      <c r="DE9" s="184"/>
      <c r="DF9" s="184"/>
      <c r="DG9" s="184"/>
      <c r="DH9" s="184"/>
      <c r="DI9" s="184"/>
      <c r="DJ9" s="184"/>
      <c r="DK9" s="184"/>
      <c r="DL9" s="184"/>
      <c r="DM9" s="184"/>
      <c r="DN9" s="184"/>
      <c r="DO9" s="184"/>
      <c r="DP9" s="184"/>
      <c r="DQ9" s="184"/>
      <c r="DR9" s="184"/>
      <c r="DS9" s="184"/>
      <c r="DT9" s="184"/>
      <c r="DU9" s="184"/>
      <c r="DV9" s="184"/>
      <c r="DW9" s="184"/>
      <c r="DX9" s="184"/>
      <c r="DY9" s="184"/>
      <c r="DZ9" s="184"/>
      <c r="EA9" s="184"/>
      <c r="EB9" s="184"/>
      <c r="EC9" s="184"/>
      <c r="ED9" s="184"/>
      <c r="EE9" s="184"/>
      <c r="EF9" s="184"/>
      <c r="EG9" s="184"/>
      <c r="EH9" s="184"/>
      <c r="EI9" s="184"/>
      <c r="EJ9" s="184"/>
      <c r="EK9" s="184"/>
      <c r="EL9" s="184"/>
      <c r="EM9" s="184"/>
      <c r="EN9" s="184"/>
      <c r="EO9" s="184"/>
      <c r="EP9" s="184"/>
      <c r="EQ9" s="184"/>
      <c r="ER9" s="184"/>
      <c r="ES9" s="184"/>
      <c r="ET9" s="184"/>
      <c r="EU9" s="184"/>
      <c r="EV9" s="184"/>
      <c r="EW9" s="184"/>
      <c r="EX9" s="184"/>
      <c r="EY9" s="184"/>
      <c r="EZ9" s="184"/>
      <c r="FA9" s="184"/>
      <c r="FB9" s="184"/>
      <c r="FC9" s="184"/>
      <c r="FD9" s="184"/>
      <c r="FE9" s="184"/>
      <c r="FF9" s="184"/>
      <c r="FG9" s="184"/>
      <c r="FH9" s="184"/>
      <c r="FI9" s="184"/>
      <c r="FJ9" s="184"/>
      <c r="FK9" s="184"/>
      <c r="FL9" s="184"/>
      <c r="FM9" s="184"/>
      <c r="FN9" s="184"/>
      <c r="FO9" s="184"/>
      <c r="FP9" s="184"/>
      <c r="FQ9" s="184"/>
      <c r="FR9" s="184"/>
      <c r="FS9" s="184"/>
      <c r="FT9" s="184"/>
      <c r="FU9" s="184"/>
      <c r="FV9" s="184"/>
      <c r="FW9" s="184"/>
      <c r="FX9" s="184"/>
      <c r="FY9" s="184"/>
      <c r="FZ9" s="184"/>
      <c r="GA9" s="184"/>
      <c r="GB9" s="184"/>
      <c r="GC9" s="184"/>
      <c r="GD9" s="184"/>
      <c r="GE9" s="184"/>
      <c r="GF9" s="184"/>
      <c r="GG9" s="184"/>
      <c r="GH9" s="184"/>
      <c r="GI9" s="184"/>
      <c r="GJ9" s="184"/>
      <c r="GK9" s="184"/>
      <c r="GL9" s="184"/>
      <c r="GM9" s="184"/>
      <c r="GN9" s="184"/>
      <c r="GO9" s="184"/>
      <c r="GP9" s="184"/>
      <c r="GQ9" s="184"/>
      <c r="GR9" s="184"/>
      <c r="GS9" s="184"/>
      <c r="GT9" s="184"/>
      <c r="GU9" s="184"/>
      <c r="GV9" s="184"/>
      <c r="GW9" s="184"/>
      <c r="GX9" s="184"/>
      <c r="GY9" s="184"/>
      <c r="GZ9" s="184"/>
      <c r="HA9" s="184"/>
      <c r="HB9" s="184"/>
      <c r="HC9" s="184"/>
      <c r="HD9" s="184"/>
      <c r="HE9" s="184"/>
      <c r="HF9" s="184"/>
      <c r="HG9" s="184"/>
      <c r="HH9" s="184"/>
      <c r="HI9" s="184"/>
      <c r="HJ9" s="184"/>
      <c r="HK9" s="184"/>
      <c r="HL9" s="184"/>
      <c r="HM9" s="184"/>
      <c r="HN9" s="184"/>
      <c r="HO9" s="184"/>
      <c r="HP9" s="184"/>
      <c r="HQ9" s="184"/>
      <c r="HR9" s="184"/>
      <c r="HS9" s="184"/>
      <c r="HT9" s="184"/>
      <c r="HU9" s="184"/>
      <c r="HV9" s="184"/>
      <c r="HW9" s="184"/>
      <c r="HX9" s="184"/>
      <c r="HY9" s="184"/>
      <c r="HZ9" s="184"/>
      <c r="IA9" s="184"/>
      <c r="IB9" s="184"/>
      <c r="IC9" s="184"/>
      <c r="ID9" s="184"/>
      <c r="IE9" s="184"/>
      <c r="IF9" s="184"/>
      <c r="IG9" s="184"/>
      <c r="IH9" s="184"/>
      <c r="II9" s="184"/>
      <c r="IJ9" s="184"/>
      <c r="IK9" s="184"/>
      <c r="IL9" s="184"/>
      <c r="IM9" s="184"/>
      <c r="IN9" s="184"/>
      <c r="IO9" s="184"/>
      <c r="IP9" s="184"/>
      <c r="IQ9" s="184"/>
      <c r="IR9" s="184"/>
      <c r="IS9" s="184"/>
      <c r="IT9" s="184"/>
      <c r="IU9" s="184"/>
    </row>
    <row r="10" customFormat="false" ht="12.75" hidden="false" customHeight="false" outlineLevel="0" collapsed="false">
      <c r="A10" s="185" t="str">
        <f aca="false">'PETEK LİST'!A10</f>
        <v>Z01</v>
      </c>
      <c r="B10" s="186" t="str">
        <f aca="false">'PETEK LİST'!B10</f>
        <v>SALON+MUTFAK+ANTRE</v>
      </c>
      <c r="C10" s="187" t="str">
        <f aca="false">'PETEK LİST'!C10</f>
        <v>22</v>
      </c>
      <c r="D10" s="164" t="n">
        <f aca="false">ZEMİN!Q32</f>
        <v>8195.348545595</v>
      </c>
      <c r="E10" s="23" t="n">
        <v>89</v>
      </c>
      <c r="F10" s="188" t="n">
        <f aca="false">D10/E10</f>
        <v>92.0825679280337</v>
      </c>
      <c r="G10" s="188" t="n">
        <f aca="false">76.263-0.539*F10</f>
        <v>26.6304958867898</v>
      </c>
      <c r="H10" s="188" t="n">
        <f aca="false">D10/G10</f>
        <v>307.742994363854</v>
      </c>
      <c r="I10" s="185" t="n">
        <v>20</v>
      </c>
      <c r="J10" s="161" t="n">
        <f aca="false">'PETEK LİST'!G10</f>
        <v>840</v>
      </c>
      <c r="K10" s="188" t="n">
        <f aca="false">J10/80</f>
        <v>10.5</v>
      </c>
      <c r="L10" s="185" t="n">
        <v>8</v>
      </c>
      <c r="M10" s="185" t="n">
        <v>17.5</v>
      </c>
      <c r="N10" s="189" t="n">
        <f aca="false">J10*M10</f>
        <v>14700</v>
      </c>
    </row>
    <row r="11" customFormat="false" ht="12.75" hidden="false" customHeight="false" outlineLevel="0" collapsed="false">
      <c r="A11" s="185" t="str">
        <f aca="false">'PETEK LİST'!A11</f>
        <v>Z02</v>
      </c>
      <c r="B11" s="185" t="str">
        <f aca="false">'PETEK LİST'!B11</f>
        <v>BANYO</v>
      </c>
      <c r="C11" s="187" t="str">
        <f aca="false">'PETEK LİST'!C11</f>
        <v>26</v>
      </c>
      <c r="D11" s="164" t="n">
        <f aca="false">ZEMİN!Q44</f>
        <v>330.99635004</v>
      </c>
      <c r="E11" s="23" t="n">
        <v>6.81</v>
      </c>
      <c r="F11" s="188" t="n">
        <f aca="false">D11/E11</f>
        <v>48.6044566872247</v>
      </c>
      <c r="G11" s="188" t="n">
        <f aca="false">76.263-0.539*F11</f>
        <v>50.0651978455859</v>
      </c>
      <c r="H11" s="188" t="n">
        <f aca="false">D11/G11</f>
        <v>6.61130614246006</v>
      </c>
      <c r="I11" s="185" t="n">
        <v>20</v>
      </c>
      <c r="J11" s="161" t="n">
        <f aca="false">'PETEK LİST'!G11</f>
        <v>70</v>
      </c>
      <c r="K11" s="188" t="n">
        <f aca="false">J11/80</f>
        <v>0.875</v>
      </c>
      <c r="L11" s="185" t="n">
        <v>1</v>
      </c>
      <c r="M11" s="185" t="n">
        <v>17.5</v>
      </c>
      <c r="N11" s="189" t="n">
        <f aca="false">J11*M11</f>
        <v>1225</v>
      </c>
    </row>
    <row r="12" customFormat="false" ht="12.75" hidden="false" customHeight="false" outlineLevel="0" collapsed="false">
      <c r="A12" s="185" t="str">
        <f aca="false">'PETEK LİST'!A12</f>
        <v>Z03</v>
      </c>
      <c r="B12" s="185" t="str">
        <f aca="false">'PETEK LİST'!B12</f>
        <v>KİLER</v>
      </c>
      <c r="C12" s="187" t="str">
        <f aca="false">'PETEK LİST'!C12</f>
        <v>18</v>
      </c>
      <c r="D12" s="164" t="n">
        <f aca="false">ZEMİN!Q57</f>
        <v>239.0901308</v>
      </c>
      <c r="E12" s="23" t="n">
        <v>4.84</v>
      </c>
      <c r="F12" s="188" t="n">
        <f aca="false">D12/E12</f>
        <v>49.3987873553719</v>
      </c>
      <c r="G12" s="188" t="n">
        <f aca="false">76.263-0.539*F12</f>
        <v>49.6370536154546</v>
      </c>
      <c r="H12" s="188" t="n">
        <f aca="false">D12/G12</f>
        <v>4.81676718066842</v>
      </c>
      <c r="I12" s="185" t="n">
        <v>20</v>
      </c>
      <c r="J12" s="190" t="n">
        <f aca="false">'PETEK LİST'!G12</f>
        <v>42</v>
      </c>
      <c r="K12" s="188" t="n">
        <f aca="false">J12/80</f>
        <v>0.525</v>
      </c>
      <c r="L12" s="185" t="n">
        <v>1</v>
      </c>
      <c r="M12" s="185" t="n">
        <v>17.5</v>
      </c>
      <c r="N12" s="189" t="n">
        <f aca="false">J12*M12</f>
        <v>735</v>
      </c>
    </row>
    <row r="13" customFormat="false" ht="12.75" hidden="false" customHeight="false" outlineLevel="0" collapsed="false">
      <c r="A13" s="185" t="str">
        <f aca="false">'PETEK LİST'!A13</f>
        <v>Z04</v>
      </c>
      <c r="B13" s="185" t="str">
        <f aca="false">'PETEK LİST'!B13</f>
        <v>ODA</v>
      </c>
      <c r="C13" s="187" t="str">
        <f aca="false">'PETEK LİST'!C13</f>
        <v>20</v>
      </c>
      <c r="D13" s="164" t="n">
        <f aca="false">ZEMİN!Q71</f>
        <v>1170.62135715</v>
      </c>
      <c r="E13" s="23" t="n">
        <v>17.16</v>
      </c>
      <c r="F13" s="188" t="n">
        <f aca="false">D13/E13</f>
        <v>68.2180278059441</v>
      </c>
      <c r="G13" s="188" t="n">
        <f aca="false">76.263-0.539*F13</f>
        <v>39.4934830125962</v>
      </c>
      <c r="H13" s="188" t="n">
        <f aca="false">D13/G13</f>
        <v>29.6408740848873</v>
      </c>
      <c r="I13" s="185" t="n">
        <v>20</v>
      </c>
      <c r="J13" s="161" t="n">
        <f aca="false">'PETEK LİST'!G13</f>
        <v>135</v>
      </c>
      <c r="K13" s="188" t="n">
        <f aca="false">J13/80</f>
        <v>1.6875</v>
      </c>
      <c r="L13" s="185" t="n">
        <f aca="false">CEILING(K13,1)</f>
        <v>2</v>
      </c>
      <c r="M13" s="185" t="n">
        <v>17.5</v>
      </c>
      <c r="N13" s="189" t="n">
        <f aca="false">J13*M13</f>
        <v>2362.5</v>
      </c>
    </row>
    <row r="14" customFormat="false" ht="12.75" hidden="false" customHeight="false" outlineLevel="0" collapsed="false">
      <c r="A14" s="185" t="str">
        <f aca="false">'PETEK LİST'!A14</f>
        <v>Z05</v>
      </c>
      <c r="B14" s="185" t="str">
        <f aca="false">'PETEK LİST'!B14</f>
        <v>DUŞ</v>
      </c>
      <c r="C14" s="187" t="str">
        <f aca="false">'PETEK LİST'!C14</f>
        <v>26</v>
      </c>
      <c r="D14" s="164" t="n">
        <f aca="false">ZEMİN!Q99</f>
        <v>361.362780875</v>
      </c>
      <c r="E14" s="23" t="n">
        <v>3.66</v>
      </c>
      <c r="F14" s="188" t="n">
        <f aca="false">D14/E14</f>
        <v>98.733000239071</v>
      </c>
      <c r="G14" s="188" t="n">
        <f aca="false">76.263-0.539*F14</f>
        <v>23.0459128711407</v>
      </c>
      <c r="H14" s="188" t="n">
        <v>2.8</v>
      </c>
      <c r="I14" s="185" t="n">
        <v>10</v>
      </c>
      <c r="J14" s="190" t="n">
        <f aca="false">'PETEK LİST'!G14</f>
        <v>28</v>
      </c>
      <c r="K14" s="188" t="n">
        <f aca="false">J14/80</f>
        <v>0.35</v>
      </c>
      <c r="L14" s="185" t="n">
        <f aca="false">CEILING(K14,1)</f>
        <v>1</v>
      </c>
      <c r="M14" s="185" t="n">
        <v>17.5</v>
      </c>
      <c r="N14" s="189" t="n">
        <f aca="false">J14*M14</f>
        <v>490</v>
      </c>
    </row>
    <row r="15" customFormat="false" ht="12.75" hidden="false" customHeight="false" outlineLevel="0" collapsed="false">
      <c r="A15" s="185"/>
      <c r="B15" s="185"/>
      <c r="C15" s="187"/>
      <c r="D15" s="191"/>
      <c r="E15" s="23"/>
      <c r="F15" s="188"/>
      <c r="G15" s="188"/>
      <c r="H15" s="188"/>
      <c r="I15" s="185"/>
      <c r="J15" s="190"/>
      <c r="K15" s="188"/>
      <c r="L15" s="185"/>
      <c r="M15" s="185"/>
      <c r="N15" s="189"/>
    </row>
    <row r="16" customFormat="false" ht="12.75" hidden="false" customHeight="false" outlineLevel="0" collapsed="false">
      <c r="A16" s="161" t="n">
        <v>101</v>
      </c>
      <c r="B16" s="161" t="s">
        <v>279</v>
      </c>
      <c r="C16" s="163" t="s">
        <v>276</v>
      </c>
      <c r="D16" s="164" t="n">
        <f aca="false">'1 NK'!Q26</f>
        <v>3309.41001315</v>
      </c>
      <c r="E16" s="23" t="n">
        <v>41.48</v>
      </c>
      <c r="F16" s="188" t="n">
        <f aca="false">D16/E16</f>
        <v>79.7832693623433</v>
      </c>
      <c r="G16" s="188" t="n">
        <f aca="false">76.263-0.539*F16</f>
        <v>33.259817813697</v>
      </c>
      <c r="H16" s="188" t="n">
        <f aca="false">D16/G16</f>
        <v>99.5017480759359</v>
      </c>
      <c r="I16" s="185" t="n">
        <v>20</v>
      </c>
      <c r="J16" s="161" t="n">
        <f aca="false">'PETEK LİST'!G16</f>
        <v>252</v>
      </c>
      <c r="K16" s="188" t="n">
        <f aca="false">J16/80</f>
        <v>3.15</v>
      </c>
      <c r="L16" s="185" t="n">
        <v>2</v>
      </c>
      <c r="M16" s="185" t="n">
        <v>17.5</v>
      </c>
      <c r="N16" s="189" t="n">
        <f aca="false">J16*M16</f>
        <v>4410</v>
      </c>
    </row>
    <row r="17" customFormat="false" ht="12.75" hidden="false" customHeight="false" outlineLevel="0" collapsed="false">
      <c r="A17" s="161" t="n">
        <v>102</v>
      </c>
      <c r="B17" s="161" t="s">
        <v>221</v>
      </c>
      <c r="C17" s="163" t="s">
        <v>272</v>
      </c>
      <c r="D17" s="164" t="n">
        <f aca="false">'1 NK'!Q38</f>
        <v>385.09058922</v>
      </c>
      <c r="E17" s="23" t="n">
        <v>4.14</v>
      </c>
      <c r="F17" s="188" t="n">
        <f aca="false">D17/E17</f>
        <v>93.0170505362319</v>
      </c>
      <c r="G17" s="188" t="n">
        <f aca="false">76.263-0.539*F17</f>
        <v>26.126809760971</v>
      </c>
      <c r="H17" s="188" t="n">
        <f aca="false">D17/G17</f>
        <v>14.7392885983064</v>
      </c>
      <c r="I17" s="185" t="n">
        <v>10</v>
      </c>
      <c r="J17" s="190" t="n">
        <f aca="false">'PETEK LİST'!G17</f>
        <v>40</v>
      </c>
      <c r="K17" s="188" t="n">
        <f aca="false">J17/80</f>
        <v>0.5</v>
      </c>
      <c r="L17" s="185" t="n">
        <f aca="false">CEILING(K17,1)</f>
        <v>1</v>
      </c>
      <c r="M17" s="185" t="n">
        <v>17.5</v>
      </c>
      <c r="N17" s="189" t="n">
        <f aca="false">J17*M17</f>
        <v>700</v>
      </c>
    </row>
    <row r="18" customFormat="false" ht="12.75" hidden="false" customHeight="false" outlineLevel="0" collapsed="false">
      <c r="A18" s="161" t="n">
        <v>103</v>
      </c>
      <c r="B18" s="161" t="s">
        <v>280</v>
      </c>
      <c r="C18" s="163" t="s">
        <v>274</v>
      </c>
      <c r="D18" s="164" t="n">
        <f aca="false">'1 NK'!Q50</f>
        <v>625.2444024</v>
      </c>
      <c r="E18" s="23" t="n">
        <v>10.35</v>
      </c>
      <c r="F18" s="188" t="n">
        <f aca="false">D18/E18</f>
        <v>60.4100871884058</v>
      </c>
      <c r="G18" s="188" t="n">
        <f aca="false">76.263-0.539*F18</f>
        <v>43.7019630054493</v>
      </c>
      <c r="H18" s="188" t="n">
        <v>4.68</v>
      </c>
      <c r="I18" s="185" t="n">
        <v>20</v>
      </c>
      <c r="J18" s="161" t="n">
        <f aca="false">'PETEK LİST'!G18</f>
        <v>55</v>
      </c>
      <c r="K18" s="188" t="n">
        <f aca="false">J18/80</f>
        <v>0.6875</v>
      </c>
      <c r="L18" s="185" t="n">
        <f aca="false">CEILING(K18,1)</f>
        <v>1</v>
      </c>
      <c r="M18" s="185" t="n">
        <v>17.5</v>
      </c>
      <c r="N18" s="189" t="n">
        <f aca="false">J18*M18</f>
        <v>962.5</v>
      </c>
    </row>
    <row r="19" customFormat="false" ht="12.75" hidden="false" customHeight="false" outlineLevel="0" collapsed="false">
      <c r="A19" s="161" t="n">
        <v>104</v>
      </c>
      <c r="B19" s="161" t="s">
        <v>228</v>
      </c>
      <c r="C19" s="163" t="s">
        <v>276</v>
      </c>
      <c r="D19" s="164" t="n">
        <f aca="false">'1 NK'!Q65</f>
        <v>1190.2030057</v>
      </c>
      <c r="E19" s="23" t="n">
        <v>14.58</v>
      </c>
      <c r="F19" s="188" t="n">
        <f aca="false">D19/E19</f>
        <v>81.632579266118</v>
      </c>
      <c r="G19" s="188" t="n">
        <f aca="false">76.263-0.539*F19</f>
        <v>32.2630397755624</v>
      </c>
      <c r="H19" s="188" t="n">
        <f aca="false">D19/G19</f>
        <v>36.8906034266962</v>
      </c>
      <c r="I19" s="185" t="n">
        <v>20</v>
      </c>
      <c r="J19" s="190" t="n">
        <f aca="false">'PETEK LİST'!G19</f>
        <v>133</v>
      </c>
      <c r="K19" s="188" t="n">
        <f aca="false">J19/80</f>
        <v>1.6625</v>
      </c>
      <c r="L19" s="185" t="n">
        <v>1</v>
      </c>
      <c r="M19" s="185" t="n">
        <v>17.5</v>
      </c>
      <c r="N19" s="189" t="n">
        <f aca="false">J19*M19</f>
        <v>2327.5</v>
      </c>
    </row>
    <row r="20" customFormat="false" ht="12.75" hidden="false" customHeight="false" outlineLevel="0" collapsed="false">
      <c r="A20" s="161" t="n">
        <v>105</v>
      </c>
      <c r="B20" s="161" t="s">
        <v>221</v>
      </c>
      <c r="C20" s="163" t="s">
        <v>272</v>
      </c>
      <c r="D20" s="164" t="n">
        <f aca="false">'1 NK'!Q78</f>
        <v>508.987361</v>
      </c>
      <c r="E20" s="23" t="n">
        <v>7.53</v>
      </c>
      <c r="F20" s="188" t="n">
        <f aca="false">D20/E20</f>
        <v>67.5946030544489</v>
      </c>
      <c r="G20" s="188" t="n">
        <f aca="false">76.263-0.539*F20</f>
        <v>39.8295089536521</v>
      </c>
      <c r="H20" s="188" t="n">
        <f aca="false">D20/G20</f>
        <v>12.7791523011817</v>
      </c>
      <c r="I20" s="185" t="n">
        <v>20</v>
      </c>
      <c r="J20" s="190" t="n">
        <f aca="false">'PETEK LİST'!G20</f>
        <v>75</v>
      </c>
      <c r="K20" s="188" t="n">
        <f aca="false">J20/80</f>
        <v>0.9375</v>
      </c>
      <c r="L20" s="185" t="n">
        <f aca="false">CEILING(K20,1)</f>
        <v>1</v>
      </c>
      <c r="M20" s="185" t="n">
        <v>17.5</v>
      </c>
      <c r="N20" s="189" t="n">
        <f aca="false">J20*M20</f>
        <v>1312.5</v>
      </c>
    </row>
    <row r="21" customFormat="false" ht="12.75" hidden="false" customHeight="false" outlineLevel="0" collapsed="false">
      <c r="A21" s="161" t="n">
        <v>106</v>
      </c>
      <c r="B21" s="161" t="s">
        <v>239</v>
      </c>
      <c r="C21" s="163" t="s">
        <v>281</v>
      </c>
      <c r="D21" s="164" t="n">
        <f aca="false">'1 NK'!Q104</f>
        <v>349.92654526</v>
      </c>
      <c r="E21" s="23" t="n">
        <v>2.53</v>
      </c>
      <c r="F21" s="188" t="n">
        <f aca="false">D21/E21</f>
        <v>138.310887454545</v>
      </c>
      <c r="G21" s="188" t="n">
        <f aca="false">76.263-0.539*F21</f>
        <v>1.71343166199999</v>
      </c>
      <c r="H21" s="188" t="n">
        <f aca="false">D21/G21</f>
        <v>204.225562665015</v>
      </c>
      <c r="I21" s="185" t="n">
        <v>20</v>
      </c>
      <c r="J21" s="161" t="n">
        <f aca="false">'PETEK LİST'!G21</f>
        <v>28</v>
      </c>
      <c r="K21" s="188" t="n">
        <f aca="false">J21/80</f>
        <v>0.35</v>
      </c>
      <c r="L21" s="185" t="n">
        <f aca="false">CEILING(K21,1)</f>
        <v>1</v>
      </c>
      <c r="M21" s="185" t="n">
        <v>17.5</v>
      </c>
      <c r="N21" s="189" t="n">
        <f aca="false">J21*M21</f>
        <v>490</v>
      </c>
    </row>
    <row r="22" customFormat="false" ht="12.75" hidden="false" customHeight="false" outlineLevel="0" collapsed="false">
      <c r="A22" s="161" t="n">
        <v>107</v>
      </c>
      <c r="B22" s="161" t="s">
        <v>228</v>
      </c>
      <c r="C22" s="163" t="s">
        <v>276</v>
      </c>
      <c r="D22" s="164" t="n">
        <f aca="false">'1 NK'!Q118</f>
        <v>1830.633002095</v>
      </c>
      <c r="E22" s="23" t="n">
        <v>19.62</v>
      </c>
      <c r="F22" s="188" t="n">
        <f aca="false">D22/E22</f>
        <v>93.3044343575433</v>
      </c>
      <c r="G22" s="188" t="n">
        <f aca="false">76.263-0.539*F22</f>
        <v>25.9719098812842</v>
      </c>
      <c r="H22" s="188" t="n">
        <f aca="false">D22/G22</f>
        <v>70.4851129725422</v>
      </c>
      <c r="I22" s="185" t="n">
        <v>20</v>
      </c>
      <c r="J22" s="161" t="n">
        <f aca="false">'PETEK LİST'!G22</f>
        <v>173</v>
      </c>
      <c r="K22" s="188" t="n">
        <f aca="false">J22/80</f>
        <v>2.1625</v>
      </c>
      <c r="L22" s="185" t="n">
        <v>2</v>
      </c>
      <c r="M22" s="185" t="n">
        <v>17.5</v>
      </c>
      <c r="N22" s="189" t="n">
        <f aca="false">J22*M22</f>
        <v>3027.5</v>
      </c>
    </row>
    <row r="23" customFormat="false" ht="12.75" hidden="false" customHeight="false" outlineLevel="0" collapsed="false">
      <c r="A23" s="161" t="n">
        <v>108</v>
      </c>
      <c r="B23" s="161" t="s">
        <v>228</v>
      </c>
      <c r="C23" s="163" t="s">
        <v>276</v>
      </c>
      <c r="D23" s="164" t="n">
        <f aca="false">'1 NK'!Q131</f>
        <v>1655.110723595</v>
      </c>
      <c r="E23" s="23" t="n">
        <v>20.53</v>
      </c>
      <c r="F23" s="188" t="n">
        <f aca="false">D23/E23</f>
        <v>80.6191292545056</v>
      </c>
      <c r="G23" s="188" t="n">
        <f aca="false">76.263-0.539*F23</f>
        <v>32.8092893318215</v>
      </c>
      <c r="H23" s="188" t="n">
        <f aca="false">D23/G23</f>
        <v>50.4464057985468</v>
      </c>
      <c r="I23" s="185" t="n">
        <v>10</v>
      </c>
      <c r="J23" s="190" t="n">
        <f aca="false">'PETEK LİST'!G23</f>
        <v>174</v>
      </c>
      <c r="K23" s="188" t="n">
        <f aca="false">J23/80</f>
        <v>2.175</v>
      </c>
      <c r="L23" s="185" t="n">
        <v>2</v>
      </c>
      <c r="M23" s="185" t="n">
        <v>17.5</v>
      </c>
      <c r="N23" s="189" t="n">
        <f aca="false">J23*M23</f>
        <v>3045</v>
      </c>
    </row>
  </sheetData>
  <mergeCells count="10">
    <mergeCell ref="A1:B4"/>
    <mergeCell ref="C1:G4"/>
    <mergeCell ref="H1:K2"/>
    <mergeCell ref="L1:N2"/>
    <mergeCell ref="H3:K4"/>
    <mergeCell ref="L3:N4"/>
    <mergeCell ref="A5:G5"/>
    <mergeCell ref="H5:N5"/>
    <mergeCell ref="A6:G6"/>
    <mergeCell ref="H6:N6"/>
  </mergeCells>
  <conditionalFormatting sqref="J12">
    <cfRule type="cellIs" priority="2" operator="greaterThan" aboveAverage="0" equalAverage="0" bottom="0" percent="0" rank="0" text="" dxfId="16">
      <formula>G12*1.4</formula>
    </cfRule>
  </conditionalFormatting>
  <conditionalFormatting sqref="J13">
    <cfRule type="cellIs" priority="3" operator="greaterThan" aboveAverage="0" equalAverage="0" bottom="0" percent="0" rank="0" text="" dxfId="17">
      <formula>G13*1.4</formula>
    </cfRule>
  </conditionalFormatting>
  <conditionalFormatting sqref="J14:J15">
    <cfRule type="cellIs" priority="4" operator="greaterThan" aboveAverage="0" equalAverage="0" bottom="0" percent="0" rank="0" text="" dxfId="18">
      <formula>G14*1.4</formula>
    </cfRule>
  </conditionalFormatting>
  <conditionalFormatting sqref="J16:J17 J19">
    <cfRule type="cellIs" priority="5" operator="greaterThan" aboveAverage="0" equalAverage="0" bottom="0" percent="0" rank="0" text="" dxfId="19">
      <formula>G16*1.4</formula>
    </cfRule>
  </conditionalFormatting>
  <conditionalFormatting sqref="J20">
    <cfRule type="cellIs" priority="6" operator="greaterThan" aboveAverage="0" equalAverage="0" bottom="0" percent="0" rank="0" text="" dxfId="20">
      <formula>G20*1.4</formula>
    </cfRule>
  </conditionalFormatting>
  <conditionalFormatting sqref="J23">
    <cfRule type="cellIs" priority="7" operator="greaterThan" aboveAverage="0" equalAverage="0" bottom="0" percent="0" rank="0" text="" dxfId="21">
      <formula>G23*1.4</formula>
    </cfRule>
  </conditionalFormatting>
  <conditionalFormatting sqref="J21">
    <cfRule type="cellIs" priority="8" operator="greaterThan" aboveAverage="0" equalAverage="0" bottom="0" percent="0" rank="0" text="" dxfId="22">
      <formula>G21*1.4</formula>
    </cfRule>
  </conditionalFormatting>
  <conditionalFormatting sqref="J18">
    <cfRule type="cellIs" priority="9" operator="greaterThan" aboveAverage="0" equalAverage="0" bottom="0" percent="0" rank="0" text="" dxfId="23">
      <formula>G18*1.4</formula>
    </cfRule>
  </conditionalFormatting>
  <conditionalFormatting sqref="J11">
    <cfRule type="cellIs" priority="10" operator="greaterThan" aboveAverage="0" equalAverage="0" bottom="0" percent="0" rank="0" text="" dxfId="24">
      <formula>G11*1.4</formula>
    </cfRule>
  </conditionalFormatting>
  <conditionalFormatting sqref="J10">
    <cfRule type="cellIs" priority="11" operator="greaterThan" aboveAverage="0" equalAverage="0" bottom="0" percent="0" rank="0" text="" dxfId="25">
      <formula>G10*1.4</formula>
    </cfRule>
  </conditionalFormatting>
  <conditionalFormatting sqref="J22">
    <cfRule type="cellIs" priority="12" operator="greaterThan" aboveAverage="0" equalAverage="0" bottom="0" percent="0" rank="0" text="" dxfId="26">
      <formula>G22*1.4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9.7"/>
    <col collapsed="false" customWidth="true" hidden="false" outlineLevel="0" max="3" min="3" style="0" width="34.71"/>
    <col collapsed="false" customWidth="true" hidden="false" outlineLevel="0" max="4" min="4" style="10" width="25.13"/>
    <col collapsed="false" customWidth="true" hidden="false" outlineLevel="0" max="5" min="5" style="192" width="6.41"/>
    <col collapsed="false" customWidth="true" hidden="false" outlineLevel="0" max="6" min="6" style="192" width="6.56"/>
    <col collapsed="false" customWidth="true" hidden="false" outlineLevel="0" max="7" min="7" style="192" width="6.41"/>
    <col collapsed="false" customWidth="true" hidden="false" outlineLevel="0" max="8" min="8" style="0" width="11.13"/>
    <col collapsed="false" customWidth="true" hidden="false" outlineLevel="0" max="13" min="9" style="0" width="5.28"/>
    <col collapsed="false" customWidth="true" hidden="false" outlineLevel="0" max="14" min="14" style="0" width="8.14"/>
    <col collapsed="false" customWidth="true" hidden="false" outlineLevel="0" max="16" min="15" style="0" width="5.28"/>
    <col collapsed="false" customWidth="true" hidden="false" outlineLevel="0" max="21" min="17" style="0" width="6.7"/>
    <col collapsed="false" customWidth="true" hidden="false" outlineLevel="0" max="25" min="22" style="0" width="7.99"/>
    <col collapsed="false" customWidth="true" hidden="false" outlineLevel="0" max="26" min="26" style="0" width="6.85"/>
  </cols>
  <sheetData>
    <row r="1" customFormat="false" ht="12.75" hidden="false" customHeight="false" outlineLevel="0" collapsed="false">
      <c r="A1" s="193" t="s">
        <v>304</v>
      </c>
      <c r="B1" s="193"/>
      <c r="C1" s="193"/>
      <c r="D1" s="193"/>
      <c r="E1" s="193"/>
      <c r="F1" s="193"/>
      <c r="G1" s="193"/>
      <c r="H1" s="193"/>
      <c r="I1" s="193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 s="152" customFormat="true" ht="12.75" hidden="false" customHeight="true" outlineLevel="0" collapsed="false">
      <c r="A2" s="195" t="s">
        <v>305</v>
      </c>
      <c r="B2" s="195"/>
      <c r="C2" s="196" t="s">
        <v>306</v>
      </c>
      <c r="D2" s="197" t="s">
        <v>307</v>
      </c>
      <c r="E2" s="198" t="s">
        <v>308</v>
      </c>
      <c r="F2" s="198"/>
      <c r="G2" s="198"/>
      <c r="H2" s="198"/>
      <c r="I2" s="198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</row>
    <row r="3" s="152" customFormat="true" ht="8.25" hidden="false" customHeight="true" outlineLevel="0" collapsed="false">
      <c r="A3" s="195"/>
      <c r="B3" s="195"/>
      <c r="C3" s="196"/>
      <c r="D3" s="200" t="s">
        <v>309</v>
      </c>
      <c r="E3" s="198" t="s">
        <v>310</v>
      </c>
      <c r="F3" s="198"/>
      <c r="G3" s="198"/>
      <c r="H3" s="198"/>
      <c r="I3" s="198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</row>
    <row r="4" s="152" customFormat="true" ht="5.25" hidden="false" customHeight="true" outlineLevel="0" collapsed="false">
      <c r="A4" s="195"/>
      <c r="B4" s="195"/>
      <c r="C4" s="196"/>
      <c r="D4" s="200"/>
      <c r="E4" s="198"/>
      <c r="F4" s="198"/>
      <c r="G4" s="198"/>
      <c r="H4" s="198"/>
      <c r="I4" s="198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</row>
    <row r="5" s="152" customFormat="true" ht="15" hidden="false" customHeight="true" outlineLevel="0" collapsed="false">
      <c r="A5" s="195"/>
      <c r="B5" s="195"/>
      <c r="C5" s="196"/>
      <c r="D5" s="154" t="s">
        <v>311</v>
      </c>
      <c r="E5" s="154"/>
      <c r="F5" s="154"/>
      <c r="G5" s="154"/>
      <c r="H5" s="154"/>
      <c r="I5" s="154"/>
      <c r="J5" s="201"/>
      <c r="K5" s="201"/>
      <c r="L5" s="201"/>
      <c r="M5" s="201"/>
      <c r="N5" s="201"/>
      <c r="O5" s="201"/>
      <c r="P5" s="201"/>
      <c r="Q5" s="172"/>
      <c r="R5" s="172"/>
      <c r="S5" s="172"/>
      <c r="T5" s="172"/>
      <c r="U5" s="172"/>
    </row>
    <row r="6" customFormat="false" ht="12" hidden="false" customHeight="true" outlineLevel="0" collapsed="false">
      <c r="A6" s="202"/>
      <c r="B6" s="202"/>
      <c r="C6" s="202"/>
      <c r="D6" s="202"/>
      <c r="E6" s="203"/>
      <c r="F6" s="203"/>
      <c r="G6" s="203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</row>
    <row r="7" customFormat="false" ht="12" hidden="false" customHeight="true" outlineLevel="0" collapsed="false">
      <c r="A7" s="7" t="n">
        <v>1</v>
      </c>
      <c r="B7" s="205"/>
      <c r="C7" s="206" t="s">
        <v>312</v>
      </c>
      <c r="D7" s="205"/>
      <c r="E7" s="207"/>
      <c r="F7" s="207" t="s">
        <v>313</v>
      </c>
      <c r="G7" s="208" t="s">
        <v>314</v>
      </c>
      <c r="H7" s="207" t="s">
        <v>313</v>
      </c>
      <c r="I7" s="207" t="s">
        <v>314</v>
      </c>
      <c r="J7" s="207" t="s">
        <v>315</v>
      </c>
      <c r="K7" s="207" t="s">
        <v>316</v>
      </c>
      <c r="L7" s="207" t="s">
        <v>317</v>
      </c>
      <c r="M7" s="207" t="s">
        <v>318</v>
      </c>
      <c r="N7" s="207" t="s">
        <v>319</v>
      </c>
      <c r="O7" s="207" t="s">
        <v>320</v>
      </c>
      <c r="P7" s="207" t="s">
        <v>321</v>
      </c>
      <c r="Q7" s="208" t="s">
        <v>322</v>
      </c>
      <c r="R7" s="207"/>
      <c r="S7" s="207" t="n">
        <v>11</v>
      </c>
      <c r="T7" s="207" t="n">
        <v>12</v>
      </c>
      <c r="U7" s="207" t="n">
        <v>13</v>
      </c>
      <c r="V7" s="208" t="n">
        <v>14</v>
      </c>
      <c r="W7" s="208" t="n">
        <v>15</v>
      </c>
      <c r="X7" s="207" t="n">
        <v>16</v>
      </c>
      <c r="Y7" s="208" t="n">
        <v>17</v>
      </c>
      <c r="Z7" s="208" t="n">
        <v>18</v>
      </c>
    </row>
    <row r="8" customFormat="false" ht="12" hidden="false" customHeight="true" outlineLevel="0" collapsed="false">
      <c r="A8" s="7" t="n">
        <v>2</v>
      </c>
      <c r="B8" s="205"/>
      <c r="C8" s="206" t="s">
        <v>323</v>
      </c>
      <c r="D8" s="205"/>
      <c r="E8" s="207"/>
      <c r="F8" s="209" t="s">
        <v>41</v>
      </c>
      <c r="G8" s="209" t="s">
        <v>66</v>
      </c>
      <c r="H8" s="207" t="s">
        <v>268</v>
      </c>
      <c r="I8" s="207" t="s">
        <v>271</v>
      </c>
      <c r="J8" s="207" t="s">
        <v>273</v>
      </c>
      <c r="K8" s="207" t="s">
        <v>275</v>
      </c>
      <c r="L8" s="207" t="s">
        <v>277</v>
      </c>
      <c r="M8" s="207" t="s">
        <v>324</v>
      </c>
      <c r="N8" s="207" t="s">
        <v>271</v>
      </c>
      <c r="O8" s="207"/>
      <c r="P8" s="209" t="s">
        <v>273</v>
      </c>
      <c r="Q8" s="209" t="s">
        <v>275</v>
      </c>
      <c r="R8" s="209" t="s">
        <v>325</v>
      </c>
      <c r="S8" s="207" t="n">
        <v>101</v>
      </c>
      <c r="T8" s="207"/>
      <c r="U8" s="207"/>
      <c r="V8" s="209" t="s">
        <v>325</v>
      </c>
      <c r="W8" s="207" t="n">
        <v>103</v>
      </c>
      <c r="X8" s="209" t="s">
        <v>326</v>
      </c>
      <c r="Y8" s="209" t="s">
        <v>327</v>
      </c>
      <c r="Z8" s="209" t="s">
        <v>328</v>
      </c>
    </row>
    <row r="9" customFormat="false" ht="30" hidden="false" customHeight="true" outlineLevel="0" collapsed="false">
      <c r="A9" s="7" t="n">
        <v>3</v>
      </c>
      <c r="B9" s="23"/>
      <c r="C9" s="210" t="s">
        <v>329</v>
      </c>
      <c r="D9" s="185"/>
      <c r="E9" s="211"/>
      <c r="F9" s="212" t="s">
        <v>75</v>
      </c>
      <c r="G9" s="212" t="s">
        <v>84</v>
      </c>
      <c r="H9" s="213" t="s">
        <v>330</v>
      </c>
      <c r="I9" s="213"/>
      <c r="J9" s="213"/>
      <c r="K9" s="213"/>
      <c r="L9" s="213"/>
      <c r="M9" s="213"/>
      <c r="N9" s="214" t="s">
        <v>331</v>
      </c>
      <c r="O9" s="213"/>
      <c r="P9" s="212" t="s">
        <v>75</v>
      </c>
      <c r="Q9" s="214" t="s">
        <v>73</v>
      </c>
      <c r="R9" s="212" t="s">
        <v>75</v>
      </c>
      <c r="S9" s="213" t="s">
        <v>332</v>
      </c>
      <c r="T9" s="213"/>
      <c r="U9" s="213"/>
      <c r="V9" s="214" t="s">
        <v>72</v>
      </c>
      <c r="W9" s="214" t="s">
        <v>72</v>
      </c>
      <c r="X9" s="212" t="s">
        <v>75</v>
      </c>
      <c r="Y9" s="214" t="s">
        <v>73</v>
      </c>
      <c r="Z9" s="214" t="s">
        <v>333</v>
      </c>
    </row>
    <row r="10" customFormat="false" ht="12" hidden="false" customHeight="true" outlineLevel="0" collapsed="false">
      <c r="A10" s="7" t="n">
        <v>4</v>
      </c>
      <c r="B10" s="23" t="s">
        <v>334</v>
      </c>
      <c r="C10" s="210" t="s">
        <v>335</v>
      </c>
      <c r="D10" s="185"/>
      <c r="E10" s="211" t="s">
        <v>336</v>
      </c>
      <c r="F10" s="211" t="n">
        <v>18</v>
      </c>
      <c r="G10" s="211" t="n">
        <v>18</v>
      </c>
      <c r="H10" s="211" t="n">
        <v>20</v>
      </c>
      <c r="I10" s="211"/>
      <c r="J10" s="211"/>
      <c r="K10" s="211"/>
      <c r="L10" s="211"/>
      <c r="M10" s="211"/>
      <c r="N10" s="211" t="n">
        <v>20</v>
      </c>
      <c r="O10" s="211"/>
      <c r="P10" s="211" t="n">
        <v>18</v>
      </c>
      <c r="Q10" s="211" t="n">
        <v>24</v>
      </c>
      <c r="R10" s="211" t="n">
        <v>18</v>
      </c>
      <c r="S10" s="211" t="n">
        <v>20</v>
      </c>
      <c r="T10" s="211"/>
      <c r="U10" s="211"/>
      <c r="V10" s="211" t="n">
        <v>20</v>
      </c>
      <c r="W10" s="211" t="n">
        <v>20</v>
      </c>
      <c r="X10" s="211" t="n">
        <v>18</v>
      </c>
      <c r="Y10" s="211" t="n">
        <v>24</v>
      </c>
      <c r="Z10" s="211" t="n">
        <v>24</v>
      </c>
    </row>
    <row r="11" customFormat="false" ht="12" hidden="false" customHeight="true" outlineLevel="0" collapsed="false">
      <c r="A11" s="7" t="n">
        <v>5</v>
      </c>
      <c r="B11" s="23" t="s">
        <v>337</v>
      </c>
      <c r="C11" s="210" t="s">
        <v>338</v>
      </c>
      <c r="D11" s="185"/>
      <c r="E11" s="211" t="s">
        <v>336</v>
      </c>
      <c r="F11" s="211" t="n">
        <v>6</v>
      </c>
      <c r="G11" s="211" t="n">
        <v>6</v>
      </c>
      <c r="H11" s="211" t="n">
        <v>6</v>
      </c>
      <c r="I11" s="211"/>
      <c r="J11" s="211"/>
      <c r="K11" s="211"/>
      <c r="L11" s="211"/>
      <c r="M11" s="211"/>
      <c r="N11" s="211" t="n">
        <v>6</v>
      </c>
      <c r="O11" s="211"/>
      <c r="P11" s="211" t="n">
        <v>6</v>
      </c>
      <c r="Q11" s="211" t="n">
        <v>6</v>
      </c>
      <c r="R11" s="211" t="n">
        <v>18</v>
      </c>
      <c r="S11" s="211" t="n">
        <v>20</v>
      </c>
      <c r="T11" s="211"/>
      <c r="U11" s="211"/>
      <c r="V11" s="211" t="n">
        <v>20</v>
      </c>
      <c r="W11" s="211" t="n">
        <v>20</v>
      </c>
      <c r="X11" s="211" t="n">
        <v>18</v>
      </c>
      <c r="Y11" s="211" t="n">
        <v>18</v>
      </c>
      <c r="Z11" s="211" t="n">
        <v>20</v>
      </c>
    </row>
    <row r="12" customFormat="false" ht="12" hidden="false" customHeight="true" outlineLevel="0" collapsed="false">
      <c r="A12" s="7" t="n">
        <v>6</v>
      </c>
      <c r="B12" s="23" t="s">
        <v>339</v>
      </c>
      <c r="C12" s="210" t="s">
        <v>340</v>
      </c>
      <c r="D12" s="185"/>
      <c r="E12" s="211" t="s">
        <v>189</v>
      </c>
      <c r="F12" s="215" t="n">
        <v>14.04</v>
      </c>
      <c r="G12" s="215" t="n">
        <v>15.9</v>
      </c>
      <c r="H12" s="215" t="n">
        <v>43.55</v>
      </c>
      <c r="I12" s="215"/>
      <c r="J12" s="215"/>
      <c r="K12" s="215"/>
      <c r="L12" s="215"/>
      <c r="M12" s="215"/>
      <c r="N12" s="215" t="n">
        <v>15</v>
      </c>
      <c r="O12" s="215"/>
      <c r="P12" s="215" t="n">
        <v>13.2</v>
      </c>
      <c r="Q12" s="215" t="n">
        <v>3.1</v>
      </c>
      <c r="R12" s="215" t="n">
        <v>14.04</v>
      </c>
      <c r="S12" s="215" t="n">
        <v>922</v>
      </c>
      <c r="T12" s="215"/>
      <c r="U12" s="215"/>
      <c r="V12" s="215" t="n">
        <v>14</v>
      </c>
      <c r="W12" s="215" t="n">
        <v>11.9</v>
      </c>
      <c r="X12" s="215" t="n">
        <v>9.7</v>
      </c>
      <c r="Y12" s="215" t="n">
        <v>5.15</v>
      </c>
      <c r="Z12" s="215" t="n">
        <v>5.55</v>
      </c>
    </row>
    <row r="13" customFormat="false" ht="12" hidden="false" customHeight="true" outlineLevel="0" collapsed="false">
      <c r="A13" s="7" t="n">
        <v>7</v>
      </c>
      <c r="B13" s="23" t="s">
        <v>341</v>
      </c>
      <c r="C13" s="210" t="s">
        <v>342</v>
      </c>
      <c r="D13" s="185" t="s">
        <v>343</v>
      </c>
      <c r="E13" s="211" t="s">
        <v>344</v>
      </c>
      <c r="F13" s="216" t="n">
        <v>699</v>
      </c>
      <c r="G13" s="216" t="n">
        <v>653</v>
      </c>
      <c r="H13" s="216" t="n">
        <v>1782</v>
      </c>
      <c r="I13" s="216"/>
      <c r="J13" s="216"/>
      <c r="K13" s="216"/>
      <c r="L13" s="216"/>
      <c r="M13" s="216"/>
      <c r="N13" s="216" t="n">
        <v>769</v>
      </c>
      <c r="O13" s="216"/>
      <c r="P13" s="216" t="n">
        <v>692</v>
      </c>
      <c r="Q13" s="216" t="n">
        <v>107</v>
      </c>
      <c r="R13" s="216" t="n">
        <v>699</v>
      </c>
      <c r="S13" s="216" t="n">
        <v>16.5</v>
      </c>
      <c r="T13" s="216"/>
      <c r="U13" s="216"/>
      <c r="V13" s="216" t="n">
        <v>544</v>
      </c>
      <c r="W13" s="216" t="n">
        <v>466</v>
      </c>
      <c r="X13" s="216" t="n">
        <v>225</v>
      </c>
      <c r="Y13" s="216" t="n">
        <v>75</v>
      </c>
      <c r="Z13" s="216" t="n">
        <v>117</v>
      </c>
    </row>
    <row r="14" customFormat="false" ht="12" hidden="false" customHeight="true" outlineLevel="0" collapsed="false">
      <c r="A14" s="7" t="n">
        <v>8</v>
      </c>
      <c r="B14" s="23" t="s">
        <v>345</v>
      </c>
      <c r="C14" s="210" t="s">
        <v>346</v>
      </c>
      <c r="D14" s="185" t="s">
        <v>347</v>
      </c>
      <c r="E14" s="211" t="s">
        <v>348</v>
      </c>
      <c r="F14" s="217" t="n">
        <f aca="false">F13/F12</f>
        <v>49.7863247863248</v>
      </c>
      <c r="G14" s="217" t="n">
        <f aca="false">G13/G12</f>
        <v>41.0691823899371</v>
      </c>
      <c r="H14" s="217" t="n">
        <f aca="false">H13/H12</f>
        <v>40.9184845005741</v>
      </c>
      <c r="I14" s="217"/>
      <c r="J14" s="217"/>
      <c r="K14" s="217"/>
      <c r="L14" s="217"/>
      <c r="M14" s="217"/>
      <c r="N14" s="217" t="n">
        <f aca="false">N13/N12</f>
        <v>51.2666666666667</v>
      </c>
      <c r="O14" s="217"/>
      <c r="P14" s="217" t="n">
        <f aca="false">P13/P12</f>
        <v>52.4242424242424</v>
      </c>
      <c r="Q14" s="217" t="n">
        <f aca="false">Q13/Q12</f>
        <v>34.5161290322581</v>
      </c>
      <c r="R14" s="217" t="n">
        <f aca="false">R13/R12</f>
        <v>49.7863247863248</v>
      </c>
      <c r="S14" s="217" t="n">
        <f aca="false">S13/S12</f>
        <v>0.0178958785249458</v>
      </c>
      <c r="T14" s="217"/>
      <c r="U14" s="217"/>
      <c r="V14" s="217" t="n">
        <f aca="false">V13/V12</f>
        <v>38.8571428571429</v>
      </c>
      <c r="W14" s="217" t="n">
        <f aca="false">W13/W12</f>
        <v>39.1596638655462</v>
      </c>
      <c r="X14" s="217" t="n">
        <f aca="false">X13/X12</f>
        <v>23.1958762886598</v>
      </c>
      <c r="Y14" s="217" t="n">
        <f aca="false">Y13/Y12</f>
        <v>14.5631067961165</v>
      </c>
      <c r="Z14" s="217" t="n">
        <f aca="false">Z13/Z12</f>
        <v>21.0810810810811</v>
      </c>
    </row>
    <row r="15" customFormat="false" ht="12" hidden="false" customHeight="true" outlineLevel="0" collapsed="false">
      <c r="A15" s="7" t="n">
        <v>9</v>
      </c>
      <c r="B15" s="23" t="s">
        <v>349</v>
      </c>
      <c r="C15" s="210" t="s">
        <v>350</v>
      </c>
      <c r="D15" s="185" t="s">
        <v>351</v>
      </c>
      <c r="E15" s="211" t="s">
        <v>352</v>
      </c>
      <c r="F15" s="211" t="n">
        <v>0.012</v>
      </c>
      <c r="G15" s="211" t="n">
        <v>0.012</v>
      </c>
      <c r="H15" s="211" t="n">
        <v>0.012</v>
      </c>
      <c r="I15" s="211"/>
      <c r="J15" s="211"/>
      <c r="K15" s="211"/>
      <c r="L15" s="211"/>
      <c r="M15" s="211"/>
      <c r="N15" s="211" t="n">
        <v>0.012</v>
      </c>
      <c r="O15" s="211"/>
      <c r="P15" s="211" t="n">
        <v>0.012</v>
      </c>
      <c r="Q15" s="211" t="n">
        <v>0.012</v>
      </c>
      <c r="R15" s="211" t="n">
        <v>0.012</v>
      </c>
      <c r="S15" s="211" t="n">
        <v>0.012</v>
      </c>
      <c r="T15" s="211"/>
      <c r="U15" s="211"/>
      <c r="V15" s="211" t="n">
        <v>0.012</v>
      </c>
      <c r="W15" s="211" t="n">
        <v>0.012</v>
      </c>
      <c r="X15" s="211" t="n">
        <v>0.012</v>
      </c>
      <c r="Y15" s="211" t="n">
        <v>0.012</v>
      </c>
      <c r="Z15" s="211" t="n">
        <v>0.012</v>
      </c>
    </row>
    <row r="16" customFormat="false" ht="12" hidden="false" customHeight="true" outlineLevel="0" collapsed="false">
      <c r="A16" s="7" t="n">
        <v>10</v>
      </c>
      <c r="B16" s="23"/>
      <c r="C16" s="210" t="s">
        <v>353</v>
      </c>
      <c r="D16" s="185"/>
      <c r="E16" s="211"/>
      <c r="F16" s="215" t="n">
        <v>1</v>
      </c>
      <c r="G16" s="215" t="n">
        <v>1</v>
      </c>
      <c r="H16" s="215" t="n">
        <v>6</v>
      </c>
      <c r="I16" s="215"/>
      <c r="J16" s="215"/>
      <c r="K16" s="215"/>
      <c r="L16" s="215"/>
      <c r="M16" s="215"/>
      <c r="N16" s="215" t="n">
        <v>2</v>
      </c>
      <c r="O16" s="215"/>
      <c r="P16" s="215" t="n">
        <v>1</v>
      </c>
      <c r="Q16" s="215" t="n">
        <v>1</v>
      </c>
      <c r="R16" s="215" t="n">
        <v>1</v>
      </c>
      <c r="S16" s="215" t="n">
        <v>24.9</v>
      </c>
      <c r="T16" s="215"/>
      <c r="U16" s="215"/>
      <c r="V16" s="215" t="n">
        <v>1</v>
      </c>
      <c r="W16" s="215" t="n">
        <v>2</v>
      </c>
      <c r="X16" s="215" t="n">
        <v>1</v>
      </c>
      <c r="Y16" s="215" t="n">
        <v>1</v>
      </c>
      <c r="Z16" s="215" t="n">
        <v>1</v>
      </c>
    </row>
    <row r="17" customFormat="false" ht="12" hidden="false" customHeight="true" outlineLevel="0" collapsed="false">
      <c r="A17" s="7" t="n">
        <v>11</v>
      </c>
      <c r="B17" s="23" t="s">
        <v>354</v>
      </c>
      <c r="C17" s="210" t="s">
        <v>355</v>
      </c>
      <c r="D17" s="185"/>
      <c r="E17" s="211" t="s">
        <v>189</v>
      </c>
      <c r="F17" s="211" t="n">
        <f aca="false">F12</f>
        <v>14.04</v>
      </c>
      <c r="G17" s="211" t="n">
        <f aca="false">G12</f>
        <v>15.9</v>
      </c>
      <c r="H17" s="211" t="n">
        <v>7.26</v>
      </c>
      <c r="I17" s="211" t="n">
        <v>7.26</v>
      </c>
      <c r="J17" s="211" t="n">
        <v>7.26</v>
      </c>
      <c r="K17" s="211" t="n">
        <v>7.26</v>
      </c>
      <c r="L17" s="211" t="n">
        <v>7.26</v>
      </c>
      <c r="M17" s="211" t="n">
        <v>7.26</v>
      </c>
      <c r="N17" s="211" t="n">
        <v>7.5</v>
      </c>
      <c r="O17" s="211" t="n">
        <v>7.5</v>
      </c>
      <c r="P17" s="211" t="n">
        <f aca="false">P12</f>
        <v>13.2</v>
      </c>
      <c r="Q17" s="211" t="n">
        <f aca="false">Q12</f>
        <v>3.1</v>
      </c>
      <c r="R17" s="211" t="n">
        <f aca="false">R12</f>
        <v>14.04</v>
      </c>
      <c r="S17" s="211" t="n">
        <v>8.3</v>
      </c>
      <c r="T17" s="211" t="n">
        <v>8.3</v>
      </c>
      <c r="U17" s="211" t="n">
        <v>8.3</v>
      </c>
      <c r="V17" s="211" t="n">
        <f aca="false">V12</f>
        <v>14</v>
      </c>
      <c r="W17" s="211" t="n">
        <f aca="false">W12</f>
        <v>11.9</v>
      </c>
      <c r="X17" s="211" t="n">
        <f aca="false">X12</f>
        <v>9.7</v>
      </c>
      <c r="Y17" s="211" t="n">
        <f aca="false">Y12</f>
        <v>5.15</v>
      </c>
      <c r="Z17" s="211" t="n">
        <f aca="false">Z12</f>
        <v>5.55</v>
      </c>
    </row>
    <row r="18" customFormat="false" ht="16.5" hidden="false" customHeight="true" outlineLevel="0" collapsed="false">
      <c r="A18" s="7" t="n">
        <v>12</v>
      </c>
      <c r="B18" s="23" t="s">
        <v>356</v>
      </c>
      <c r="C18" s="210" t="s">
        <v>357</v>
      </c>
      <c r="D18" s="185"/>
      <c r="E18" s="211" t="s">
        <v>348</v>
      </c>
      <c r="F18" s="218" t="n">
        <f aca="false">F13/F17</f>
        <v>49.7863247863248</v>
      </c>
      <c r="G18" s="218" t="n">
        <f aca="false">G13/G17</f>
        <v>41.0691823899371</v>
      </c>
      <c r="H18" s="218" t="n">
        <f aca="false">H13/H17</f>
        <v>245.454545454545</v>
      </c>
      <c r="I18" s="218" t="n">
        <f aca="false">H13/I17</f>
        <v>245.454545454545</v>
      </c>
      <c r="J18" s="218" t="n">
        <f aca="false">H13/J17</f>
        <v>245.454545454545</v>
      </c>
      <c r="K18" s="218" t="n">
        <f aca="false">H13/K17</f>
        <v>245.454545454545</v>
      </c>
      <c r="L18" s="218" t="n">
        <f aca="false">H13/L17</f>
        <v>245.454545454545</v>
      </c>
      <c r="M18" s="218" t="n">
        <f aca="false">H13/M17</f>
        <v>245.454545454545</v>
      </c>
      <c r="N18" s="218" t="n">
        <f aca="false">N13/N17</f>
        <v>102.533333333333</v>
      </c>
      <c r="O18" s="218" t="n">
        <f aca="false">N13/O17</f>
        <v>102.533333333333</v>
      </c>
      <c r="P18" s="218" t="n">
        <f aca="false">P13/P17</f>
        <v>52.4242424242424</v>
      </c>
      <c r="Q18" s="218" t="n">
        <f aca="false">Q13/Q17</f>
        <v>34.5161290322581</v>
      </c>
      <c r="R18" s="218" t="n">
        <f aca="false">R13/R17</f>
        <v>49.7863247863248</v>
      </c>
      <c r="S18" s="218" t="n">
        <f aca="false">S13/S17</f>
        <v>1.98795180722892</v>
      </c>
      <c r="T18" s="218" t="n">
        <f aca="false">S13/T17</f>
        <v>1.98795180722892</v>
      </c>
      <c r="U18" s="218" t="n">
        <f aca="false">S13/U17</f>
        <v>1.98795180722892</v>
      </c>
      <c r="V18" s="218" t="n">
        <f aca="false">V13/V17</f>
        <v>38.8571428571429</v>
      </c>
      <c r="W18" s="218" t="n">
        <f aca="false">W13/W17</f>
        <v>39.1596638655462</v>
      </c>
      <c r="X18" s="218" t="n">
        <f aca="false">X13/X17</f>
        <v>23.1958762886598</v>
      </c>
      <c r="Y18" s="218" t="n">
        <f aca="false">Y13/Y17</f>
        <v>14.5631067961165</v>
      </c>
      <c r="Z18" s="218" t="n">
        <f aca="false">Z13/Z17</f>
        <v>21.0810810810811</v>
      </c>
    </row>
    <row r="19" customFormat="false" ht="19.5" hidden="false" customHeight="true" outlineLevel="0" collapsed="false">
      <c r="A19" s="7" t="n">
        <v>13</v>
      </c>
      <c r="B19" s="23" t="s">
        <v>358</v>
      </c>
      <c r="C19" s="210" t="s">
        <v>359</v>
      </c>
      <c r="D19" s="185"/>
      <c r="E19" s="211" t="s">
        <v>336</v>
      </c>
      <c r="F19" s="218" t="n">
        <f aca="false">F10+(F14/8.92)^0.91</f>
        <v>22.7812135800069</v>
      </c>
      <c r="G19" s="218" t="n">
        <f aca="false">G10+(G14/8.92)^0.91</f>
        <v>22.0129855354176</v>
      </c>
      <c r="H19" s="218" t="n">
        <f aca="false">H10+(H14/8.92)^0.91</f>
        <v>23.9995834648404</v>
      </c>
      <c r="I19" s="218" t="n">
        <v>30</v>
      </c>
      <c r="J19" s="218" t="n">
        <v>30</v>
      </c>
      <c r="K19" s="218" t="n">
        <v>30</v>
      </c>
      <c r="L19" s="218" t="n">
        <v>30</v>
      </c>
      <c r="M19" s="218" t="n">
        <v>30</v>
      </c>
      <c r="N19" s="218" t="n">
        <f aca="false">N10+(N14/8.92)^0.91</f>
        <v>24.910411701326</v>
      </c>
      <c r="O19" s="218" t="n">
        <v>30</v>
      </c>
      <c r="P19" s="218" t="n">
        <f aca="false">P10+(P14/8.92)^0.91</f>
        <v>23.0112059428363</v>
      </c>
      <c r="Q19" s="218" t="n">
        <f aca="false">Q10+(Q14/8.92)^0.91</f>
        <v>27.4258479115973</v>
      </c>
      <c r="R19" s="218" t="n">
        <f aca="false">R10+(R14/8.92)^0.91</f>
        <v>22.7812135800069</v>
      </c>
      <c r="S19" s="218" t="n">
        <f aca="false">S10+(S14/8.92)^0.91</f>
        <v>20.0035089181155</v>
      </c>
      <c r="T19" s="218" t="n">
        <v>30</v>
      </c>
      <c r="U19" s="218" t="n">
        <v>30</v>
      </c>
      <c r="V19" s="218" t="n">
        <f aca="false">V10+(V14/8.92)^0.91</f>
        <v>23.8158076010022</v>
      </c>
      <c r="W19" s="218" t="n">
        <f aca="false">W10+(W14/8.92)^0.91</f>
        <v>23.842832295009</v>
      </c>
      <c r="X19" s="218" t="n">
        <f aca="false">X10+(X14/8.92)^0.91</f>
        <v>20.3861173347169</v>
      </c>
      <c r="Y19" s="218" t="n">
        <f aca="false">Y10+(Y14/8.92)^0.91</f>
        <v>25.5621730950399</v>
      </c>
      <c r="Z19" s="218" t="n">
        <f aca="false">Z10+(Z14/8.92)^0.91</f>
        <v>26.1873108239002</v>
      </c>
    </row>
    <row r="20" customFormat="false" ht="12" hidden="false" customHeight="true" outlineLevel="0" collapsed="false">
      <c r="A20" s="7" t="n">
        <v>14</v>
      </c>
      <c r="B20" s="23" t="s">
        <v>360</v>
      </c>
      <c r="C20" s="210" t="s">
        <v>361</v>
      </c>
      <c r="D20" s="185"/>
      <c r="E20" s="211" t="s">
        <v>336</v>
      </c>
      <c r="F20" s="211" t="n">
        <v>50</v>
      </c>
      <c r="G20" s="211" t="n">
        <v>50</v>
      </c>
      <c r="H20" s="211" t="n">
        <v>50</v>
      </c>
      <c r="I20" s="211" t="n">
        <v>50</v>
      </c>
      <c r="J20" s="211" t="n">
        <v>50</v>
      </c>
      <c r="K20" s="211" t="n">
        <v>50</v>
      </c>
      <c r="L20" s="211" t="n">
        <v>50</v>
      </c>
      <c r="M20" s="211" t="n">
        <v>50</v>
      </c>
      <c r="N20" s="211" t="n">
        <v>50</v>
      </c>
      <c r="O20" s="211" t="n">
        <v>50</v>
      </c>
      <c r="P20" s="211" t="n">
        <v>50</v>
      </c>
      <c r="Q20" s="211" t="n">
        <v>50</v>
      </c>
      <c r="R20" s="211" t="n">
        <v>50</v>
      </c>
      <c r="S20" s="211" t="n">
        <v>50</v>
      </c>
      <c r="T20" s="211" t="n">
        <v>50</v>
      </c>
      <c r="U20" s="211" t="n">
        <v>50</v>
      </c>
      <c r="V20" s="211" t="n">
        <v>50</v>
      </c>
      <c r="W20" s="211" t="n">
        <v>50</v>
      </c>
      <c r="X20" s="211" t="n">
        <v>50</v>
      </c>
      <c r="Y20" s="211" t="n">
        <v>50</v>
      </c>
      <c r="Z20" s="211" t="n">
        <v>50</v>
      </c>
    </row>
    <row r="21" customFormat="false" ht="12" hidden="false" customHeight="true" outlineLevel="0" collapsed="false">
      <c r="A21" s="7" t="n">
        <v>15</v>
      </c>
      <c r="B21" s="219" t="s">
        <v>362</v>
      </c>
      <c r="C21" s="210" t="s">
        <v>363</v>
      </c>
      <c r="D21" s="185" t="s">
        <v>364</v>
      </c>
      <c r="E21" s="211" t="s">
        <v>336</v>
      </c>
      <c r="F21" s="211" t="n">
        <f aca="false">F20-F10</f>
        <v>32</v>
      </c>
      <c r="G21" s="211" t="n">
        <f aca="false">G20-G10</f>
        <v>32</v>
      </c>
      <c r="H21" s="211" t="n">
        <f aca="false">H20-H10</f>
        <v>30</v>
      </c>
      <c r="I21" s="211" t="n">
        <f aca="false">I20-H10</f>
        <v>30</v>
      </c>
      <c r="J21" s="211" t="n">
        <f aca="false">J20-H10</f>
        <v>30</v>
      </c>
      <c r="K21" s="211" t="n">
        <f aca="false">K20-H10</f>
        <v>30</v>
      </c>
      <c r="L21" s="211" t="n">
        <f aca="false">L20-H10</f>
        <v>30</v>
      </c>
      <c r="M21" s="211" t="n">
        <f aca="false">M20-H10</f>
        <v>30</v>
      </c>
      <c r="N21" s="211" t="n">
        <f aca="false">N20-N10</f>
        <v>30</v>
      </c>
      <c r="O21" s="211" t="n">
        <f aca="false">O20-N10</f>
        <v>30</v>
      </c>
      <c r="P21" s="211" t="n">
        <f aca="false">P20-P10</f>
        <v>32</v>
      </c>
      <c r="Q21" s="211" t="n">
        <f aca="false">Q20-Q10</f>
        <v>26</v>
      </c>
      <c r="R21" s="211" t="n">
        <f aca="false">R20-R10</f>
        <v>32</v>
      </c>
      <c r="S21" s="211" t="n">
        <f aca="false">S20-S10</f>
        <v>30</v>
      </c>
      <c r="T21" s="211" t="n">
        <f aca="false">T20-S10</f>
        <v>30</v>
      </c>
      <c r="U21" s="211" t="n">
        <f aca="false">U20-S10</f>
        <v>30</v>
      </c>
      <c r="V21" s="211" t="n">
        <f aca="false">V20-V10</f>
        <v>30</v>
      </c>
      <c r="W21" s="211" t="n">
        <f aca="false">W20-W10</f>
        <v>30</v>
      </c>
      <c r="X21" s="211" t="n">
        <f aca="false">X20-X10</f>
        <v>32</v>
      </c>
      <c r="Y21" s="211" t="n">
        <f aca="false">Y20-Y10</f>
        <v>26</v>
      </c>
      <c r="Z21" s="211" t="n">
        <f aca="false">Z20-Z10</f>
        <v>26</v>
      </c>
    </row>
    <row r="22" customFormat="false" ht="12" hidden="false" customHeight="true" outlineLevel="0" collapsed="false">
      <c r="A22" s="7" t="n">
        <v>16</v>
      </c>
      <c r="B22" s="220" t="s">
        <v>365</v>
      </c>
      <c r="C22" s="210" t="s">
        <v>366</v>
      </c>
      <c r="D22" s="185" t="s">
        <v>367</v>
      </c>
      <c r="E22" s="211"/>
      <c r="F22" s="211" t="n">
        <v>20</v>
      </c>
      <c r="G22" s="211" t="n">
        <v>25</v>
      </c>
      <c r="H22" s="211" t="n">
        <v>15</v>
      </c>
      <c r="I22" s="211" t="n">
        <v>15</v>
      </c>
      <c r="J22" s="211" t="n">
        <v>20</v>
      </c>
      <c r="K22" s="211" t="n">
        <v>20</v>
      </c>
      <c r="L22" s="211" t="n">
        <v>20</v>
      </c>
      <c r="M22" s="211" t="n">
        <v>20</v>
      </c>
      <c r="N22" s="211" t="n">
        <v>20</v>
      </c>
      <c r="O22" s="211" t="n">
        <v>20</v>
      </c>
      <c r="P22" s="211" t="n">
        <v>20</v>
      </c>
      <c r="Q22" s="211" t="n">
        <v>20</v>
      </c>
      <c r="R22" s="211" t="n">
        <v>20</v>
      </c>
      <c r="S22" s="211" t="n">
        <v>15</v>
      </c>
      <c r="T22" s="211" t="n">
        <v>15</v>
      </c>
      <c r="U22" s="211" t="n">
        <v>20</v>
      </c>
      <c r="V22" s="211" t="n">
        <v>15</v>
      </c>
      <c r="W22" s="211" t="n">
        <v>20</v>
      </c>
      <c r="X22" s="211" t="n">
        <v>15</v>
      </c>
      <c r="Y22" s="211" t="n">
        <v>20</v>
      </c>
      <c r="Z22" s="211" t="n">
        <v>20</v>
      </c>
    </row>
    <row r="23" customFormat="false" ht="12" hidden="false" customHeight="true" outlineLevel="0" collapsed="false">
      <c r="A23" s="7" t="s">
        <v>368</v>
      </c>
      <c r="B23" s="220" t="s">
        <v>369</v>
      </c>
      <c r="C23" s="210" t="s">
        <v>370</v>
      </c>
      <c r="D23" s="185" t="s">
        <v>371</v>
      </c>
      <c r="E23" s="211" t="s">
        <v>336</v>
      </c>
      <c r="F23" s="221" t="n">
        <v>36</v>
      </c>
      <c r="G23" s="221" t="n">
        <v>36</v>
      </c>
      <c r="H23" s="221" t="n">
        <v>40</v>
      </c>
      <c r="I23" s="221" t="n">
        <v>40</v>
      </c>
      <c r="J23" s="221" t="n">
        <v>40</v>
      </c>
      <c r="K23" s="221" t="n">
        <v>40</v>
      </c>
      <c r="L23" s="221" t="n">
        <v>40</v>
      </c>
      <c r="M23" s="221" t="n">
        <v>40</v>
      </c>
      <c r="N23" s="221" t="n">
        <v>40</v>
      </c>
      <c r="O23" s="221" t="n">
        <v>40</v>
      </c>
      <c r="P23" s="221" t="n">
        <v>36</v>
      </c>
      <c r="Q23" s="221" t="n">
        <v>30</v>
      </c>
      <c r="R23" s="221" t="n">
        <v>36</v>
      </c>
      <c r="S23" s="221" t="n">
        <v>40</v>
      </c>
      <c r="T23" s="221" t="n">
        <v>40</v>
      </c>
      <c r="U23" s="221" t="n">
        <v>40</v>
      </c>
      <c r="V23" s="221" t="n">
        <v>40</v>
      </c>
      <c r="W23" s="221" t="n">
        <v>40</v>
      </c>
      <c r="X23" s="221" t="n">
        <v>36</v>
      </c>
      <c r="Y23" s="221" t="n">
        <v>30</v>
      </c>
      <c r="Z23" s="221" t="n">
        <v>30</v>
      </c>
    </row>
    <row r="24" customFormat="false" ht="12" hidden="false" customHeight="true" outlineLevel="0" collapsed="false">
      <c r="A24" s="7" t="s">
        <v>372</v>
      </c>
      <c r="B24" s="219" t="s">
        <v>373</v>
      </c>
      <c r="C24" s="210" t="s">
        <v>374</v>
      </c>
      <c r="D24" s="185"/>
      <c r="E24" s="211" t="s">
        <v>336</v>
      </c>
      <c r="F24" s="211" t="n">
        <f aca="false">F23-F10</f>
        <v>18</v>
      </c>
      <c r="G24" s="211" t="n">
        <f aca="false">G23-G10</f>
        <v>18</v>
      </c>
      <c r="H24" s="211" t="n">
        <f aca="false">H23-H10</f>
        <v>20</v>
      </c>
      <c r="I24" s="211" t="n">
        <f aca="false">I23-H10</f>
        <v>20</v>
      </c>
      <c r="J24" s="211" t="n">
        <f aca="false">J23-H10</f>
        <v>20</v>
      </c>
      <c r="K24" s="211" t="n">
        <f aca="false">K23-H10</f>
        <v>20</v>
      </c>
      <c r="L24" s="211" t="n">
        <f aca="false">L23-H10</f>
        <v>20</v>
      </c>
      <c r="M24" s="211" t="n">
        <f aca="false">M23-H10</f>
        <v>20</v>
      </c>
      <c r="N24" s="211" t="n">
        <f aca="false">N23-N10</f>
        <v>20</v>
      </c>
      <c r="O24" s="211" t="n">
        <f aca="false">O23-N10</f>
        <v>20</v>
      </c>
      <c r="P24" s="211" t="n">
        <f aca="false">P23-P10</f>
        <v>18</v>
      </c>
      <c r="Q24" s="211" t="n">
        <f aca="false">Q23-Q10</f>
        <v>6</v>
      </c>
      <c r="R24" s="211" t="n">
        <f aca="false">R23-R10</f>
        <v>18</v>
      </c>
      <c r="S24" s="211" t="n">
        <f aca="false">S23-S10</f>
        <v>20</v>
      </c>
      <c r="T24" s="211" t="n">
        <f aca="false">T23-S10</f>
        <v>20</v>
      </c>
      <c r="U24" s="211" t="n">
        <f aca="false">U23-S10</f>
        <v>20</v>
      </c>
      <c r="V24" s="211" t="n">
        <f aca="false">V23-V10</f>
        <v>20</v>
      </c>
      <c r="W24" s="211" t="n">
        <f aca="false">W23-W10</f>
        <v>20</v>
      </c>
      <c r="X24" s="211" t="n">
        <f aca="false">X23-X10</f>
        <v>18</v>
      </c>
      <c r="Y24" s="211" t="n">
        <f aca="false">Y23-Y10</f>
        <v>6</v>
      </c>
      <c r="Z24" s="211" t="n">
        <f aca="false">Z23-Z10</f>
        <v>6</v>
      </c>
    </row>
    <row r="25" customFormat="false" ht="12" hidden="false" customHeight="true" outlineLevel="0" collapsed="false">
      <c r="A25" s="7" t="n">
        <v>18</v>
      </c>
      <c r="B25" s="219" t="s">
        <v>375</v>
      </c>
      <c r="C25" s="210" t="s">
        <v>376</v>
      </c>
      <c r="D25" s="185" t="s">
        <v>377</v>
      </c>
      <c r="E25" s="211" t="s">
        <v>336</v>
      </c>
      <c r="F25" s="211" t="n">
        <f aca="false">2*(F21-F24)</f>
        <v>28</v>
      </c>
      <c r="G25" s="211" t="n">
        <f aca="false">2*(G21-G24)</f>
        <v>28</v>
      </c>
      <c r="H25" s="211" t="n">
        <f aca="false">2*(H21-H24)</f>
        <v>20</v>
      </c>
      <c r="I25" s="211" t="n">
        <f aca="false">2*(I21-I24)</f>
        <v>20</v>
      </c>
      <c r="J25" s="211" t="n">
        <f aca="false">2*(J21-J24)</f>
        <v>20</v>
      </c>
      <c r="K25" s="211" t="n">
        <f aca="false">2*(K21-K24)</f>
        <v>20</v>
      </c>
      <c r="L25" s="211" t="n">
        <f aca="false">2*(L21-L24)</f>
        <v>20</v>
      </c>
      <c r="M25" s="211" t="n">
        <f aca="false">2*(M21-M24)</f>
        <v>20</v>
      </c>
      <c r="N25" s="211" t="n">
        <f aca="false">2*(N21-N24)</f>
        <v>20</v>
      </c>
      <c r="O25" s="211" t="n">
        <f aca="false">2*(O21-O24)</f>
        <v>20</v>
      </c>
      <c r="P25" s="211" t="n">
        <f aca="false">2*(P21-P24)</f>
        <v>28</v>
      </c>
      <c r="Q25" s="211" t="n">
        <f aca="false">2*(Q21-Q24)</f>
        <v>40</v>
      </c>
      <c r="R25" s="211" t="n">
        <f aca="false">2*(R21-R24)</f>
        <v>28</v>
      </c>
      <c r="S25" s="211" t="n">
        <f aca="false">2*(S21-S24)</f>
        <v>20</v>
      </c>
      <c r="T25" s="211" t="n">
        <f aca="false">2*(T21-T24)</f>
        <v>20</v>
      </c>
      <c r="U25" s="211" t="n">
        <f aca="false">2*(U21-U24)</f>
        <v>20</v>
      </c>
      <c r="V25" s="211" t="n">
        <f aca="false">2*(V21-V24)</f>
        <v>20</v>
      </c>
      <c r="W25" s="211" t="n">
        <f aca="false">2*(W21-W24)</f>
        <v>20</v>
      </c>
      <c r="X25" s="211" t="n">
        <f aca="false">2*(X21-X24)</f>
        <v>28</v>
      </c>
      <c r="Y25" s="211" t="n">
        <f aca="false">2*(Y21-Y24)</f>
        <v>40</v>
      </c>
      <c r="Z25" s="211" t="n">
        <f aca="false">2*(Z21-Z24)</f>
        <v>40</v>
      </c>
    </row>
    <row r="26" customFormat="false" ht="12" hidden="false" customHeight="true" outlineLevel="0" collapsed="false">
      <c r="A26" s="7" t="n">
        <v>19</v>
      </c>
      <c r="B26" s="220" t="s">
        <v>378</v>
      </c>
      <c r="C26" s="210" t="s">
        <v>379</v>
      </c>
      <c r="D26" s="222" t="s">
        <v>380</v>
      </c>
      <c r="E26" s="211" t="s">
        <v>348</v>
      </c>
      <c r="F26" s="218" t="n">
        <f aca="false">0.2*F14</f>
        <v>9.95726495726496</v>
      </c>
      <c r="G26" s="218" t="n">
        <f aca="false">0.2*G14</f>
        <v>8.21383647798742</v>
      </c>
      <c r="H26" s="218" t="n">
        <f aca="false">0.2*H14</f>
        <v>8.18369690011481</v>
      </c>
      <c r="I26" s="218" t="n">
        <f aca="false">0.2*H14</f>
        <v>8.18369690011481</v>
      </c>
      <c r="J26" s="218" t="n">
        <f aca="false">0.2*H14</f>
        <v>8.18369690011481</v>
      </c>
      <c r="K26" s="218" t="n">
        <f aca="false">0.2*H14</f>
        <v>8.18369690011481</v>
      </c>
      <c r="L26" s="218" t="n">
        <f aca="false">0.2*H14</f>
        <v>8.18369690011481</v>
      </c>
      <c r="M26" s="218" t="n">
        <f aca="false">0.2*H14</f>
        <v>8.18369690011481</v>
      </c>
      <c r="N26" s="218" t="n">
        <f aca="false">0.2*N14</f>
        <v>10.2533333333333</v>
      </c>
      <c r="O26" s="218" t="n">
        <f aca="false">0.2*N14</f>
        <v>10.2533333333333</v>
      </c>
      <c r="P26" s="218" t="n">
        <f aca="false">0.2*P14</f>
        <v>10.4848484848485</v>
      </c>
      <c r="Q26" s="218" t="n">
        <f aca="false">0.2*Q14</f>
        <v>6.90322580645161</v>
      </c>
      <c r="R26" s="218" t="n">
        <f aca="false">0.2*R14</f>
        <v>9.95726495726496</v>
      </c>
      <c r="S26" s="218" t="n">
        <f aca="false">0.2*S14</f>
        <v>0.00357917570498915</v>
      </c>
      <c r="T26" s="218" t="n">
        <f aca="false">0.2*S14</f>
        <v>0.00357917570498915</v>
      </c>
      <c r="U26" s="218" t="n">
        <f aca="false">0.2*S14</f>
        <v>0.00357917570498915</v>
      </c>
      <c r="V26" s="218" t="n">
        <f aca="false">0.2*V14</f>
        <v>7.77142857142857</v>
      </c>
      <c r="W26" s="218" t="n">
        <f aca="false">0.2*W14</f>
        <v>7.83193277310924</v>
      </c>
      <c r="X26" s="218" t="n">
        <f aca="false">0.2*X14</f>
        <v>4.63917525773196</v>
      </c>
      <c r="Y26" s="218" t="n">
        <f aca="false">0.2*Y14</f>
        <v>2.9126213592233</v>
      </c>
      <c r="Z26" s="218" t="n">
        <f aca="false">0.2*Z14</f>
        <v>4.21621621621622</v>
      </c>
    </row>
    <row r="27" customFormat="false" ht="12" hidden="false" customHeight="true" outlineLevel="0" collapsed="false">
      <c r="A27" s="7" t="n">
        <v>20</v>
      </c>
      <c r="B27" s="220" t="s">
        <v>381</v>
      </c>
      <c r="C27" s="210" t="s">
        <v>382</v>
      </c>
      <c r="D27" s="185" t="s">
        <v>383</v>
      </c>
      <c r="E27" s="211" t="s">
        <v>384</v>
      </c>
      <c r="F27" s="223" t="n">
        <f aca="false">F17*(F14+F26)</f>
        <v>838.8</v>
      </c>
      <c r="G27" s="223" t="n">
        <f aca="false">G17*(G14+G26)</f>
        <v>783.6</v>
      </c>
      <c r="H27" s="223" t="n">
        <f aca="false">H17*(H14+H26)</f>
        <v>356.481836969001</v>
      </c>
      <c r="I27" s="223" t="n">
        <f aca="false">I17*(H14+I26)</f>
        <v>356.481836969001</v>
      </c>
      <c r="J27" s="223" t="n">
        <f aca="false">J17*(I14+J26)</f>
        <v>59.4136394948335</v>
      </c>
      <c r="K27" s="223" t="n">
        <f aca="false">K17*(J14+K26)</f>
        <v>59.4136394948335</v>
      </c>
      <c r="L27" s="223" t="n">
        <f aca="false">L17*(K14+L26)</f>
        <v>59.4136394948335</v>
      </c>
      <c r="M27" s="223" t="n">
        <f aca="false">M17*(L14+M26)</f>
        <v>59.4136394948335</v>
      </c>
      <c r="N27" s="223" t="n">
        <f aca="false">N17*(N14+N26)</f>
        <v>461.4</v>
      </c>
      <c r="O27" s="223" t="n">
        <f aca="false">O17*(N14+O26)</f>
        <v>461.4</v>
      </c>
      <c r="P27" s="223" t="n">
        <f aca="false">P17*(P14+P26)</f>
        <v>830.4</v>
      </c>
      <c r="Q27" s="223" t="n">
        <f aca="false">Q17*(Q14+Q26)</f>
        <v>128.4</v>
      </c>
      <c r="R27" s="223" t="n">
        <f aca="false">R17*(R14+R26)</f>
        <v>838.8</v>
      </c>
      <c r="S27" s="223" t="n">
        <f aca="false">S17*(S14+S26)</f>
        <v>0.17824295010846</v>
      </c>
      <c r="T27" s="223" t="n">
        <f aca="false">T17*(S14+T26)</f>
        <v>0.17824295010846</v>
      </c>
      <c r="U27" s="223" t="n">
        <f aca="false">U17*(T14+U26)</f>
        <v>0.02970715835141</v>
      </c>
      <c r="V27" s="223" t="n">
        <f aca="false">V17*(V14+V26)</f>
        <v>652.8</v>
      </c>
      <c r="W27" s="223" t="n">
        <f aca="false">W17*(W14+W26)</f>
        <v>559.2</v>
      </c>
      <c r="X27" s="223" t="n">
        <f aca="false">X17*(X14+X26)</f>
        <v>270</v>
      </c>
      <c r="Y27" s="223" t="n">
        <f aca="false">Y17*(Y14+Y26)</f>
        <v>90</v>
      </c>
      <c r="Z27" s="223" t="n">
        <f aca="false">Z17*(Z14+Z26)</f>
        <v>140.4</v>
      </c>
    </row>
    <row r="28" customFormat="false" ht="12" hidden="false" customHeight="true" outlineLevel="0" collapsed="false">
      <c r="A28" s="7" t="n">
        <v>21</v>
      </c>
      <c r="B28" s="220" t="s">
        <v>188</v>
      </c>
      <c r="C28" s="210" t="s">
        <v>385</v>
      </c>
      <c r="D28" s="185" t="s">
        <v>386</v>
      </c>
      <c r="E28" s="211" t="s">
        <v>387</v>
      </c>
      <c r="F28" s="224" t="n">
        <f aca="false">F27/(1.163*F21)</f>
        <v>22.5386930352537</v>
      </c>
      <c r="G28" s="224" t="n">
        <f aca="false">G27/(1.163*G21)</f>
        <v>21.0554600171969</v>
      </c>
      <c r="H28" s="224" t="n">
        <f aca="false">H27/(1.163*H21)</f>
        <v>10.2173068778734</v>
      </c>
      <c r="I28" s="224" t="n">
        <f aca="false">I27/(1.163*I21)</f>
        <v>10.2173068778734</v>
      </c>
      <c r="J28" s="224" t="n">
        <f aca="false">J27/(1.163*J21)</f>
        <v>1.70288447964556</v>
      </c>
      <c r="K28" s="224" t="n">
        <f aca="false">K27/(1.163*K21)</f>
        <v>1.70288447964556</v>
      </c>
      <c r="L28" s="224" t="n">
        <f aca="false">L27/(1.163*L21)</f>
        <v>1.70288447964556</v>
      </c>
      <c r="M28" s="224" t="n">
        <f aca="false">M27/(1.163*M21)</f>
        <v>1.70288447964556</v>
      </c>
      <c r="N28" s="224" t="n">
        <f aca="false">N27/(1.163*N21)</f>
        <v>13.2244196044712</v>
      </c>
      <c r="O28" s="224" t="n">
        <f aca="false">O27/(1.163*O21)</f>
        <v>13.2244196044712</v>
      </c>
      <c r="P28" s="224" t="n">
        <f aca="false">P27/(1.163*P21)</f>
        <v>22.3129836629407</v>
      </c>
      <c r="Q28" s="224" t="n">
        <f aca="false">Q27/(1.163*Q21)</f>
        <v>4.2463125868113</v>
      </c>
      <c r="R28" s="224" t="n">
        <f aca="false">R27/(1.163*R21)</f>
        <v>22.5386930352537</v>
      </c>
      <c r="S28" s="224" t="n">
        <f aca="false">S27/(1.163*S21)</f>
        <v>0.00510871166834222</v>
      </c>
      <c r="T28" s="224" t="n">
        <f aca="false">T27/(1.163*T21)</f>
        <v>0.00510871166834222</v>
      </c>
      <c r="U28" s="224" t="n">
        <f aca="false">U27/(1.163*U21)</f>
        <v>0.000851451944723703</v>
      </c>
      <c r="V28" s="224" t="n">
        <f aca="false">V27/(1.163*V21)</f>
        <v>18.7102321582115</v>
      </c>
      <c r="W28" s="224" t="n">
        <f aca="false">W27/(1.163*W21)</f>
        <v>16.0275150472915</v>
      </c>
      <c r="X28" s="224" t="n">
        <f aca="false">X27/(1.163*X21)</f>
        <v>7.25494411006019</v>
      </c>
      <c r="Y28" s="224" t="n">
        <f aca="false">Y27/(1.163*Y21)</f>
        <v>2.97638732720418</v>
      </c>
      <c r="Z28" s="224" t="n">
        <f aca="false">Z27/(1.163*Z21)</f>
        <v>4.64316423043852</v>
      </c>
    </row>
    <row r="29" customFormat="false" ht="12" hidden="false" customHeight="true" outlineLevel="0" collapsed="false">
      <c r="A29" s="7" t="n">
        <v>22</v>
      </c>
      <c r="B29" s="220" t="s">
        <v>388</v>
      </c>
      <c r="C29" s="210" t="s">
        <v>256</v>
      </c>
      <c r="D29" s="185" t="s">
        <v>389</v>
      </c>
      <c r="E29" s="211" t="s">
        <v>188</v>
      </c>
      <c r="F29" s="225" t="n">
        <f aca="false">F17/(F22*0.01)</f>
        <v>70.2</v>
      </c>
      <c r="G29" s="225" t="n">
        <f aca="false">G17/(G22*0.01)</f>
        <v>63.6</v>
      </c>
      <c r="H29" s="225" t="n">
        <f aca="false">H17/(H22*0.01)</f>
        <v>48.4</v>
      </c>
      <c r="I29" s="225" t="n">
        <f aca="false">I17/(I22*0.01)</f>
        <v>48.4</v>
      </c>
      <c r="J29" s="225" t="n">
        <f aca="false">J17/(J22*0.01)</f>
        <v>36.3</v>
      </c>
      <c r="K29" s="225" t="n">
        <f aca="false">K17/(K22*0.01)</f>
        <v>36.3</v>
      </c>
      <c r="L29" s="225" t="n">
        <f aca="false">L17/(L22*0.01)</f>
        <v>36.3</v>
      </c>
      <c r="M29" s="225" t="n">
        <f aca="false">M17/(M22*0.01)</f>
        <v>36.3</v>
      </c>
      <c r="N29" s="225" t="n">
        <f aca="false">N17/(N22*0.01)</f>
        <v>37.5</v>
      </c>
      <c r="O29" s="225" t="n">
        <f aca="false">O17/(O22*0.01)</f>
        <v>37.5</v>
      </c>
      <c r="P29" s="225" t="n">
        <f aca="false">P17/(P22*0.01)</f>
        <v>66</v>
      </c>
      <c r="Q29" s="225" t="n">
        <f aca="false">Q17/(Q22*0.01)</f>
        <v>15.5</v>
      </c>
      <c r="R29" s="225" t="n">
        <f aca="false">R17/(R22*0.01)</f>
        <v>70.2</v>
      </c>
      <c r="S29" s="225" t="n">
        <f aca="false">S17/(S22*0.01)</f>
        <v>55.3333333333333</v>
      </c>
      <c r="T29" s="225" t="n">
        <f aca="false">T17/(T22*0.01)</f>
        <v>55.3333333333333</v>
      </c>
      <c r="U29" s="225" t="n">
        <f aca="false">U17/(U22*0.01)</f>
        <v>41.5</v>
      </c>
      <c r="V29" s="225" t="n">
        <f aca="false">V17/(V22*0.01)</f>
        <v>93.3333333333333</v>
      </c>
      <c r="W29" s="225" t="n">
        <f aca="false">W17/(W22*0.01)</f>
        <v>59.5</v>
      </c>
      <c r="X29" s="225" t="n">
        <f aca="false">X17/(X22*0.01)</f>
        <v>64.6666666666667</v>
      </c>
      <c r="Y29" s="225" t="n">
        <f aca="false">Y17/(Y22*0.01)</f>
        <v>25.75</v>
      </c>
      <c r="Z29" s="225" t="n">
        <f aca="false">Z17/(Z22*0.01)</f>
        <v>27.75</v>
      </c>
    </row>
    <row r="30" customFormat="false" ht="12" hidden="false" customHeight="true" outlineLevel="0" collapsed="false">
      <c r="A30" s="7" t="n">
        <v>23</v>
      </c>
      <c r="B30" s="220" t="s">
        <v>390</v>
      </c>
      <c r="C30" s="210" t="s">
        <v>391</v>
      </c>
      <c r="D30" s="185" t="s">
        <v>367</v>
      </c>
      <c r="E30" s="211" t="s">
        <v>188</v>
      </c>
      <c r="F30" s="226"/>
      <c r="G30" s="226"/>
      <c r="H30" s="227" t="s">
        <v>392</v>
      </c>
      <c r="I30" s="226"/>
      <c r="J30" s="226"/>
      <c r="K30" s="226"/>
      <c r="L30" s="226"/>
      <c r="M30" s="226"/>
      <c r="N30" s="227"/>
      <c r="O30" s="226"/>
      <c r="P30" s="226"/>
      <c r="Q30" s="226"/>
      <c r="R30" s="226"/>
      <c r="S30" s="227" t="s">
        <v>392</v>
      </c>
      <c r="T30" s="226"/>
      <c r="U30" s="226"/>
      <c r="V30" s="226"/>
      <c r="W30" s="227"/>
      <c r="X30" s="226"/>
      <c r="Y30" s="226"/>
      <c r="Z30" s="226"/>
    </row>
    <row r="31" customFormat="false" ht="12" hidden="false" customHeight="true" outlineLevel="0" collapsed="false">
      <c r="A31" s="7" t="n">
        <v>24</v>
      </c>
      <c r="B31" s="220" t="s">
        <v>212</v>
      </c>
      <c r="C31" s="210" t="s">
        <v>393</v>
      </c>
      <c r="D31" s="185" t="s">
        <v>394</v>
      </c>
      <c r="E31" s="211" t="s">
        <v>188</v>
      </c>
      <c r="F31" s="228" t="n">
        <f aca="false">F29+0</f>
        <v>70.2</v>
      </c>
      <c r="G31" s="228" t="n">
        <f aca="false">G29+0</f>
        <v>63.6</v>
      </c>
      <c r="H31" s="228" t="n">
        <f aca="false">H29+0</f>
        <v>48.4</v>
      </c>
      <c r="I31" s="228" t="n">
        <f aca="false">I29+0</f>
        <v>48.4</v>
      </c>
      <c r="J31" s="228" t="n">
        <f aca="false">J29+0</f>
        <v>36.3</v>
      </c>
      <c r="K31" s="228" t="n">
        <f aca="false">K29+0</f>
        <v>36.3</v>
      </c>
      <c r="L31" s="228" t="n">
        <f aca="false">L29+0</f>
        <v>36.3</v>
      </c>
      <c r="M31" s="228" t="n">
        <f aca="false">M29+0</f>
        <v>36.3</v>
      </c>
      <c r="N31" s="228" t="n">
        <f aca="false">N29+0</f>
        <v>37.5</v>
      </c>
      <c r="O31" s="228" t="n">
        <f aca="false">O29+0</f>
        <v>37.5</v>
      </c>
      <c r="P31" s="228" t="n">
        <f aca="false">P29+0</f>
        <v>66</v>
      </c>
      <c r="Q31" s="228" t="n">
        <f aca="false">Q29+0</f>
        <v>15.5</v>
      </c>
      <c r="R31" s="228" t="n">
        <f aca="false">R29+0</f>
        <v>70.2</v>
      </c>
      <c r="S31" s="228" t="n">
        <f aca="false">S29+0</f>
        <v>55.3333333333333</v>
      </c>
      <c r="T31" s="228" t="n">
        <f aca="false">T29+0</f>
        <v>55.3333333333333</v>
      </c>
      <c r="U31" s="228" t="n">
        <f aca="false">U29+0</f>
        <v>41.5</v>
      </c>
      <c r="V31" s="228" t="n">
        <f aca="false">V29+0</f>
        <v>93.3333333333333</v>
      </c>
      <c r="W31" s="228" t="n">
        <f aca="false">W29+0</f>
        <v>59.5</v>
      </c>
      <c r="X31" s="228" t="n">
        <f aca="false">X29+0</f>
        <v>64.6666666666667</v>
      </c>
      <c r="Y31" s="228" t="n">
        <f aca="false">Y29+0</f>
        <v>25.75</v>
      </c>
      <c r="Z31" s="228" t="n">
        <f aca="false">Z29+0</f>
        <v>27.75</v>
      </c>
    </row>
    <row r="32" customFormat="false" ht="12" hidden="false" customHeight="true" outlineLevel="0" collapsed="false">
      <c r="A32" s="7" t="n">
        <v>25</v>
      </c>
      <c r="B32" s="219" t="s">
        <v>395</v>
      </c>
      <c r="C32" s="210" t="s">
        <v>396</v>
      </c>
      <c r="D32" s="185" t="s">
        <v>397</v>
      </c>
      <c r="E32" s="211" t="s">
        <v>398</v>
      </c>
      <c r="F32" s="229" t="n">
        <v>2825</v>
      </c>
      <c r="G32" s="229" t="n">
        <v>2870</v>
      </c>
      <c r="H32" s="229" t="n">
        <v>3060</v>
      </c>
      <c r="I32" s="229" t="n">
        <v>3000</v>
      </c>
      <c r="J32" s="229" t="n">
        <v>3000</v>
      </c>
      <c r="K32" s="229" t="n">
        <v>3000</v>
      </c>
      <c r="L32" s="229" t="n">
        <v>3000</v>
      </c>
      <c r="M32" s="229" t="n">
        <v>3000</v>
      </c>
      <c r="N32" s="229" t="n">
        <v>3060</v>
      </c>
      <c r="O32" s="229" t="n">
        <v>3000</v>
      </c>
      <c r="P32" s="229" t="n">
        <v>2825</v>
      </c>
      <c r="Q32" s="229" t="n">
        <v>2960</v>
      </c>
      <c r="R32" s="229" t="n">
        <v>2825</v>
      </c>
      <c r="S32" s="229" t="n">
        <v>3060</v>
      </c>
      <c r="T32" s="229" t="n">
        <v>3000</v>
      </c>
      <c r="U32" s="229" t="n">
        <v>3000</v>
      </c>
      <c r="V32" s="229" t="n">
        <v>2870</v>
      </c>
      <c r="W32" s="229" t="n">
        <v>3060</v>
      </c>
      <c r="X32" s="229" t="n">
        <v>2825</v>
      </c>
      <c r="Y32" s="229" t="n">
        <v>2960</v>
      </c>
      <c r="Z32" s="229" t="n">
        <v>2960</v>
      </c>
    </row>
    <row r="33" customFormat="false" ht="12" hidden="false" customHeight="true" outlineLevel="0" collapsed="false">
      <c r="A33" s="7" t="n">
        <v>26</v>
      </c>
      <c r="B33" s="219" t="s">
        <v>399</v>
      </c>
      <c r="C33" s="210" t="s">
        <v>400</v>
      </c>
      <c r="D33" s="185" t="s">
        <v>401</v>
      </c>
      <c r="E33" s="211" t="s">
        <v>398</v>
      </c>
      <c r="F33" s="211" t="n">
        <f aca="false">F32*0.05</f>
        <v>141.25</v>
      </c>
      <c r="G33" s="211" t="n">
        <f aca="false">G32*0.05</f>
        <v>143.5</v>
      </c>
      <c r="H33" s="211" t="n">
        <f aca="false">H32*0.05</f>
        <v>153</v>
      </c>
      <c r="I33" s="211" t="n">
        <f aca="false">I32*0.05</f>
        <v>150</v>
      </c>
      <c r="J33" s="211" t="n">
        <f aca="false">J32*0.05</f>
        <v>150</v>
      </c>
      <c r="K33" s="211" t="n">
        <f aca="false">K32*0.05</f>
        <v>150</v>
      </c>
      <c r="L33" s="211" t="n">
        <f aca="false">L32*0.05</f>
        <v>150</v>
      </c>
      <c r="M33" s="211" t="n">
        <f aca="false">M32*0.05</f>
        <v>150</v>
      </c>
      <c r="N33" s="211" t="n">
        <f aca="false">N32*0.05</f>
        <v>153</v>
      </c>
      <c r="O33" s="211" t="n">
        <f aca="false">O32*0.05</f>
        <v>150</v>
      </c>
      <c r="P33" s="211" t="n">
        <f aca="false">P32*0.05</f>
        <v>141.25</v>
      </c>
      <c r="Q33" s="211" t="n">
        <f aca="false">Q32*0.05</f>
        <v>148</v>
      </c>
      <c r="R33" s="211" t="n">
        <f aca="false">R32*0.05</f>
        <v>141.25</v>
      </c>
      <c r="S33" s="211" t="n">
        <f aca="false">S32*0.05</f>
        <v>153</v>
      </c>
      <c r="T33" s="211" t="n">
        <f aca="false">T32*0.05</f>
        <v>150</v>
      </c>
      <c r="U33" s="211" t="n">
        <f aca="false">U32*0.05</f>
        <v>150</v>
      </c>
      <c r="V33" s="211" t="n">
        <f aca="false">V32*0.05</f>
        <v>143.5</v>
      </c>
      <c r="W33" s="211" t="n">
        <f aca="false">W32*0.05</f>
        <v>153</v>
      </c>
      <c r="X33" s="211" t="n">
        <f aca="false">X32*0.05</f>
        <v>141.25</v>
      </c>
      <c r="Y33" s="211" t="n">
        <f aca="false">Y32*0.05</f>
        <v>148</v>
      </c>
      <c r="Z33" s="211" t="n">
        <f aca="false">Z32*0.05</f>
        <v>148</v>
      </c>
    </row>
    <row r="34" customFormat="false" ht="12" hidden="false" customHeight="true" outlineLevel="0" collapsed="false">
      <c r="A34" s="7" t="n">
        <v>27</v>
      </c>
      <c r="B34" s="219" t="s">
        <v>402</v>
      </c>
      <c r="C34" s="210" t="s">
        <v>403</v>
      </c>
      <c r="D34" s="185" t="s">
        <v>404</v>
      </c>
      <c r="E34" s="211" t="s">
        <v>398</v>
      </c>
      <c r="F34" s="211" t="n">
        <f aca="false">F32+F33</f>
        <v>2966.25</v>
      </c>
      <c r="G34" s="211" t="n">
        <f aca="false">G32+G33</f>
        <v>3013.5</v>
      </c>
      <c r="H34" s="211" t="n">
        <f aca="false">H32+H33</f>
        <v>3213</v>
      </c>
      <c r="I34" s="211" t="n">
        <f aca="false">I32+I33</f>
        <v>3150</v>
      </c>
      <c r="J34" s="211" t="n">
        <f aca="false">J32+J33</f>
        <v>3150</v>
      </c>
      <c r="K34" s="211" t="n">
        <f aca="false">K32+K33</f>
        <v>3150</v>
      </c>
      <c r="L34" s="211" t="n">
        <f aca="false">L32+L33</f>
        <v>3150</v>
      </c>
      <c r="M34" s="211" t="n">
        <f aca="false">M32+M33</f>
        <v>3150</v>
      </c>
      <c r="N34" s="211" t="n">
        <f aca="false">N32+N33</f>
        <v>3213</v>
      </c>
      <c r="O34" s="211" t="n">
        <f aca="false">O32+O33</f>
        <v>3150</v>
      </c>
      <c r="P34" s="211" t="n">
        <f aca="false">P32+P33</f>
        <v>2966.25</v>
      </c>
      <c r="Q34" s="211" t="n">
        <f aca="false">Q32+Q33</f>
        <v>3108</v>
      </c>
      <c r="R34" s="211" t="n">
        <f aca="false">R32+R33</f>
        <v>2966.25</v>
      </c>
      <c r="S34" s="211" t="n">
        <f aca="false">S32+S33</f>
        <v>3213</v>
      </c>
      <c r="T34" s="211" t="n">
        <f aca="false">T32+T33</f>
        <v>3150</v>
      </c>
      <c r="U34" s="211" t="n">
        <f aca="false">U32+U33</f>
        <v>3150</v>
      </c>
      <c r="V34" s="211" t="n">
        <f aca="false">V32+V33</f>
        <v>3013.5</v>
      </c>
      <c r="W34" s="211" t="n">
        <f aca="false">W32+W33</f>
        <v>3213</v>
      </c>
      <c r="X34" s="211" t="n">
        <f aca="false">X32+X33</f>
        <v>2966.25</v>
      </c>
      <c r="Y34" s="211" t="n">
        <f aca="false">Y32+Y33</f>
        <v>3108</v>
      </c>
      <c r="Z34" s="211" t="n">
        <f aca="false">Z32+Z33</f>
        <v>3108</v>
      </c>
    </row>
    <row r="35" customFormat="false" ht="12" hidden="false" customHeight="true" outlineLevel="0" collapsed="false">
      <c r="A35" s="7" t="n">
        <v>28</v>
      </c>
      <c r="B35" s="219" t="s">
        <v>405</v>
      </c>
      <c r="C35" s="23" t="s">
        <v>406</v>
      </c>
      <c r="D35" s="185" t="s">
        <v>407</v>
      </c>
      <c r="E35" s="211" t="s">
        <v>398</v>
      </c>
      <c r="F35" s="230" t="n">
        <f aca="false">9828-F34</f>
        <v>6861.75</v>
      </c>
      <c r="G35" s="230" t="n">
        <f aca="false">9828-G34</f>
        <v>6814.5</v>
      </c>
      <c r="H35" s="230" t="n">
        <f aca="false">9828-H34</f>
        <v>6615</v>
      </c>
      <c r="I35" s="230" t="n">
        <f aca="false">9828-I34</f>
        <v>6678</v>
      </c>
      <c r="J35" s="230" t="n">
        <f aca="false">9828-J34</f>
        <v>6678</v>
      </c>
      <c r="K35" s="230" t="n">
        <f aca="false">9828-K34</f>
        <v>6678</v>
      </c>
      <c r="L35" s="230" t="n">
        <f aca="false">9828-L34</f>
        <v>6678</v>
      </c>
      <c r="M35" s="230" t="n">
        <f aca="false">9828-M34</f>
        <v>6678</v>
      </c>
      <c r="N35" s="230" t="n">
        <f aca="false">9828-N34</f>
        <v>6615</v>
      </c>
      <c r="O35" s="230" t="n">
        <f aca="false">9828-O34</f>
        <v>6678</v>
      </c>
      <c r="P35" s="230" t="n">
        <f aca="false">9828-P34</f>
        <v>6861.75</v>
      </c>
      <c r="Q35" s="230" t="n">
        <f aca="false">9828-Q34</f>
        <v>6720</v>
      </c>
      <c r="R35" s="230" t="n">
        <f aca="false">9828-R34</f>
        <v>6861.75</v>
      </c>
      <c r="S35" s="230" t="n">
        <f aca="false">9828-S34</f>
        <v>6615</v>
      </c>
      <c r="T35" s="230" t="n">
        <f aca="false">9828-T34</f>
        <v>6678</v>
      </c>
      <c r="U35" s="230" t="n">
        <f aca="false">9828-U34</f>
        <v>6678</v>
      </c>
      <c r="V35" s="230" t="n">
        <f aca="false">9828-V34</f>
        <v>6814.5</v>
      </c>
      <c r="W35" s="230" t="n">
        <f aca="false">9828-W34</f>
        <v>6615</v>
      </c>
      <c r="X35" s="230" t="n">
        <f aca="false">9828-X34</f>
        <v>6861.75</v>
      </c>
      <c r="Y35" s="230" t="n">
        <f aca="false">9828-Y34</f>
        <v>6720</v>
      </c>
      <c r="Z35" s="230" t="n">
        <f aca="false">9828-Z34</f>
        <v>6720</v>
      </c>
    </row>
    <row r="36" customFormat="false" ht="18" hidden="false" customHeight="true" outlineLevel="0" collapsed="false">
      <c r="D36" s="10" t="s">
        <v>408</v>
      </c>
      <c r="H36" s="0" t="s">
        <v>409</v>
      </c>
    </row>
    <row r="37" customFormat="false" ht="18" hidden="false" customHeight="true" outlineLevel="0" collapsed="false">
      <c r="H37" s="0" t="s">
        <v>410</v>
      </c>
    </row>
    <row r="38" customFormat="false" ht="12.75" hidden="false" customHeight="false" outlineLevel="0" collapsed="false">
      <c r="H38" s="0" t="s">
        <v>411</v>
      </c>
    </row>
    <row r="39" customFormat="false" ht="12.75" hidden="false" customHeight="false" outlineLevel="0" collapsed="false">
      <c r="H39" s="231" t="s">
        <v>399</v>
      </c>
      <c r="I39" s="231" t="s">
        <v>412</v>
      </c>
      <c r="J39" s="231"/>
      <c r="K39" s="231"/>
      <c r="L39" s="231"/>
      <c r="M39" s="231"/>
      <c r="N39" s="231"/>
      <c r="O39" s="231"/>
      <c r="P39" s="231"/>
    </row>
    <row r="40" customFormat="false" ht="12.75" hidden="false" customHeight="false" outlineLevel="0" collapsed="false">
      <c r="A40" s="232" t="s">
        <v>413</v>
      </c>
      <c r="B40" s="0" t="s">
        <v>414</v>
      </c>
      <c r="H40" s="231"/>
      <c r="I40" s="231" t="s">
        <v>415</v>
      </c>
      <c r="J40" s="231"/>
      <c r="K40" s="231"/>
      <c r="L40" s="231"/>
      <c r="M40" s="231"/>
      <c r="N40" s="231"/>
      <c r="O40" s="231"/>
      <c r="P40" s="231"/>
    </row>
    <row r="41" customFormat="false" ht="12.75" hidden="false" customHeight="false" outlineLevel="0" collapsed="false">
      <c r="A41" s="232" t="s">
        <v>416</v>
      </c>
      <c r="B41" s="0" t="s">
        <v>417</v>
      </c>
      <c r="H41" s="231"/>
      <c r="I41" s="231" t="s">
        <v>418</v>
      </c>
      <c r="J41" s="231"/>
      <c r="K41" s="231"/>
      <c r="L41" s="231"/>
      <c r="M41" s="231"/>
      <c r="N41" s="231"/>
      <c r="O41" s="231"/>
      <c r="P41" s="231"/>
    </row>
    <row r="42" customFormat="false" ht="12.75" hidden="false" customHeight="false" outlineLevel="0" collapsed="false">
      <c r="A42" s="232" t="s">
        <v>419</v>
      </c>
      <c r="B42" s="0" t="s">
        <v>420</v>
      </c>
    </row>
    <row r="43" customFormat="false" ht="12.75" hidden="false" customHeight="false" outlineLevel="0" collapsed="false">
      <c r="A43" s="232" t="s">
        <v>421</v>
      </c>
      <c r="B43" s="0" t="s">
        <v>422</v>
      </c>
    </row>
    <row r="44" customFormat="false" ht="12.75" hidden="false" customHeight="false" outlineLevel="0" collapsed="false">
      <c r="A44" s="232" t="s">
        <v>423</v>
      </c>
      <c r="B44" s="0" t="s">
        <v>424</v>
      </c>
    </row>
    <row r="45" customFormat="false" ht="12.75" hidden="false" customHeight="false" outlineLevel="0" collapsed="false">
      <c r="A45" s="232" t="s">
        <v>425</v>
      </c>
      <c r="B45" s="0" t="s">
        <v>426</v>
      </c>
    </row>
    <row r="46" customFormat="false" ht="12.75" hidden="false" customHeight="false" outlineLevel="0" collapsed="false">
      <c r="A46" s="232" t="s">
        <v>427</v>
      </c>
      <c r="B46" s="0" t="s">
        <v>428</v>
      </c>
    </row>
    <row r="47" customFormat="false" ht="12.75" hidden="false" customHeight="false" outlineLevel="0" collapsed="false">
      <c r="A47" s="233"/>
    </row>
  </sheetData>
  <mergeCells count="7">
    <mergeCell ref="A1:I1"/>
    <mergeCell ref="A2:B5"/>
    <mergeCell ref="C2:C5"/>
    <mergeCell ref="E2:I2"/>
    <mergeCell ref="D3:D4"/>
    <mergeCell ref="E3:I4"/>
    <mergeCell ref="D5:I5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:J5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9.7"/>
    <col collapsed="false" customWidth="true" hidden="false" outlineLevel="0" max="3" min="3" style="0" width="34.71"/>
    <col collapsed="false" customWidth="true" hidden="false" outlineLevel="0" max="4" min="4" style="10" width="25.13"/>
    <col collapsed="false" customWidth="true" hidden="false" outlineLevel="0" max="5" min="5" style="192" width="6.41"/>
    <col collapsed="false" customWidth="true" hidden="true" outlineLevel="0" max="6" min="6" style="0" width="7.56"/>
    <col collapsed="false" customWidth="true" hidden="true" outlineLevel="0" max="8" min="7" style="0" width="7.7"/>
    <col collapsed="false" customWidth="true" hidden="true" outlineLevel="0" max="14" min="9" style="0" width="6.28"/>
    <col collapsed="false" customWidth="true" hidden="false" outlineLevel="0" max="15" min="15" style="0" width="6.99"/>
    <col collapsed="false" customWidth="true" hidden="false" outlineLevel="0" max="16" min="16" style="0" width="6.28"/>
    <col collapsed="false" customWidth="true" hidden="false" outlineLevel="0" max="24" min="17" style="0" width="6.85"/>
    <col collapsed="false" customWidth="false" hidden="true" outlineLevel="0" max="25" min="25" style="0" width="9.06"/>
    <col collapsed="false" customWidth="true" hidden="true" outlineLevel="0" max="27" min="26" style="0" width="7.56"/>
    <col collapsed="false" customWidth="true" hidden="true" outlineLevel="0" max="28" min="28" style="0" width="8.85"/>
    <col collapsed="false" customWidth="true" hidden="true" outlineLevel="0" max="30" min="29" style="0" width="9.14"/>
    <col collapsed="false" customWidth="false" hidden="true" outlineLevel="0" max="40" min="31" style="0" width="9.06"/>
  </cols>
  <sheetData>
    <row r="1" customFormat="false" ht="12.75" hidden="false" customHeight="false" outlineLevel="0" collapsed="false">
      <c r="A1" s="193" t="s">
        <v>304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234"/>
      <c r="Q1" s="235"/>
      <c r="R1" s="235"/>
      <c r="S1" s="235"/>
      <c r="T1" s="235"/>
      <c r="U1" s="235"/>
      <c r="V1" s="235"/>
      <c r="W1" s="235"/>
      <c r="X1" s="236"/>
      <c r="Y1" s="236"/>
    </row>
    <row r="2" s="152" customFormat="true" ht="12.75" hidden="false" customHeight="true" outlineLevel="0" collapsed="false">
      <c r="A2" s="195" t="s">
        <v>429</v>
      </c>
      <c r="B2" s="195"/>
      <c r="C2" s="196" t="s">
        <v>306</v>
      </c>
      <c r="D2" s="197" t="s">
        <v>307</v>
      </c>
      <c r="E2" s="198" t="s">
        <v>308</v>
      </c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72"/>
      <c r="AA2" s="172"/>
      <c r="AB2" s="172"/>
      <c r="AC2" s="172"/>
    </row>
    <row r="3" s="152" customFormat="true" ht="8.25" hidden="false" customHeight="true" outlineLevel="0" collapsed="false">
      <c r="A3" s="195"/>
      <c r="B3" s="195"/>
      <c r="C3" s="196"/>
      <c r="D3" s="200" t="s">
        <v>309</v>
      </c>
      <c r="E3" s="198" t="s">
        <v>310</v>
      </c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72"/>
      <c r="AA3" s="172"/>
      <c r="AB3" s="172"/>
      <c r="AC3" s="172"/>
    </row>
    <row r="4" s="152" customFormat="true" ht="5.25" hidden="false" customHeight="true" outlineLevel="0" collapsed="false">
      <c r="A4" s="195"/>
      <c r="B4" s="195"/>
      <c r="C4" s="196"/>
      <c r="D4" s="200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72"/>
      <c r="AA4" s="172"/>
      <c r="AB4" s="172"/>
      <c r="AC4" s="172"/>
    </row>
    <row r="5" s="152" customFormat="true" ht="15" hidden="false" customHeight="true" outlineLevel="0" collapsed="false">
      <c r="A5" s="195"/>
      <c r="B5" s="195"/>
      <c r="C5" s="196"/>
      <c r="D5" s="154"/>
      <c r="E5" s="154"/>
      <c r="F5" s="154"/>
      <c r="G5" s="154"/>
      <c r="H5" s="154"/>
      <c r="I5" s="154"/>
      <c r="J5" s="154"/>
      <c r="K5" s="154"/>
      <c r="L5" s="154"/>
      <c r="M5" s="237" t="s">
        <v>430</v>
      </c>
      <c r="N5" s="237"/>
      <c r="O5" s="238"/>
      <c r="P5" s="238"/>
      <c r="Q5" s="238"/>
      <c r="R5" s="238"/>
      <c r="S5" s="238"/>
      <c r="T5" s="238"/>
      <c r="U5" s="238"/>
      <c r="V5" s="238"/>
      <c r="W5" s="238"/>
      <c r="X5" s="239"/>
      <c r="Y5" s="239"/>
      <c r="Z5" s="172"/>
      <c r="AA5" s="172"/>
      <c r="AB5" s="172"/>
      <c r="AC5" s="172"/>
    </row>
    <row r="6" customFormat="false" ht="12" hidden="false" customHeight="true" outlineLevel="0" collapsed="false">
      <c r="A6" s="202"/>
      <c r="B6" s="202"/>
      <c r="C6" s="202"/>
      <c r="D6" s="202"/>
      <c r="E6" s="203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</row>
    <row r="7" customFormat="false" ht="12" hidden="false" customHeight="true" outlineLevel="0" collapsed="false">
      <c r="A7" s="7" t="n">
        <v>1</v>
      </c>
      <c r="B7" s="205"/>
      <c r="C7" s="206" t="s">
        <v>312</v>
      </c>
      <c r="D7" s="205"/>
      <c r="E7" s="207"/>
      <c r="F7" s="207" t="s">
        <v>268</v>
      </c>
      <c r="G7" s="207" t="s">
        <v>271</v>
      </c>
      <c r="H7" s="207" t="s">
        <v>273</v>
      </c>
      <c r="I7" s="207"/>
      <c r="J7" s="207"/>
      <c r="K7" s="207"/>
      <c r="L7" s="207"/>
      <c r="M7" s="207"/>
      <c r="N7" s="207" t="s">
        <v>275</v>
      </c>
      <c r="O7" s="207" t="n">
        <v>201</v>
      </c>
      <c r="P7" s="207" t="n">
        <v>201</v>
      </c>
      <c r="Q7" s="207" t="n">
        <v>202</v>
      </c>
      <c r="R7" s="207" t="n">
        <v>203</v>
      </c>
      <c r="S7" s="207" t="n">
        <v>204</v>
      </c>
      <c r="T7" s="207" t="n">
        <v>205</v>
      </c>
      <c r="U7" s="207" t="n">
        <v>206</v>
      </c>
      <c r="V7" s="207" t="n">
        <v>207</v>
      </c>
      <c r="W7" s="207" t="n">
        <v>208</v>
      </c>
      <c r="X7" s="207" t="n">
        <v>209</v>
      </c>
      <c r="Y7" s="207" t="n">
        <v>103</v>
      </c>
      <c r="Z7" s="207" t="n">
        <v>104</v>
      </c>
      <c r="AA7" s="207"/>
      <c r="AB7" s="207"/>
      <c r="AC7" s="207"/>
      <c r="AD7" s="207"/>
      <c r="AE7" s="207"/>
      <c r="AF7" s="207"/>
      <c r="AG7" s="207"/>
      <c r="AH7" s="207" t="n">
        <v>103</v>
      </c>
      <c r="AI7" s="207"/>
      <c r="AJ7" s="207"/>
      <c r="AK7" s="207"/>
      <c r="AL7" s="207"/>
      <c r="AM7" s="207"/>
      <c r="AN7" s="207"/>
      <c r="AO7" s="207" t="n">
        <v>301</v>
      </c>
      <c r="AP7" s="207" t="n">
        <v>302</v>
      </c>
      <c r="AQ7" s="207" t="n">
        <v>303</v>
      </c>
      <c r="AR7" s="207" t="n">
        <v>304</v>
      </c>
      <c r="AS7" s="207" t="n">
        <v>305</v>
      </c>
      <c r="AT7" s="207" t="n">
        <v>306</v>
      </c>
      <c r="AU7" s="207" t="n">
        <v>307</v>
      </c>
      <c r="AV7" s="207" t="n">
        <v>308</v>
      </c>
      <c r="AW7" s="207" t="n">
        <v>309</v>
      </c>
    </row>
    <row r="8" customFormat="false" ht="12" hidden="false" customHeight="true" outlineLevel="0" collapsed="false">
      <c r="A8" s="7" t="n">
        <v>2</v>
      </c>
      <c r="B8" s="205"/>
      <c r="C8" s="206" t="s">
        <v>323</v>
      </c>
      <c r="D8" s="205"/>
      <c r="E8" s="207"/>
      <c r="F8" s="207" t="s">
        <v>41</v>
      </c>
      <c r="G8" s="207"/>
      <c r="H8" s="207"/>
      <c r="I8" s="207"/>
      <c r="J8" s="207"/>
      <c r="K8" s="207"/>
      <c r="L8" s="207"/>
      <c r="M8" s="207"/>
      <c r="N8" s="207"/>
      <c r="O8" s="207" t="s">
        <v>431</v>
      </c>
      <c r="P8" s="207" t="s">
        <v>431</v>
      </c>
      <c r="Q8" s="207" t="s">
        <v>432</v>
      </c>
      <c r="R8" s="207"/>
      <c r="S8" s="209" t="s">
        <v>433</v>
      </c>
      <c r="T8" s="207" t="s">
        <v>434</v>
      </c>
      <c r="U8" s="207" t="s">
        <v>435</v>
      </c>
      <c r="V8" s="207" t="s">
        <v>436</v>
      </c>
      <c r="W8" s="207" t="s">
        <v>437</v>
      </c>
      <c r="X8" s="209" t="s">
        <v>438</v>
      </c>
      <c r="Y8" s="207" t="s">
        <v>439</v>
      </c>
      <c r="Z8" s="207"/>
      <c r="AA8" s="207"/>
      <c r="AB8" s="209" t="s">
        <v>440</v>
      </c>
      <c r="AC8" s="207" t="n">
        <v>101</v>
      </c>
      <c r="AD8" s="207"/>
      <c r="AE8" s="209" t="s">
        <v>439</v>
      </c>
      <c r="AF8" s="209"/>
      <c r="AG8" s="207" t="s">
        <v>441</v>
      </c>
      <c r="AH8" s="207" t="s">
        <v>442</v>
      </c>
      <c r="AI8" s="207" t="n">
        <v>105</v>
      </c>
      <c r="AJ8" s="207" t="n">
        <v>106</v>
      </c>
      <c r="AK8" s="207" t="n">
        <v>107</v>
      </c>
      <c r="AL8" s="207"/>
      <c r="AM8" s="207" t="n">
        <v>108</v>
      </c>
      <c r="AN8" s="207"/>
      <c r="AO8" s="207" t="s">
        <v>443</v>
      </c>
      <c r="AP8" s="207" t="s">
        <v>444</v>
      </c>
      <c r="AQ8" s="207"/>
      <c r="AR8" s="209" t="s">
        <v>445</v>
      </c>
      <c r="AS8" s="207" t="s">
        <v>446</v>
      </c>
      <c r="AT8" s="207" t="s">
        <v>447</v>
      </c>
      <c r="AU8" s="207" t="s">
        <v>448</v>
      </c>
      <c r="AV8" s="207" t="s">
        <v>449</v>
      </c>
      <c r="AW8" s="209" t="s">
        <v>450</v>
      </c>
    </row>
    <row r="9" customFormat="false" ht="30" hidden="false" customHeight="true" outlineLevel="0" collapsed="false">
      <c r="A9" s="7" t="n">
        <v>3</v>
      </c>
      <c r="B9" s="23"/>
      <c r="C9" s="210" t="s">
        <v>329</v>
      </c>
      <c r="D9" s="185"/>
      <c r="E9" s="211"/>
      <c r="F9" s="213" t="s">
        <v>451</v>
      </c>
      <c r="G9" s="213" t="s">
        <v>451</v>
      </c>
      <c r="H9" s="213" t="s">
        <v>451</v>
      </c>
      <c r="I9" s="207" t="s">
        <v>68</v>
      </c>
      <c r="J9" s="207" t="s">
        <v>68</v>
      </c>
      <c r="K9" s="207" t="s">
        <v>68</v>
      </c>
      <c r="L9" s="207" t="s">
        <v>68</v>
      </c>
      <c r="M9" s="207" t="s">
        <v>68</v>
      </c>
      <c r="N9" s="213" t="s">
        <v>451</v>
      </c>
      <c r="O9" s="212" t="s">
        <v>452</v>
      </c>
      <c r="P9" s="212" t="s">
        <v>84</v>
      </c>
      <c r="Q9" s="212" t="s">
        <v>68</v>
      </c>
      <c r="R9" s="212"/>
      <c r="S9" s="214" t="s">
        <v>72</v>
      </c>
      <c r="T9" s="214" t="s">
        <v>72</v>
      </c>
      <c r="U9" s="212" t="s">
        <v>453</v>
      </c>
      <c r="V9" s="212" t="s">
        <v>68</v>
      </c>
      <c r="W9" s="212" t="s">
        <v>84</v>
      </c>
      <c r="X9" s="212" t="s">
        <v>72</v>
      </c>
      <c r="Y9" s="212" t="s">
        <v>453</v>
      </c>
      <c r="Z9" s="240" t="s">
        <v>72</v>
      </c>
      <c r="AA9" s="240" t="s">
        <v>454</v>
      </c>
      <c r="AB9" s="207" t="s">
        <v>455</v>
      </c>
      <c r="AC9" s="240" t="s">
        <v>456</v>
      </c>
      <c r="AD9" s="207" t="s">
        <v>457</v>
      </c>
      <c r="AE9" s="240" t="s">
        <v>455</v>
      </c>
      <c r="AF9" s="240" t="s">
        <v>455</v>
      </c>
      <c r="AG9" s="240" t="s">
        <v>455</v>
      </c>
      <c r="AH9" s="240" t="s">
        <v>456</v>
      </c>
      <c r="AI9" s="240" t="s">
        <v>70</v>
      </c>
      <c r="AJ9" s="207" t="s">
        <v>458</v>
      </c>
      <c r="AK9" s="207" t="s">
        <v>455</v>
      </c>
      <c r="AL9" s="207" t="s">
        <v>455</v>
      </c>
      <c r="AM9" s="207" t="s">
        <v>455</v>
      </c>
      <c r="AN9" s="207" t="s">
        <v>455</v>
      </c>
      <c r="AO9" s="212" t="s">
        <v>453</v>
      </c>
      <c r="AP9" s="212" t="s">
        <v>459</v>
      </c>
      <c r="AQ9" s="212"/>
      <c r="AR9" s="214" t="s">
        <v>72</v>
      </c>
      <c r="AS9" s="214" t="s">
        <v>72</v>
      </c>
      <c r="AT9" s="212" t="s">
        <v>453</v>
      </c>
      <c r="AU9" s="212" t="s">
        <v>68</v>
      </c>
      <c r="AV9" s="212" t="s">
        <v>84</v>
      </c>
      <c r="AW9" s="212" t="s">
        <v>72</v>
      </c>
    </row>
    <row r="10" customFormat="false" ht="12" hidden="false" customHeight="true" outlineLevel="0" collapsed="false">
      <c r="A10" s="7" t="n">
        <v>4</v>
      </c>
      <c r="B10" s="23" t="s">
        <v>334</v>
      </c>
      <c r="C10" s="210" t="s">
        <v>335</v>
      </c>
      <c r="D10" s="185"/>
      <c r="E10" s="211" t="s">
        <v>336</v>
      </c>
      <c r="F10" s="211" t="n">
        <v>20</v>
      </c>
      <c r="G10" s="211"/>
      <c r="H10" s="211"/>
      <c r="I10" s="211"/>
      <c r="J10" s="241"/>
      <c r="K10" s="241"/>
      <c r="L10" s="241"/>
      <c r="M10" s="211"/>
      <c r="N10" s="211"/>
      <c r="O10" s="211" t="n">
        <v>18</v>
      </c>
      <c r="P10" s="211" t="n">
        <v>18</v>
      </c>
      <c r="Q10" s="211" t="n">
        <v>22</v>
      </c>
      <c r="R10" s="211"/>
      <c r="S10" s="211" t="n">
        <v>20</v>
      </c>
      <c r="T10" s="211" t="n">
        <v>20</v>
      </c>
      <c r="U10" s="211" t="n">
        <v>18</v>
      </c>
      <c r="V10" s="211" t="n">
        <v>22</v>
      </c>
      <c r="W10" s="211" t="n">
        <v>18</v>
      </c>
      <c r="X10" s="211" t="n">
        <v>20</v>
      </c>
      <c r="Y10" s="211" t="n">
        <v>18</v>
      </c>
      <c r="Z10" s="211"/>
      <c r="AA10" s="211"/>
      <c r="AB10" s="211" t="n">
        <v>20</v>
      </c>
      <c r="AC10" s="211" t="n">
        <v>20</v>
      </c>
      <c r="AD10" s="211"/>
      <c r="AE10" s="211" t="n">
        <v>20</v>
      </c>
      <c r="AF10" s="211"/>
      <c r="AG10" s="211" t="n">
        <v>20</v>
      </c>
      <c r="AH10" s="211" t="n">
        <v>20</v>
      </c>
      <c r="AI10" s="211" t="n">
        <v>22</v>
      </c>
      <c r="AJ10" s="211" t="n">
        <v>30</v>
      </c>
      <c r="AK10" s="211" t="n">
        <v>20</v>
      </c>
      <c r="AL10" s="211"/>
      <c r="AM10" s="211" t="n">
        <v>20</v>
      </c>
      <c r="AN10" s="211"/>
      <c r="AO10" s="211" t="n">
        <v>18</v>
      </c>
      <c r="AP10" s="211" t="n">
        <v>20</v>
      </c>
      <c r="AQ10" s="211"/>
      <c r="AR10" s="211" t="n">
        <v>20</v>
      </c>
      <c r="AS10" s="211" t="n">
        <v>20</v>
      </c>
      <c r="AT10" s="211" t="n">
        <v>18</v>
      </c>
      <c r="AU10" s="211" t="n">
        <v>22</v>
      </c>
      <c r="AV10" s="211" t="n">
        <v>18</v>
      </c>
      <c r="AW10" s="211" t="n">
        <v>20</v>
      </c>
    </row>
    <row r="11" customFormat="false" ht="12" hidden="false" customHeight="true" outlineLevel="0" collapsed="false">
      <c r="A11" s="7" t="n">
        <v>5</v>
      </c>
      <c r="B11" s="23" t="s">
        <v>337</v>
      </c>
      <c r="C11" s="210" t="s">
        <v>338</v>
      </c>
      <c r="D11" s="185"/>
      <c r="E11" s="211" t="s">
        <v>336</v>
      </c>
      <c r="F11" s="211" t="n">
        <v>6</v>
      </c>
      <c r="G11" s="211"/>
      <c r="H11" s="211"/>
      <c r="I11" s="211"/>
      <c r="J11" s="211"/>
      <c r="K11" s="211"/>
      <c r="L11" s="211"/>
      <c r="M11" s="211"/>
      <c r="N11" s="211"/>
      <c r="O11" s="211" t="n">
        <v>18</v>
      </c>
      <c r="P11" s="211" t="n">
        <v>18</v>
      </c>
      <c r="Q11" s="211" t="n">
        <v>22</v>
      </c>
      <c r="R11" s="211"/>
      <c r="S11" s="211" t="n">
        <v>20</v>
      </c>
      <c r="T11" s="211" t="n">
        <v>20</v>
      </c>
      <c r="U11" s="211" t="n">
        <v>18</v>
      </c>
      <c r="V11" s="211" t="n">
        <v>22</v>
      </c>
      <c r="W11" s="211" t="n">
        <v>18</v>
      </c>
      <c r="X11" s="211" t="n">
        <v>20</v>
      </c>
      <c r="Y11" s="211" t="n">
        <v>20</v>
      </c>
      <c r="Z11" s="211"/>
      <c r="AA11" s="211"/>
      <c r="AB11" s="211" t="n">
        <v>20</v>
      </c>
      <c r="AC11" s="211" t="n">
        <v>22</v>
      </c>
      <c r="AD11" s="211"/>
      <c r="AE11" s="211" t="n">
        <v>22</v>
      </c>
      <c r="AF11" s="211"/>
      <c r="AG11" s="211" t="n">
        <v>18</v>
      </c>
      <c r="AH11" s="211" t="n">
        <v>20</v>
      </c>
      <c r="AI11" s="211" t="n">
        <v>20</v>
      </c>
      <c r="AJ11" s="211" t="n">
        <v>22</v>
      </c>
      <c r="AK11" s="211" t="n">
        <v>20</v>
      </c>
      <c r="AL11" s="211"/>
      <c r="AM11" s="211" t="n">
        <v>20</v>
      </c>
      <c r="AN11" s="211"/>
      <c r="AO11" s="211" t="n">
        <v>18</v>
      </c>
      <c r="AP11" s="211" t="n">
        <v>20</v>
      </c>
      <c r="AQ11" s="211"/>
      <c r="AR11" s="211" t="n">
        <v>20</v>
      </c>
      <c r="AS11" s="211" t="n">
        <v>20</v>
      </c>
      <c r="AT11" s="211" t="n">
        <v>18</v>
      </c>
      <c r="AU11" s="211" t="n">
        <v>22</v>
      </c>
      <c r="AV11" s="211" t="n">
        <v>18</v>
      </c>
      <c r="AW11" s="211" t="n">
        <v>20</v>
      </c>
    </row>
    <row r="12" customFormat="false" ht="12" hidden="false" customHeight="true" outlineLevel="0" collapsed="false">
      <c r="A12" s="7" t="n">
        <v>6</v>
      </c>
      <c r="B12" s="23" t="s">
        <v>339</v>
      </c>
      <c r="C12" s="210" t="s">
        <v>340</v>
      </c>
      <c r="D12" s="185"/>
      <c r="E12" s="211" t="s">
        <v>189</v>
      </c>
      <c r="F12" s="215" t="n">
        <v>114.76</v>
      </c>
      <c r="G12" s="215"/>
      <c r="H12" s="215"/>
      <c r="I12" s="215"/>
      <c r="J12" s="215"/>
      <c r="K12" s="215"/>
      <c r="L12" s="215"/>
      <c r="M12" s="215"/>
      <c r="N12" s="215"/>
      <c r="O12" s="215" t="n">
        <v>5.64</v>
      </c>
      <c r="P12" s="215" t="n">
        <v>5.64</v>
      </c>
      <c r="Q12" s="215" t="n">
        <v>25.49</v>
      </c>
      <c r="R12" s="215"/>
      <c r="S12" s="215" t="n">
        <v>11.69</v>
      </c>
      <c r="T12" s="215" t="n">
        <v>12.11</v>
      </c>
      <c r="U12" s="215" t="n">
        <v>7.03</v>
      </c>
      <c r="V12" s="215" t="n">
        <v>22.4</v>
      </c>
      <c r="W12" s="215" t="n">
        <v>12.39</v>
      </c>
      <c r="X12" s="215" t="n">
        <v>16.96</v>
      </c>
      <c r="Y12" s="215" t="n">
        <v>7.03</v>
      </c>
      <c r="Z12" s="215"/>
      <c r="AA12" s="215"/>
      <c r="AB12" s="215" t="n">
        <v>15.47</v>
      </c>
      <c r="AC12" s="216" t="n">
        <v>46</v>
      </c>
      <c r="AD12" s="215"/>
      <c r="AE12" s="215" t="n">
        <v>28.62</v>
      </c>
      <c r="AF12" s="215"/>
      <c r="AG12" s="215" t="n">
        <v>17.21</v>
      </c>
      <c r="AH12" s="215" t="n">
        <v>14.15</v>
      </c>
      <c r="AI12" s="215" t="n">
        <v>23.9</v>
      </c>
      <c r="AJ12" s="215" t="n">
        <f aca="false">'YERDEN ISITMA'!E21</f>
        <v>2.53</v>
      </c>
      <c r="AK12" s="242" t="n">
        <f aca="false">'YERDEN ISITMA'!E22</f>
        <v>19.62</v>
      </c>
      <c r="AL12" s="242"/>
      <c r="AM12" s="242" t="n">
        <f aca="false">'YERDEN ISITMA'!E23</f>
        <v>20.53</v>
      </c>
      <c r="AN12" s="215"/>
      <c r="AO12" s="215" t="n">
        <v>5.64</v>
      </c>
      <c r="AP12" s="215" t="n">
        <v>25.49</v>
      </c>
      <c r="AQ12" s="215"/>
      <c r="AR12" s="215" t="n">
        <v>11.69</v>
      </c>
      <c r="AS12" s="215" t="n">
        <v>12.11</v>
      </c>
      <c r="AT12" s="215" t="n">
        <v>7.03</v>
      </c>
      <c r="AU12" s="215" t="n">
        <v>22.4</v>
      </c>
      <c r="AV12" s="215" t="n">
        <v>12.39</v>
      </c>
      <c r="AW12" s="215" t="n">
        <v>16.96</v>
      </c>
    </row>
    <row r="13" customFormat="false" ht="12" hidden="false" customHeight="true" outlineLevel="0" collapsed="false">
      <c r="A13" s="7" t="n">
        <v>7</v>
      </c>
      <c r="B13" s="23" t="s">
        <v>341</v>
      </c>
      <c r="C13" s="210" t="s">
        <v>342</v>
      </c>
      <c r="D13" s="185" t="s">
        <v>343</v>
      </c>
      <c r="E13" s="211" t="s">
        <v>344</v>
      </c>
      <c r="F13" s="216" t="n">
        <v>5661</v>
      </c>
      <c r="G13" s="216"/>
      <c r="H13" s="216"/>
      <c r="I13" s="216"/>
      <c r="J13" s="216"/>
      <c r="K13" s="216"/>
      <c r="L13" s="216"/>
      <c r="M13" s="216"/>
      <c r="N13" s="216"/>
      <c r="O13" s="216" t="n">
        <v>120</v>
      </c>
      <c r="P13" s="216" t="n">
        <v>120</v>
      </c>
      <c r="Q13" s="216" t="n">
        <v>731</v>
      </c>
      <c r="R13" s="216"/>
      <c r="S13" s="216" t="n">
        <v>351</v>
      </c>
      <c r="T13" s="216" t="n">
        <v>924</v>
      </c>
      <c r="U13" s="216" t="n">
        <v>136</v>
      </c>
      <c r="V13" s="216" t="n">
        <v>849</v>
      </c>
      <c r="W13" s="216" t="n">
        <v>348</v>
      </c>
      <c r="X13" s="216" t="n">
        <v>486</v>
      </c>
      <c r="Y13" s="216" t="n">
        <v>2426</v>
      </c>
      <c r="Z13" s="216"/>
      <c r="AA13" s="216"/>
      <c r="AB13" s="216" t="n">
        <v>1057</v>
      </c>
      <c r="AC13" s="216" t="n">
        <f aca="false">'PETEK LİST'!D16</f>
        <v>3309.41001315</v>
      </c>
      <c r="AD13" s="216"/>
      <c r="AE13" s="216" t="n">
        <v>2146</v>
      </c>
      <c r="AF13" s="216"/>
      <c r="AG13" s="216" t="n">
        <v>1115</v>
      </c>
      <c r="AH13" s="216" t="n">
        <v>932</v>
      </c>
      <c r="AI13" s="216" t="n">
        <v>1883</v>
      </c>
      <c r="AJ13" s="216" t="n">
        <f aca="false">'PETEK LİST'!D21</f>
        <v>349.92654526</v>
      </c>
      <c r="AK13" s="216" t="n">
        <f aca="false">'PETEK LİST'!D22</f>
        <v>1830.633002095</v>
      </c>
      <c r="AL13" s="216"/>
      <c r="AM13" s="216" t="n">
        <f aca="false">'PETEK LİST'!D23</f>
        <v>1655.110723595</v>
      </c>
      <c r="AN13" s="216"/>
      <c r="AO13" s="216" t="n">
        <v>161</v>
      </c>
      <c r="AP13" s="216" t="n">
        <v>945</v>
      </c>
      <c r="AQ13" s="216"/>
      <c r="AR13" s="216" t="n">
        <v>448</v>
      </c>
      <c r="AS13" s="216" t="n">
        <v>1040</v>
      </c>
      <c r="AT13" s="216" t="n">
        <v>187</v>
      </c>
      <c r="AU13" s="216" t="n">
        <v>1049</v>
      </c>
      <c r="AV13" s="216" t="n">
        <v>356</v>
      </c>
      <c r="AW13" s="216" t="n">
        <v>619</v>
      </c>
    </row>
    <row r="14" customFormat="false" ht="12" hidden="false" customHeight="true" outlineLevel="0" collapsed="false">
      <c r="A14" s="7" t="n">
        <v>8</v>
      </c>
      <c r="B14" s="23" t="s">
        <v>345</v>
      </c>
      <c r="C14" s="210" t="s">
        <v>346</v>
      </c>
      <c r="D14" s="185" t="s">
        <v>347</v>
      </c>
      <c r="E14" s="211" t="s">
        <v>348</v>
      </c>
      <c r="F14" s="217" t="n">
        <f aca="false">F13/F12</f>
        <v>49.3290345067968</v>
      </c>
      <c r="G14" s="217"/>
      <c r="H14" s="217"/>
      <c r="I14" s="217"/>
      <c r="J14" s="217"/>
      <c r="K14" s="217"/>
      <c r="L14" s="217"/>
      <c r="M14" s="217"/>
      <c r="N14" s="217"/>
      <c r="O14" s="217" t="n">
        <f aca="false">O13/O12</f>
        <v>21.2765957446809</v>
      </c>
      <c r="P14" s="217" t="n">
        <f aca="false">P13/P12</f>
        <v>21.2765957446809</v>
      </c>
      <c r="Q14" s="217" t="n">
        <f aca="false">Q13/Q12</f>
        <v>28.6779129070224</v>
      </c>
      <c r="R14" s="217"/>
      <c r="S14" s="217" t="n">
        <f aca="false">S13/S12</f>
        <v>30.0256629597947</v>
      </c>
      <c r="T14" s="217" t="n">
        <f aca="false">T13/T12</f>
        <v>76.3005780346821</v>
      </c>
      <c r="U14" s="217" t="n">
        <f aca="false">U13/U12</f>
        <v>19.3456614509246</v>
      </c>
      <c r="V14" s="217" t="n">
        <f aca="false">V13/V12</f>
        <v>37.9017857142857</v>
      </c>
      <c r="W14" s="217" t="n">
        <f aca="false">W13/W12</f>
        <v>28.0871670702179</v>
      </c>
      <c r="X14" s="217" t="n">
        <f aca="false">X13/X12</f>
        <v>28.6556603773585</v>
      </c>
      <c r="Y14" s="217" t="n">
        <f aca="false">Y13/Y12</f>
        <v>345.092460881935</v>
      </c>
      <c r="Z14" s="217"/>
      <c r="AA14" s="217"/>
      <c r="AB14" s="217" t="n">
        <f aca="false">AB13/AB12</f>
        <v>68.3257918552036</v>
      </c>
      <c r="AC14" s="217" t="n">
        <f aca="false">AC13/AC12</f>
        <v>71.9436959380435</v>
      </c>
      <c r="AD14" s="217"/>
      <c r="AE14" s="217" t="n">
        <f aca="false">AE13/AE12</f>
        <v>74.9825296995108</v>
      </c>
      <c r="AF14" s="217"/>
      <c r="AG14" s="217" t="n">
        <f aca="false">AG13/AG12</f>
        <v>64.7879140034863</v>
      </c>
      <c r="AH14" s="217" t="n">
        <f aca="false">AH13/AH12</f>
        <v>65.8657243816254</v>
      </c>
      <c r="AI14" s="217" t="n">
        <f aca="false">AI13/AI12</f>
        <v>78.7866108786611</v>
      </c>
      <c r="AJ14" s="217" t="n">
        <f aca="false">AJ13/AJ12</f>
        <v>138.310887454545</v>
      </c>
      <c r="AK14" s="217" t="n">
        <f aca="false">AK13/AK12</f>
        <v>93.3044343575433</v>
      </c>
      <c r="AL14" s="217"/>
      <c r="AM14" s="217" t="n">
        <f aca="false">AM13/AM12</f>
        <v>80.6191292545056</v>
      </c>
      <c r="AN14" s="217"/>
      <c r="AO14" s="217" t="n">
        <f aca="false">AO13/AO12</f>
        <v>28.5460992907801</v>
      </c>
      <c r="AP14" s="217" t="n">
        <f aca="false">AP13/AP12</f>
        <v>37.0733621027854</v>
      </c>
      <c r="AQ14" s="217"/>
      <c r="AR14" s="217" t="n">
        <f aca="false">AR13/AR12</f>
        <v>38.3233532934132</v>
      </c>
      <c r="AS14" s="217" t="n">
        <f aca="false">AS13/AS12</f>
        <v>85.8794384805946</v>
      </c>
      <c r="AT14" s="217" t="n">
        <f aca="false">AT13/AT12</f>
        <v>26.6002844950213</v>
      </c>
      <c r="AU14" s="217" t="n">
        <f aca="false">AU13/AU12</f>
        <v>46.8303571428571</v>
      </c>
      <c r="AV14" s="217" t="n">
        <f aca="false">AV13/AV12</f>
        <v>28.7328490718321</v>
      </c>
      <c r="AW14" s="217" t="n">
        <f aca="false">AW13/AW12</f>
        <v>36.497641509434</v>
      </c>
    </row>
    <row r="15" customFormat="false" ht="12" hidden="false" customHeight="true" outlineLevel="0" collapsed="false">
      <c r="A15" s="7" t="n">
        <v>9</v>
      </c>
      <c r="B15" s="23" t="s">
        <v>349</v>
      </c>
      <c r="C15" s="210" t="s">
        <v>350</v>
      </c>
      <c r="D15" s="185" t="s">
        <v>351</v>
      </c>
      <c r="E15" s="211" t="s">
        <v>352</v>
      </c>
      <c r="F15" s="211" t="n">
        <v>0.012</v>
      </c>
      <c r="G15" s="211"/>
      <c r="H15" s="211"/>
      <c r="I15" s="211"/>
      <c r="J15" s="211"/>
      <c r="K15" s="211"/>
      <c r="L15" s="211"/>
      <c r="M15" s="211"/>
      <c r="N15" s="211"/>
      <c r="O15" s="211" t="n">
        <v>0.012</v>
      </c>
      <c r="P15" s="211" t="n">
        <v>0.012</v>
      </c>
      <c r="Q15" s="211" t="n">
        <v>0.012</v>
      </c>
      <c r="R15" s="211"/>
      <c r="S15" s="211" t="n">
        <v>0.012</v>
      </c>
      <c r="T15" s="211" t="n">
        <v>0.012</v>
      </c>
      <c r="U15" s="211" t="n">
        <v>0.012</v>
      </c>
      <c r="V15" s="211" t="n">
        <v>0.012</v>
      </c>
      <c r="W15" s="211" t="n">
        <v>0.012</v>
      </c>
      <c r="X15" s="211" t="n">
        <v>0.012</v>
      </c>
      <c r="Y15" s="211" t="n">
        <v>0.012</v>
      </c>
      <c r="Z15" s="211"/>
      <c r="AA15" s="211"/>
      <c r="AB15" s="211" t="n">
        <v>0.012</v>
      </c>
      <c r="AC15" s="211" t="n">
        <v>0.012</v>
      </c>
      <c r="AD15" s="211"/>
      <c r="AE15" s="211" t="n">
        <v>0.012</v>
      </c>
      <c r="AF15" s="211"/>
      <c r="AG15" s="211" t="n">
        <v>0.012</v>
      </c>
      <c r="AH15" s="211" t="n">
        <v>0.012</v>
      </c>
      <c r="AI15" s="211" t="n">
        <v>0.012</v>
      </c>
      <c r="AJ15" s="211" t="n">
        <v>0.012</v>
      </c>
      <c r="AK15" s="211" t="n">
        <v>0.012</v>
      </c>
      <c r="AL15" s="211"/>
      <c r="AM15" s="211" t="n">
        <v>0.012</v>
      </c>
      <c r="AN15" s="211"/>
      <c r="AO15" s="211" t="n">
        <v>0.012</v>
      </c>
      <c r="AP15" s="211" t="n">
        <v>0.012</v>
      </c>
      <c r="AQ15" s="211"/>
      <c r="AR15" s="211" t="n">
        <v>0.012</v>
      </c>
      <c r="AS15" s="211" t="n">
        <v>0.012</v>
      </c>
      <c r="AT15" s="211" t="n">
        <v>0.012</v>
      </c>
      <c r="AU15" s="211" t="n">
        <v>0.012</v>
      </c>
      <c r="AV15" s="211" t="n">
        <v>0.012</v>
      </c>
      <c r="AW15" s="211" t="n">
        <v>0.012</v>
      </c>
    </row>
    <row r="16" customFormat="false" ht="12" hidden="false" customHeight="true" outlineLevel="0" collapsed="false">
      <c r="A16" s="7" t="n">
        <v>10</v>
      </c>
      <c r="B16" s="23"/>
      <c r="C16" s="210" t="s">
        <v>353</v>
      </c>
      <c r="D16" s="185"/>
      <c r="E16" s="211"/>
      <c r="F16" s="215" t="n">
        <v>4</v>
      </c>
      <c r="G16" s="215"/>
      <c r="H16" s="215"/>
      <c r="I16" s="215"/>
      <c r="J16" s="215"/>
      <c r="K16" s="215"/>
      <c r="L16" s="215"/>
      <c r="M16" s="215"/>
      <c r="N16" s="215"/>
      <c r="O16" s="215" t="n">
        <v>1</v>
      </c>
      <c r="P16" s="215" t="n">
        <v>1</v>
      </c>
      <c r="Q16" s="215" t="n">
        <v>2</v>
      </c>
      <c r="R16" s="215"/>
      <c r="S16" s="215" t="n">
        <v>1</v>
      </c>
      <c r="T16" s="215" t="n">
        <v>1</v>
      </c>
      <c r="U16" s="215" t="n">
        <v>1</v>
      </c>
      <c r="V16" s="215" t="n">
        <v>1</v>
      </c>
      <c r="W16" s="215" t="n">
        <v>1</v>
      </c>
      <c r="X16" s="215" t="n">
        <v>1</v>
      </c>
      <c r="Y16" s="215" t="n">
        <v>2</v>
      </c>
      <c r="Z16" s="215"/>
      <c r="AA16" s="215"/>
      <c r="AB16" s="215" t="n">
        <v>1</v>
      </c>
      <c r="AC16" s="215" t="n">
        <v>2</v>
      </c>
      <c r="AD16" s="215"/>
      <c r="AE16" s="215" t="n">
        <v>1</v>
      </c>
      <c r="AF16" s="215"/>
      <c r="AG16" s="215" t="n">
        <v>1</v>
      </c>
      <c r="AH16" s="215" t="n">
        <v>1</v>
      </c>
      <c r="AI16" s="215" t="n">
        <v>1</v>
      </c>
      <c r="AJ16" s="215" t="n">
        <v>1</v>
      </c>
      <c r="AK16" s="215" t="n">
        <v>2</v>
      </c>
      <c r="AL16" s="215"/>
      <c r="AM16" s="215" t="n">
        <v>2</v>
      </c>
      <c r="AN16" s="215"/>
      <c r="AO16" s="215" t="n">
        <v>1</v>
      </c>
      <c r="AP16" s="215" t="n">
        <v>2</v>
      </c>
      <c r="AQ16" s="215"/>
      <c r="AR16" s="215" t="n">
        <v>1</v>
      </c>
      <c r="AS16" s="215" t="n">
        <v>1</v>
      </c>
      <c r="AT16" s="215" t="n">
        <v>1</v>
      </c>
      <c r="AU16" s="215" t="n">
        <v>1</v>
      </c>
      <c r="AV16" s="215" t="n">
        <v>1</v>
      </c>
      <c r="AW16" s="215" t="n">
        <v>1</v>
      </c>
    </row>
    <row r="17" customFormat="false" ht="12" hidden="false" customHeight="true" outlineLevel="0" collapsed="false">
      <c r="A17" s="7" t="n">
        <v>11</v>
      </c>
      <c r="B17" s="23" t="s">
        <v>354</v>
      </c>
      <c r="C17" s="210" t="s">
        <v>355</v>
      </c>
      <c r="D17" s="185"/>
      <c r="E17" s="211" t="s">
        <v>189</v>
      </c>
      <c r="F17" s="211" t="n">
        <v>28.9</v>
      </c>
      <c r="G17" s="211" t="n">
        <v>28.4</v>
      </c>
      <c r="H17" s="211" t="n">
        <v>26.9</v>
      </c>
      <c r="I17" s="211" t="n">
        <v>0</v>
      </c>
      <c r="J17" s="211" t="n">
        <v>0</v>
      </c>
      <c r="K17" s="211" t="n">
        <v>0</v>
      </c>
      <c r="L17" s="211" t="n">
        <v>0</v>
      </c>
      <c r="M17" s="211" t="n">
        <v>0</v>
      </c>
      <c r="N17" s="211" t="n">
        <v>30.56</v>
      </c>
      <c r="O17" s="211" t="n">
        <v>5.64</v>
      </c>
      <c r="P17" s="211" t="n">
        <v>5.64</v>
      </c>
      <c r="Q17" s="211" t="n">
        <v>14.1</v>
      </c>
      <c r="R17" s="211" t="n">
        <v>11.39</v>
      </c>
      <c r="S17" s="211" t="n">
        <f aca="false">S12</f>
        <v>11.69</v>
      </c>
      <c r="T17" s="211" t="n">
        <f aca="false">T12</f>
        <v>12.11</v>
      </c>
      <c r="U17" s="211" t="n">
        <f aca="false">U12</f>
        <v>7.03</v>
      </c>
      <c r="V17" s="211" t="n">
        <f aca="false">V12</f>
        <v>22.4</v>
      </c>
      <c r="W17" s="211" t="n">
        <f aca="false">W12</f>
        <v>12.39</v>
      </c>
      <c r="X17" s="211" t="n">
        <f aca="false">X12</f>
        <v>16.96</v>
      </c>
      <c r="Y17" s="211" t="n">
        <v>13.1</v>
      </c>
      <c r="Z17" s="211" t="n">
        <v>14.9</v>
      </c>
      <c r="AA17" s="211" t="n">
        <v>0</v>
      </c>
      <c r="AB17" s="211" t="n">
        <f aca="false">AB12</f>
        <v>15.47</v>
      </c>
      <c r="AC17" s="211" t="n">
        <v>20</v>
      </c>
      <c r="AD17" s="211" t="n">
        <v>0</v>
      </c>
      <c r="AE17" s="211" t="n">
        <v>13.62</v>
      </c>
      <c r="AF17" s="211" t="n">
        <v>15</v>
      </c>
      <c r="AG17" s="211" t="n">
        <f aca="false">AG12</f>
        <v>17.21</v>
      </c>
      <c r="AH17" s="211" t="n">
        <f aca="false">AH12</f>
        <v>14.15</v>
      </c>
      <c r="AI17" s="211" t="n">
        <f aca="false">AI12</f>
        <v>23.9</v>
      </c>
      <c r="AJ17" s="211" t="n">
        <f aca="false">AJ12</f>
        <v>2.53</v>
      </c>
      <c r="AK17" s="211" t="n">
        <v>9</v>
      </c>
      <c r="AL17" s="211" t="n">
        <v>11</v>
      </c>
      <c r="AM17" s="211" t="n">
        <v>9</v>
      </c>
      <c r="AN17" s="211" t="n">
        <v>11.5</v>
      </c>
      <c r="AO17" s="211" t="n">
        <v>5.64</v>
      </c>
      <c r="AP17" s="211" t="n">
        <v>14.1</v>
      </c>
      <c r="AQ17" s="211" t="n">
        <v>11.39</v>
      </c>
      <c r="AR17" s="211" t="n">
        <f aca="false">AR12</f>
        <v>11.69</v>
      </c>
      <c r="AS17" s="211" t="n">
        <f aca="false">AS12</f>
        <v>12.11</v>
      </c>
      <c r="AT17" s="211" t="n">
        <f aca="false">AT12</f>
        <v>7.03</v>
      </c>
      <c r="AU17" s="211" t="n">
        <f aca="false">AU12</f>
        <v>22.4</v>
      </c>
      <c r="AV17" s="211" t="n">
        <f aca="false">AV12</f>
        <v>12.39</v>
      </c>
      <c r="AW17" s="211" t="n">
        <f aca="false">AW12</f>
        <v>16.96</v>
      </c>
    </row>
    <row r="18" customFormat="false" ht="16.5" hidden="false" customHeight="true" outlineLevel="0" collapsed="false">
      <c r="A18" s="7" t="n">
        <v>12</v>
      </c>
      <c r="B18" s="23" t="s">
        <v>356</v>
      </c>
      <c r="C18" s="210" t="s">
        <v>357</v>
      </c>
      <c r="D18" s="185"/>
      <c r="E18" s="211" t="s">
        <v>348</v>
      </c>
      <c r="F18" s="218" t="n">
        <f aca="false">F13/F17</f>
        <v>195.882352941177</v>
      </c>
      <c r="G18" s="218" t="n">
        <f aca="false">F13/G17</f>
        <v>199.330985915493</v>
      </c>
      <c r="H18" s="218" t="n">
        <f aca="false">F13/H17</f>
        <v>210.446096654275</v>
      </c>
      <c r="I18" s="218" t="e">
        <f aca="false">F13/I17</f>
        <v>#DIV/0!</v>
      </c>
      <c r="J18" s="218" t="e">
        <f aca="false">F13/J17</f>
        <v>#DIV/0!</v>
      </c>
      <c r="K18" s="218" t="e">
        <f aca="false">F13/K17</f>
        <v>#DIV/0!</v>
      </c>
      <c r="L18" s="218" t="e">
        <f aca="false">F13/L17</f>
        <v>#DIV/0!</v>
      </c>
      <c r="M18" s="218" t="e">
        <f aca="false">F13/M17</f>
        <v>#DIV/0!</v>
      </c>
      <c r="N18" s="218" t="n">
        <f aca="false">F13/N17</f>
        <v>185.242146596859</v>
      </c>
      <c r="O18" s="218" t="n">
        <f aca="false">O13/O17</f>
        <v>21.2765957446809</v>
      </c>
      <c r="P18" s="218" t="n">
        <f aca="false">P13/P17</f>
        <v>21.2765957446809</v>
      </c>
      <c r="Q18" s="218" t="n">
        <f aca="false">Q13/Q17</f>
        <v>51.8439716312057</v>
      </c>
      <c r="R18" s="218" t="n">
        <f aca="false">Q13/R17</f>
        <v>64.1791044776119</v>
      </c>
      <c r="S18" s="218" t="n">
        <f aca="false">S13/S17</f>
        <v>30.0256629597947</v>
      </c>
      <c r="T18" s="218" t="n">
        <f aca="false">T13/T17</f>
        <v>76.3005780346821</v>
      </c>
      <c r="U18" s="218" t="n">
        <f aca="false">U13/U17</f>
        <v>19.3456614509246</v>
      </c>
      <c r="V18" s="218" t="n">
        <f aca="false">V13/V17</f>
        <v>37.9017857142857</v>
      </c>
      <c r="W18" s="218" t="n">
        <f aca="false">W13/W17</f>
        <v>28.0871670702179</v>
      </c>
      <c r="X18" s="218" t="n">
        <f aca="false">X13/X17</f>
        <v>28.6556603773585</v>
      </c>
      <c r="Y18" s="218" t="n">
        <f aca="false">Y13/Y17</f>
        <v>185.190839694657</v>
      </c>
      <c r="Z18" s="218" t="n">
        <f aca="false">Y13/Z17</f>
        <v>162.818791946309</v>
      </c>
      <c r="AA18" s="218" t="e">
        <f aca="false">Y13/AA17</f>
        <v>#DIV/0!</v>
      </c>
      <c r="AB18" s="218" t="n">
        <f aca="false">AB13/AB17</f>
        <v>68.3257918552036</v>
      </c>
      <c r="AC18" s="218" t="n">
        <f aca="false">AC13/AC17</f>
        <v>165.4705006575</v>
      </c>
      <c r="AD18" s="218" t="e">
        <f aca="false">AC13/AD17</f>
        <v>#DIV/0!</v>
      </c>
      <c r="AE18" s="218" t="n">
        <f aca="false">AE13/AE17</f>
        <v>157.562408223201</v>
      </c>
      <c r="AF18" s="218" t="n">
        <f aca="false">AE13/AF17</f>
        <v>143.066666666667</v>
      </c>
      <c r="AG18" s="218" t="n">
        <f aca="false">AG13/AG17</f>
        <v>64.7879140034863</v>
      </c>
      <c r="AH18" s="218" t="n">
        <f aca="false">AH13/AH17</f>
        <v>65.8657243816254</v>
      </c>
      <c r="AI18" s="218" t="n">
        <f aca="false">AI13/AI17</f>
        <v>78.7866108786611</v>
      </c>
      <c r="AJ18" s="218" t="n">
        <f aca="false">AJ13/AJ17</f>
        <v>138.310887454545</v>
      </c>
      <c r="AK18" s="218" t="n">
        <f aca="false">AK13/AK17</f>
        <v>203.403666899444</v>
      </c>
      <c r="AL18" s="218" t="n">
        <f aca="false">AK13/AL17</f>
        <v>166.421182008636</v>
      </c>
      <c r="AM18" s="218" t="n">
        <f aca="false">AM13/AM17</f>
        <v>183.901191510556</v>
      </c>
      <c r="AN18" s="218" t="n">
        <f aca="false">AM13/AN17</f>
        <v>143.922671616957</v>
      </c>
      <c r="AO18" s="218" t="n">
        <f aca="false">AO13/AO17</f>
        <v>28.5460992907801</v>
      </c>
      <c r="AP18" s="218" t="n">
        <f aca="false">AP13/AP17</f>
        <v>67.0212765957447</v>
      </c>
      <c r="AQ18" s="218" t="n">
        <f aca="false">AP13/AQ17</f>
        <v>82.9675153643547</v>
      </c>
      <c r="AR18" s="218" t="n">
        <f aca="false">AR13/AR17</f>
        <v>38.3233532934132</v>
      </c>
      <c r="AS18" s="218" t="n">
        <f aca="false">AS13/AS17</f>
        <v>85.8794384805946</v>
      </c>
      <c r="AT18" s="218" t="n">
        <f aca="false">AT13/AT17</f>
        <v>26.6002844950213</v>
      </c>
      <c r="AU18" s="218" t="n">
        <f aca="false">AU13/AU17</f>
        <v>46.8303571428571</v>
      </c>
      <c r="AV18" s="218" t="n">
        <f aca="false">AV13/AV17</f>
        <v>28.7328490718321</v>
      </c>
      <c r="AW18" s="218" t="n">
        <f aca="false">AW13/AW17</f>
        <v>36.497641509434</v>
      </c>
    </row>
    <row r="19" customFormat="false" ht="19.5" hidden="false" customHeight="true" outlineLevel="0" collapsed="false">
      <c r="A19" s="7" t="n">
        <v>13</v>
      </c>
      <c r="B19" s="23" t="s">
        <v>358</v>
      </c>
      <c r="C19" s="210" t="s">
        <v>359</v>
      </c>
      <c r="D19" s="185"/>
      <c r="E19" s="211" t="s">
        <v>336</v>
      </c>
      <c r="F19" s="218" t="n">
        <f aca="false">F10+(F14/8.92)^0.91</f>
        <v>24.7412336979073</v>
      </c>
      <c r="G19" s="218" t="n">
        <v>30</v>
      </c>
      <c r="H19" s="218" t="n">
        <v>30</v>
      </c>
      <c r="I19" s="218" t="n">
        <v>30</v>
      </c>
      <c r="J19" s="218" t="n">
        <v>30</v>
      </c>
      <c r="K19" s="218" t="n">
        <v>30</v>
      </c>
      <c r="L19" s="218" t="n">
        <v>30</v>
      </c>
      <c r="M19" s="218" t="n">
        <v>30</v>
      </c>
      <c r="N19" s="218" t="n">
        <v>30</v>
      </c>
      <c r="O19" s="218" t="n">
        <f aca="false">O10+(O14/8.92)^0.91</f>
        <v>20.2057634282032</v>
      </c>
      <c r="P19" s="218" t="n">
        <f aca="false">P10+(P14/8.92)^0.91</f>
        <v>20.2057634282032</v>
      </c>
      <c r="Q19" s="218" t="n">
        <f aca="false">Q10+(Q14/8.92)^0.91</f>
        <v>24.8942513549054</v>
      </c>
      <c r="R19" s="218" t="n">
        <f aca="false">Q10+(Q14/8.92)^0.91</f>
        <v>24.8942513549054</v>
      </c>
      <c r="S19" s="218" t="n">
        <f aca="false">S10+(S14/8.92)^0.91</f>
        <v>23.0177708094671</v>
      </c>
      <c r="T19" s="218" t="n">
        <f aca="false">T10+(T14/8.92)^0.91</f>
        <v>27.0512856112934</v>
      </c>
      <c r="U19" s="218" t="n">
        <f aca="false">U10+(U14/8.92)^0.91</f>
        <v>20.0228284045571</v>
      </c>
      <c r="V19" s="218" t="n">
        <f aca="false">V10+(V14/8.92)^0.91</f>
        <v>25.7303388557729</v>
      </c>
      <c r="W19" s="218" t="n">
        <f aca="false">W10+(W14/8.92)^0.91</f>
        <v>20.8399468072688</v>
      </c>
      <c r="X19" s="218" t="n">
        <f aca="false">X10+(X14/8.92)^0.91</f>
        <v>22.8922076195723</v>
      </c>
      <c r="Y19" s="218" t="n">
        <f aca="false">Y10+(Y14/8.92)^0.91</f>
        <v>45.8412840740328</v>
      </c>
      <c r="Z19" s="218" t="n">
        <f aca="false">Y10+(Y14/8.92)^0.91</f>
        <v>45.8412840740328</v>
      </c>
      <c r="AA19" s="218" t="n">
        <f aca="false">Y10+(Y14/8.92)^0.91</f>
        <v>45.8412840740328</v>
      </c>
      <c r="AB19" s="218" t="n">
        <f aca="false">AB10+(AB14/8.92)^0.91</f>
        <v>26.3773468138887</v>
      </c>
      <c r="AC19" s="218" t="n">
        <f aca="false">AC10+(AC14/8.92)^0.91</f>
        <v>26.6839221118057</v>
      </c>
      <c r="AD19" s="218" t="n">
        <f aca="false">AC10+(AC14/8.92)^0.91</f>
        <v>26.6839221118057</v>
      </c>
      <c r="AE19" s="218" t="n">
        <f aca="false">AE10+(AE14/8.92)^0.91</f>
        <v>26.9403546411828</v>
      </c>
      <c r="AF19" s="218" t="n">
        <f aca="false">AE10+(AE14/8.92)^0.91</f>
        <v>26.9403546411828</v>
      </c>
      <c r="AG19" s="218" t="n">
        <f aca="false">AG10+(AG14/8.92)^0.91</f>
        <v>26.0761364740111</v>
      </c>
      <c r="AH19" s="218" t="n">
        <f aca="false">AH10+(AH14/8.92)^0.91</f>
        <v>26.1680530806979</v>
      </c>
      <c r="AI19" s="218" t="n">
        <f aca="false">AI10+(AI14/8.92)^0.91</f>
        <v>29.260051206482</v>
      </c>
      <c r="AJ19" s="218" t="n">
        <f aca="false">AJ10+(AJ14/8.92)^0.91</f>
        <v>42.1156655806714</v>
      </c>
      <c r="AK19" s="218" t="n">
        <f aca="false">AK10+(AK14/8.92)^0.91</f>
        <v>28.4679651363004</v>
      </c>
      <c r="AL19" s="218" t="n">
        <f aca="false">AK10+(AK14/8.92)^0.91</f>
        <v>28.4679651363004</v>
      </c>
      <c r="AM19" s="218" t="n">
        <f aca="false">AM10+(AM14/8.92)^0.91</f>
        <v>27.4135574326861</v>
      </c>
      <c r="AN19" s="218" t="n">
        <f aca="false">AM10+(AM14/8.92)^0.91</f>
        <v>27.4135574326861</v>
      </c>
      <c r="AO19" s="218" t="n">
        <f aca="false">AO10+(AO14/8.92)^0.91</f>
        <v>20.8821431338933</v>
      </c>
      <c r="AP19" s="218" t="n">
        <f aca="false">AP10+(AP14/8.92)^0.91</f>
        <v>23.6560689538912</v>
      </c>
      <c r="AQ19" s="218" t="n">
        <f aca="false">AP10+(AP14/8.92)^0.91</f>
        <v>23.6560689538912</v>
      </c>
      <c r="AR19" s="218" t="n">
        <f aca="false">AR10+(AR14/8.92)^0.91</f>
        <v>23.7680770100197</v>
      </c>
      <c r="AS19" s="218" t="n">
        <f aca="false">AS10+(AS14/8.92)^0.91</f>
        <v>27.8524856427359</v>
      </c>
      <c r="AT19" s="218" t="n">
        <f aca="false">AT10+(AT14/8.92)^0.91</f>
        <v>20.7028036621468</v>
      </c>
      <c r="AU19" s="218" t="n">
        <f aca="false">AU10+(AU14/8.92)^0.91</f>
        <v>26.5221814073889</v>
      </c>
      <c r="AV19" s="218" t="n">
        <f aca="false">AV10+(AV14/8.92)^0.91</f>
        <v>20.899296236995</v>
      </c>
      <c r="AW19" s="218" t="n">
        <f aca="false">AW10+(AW14/8.92)^0.91</f>
        <v>23.6043665575752</v>
      </c>
    </row>
    <row r="20" customFormat="false" ht="12" hidden="false" customHeight="true" outlineLevel="0" collapsed="false">
      <c r="A20" s="7" t="n">
        <v>14</v>
      </c>
      <c r="B20" s="23" t="s">
        <v>360</v>
      </c>
      <c r="C20" s="210" t="s">
        <v>361</v>
      </c>
      <c r="D20" s="185"/>
      <c r="E20" s="211" t="s">
        <v>336</v>
      </c>
      <c r="F20" s="211" t="n">
        <v>50</v>
      </c>
      <c r="G20" s="211" t="n">
        <v>50</v>
      </c>
      <c r="H20" s="211" t="n">
        <v>50</v>
      </c>
      <c r="I20" s="211" t="n">
        <v>50</v>
      </c>
      <c r="J20" s="211" t="n">
        <v>50</v>
      </c>
      <c r="K20" s="211" t="n">
        <v>50</v>
      </c>
      <c r="L20" s="211" t="n">
        <v>50</v>
      </c>
      <c r="M20" s="211" t="n">
        <v>50</v>
      </c>
      <c r="N20" s="211" t="n">
        <v>50</v>
      </c>
      <c r="O20" s="211" t="n">
        <v>50</v>
      </c>
      <c r="P20" s="211" t="n">
        <v>50</v>
      </c>
      <c r="Q20" s="211" t="n">
        <v>50</v>
      </c>
      <c r="R20" s="211" t="n">
        <v>50</v>
      </c>
      <c r="S20" s="211" t="n">
        <v>50</v>
      </c>
      <c r="T20" s="211" t="n">
        <v>50</v>
      </c>
      <c r="U20" s="211" t="n">
        <v>50</v>
      </c>
      <c r="V20" s="211" t="n">
        <v>50</v>
      </c>
      <c r="W20" s="211" t="n">
        <v>50</v>
      </c>
      <c r="X20" s="211" t="n">
        <v>50</v>
      </c>
      <c r="Y20" s="211" t="n">
        <v>50</v>
      </c>
      <c r="Z20" s="211" t="n">
        <v>50</v>
      </c>
      <c r="AA20" s="211" t="n">
        <v>50</v>
      </c>
      <c r="AB20" s="211" t="n">
        <v>50</v>
      </c>
      <c r="AC20" s="211" t="n">
        <v>50</v>
      </c>
      <c r="AD20" s="211" t="n">
        <v>50</v>
      </c>
      <c r="AE20" s="211" t="n">
        <v>50</v>
      </c>
      <c r="AF20" s="211" t="n">
        <v>50</v>
      </c>
      <c r="AG20" s="211" t="n">
        <v>50</v>
      </c>
      <c r="AH20" s="211" t="n">
        <v>50</v>
      </c>
      <c r="AI20" s="211" t="n">
        <v>50</v>
      </c>
      <c r="AJ20" s="211" t="n">
        <v>50</v>
      </c>
      <c r="AK20" s="211" t="n">
        <v>50</v>
      </c>
      <c r="AL20" s="211" t="n">
        <v>50</v>
      </c>
      <c r="AM20" s="211" t="n">
        <v>50</v>
      </c>
      <c r="AN20" s="211" t="n">
        <v>50</v>
      </c>
      <c r="AO20" s="211" t="n">
        <v>50</v>
      </c>
      <c r="AP20" s="211" t="n">
        <v>50</v>
      </c>
      <c r="AQ20" s="211" t="n">
        <v>50</v>
      </c>
      <c r="AR20" s="211" t="n">
        <v>50</v>
      </c>
      <c r="AS20" s="211" t="n">
        <v>50</v>
      </c>
      <c r="AT20" s="211" t="n">
        <v>50</v>
      </c>
      <c r="AU20" s="211" t="n">
        <v>50</v>
      </c>
      <c r="AV20" s="211" t="n">
        <v>50</v>
      </c>
      <c r="AW20" s="211" t="n">
        <v>50</v>
      </c>
    </row>
    <row r="21" customFormat="false" ht="12" hidden="false" customHeight="true" outlineLevel="0" collapsed="false">
      <c r="A21" s="7" t="n">
        <v>15</v>
      </c>
      <c r="B21" s="219" t="s">
        <v>362</v>
      </c>
      <c r="C21" s="210" t="s">
        <v>363</v>
      </c>
      <c r="D21" s="185" t="s">
        <v>364</v>
      </c>
      <c r="E21" s="211" t="s">
        <v>336</v>
      </c>
      <c r="F21" s="211" t="n">
        <f aca="false">F20-F10</f>
        <v>30</v>
      </c>
      <c r="G21" s="211" t="n">
        <f aca="false">G20-F10</f>
        <v>30</v>
      </c>
      <c r="H21" s="211" t="n">
        <f aca="false">H20-F10</f>
        <v>30</v>
      </c>
      <c r="I21" s="211" t="n">
        <f aca="false">I20-F10</f>
        <v>30</v>
      </c>
      <c r="J21" s="211" t="n">
        <f aca="false">J20-F10</f>
        <v>30</v>
      </c>
      <c r="K21" s="211" t="n">
        <f aca="false">K20-F10</f>
        <v>30</v>
      </c>
      <c r="L21" s="211" t="n">
        <f aca="false">L20-F10</f>
        <v>30</v>
      </c>
      <c r="M21" s="211" t="n">
        <f aca="false">M20-F10</f>
        <v>30</v>
      </c>
      <c r="N21" s="211" t="n">
        <f aca="false">N20-F10</f>
        <v>30</v>
      </c>
      <c r="O21" s="211" t="n">
        <f aca="false">O20-O10</f>
        <v>32</v>
      </c>
      <c r="P21" s="211" t="n">
        <f aca="false">P20-P10</f>
        <v>32</v>
      </c>
      <c r="Q21" s="211" t="n">
        <f aca="false">Q20-Q10</f>
        <v>28</v>
      </c>
      <c r="R21" s="211" t="n">
        <f aca="false">R20-Q10</f>
        <v>28</v>
      </c>
      <c r="S21" s="211" t="n">
        <f aca="false">S20-S10</f>
        <v>30</v>
      </c>
      <c r="T21" s="211" t="n">
        <f aca="false">T20-T10</f>
        <v>30</v>
      </c>
      <c r="U21" s="211" t="n">
        <f aca="false">U20-U10</f>
        <v>32</v>
      </c>
      <c r="V21" s="211" t="n">
        <f aca="false">V20-V10</f>
        <v>28</v>
      </c>
      <c r="W21" s="211" t="n">
        <f aca="false">W20-W10</f>
        <v>32</v>
      </c>
      <c r="X21" s="211" t="n">
        <f aca="false">X20-X10</f>
        <v>30</v>
      </c>
      <c r="Y21" s="211" t="n">
        <f aca="false">Y20-Y10</f>
        <v>32</v>
      </c>
      <c r="Z21" s="211" t="n">
        <f aca="false">Z20-Y10</f>
        <v>32</v>
      </c>
      <c r="AA21" s="211" t="n">
        <f aca="false">AA20-Z10</f>
        <v>50</v>
      </c>
      <c r="AB21" s="211" t="n">
        <f aca="false">AB20-AB10</f>
        <v>30</v>
      </c>
      <c r="AC21" s="211" t="n">
        <f aca="false">AC20-AC10</f>
        <v>30</v>
      </c>
      <c r="AD21" s="211" t="n">
        <f aca="false">AD20-AC10</f>
        <v>30</v>
      </c>
      <c r="AE21" s="211" t="n">
        <f aca="false">AE20-AE10</f>
        <v>30</v>
      </c>
      <c r="AF21" s="211" t="n">
        <f aca="false">AF20-AE10</f>
        <v>30</v>
      </c>
      <c r="AG21" s="211" t="n">
        <f aca="false">AG20-AG10</f>
        <v>30</v>
      </c>
      <c r="AH21" s="211" t="n">
        <f aca="false">AH20-AH10</f>
        <v>30</v>
      </c>
      <c r="AI21" s="211" t="n">
        <f aca="false">AI20-AI10</f>
        <v>28</v>
      </c>
      <c r="AJ21" s="211" t="n">
        <f aca="false">AJ20-AJ10</f>
        <v>20</v>
      </c>
      <c r="AK21" s="211" t="n">
        <f aca="false">AK20-AK10</f>
        <v>30</v>
      </c>
      <c r="AL21" s="211" t="n">
        <f aca="false">AL20-AK10</f>
        <v>30</v>
      </c>
      <c r="AM21" s="211" t="n">
        <f aca="false">AM20-AM10</f>
        <v>30</v>
      </c>
      <c r="AN21" s="211" t="n">
        <f aca="false">AN20-AM10</f>
        <v>30</v>
      </c>
      <c r="AO21" s="211" t="n">
        <f aca="false">AO20-AO10</f>
        <v>32</v>
      </c>
      <c r="AP21" s="211" t="n">
        <f aca="false">AP20-AP10</f>
        <v>30</v>
      </c>
      <c r="AQ21" s="211" t="n">
        <f aca="false">AQ20-AP10</f>
        <v>30</v>
      </c>
      <c r="AR21" s="211" t="n">
        <f aca="false">AR20-AR10</f>
        <v>30</v>
      </c>
      <c r="AS21" s="211" t="n">
        <f aca="false">AS20-AS10</f>
        <v>30</v>
      </c>
      <c r="AT21" s="211" t="n">
        <f aca="false">AT20-AT10</f>
        <v>32</v>
      </c>
      <c r="AU21" s="211" t="n">
        <f aca="false">AU20-AU10</f>
        <v>28</v>
      </c>
      <c r="AV21" s="211" t="n">
        <f aca="false">AV20-AV10</f>
        <v>32</v>
      </c>
      <c r="AW21" s="211" t="n">
        <f aca="false">AW20-AW10</f>
        <v>30</v>
      </c>
    </row>
    <row r="22" customFormat="false" ht="12" hidden="false" customHeight="true" outlineLevel="0" collapsed="false">
      <c r="A22" s="7" t="n">
        <v>16</v>
      </c>
      <c r="B22" s="220" t="s">
        <v>365</v>
      </c>
      <c r="C22" s="210" t="s">
        <v>366</v>
      </c>
      <c r="D22" s="185" t="s">
        <v>367</v>
      </c>
      <c r="E22" s="211"/>
      <c r="F22" s="211" t="n">
        <v>30</v>
      </c>
      <c r="G22" s="211" t="n">
        <v>30</v>
      </c>
      <c r="H22" s="211" t="n">
        <v>30</v>
      </c>
      <c r="I22" s="211" t="n">
        <v>10</v>
      </c>
      <c r="J22" s="211" t="n">
        <v>10</v>
      </c>
      <c r="K22" s="211" t="n">
        <v>10</v>
      </c>
      <c r="L22" s="211" t="n">
        <v>10</v>
      </c>
      <c r="M22" s="211" t="n">
        <v>10</v>
      </c>
      <c r="N22" s="211" t="n">
        <v>30</v>
      </c>
      <c r="O22" s="211" t="n">
        <v>20</v>
      </c>
      <c r="P22" s="211" t="n">
        <v>20</v>
      </c>
      <c r="Q22" s="211" t="n">
        <v>20</v>
      </c>
      <c r="R22" s="211" t="n">
        <v>20</v>
      </c>
      <c r="S22" s="211" t="n">
        <v>20</v>
      </c>
      <c r="T22" s="211" t="n">
        <v>20</v>
      </c>
      <c r="U22" s="211" t="n">
        <v>20</v>
      </c>
      <c r="V22" s="211" t="n">
        <v>30</v>
      </c>
      <c r="W22" s="211" t="n">
        <v>20</v>
      </c>
      <c r="X22" s="211" t="n">
        <v>20</v>
      </c>
      <c r="Y22" s="211" t="n">
        <v>20</v>
      </c>
      <c r="Z22" s="211" t="n">
        <v>20</v>
      </c>
      <c r="AA22" s="211" t="n">
        <v>20</v>
      </c>
      <c r="AB22" s="211" t="n">
        <v>20</v>
      </c>
      <c r="AC22" s="211" t="n">
        <v>10</v>
      </c>
      <c r="AD22" s="211" t="n">
        <v>10</v>
      </c>
      <c r="AE22" s="211" t="n">
        <v>20</v>
      </c>
      <c r="AF22" s="211" t="n">
        <v>20</v>
      </c>
      <c r="AG22" s="211" t="n">
        <v>20</v>
      </c>
      <c r="AH22" s="211" t="n">
        <v>20</v>
      </c>
      <c r="AI22" s="211" t="n">
        <v>20</v>
      </c>
      <c r="AJ22" s="211" t="n">
        <v>10</v>
      </c>
      <c r="AK22" s="211" t="n">
        <v>10</v>
      </c>
      <c r="AL22" s="211" t="n">
        <v>10</v>
      </c>
      <c r="AM22" s="211" t="n">
        <v>10</v>
      </c>
      <c r="AN22" s="211" t="n">
        <v>10</v>
      </c>
      <c r="AO22" s="211" t="n">
        <v>20</v>
      </c>
      <c r="AP22" s="211" t="n">
        <v>20</v>
      </c>
      <c r="AQ22" s="211" t="n">
        <v>20</v>
      </c>
      <c r="AR22" s="211" t="n">
        <v>20</v>
      </c>
      <c r="AS22" s="211" t="n">
        <v>20</v>
      </c>
      <c r="AT22" s="211" t="n">
        <v>20</v>
      </c>
      <c r="AU22" s="211" t="n">
        <v>30</v>
      </c>
      <c r="AV22" s="211" t="n">
        <v>20</v>
      </c>
      <c r="AW22" s="211" t="n">
        <v>20</v>
      </c>
    </row>
    <row r="23" customFormat="false" ht="12" hidden="false" customHeight="true" outlineLevel="0" collapsed="false">
      <c r="A23" s="7" t="s">
        <v>368</v>
      </c>
      <c r="B23" s="220" t="s">
        <v>369</v>
      </c>
      <c r="C23" s="210" t="s">
        <v>370</v>
      </c>
      <c r="D23" s="185" t="s">
        <v>371</v>
      </c>
      <c r="E23" s="211" t="s">
        <v>336</v>
      </c>
      <c r="F23" s="221" t="n">
        <v>40</v>
      </c>
      <c r="G23" s="221" t="n">
        <v>40</v>
      </c>
      <c r="H23" s="221" t="n">
        <v>40</v>
      </c>
      <c r="I23" s="221" t="n">
        <v>40</v>
      </c>
      <c r="J23" s="221" t="n">
        <v>40</v>
      </c>
      <c r="K23" s="221" t="n">
        <v>40</v>
      </c>
      <c r="L23" s="221" t="n">
        <v>40</v>
      </c>
      <c r="M23" s="221" t="n">
        <v>40</v>
      </c>
      <c r="N23" s="221" t="n">
        <v>40</v>
      </c>
      <c r="O23" s="221" t="n">
        <v>36</v>
      </c>
      <c r="P23" s="221" t="n">
        <v>36</v>
      </c>
      <c r="Q23" s="221" t="n">
        <v>40</v>
      </c>
      <c r="R23" s="221" t="n">
        <v>40</v>
      </c>
      <c r="S23" s="221" t="n">
        <v>40</v>
      </c>
      <c r="T23" s="221" t="n">
        <v>40</v>
      </c>
      <c r="U23" s="221" t="n">
        <v>36</v>
      </c>
      <c r="V23" s="221" t="n">
        <v>44</v>
      </c>
      <c r="W23" s="221" t="n">
        <v>36</v>
      </c>
      <c r="X23" s="221" t="n">
        <v>40</v>
      </c>
      <c r="Y23" s="221" t="n">
        <v>40</v>
      </c>
      <c r="Z23" s="221" t="n">
        <v>40</v>
      </c>
      <c r="AA23" s="221" t="n">
        <v>40</v>
      </c>
      <c r="AB23" s="221" t="n">
        <v>40</v>
      </c>
      <c r="AC23" s="221" t="n">
        <v>40</v>
      </c>
      <c r="AD23" s="221" t="n">
        <v>40</v>
      </c>
      <c r="AE23" s="221" t="n">
        <v>40</v>
      </c>
      <c r="AF23" s="221" t="n">
        <v>40</v>
      </c>
      <c r="AG23" s="221" t="n">
        <v>40</v>
      </c>
      <c r="AH23" s="221" t="n">
        <v>40</v>
      </c>
      <c r="AI23" s="221" t="n">
        <v>44</v>
      </c>
      <c r="AJ23" s="221" t="n">
        <v>50</v>
      </c>
      <c r="AK23" s="221" t="n">
        <v>42</v>
      </c>
      <c r="AL23" s="221" t="n">
        <v>42</v>
      </c>
      <c r="AM23" s="221" t="n">
        <v>42</v>
      </c>
      <c r="AN23" s="221" t="n">
        <v>42</v>
      </c>
      <c r="AO23" s="221" t="n">
        <v>36</v>
      </c>
      <c r="AP23" s="221" t="n">
        <v>40</v>
      </c>
      <c r="AQ23" s="221" t="n">
        <v>40</v>
      </c>
      <c r="AR23" s="221" t="n">
        <v>40</v>
      </c>
      <c r="AS23" s="221" t="n">
        <v>40</v>
      </c>
      <c r="AT23" s="221" t="n">
        <v>36</v>
      </c>
      <c r="AU23" s="221" t="n">
        <v>44</v>
      </c>
      <c r="AV23" s="221" t="n">
        <v>36</v>
      </c>
      <c r="AW23" s="221" t="n">
        <v>40</v>
      </c>
    </row>
    <row r="24" customFormat="false" ht="12" hidden="false" customHeight="true" outlineLevel="0" collapsed="false">
      <c r="A24" s="7" t="s">
        <v>372</v>
      </c>
      <c r="B24" s="219" t="s">
        <v>373</v>
      </c>
      <c r="C24" s="210" t="s">
        <v>374</v>
      </c>
      <c r="D24" s="185"/>
      <c r="E24" s="211" t="s">
        <v>336</v>
      </c>
      <c r="F24" s="211" t="n">
        <f aca="false">F23-F10</f>
        <v>20</v>
      </c>
      <c r="G24" s="211" t="n">
        <f aca="false">G23-F10</f>
        <v>20</v>
      </c>
      <c r="H24" s="211" t="n">
        <f aca="false">H23-F10</f>
        <v>20</v>
      </c>
      <c r="I24" s="211" t="n">
        <f aca="false">I23-F10</f>
        <v>20</v>
      </c>
      <c r="J24" s="211" t="n">
        <f aca="false">J23-F10</f>
        <v>20</v>
      </c>
      <c r="K24" s="211" t="n">
        <f aca="false">K23-F10</f>
        <v>20</v>
      </c>
      <c r="L24" s="211" t="n">
        <f aca="false">L23-F10</f>
        <v>20</v>
      </c>
      <c r="M24" s="211" t="n">
        <f aca="false">M23-F10</f>
        <v>20</v>
      </c>
      <c r="N24" s="211" t="n">
        <f aca="false">N23-F10</f>
        <v>20</v>
      </c>
      <c r="O24" s="211" t="n">
        <f aca="false">O23-O10</f>
        <v>18</v>
      </c>
      <c r="P24" s="211" t="n">
        <f aca="false">P23-P10</f>
        <v>18</v>
      </c>
      <c r="Q24" s="211" t="n">
        <f aca="false">Q23-Q10</f>
        <v>18</v>
      </c>
      <c r="R24" s="211" t="n">
        <f aca="false">R23-Q10</f>
        <v>18</v>
      </c>
      <c r="S24" s="211" t="n">
        <f aca="false">S23-S10</f>
        <v>20</v>
      </c>
      <c r="T24" s="211" t="n">
        <f aca="false">T23-T10</f>
        <v>20</v>
      </c>
      <c r="U24" s="211" t="n">
        <f aca="false">U23-U10</f>
        <v>18</v>
      </c>
      <c r="V24" s="211" t="n">
        <f aca="false">V23-V10</f>
        <v>22</v>
      </c>
      <c r="W24" s="211" t="n">
        <f aca="false">W23-W10</f>
        <v>18</v>
      </c>
      <c r="X24" s="211" t="n">
        <f aca="false">X23-X10</f>
        <v>20</v>
      </c>
      <c r="Y24" s="211" t="n">
        <f aca="false">Y23-Y10</f>
        <v>22</v>
      </c>
      <c r="Z24" s="211" t="n">
        <f aca="false">Z23-Y10</f>
        <v>22</v>
      </c>
      <c r="AA24" s="211" t="n">
        <f aca="false">Z23-Y10</f>
        <v>22</v>
      </c>
      <c r="AB24" s="211" t="n">
        <f aca="false">AB23-AB10</f>
        <v>20</v>
      </c>
      <c r="AC24" s="211" t="n">
        <f aca="false">AC23-AC10</f>
        <v>20</v>
      </c>
      <c r="AD24" s="211" t="n">
        <f aca="false">AD23-AC10</f>
        <v>20</v>
      </c>
      <c r="AE24" s="211" t="n">
        <f aca="false">AE23-AE10</f>
        <v>20</v>
      </c>
      <c r="AF24" s="211" t="n">
        <f aca="false">AF23-AE10</f>
        <v>20</v>
      </c>
      <c r="AG24" s="211" t="n">
        <f aca="false">AG23-AG10</f>
        <v>20</v>
      </c>
      <c r="AH24" s="211" t="n">
        <f aca="false">AH23-AH10</f>
        <v>20</v>
      </c>
      <c r="AI24" s="211" t="n">
        <f aca="false">AI23-AI10</f>
        <v>22</v>
      </c>
      <c r="AJ24" s="211" t="n">
        <f aca="false">AJ23-AJ10</f>
        <v>20</v>
      </c>
      <c r="AK24" s="211" t="n">
        <f aca="false">AK23-AK10</f>
        <v>22</v>
      </c>
      <c r="AL24" s="211" t="n">
        <f aca="false">AL23-AK10</f>
        <v>22</v>
      </c>
      <c r="AM24" s="211" t="n">
        <f aca="false">AM23-AM10</f>
        <v>22</v>
      </c>
      <c r="AN24" s="211" t="n">
        <f aca="false">AN23-AM10</f>
        <v>22</v>
      </c>
      <c r="AO24" s="211" t="n">
        <f aca="false">AO23-AO10</f>
        <v>18</v>
      </c>
      <c r="AP24" s="211" t="n">
        <f aca="false">AP23-AP10</f>
        <v>20</v>
      </c>
      <c r="AQ24" s="211" t="n">
        <f aca="false">AQ23-AP10</f>
        <v>20</v>
      </c>
      <c r="AR24" s="211" t="n">
        <f aca="false">AR23-AR10</f>
        <v>20</v>
      </c>
      <c r="AS24" s="211" t="n">
        <f aca="false">AS23-AS10</f>
        <v>20</v>
      </c>
      <c r="AT24" s="211" t="n">
        <f aca="false">AT23-AT10</f>
        <v>18</v>
      </c>
      <c r="AU24" s="211" t="n">
        <f aca="false">AU23-AU10</f>
        <v>22</v>
      </c>
      <c r="AV24" s="211" t="n">
        <f aca="false">AV23-AV10</f>
        <v>18</v>
      </c>
      <c r="AW24" s="211" t="n">
        <f aca="false">AW23-AW10</f>
        <v>20</v>
      </c>
    </row>
    <row r="25" customFormat="false" ht="12" hidden="false" customHeight="true" outlineLevel="0" collapsed="false">
      <c r="A25" s="7" t="n">
        <v>18</v>
      </c>
      <c r="B25" s="219" t="s">
        <v>375</v>
      </c>
      <c r="C25" s="210" t="s">
        <v>376</v>
      </c>
      <c r="D25" s="185" t="s">
        <v>377</v>
      </c>
      <c r="E25" s="211" t="s">
        <v>336</v>
      </c>
      <c r="F25" s="211" t="n">
        <f aca="false">2*(F21-F24)</f>
        <v>20</v>
      </c>
      <c r="G25" s="211" t="n">
        <f aca="false">2*(G21-G24)</f>
        <v>20</v>
      </c>
      <c r="H25" s="211" t="n">
        <f aca="false">2*(H21-H24)</f>
        <v>20</v>
      </c>
      <c r="I25" s="211" t="n">
        <f aca="false">2*(I21-I24)</f>
        <v>20</v>
      </c>
      <c r="J25" s="211" t="n">
        <f aca="false">2*(J21-J24)</f>
        <v>20</v>
      </c>
      <c r="K25" s="211" t="n">
        <f aca="false">2*(K21-K24)</f>
        <v>20</v>
      </c>
      <c r="L25" s="211" t="n">
        <f aca="false">2*(L21-L24)</f>
        <v>20</v>
      </c>
      <c r="M25" s="211" t="n">
        <f aca="false">2*(M21-M24)</f>
        <v>20</v>
      </c>
      <c r="N25" s="211" t="n">
        <f aca="false">2*(N21-N24)</f>
        <v>20</v>
      </c>
      <c r="O25" s="211" t="n">
        <f aca="false">2*(O21-O24)</f>
        <v>28</v>
      </c>
      <c r="P25" s="211" t="n">
        <f aca="false">2*(P21-P24)</f>
        <v>28</v>
      </c>
      <c r="Q25" s="211" t="n">
        <f aca="false">2*(Q21-Q24)</f>
        <v>20</v>
      </c>
      <c r="R25" s="211" t="n">
        <f aca="false">2*(R21-R24)</f>
        <v>20</v>
      </c>
      <c r="S25" s="211" t="n">
        <f aca="false">2*(S21-S24)</f>
        <v>20</v>
      </c>
      <c r="T25" s="211" t="n">
        <f aca="false">2*(T21-T24)</f>
        <v>20</v>
      </c>
      <c r="U25" s="211" t="n">
        <f aca="false">2*(U21-U24)</f>
        <v>28</v>
      </c>
      <c r="V25" s="211" t="n">
        <f aca="false">2*(V21-V24)</f>
        <v>12</v>
      </c>
      <c r="W25" s="211" t="n">
        <f aca="false">2*(W21-W24)</f>
        <v>28</v>
      </c>
      <c r="X25" s="211" t="n">
        <f aca="false">2*(X21-X24)</f>
        <v>20</v>
      </c>
      <c r="Y25" s="211" t="n">
        <f aca="false">2*(Y21-Y24)</f>
        <v>20</v>
      </c>
      <c r="Z25" s="211" t="n">
        <f aca="false">2*(Z21-Z24)</f>
        <v>20</v>
      </c>
      <c r="AA25" s="211" t="n">
        <f aca="false">2*(AA21-AA24)</f>
        <v>56</v>
      </c>
      <c r="AB25" s="211" t="n">
        <f aca="false">2*(AB21-AB24)</f>
        <v>20</v>
      </c>
      <c r="AC25" s="211" t="n">
        <f aca="false">2*(AC21-AC24)</f>
        <v>20</v>
      </c>
      <c r="AD25" s="211" t="n">
        <f aca="false">2*(AD21-AD24)</f>
        <v>20</v>
      </c>
      <c r="AE25" s="211" t="n">
        <f aca="false">2*(AE21-AE24)</f>
        <v>20</v>
      </c>
      <c r="AF25" s="211" t="n">
        <f aca="false">2*(AF21-AF24)</f>
        <v>20</v>
      </c>
      <c r="AG25" s="211" t="n">
        <f aca="false">2*(AG21-AG24)</f>
        <v>20</v>
      </c>
      <c r="AH25" s="211" t="n">
        <f aca="false">2*(AH21-AH24)</f>
        <v>20</v>
      </c>
      <c r="AI25" s="211" t="n">
        <f aca="false">2*(AI21-AI24)</f>
        <v>12</v>
      </c>
      <c r="AJ25" s="211" t="n">
        <f aca="false">2*(AJ21-AJ24)</f>
        <v>0</v>
      </c>
      <c r="AK25" s="211" t="n">
        <f aca="false">2*(AK21-AK24)</f>
        <v>16</v>
      </c>
      <c r="AL25" s="211" t="n">
        <f aca="false">2*(AL21-AL24)</f>
        <v>16</v>
      </c>
      <c r="AM25" s="211" t="n">
        <f aca="false">2*(AM21-AM24)</f>
        <v>16</v>
      </c>
      <c r="AN25" s="211" t="n">
        <f aca="false">2*(AN21-AN24)</f>
        <v>16</v>
      </c>
      <c r="AO25" s="211" t="n">
        <f aca="false">2*(AO21-AO24)</f>
        <v>28</v>
      </c>
      <c r="AP25" s="211" t="n">
        <f aca="false">2*(AP21-AP24)</f>
        <v>20</v>
      </c>
      <c r="AQ25" s="211" t="n">
        <f aca="false">2*(AQ21-AQ24)</f>
        <v>20</v>
      </c>
      <c r="AR25" s="211" t="n">
        <f aca="false">2*(AR21-AR24)</f>
        <v>20</v>
      </c>
      <c r="AS25" s="211" t="n">
        <f aca="false">2*(AS21-AS24)</f>
        <v>20</v>
      </c>
      <c r="AT25" s="211" t="n">
        <f aca="false">2*(AT21-AT24)</f>
        <v>28</v>
      </c>
      <c r="AU25" s="211" t="n">
        <f aca="false">2*(AU21-AU24)</f>
        <v>12</v>
      </c>
      <c r="AV25" s="211" t="n">
        <f aca="false">2*(AV21-AV24)</f>
        <v>28</v>
      </c>
      <c r="AW25" s="211" t="n">
        <f aca="false">2*(AW21-AW24)</f>
        <v>20</v>
      </c>
    </row>
    <row r="26" customFormat="false" ht="12" hidden="false" customHeight="true" outlineLevel="0" collapsed="false">
      <c r="A26" s="7" t="n">
        <v>19</v>
      </c>
      <c r="B26" s="220" t="s">
        <v>378</v>
      </c>
      <c r="C26" s="210" t="s">
        <v>379</v>
      </c>
      <c r="D26" s="222" t="s">
        <v>380</v>
      </c>
      <c r="E26" s="211" t="s">
        <v>348</v>
      </c>
      <c r="F26" s="218" t="n">
        <f aca="false">0.2*F14</f>
        <v>9.86580690135936</v>
      </c>
      <c r="G26" s="218" t="n">
        <f aca="false">0.2*F14</f>
        <v>9.86580690135936</v>
      </c>
      <c r="H26" s="218" t="n">
        <f aca="false">0.2*F14</f>
        <v>9.86580690135936</v>
      </c>
      <c r="I26" s="218" t="n">
        <f aca="false">0.2*F14</f>
        <v>9.86580690135936</v>
      </c>
      <c r="J26" s="218" t="n">
        <f aca="false">0.2*F14</f>
        <v>9.86580690135936</v>
      </c>
      <c r="K26" s="218" t="n">
        <f aca="false">0.2*F14</f>
        <v>9.86580690135936</v>
      </c>
      <c r="L26" s="218" t="n">
        <f aca="false">0.2*F14</f>
        <v>9.86580690135936</v>
      </c>
      <c r="M26" s="218" t="n">
        <f aca="false">0.2*F14</f>
        <v>9.86580690135936</v>
      </c>
      <c r="N26" s="218" t="n">
        <f aca="false">0.2*F14</f>
        <v>9.86580690135936</v>
      </c>
      <c r="O26" s="218" t="n">
        <f aca="false">0.2*O14</f>
        <v>4.25531914893617</v>
      </c>
      <c r="P26" s="218" t="n">
        <f aca="false">0.2*P14</f>
        <v>4.25531914893617</v>
      </c>
      <c r="Q26" s="218" t="n">
        <f aca="false">0.2*Q14</f>
        <v>5.73558258140447</v>
      </c>
      <c r="R26" s="218" t="n">
        <f aca="false">0.2*Q14</f>
        <v>5.73558258140447</v>
      </c>
      <c r="S26" s="218" t="n">
        <f aca="false">0.2*M14</f>
        <v>0</v>
      </c>
      <c r="T26" s="218" t="n">
        <f aca="false">0.2*O14</f>
        <v>4.25531914893617</v>
      </c>
      <c r="U26" s="218" t="n">
        <f aca="false">0.2*Q14</f>
        <v>5.73558258140447</v>
      </c>
      <c r="V26" s="218" t="n">
        <f aca="false">0.2*R14</f>
        <v>0</v>
      </c>
      <c r="W26" s="218" t="n">
        <f aca="false">0.2*S14</f>
        <v>6.00513259195894</v>
      </c>
      <c r="X26" s="218" t="n">
        <f aca="false">0.2*T14</f>
        <v>15.2601156069364</v>
      </c>
      <c r="Y26" s="218" t="n">
        <f aca="false">0.2*Y14</f>
        <v>69.0184921763869</v>
      </c>
      <c r="Z26" s="218" t="n">
        <f aca="false">0.2*Y14</f>
        <v>69.0184921763869</v>
      </c>
      <c r="AA26" s="218" t="n">
        <f aca="false">0.2*Y14</f>
        <v>69.0184921763869</v>
      </c>
      <c r="AB26" s="218" t="n">
        <f aca="false">0.2*Y14</f>
        <v>69.0184921763869</v>
      </c>
      <c r="AC26" s="218" t="n">
        <f aca="false">0.2*AC14</f>
        <v>14.3887391876087</v>
      </c>
      <c r="AD26" s="218" t="n">
        <f aca="false">0.2*AC14</f>
        <v>14.3887391876087</v>
      </c>
      <c r="AE26" s="218" t="n">
        <f aca="false">0.2*AE14</f>
        <v>14.9965059399022</v>
      </c>
      <c r="AF26" s="218" t="n">
        <f aca="false">0.2*AE14</f>
        <v>14.9965059399022</v>
      </c>
      <c r="AG26" s="218" t="n">
        <f aca="false">0.2*AG14</f>
        <v>12.9575828006973</v>
      </c>
      <c r="AH26" s="218" t="n">
        <f aca="false">0.2*AH14</f>
        <v>13.1731448763251</v>
      </c>
      <c r="AI26" s="218" t="n">
        <f aca="false">0.2*AI14</f>
        <v>15.7573221757322</v>
      </c>
      <c r="AJ26" s="218" t="n">
        <f aca="false">0.2*AJ14</f>
        <v>27.6621774909091</v>
      </c>
      <c r="AK26" s="218" t="n">
        <f aca="false">0.2*AK14</f>
        <v>18.6608868715087</v>
      </c>
      <c r="AL26" s="218" t="n">
        <f aca="false">0.2*AK14</f>
        <v>18.6608868715087</v>
      </c>
      <c r="AM26" s="218" t="n">
        <f aca="false">0.2*AM14</f>
        <v>16.1238258509011</v>
      </c>
      <c r="AN26" s="218" t="n">
        <f aca="false">0.2*AM14</f>
        <v>16.1238258509011</v>
      </c>
      <c r="AO26" s="218" t="n">
        <f aca="false">0.2*AO14</f>
        <v>5.70921985815603</v>
      </c>
      <c r="AP26" s="218" t="n">
        <f aca="false">0.2*AP14</f>
        <v>7.41467242055708</v>
      </c>
      <c r="AQ26" s="218" t="n">
        <f aca="false">0.2*AP14</f>
        <v>7.41467242055708</v>
      </c>
      <c r="AR26" s="218" t="n">
        <f aca="false">0.2*AM14</f>
        <v>16.1238258509011</v>
      </c>
      <c r="AS26" s="218" t="n">
        <f aca="false">0.2*AO14</f>
        <v>5.70921985815603</v>
      </c>
      <c r="AT26" s="218" t="n">
        <f aca="false">0.2*AP14</f>
        <v>7.41467242055708</v>
      </c>
      <c r="AU26" s="218" t="n">
        <f aca="false">0.2*AQ14</f>
        <v>0</v>
      </c>
      <c r="AV26" s="218" t="n">
        <f aca="false">0.2*AR14</f>
        <v>7.66467065868264</v>
      </c>
      <c r="AW26" s="218" t="n">
        <f aca="false">0.2*AS14</f>
        <v>17.1758876961189</v>
      </c>
    </row>
    <row r="27" customFormat="false" ht="12" hidden="false" customHeight="true" outlineLevel="0" collapsed="false">
      <c r="A27" s="7" t="n">
        <v>20</v>
      </c>
      <c r="B27" s="220" t="s">
        <v>381</v>
      </c>
      <c r="C27" s="210" t="s">
        <v>382</v>
      </c>
      <c r="D27" s="185" t="s">
        <v>383</v>
      </c>
      <c r="E27" s="211" t="s">
        <v>384</v>
      </c>
      <c r="F27" s="223" t="n">
        <f aca="false">F17*(F14+F26)</f>
        <v>1710.73091669571</v>
      </c>
      <c r="G27" s="223" t="n">
        <f aca="false">G17*(F14+G26)</f>
        <v>1681.13349599163</v>
      </c>
      <c r="H27" s="223" t="n">
        <f aca="false">H17*(F14+H26)</f>
        <v>1592.3412338794</v>
      </c>
      <c r="I27" s="223" t="n">
        <f aca="false">F17*(F14+I26)</f>
        <v>1710.73091669571</v>
      </c>
      <c r="J27" s="223" t="n">
        <f aca="false">F12*(F14+J26)</f>
        <v>6793.2</v>
      </c>
      <c r="K27" s="223" t="n">
        <f aca="false">F17*(F14+K26)</f>
        <v>1710.73091669571</v>
      </c>
      <c r="L27" s="223" t="n">
        <f aca="false">F17*(F14+L26)</f>
        <v>1710.73091669571</v>
      </c>
      <c r="M27" s="223" t="n">
        <f aca="false">F17*(F14+M26)</f>
        <v>1710.73091669571</v>
      </c>
      <c r="N27" s="223" t="n">
        <f aca="false">N17*(F14+N26)</f>
        <v>1808.99435343325</v>
      </c>
      <c r="O27" s="223" t="n">
        <f aca="false">O17*(O14+O26)</f>
        <v>144</v>
      </c>
      <c r="P27" s="223" t="n">
        <f aca="false">P17*(P14+P26)</f>
        <v>144</v>
      </c>
      <c r="Q27" s="223" t="n">
        <f aca="false">Q17*(Q14+Q26)</f>
        <v>485.230286386818</v>
      </c>
      <c r="R27" s="223" t="n">
        <f aca="false">R17*(Q14+R26)</f>
        <v>391.969713613182</v>
      </c>
      <c r="S27" s="223" t="n">
        <f aca="false">S17*(S14+S26)</f>
        <v>351</v>
      </c>
      <c r="T27" s="223" t="n">
        <f aca="false">T17*(T14+T26)</f>
        <v>975.531914893617</v>
      </c>
      <c r="U27" s="223" t="n">
        <f aca="false">U17*(U14+U26)</f>
        <v>176.321145547273</v>
      </c>
      <c r="V27" s="223" t="n">
        <f aca="false">V17*(V14+V26)</f>
        <v>849</v>
      </c>
      <c r="W27" s="223" t="n">
        <f aca="false">W17*(W14+W26)</f>
        <v>422.403592814371</v>
      </c>
      <c r="X27" s="223" t="n">
        <f aca="false">X17*(X14+X26)</f>
        <v>744.811560693642</v>
      </c>
      <c r="Y27" s="223" t="n">
        <f aca="false">Y17*(Y14+Y26)</f>
        <v>5424.85348506401</v>
      </c>
      <c r="Z27" s="223" t="n">
        <f aca="false">Z17*(Y14+Z26)</f>
        <v>6170.25320056899</v>
      </c>
      <c r="AA27" s="223" t="n">
        <f aca="false">AA17*(Z14+AA26)</f>
        <v>0</v>
      </c>
      <c r="AB27" s="223" t="n">
        <f aca="false">AB17*(AB14+AB26)</f>
        <v>2124.71607396871</v>
      </c>
      <c r="AC27" s="223" t="n">
        <f aca="false">AC17*(AC14+AC26)</f>
        <v>1726.64870251304</v>
      </c>
      <c r="AD27" s="223" t="n">
        <f aca="false">AD17*(AD14+AD26)</f>
        <v>0</v>
      </c>
      <c r="AE27" s="223" t="n">
        <f aca="false">AE17*(AE14+AE26)</f>
        <v>1225.5144654088</v>
      </c>
      <c r="AF27" s="223" t="n">
        <f aca="false">AF17*(AE14+AF26)</f>
        <v>1349.6855345912</v>
      </c>
      <c r="AG27" s="223" t="n">
        <f aca="false">AG17*(AG14+AG26)</f>
        <v>1338</v>
      </c>
      <c r="AH27" s="223" t="n">
        <f aca="false">AH17*(AH14+AH26)</f>
        <v>1118.4</v>
      </c>
      <c r="AI27" s="223" t="n">
        <f aca="false">AI17*(AI14+AI26)</f>
        <v>2259.6</v>
      </c>
      <c r="AJ27" s="223" t="n">
        <f aca="false">AJ17*(AJ14+AJ26)</f>
        <v>419.911854312</v>
      </c>
      <c r="AK27" s="223" t="n">
        <f aca="false">AK17*(AK14+AK26)</f>
        <v>1007.68789106147</v>
      </c>
      <c r="AL27" s="223" t="n">
        <f aca="false">AL17*(AL14+AL26)</f>
        <v>205.269755586595</v>
      </c>
      <c r="AM27" s="223" t="n">
        <f aca="false">AM17*(AM14+AM26)</f>
        <v>870.68659594866</v>
      </c>
      <c r="AN27" s="223" t="n">
        <f aca="false">AN17*(AN14+AN26)</f>
        <v>185.423997285363</v>
      </c>
      <c r="AO27" s="223" t="n">
        <f aca="false">AO17*(AO14+AO26)</f>
        <v>193.2</v>
      </c>
      <c r="AP27" s="223" t="n">
        <f aca="false">AP17*(AP14+AP26)</f>
        <v>627.281286779129</v>
      </c>
      <c r="AQ27" s="223" t="n">
        <f aca="false">AQ17*(AP14+AQ26)</f>
        <v>506.718713220871</v>
      </c>
      <c r="AR27" s="223" t="n">
        <f aca="false">AR17*(AR14+AR26)</f>
        <v>636.487524197034</v>
      </c>
      <c r="AS27" s="223" t="n">
        <f aca="false">AS17*(AS14+AS26)</f>
        <v>1109.13865248227</v>
      </c>
      <c r="AT27" s="223" t="n">
        <f aca="false">AT17*(AT14+AT26)</f>
        <v>239.125147116516</v>
      </c>
      <c r="AU27" s="223" t="n">
        <f aca="false">AU17*(AU14+AU26)</f>
        <v>1049</v>
      </c>
      <c r="AV27" s="223" t="n">
        <f aca="false">AV17*(AV14+AV26)</f>
        <v>450.965269461078</v>
      </c>
      <c r="AW27" s="223" t="n">
        <f aca="false">AW17*(AW14+AW26)</f>
        <v>910.303055326177</v>
      </c>
    </row>
    <row r="28" customFormat="false" ht="12" hidden="false" customHeight="true" outlineLevel="0" collapsed="false">
      <c r="A28" s="7" t="n">
        <v>21</v>
      </c>
      <c r="B28" s="220" t="s">
        <v>188</v>
      </c>
      <c r="C28" s="210" t="s">
        <v>385</v>
      </c>
      <c r="D28" s="185" t="s">
        <v>386</v>
      </c>
      <c r="E28" s="211" t="s">
        <v>387</v>
      </c>
      <c r="F28" s="224" t="n">
        <f aca="false">F27/(1.163*F21)</f>
        <v>49.0321271623879</v>
      </c>
      <c r="G28" s="224" t="n">
        <f aca="false">G27/(1.163*G21)</f>
        <v>48.1838204640767</v>
      </c>
      <c r="H28" s="224" t="n">
        <f aca="false">H27/(1.163*H21)</f>
        <v>45.638900369143</v>
      </c>
      <c r="I28" s="224" t="n">
        <f aca="false">I27/(1.163*I21)</f>
        <v>49.0321271623879</v>
      </c>
      <c r="J28" s="224" t="n">
        <f aca="false">J27/(1.163*J21)</f>
        <v>194.703353396389</v>
      </c>
      <c r="K28" s="224" t="n">
        <f aca="false">K27/(1.163*K21)</f>
        <v>49.0321271623879</v>
      </c>
      <c r="L28" s="224" t="n">
        <f aca="false">L27/(1.163*L21)</f>
        <v>49.0321271623879</v>
      </c>
      <c r="M28" s="224" t="n">
        <f aca="false">M27/(1.163*M21)</f>
        <v>49.0321271623879</v>
      </c>
      <c r="N28" s="224" t="n">
        <f aca="false">N27/(1.163*N21)</f>
        <v>51.8485054007811</v>
      </c>
      <c r="O28" s="224" t="n">
        <f aca="false">O27/(1.163*O21)</f>
        <v>3.86930352536543</v>
      </c>
      <c r="P28" s="224" t="n">
        <f aca="false">P27/(1.163*P21)</f>
        <v>3.86930352536543</v>
      </c>
      <c r="Q28" s="224" t="n">
        <f aca="false">Q27/(1.163*Q21)</f>
        <v>14.9008195057984</v>
      </c>
      <c r="R28" s="224" t="n">
        <f aca="false">R27/(1.163*R21)</f>
        <v>12.0369031326981</v>
      </c>
      <c r="S28" s="224" t="n">
        <f aca="false">S27/(1.163*S21)</f>
        <v>10.0601891659501</v>
      </c>
      <c r="T28" s="224" t="n">
        <f aca="false">T27/(1.163*T21)</f>
        <v>27.9602153881805</v>
      </c>
      <c r="U28" s="224" t="n">
        <f aca="false">U27/(1.163*U21)</f>
        <v>4.7377779865454</v>
      </c>
      <c r="V28" s="224" t="n">
        <f aca="false">V27/(1.163*V21)</f>
        <v>26.07173565901</v>
      </c>
      <c r="W28" s="224" t="n">
        <f aca="false">W27/(1.163*W21)</f>
        <v>11.3500535472477</v>
      </c>
      <c r="X28" s="224" t="n">
        <f aca="false">X27/(1.163*X21)</f>
        <v>21.3474222038877</v>
      </c>
      <c r="Y28" s="224" t="n">
        <f aca="false">Y27/(1.163*Y21)</f>
        <v>145.766699405202</v>
      </c>
      <c r="Z28" s="224" t="n">
        <f aca="false">Z27/(1.163*Z21)</f>
        <v>165.795711537215</v>
      </c>
      <c r="AA28" s="224" t="n">
        <f aca="false">AA27/(1.163*AA21)</f>
        <v>0</v>
      </c>
      <c r="AB28" s="224" t="n">
        <f aca="false">AB27/(1.163*AB21)</f>
        <v>60.897565891909</v>
      </c>
      <c r="AC28" s="224" t="n">
        <f aca="false">AC27/(1.163*AC21)</f>
        <v>49.4883549014916</v>
      </c>
      <c r="AD28" s="224" t="n">
        <f aca="false">AD27/(1.163*AD21)</f>
        <v>0</v>
      </c>
      <c r="AE28" s="224" t="n">
        <f aca="false">AE27/(1.163*AE21)</f>
        <v>35.1250921584639</v>
      </c>
      <c r="AF28" s="224" t="n">
        <f aca="false">AF27/(1.163*AF21)</f>
        <v>38.6840222009514</v>
      </c>
      <c r="AG28" s="224" t="n">
        <f aca="false">AG27/(1.163*AG21)</f>
        <v>38.3490971625107</v>
      </c>
      <c r="AH28" s="224" t="n">
        <f aca="false">AH27/(1.163*AH21)</f>
        <v>32.055030094583</v>
      </c>
      <c r="AI28" s="224" t="n">
        <f aca="false">AI27/(1.163*AI21)</f>
        <v>69.3895098882201</v>
      </c>
      <c r="AJ28" s="224" t="n">
        <f aca="false">AJ27/(1.163*AJ21)</f>
        <v>18.0529602025795</v>
      </c>
      <c r="AK28" s="224" t="n">
        <f aca="false">AK27/(1.163*AK21)</f>
        <v>28.8818541433496</v>
      </c>
      <c r="AL28" s="224" t="n">
        <f aca="false">AL27/(1.163*AL21)</f>
        <v>5.88334065883048</v>
      </c>
      <c r="AM28" s="224" t="n">
        <f aca="false">AM27/(1.163*AM21)</f>
        <v>24.955190482908</v>
      </c>
      <c r="AN28" s="224" t="n">
        <f aca="false">AN27/(1.163*AN21)</f>
        <v>5.31453130654522</v>
      </c>
      <c r="AO28" s="224" t="n">
        <f aca="false">AO27/(1.163*AO21)</f>
        <v>5.19131556319863</v>
      </c>
      <c r="AP28" s="224" t="n">
        <f aca="false">AP27/(1.163*AP21)</f>
        <v>17.9788273654093</v>
      </c>
      <c r="AQ28" s="224" t="n">
        <f aca="false">AQ27/(1.163*AQ21)</f>
        <v>14.5233222476604</v>
      </c>
      <c r="AR28" s="224" t="n">
        <f aca="false">AR27/(1.163*AR21)</f>
        <v>18.2426920090867</v>
      </c>
      <c r="AS28" s="224" t="n">
        <f aca="false">AS27/(1.163*AS21)</f>
        <v>31.7895859123608</v>
      </c>
      <c r="AT28" s="224" t="n">
        <f aca="false">AT27/(1.163*AT21)</f>
        <v>6.42533176903795</v>
      </c>
      <c r="AU28" s="224" t="n">
        <f aca="false">AU27/(1.163*AU21)</f>
        <v>32.2134872865741</v>
      </c>
      <c r="AV28" s="224" t="n">
        <f aca="false">AV27/(1.163*AV21)</f>
        <v>12.1175104648828</v>
      </c>
      <c r="AW28" s="224" t="n">
        <f aca="false">AW27/(1.163*AW21)</f>
        <v>26.0906579342556</v>
      </c>
    </row>
    <row r="29" customFormat="false" ht="12" hidden="false" customHeight="true" outlineLevel="0" collapsed="false">
      <c r="A29" s="7" t="n">
        <v>22</v>
      </c>
      <c r="B29" s="220" t="s">
        <v>388</v>
      </c>
      <c r="C29" s="210" t="s">
        <v>256</v>
      </c>
      <c r="D29" s="185" t="s">
        <v>389</v>
      </c>
      <c r="E29" s="211" t="s">
        <v>188</v>
      </c>
      <c r="F29" s="225" t="n">
        <f aca="false">F17/(F22*0.01)</f>
        <v>96.3333333333333</v>
      </c>
      <c r="G29" s="225" t="n">
        <f aca="false">G17/(G22*0.01)</f>
        <v>94.6666666666667</v>
      </c>
      <c r="H29" s="225" t="n">
        <f aca="false">H17/(H22*0.01)</f>
        <v>89.6666666666667</v>
      </c>
      <c r="I29" s="225" t="n">
        <f aca="false">I17/(I22*0.01)</f>
        <v>0</v>
      </c>
      <c r="J29" s="225" t="n">
        <f aca="false">J17/(J22*0.01)</f>
        <v>0</v>
      </c>
      <c r="K29" s="225" t="n">
        <f aca="false">K17/(K22*0.01)</f>
        <v>0</v>
      </c>
      <c r="L29" s="225" t="n">
        <f aca="false">L17/(L22*0.01)</f>
        <v>0</v>
      </c>
      <c r="M29" s="225" t="n">
        <f aca="false">M17/(M22*0.01)</f>
        <v>0</v>
      </c>
      <c r="N29" s="225" t="n">
        <f aca="false">N17/(N22*0.01)</f>
        <v>101.866666666667</v>
      </c>
      <c r="O29" s="225" t="n">
        <f aca="false">O17/(O22*0.01)</f>
        <v>28.2</v>
      </c>
      <c r="P29" s="225" t="n">
        <f aca="false">P17/(P22*0.01)</f>
        <v>28.2</v>
      </c>
      <c r="Q29" s="225" t="n">
        <f aca="false">Q17/(Q22*0.01)</f>
        <v>70.5</v>
      </c>
      <c r="R29" s="225" t="n">
        <f aca="false">R17/(R22*0.01)</f>
        <v>56.95</v>
      </c>
      <c r="S29" s="225" t="n">
        <f aca="false">S17/(S22*0.01)</f>
        <v>58.45</v>
      </c>
      <c r="T29" s="225" t="n">
        <f aca="false">T17/(T22*0.01)</f>
        <v>60.55</v>
      </c>
      <c r="U29" s="225" t="n">
        <f aca="false">U17/(U22*0.01)</f>
        <v>35.15</v>
      </c>
      <c r="V29" s="225" t="n">
        <f aca="false">V17/(V22*0.01)</f>
        <v>74.6666666666667</v>
      </c>
      <c r="W29" s="225" t="n">
        <f aca="false">W17/(W22*0.01)</f>
        <v>61.95</v>
      </c>
      <c r="X29" s="225" t="n">
        <f aca="false">X17/(X22*0.01)</f>
        <v>84.8</v>
      </c>
      <c r="Y29" s="225" t="n">
        <f aca="false">Y17/(Y22*0.01)</f>
        <v>65.5</v>
      </c>
      <c r="Z29" s="225" t="n">
        <f aca="false">Z17/(Z22*0.01)</f>
        <v>74.5</v>
      </c>
      <c r="AA29" s="225" t="n">
        <f aca="false">AA17/(AA22*0.01)</f>
        <v>0</v>
      </c>
      <c r="AB29" s="225" t="n">
        <f aca="false">AB17/(AB22*0.01)</f>
        <v>77.35</v>
      </c>
      <c r="AC29" s="225" t="n">
        <f aca="false">AC17/(AC22*0.01)</f>
        <v>200</v>
      </c>
      <c r="AD29" s="225" t="n">
        <f aca="false">AD17/(AD22*0.01)</f>
        <v>0</v>
      </c>
      <c r="AE29" s="225" t="n">
        <f aca="false">AE17/(AE22*0.01)</f>
        <v>68.1</v>
      </c>
      <c r="AF29" s="225" t="n">
        <f aca="false">AF17/(AF22*0.01)</f>
        <v>75</v>
      </c>
      <c r="AG29" s="225" t="n">
        <f aca="false">AG17/(AG22*0.01)</f>
        <v>86.05</v>
      </c>
      <c r="AH29" s="225" t="n">
        <f aca="false">AH17/(AH22*0.01)</f>
        <v>70.75</v>
      </c>
      <c r="AI29" s="225" t="n">
        <f aca="false">AI17/(AI22*0.01)</f>
        <v>119.5</v>
      </c>
      <c r="AJ29" s="225" t="n">
        <f aca="false">AJ17/(AJ22*0.01)</f>
        <v>25.3</v>
      </c>
      <c r="AK29" s="225" t="n">
        <f aca="false">AK17/(AK22*0.01)</f>
        <v>90</v>
      </c>
      <c r="AL29" s="225" t="n">
        <f aca="false">AL17/(AL22*0.01)</f>
        <v>110</v>
      </c>
      <c r="AM29" s="225" t="n">
        <f aca="false">AM17/(AM22*0.01)</f>
        <v>90</v>
      </c>
      <c r="AN29" s="225" t="n">
        <f aca="false">AN17/(AN22*0.01)</f>
        <v>115</v>
      </c>
      <c r="AO29" s="225" t="n">
        <f aca="false">AO17/(AO22*0.01)</f>
        <v>28.2</v>
      </c>
      <c r="AP29" s="225" t="n">
        <f aca="false">AP17/(AP22*0.01)</f>
        <v>70.5</v>
      </c>
      <c r="AQ29" s="225" t="n">
        <f aca="false">AQ17/(AQ22*0.01)</f>
        <v>56.95</v>
      </c>
      <c r="AR29" s="225" t="n">
        <f aca="false">AR17/(AR22*0.01)</f>
        <v>58.45</v>
      </c>
      <c r="AS29" s="225" t="n">
        <f aca="false">AS17/(AS22*0.01)</f>
        <v>60.55</v>
      </c>
      <c r="AT29" s="225" t="n">
        <f aca="false">AT17/(AT22*0.01)</f>
        <v>35.15</v>
      </c>
      <c r="AU29" s="225" t="n">
        <f aca="false">AU17/(AU22*0.01)</f>
        <v>74.6666666666667</v>
      </c>
      <c r="AV29" s="225" t="n">
        <f aca="false">AV17/(AV22*0.01)</f>
        <v>61.95</v>
      </c>
      <c r="AW29" s="225" t="n">
        <f aca="false">AW17/(AW22*0.01)</f>
        <v>84.8</v>
      </c>
    </row>
    <row r="30" customFormat="false" ht="12" hidden="false" customHeight="true" outlineLevel="0" collapsed="false">
      <c r="A30" s="7" t="n">
        <v>23</v>
      </c>
      <c r="B30" s="220" t="s">
        <v>390</v>
      </c>
      <c r="C30" s="210" t="s">
        <v>391</v>
      </c>
      <c r="D30" s="185" t="s">
        <v>367</v>
      </c>
      <c r="E30" s="211" t="s">
        <v>188</v>
      </c>
      <c r="F30" s="227" t="s">
        <v>392</v>
      </c>
      <c r="G30" s="226"/>
      <c r="H30" s="226"/>
      <c r="I30" s="226"/>
      <c r="J30" s="226"/>
      <c r="K30" s="226"/>
      <c r="L30" s="226"/>
      <c r="M30" s="226"/>
      <c r="N30" s="226"/>
      <c r="O30" s="226" t="s">
        <v>392</v>
      </c>
      <c r="P30" s="226" t="s">
        <v>392</v>
      </c>
      <c r="Q30" s="226"/>
      <c r="R30" s="226"/>
      <c r="S30" s="226"/>
      <c r="T30" s="226"/>
      <c r="U30" s="226"/>
      <c r="V30" s="226"/>
      <c r="W30" s="226"/>
      <c r="X30" s="226"/>
      <c r="Y30" s="226"/>
      <c r="Z30" s="226"/>
      <c r="AA30" s="226"/>
      <c r="AB30" s="226"/>
      <c r="AC30" s="226"/>
      <c r="AD30" s="226"/>
      <c r="AE30" s="226"/>
      <c r="AF30" s="226"/>
      <c r="AG30" s="226"/>
      <c r="AO30" s="226" t="s">
        <v>392</v>
      </c>
      <c r="AP30" s="226"/>
      <c r="AQ30" s="226"/>
      <c r="AR30" s="226"/>
      <c r="AS30" s="226"/>
      <c r="AT30" s="226"/>
      <c r="AU30" s="226"/>
      <c r="AV30" s="226"/>
      <c r="AW30" s="226"/>
    </row>
    <row r="31" customFormat="false" ht="12" hidden="false" customHeight="true" outlineLevel="0" collapsed="false">
      <c r="A31" s="7" t="n">
        <v>24</v>
      </c>
      <c r="B31" s="220" t="s">
        <v>212</v>
      </c>
      <c r="C31" s="210" t="s">
        <v>393</v>
      </c>
      <c r="D31" s="185" t="s">
        <v>394</v>
      </c>
      <c r="E31" s="211" t="s">
        <v>188</v>
      </c>
      <c r="F31" s="228" t="n">
        <f aca="false">F29+0</f>
        <v>96.3333333333333</v>
      </c>
      <c r="G31" s="228" t="n">
        <f aca="false">G29+0</f>
        <v>94.6666666666667</v>
      </c>
      <c r="H31" s="228" t="n">
        <f aca="false">H29+0</f>
        <v>89.6666666666667</v>
      </c>
      <c r="I31" s="228" t="n">
        <f aca="false">I29+0</f>
        <v>0</v>
      </c>
      <c r="J31" s="228" t="n">
        <f aca="false">J29+0</f>
        <v>0</v>
      </c>
      <c r="K31" s="228" t="n">
        <f aca="false">K29+0</f>
        <v>0</v>
      </c>
      <c r="L31" s="228" t="n">
        <f aca="false">L29+0</f>
        <v>0</v>
      </c>
      <c r="M31" s="228" t="n">
        <f aca="false">M29+0</f>
        <v>0</v>
      </c>
      <c r="N31" s="228" t="n">
        <f aca="false">N29+0</f>
        <v>101.866666666667</v>
      </c>
      <c r="O31" s="228" t="n">
        <f aca="false">O29+0</f>
        <v>28.2</v>
      </c>
      <c r="P31" s="228" t="n">
        <f aca="false">P29+0</f>
        <v>28.2</v>
      </c>
      <c r="Q31" s="228" t="n">
        <f aca="false">Q29+0</f>
        <v>70.5</v>
      </c>
      <c r="R31" s="228" t="n">
        <f aca="false">R29+0</f>
        <v>56.95</v>
      </c>
      <c r="S31" s="228" t="n">
        <f aca="false">S29+0</f>
        <v>58.45</v>
      </c>
      <c r="T31" s="228" t="n">
        <f aca="false">T29+0</f>
        <v>60.55</v>
      </c>
      <c r="U31" s="228" t="n">
        <f aca="false">U29+0</f>
        <v>35.15</v>
      </c>
      <c r="V31" s="228" t="n">
        <f aca="false">V29+0</f>
        <v>74.6666666666667</v>
      </c>
      <c r="W31" s="228" t="n">
        <f aca="false">W29+0</f>
        <v>61.95</v>
      </c>
      <c r="X31" s="228" t="n">
        <f aca="false">X29+0</f>
        <v>84.8</v>
      </c>
      <c r="Y31" s="228" t="n">
        <f aca="false">Y29+0</f>
        <v>65.5</v>
      </c>
      <c r="Z31" s="228" t="n">
        <f aca="false">Z29+0</f>
        <v>74.5</v>
      </c>
      <c r="AA31" s="228" t="n">
        <f aca="false">AA29+0</f>
        <v>0</v>
      </c>
      <c r="AB31" s="228" t="n">
        <f aca="false">AB29+0</f>
        <v>77.35</v>
      </c>
      <c r="AC31" s="228" t="n">
        <f aca="false">AC29+0</f>
        <v>200</v>
      </c>
      <c r="AD31" s="228" t="n">
        <f aca="false">AD29+0</f>
        <v>0</v>
      </c>
      <c r="AE31" s="228" t="n">
        <f aca="false">AE29+0</f>
        <v>68.1</v>
      </c>
      <c r="AF31" s="228" t="n">
        <f aca="false">AF29+0</f>
        <v>75</v>
      </c>
      <c r="AG31" s="228" t="n">
        <f aca="false">AG29+0</f>
        <v>86.05</v>
      </c>
      <c r="AH31" s="228" t="n">
        <f aca="false">AH29+0</f>
        <v>70.75</v>
      </c>
      <c r="AI31" s="228" t="n">
        <f aca="false">AI29+0</f>
        <v>119.5</v>
      </c>
      <c r="AJ31" s="228" t="n">
        <f aca="false">AJ29+0</f>
        <v>25.3</v>
      </c>
      <c r="AK31" s="228" t="n">
        <f aca="false">AK29+0</f>
        <v>90</v>
      </c>
      <c r="AL31" s="228" t="n">
        <f aca="false">AL29+0</f>
        <v>110</v>
      </c>
      <c r="AM31" s="228" t="n">
        <f aca="false">AM29+0</f>
        <v>90</v>
      </c>
      <c r="AN31" s="228" t="n">
        <f aca="false">AN29+0</f>
        <v>115</v>
      </c>
      <c r="AO31" s="228" t="n">
        <f aca="false">AO29+0</f>
        <v>28.2</v>
      </c>
      <c r="AP31" s="228" t="n">
        <f aca="false">AP29+0</f>
        <v>70.5</v>
      </c>
      <c r="AQ31" s="228" t="n">
        <f aca="false">AQ29+0</f>
        <v>56.95</v>
      </c>
      <c r="AR31" s="228" t="n">
        <f aca="false">AR29+0</f>
        <v>58.45</v>
      </c>
      <c r="AS31" s="228" t="n">
        <f aca="false">AS29+0</f>
        <v>60.55</v>
      </c>
      <c r="AT31" s="228" t="n">
        <f aca="false">AT29+0</f>
        <v>35.15</v>
      </c>
      <c r="AU31" s="228" t="n">
        <f aca="false">AU29+0</f>
        <v>74.6666666666667</v>
      </c>
      <c r="AV31" s="228" t="n">
        <f aca="false">AV29+0</f>
        <v>61.95</v>
      </c>
      <c r="AW31" s="228" t="n">
        <f aca="false">AW29+0</f>
        <v>84.8</v>
      </c>
    </row>
    <row r="32" customFormat="false" ht="12" hidden="false" customHeight="true" outlineLevel="0" collapsed="false">
      <c r="A32" s="7" t="n">
        <v>25</v>
      </c>
      <c r="B32" s="219" t="s">
        <v>395</v>
      </c>
      <c r="C32" s="210" t="s">
        <v>396</v>
      </c>
      <c r="D32" s="185" t="s">
        <v>397</v>
      </c>
      <c r="E32" s="211" t="s">
        <v>398</v>
      </c>
      <c r="F32" s="229" t="n">
        <v>3060</v>
      </c>
      <c r="G32" s="229" t="n">
        <v>3000</v>
      </c>
      <c r="H32" s="229" t="n">
        <v>3040</v>
      </c>
      <c r="I32" s="229" t="n">
        <v>3060</v>
      </c>
      <c r="J32" s="229" t="n">
        <v>2646</v>
      </c>
      <c r="K32" s="229" t="n">
        <v>3060</v>
      </c>
      <c r="L32" s="229" t="n">
        <v>3060</v>
      </c>
      <c r="M32" s="229" t="n">
        <v>858</v>
      </c>
      <c r="N32" s="229" t="n">
        <v>3080</v>
      </c>
      <c r="O32" s="229" t="n">
        <v>3800</v>
      </c>
      <c r="P32" s="229" t="n">
        <v>3800</v>
      </c>
      <c r="Q32" s="229" t="n">
        <v>2450</v>
      </c>
      <c r="R32" s="229" t="n">
        <v>2450</v>
      </c>
      <c r="S32" s="229" t="n">
        <v>2820</v>
      </c>
      <c r="T32" s="229" t="n">
        <v>2480</v>
      </c>
      <c r="U32" s="229" t="n">
        <v>2520</v>
      </c>
      <c r="V32" s="229" t="n">
        <v>2740</v>
      </c>
      <c r="W32" s="229" t="n">
        <v>2430</v>
      </c>
      <c r="X32" s="229" t="n">
        <v>2650</v>
      </c>
      <c r="Y32" s="229" t="n">
        <v>2840</v>
      </c>
      <c r="Z32" s="229" t="n">
        <v>2840</v>
      </c>
      <c r="AA32" s="229" t="n">
        <v>2800</v>
      </c>
      <c r="AB32" s="229" t="n">
        <v>3400</v>
      </c>
      <c r="AC32" s="229" t="n">
        <v>2800</v>
      </c>
      <c r="AD32" s="229" t="n">
        <v>2800</v>
      </c>
      <c r="AE32" s="229" t="n">
        <v>2950</v>
      </c>
      <c r="AF32" s="229" t="n">
        <v>2900</v>
      </c>
      <c r="AG32" s="229" t="n">
        <v>2450</v>
      </c>
      <c r="AH32" s="229" t="n">
        <v>3150</v>
      </c>
      <c r="AI32" s="229" t="n">
        <v>3400</v>
      </c>
      <c r="AJ32" s="229" t="n">
        <v>3800</v>
      </c>
      <c r="AK32" s="229" t="n">
        <v>2800</v>
      </c>
      <c r="AL32" s="229" t="n">
        <v>2800</v>
      </c>
      <c r="AM32" s="229" t="n">
        <v>2800</v>
      </c>
      <c r="AN32" s="229" t="n">
        <v>2800</v>
      </c>
      <c r="AO32" s="229" t="n">
        <v>3720</v>
      </c>
      <c r="AP32" s="229" t="n">
        <v>2450</v>
      </c>
      <c r="AQ32" s="229" t="n">
        <v>2450</v>
      </c>
      <c r="AR32" s="229" t="n">
        <v>2820</v>
      </c>
      <c r="AS32" s="229" t="n">
        <v>2480</v>
      </c>
      <c r="AT32" s="229" t="n">
        <v>2520</v>
      </c>
      <c r="AU32" s="229" t="n">
        <v>2740</v>
      </c>
      <c r="AV32" s="229" t="n">
        <v>2430</v>
      </c>
      <c r="AW32" s="229" t="n">
        <v>2650</v>
      </c>
    </row>
    <row r="33" customFormat="false" ht="12" hidden="false" customHeight="true" outlineLevel="0" collapsed="false">
      <c r="A33" s="7" t="n">
        <v>26</v>
      </c>
      <c r="B33" s="219" t="s">
        <v>399</v>
      </c>
      <c r="C33" s="210" t="s">
        <v>400</v>
      </c>
      <c r="D33" s="185" t="s">
        <v>401</v>
      </c>
      <c r="E33" s="211" t="s">
        <v>398</v>
      </c>
      <c r="F33" s="211" t="n">
        <f aca="false">F32*0.05</f>
        <v>153</v>
      </c>
      <c r="G33" s="211" t="n">
        <f aca="false">G32*0.05</f>
        <v>150</v>
      </c>
      <c r="H33" s="211" t="n">
        <f aca="false">H32*0.05</f>
        <v>152</v>
      </c>
      <c r="I33" s="211" t="n">
        <f aca="false">I32*0.05</f>
        <v>153</v>
      </c>
      <c r="J33" s="211" t="n">
        <f aca="false">J32*0.05</f>
        <v>132.3</v>
      </c>
      <c r="K33" s="211" t="n">
        <f aca="false">K32*0.05</f>
        <v>153</v>
      </c>
      <c r="L33" s="211" t="n">
        <f aca="false">L32*0.05</f>
        <v>153</v>
      </c>
      <c r="M33" s="211" t="n">
        <f aca="false">M32*0.05</f>
        <v>42.9</v>
      </c>
      <c r="N33" s="211" t="n">
        <f aca="false">N32*0.05</f>
        <v>154</v>
      </c>
      <c r="O33" s="211" t="n">
        <f aca="false">O32*0.05</f>
        <v>190</v>
      </c>
      <c r="P33" s="211" t="n">
        <f aca="false">P32*0.05</f>
        <v>190</v>
      </c>
      <c r="Q33" s="211" t="n">
        <f aca="false">Q32*0.05</f>
        <v>122.5</v>
      </c>
      <c r="R33" s="211" t="n">
        <f aca="false">R32*0.05</f>
        <v>122.5</v>
      </c>
      <c r="S33" s="211" t="n">
        <f aca="false">S32*0.05</f>
        <v>141</v>
      </c>
      <c r="T33" s="211" t="n">
        <f aca="false">T32*0.05</f>
        <v>124</v>
      </c>
      <c r="U33" s="211" t="n">
        <f aca="false">U32*0.05</f>
        <v>126</v>
      </c>
      <c r="V33" s="211" t="n">
        <f aca="false">V32*0.05</f>
        <v>137</v>
      </c>
      <c r="W33" s="211" t="n">
        <f aca="false">W32*0.05</f>
        <v>121.5</v>
      </c>
      <c r="X33" s="211" t="n">
        <f aca="false">X32*0.05</f>
        <v>132.5</v>
      </c>
      <c r="Y33" s="211" t="n">
        <f aca="false">Y32*0.05</f>
        <v>142</v>
      </c>
      <c r="Z33" s="211" t="n">
        <f aca="false">Z32*0.05</f>
        <v>142</v>
      </c>
      <c r="AA33" s="211" t="n">
        <f aca="false">AA32*0.05</f>
        <v>140</v>
      </c>
      <c r="AB33" s="211" t="n">
        <f aca="false">AB32*0.05</f>
        <v>170</v>
      </c>
      <c r="AC33" s="211" t="n">
        <f aca="false">AC32*0.05</f>
        <v>140</v>
      </c>
      <c r="AD33" s="211" t="n">
        <f aca="false">AD32*0.05</f>
        <v>140</v>
      </c>
      <c r="AE33" s="218" t="n">
        <f aca="false">AE32*0.05</f>
        <v>147.5</v>
      </c>
      <c r="AF33" s="211" t="n">
        <f aca="false">AF32*0.05</f>
        <v>145</v>
      </c>
      <c r="AG33" s="211" t="n">
        <f aca="false">AG32*0.05</f>
        <v>122.5</v>
      </c>
      <c r="AH33" s="211" t="n">
        <f aca="false">AH32*0.05</f>
        <v>157.5</v>
      </c>
      <c r="AI33" s="211" t="n">
        <f aca="false">AI32*0.05</f>
        <v>170</v>
      </c>
      <c r="AJ33" s="211" t="n">
        <f aca="false">AJ32*0.05</f>
        <v>190</v>
      </c>
      <c r="AK33" s="211" t="n">
        <f aca="false">AK32*0.05</f>
        <v>140</v>
      </c>
      <c r="AL33" s="211" t="n">
        <f aca="false">AL32*0.05</f>
        <v>140</v>
      </c>
      <c r="AM33" s="211" t="n">
        <f aca="false">AM32*0.05</f>
        <v>140</v>
      </c>
      <c r="AN33" s="211" t="n">
        <f aca="false">AN32*0.05</f>
        <v>140</v>
      </c>
      <c r="AO33" s="211" t="n">
        <f aca="false">AO32*0.05</f>
        <v>186</v>
      </c>
      <c r="AP33" s="211" t="n">
        <f aca="false">AP32*0.05</f>
        <v>122.5</v>
      </c>
      <c r="AQ33" s="211" t="n">
        <f aca="false">AQ32*0.05</f>
        <v>122.5</v>
      </c>
      <c r="AR33" s="211" t="n">
        <f aca="false">AR32*0.05</f>
        <v>141</v>
      </c>
      <c r="AS33" s="211" t="n">
        <f aca="false">AS32*0.05</f>
        <v>124</v>
      </c>
      <c r="AT33" s="211" t="n">
        <f aca="false">AT32*0.05</f>
        <v>126</v>
      </c>
      <c r="AU33" s="211" t="n">
        <f aca="false">AU32*0.05</f>
        <v>137</v>
      </c>
      <c r="AV33" s="211" t="n">
        <f aca="false">AV32*0.05</f>
        <v>121.5</v>
      </c>
      <c r="AW33" s="211" t="n">
        <f aca="false">AW32*0.05</f>
        <v>132.5</v>
      </c>
    </row>
    <row r="34" customFormat="false" ht="12" hidden="false" customHeight="true" outlineLevel="0" collapsed="false">
      <c r="A34" s="7" t="n">
        <v>27</v>
      </c>
      <c r="B34" s="219" t="s">
        <v>402</v>
      </c>
      <c r="C34" s="210" t="s">
        <v>403</v>
      </c>
      <c r="D34" s="185" t="s">
        <v>404</v>
      </c>
      <c r="E34" s="211" t="s">
        <v>398</v>
      </c>
      <c r="F34" s="211" t="n">
        <f aca="false">F32+F33</f>
        <v>3213</v>
      </c>
      <c r="G34" s="211" t="n">
        <f aca="false">G32+G33</f>
        <v>3150</v>
      </c>
      <c r="H34" s="211" t="n">
        <f aca="false">H32+H33</f>
        <v>3192</v>
      </c>
      <c r="I34" s="211" t="n">
        <f aca="false">I32+I33</f>
        <v>3213</v>
      </c>
      <c r="J34" s="211" t="n">
        <f aca="false">J32+J33</f>
        <v>2778.3</v>
      </c>
      <c r="K34" s="211" t="n">
        <f aca="false">K32+K33</f>
        <v>3213</v>
      </c>
      <c r="L34" s="211" t="n">
        <f aca="false">L32+L33</f>
        <v>3213</v>
      </c>
      <c r="M34" s="211" t="n">
        <f aca="false">M32+M33</f>
        <v>900.9</v>
      </c>
      <c r="N34" s="211" t="n">
        <f aca="false">N32+N33</f>
        <v>3234</v>
      </c>
      <c r="O34" s="211" t="n">
        <f aca="false">O32+O33</f>
        <v>3990</v>
      </c>
      <c r="P34" s="211" t="n">
        <f aca="false">P32+P33</f>
        <v>3990</v>
      </c>
      <c r="Q34" s="211" t="n">
        <f aca="false">Q32+Q33</f>
        <v>2572.5</v>
      </c>
      <c r="R34" s="211" t="n">
        <f aca="false">R32+R33</f>
        <v>2572.5</v>
      </c>
      <c r="S34" s="211" t="n">
        <f aca="false">S32+S33</f>
        <v>2961</v>
      </c>
      <c r="T34" s="211" t="n">
        <f aca="false">T32+T33</f>
        <v>2604</v>
      </c>
      <c r="U34" s="211" t="n">
        <f aca="false">U32+U33</f>
        <v>2646</v>
      </c>
      <c r="V34" s="211" t="n">
        <f aca="false">V32+V33</f>
        <v>2877</v>
      </c>
      <c r="W34" s="211" t="n">
        <f aca="false">W32+W33</f>
        <v>2551.5</v>
      </c>
      <c r="X34" s="211" t="n">
        <f aca="false">X32+X33</f>
        <v>2782.5</v>
      </c>
      <c r="Y34" s="211" t="n">
        <f aca="false">Y32+Y33</f>
        <v>2982</v>
      </c>
      <c r="Z34" s="211" t="n">
        <f aca="false">Z32+Z33</f>
        <v>2982</v>
      </c>
      <c r="AA34" s="211" t="n">
        <f aca="false">AA32+AA33</f>
        <v>2940</v>
      </c>
      <c r="AB34" s="211" t="n">
        <f aca="false">AB32+AB33</f>
        <v>3570</v>
      </c>
      <c r="AC34" s="211" t="n">
        <f aca="false">AC32+AC33</f>
        <v>2940</v>
      </c>
      <c r="AD34" s="211" t="n">
        <f aca="false">AD32+AD33</f>
        <v>2940</v>
      </c>
      <c r="AE34" s="211" t="n">
        <f aca="false">AE32+AE33</f>
        <v>3097.5</v>
      </c>
      <c r="AF34" s="211" t="n">
        <f aca="false">AF32+AF33</f>
        <v>3045</v>
      </c>
      <c r="AG34" s="218" t="n">
        <f aca="false">AG32+AG33</f>
        <v>2572.5</v>
      </c>
      <c r="AH34" s="211" t="n">
        <f aca="false">AH32+AH33</f>
        <v>3307.5</v>
      </c>
      <c r="AI34" s="211" t="n">
        <f aca="false">AI32+AI33</f>
        <v>3570</v>
      </c>
      <c r="AJ34" s="211" t="n">
        <f aca="false">AJ32+AJ33</f>
        <v>3990</v>
      </c>
      <c r="AK34" s="211" t="n">
        <f aca="false">AK32+AK33</f>
        <v>2940</v>
      </c>
      <c r="AL34" s="211" t="n">
        <f aca="false">AL32+AL33</f>
        <v>2940</v>
      </c>
      <c r="AM34" s="211" t="n">
        <f aca="false">AM32+AM33</f>
        <v>2940</v>
      </c>
      <c r="AN34" s="211" t="n">
        <f aca="false">AN32+AN33</f>
        <v>2940</v>
      </c>
      <c r="AO34" s="211" t="n">
        <f aca="false">AO32+AO33</f>
        <v>3906</v>
      </c>
      <c r="AP34" s="211" t="n">
        <f aca="false">AP32+AP33</f>
        <v>2572.5</v>
      </c>
      <c r="AQ34" s="211" t="n">
        <f aca="false">AQ32+AQ33</f>
        <v>2572.5</v>
      </c>
      <c r="AR34" s="211" t="n">
        <f aca="false">AR32+AR33</f>
        <v>2961</v>
      </c>
      <c r="AS34" s="211" t="n">
        <f aca="false">AS32+AS33</f>
        <v>2604</v>
      </c>
      <c r="AT34" s="211" t="n">
        <f aca="false">AT32+AT33</f>
        <v>2646</v>
      </c>
      <c r="AU34" s="211" t="n">
        <f aca="false">AU32+AU33</f>
        <v>2877</v>
      </c>
      <c r="AV34" s="211" t="n">
        <f aca="false">AV32+AV33</f>
        <v>2551.5</v>
      </c>
      <c r="AW34" s="211" t="n">
        <f aca="false">AW32+AW33</f>
        <v>2782.5</v>
      </c>
    </row>
    <row r="35" customFormat="false" ht="12" hidden="false" customHeight="true" outlineLevel="0" collapsed="false">
      <c r="A35" s="7" t="n">
        <v>28</v>
      </c>
      <c r="B35" s="219" t="s">
        <v>405</v>
      </c>
      <c r="C35" s="23" t="s">
        <v>406</v>
      </c>
      <c r="D35" s="185" t="s">
        <v>407</v>
      </c>
      <c r="E35" s="211" t="s">
        <v>398</v>
      </c>
      <c r="F35" s="230" t="n">
        <f aca="false">9828-F34</f>
        <v>6615</v>
      </c>
      <c r="G35" s="230" t="n">
        <f aca="false">9828-G34</f>
        <v>6678</v>
      </c>
      <c r="H35" s="230" t="n">
        <f aca="false">9828-H34</f>
        <v>6636</v>
      </c>
      <c r="I35" s="230" t="n">
        <f aca="false">9828-I34</f>
        <v>6615</v>
      </c>
      <c r="J35" s="230" t="n">
        <f aca="false">9828-J34</f>
        <v>7049.7</v>
      </c>
      <c r="K35" s="230" t="n">
        <f aca="false">9828-K34</f>
        <v>6615</v>
      </c>
      <c r="L35" s="230" t="n">
        <f aca="false">9828-L34</f>
        <v>6615</v>
      </c>
      <c r="M35" s="230" t="n">
        <f aca="false">9828-M34</f>
        <v>8927.1</v>
      </c>
      <c r="N35" s="230" t="n">
        <f aca="false">9828-N34</f>
        <v>6594</v>
      </c>
      <c r="O35" s="230" t="n">
        <f aca="false">9828-O34</f>
        <v>5838</v>
      </c>
      <c r="P35" s="230" t="n">
        <f aca="false">9828-P34</f>
        <v>5838</v>
      </c>
      <c r="Q35" s="230" t="n">
        <f aca="false">9828-Q34</f>
        <v>7255.5</v>
      </c>
      <c r="R35" s="230" t="n">
        <f aca="false">9828-R34</f>
        <v>7255.5</v>
      </c>
      <c r="S35" s="230" t="n">
        <f aca="false">9828-S34</f>
        <v>6867</v>
      </c>
      <c r="T35" s="230" t="n">
        <f aca="false">9828-T34</f>
        <v>7224</v>
      </c>
      <c r="U35" s="230" t="n">
        <f aca="false">9828-U34</f>
        <v>7182</v>
      </c>
      <c r="V35" s="230" t="n">
        <f aca="false">9828-V34</f>
        <v>6951</v>
      </c>
      <c r="W35" s="230" t="n">
        <f aca="false">9828-W34</f>
        <v>7276.5</v>
      </c>
      <c r="X35" s="230" t="n">
        <f aca="false">9828-X34</f>
        <v>7045.5</v>
      </c>
      <c r="Y35" s="230" t="n">
        <f aca="false">9828-Y34</f>
        <v>6846</v>
      </c>
      <c r="Z35" s="230" t="n">
        <f aca="false">9828-Z34</f>
        <v>6846</v>
      </c>
      <c r="AA35" s="230" t="n">
        <f aca="false">9828-AA34</f>
        <v>6888</v>
      </c>
      <c r="AB35" s="230" t="n">
        <f aca="false">9828-AB34</f>
        <v>6258</v>
      </c>
      <c r="AC35" s="230" t="n">
        <f aca="false">9828-AC34</f>
        <v>6888</v>
      </c>
      <c r="AD35" s="230" t="n">
        <f aca="false">9828-AD34</f>
        <v>6888</v>
      </c>
      <c r="AE35" s="230" t="n">
        <f aca="false">9828-AE34</f>
        <v>6730.5</v>
      </c>
      <c r="AF35" s="230" t="n">
        <f aca="false">9828-AF34</f>
        <v>6783</v>
      </c>
      <c r="AG35" s="230" t="n">
        <f aca="false">9828-AG34</f>
        <v>7255.5</v>
      </c>
      <c r="AH35" s="230" t="n">
        <f aca="false">9828-AH34</f>
        <v>6520.5</v>
      </c>
      <c r="AI35" s="230" t="n">
        <f aca="false">9828-AI34</f>
        <v>6258</v>
      </c>
      <c r="AJ35" s="230" t="n">
        <f aca="false">9828-AJ34</f>
        <v>5838</v>
      </c>
      <c r="AK35" s="230" t="n">
        <f aca="false">9828-AK34</f>
        <v>6888</v>
      </c>
      <c r="AL35" s="230" t="n">
        <f aca="false">9828-AL34</f>
        <v>6888</v>
      </c>
      <c r="AM35" s="230" t="n">
        <f aca="false">9828-AM34</f>
        <v>6888</v>
      </c>
      <c r="AN35" s="230" t="n">
        <f aca="false">9828-AN34</f>
        <v>6888</v>
      </c>
      <c r="AO35" s="230" t="n">
        <f aca="false">9828-AO34</f>
        <v>5922</v>
      </c>
      <c r="AP35" s="230" t="n">
        <f aca="false">9828-AP34</f>
        <v>7255.5</v>
      </c>
      <c r="AQ35" s="230" t="n">
        <f aca="false">9828-AQ34</f>
        <v>7255.5</v>
      </c>
      <c r="AR35" s="230" t="n">
        <f aca="false">9828-AR34</f>
        <v>6867</v>
      </c>
      <c r="AS35" s="230" t="n">
        <f aca="false">9828-AS34</f>
        <v>7224</v>
      </c>
      <c r="AT35" s="230" t="n">
        <f aca="false">9828-AT34</f>
        <v>7182</v>
      </c>
      <c r="AU35" s="230" t="n">
        <f aca="false">9828-AU34</f>
        <v>6951</v>
      </c>
      <c r="AV35" s="230" t="n">
        <f aca="false">9828-AV34</f>
        <v>7276.5</v>
      </c>
      <c r="AW35" s="230" t="n">
        <f aca="false">9828-AW34</f>
        <v>7045.5</v>
      </c>
    </row>
    <row r="36" customFormat="false" ht="18" hidden="false" customHeight="true" outlineLevel="0" collapsed="false">
      <c r="D36" s="10" t="s">
        <v>408</v>
      </c>
      <c r="F36" s="0" t="s">
        <v>409</v>
      </c>
    </row>
    <row r="37" customFormat="false" ht="18" hidden="false" customHeight="true" outlineLevel="0" collapsed="false">
      <c r="F37" s="0" t="s">
        <v>410</v>
      </c>
    </row>
    <row r="38" customFormat="false" ht="12.75" hidden="false" customHeight="false" outlineLevel="0" collapsed="false">
      <c r="F38" s="0" t="s">
        <v>411</v>
      </c>
    </row>
    <row r="39" customFormat="false" ht="12.75" hidden="false" customHeight="false" outlineLevel="0" collapsed="false">
      <c r="F39" s="231" t="s">
        <v>399</v>
      </c>
      <c r="G39" s="231" t="s">
        <v>460</v>
      </c>
      <c r="H39" s="231"/>
      <c r="I39" s="231"/>
    </row>
    <row r="40" customFormat="false" ht="12.75" hidden="false" customHeight="false" outlineLevel="0" collapsed="false">
      <c r="A40" s="232" t="s">
        <v>413</v>
      </c>
      <c r="B40" s="0" t="s">
        <v>414</v>
      </c>
      <c r="F40" s="231"/>
      <c r="G40" s="231" t="s">
        <v>461</v>
      </c>
      <c r="H40" s="231"/>
      <c r="I40" s="231"/>
    </row>
    <row r="41" customFormat="false" ht="12.75" hidden="false" customHeight="false" outlineLevel="0" collapsed="false">
      <c r="A41" s="232" t="s">
        <v>416</v>
      </c>
      <c r="B41" s="0" t="s">
        <v>417</v>
      </c>
      <c r="F41" s="231"/>
      <c r="G41" s="231" t="s">
        <v>418</v>
      </c>
      <c r="H41" s="231"/>
      <c r="I41" s="231"/>
    </row>
    <row r="42" customFormat="false" ht="12.75" hidden="false" customHeight="false" outlineLevel="0" collapsed="false">
      <c r="A42" s="232" t="s">
        <v>419</v>
      </c>
      <c r="B42" s="0" t="s">
        <v>420</v>
      </c>
    </row>
    <row r="43" customFormat="false" ht="12.75" hidden="false" customHeight="false" outlineLevel="0" collapsed="false">
      <c r="A43" s="232" t="s">
        <v>421</v>
      </c>
      <c r="B43" s="0" t="s">
        <v>422</v>
      </c>
    </row>
    <row r="44" customFormat="false" ht="12.75" hidden="false" customHeight="false" outlineLevel="0" collapsed="false">
      <c r="A44" s="232" t="s">
        <v>423</v>
      </c>
      <c r="B44" s="0" t="s">
        <v>424</v>
      </c>
    </row>
    <row r="45" customFormat="false" ht="12.75" hidden="false" customHeight="false" outlineLevel="0" collapsed="false">
      <c r="A45" s="232" t="s">
        <v>425</v>
      </c>
      <c r="B45" s="0" t="s">
        <v>426</v>
      </c>
    </row>
    <row r="46" customFormat="false" ht="12.75" hidden="false" customHeight="false" outlineLevel="0" collapsed="false">
      <c r="A46" s="232" t="s">
        <v>427</v>
      </c>
      <c r="B46" s="0" t="s">
        <v>428</v>
      </c>
    </row>
    <row r="47" customFormat="false" ht="12.75" hidden="false" customHeight="false" outlineLevel="0" collapsed="false">
      <c r="A47" s="233"/>
    </row>
  </sheetData>
  <mergeCells count="7">
    <mergeCell ref="A1:O1"/>
    <mergeCell ref="A2:B5"/>
    <mergeCell ref="C2:C5"/>
    <mergeCell ref="E2:Y2"/>
    <mergeCell ref="D3:D4"/>
    <mergeCell ref="E3:Y4"/>
    <mergeCell ref="D5:J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2003-04-27T12:58:31Z</dcterms:created>
  <dc:creator>SILA</dc:creator>
  <dc:description/>
  <dc:language>en-US</dc:language>
  <cp:lastModifiedBy>Can Özkaya</cp:lastModifiedBy>
  <cp:lastPrinted>2022-06-03T11:29:57Z</cp:lastPrinted>
  <dcterms:modified xsi:type="dcterms:W3CDTF">2026-05-14T12:31:43Z</dcterms:modified>
  <cp:revision>0</cp:revision>
  <dc:subject/>
  <dc:title/>
</cp:coreProperties>
</file>