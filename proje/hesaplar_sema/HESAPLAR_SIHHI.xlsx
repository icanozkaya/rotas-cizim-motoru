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İZ SU KRİTİK DEVRE" sheetId="1" state="visible" r:id="rId1"/>
    <sheet xmlns:r="http://schemas.openxmlformats.org/officeDocument/2006/relationships" name="B1 BLOK" sheetId="2" state="visible" r:id="rId2"/>
    <sheet xmlns:r="http://schemas.openxmlformats.org/officeDocument/2006/relationships" name="B2 BLOK" sheetId="3" state="visible" r:id="rId3"/>
    <sheet xmlns:r="http://schemas.openxmlformats.org/officeDocument/2006/relationships" name="B3 BLOK" sheetId="4" state="visible" r:id="rId4"/>
    <sheet xmlns:r="http://schemas.openxmlformats.org/officeDocument/2006/relationships" name="PİS SU POMPALARI" sheetId="5" state="visible" r:id="rId5"/>
    <sheet xmlns:r="http://schemas.openxmlformats.org/officeDocument/2006/relationships" name="HİDROFOR-DEPO" sheetId="6" state="visible" r:id="rId6"/>
    <sheet xmlns:r="http://schemas.openxmlformats.org/officeDocument/2006/relationships" name="YAĞMUR SUYU" sheetId="7" state="visible" r:id="rId7"/>
    <sheet xmlns:r="http://schemas.openxmlformats.org/officeDocument/2006/relationships" name="ÇİZELGE_1" sheetId="8" state="visible" r:id="rId8"/>
    <sheet xmlns:r="http://schemas.openxmlformats.org/officeDocument/2006/relationships" name="ÇİZELGE_2" sheetId="9" state="visible" r:id="rId9"/>
    <sheet xmlns:r="http://schemas.openxmlformats.org/officeDocument/2006/relationships" name="ÇİZELGE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10" customWidth="1" min="4" max="4"/>
    <col width="11" customWidth="1" min="5" max="5"/>
    <col width="17" customWidth="1" min="6" max="6"/>
    <col width="17" customWidth="1" min="7" max="7"/>
    <col width="12" customWidth="1" min="8" max="8"/>
  </cols>
  <sheetData>
    <row r="1">
      <c r="A1" s="1" t="inlineStr">
        <is>
          <t>YÜK BİRİMİ YÖNTEMİ (YB) - TEMİZ SU KRİTİK DEVRE BASINÇ KAYBI HESABI (B1-B2-B3 BLOK)</t>
        </is>
      </c>
    </row>
    <row r="2">
      <c r="A2" s="2" t="inlineStr">
        <is>
          <t>Maksimum su hızı: ana borular 1-3 m/s, daire içi borular 1-2 m/s, sessizlik gereken yerler 0,5-0,7 m/s.</t>
        </is>
      </c>
    </row>
    <row r="3">
      <c r="A3" s="2" t="inlineStr">
        <is>
          <t>ETKİN BASINÇ = HİDROFOR BASINCI - (STATİK KOT FARKI + AKMA BASINCI + SAYAÇ KAYBI)</t>
        </is>
      </c>
    </row>
    <row r="4">
      <c r="A4" s="2" t="inlineStr">
        <is>
          <t>Hidrofor çalışma basıncı = 45.00 mSS x 9807 = 441315 Pa</t>
        </is>
      </c>
    </row>
    <row r="5">
      <c r="A5" s="2" t="inlineStr">
        <is>
          <t>Statik kot farkı (bina yüksekliği) = 21.00 m  →  205947 Pa</t>
        </is>
      </c>
    </row>
    <row r="6">
      <c r="A6" s="2" t="inlineStr">
        <is>
          <t>Akma basıncı (kritik armatür, Çizelge 1) = 49035 Pa ;  Sayaç kaybı = 5 mSS x 9807 = 49035 Pa</t>
        </is>
      </c>
    </row>
    <row r="7">
      <c r="A7" s="1" t="inlineStr">
        <is>
          <t>ETKİN BASINÇ = 45.00x9807-(21.00x9807+49035+49035) = 137298 Pa</t>
        </is>
      </c>
    </row>
    <row r="8">
      <c r="A8" s="1" t="inlineStr">
        <is>
          <t>ORTALAMA ÖZGÜL BASINÇ KAYBI = Etkin basınç / Kritik devre uzunluğu = 137298/97 = 1415 Pa/m</t>
        </is>
      </c>
    </row>
    <row r="10">
      <c r="A10" s="3" t="inlineStr">
        <is>
          <t>BORU NO</t>
        </is>
      </c>
      <c r="B10" s="3" t="inlineStr">
        <is>
          <t>KRİTİK DEVRE ELEMANI</t>
        </is>
      </c>
      <c r="C10" s="3" t="inlineStr">
        <is>
          <t>UZUNLUK (m)</t>
        </is>
      </c>
      <c r="D10" s="3" t="inlineStr">
        <is>
          <t>YB</t>
        </is>
      </c>
      <c r="E10" s="3" t="inlineStr">
        <is>
          <t>ÇAP (DN)</t>
        </is>
      </c>
      <c r="F10" s="3" t="inlineStr">
        <is>
          <t>ÖZGÜL BASINÇ KAYBI (Pa/m)</t>
        </is>
      </c>
      <c r="G10" s="3" t="inlineStr">
        <is>
          <t>TOPLAM BASINÇ KAYBI (Pa)</t>
        </is>
      </c>
      <c r="H10" s="3" t="inlineStr">
        <is>
          <t>DEBİ (l/s)</t>
        </is>
      </c>
    </row>
    <row r="11">
      <c r="A11" s="4" t="n">
        <v>1</v>
      </c>
      <c r="B11" s="5" t="inlineStr">
        <is>
          <t>Çatı katı - kritik armatür bağlantısı (şemada 1)</t>
        </is>
      </c>
      <c r="C11" s="4" t="n">
        <v>1</v>
      </c>
      <c r="D11" s="4" t="n">
        <v>2.5</v>
      </c>
      <c r="E11" s="4" t="inlineStr">
        <is>
          <t>DN20</t>
        </is>
      </c>
      <c r="F11" s="4" t="n">
        <v>4021</v>
      </c>
      <c r="G11" s="4">
        <f>C11*F11</f>
        <v/>
      </c>
      <c r="H11" s="4">
        <f>ROUND(0.25*SQRT(D11),3)</f>
        <v/>
      </c>
    </row>
    <row r="12">
      <c r="A12" s="4" t="n">
        <v>2</v>
      </c>
      <c r="B12" s="5" t="inlineStr">
        <is>
          <t>Çatı katı daire içi branşman (şemada 2)</t>
        </is>
      </c>
      <c r="C12" s="4" t="n">
        <v>3</v>
      </c>
      <c r="D12" s="4" t="n">
        <v>3.75</v>
      </c>
      <c r="E12" s="4" t="inlineStr">
        <is>
          <t>DN25</t>
        </is>
      </c>
      <c r="F12" s="4" t="n">
        <v>1814</v>
      </c>
      <c r="G12" s="4">
        <f>C12*F12</f>
        <v/>
      </c>
      <c r="H12" s="4">
        <f>ROUND(0.25*SQRT(D12),3)</f>
        <v/>
      </c>
    </row>
    <row r="13">
      <c r="A13" s="4" t="n">
        <v>3</v>
      </c>
      <c r="B13" s="5" t="inlineStr">
        <is>
          <t>5. kat → çatı katı kolon/branşman (şemada 3, 1 1/4")</t>
        </is>
      </c>
      <c r="C13" s="4" t="n">
        <v>5</v>
      </c>
      <c r="D13" s="4" t="n">
        <v>24</v>
      </c>
      <c r="E13" s="4" t="inlineStr">
        <is>
          <t>DN32</t>
        </is>
      </c>
      <c r="F13" s="4" t="n">
        <v>3040</v>
      </c>
      <c r="G13" s="4">
        <f>C13*F13</f>
        <v/>
      </c>
      <c r="H13" s="4">
        <f>ROUND(0.25*SQRT(D13),3)</f>
        <v/>
      </c>
    </row>
    <row r="14">
      <c r="A14" s="4" t="n">
        <v>4</v>
      </c>
      <c r="B14" s="5" t="inlineStr">
        <is>
          <t>B1 kolon 4. kat → 5. kat (1 1/2")</t>
        </is>
      </c>
      <c r="C14" s="4" t="n">
        <v>3</v>
      </c>
      <c r="D14" s="4" t="n">
        <v>48</v>
      </c>
      <c r="E14" s="4" t="inlineStr">
        <is>
          <t>DN40</t>
        </is>
      </c>
      <c r="F14" s="4" t="n">
        <v>1765</v>
      </c>
      <c r="G14" s="4">
        <f>C14*F14</f>
        <v/>
      </c>
      <c r="H14" s="4">
        <f>ROUND(0.25*SQRT(D14),3)</f>
        <v/>
      </c>
    </row>
    <row r="15">
      <c r="A15" s="4" t="n">
        <v>5</v>
      </c>
      <c r="B15" s="5" t="inlineStr">
        <is>
          <t>B1 kolon 3. kat → 4. kat (2")</t>
        </is>
      </c>
      <c r="C15" s="4" t="n">
        <v>3</v>
      </c>
      <c r="D15" s="4" t="n">
        <v>73</v>
      </c>
      <c r="E15" s="4" t="inlineStr">
        <is>
          <t>DN50</t>
        </is>
      </c>
      <c r="F15" s="4" t="n">
        <v>785</v>
      </c>
      <c r="G15" s="4">
        <f>C15*F15</f>
        <v/>
      </c>
      <c r="H15" s="4">
        <f>ROUND(0.25*SQRT(D15),3)</f>
        <v/>
      </c>
    </row>
    <row r="16">
      <c r="A16" s="4" t="n">
        <v>6</v>
      </c>
      <c r="B16" s="5" t="inlineStr">
        <is>
          <t>B1 kolon 2. kat → 3. kat (2")</t>
        </is>
      </c>
      <c r="C16" s="4" t="n">
        <v>3</v>
      </c>
      <c r="D16" s="4" t="n">
        <v>98</v>
      </c>
      <c r="E16" s="4" t="inlineStr">
        <is>
          <t>DN50</t>
        </is>
      </c>
      <c r="F16" s="4" t="n">
        <v>1079</v>
      </c>
      <c r="G16" s="4">
        <f>C16*F16</f>
        <v/>
      </c>
      <c r="H16" s="4">
        <f>ROUND(0.25*SQRT(D16),3)</f>
        <v/>
      </c>
    </row>
    <row r="17">
      <c r="A17" s="4" t="n">
        <v>7</v>
      </c>
      <c r="B17" s="5" t="inlineStr">
        <is>
          <t>B1 kolon 1. kat → 2. kat (2")</t>
        </is>
      </c>
      <c r="C17" s="4" t="n">
        <v>3</v>
      </c>
      <c r="D17" s="4" t="n">
        <v>123</v>
      </c>
      <c r="E17" s="4" t="inlineStr">
        <is>
          <t>DN50</t>
        </is>
      </c>
      <c r="F17" s="4" t="n">
        <v>1373</v>
      </c>
      <c r="G17" s="4">
        <f>C17*F17</f>
        <v/>
      </c>
      <c r="H17" s="4">
        <f>ROUND(0.25*SQRT(D17),3)</f>
        <v/>
      </c>
    </row>
    <row r="18">
      <c r="A18" s="4" t="n">
        <v>8</v>
      </c>
      <c r="B18" s="5" t="inlineStr">
        <is>
          <t>B1 kolon zemin → 1. kat (2")</t>
        </is>
      </c>
      <c r="C18" s="4" t="n">
        <v>3</v>
      </c>
      <c r="D18" s="4" t="n">
        <v>148</v>
      </c>
      <c r="E18" s="4" t="inlineStr">
        <is>
          <t>DN50</t>
        </is>
      </c>
      <c r="F18" s="4" t="n">
        <v>1628</v>
      </c>
      <c r="G18" s="4">
        <f>C18*F18</f>
        <v/>
      </c>
      <c r="H18" s="4">
        <f>ROUND(0.25*SQRT(D18),3)</f>
        <v/>
      </c>
    </row>
    <row r="19">
      <c r="A19" s="4" t="n">
        <v>9</v>
      </c>
      <c r="B19" s="5" t="inlineStr">
        <is>
          <t>B1 kolon bodrum → zemin (2")</t>
        </is>
      </c>
      <c r="C19" s="4" t="n">
        <v>3</v>
      </c>
      <c r="D19" s="4" t="n">
        <v>173</v>
      </c>
      <c r="E19" s="4" t="inlineStr">
        <is>
          <t>DN50</t>
        </is>
      </c>
      <c r="F19" s="4" t="n">
        <v>1922</v>
      </c>
      <c r="G19" s="4">
        <f>C19*F19</f>
        <v/>
      </c>
      <c r="H19" s="4">
        <f>ROUND(0.25*SQRT(D19),3)</f>
        <v/>
      </c>
    </row>
    <row r="20">
      <c r="A20" s="4" t="n">
        <v>10</v>
      </c>
      <c r="B20" s="5" t="inlineStr">
        <is>
          <t>Hidrofor → B1 kolon dibi ana hat (şemada 4, 3")</t>
        </is>
      </c>
      <c r="C20" s="4" t="n">
        <v>70</v>
      </c>
      <c r="D20" s="4" t="n">
        <v>540</v>
      </c>
      <c r="E20" s="4" t="inlineStr">
        <is>
          <t>DN80</t>
        </is>
      </c>
      <c r="F20" s="4" t="n">
        <v>470</v>
      </c>
      <c r="G20" s="4">
        <f>C20*F20</f>
        <v/>
      </c>
      <c r="H20" s="4">
        <f>ROUND(0.25*SQRT(D20),3)</f>
        <v/>
      </c>
    </row>
    <row r="21">
      <c r="A21" s="4" t="n"/>
      <c r="B21" s="6" t="inlineStr">
        <is>
          <t>TOPLAM</t>
        </is>
      </c>
      <c r="C21" s="4">
        <f>SUM(C11:C20)</f>
        <v/>
      </c>
      <c r="D21" s="4" t="n"/>
      <c r="E21" s="4" t="n"/>
      <c r="F21" s="6" t="inlineStr">
        <is>
          <t>Pa</t>
        </is>
      </c>
      <c r="G21" s="6">
        <f>SUM(G11:G20)</f>
        <v/>
      </c>
      <c r="H21" s="4" t="n"/>
    </row>
    <row r="23">
      <c r="A23" t="inlineStr">
        <is>
          <t>Toplam basınç kaybı &lt; Etkin basınç ise seçilen çap değerleri UYGUNDUR.</t>
        </is>
      </c>
    </row>
    <row r="24">
      <c r="A24" s="1">
        <f>IF(G21&lt;137298,TEXT(G21,"0")&amp;" &lt; 137298 Pa OLDUĞUNDAN UYGUNDUR.",TEXT(G21,"0")&amp;" &gt; 137298 Pa - ÇAPLAR BÜYÜTÜLMELİDİR.")</f>
        <v/>
      </c>
    </row>
    <row r="26">
      <c r="A26" t="inlineStr">
        <is>
          <t>*Debi = 0,25 x √YB (l/s) ile tespit edilir.</t>
        </is>
      </c>
    </row>
    <row r="27">
      <c r="A27" t="inlineStr">
        <is>
          <t>*Özgül basınç kaybı Çizelge 3 (plastik boru) tablosundan, YB değerine göre doğrusal enterpolasyonla alınmıştır.</t>
        </is>
      </c>
    </row>
    <row r="28">
      <c r="A28" t="inlineStr">
        <is>
          <t>*Kritik devre: hidrofordan en uzak ve en yüksek blok olan B1 blok çatı katındaki son armatür.</t>
        </is>
      </c>
    </row>
    <row r="29">
      <c r="A29" t="inlineStr">
        <is>
          <t>*Boru YB ve çap değerleri şemadaki MTY çap etiketlerinden alınmıştır; bina yüksekliği 21 m (kat başı 3,00 m) alınmıştır.</t>
        </is>
      </c>
    </row>
    <row r="30">
      <c r="A30" t="inlineStr">
        <is>
          <t>*Akma basıncı kritik devredeki en son cihaza göre Çizelge 1’den, sayaç kaybı 5 mSS olarak alınmıştır.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48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B1" s="7" t="inlineStr">
        <is>
          <t>B1 BLOK - ARMATÜR YÜK BİRİMLERİ VE PİS SU KOLON YÜKLERİ</t>
        </is>
      </c>
    </row>
    <row r="3">
      <c r="B3" s="3" t="inlineStr">
        <is>
          <t>ARMATÜR</t>
        </is>
      </c>
      <c r="C3" s="3" t="inlineStr">
        <is>
          <t>BW</t>
        </is>
      </c>
      <c r="D3" s="3" t="inlineStr">
        <is>
          <t>YB</t>
        </is>
      </c>
      <c r="E3" s="3" t="inlineStr">
        <is>
          <t>ADET</t>
        </is>
      </c>
      <c r="F3" s="3" t="inlineStr">
        <is>
          <t>TOPLAM YB</t>
        </is>
      </c>
      <c r="H3" s="3" t="inlineStr">
        <is>
          <t>YB ARALIĞI</t>
        </is>
      </c>
      <c r="I3" s="3" t="inlineStr">
        <is>
          <t>ÇAP</t>
        </is>
      </c>
    </row>
    <row r="4">
      <c r="B4" s="4" t="inlineStr">
        <is>
          <t>Lavabo</t>
        </is>
      </c>
      <c r="C4" s="4" t="inlineStr">
        <is>
          <t>DN15</t>
        </is>
      </c>
      <c r="D4" s="4" t="n">
        <v>0.75</v>
      </c>
      <c r="E4" s="4" t="n">
        <v>28</v>
      </c>
      <c r="F4" s="4">
        <f>D4*E4</f>
        <v/>
      </c>
      <c r="H4" s="4" t="inlineStr">
        <is>
          <t>0-3</t>
        </is>
      </c>
      <c r="I4" s="4" t="inlineStr">
        <is>
          <t>1/2"</t>
        </is>
      </c>
    </row>
    <row r="5">
      <c r="B5" s="4" t="inlineStr">
        <is>
          <t>Eviye</t>
        </is>
      </c>
      <c r="C5" s="4" t="inlineStr">
        <is>
          <t>DN15</t>
        </is>
      </c>
      <c r="D5" s="4" t="n">
        <v>1</v>
      </c>
      <c r="E5" s="4" t="n">
        <v>14</v>
      </c>
      <c r="F5" s="4">
        <f>D5*E5</f>
        <v/>
      </c>
      <c r="H5" s="4" t="inlineStr">
        <is>
          <t>3-8</t>
        </is>
      </c>
      <c r="I5" s="4" t="inlineStr">
        <is>
          <t>3/4"</t>
        </is>
      </c>
    </row>
    <row r="6">
      <c r="B6" s="4" t="inlineStr">
        <is>
          <t>Rezervuar,Pisuvar</t>
        </is>
      </c>
      <c r="C6" s="4" t="inlineStr">
        <is>
          <t>DN15</t>
        </is>
      </c>
      <c r="D6" s="4" t="n">
        <v>0.5</v>
      </c>
      <c r="E6" s="4" t="n">
        <v>28</v>
      </c>
      <c r="F6" s="4">
        <f>D6*E6</f>
        <v/>
      </c>
      <c r="H6" s="4" t="inlineStr">
        <is>
          <t>8-20</t>
        </is>
      </c>
      <c r="I6" s="4" t="inlineStr">
        <is>
          <t>1"</t>
        </is>
      </c>
    </row>
    <row r="7">
      <c r="B7" s="4" t="inlineStr">
        <is>
          <t>Küvet,Duş</t>
        </is>
      </c>
      <c r="C7" s="4" t="inlineStr">
        <is>
          <t>DN15</t>
        </is>
      </c>
      <c r="D7" s="4" t="n">
        <v>2.5</v>
      </c>
      <c r="E7" s="4" t="n">
        <v>28</v>
      </c>
      <c r="F7" s="4">
        <f>D7*E7</f>
        <v/>
      </c>
      <c r="H7" s="4" t="inlineStr">
        <is>
          <t>20-35</t>
        </is>
      </c>
      <c r="I7" s="4" t="inlineStr">
        <is>
          <t>1 1/4"</t>
        </is>
      </c>
    </row>
    <row r="8">
      <c r="B8" s="4" t="inlineStr">
        <is>
          <t>Çamaşır,Bulaşık Makinesi</t>
        </is>
      </c>
      <c r="C8" s="4" t="inlineStr">
        <is>
          <t>DN15</t>
        </is>
      </c>
      <c r="D8" s="4" t="n">
        <v>1.5</v>
      </c>
      <c r="E8" s="4" t="n">
        <v>28</v>
      </c>
      <c r="F8" s="4">
        <f>D8*E8</f>
        <v/>
      </c>
      <c r="H8" s="4" t="inlineStr">
        <is>
          <t>35-50</t>
        </is>
      </c>
      <c r="I8" s="4" t="inlineStr">
        <is>
          <t>1 1/2"</t>
        </is>
      </c>
    </row>
    <row r="9">
      <c r="B9" s="4" t="inlineStr">
        <is>
          <t>Şofben / Kombi</t>
        </is>
      </c>
      <c r="C9" s="4" t="inlineStr">
        <is>
          <t>DN15</t>
        </is>
      </c>
      <c r="D9" s="4" t="n">
        <v>1</v>
      </c>
      <c r="E9" s="4" t="n">
        <v>12</v>
      </c>
      <c r="F9" s="4">
        <f>D9*E9</f>
        <v/>
      </c>
      <c r="H9" s="4" t="inlineStr">
        <is>
          <t>50 ve üstü</t>
        </is>
      </c>
      <c r="I9" s="4" t="inlineStr">
        <is>
          <t>2"</t>
        </is>
      </c>
    </row>
    <row r="10">
      <c r="B10" s="6" t="inlineStr">
        <is>
          <t>TOPLAM</t>
        </is>
      </c>
      <c r="C10" s="4" t="n"/>
      <c r="D10" s="4" t="n"/>
      <c r="E10" s="4" t="n"/>
      <c r="F10" s="6">
        <f>SUM(F4:F9)</f>
        <v/>
      </c>
    </row>
    <row r="11">
      <c r="B11" t="inlineStr">
        <is>
          <t>Blok debisi: Q = 0,25 x √YB =</t>
        </is>
      </c>
      <c r="F11">
        <f>ROUND(0.25*SQRT(F10),2)</f>
        <v/>
      </c>
      <c r="G11" t="inlineStr">
        <is>
          <t>l/s</t>
        </is>
      </c>
    </row>
    <row r="14">
      <c r="B14" s="1" t="inlineStr">
        <is>
          <t>PİS SU - KOLON NO / ADET</t>
        </is>
      </c>
    </row>
    <row r="15">
      <c r="B15" s="6" t="inlineStr">
        <is>
          <t>CİNSİ</t>
        </is>
      </c>
      <c r="C15" s="6" t="inlineStr">
        <is>
          <t>YÜK (SB)</t>
        </is>
      </c>
      <c r="D15" s="3" t="inlineStr">
        <is>
          <t>P1</t>
        </is>
      </c>
      <c r="E15" s="3" t="inlineStr">
        <is>
          <t>P2</t>
        </is>
      </c>
      <c r="F15" s="3" t="inlineStr">
        <is>
          <t>P3</t>
        </is>
      </c>
      <c r="G15" s="3" t="inlineStr">
        <is>
          <t>P4</t>
        </is>
      </c>
      <c r="H15" s="3" t="inlineStr">
        <is>
          <t>P5</t>
        </is>
      </c>
      <c r="I15" s="3" t="inlineStr">
        <is>
          <t>P6</t>
        </is>
      </c>
      <c r="J15" s="3" t="inlineStr">
        <is>
          <t>P7</t>
        </is>
      </c>
      <c r="K15" s="3" t="inlineStr">
        <is>
          <t>P8</t>
        </is>
      </c>
      <c r="L15" s="3" t="inlineStr">
        <is>
          <t>SZ</t>
        </is>
      </c>
      <c r="M15" s="6" t="inlineStr">
        <is>
          <t>TOPLAM</t>
        </is>
      </c>
    </row>
    <row r="16">
      <c r="B16" s="4" t="inlineStr">
        <is>
          <t>KLOZET,HELA</t>
        </is>
      </c>
      <c r="C16" s="4" t="n">
        <v>10</v>
      </c>
      <c r="D16" s="4" t="n"/>
      <c r="E16" s="4" t="n">
        <v>7</v>
      </c>
      <c r="F16" s="4" t="n">
        <v>7</v>
      </c>
      <c r="G16" s="4" t="n"/>
      <c r="H16" s="4" t="n">
        <v>7</v>
      </c>
      <c r="I16" s="4" t="n">
        <v>7</v>
      </c>
      <c r="J16" s="4" t="n"/>
      <c r="K16" s="4" t="n"/>
      <c r="L16" s="4" t="n"/>
      <c r="M16" s="4">
        <f>SUM(D16:L16)</f>
        <v/>
      </c>
    </row>
    <row r="17">
      <c r="B17" s="4" t="inlineStr">
        <is>
          <t>BANYO KÜVETİ-DUŞ</t>
        </is>
      </c>
      <c r="C17" s="4" t="n">
        <v>7</v>
      </c>
      <c r="D17" s="4" t="n"/>
      <c r="E17" s="4" t="n">
        <v>7</v>
      </c>
      <c r="F17" s="4" t="n">
        <v>7</v>
      </c>
      <c r="G17" s="4" t="n"/>
      <c r="H17" s="4" t="n">
        <v>7</v>
      </c>
      <c r="I17" s="4" t="n">
        <v>7</v>
      </c>
      <c r="J17" s="4" t="n"/>
      <c r="K17" s="4" t="n"/>
      <c r="L17" s="4" t="n"/>
      <c r="M17" s="4">
        <f>SUM(D17:L17)</f>
        <v/>
      </c>
    </row>
    <row r="18">
      <c r="B18" s="4" t="inlineStr">
        <is>
          <t>SİFON,EVİYE</t>
        </is>
      </c>
      <c r="C18" s="4" t="n">
        <v>4</v>
      </c>
      <c r="D18" s="4" t="n">
        <v>6</v>
      </c>
      <c r="E18" s="4" t="n"/>
      <c r="F18" s="4" t="n"/>
      <c r="G18" s="4" t="n">
        <v>6</v>
      </c>
      <c r="H18" s="4" t="n"/>
      <c r="I18" s="4" t="n"/>
      <c r="J18" s="4" t="n">
        <v>1</v>
      </c>
      <c r="K18" s="4" t="n">
        <v>1</v>
      </c>
      <c r="L18" s="4" t="n"/>
      <c r="M18" s="4">
        <f>SUM(D18:L18)</f>
        <v/>
      </c>
    </row>
    <row r="19">
      <c r="B19" s="4" t="inlineStr">
        <is>
          <t>İKİ GÖZLÜ EVİYE</t>
        </is>
      </c>
      <c r="C19" s="4" t="n">
        <v>8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>
        <f>SUM(D19:L19)</f>
        <v/>
      </c>
    </row>
    <row r="20">
      <c r="B20" s="4" t="inlineStr">
        <is>
          <t>LAVABO</t>
        </is>
      </c>
      <c r="C20" s="4" t="n">
        <v>2</v>
      </c>
      <c r="D20" s="4" t="n"/>
      <c r="E20" s="4" t="n">
        <v>7</v>
      </c>
      <c r="F20" s="4" t="n">
        <v>7</v>
      </c>
      <c r="G20" s="4" t="n"/>
      <c r="H20" s="4" t="n">
        <v>7</v>
      </c>
      <c r="I20" s="4" t="n">
        <v>7</v>
      </c>
      <c r="J20" s="4" t="n"/>
      <c r="K20" s="4" t="n"/>
      <c r="L20" s="4" t="n"/>
      <c r="M20" s="4">
        <f>SUM(D20:L20)</f>
        <v/>
      </c>
    </row>
    <row r="21">
      <c r="B21" s="4" t="inlineStr">
        <is>
          <t>YERSÜZGECİ</t>
        </is>
      </c>
      <c r="C21" s="4" t="n">
        <v>2</v>
      </c>
      <c r="D21" s="4" t="n"/>
      <c r="E21" s="4" t="n">
        <v>7</v>
      </c>
      <c r="F21" s="4" t="n">
        <v>7</v>
      </c>
      <c r="G21" s="4" t="n"/>
      <c r="H21" s="4" t="n">
        <v>7</v>
      </c>
      <c r="I21" s="4" t="n">
        <v>7</v>
      </c>
      <c r="J21" s="4" t="n"/>
      <c r="K21" s="4" t="n"/>
      <c r="L21" s="4" t="n">
        <v>5</v>
      </c>
      <c r="M21" s="4">
        <f>SUM(D21:L21)</f>
        <v/>
      </c>
    </row>
    <row r="22">
      <c r="B22" s="4" t="inlineStr">
        <is>
          <t>ÇAMAŞIR,BUL.MAK</t>
        </is>
      </c>
      <c r="C22" s="4" t="n">
        <v>4</v>
      </c>
      <c r="D22" s="4" t="n">
        <v>6</v>
      </c>
      <c r="E22" s="4" t="n">
        <v>7</v>
      </c>
      <c r="F22" s="4" t="n"/>
      <c r="G22" s="4" t="n">
        <v>6</v>
      </c>
      <c r="H22" s="4" t="n">
        <v>7</v>
      </c>
      <c r="I22" s="4" t="n"/>
      <c r="J22" s="4" t="n">
        <v>1</v>
      </c>
      <c r="K22" s="4" t="n">
        <v>1</v>
      </c>
      <c r="L22" s="4" t="n"/>
      <c r="M22" s="4">
        <f>SUM(D22:L22)</f>
        <v/>
      </c>
    </row>
    <row r="23">
      <c r="B23" s="4" t="inlineStr">
        <is>
          <t>PİSUVAR</t>
        </is>
      </c>
      <c r="C23" s="4" t="n">
        <v>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>
        <f>SUM(D23:L23)</f>
        <v/>
      </c>
    </row>
    <row r="24">
      <c r="B24" s="4" t="inlineStr">
        <is>
          <t>IZGARA (Ø100)</t>
        </is>
      </c>
      <c r="C24" s="4" t="n">
        <v>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1</v>
      </c>
      <c r="M24" s="4">
        <f>SUM(D24:L24)</f>
        <v/>
      </c>
    </row>
    <row r="27">
      <c r="B27" s="1" t="inlineStr">
        <is>
          <t>PİS SU - KOLON YÜKLERİ (SB)</t>
        </is>
      </c>
    </row>
    <row r="28">
      <c r="B28" s="6" t="inlineStr">
        <is>
          <t>CİNSİ</t>
        </is>
      </c>
      <c r="C28" s="6" t="inlineStr">
        <is>
          <t>YÜK (SB)</t>
        </is>
      </c>
      <c r="D28" s="3" t="inlineStr">
        <is>
          <t>P1</t>
        </is>
      </c>
      <c r="E28" s="3" t="inlineStr">
        <is>
          <t>P2</t>
        </is>
      </c>
      <c r="F28" s="3" t="inlineStr">
        <is>
          <t>P3</t>
        </is>
      </c>
      <c r="G28" s="3" t="inlineStr">
        <is>
          <t>P4</t>
        </is>
      </c>
      <c r="H28" s="3" t="inlineStr">
        <is>
          <t>P5</t>
        </is>
      </c>
      <c r="I28" s="3" t="inlineStr">
        <is>
          <t>P6</t>
        </is>
      </c>
      <c r="J28" s="3" t="inlineStr">
        <is>
          <t>P7</t>
        </is>
      </c>
      <c r="K28" s="3" t="inlineStr">
        <is>
          <t>P8</t>
        </is>
      </c>
      <c r="L28" s="3" t="inlineStr">
        <is>
          <t>SZ</t>
        </is>
      </c>
      <c r="M28" s="4" t="n"/>
    </row>
    <row r="29">
      <c r="B29" s="4" t="inlineStr">
        <is>
          <t>KLOZET,HELA</t>
        </is>
      </c>
      <c r="C29" s="4" t="n">
        <v>10</v>
      </c>
      <c r="D29" s="4">
        <f>$C29*N(D16)</f>
        <v/>
      </c>
      <c r="E29" s="4">
        <f>$C29*N(E16)</f>
        <v/>
      </c>
      <c r="F29" s="4">
        <f>$C29*N(F16)</f>
        <v/>
      </c>
      <c r="G29" s="4">
        <f>$C29*N(G16)</f>
        <v/>
      </c>
      <c r="H29" s="4">
        <f>$C29*N(H16)</f>
        <v/>
      </c>
      <c r="I29" s="4">
        <f>$C29*N(I16)</f>
        <v/>
      </c>
      <c r="J29" s="4">
        <f>$C29*N(J16)</f>
        <v/>
      </c>
      <c r="K29" s="4">
        <f>$C29*N(K16)</f>
        <v/>
      </c>
      <c r="L29" s="4">
        <f>$C29*N(L16)</f>
        <v/>
      </c>
      <c r="M29" s="4" t="n"/>
    </row>
    <row r="30">
      <c r="B30" s="4" t="inlineStr">
        <is>
          <t>BANYO KÜVETİ-DUŞ</t>
        </is>
      </c>
      <c r="C30" s="4" t="n">
        <v>7</v>
      </c>
      <c r="D30" s="4">
        <f>$C30*N(D17)</f>
        <v/>
      </c>
      <c r="E30" s="4">
        <f>$C30*N(E17)</f>
        <v/>
      </c>
      <c r="F30" s="4">
        <f>$C30*N(F17)</f>
        <v/>
      </c>
      <c r="G30" s="4">
        <f>$C30*N(G17)</f>
        <v/>
      </c>
      <c r="H30" s="4">
        <f>$C30*N(H17)</f>
        <v/>
      </c>
      <c r="I30" s="4">
        <f>$C30*N(I17)</f>
        <v/>
      </c>
      <c r="J30" s="4">
        <f>$C30*N(J17)</f>
        <v/>
      </c>
      <c r="K30" s="4">
        <f>$C30*N(K17)</f>
        <v/>
      </c>
      <c r="L30" s="4">
        <f>$C30*N(L17)</f>
        <v/>
      </c>
      <c r="M30" s="4" t="n"/>
    </row>
    <row r="31">
      <c r="B31" s="4" t="inlineStr">
        <is>
          <t>SİFON,EVİYE</t>
        </is>
      </c>
      <c r="C31" s="4" t="n">
        <v>4</v>
      </c>
      <c r="D31" s="4">
        <f>$C31*N(D18)</f>
        <v/>
      </c>
      <c r="E31" s="4">
        <f>$C31*N(E18)</f>
        <v/>
      </c>
      <c r="F31" s="4">
        <f>$C31*N(F18)</f>
        <v/>
      </c>
      <c r="G31" s="4">
        <f>$C31*N(G18)</f>
        <v/>
      </c>
      <c r="H31" s="4">
        <f>$C31*N(H18)</f>
        <v/>
      </c>
      <c r="I31" s="4">
        <f>$C31*N(I18)</f>
        <v/>
      </c>
      <c r="J31" s="4">
        <f>$C31*N(J18)</f>
        <v/>
      </c>
      <c r="K31" s="4">
        <f>$C31*N(K18)</f>
        <v/>
      </c>
      <c r="L31" s="4">
        <f>$C31*N(L18)</f>
        <v/>
      </c>
      <c r="M31" s="4" t="n"/>
    </row>
    <row r="32">
      <c r="B32" s="4" t="inlineStr">
        <is>
          <t>İKİ GÖZLÜ EVİYE</t>
        </is>
      </c>
      <c r="C32" s="4" t="n">
        <v>8</v>
      </c>
      <c r="D32" s="4">
        <f>$C32*N(D19)</f>
        <v/>
      </c>
      <c r="E32" s="4">
        <f>$C32*N(E19)</f>
        <v/>
      </c>
      <c r="F32" s="4">
        <f>$C32*N(F19)</f>
        <v/>
      </c>
      <c r="G32" s="4">
        <f>$C32*N(G19)</f>
        <v/>
      </c>
      <c r="H32" s="4">
        <f>$C32*N(H19)</f>
        <v/>
      </c>
      <c r="I32" s="4">
        <f>$C32*N(I19)</f>
        <v/>
      </c>
      <c r="J32" s="4">
        <f>$C32*N(J19)</f>
        <v/>
      </c>
      <c r="K32" s="4">
        <f>$C32*N(K19)</f>
        <v/>
      </c>
      <c r="L32" s="4">
        <f>$C32*N(L19)</f>
        <v/>
      </c>
      <c r="M32" s="4" t="n"/>
    </row>
    <row r="33">
      <c r="B33" s="4" t="inlineStr">
        <is>
          <t>LAVABO</t>
        </is>
      </c>
      <c r="C33" s="4" t="n">
        <v>2</v>
      </c>
      <c r="D33" s="4">
        <f>$C33*N(D20)</f>
        <v/>
      </c>
      <c r="E33" s="4">
        <f>$C33*N(E20)</f>
        <v/>
      </c>
      <c r="F33" s="4">
        <f>$C33*N(F20)</f>
        <v/>
      </c>
      <c r="G33" s="4">
        <f>$C33*N(G20)</f>
        <v/>
      </c>
      <c r="H33" s="4">
        <f>$C33*N(H20)</f>
        <v/>
      </c>
      <c r="I33" s="4">
        <f>$C33*N(I20)</f>
        <v/>
      </c>
      <c r="J33" s="4">
        <f>$C33*N(J20)</f>
        <v/>
      </c>
      <c r="K33" s="4">
        <f>$C33*N(K20)</f>
        <v/>
      </c>
      <c r="L33" s="4">
        <f>$C33*N(L20)</f>
        <v/>
      </c>
      <c r="M33" s="4" t="n"/>
    </row>
    <row r="34">
      <c r="B34" s="4" t="inlineStr">
        <is>
          <t>YERSÜZGECİ</t>
        </is>
      </c>
      <c r="C34" s="4" t="n">
        <v>2</v>
      </c>
      <c r="D34" s="4">
        <f>$C34*N(D21)</f>
        <v/>
      </c>
      <c r="E34" s="4">
        <f>$C34*N(E21)</f>
        <v/>
      </c>
      <c r="F34" s="4">
        <f>$C34*N(F21)</f>
        <v/>
      </c>
      <c r="G34" s="4">
        <f>$C34*N(G21)</f>
        <v/>
      </c>
      <c r="H34" s="4">
        <f>$C34*N(H21)</f>
        <v/>
      </c>
      <c r="I34" s="4">
        <f>$C34*N(I21)</f>
        <v/>
      </c>
      <c r="J34" s="4">
        <f>$C34*N(J21)</f>
        <v/>
      </c>
      <c r="K34" s="4">
        <f>$C34*N(K21)</f>
        <v/>
      </c>
      <c r="L34" s="4">
        <f>$C34*N(L21)</f>
        <v/>
      </c>
      <c r="M34" s="4" t="n"/>
    </row>
    <row r="35">
      <c r="B35" s="4" t="inlineStr">
        <is>
          <t>ÇAMAŞIR,BUL.MAK</t>
        </is>
      </c>
      <c r="C35" s="4" t="n">
        <v>4</v>
      </c>
      <c r="D35" s="4">
        <f>$C35*N(D22)</f>
        <v/>
      </c>
      <c r="E35" s="4">
        <f>$C35*N(E22)</f>
        <v/>
      </c>
      <c r="F35" s="4">
        <f>$C35*N(F22)</f>
        <v/>
      </c>
      <c r="G35" s="4">
        <f>$C35*N(G22)</f>
        <v/>
      </c>
      <c r="H35" s="4">
        <f>$C35*N(H22)</f>
        <v/>
      </c>
      <c r="I35" s="4">
        <f>$C35*N(I22)</f>
        <v/>
      </c>
      <c r="J35" s="4">
        <f>$C35*N(J22)</f>
        <v/>
      </c>
      <c r="K35" s="4">
        <f>$C35*N(K22)</f>
        <v/>
      </c>
      <c r="L35" s="4">
        <f>$C35*N(L22)</f>
        <v/>
      </c>
      <c r="M35" s="4" t="n"/>
    </row>
    <row r="36">
      <c r="B36" s="4" t="inlineStr">
        <is>
          <t>PİSUVAR</t>
        </is>
      </c>
      <c r="C36" s="4" t="n">
        <v>2</v>
      </c>
      <c r="D36" s="4">
        <f>$C36*N(D23)</f>
        <v/>
      </c>
      <c r="E36" s="4">
        <f>$C36*N(E23)</f>
        <v/>
      </c>
      <c r="F36" s="4">
        <f>$C36*N(F23)</f>
        <v/>
      </c>
      <c r="G36" s="4">
        <f>$C36*N(G23)</f>
        <v/>
      </c>
      <c r="H36" s="4">
        <f>$C36*N(H23)</f>
        <v/>
      </c>
      <c r="I36" s="4">
        <f>$C36*N(I23)</f>
        <v/>
      </c>
      <c r="J36" s="4">
        <f>$C36*N(J23)</f>
        <v/>
      </c>
      <c r="K36" s="4">
        <f>$C36*N(K23)</f>
        <v/>
      </c>
      <c r="L36" s="4">
        <f>$C36*N(L23)</f>
        <v/>
      </c>
      <c r="M36" s="4" t="n"/>
    </row>
    <row r="37">
      <c r="B37" s="4" t="inlineStr">
        <is>
          <t>IZGARA (Ø100)</t>
        </is>
      </c>
      <c r="C37" s="4" t="n">
        <v>8</v>
      </c>
      <c r="D37" s="4">
        <f>$C37*N(D24)</f>
        <v/>
      </c>
      <c r="E37" s="4">
        <f>$C37*N(E24)</f>
        <v/>
      </c>
      <c r="F37" s="4">
        <f>$C37*N(F24)</f>
        <v/>
      </c>
      <c r="G37" s="4">
        <f>$C37*N(G24)</f>
        <v/>
      </c>
      <c r="H37" s="4">
        <f>$C37*N(H24)</f>
        <v/>
      </c>
      <c r="I37" s="4">
        <f>$C37*N(I24)</f>
        <v/>
      </c>
      <c r="J37" s="4">
        <f>$C37*N(J24)</f>
        <v/>
      </c>
      <c r="K37" s="4">
        <f>$C37*N(K24)</f>
        <v/>
      </c>
      <c r="L37" s="4">
        <f>$C37*N(L24)</f>
        <v/>
      </c>
      <c r="M37" s="4" t="n"/>
    </row>
    <row r="38">
      <c r="B38" s="6" t="inlineStr">
        <is>
          <t>TOPLAM</t>
        </is>
      </c>
      <c r="C38" s="4" t="n"/>
      <c r="D38" s="6">
        <f>SUM(D29:D37)</f>
        <v/>
      </c>
      <c r="E38" s="6">
        <f>SUM(E29:E37)</f>
        <v/>
      </c>
      <c r="F38" s="6">
        <f>SUM(F29:F37)</f>
        <v/>
      </c>
      <c r="G38" s="6">
        <f>SUM(G29:G37)</f>
        <v/>
      </c>
      <c r="H38" s="6">
        <f>SUM(H29:H37)</f>
        <v/>
      </c>
      <c r="I38" s="6">
        <f>SUM(I29:I37)</f>
        <v/>
      </c>
      <c r="J38" s="6">
        <f>SUM(J29:J37)</f>
        <v/>
      </c>
      <c r="K38" s="6">
        <f>SUM(K29:K37)</f>
        <v/>
      </c>
      <c r="L38" s="6">
        <f>SUM(L29:L37)</f>
        <v/>
      </c>
      <c r="M38" s="6">
        <f>SUM(D38:L38)</f>
        <v/>
      </c>
    </row>
    <row r="39">
      <c r="B39" s="4" t="inlineStr">
        <is>
          <t>Qww = 0,5 x √ΣSB (l/s)</t>
        </is>
      </c>
      <c r="C39" s="4" t="n"/>
      <c r="D39" s="4">
        <f>ROUND(0.5*SQRT(D38),2)</f>
        <v/>
      </c>
      <c r="E39" s="4">
        <f>ROUND(0.5*SQRT(E38),2)</f>
        <v/>
      </c>
      <c r="F39" s="4">
        <f>ROUND(0.5*SQRT(F38),2)</f>
        <v/>
      </c>
      <c r="G39" s="4">
        <f>ROUND(0.5*SQRT(G38),2)</f>
        <v/>
      </c>
      <c r="H39" s="4">
        <f>ROUND(0.5*SQRT(H38),2)</f>
        <v/>
      </c>
      <c r="I39" s="4">
        <f>ROUND(0.5*SQRT(I38),2)</f>
        <v/>
      </c>
      <c r="J39" s="4">
        <f>ROUND(0.5*SQRT(J38),2)</f>
        <v/>
      </c>
      <c r="K39" s="4">
        <f>ROUND(0.5*SQRT(K38),2)</f>
        <v/>
      </c>
      <c r="L39" s="4">
        <f>ROUND(0.5*SQRT(L38),2)</f>
        <v/>
      </c>
      <c r="M39" s="4" t="n"/>
    </row>
    <row r="42">
      <c r="C42" s="3" t="inlineStr">
        <is>
          <t>BORU ÇAPI</t>
        </is>
      </c>
      <c r="D42" s="3" t="inlineStr">
        <is>
          <t>K.B.</t>
        </is>
      </c>
      <c r="E42" s="3" t="inlineStr">
        <is>
          <t>YÜK DEĞERİ</t>
        </is>
      </c>
    </row>
    <row r="43">
      <c r="C43" s="4" t="n">
        <v>50</v>
      </c>
      <c r="D43" s="4" t="n">
        <v>10</v>
      </c>
      <c r="E43" s="4" t="n">
        <v>10</v>
      </c>
    </row>
    <row r="44">
      <c r="C44" s="4" t="n">
        <v>70</v>
      </c>
      <c r="D44" s="4" t="n">
        <v>40</v>
      </c>
      <c r="E44" s="4" t="n">
        <v>25</v>
      </c>
    </row>
    <row r="45">
      <c r="C45" s="4" t="n">
        <v>100</v>
      </c>
      <c r="D45" s="4" t="n">
        <v>150</v>
      </c>
      <c r="E45" s="4" t="n">
        <v>100</v>
      </c>
    </row>
    <row r="46">
      <c r="C46" s="4" t="n">
        <v>125</v>
      </c>
      <c r="D46" s="4" t="n">
        <v>400</v>
      </c>
      <c r="E46" s="4" t="n">
        <v>270</v>
      </c>
    </row>
    <row r="47">
      <c r="C47" s="4" t="n">
        <v>150</v>
      </c>
      <c r="D47" s="4" t="n">
        <v>900</v>
      </c>
      <c r="E47" s="4" t="n">
        <v>600</v>
      </c>
    </row>
    <row r="48">
      <c r="C48" s="4" t="n">
        <v>200</v>
      </c>
      <c r="D48" s="4" t="n">
        <v>2200</v>
      </c>
      <c r="E48" s="4" t="n">
        <v>1550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48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B1" s="7" t="inlineStr">
        <is>
          <t>B2 BLOK - ARMATÜR YÜK BİRİMLERİ VE PİS SU KOLON YÜKLERİ</t>
        </is>
      </c>
    </row>
    <row r="3">
      <c r="B3" s="3" t="inlineStr">
        <is>
          <t>ARMATÜR</t>
        </is>
      </c>
      <c r="C3" s="3" t="inlineStr">
        <is>
          <t>BW</t>
        </is>
      </c>
      <c r="D3" s="3" t="inlineStr">
        <is>
          <t>YB</t>
        </is>
      </c>
      <c r="E3" s="3" t="inlineStr">
        <is>
          <t>ADET</t>
        </is>
      </c>
      <c r="F3" s="3" t="inlineStr">
        <is>
          <t>TOPLAM YB</t>
        </is>
      </c>
      <c r="H3" s="3" t="inlineStr">
        <is>
          <t>YB ARALIĞI</t>
        </is>
      </c>
      <c r="I3" s="3" t="inlineStr">
        <is>
          <t>ÇAP</t>
        </is>
      </c>
    </row>
    <row r="4">
      <c r="B4" s="4" t="inlineStr">
        <is>
          <t>Lavabo</t>
        </is>
      </c>
      <c r="C4" s="4" t="inlineStr">
        <is>
          <t>DN15</t>
        </is>
      </c>
      <c r="D4" s="4" t="n">
        <v>0.75</v>
      </c>
      <c r="E4" s="4" t="n">
        <v>30</v>
      </c>
      <c r="F4" s="4">
        <f>D4*E4</f>
        <v/>
      </c>
      <c r="H4" s="4" t="inlineStr">
        <is>
          <t>0-3</t>
        </is>
      </c>
      <c r="I4" s="4" t="inlineStr">
        <is>
          <t>1/2"</t>
        </is>
      </c>
    </row>
    <row r="5">
      <c r="B5" s="4" t="inlineStr">
        <is>
          <t>Eviye</t>
        </is>
      </c>
      <c r="C5" s="4" t="inlineStr">
        <is>
          <t>DN15</t>
        </is>
      </c>
      <c r="D5" s="4" t="n">
        <v>1</v>
      </c>
      <c r="E5" s="4" t="n">
        <v>15</v>
      </c>
      <c r="F5" s="4">
        <f>D5*E5</f>
        <v/>
      </c>
      <c r="H5" s="4" t="inlineStr">
        <is>
          <t>3-8</t>
        </is>
      </c>
      <c r="I5" s="4" t="inlineStr">
        <is>
          <t>3/4"</t>
        </is>
      </c>
    </row>
    <row r="6">
      <c r="B6" s="4" t="inlineStr">
        <is>
          <t>Rezervuar,Pisuvar</t>
        </is>
      </c>
      <c r="C6" s="4" t="inlineStr">
        <is>
          <t>DN15</t>
        </is>
      </c>
      <c r="D6" s="4" t="n">
        <v>0.5</v>
      </c>
      <c r="E6" s="4" t="n">
        <v>30</v>
      </c>
      <c r="F6" s="4">
        <f>D6*E6</f>
        <v/>
      </c>
      <c r="H6" s="4" t="inlineStr">
        <is>
          <t>8-20</t>
        </is>
      </c>
      <c r="I6" s="4" t="inlineStr">
        <is>
          <t>1"</t>
        </is>
      </c>
    </row>
    <row r="7">
      <c r="B7" s="4" t="inlineStr">
        <is>
          <t>Küvet,Duş</t>
        </is>
      </c>
      <c r="C7" s="4" t="inlineStr">
        <is>
          <t>DN15</t>
        </is>
      </c>
      <c r="D7" s="4" t="n">
        <v>2.5</v>
      </c>
      <c r="E7" s="4" t="n">
        <v>30</v>
      </c>
      <c r="F7" s="4">
        <f>D7*E7</f>
        <v/>
      </c>
      <c r="H7" s="4" t="inlineStr">
        <is>
          <t>20-35</t>
        </is>
      </c>
      <c r="I7" s="4" t="inlineStr">
        <is>
          <t>1 1/4"</t>
        </is>
      </c>
    </row>
    <row r="8">
      <c r="B8" s="4" t="inlineStr">
        <is>
          <t>Çamaşır,Bulaşık Makinesi</t>
        </is>
      </c>
      <c r="C8" s="4" t="inlineStr">
        <is>
          <t>DN15</t>
        </is>
      </c>
      <c r="D8" s="4" t="n">
        <v>1.5</v>
      </c>
      <c r="E8" s="4" t="n">
        <v>29</v>
      </c>
      <c r="F8" s="4">
        <f>D8*E8</f>
        <v/>
      </c>
      <c r="H8" s="4" t="inlineStr">
        <is>
          <t>35-50</t>
        </is>
      </c>
      <c r="I8" s="4" t="inlineStr">
        <is>
          <t>1 1/2"</t>
        </is>
      </c>
    </row>
    <row r="9">
      <c r="B9" s="4" t="inlineStr">
        <is>
          <t>Şofben / Kombi</t>
        </is>
      </c>
      <c r="C9" s="4" t="inlineStr">
        <is>
          <t>DN15</t>
        </is>
      </c>
      <c r="D9" s="4" t="n">
        <v>1</v>
      </c>
      <c r="E9" s="4" t="n">
        <v>13</v>
      </c>
      <c r="F9" s="4" t="n">
        <v>12.5</v>
      </c>
      <c r="G9" t="inlineStr">
        <is>
          <t>(12x1 + 1x0,5)</t>
        </is>
      </c>
      <c r="H9" s="4" t="inlineStr">
        <is>
          <t>50 ve üstü</t>
        </is>
      </c>
      <c r="I9" s="4" t="inlineStr">
        <is>
          <t>2"</t>
        </is>
      </c>
    </row>
    <row r="10">
      <c r="B10" s="6" t="inlineStr">
        <is>
          <t>TOPLAM</t>
        </is>
      </c>
      <c r="C10" s="4" t="n"/>
      <c r="D10" s="4" t="n"/>
      <c r="E10" s="4" t="n"/>
      <c r="F10" s="6">
        <f>SUM(F4:F9)</f>
        <v/>
      </c>
    </row>
    <row r="11">
      <c r="B11" t="inlineStr">
        <is>
          <t>Blok debisi: Q = 0,25 x √YB =</t>
        </is>
      </c>
      <c r="F11">
        <f>ROUND(0.25*SQRT(F10),2)</f>
        <v/>
      </c>
      <c r="G11" t="inlineStr">
        <is>
          <t>l/s</t>
        </is>
      </c>
    </row>
    <row r="14">
      <c r="B14" s="1" t="inlineStr">
        <is>
          <t>PİS SU - KOLON NO / ADET</t>
        </is>
      </c>
    </row>
    <row r="15">
      <c r="B15" s="6" t="inlineStr">
        <is>
          <t>CİNSİ</t>
        </is>
      </c>
      <c r="C15" s="6" t="inlineStr">
        <is>
          <t>YÜK (SB)</t>
        </is>
      </c>
      <c r="D15" s="3" t="inlineStr">
        <is>
          <t>P1</t>
        </is>
      </c>
      <c r="E15" s="3" t="inlineStr">
        <is>
          <t>P2</t>
        </is>
      </c>
      <c r="F15" s="3" t="inlineStr">
        <is>
          <t>P3</t>
        </is>
      </c>
      <c r="G15" s="3" t="inlineStr">
        <is>
          <t>P4</t>
        </is>
      </c>
      <c r="H15" s="3" t="inlineStr">
        <is>
          <t>P5</t>
        </is>
      </c>
      <c r="I15" s="3" t="inlineStr">
        <is>
          <t>P6</t>
        </is>
      </c>
      <c r="J15" s="3" t="inlineStr">
        <is>
          <t>P7</t>
        </is>
      </c>
      <c r="K15" s="3" t="inlineStr">
        <is>
          <t>P8</t>
        </is>
      </c>
      <c r="L15" s="3" t="inlineStr">
        <is>
          <t>P9</t>
        </is>
      </c>
      <c r="M15" s="3" t="inlineStr">
        <is>
          <t>P10</t>
        </is>
      </c>
      <c r="N15" s="3" t="inlineStr">
        <is>
          <t>SZ</t>
        </is>
      </c>
      <c r="O15" s="6" t="inlineStr">
        <is>
          <t>TOPLAM</t>
        </is>
      </c>
    </row>
    <row r="16">
      <c r="B16" s="4" t="inlineStr">
        <is>
          <t>KLOZET,HELA</t>
        </is>
      </c>
      <c r="C16" s="4" t="n">
        <v>10</v>
      </c>
      <c r="D16" s="4" t="n"/>
      <c r="E16" s="4" t="n">
        <v>7</v>
      </c>
      <c r="F16" s="4" t="n">
        <v>7</v>
      </c>
      <c r="G16" s="4" t="n"/>
      <c r="H16" s="4" t="n">
        <v>7</v>
      </c>
      <c r="I16" s="4" t="n">
        <v>7</v>
      </c>
      <c r="J16" s="4" t="n"/>
      <c r="K16" s="4" t="n"/>
      <c r="L16" s="4" t="n"/>
      <c r="M16" s="4" t="n">
        <v>2</v>
      </c>
      <c r="N16" s="4" t="n"/>
      <c r="O16" s="4">
        <f>SUM(D16:N16)</f>
        <v/>
      </c>
    </row>
    <row r="17">
      <c r="B17" s="4" t="inlineStr">
        <is>
          <t>BANYO KÜVETİ-DUŞ</t>
        </is>
      </c>
      <c r="C17" s="4" t="n">
        <v>7</v>
      </c>
      <c r="D17" s="4" t="n"/>
      <c r="E17" s="4" t="n">
        <v>7</v>
      </c>
      <c r="F17" s="4" t="n">
        <v>7</v>
      </c>
      <c r="G17" s="4" t="n"/>
      <c r="H17" s="4" t="n">
        <v>7</v>
      </c>
      <c r="I17" s="4" t="n">
        <v>7</v>
      </c>
      <c r="J17" s="4" t="n"/>
      <c r="K17" s="4" t="n"/>
      <c r="L17" s="4" t="n"/>
      <c r="M17" s="4" t="n">
        <v>2</v>
      </c>
      <c r="N17" s="4" t="n"/>
      <c r="O17" s="4">
        <f>SUM(D17:N17)</f>
        <v/>
      </c>
    </row>
    <row r="18">
      <c r="B18" s="4" t="inlineStr">
        <is>
          <t>SİFON,EVİYE</t>
        </is>
      </c>
      <c r="C18" s="4" t="n">
        <v>4</v>
      </c>
      <c r="D18" s="4" t="n">
        <v>6</v>
      </c>
      <c r="E18" s="4" t="n"/>
      <c r="F18" s="4" t="n"/>
      <c r="G18" s="4" t="n">
        <v>6</v>
      </c>
      <c r="H18" s="4" t="n"/>
      <c r="I18" s="4" t="n"/>
      <c r="J18" s="4" t="n">
        <v>1</v>
      </c>
      <c r="K18" s="4" t="n">
        <v>1</v>
      </c>
      <c r="L18" s="4" t="n">
        <v>1</v>
      </c>
      <c r="M18" s="4" t="n"/>
      <c r="N18" s="4" t="n"/>
      <c r="O18" s="4">
        <f>SUM(D18:N18)</f>
        <v/>
      </c>
    </row>
    <row r="19">
      <c r="B19" s="4" t="inlineStr">
        <is>
          <t>İKİ GÖZLÜ EVİYE</t>
        </is>
      </c>
      <c r="C19" s="4" t="n">
        <v>8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>
        <f>SUM(D19:N19)</f>
        <v/>
      </c>
    </row>
    <row r="20">
      <c r="B20" s="4" t="inlineStr">
        <is>
          <t>LAVABO</t>
        </is>
      </c>
      <c r="C20" s="4" t="n">
        <v>2</v>
      </c>
      <c r="D20" s="4" t="n"/>
      <c r="E20" s="4" t="n">
        <v>7</v>
      </c>
      <c r="F20" s="4" t="n">
        <v>7</v>
      </c>
      <c r="G20" s="4" t="n"/>
      <c r="H20" s="4" t="n">
        <v>7</v>
      </c>
      <c r="I20" s="4" t="n">
        <v>7</v>
      </c>
      <c r="J20" s="4" t="n"/>
      <c r="K20" s="4" t="n"/>
      <c r="L20" s="4" t="n"/>
      <c r="M20" s="4" t="n">
        <v>2</v>
      </c>
      <c r="N20" s="4" t="n"/>
      <c r="O20" s="4">
        <f>SUM(D20:N20)</f>
        <v/>
      </c>
    </row>
    <row r="21">
      <c r="B21" s="4" t="inlineStr">
        <is>
          <t>YERSÜZGECİ</t>
        </is>
      </c>
      <c r="C21" s="4" t="n">
        <v>2</v>
      </c>
      <c r="D21" s="4" t="n"/>
      <c r="E21" s="4" t="n">
        <v>7</v>
      </c>
      <c r="F21" s="4" t="n">
        <v>7</v>
      </c>
      <c r="G21" s="4" t="n"/>
      <c r="H21" s="4" t="n">
        <v>7</v>
      </c>
      <c r="I21" s="4" t="n">
        <v>7</v>
      </c>
      <c r="J21" s="4" t="n"/>
      <c r="K21" s="4" t="n"/>
      <c r="L21" s="4" t="n"/>
      <c r="M21" s="4" t="n">
        <v>2</v>
      </c>
      <c r="N21" s="4" t="n">
        <v>7</v>
      </c>
      <c r="O21" s="4">
        <f>SUM(D21:N21)</f>
        <v/>
      </c>
    </row>
    <row r="22">
      <c r="B22" s="4" t="inlineStr">
        <is>
          <t>ÇAMAŞIR,BUL.MAK</t>
        </is>
      </c>
      <c r="C22" s="4" t="n">
        <v>4</v>
      </c>
      <c r="D22" s="4" t="n">
        <v>6</v>
      </c>
      <c r="E22" s="4" t="n">
        <v>7</v>
      </c>
      <c r="F22" s="4" t="n"/>
      <c r="G22" s="4" t="n">
        <v>6</v>
      </c>
      <c r="H22" s="4" t="n">
        <v>7</v>
      </c>
      <c r="I22" s="4" t="n"/>
      <c r="J22" s="4" t="n">
        <v>1</v>
      </c>
      <c r="K22" s="4" t="n">
        <v>1</v>
      </c>
      <c r="L22" s="4" t="n">
        <v>1</v>
      </c>
      <c r="M22" s="4" t="n"/>
      <c r="N22" s="4" t="n"/>
      <c r="O22" s="4">
        <f>SUM(D22:N22)</f>
        <v/>
      </c>
    </row>
    <row r="23">
      <c r="B23" s="4" t="inlineStr">
        <is>
          <t>PİSUVAR</t>
        </is>
      </c>
      <c r="C23" s="4" t="n">
        <v>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>
        <f>SUM(D23:N23)</f>
        <v/>
      </c>
    </row>
    <row r="24">
      <c r="B24" s="4" t="inlineStr">
        <is>
          <t>IZGARA (Ø100)</t>
        </is>
      </c>
      <c r="C24" s="4" t="n">
        <v>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>
        <f>SUM(D24:N24)</f>
        <v/>
      </c>
    </row>
    <row r="27">
      <c r="B27" s="1" t="inlineStr">
        <is>
          <t>PİS SU - KOLON YÜKLERİ (SB)</t>
        </is>
      </c>
    </row>
    <row r="28">
      <c r="B28" s="6" t="inlineStr">
        <is>
          <t>CİNSİ</t>
        </is>
      </c>
      <c r="C28" s="6" t="inlineStr">
        <is>
          <t>YÜK (SB)</t>
        </is>
      </c>
      <c r="D28" s="3" t="inlineStr">
        <is>
          <t>P1</t>
        </is>
      </c>
      <c r="E28" s="3" t="inlineStr">
        <is>
          <t>P2</t>
        </is>
      </c>
      <c r="F28" s="3" t="inlineStr">
        <is>
          <t>P3</t>
        </is>
      </c>
      <c r="G28" s="3" t="inlineStr">
        <is>
          <t>P4</t>
        </is>
      </c>
      <c r="H28" s="3" t="inlineStr">
        <is>
          <t>P5</t>
        </is>
      </c>
      <c r="I28" s="3" t="inlineStr">
        <is>
          <t>P6</t>
        </is>
      </c>
      <c r="J28" s="3" t="inlineStr">
        <is>
          <t>P7</t>
        </is>
      </c>
      <c r="K28" s="3" t="inlineStr">
        <is>
          <t>P8</t>
        </is>
      </c>
      <c r="L28" s="3" t="inlineStr">
        <is>
          <t>P9</t>
        </is>
      </c>
      <c r="M28" s="3" t="inlineStr">
        <is>
          <t>P10</t>
        </is>
      </c>
      <c r="N28" s="3" t="inlineStr">
        <is>
          <t>SZ</t>
        </is>
      </c>
      <c r="O28" s="4" t="n"/>
    </row>
    <row r="29">
      <c r="B29" s="4" t="inlineStr">
        <is>
          <t>KLOZET,HELA</t>
        </is>
      </c>
      <c r="C29" s="4" t="n">
        <v>10</v>
      </c>
      <c r="D29" s="4">
        <f>$C29*N(D16)</f>
        <v/>
      </c>
      <c r="E29" s="4">
        <f>$C29*N(E16)</f>
        <v/>
      </c>
      <c r="F29" s="4">
        <f>$C29*N(F16)</f>
        <v/>
      </c>
      <c r="G29" s="4">
        <f>$C29*N(G16)</f>
        <v/>
      </c>
      <c r="H29" s="4">
        <f>$C29*N(H16)</f>
        <v/>
      </c>
      <c r="I29" s="4">
        <f>$C29*N(I16)</f>
        <v/>
      </c>
      <c r="J29" s="4">
        <f>$C29*N(J16)</f>
        <v/>
      </c>
      <c r="K29" s="4">
        <f>$C29*N(K16)</f>
        <v/>
      </c>
      <c r="L29" s="4">
        <f>$C29*N(L16)</f>
        <v/>
      </c>
      <c r="M29" s="4">
        <f>$C29*N(M16)</f>
        <v/>
      </c>
      <c r="N29" s="4">
        <f>$C29*N(N16)</f>
        <v/>
      </c>
      <c r="O29" s="4" t="n"/>
    </row>
    <row r="30">
      <c r="B30" s="4" t="inlineStr">
        <is>
          <t>BANYO KÜVETİ-DUŞ</t>
        </is>
      </c>
      <c r="C30" s="4" t="n">
        <v>7</v>
      </c>
      <c r="D30" s="4">
        <f>$C30*N(D17)</f>
        <v/>
      </c>
      <c r="E30" s="4">
        <f>$C30*N(E17)</f>
        <v/>
      </c>
      <c r="F30" s="4">
        <f>$C30*N(F17)</f>
        <v/>
      </c>
      <c r="G30" s="4">
        <f>$C30*N(G17)</f>
        <v/>
      </c>
      <c r="H30" s="4">
        <f>$C30*N(H17)</f>
        <v/>
      </c>
      <c r="I30" s="4">
        <f>$C30*N(I17)</f>
        <v/>
      </c>
      <c r="J30" s="4">
        <f>$C30*N(J17)</f>
        <v/>
      </c>
      <c r="K30" s="4">
        <f>$C30*N(K17)</f>
        <v/>
      </c>
      <c r="L30" s="4">
        <f>$C30*N(L17)</f>
        <v/>
      </c>
      <c r="M30" s="4">
        <f>$C30*N(M17)</f>
        <v/>
      </c>
      <c r="N30" s="4">
        <f>$C30*N(N17)</f>
        <v/>
      </c>
      <c r="O30" s="4" t="n"/>
    </row>
    <row r="31">
      <c r="B31" s="4" t="inlineStr">
        <is>
          <t>SİFON,EVİYE</t>
        </is>
      </c>
      <c r="C31" s="4" t="n">
        <v>4</v>
      </c>
      <c r="D31" s="4">
        <f>$C31*N(D18)</f>
        <v/>
      </c>
      <c r="E31" s="4">
        <f>$C31*N(E18)</f>
        <v/>
      </c>
      <c r="F31" s="4">
        <f>$C31*N(F18)</f>
        <v/>
      </c>
      <c r="G31" s="4">
        <f>$C31*N(G18)</f>
        <v/>
      </c>
      <c r="H31" s="4">
        <f>$C31*N(H18)</f>
        <v/>
      </c>
      <c r="I31" s="4">
        <f>$C31*N(I18)</f>
        <v/>
      </c>
      <c r="J31" s="4">
        <f>$C31*N(J18)</f>
        <v/>
      </c>
      <c r="K31" s="4">
        <f>$C31*N(K18)</f>
        <v/>
      </c>
      <c r="L31" s="4">
        <f>$C31*N(L18)</f>
        <v/>
      </c>
      <c r="M31" s="4">
        <f>$C31*N(M18)</f>
        <v/>
      </c>
      <c r="N31" s="4">
        <f>$C31*N(N18)</f>
        <v/>
      </c>
      <c r="O31" s="4" t="n"/>
    </row>
    <row r="32">
      <c r="B32" s="4" t="inlineStr">
        <is>
          <t>İKİ GÖZLÜ EVİYE</t>
        </is>
      </c>
      <c r="C32" s="4" t="n">
        <v>8</v>
      </c>
      <c r="D32" s="4">
        <f>$C32*N(D19)</f>
        <v/>
      </c>
      <c r="E32" s="4">
        <f>$C32*N(E19)</f>
        <v/>
      </c>
      <c r="F32" s="4">
        <f>$C32*N(F19)</f>
        <v/>
      </c>
      <c r="G32" s="4">
        <f>$C32*N(G19)</f>
        <v/>
      </c>
      <c r="H32" s="4">
        <f>$C32*N(H19)</f>
        <v/>
      </c>
      <c r="I32" s="4">
        <f>$C32*N(I19)</f>
        <v/>
      </c>
      <c r="J32" s="4">
        <f>$C32*N(J19)</f>
        <v/>
      </c>
      <c r="K32" s="4">
        <f>$C32*N(K19)</f>
        <v/>
      </c>
      <c r="L32" s="4">
        <f>$C32*N(L19)</f>
        <v/>
      </c>
      <c r="M32" s="4">
        <f>$C32*N(M19)</f>
        <v/>
      </c>
      <c r="N32" s="4">
        <f>$C32*N(N19)</f>
        <v/>
      </c>
      <c r="O32" s="4" t="n"/>
    </row>
    <row r="33">
      <c r="B33" s="4" t="inlineStr">
        <is>
          <t>LAVABO</t>
        </is>
      </c>
      <c r="C33" s="4" t="n">
        <v>2</v>
      </c>
      <c r="D33" s="4">
        <f>$C33*N(D20)</f>
        <v/>
      </c>
      <c r="E33" s="4">
        <f>$C33*N(E20)</f>
        <v/>
      </c>
      <c r="F33" s="4">
        <f>$C33*N(F20)</f>
        <v/>
      </c>
      <c r="G33" s="4">
        <f>$C33*N(G20)</f>
        <v/>
      </c>
      <c r="H33" s="4">
        <f>$C33*N(H20)</f>
        <v/>
      </c>
      <c r="I33" s="4">
        <f>$C33*N(I20)</f>
        <v/>
      </c>
      <c r="J33" s="4">
        <f>$C33*N(J20)</f>
        <v/>
      </c>
      <c r="K33" s="4">
        <f>$C33*N(K20)</f>
        <v/>
      </c>
      <c r="L33" s="4">
        <f>$C33*N(L20)</f>
        <v/>
      </c>
      <c r="M33" s="4">
        <f>$C33*N(M20)</f>
        <v/>
      </c>
      <c r="N33" s="4">
        <f>$C33*N(N20)</f>
        <v/>
      </c>
      <c r="O33" s="4" t="n"/>
    </row>
    <row r="34">
      <c r="B34" s="4" t="inlineStr">
        <is>
          <t>YERSÜZGECİ</t>
        </is>
      </c>
      <c r="C34" s="4" t="n">
        <v>2</v>
      </c>
      <c r="D34" s="4">
        <f>$C34*N(D21)</f>
        <v/>
      </c>
      <c r="E34" s="4">
        <f>$C34*N(E21)</f>
        <v/>
      </c>
      <c r="F34" s="4">
        <f>$C34*N(F21)</f>
        <v/>
      </c>
      <c r="G34" s="4">
        <f>$C34*N(G21)</f>
        <v/>
      </c>
      <c r="H34" s="4">
        <f>$C34*N(H21)</f>
        <v/>
      </c>
      <c r="I34" s="4">
        <f>$C34*N(I21)</f>
        <v/>
      </c>
      <c r="J34" s="4">
        <f>$C34*N(J21)</f>
        <v/>
      </c>
      <c r="K34" s="4">
        <f>$C34*N(K21)</f>
        <v/>
      </c>
      <c r="L34" s="4">
        <f>$C34*N(L21)</f>
        <v/>
      </c>
      <c r="M34" s="4">
        <f>$C34*N(M21)</f>
        <v/>
      </c>
      <c r="N34" s="4">
        <f>$C34*N(N21)</f>
        <v/>
      </c>
      <c r="O34" s="4" t="n"/>
    </row>
    <row r="35">
      <c r="B35" s="4" t="inlineStr">
        <is>
          <t>ÇAMAŞIR,BUL.MAK</t>
        </is>
      </c>
      <c r="C35" s="4" t="n">
        <v>4</v>
      </c>
      <c r="D35" s="4">
        <f>$C35*N(D22)</f>
        <v/>
      </c>
      <c r="E35" s="4">
        <f>$C35*N(E22)</f>
        <v/>
      </c>
      <c r="F35" s="4">
        <f>$C35*N(F22)</f>
        <v/>
      </c>
      <c r="G35" s="4">
        <f>$C35*N(G22)</f>
        <v/>
      </c>
      <c r="H35" s="4">
        <f>$C35*N(H22)</f>
        <v/>
      </c>
      <c r="I35" s="4">
        <f>$C35*N(I22)</f>
        <v/>
      </c>
      <c r="J35" s="4">
        <f>$C35*N(J22)</f>
        <v/>
      </c>
      <c r="K35" s="4">
        <f>$C35*N(K22)</f>
        <v/>
      </c>
      <c r="L35" s="4">
        <f>$C35*N(L22)</f>
        <v/>
      </c>
      <c r="M35" s="4">
        <f>$C35*N(M22)</f>
        <v/>
      </c>
      <c r="N35" s="4">
        <f>$C35*N(N22)</f>
        <v/>
      </c>
      <c r="O35" s="4" t="n"/>
    </row>
    <row r="36">
      <c r="B36" s="4" t="inlineStr">
        <is>
          <t>PİSUVAR</t>
        </is>
      </c>
      <c r="C36" s="4" t="n">
        <v>2</v>
      </c>
      <c r="D36" s="4">
        <f>$C36*N(D23)</f>
        <v/>
      </c>
      <c r="E36" s="4">
        <f>$C36*N(E23)</f>
        <v/>
      </c>
      <c r="F36" s="4">
        <f>$C36*N(F23)</f>
        <v/>
      </c>
      <c r="G36" s="4">
        <f>$C36*N(G23)</f>
        <v/>
      </c>
      <c r="H36" s="4">
        <f>$C36*N(H23)</f>
        <v/>
      </c>
      <c r="I36" s="4">
        <f>$C36*N(I23)</f>
        <v/>
      </c>
      <c r="J36" s="4">
        <f>$C36*N(J23)</f>
        <v/>
      </c>
      <c r="K36" s="4">
        <f>$C36*N(K23)</f>
        <v/>
      </c>
      <c r="L36" s="4">
        <f>$C36*N(L23)</f>
        <v/>
      </c>
      <c r="M36" s="4">
        <f>$C36*N(M23)</f>
        <v/>
      </c>
      <c r="N36" s="4">
        <f>$C36*N(N23)</f>
        <v/>
      </c>
      <c r="O36" s="4" t="n"/>
    </row>
    <row r="37">
      <c r="B37" s="4" t="inlineStr">
        <is>
          <t>IZGARA (Ø100)</t>
        </is>
      </c>
      <c r="C37" s="4" t="n">
        <v>8</v>
      </c>
      <c r="D37" s="4">
        <f>$C37*N(D24)</f>
        <v/>
      </c>
      <c r="E37" s="4">
        <f>$C37*N(E24)</f>
        <v/>
      </c>
      <c r="F37" s="4">
        <f>$C37*N(F24)</f>
        <v/>
      </c>
      <c r="G37" s="4">
        <f>$C37*N(G24)</f>
        <v/>
      </c>
      <c r="H37" s="4">
        <f>$C37*N(H24)</f>
        <v/>
      </c>
      <c r="I37" s="4">
        <f>$C37*N(I24)</f>
        <v/>
      </c>
      <c r="J37" s="4">
        <f>$C37*N(J24)</f>
        <v/>
      </c>
      <c r="K37" s="4">
        <f>$C37*N(K24)</f>
        <v/>
      </c>
      <c r="L37" s="4">
        <f>$C37*N(L24)</f>
        <v/>
      </c>
      <c r="M37" s="4">
        <f>$C37*N(M24)</f>
        <v/>
      </c>
      <c r="N37" s="4">
        <f>$C37*N(N24)</f>
        <v/>
      </c>
      <c r="O37" s="4" t="n"/>
    </row>
    <row r="38">
      <c r="B38" s="6" t="inlineStr">
        <is>
          <t>TOPLAM</t>
        </is>
      </c>
      <c r="C38" s="4" t="n"/>
      <c r="D38" s="6">
        <f>SUM(D29:D37)</f>
        <v/>
      </c>
      <c r="E38" s="6">
        <f>SUM(E29:E37)</f>
        <v/>
      </c>
      <c r="F38" s="6">
        <f>SUM(F29:F37)</f>
        <v/>
      </c>
      <c r="G38" s="6">
        <f>SUM(G29:G37)</f>
        <v/>
      </c>
      <c r="H38" s="6">
        <f>SUM(H29:H37)</f>
        <v/>
      </c>
      <c r="I38" s="6">
        <f>SUM(I29:I37)</f>
        <v/>
      </c>
      <c r="J38" s="6">
        <f>SUM(J29:J37)</f>
        <v/>
      </c>
      <c r="K38" s="6">
        <f>SUM(K29:K37)</f>
        <v/>
      </c>
      <c r="L38" s="6">
        <f>SUM(L29:L37)</f>
        <v/>
      </c>
      <c r="M38" s="6">
        <f>SUM(M29:M37)</f>
        <v/>
      </c>
      <c r="N38" s="6">
        <f>SUM(N29:N37)</f>
        <v/>
      </c>
      <c r="O38" s="6">
        <f>SUM(D38:N38)</f>
        <v/>
      </c>
    </row>
    <row r="39">
      <c r="B39" s="4" t="inlineStr">
        <is>
          <t>Qww = 0,5 x √ΣSB (l/s)</t>
        </is>
      </c>
      <c r="C39" s="4" t="n"/>
      <c r="D39" s="4">
        <f>ROUND(0.5*SQRT(D38),2)</f>
        <v/>
      </c>
      <c r="E39" s="4">
        <f>ROUND(0.5*SQRT(E38),2)</f>
        <v/>
      </c>
      <c r="F39" s="4">
        <f>ROUND(0.5*SQRT(F38),2)</f>
        <v/>
      </c>
      <c r="G39" s="4">
        <f>ROUND(0.5*SQRT(G38),2)</f>
        <v/>
      </c>
      <c r="H39" s="4">
        <f>ROUND(0.5*SQRT(H38),2)</f>
        <v/>
      </c>
      <c r="I39" s="4">
        <f>ROUND(0.5*SQRT(I38),2)</f>
        <v/>
      </c>
      <c r="J39" s="4">
        <f>ROUND(0.5*SQRT(J38),2)</f>
        <v/>
      </c>
      <c r="K39" s="4">
        <f>ROUND(0.5*SQRT(K38),2)</f>
        <v/>
      </c>
      <c r="L39" s="4">
        <f>ROUND(0.5*SQRT(L38),2)</f>
        <v/>
      </c>
      <c r="M39" s="4">
        <f>ROUND(0.5*SQRT(M38),2)</f>
        <v/>
      </c>
      <c r="N39" s="4">
        <f>ROUND(0.5*SQRT(N38),2)</f>
        <v/>
      </c>
      <c r="O39" s="4" t="n"/>
    </row>
    <row r="42">
      <c r="C42" s="3" t="inlineStr">
        <is>
          <t>BORU ÇAPI</t>
        </is>
      </c>
      <c r="D42" s="3" t="inlineStr">
        <is>
          <t>K.B.</t>
        </is>
      </c>
      <c r="E42" s="3" t="inlineStr">
        <is>
          <t>YÜK DEĞERİ</t>
        </is>
      </c>
    </row>
    <row r="43">
      <c r="C43" s="4" t="n">
        <v>50</v>
      </c>
      <c r="D43" s="4" t="n">
        <v>10</v>
      </c>
      <c r="E43" s="4" t="n">
        <v>10</v>
      </c>
    </row>
    <row r="44">
      <c r="C44" s="4" t="n">
        <v>70</v>
      </c>
      <c r="D44" s="4" t="n">
        <v>40</v>
      </c>
      <c r="E44" s="4" t="n">
        <v>25</v>
      </c>
    </row>
    <row r="45">
      <c r="C45" s="4" t="n">
        <v>100</v>
      </c>
      <c r="D45" s="4" t="n">
        <v>150</v>
      </c>
      <c r="E45" s="4" t="n">
        <v>100</v>
      </c>
    </row>
    <row r="46">
      <c r="C46" s="4" t="n">
        <v>125</v>
      </c>
      <c r="D46" s="4" t="n">
        <v>400</v>
      </c>
      <c r="E46" s="4" t="n">
        <v>270</v>
      </c>
    </row>
    <row r="47">
      <c r="C47" s="4" t="n">
        <v>150</v>
      </c>
      <c r="D47" s="4" t="n">
        <v>900</v>
      </c>
      <c r="E47" s="4" t="n">
        <v>600</v>
      </c>
    </row>
    <row r="48">
      <c r="C48" s="4" t="n">
        <v>200</v>
      </c>
      <c r="D48" s="4" t="n">
        <v>2200</v>
      </c>
      <c r="E48" s="4" t="n">
        <v>1550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48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B1" s="7" t="inlineStr">
        <is>
          <t>B3 BLOK - ARMATÜR YÜK BİRİMLERİ VE PİS SU KOLON YÜKLERİ</t>
        </is>
      </c>
    </row>
    <row r="3">
      <c r="B3" s="3" t="inlineStr">
        <is>
          <t>ARMATÜR</t>
        </is>
      </c>
      <c r="C3" s="3" t="inlineStr">
        <is>
          <t>BW</t>
        </is>
      </c>
      <c r="D3" s="3" t="inlineStr">
        <is>
          <t>YB</t>
        </is>
      </c>
      <c r="E3" s="3" t="inlineStr">
        <is>
          <t>ADET</t>
        </is>
      </c>
      <c r="F3" s="3" t="inlineStr">
        <is>
          <t>TOPLAM YB</t>
        </is>
      </c>
      <c r="H3" s="3" t="inlineStr">
        <is>
          <t>YB ARALIĞI</t>
        </is>
      </c>
      <c r="I3" s="3" t="inlineStr">
        <is>
          <t>ÇAP</t>
        </is>
      </c>
    </row>
    <row r="4">
      <c r="B4" s="4" t="inlineStr">
        <is>
          <t>Lavabo</t>
        </is>
      </c>
      <c r="C4" s="4" t="inlineStr">
        <is>
          <t>DN15</t>
        </is>
      </c>
      <c r="D4" s="4" t="n">
        <v>0.75</v>
      </c>
      <c r="E4" s="4" t="n">
        <v>30</v>
      </c>
      <c r="F4" s="4">
        <f>D4*E4</f>
        <v/>
      </c>
      <c r="H4" s="4" t="inlineStr">
        <is>
          <t>0-3</t>
        </is>
      </c>
      <c r="I4" s="4" t="inlineStr">
        <is>
          <t>1/2"</t>
        </is>
      </c>
    </row>
    <row r="5">
      <c r="B5" s="4" t="inlineStr">
        <is>
          <t>Eviye</t>
        </is>
      </c>
      <c r="C5" s="4" t="inlineStr">
        <is>
          <t>DN15</t>
        </is>
      </c>
      <c r="D5" s="4" t="n">
        <v>1</v>
      </c>
      <c r="E5" s="4" t="n">
        <v>15</v>
      </c>
      <c r="F5" s="4">
        <f>D5*E5</f>
        <v/>
      </c>
      <c r="H5" s="4" t="inlineStr">
        <is>
          <t>3-8</t>
        </is>
      </c>
      <c r="I5" s="4" t="inlineStr">
        <is>
          <t>3/4"</t>
        </is>
      </c>
    </row>
    <row r="6">
      <c r="B6" s="4" t="inlineStr">
        <is>
          <t>Rezervuar,Pisuvar</t>
        </is>
      </c>
      <c r="C6" s="4" t="inlineStr">
        <is>
          <t>DN15</t>
        </is>
      </c>
      <c r="D6" s="4" t="n">
        <v>0.5</v>
      </c>
      <c r="E6" s="4" t="n">
        <v>30</v>
      </c>
      <c r="F6" s="4">
        <f>D6*E6</f>
        <v/>
      </c>
      <c r="H6" s="4" t="inlineStr">
        <is>
          <t>8-20</t>
        </is>
      </c>
      <c r="I6" s="4" t="inlineStr">
        <is>
          <t>1"</t>
        </is>
      </c>
    </row>
    <row r="7">
      <c r="B7" s="4" t="inlineStr">
        <is>
          <t>Küvet,Duş</t>
        </is>
      </c>
      <c r="C7" s="4" t="inlineStr">
        <is>
          <t>DN15</t>
        </is>
      </c>
      <c r="D7" s="4" t="n">
        <v>2.5</v>
      </c>
      <c r="E7" s="4" t="n">
        <v>30</v>
      </c>
      <c r="F7" s="4">
        <f>D7*E7</f>
        <v/>
      </c>
      <c r="H7" s="4" t="inlineStr">
        <is>
          <t>20-35</t>
        </is>
      </c>
      <c r="I7" s="4" t="inlineStr">
        <is>
          <t>1 1/4"</t>
        </is>
      </c>
    </row>
    <row r="8">
      <c r="B8" s="4" t="inlineStr">
        <is>
          <t>Çamaşır,Bulaşık Makinesi</t>
        </is>
      </c>
      <c r="C8" s="4" t="inlineStr">
        <is>
          <t>DN15</t>
        </is>
      </c>
      <c r="D8" s="4" t="n">
        <v>1.5</v>
      </c>
      <c r="E8" s="4" t="n">
        <v>29</v>
      </c>
      <c r="F8" s="4">
        <f>D8*E8</f>
        <v/>
      </c>
      <c r="H8" s="4" t="inlineStr">
        <is>
          <t>35-50</t>
        </is>
      </c>
      <c r="I8" s="4" t="inlineStr">
        <is>
          <t>1 1/2"</t>
        </is>
      </c>
    </row>
    <row r="9">
      <c r="B9" s="4" t="inlineStr">
        <is>
          <t>Şofben / Kombi</t>
        </is>
      </c>
      <c r="C9" s="4" t="inlineStr">
        <is>
          <t>DN15</t>
        </is>
      </c>
      <c r="D9" s="4" t="n">
        <v>1</v>
      </c>
      <c r="E9" s="4" t="n">
        <v>13</v>
      </c>
      <c r="F9" s="4" t="n">
        <v>12.5</v>
      </c>
      <c r="G9" t="inlineStr">
        <is>
          <t>(12x1 + 1x0,5)</t>
        </is>
      </c>
      <c r="H9" s="4" t="inlineStr">
        <is>
          <t>50 ve üstü</t>
        </is>
      </c>
      <c r="I9" s="4" t="inlineStr">
        <is>
          <t>2"</t>
        </is>
      </c>
    </row>
    <row r="10">
      <c r="B10" s="6" t="inlineStr">
        <is>
          <t>TOPLAM</t>
        </is>
      </c>
      <c r="C10" s="4" t="n"/>
      <c r="D10" s="4" t="n"/>
      <c r="E10" s="4" t="n"/>
      <c r="F10" s="6">
        <f>SUM(F4:F9)</f>
        <v/>
      </c>
    </row>
    <row r="11">
      <c r="B11" t="inlineStr">
        <is>
          <t>Blok debisi: Q = 0,25 x √YB =</t>
        </is>
      </c>
      <c r="F11">
        <f>ROUND(0.25*SQRT(F10),2)</f>
        <v/>
      </c>
      <c r="G11" t="inlineStr">
        <is>
          <t>l/s</t>
        </is>
      </c>
    </row>
    <row r="14">
      <c r="B14" s="1" t="inlineStr">
        <is>
          <t>PİS SU - KOLON NO / ADET</t>
        </is>
      </c>
    </row>
    <row r="15">
      <c r="B15" s="6" t="inlineStr">
        <is>
          <t>CİNSİ</t>
        </is>
      </c>
      <c r="C15" s="6" t="inlineStr">
        <is>
          <t>YÜK (SB)</t>
        </is>
      </c>
      <c r="D15" s="3" t="inlineStr">
        <is>
          <t>P1</t>
        </is>
      </c>
      <c r="E15" s="3" t="inlineStr">
        <is>
          <t>P2</t>
        </is>
      </c>
      <c r="F15" s="3" t="inlineStr">
        <is>
          <t>P3</t>
        </is>
      </c>
      <c r="G15" s="3" t="inlineStr">
        <is>
          <t>P4</t>
        </is>
      </c>
      <c r="H15" s="3" t="inlineStr">
        <is>
          <t>P5</t>
        </is>
      </c>
      <c r="I15" s="3" t="inlineStr">
        <is>
          <t>P6</t>
        </is>
      </c>
      <c r="J15" s="3" t="inlineStr">
        <is>
          <t>P7</t>
        </is>
      </c>
      <c r="K15" s="3" t="inlineStr">
        <is>
          <t>P8</t>
        </is>
      </c>
      <c r="L15" s="3" t="inlineStr">
        <is>
          <t>P9</t>
        </is>
      </c>
      <c r="M15" s="3" t="inlineStr">
        <is>
          <t>P10</t>
        </is>
      </c>
      <c r="N15" s="3" t="inlineStr">
        <is>
          <t>SZ</t>
        </is>
      </c>
      <c r="O15" s="6" t="inlineStr">
        <is>
          <t>TOPLAM</t>
        </is>
      </c>
    </row>
    <row r="16">
      <c r="B16" s="4" t="inlineStr">
        <is>
          <t>KLOZET,HELA</t>
        </is>
      </c>
      <c r="C16" s="4" t="n">
        <v>10</v>
      </c>
      <c r="D16" s="4" t="n"/>
      <c r="E16" s="4" t="n">
        <v>7</v>
      </c>
      <c r="F16" s="4" t="n">
        <v>7</v>
      </c>
      <c r="G16" s="4" t="n"/>
      <c r="H16" s="4" t="n">
        <v>7</v>
      </c>
      <c r="I16" s="4" t="n">
        <v>7</v>
      </c>
      <c r="J16" s="4" t="n"/>
      <c r="K16" s="4" t="n"/>
      <c r="L16" s="4" t="n"/>
      <c r="M16" s="4" t="n">
        <v>2</v>
      </c>
      <c r="N16" s="4" t="n"/>
      <c r="O16" s="4">
        <f>SUM(D16:N16)</f>
        <v/>
      </c>
    </row>
    <row r="17">
      <c r="B17" s="4" t="inlineStr">
        <is>
          <t>BANYO KÜVETİ-DUŞ</t>
        </is>
      </c>
      <c r="C17" s="4" t="n">
        <v>7</v>
      </c>
      <c r="D17" s="4" t="n"/>
      <c r="E17" s="4" t="n">
        <v>7</v>
      </c>
      <c r="F17" s="4" t="n">
        <v>7</v>
      </c>
      <c r="G17" s="4" t="n"/>
      <c r="H17" s="4" t="n">
        <v>7</v>
      </c>
      <c r="I17" s="4" t="n">
        <v>7</v>
      </c>
      <c r="J17" s="4" t="n"/>
      <c r="K17" s="4" t="n"/>
      <c r="L17" s="4" t="n"/>
      <c r="M17" s="4" t="n">
        <v>2</v>
      </c>
      <c r="N17" s="4" t="n"/>
      <c r="O17" s="4">
        <f>SUM(D17:N17)</f>
        <v/>
      </c>
    </row>
    <row r="18">
      <c r="B18" s="4" t="inlineStr">
        <is>
          <t>SİFON,EVİYE</t>
        </is>
      </c>
      <c r="C18" s="4" t="n">
        <v>4</v>
      </c>
      <c r="D18" s="4" t="n">
        <v>6</v>
      </c>
      <c r="E18" s="4" t="n"/>
      <c r="F18" s="4" t="n"/>
      <c r="G18" s="4" t="n">
        <v>6</v>
      </c>
      <c r="H18" s="4" t="n"/>
      <c r="I18" s="4" t="n"/>
      <c r="J18" s="4" t="n">
        <v>1</v>
      </c>
      <c r="K18" s="4" t="n">
        <v>1</v>
      </c>
      <c r="L18" s="4" t="n">
        <v>1</v>
      </c>
      <c r="M18" s="4" t="n"/>
      <c r="N18" s="4" t="n"/>
      <c r="O18" s="4">
        <f>SUM(D18:N18)</f>
        <v/>
      </c>
    </row>
    <row r="19">
      <c r="B19" s="4" t="inlineStr">
        <is>
          <t>İKİ GÖZLÜ EVİYE</t>
        </is>
      </c>
      <c r="C19" s="4" t="n">
        <v>8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>
        <f>SUM(D19:N19)</f>
        <v/>
      </c>
    </row>
    <row r="20">
      <c r="B20" s="4" t="inlineStr">
        <is>
          <t>LAVABO</t>
        </is>
      </c>
      <c r="C20" s="4" t="n">
        <v>2</v>
      </c>
      <c r="D20" s="4" t="n"/>
      <c r="E20" s="4" t="n">
        <v>7</v>
      </c>
      <c r="F20" s="4" t="n">
        <v>7</v>
      </c>
      <c r="G20" s="4" t="n"/>
      <c r="H20" s="4" t="n">
        <v>7</v>
      </c>
      <c r="I20" s="4" t="n">
        <v>7</v>
      </c>
      <c r="J20" s="4" t="n"/>
      <c r="K20" s="4" t="n"/>
      <c r="L20" s="4" t="n"/>
      <c r="M20" s="4" t="n">
        <v>2</v>
      </c>
      <c r="N20" s="4" t="n"/>
      <c r="O20" s="4">
        <f>SUM(D20:N20)</f>
        <v/>
      </c>
    </row>
    <row r="21">
      <c r="B21" s="4" t="inlineStr">
        <is>
          <t>YERSÜZGECİ</t>
        </is>
      </c>
      <c r="C21" s="4" t="n">
        <v>2</v>
      </c>
      <c r="D21" s="4" t="n"/>
      <c r="E21" s="4" t="n">
        <v>7</v>
      </c>
      <c r="F21" s="4" t="n">
        <v>7</v>
      </c>
      <c r="G21" s="4" t="n"/>
      <c r="H21" s="4" t="n">
        <v>7</v>
      </c>
      <c r="I21" s="4" t="n">
        <v>7</v>
      </c>
      <c r="J21" s="4" t="n"/>
      <c r="K21" s="4" t="n"/>
      <c r="L21" s="4" t="n"/>
      <c r="M21" s="4" t="n">
        <v>2</v>
      </c>
      <c r="N21" s="4" t="n">
        <v>7</v>
      </c>
      <c r="O21" s="4">
        <f>SUM(D21:N21)</f>
        <v/>
      </c>
    </row>
    <row r="22">
      <c r="B22" s="4" t="inlineStr">
        <is>
          <t>ÇAMAŞIR,BUL.MAK</t>
        </is>
      </c>
      <c r="C22" s="4" t="n">
        <v>4</v>
      </c>
      <c r="D22" s="4" t="n">
        <v>6</v>
      </c>
      <c r="E22" s="4" t="n">
        <v>7</v>
      </c>
      <c r="F22" s="4" t="n"/>
      <c r="G22" s="4" t="n">
        <v>6</v>
      </c>
      <c r="H22" s="4" t="n">
        <v>7</v>
      </c>
      <c r="I22" s="4" t="n"/>
      <c r="J22" s="4" t="n">
        <v>1</v>
      </c>
      <c r="K22" s="4" t="n">
        <v>1</v>
      </c>
      <c r="L22" s="4" t="n">
        <v>1</v>
      </c>
      <c r="M22" s="4" t="n"/>
      <c r="N22" s="4" t="n"/>
      <c r="O22" s="4">
        <f>SUM(D22:N22)</f>
        <v/>
      </c>
    </row>
    <row r="23">
      <c r="B23" s="4" t="inlineStr">
        <is>
          <t>PİSUVAR</t>
        </is>
      </c>
      <c r="C23" s="4" t="n">
        <v>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>
        <f>SUM(D23:N23)</f>
        <v/>
      </c>
    </row>
    <row r="24">
      <c r="B24" s="4" t="inlineStr">
        <is>
          <t>IZGARA (Ø100)</t>
        </is>
      </c>
      <c r="C24" s="4" t="n">
        <v>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>
        <f>SUM(D24:N24)</f>
        <v/>
      </c>
    </row>
    <row r="27">
      <c r="B27" s="1" t="inlineStr">
        <is>
          <t>PİS SU - KOLON YÜKLERİ (SB)</t>
        </is>
      </c>
    </row>
    <row r="28">
      <c r="B28" s="6" t="inlineStr">
        <is>
          <t>CİNSİ</t>
        </is>
      </c>
      <c r="C28" s="6" t="inlineStr">
        <is>
          <t>YÜK (SB)</t>
        </is>
      </c>
      <c r="D28" s="3" t="inlineStr">
        <is>
          <t>P1</t>
        </is>
      </c>
      <c r="E28" s="3" t="inlineStr">
        <is>
          <t>P2</t>
        </is>
      </c>
      <c r="F28" s="3" t="inlineStr">
        <is>
          <t>P3</t>
        </is>
      </c>
      <c r="G28" s="3" t="inlineStr">
        <is>
          <t>P4</t>
        </is>
      </c>
      <c r="H28" s="3" t="inlineStr">
        <is>
          <t>P5</t>
        </is>
      </c>
      <c r="I28" s="3" t="inlineStr">
        <is>
          <t>P6</t>
        </is>
      </c>
      <c r="J28" s="3" t="inlineStr">
        <is>
          <t>P7</t>
        </is>
      </c>
      <c r="K28" s="3" t="inlineStr">
        <is>
          <t>P8</t>
        </is>
      </c>
      <c r="L28" s="3" t="inlineStr">
        <is>
          <t>P9</t>
        </is>
      </c>
      <c r="M28" s="3" t="inlineStr">
        <is>
          <t>P10</t>
        </is>
      </c>
      <c r="N28" s="3" t="inlineStr">
        <is>
          <t>SZ</t>
        </is>
      </c>
      <c r="O28" s="4" t="n"/>
    </row>
    <row r="29">
      <c r="B29" s="4" t="inlineStr">
        <is>
          <t>KLOZET,HELA</t>
        </is>
      </c>
      <c r="C29" s="4" t="n">
        <v>10</v>
      </c>
      <c r="D29" s="4">
        <f>$C29*N(D16)</f>
        <v/>
      </c>
      <c r="E29" s="4">
        <f>$C29*N(E16)</f>
        <v/>
      </c>
      <c r="F29" s="4">
        <f>$C29*N(F16)</f>
        <v/>
      </c>
      <c r="G29" s="4">
        <f>$C29*N(G16)</f>
        <v/>
      </c>
      <c r="H29" s="4">
        <f>$C29*N(H16)</f>
        <v/>
      </c>
      <c r="I29" s="4">
        <f>$C29*N(I16)</f>
        <v/>
      </c>
      <c r="J29" s="4">
        <f>$C29*N(J16)</f>
        <v/>
      </c>
      <c r="K29" s="4">
        <f>$C29*N(K16)</f>
        <v/>
      </c>
      <c r="L29" s="4">
        <f>$C29*N(L16)</f>
        <v/>
      </c>
      <c r="M29" s="4">
        <f>$C29*N(M16)</f>
        <v/>
      </c>
      <c r="N29" s="4">
        <f>$C29*N(N16)</f>
        <v/>
      </c>
      <c r="O29" s="4" t="n"/>
    </row>
    <row r="30">
      <c r="B30" s="4" t="inlineStr">
        <is>
          <t>BANYO KÜVETİ-DUŞ</t>
        </is>
      </c>
      <c r="C30" s="4" t="n">
        <v>7</v>
      </c>
      <c r="D30" s="4">
        <f>$C30*N(D17)</f>
        <v/>
      </c>
      <c r="E30" s="4">
        <f>$C30*N(E17)</f>
        <v/>
      </c>
      <c r="F30" s="4">
        <f>$C30*N(F17)</f>
        <v/>
      </c>
      <c r="G30" s="4">
        <f>$C30*N(G17)</f>
        <v/>
      </c>
      <c r="H30" s="4">
        <f>$C30*N(H17)</f>
        <v/>
      </c>
      <c r="I30" s="4">
        <f>$C30*N(I17)</f>
        <v/>
      </c>
      <c r="J30" s="4">
        <f>$C30*N(J17)</f>
        <v/>
      </c>
      <c r="K30" s="4">
        <f>$C30*N(K17)</f>
        <v/>
      </c>
      <c r="L30" s="4">
        <f>$C30*N(L17)</f>
        <v/>
      </c>
      <c r="M30" s="4">
        <f>$C30*N(M17)</f>
        <v/>
      </c>
      <c r="N30" s="4">
        <f>$C30*N(N17)</f>
        <v/>
      </c>
      <c r="O30" s="4" t="n"/>
    </row>
    <row r="31">
      <c r="B31" s="4" t="inlineStr">
        <is>
          <t>SİFON,EVİYE</t>
        </is>
      </c>
      <c r="C31" s="4" t="n">
        <v>4</v>
      </c>
      <c r="D31" s="4">
        <f>$C31*N(D18)</f>
        <v/>
      </c>
      <c r="E31" s="4">
        <f>$C31*N(E18)</f>
        <v/>
      </c>
      <c r="F31" s="4">
        <f>$C31*N(F18)</f>
        <v/>
      </c>
      <c r="G31" s="4">
        <f>$C31*N(G18)</f>
        <v/>
      </c>
      <c r="H31" s="4">
        <f>$C31*N(H18)</f>
        <v/>
      </c>
      <c r="I31" s="4">
        <f>$C31*N(I18)</f>
        <v/>
      </c>
      <c r="J31" s="4">
        <f>$C31*N(J18)</f>
        <v/>
      </c>
      <c r="K31" s="4">
        <f>$C31*N(K18)</f>
        <v/>
      </c>
      <c r="L31" s="4">
        <f>$C31*N(L18)</f>
        <v/>
      </c>
      <c r="M31" s="4">
        <f>$C31*N(M18)</f>
        <v/>
      </c>
      <c r="N31" s="4">
        <f>$C31*N(N18)</f>
        <v/>
      </c>
      <c r="O31" s="4" t="n"/>
    </row>
    <row r="32">
      <c r="B32" s="4" t="inlineStr">
        <is>
          <t>İKİ GÖZLÜ EVİYE</t>
        </is>
      </c>
      <c r="C32" s="4" t="n">
        <v>8</v>
      </c>
      <c r="D32" s="4">
        <f>$C32*N(D19)</f>
        <v/>
      </c>
      <c r="E32" s="4">
        <f>$C32*N(E19)</f>
        <v/>
      </c>
      <c r="F32" s="4">
        <f>$C32*N(F19)</f>
        <v/>
      </c>
      <c r="G32" s="4">
        <f>$C32*N(G19)</f>
        <v/>
      </c>
      <c r="H32" s="4">
        <f>$C32*N(H19)</f>
        <v/>
      </c>
      <c r="I32" s="4">
        <f>$C32*N(I19)</f>
        <v/>
      </c>
      <c r="J32" s="4">
        <f>$C32*N(J19)</f>
        <v/>
      </c>
      <c r="K32" s="4">
        <f>$C32*N(K19)</f>
        <v/>
      </c>
      <c r="L32" s="4">
        <f>$C32*N(L19)</f>
        <v/>
      </c>
      <c r="M32" s="4">
        <f>$C32*N(M19)</f>
        <v/>
      </c>
      <c r="N32" s="4">
        <f>$C32*N(N19)</f>
        <v/>
      </c>
      <c r="O32" s="4" t="n"/>
    </row>
    <row r="33">
      <c r="B33" s="4" t="inlineStr">
        <is>
          <t>LAVABO</t>
        </is>
      </c>
      <c r="C33" s="4" t="n">
        <v>2</v>
      </c>
      <c r="D33" s="4">
        <f>$C33*N(D20)</f>
        <v/>
      </c>
      <c r="E33" s="4">
        <f>$C33*N(E20)</f>
        <v/>
      </c>
      <c r="F33" s="4">
        <f>$C33*N(F20)</f>
        <v/>
      </c>
      <c r="G33" s="4">
        <f>$C33*N(G20)</f>
        <v/>
      </c>
      <c r="H33" s="4">
        <f>$C33*N(H20)</f>
        <v/>
      </c>
      <c r="I33" s="4">
        <f>$C33*N(I20)</f>
        <v/>
      </c>
      <c r="J33" s="4">
        <f>$C33*N(J20)</f>
        <v/>
      </c>
      <c r="K33" s="4">
        <f>$C33*N(K20)</f>
        <v/>
      </c>
      <c r="L33" s="4">
        <f>$C33*N(L20)</f>
        <v/>
      </c>
      <c r="M33" s="4">
        <f>$C33*N(M20)</f>
        <v/>
      </c>
      <c r="N33" s="4">
        <f>$C33*N(N20)</f>
        <v/>
      </c>
      <c r="O33" s="4" t="n"/>
    </row>
    <row r="34">
      <c r="B34" s="4" t="inlineStr">
        <is>
          <t>YERSÜZGECİ</t>
        </is>
      </c>
      <c r="C34" s="4" t="n">
        <v>2</v>
      </c>
      <c r="D34" s="4">
        <f>$C34*N(D21)</f>
        <v/>
      </c>
      <c r="E34" s="4">
        <f>$C34*N(E21)</f>
        <v/>
      </c>
      <c r="F34" s="4">
        <f>$C34*N(F21)</f>
        <v/>
      </c>
      <c r="G34" s="4">
        <f>$C34*N(G21)</f>
        <v/>
      </c>
      <c r="H34" s="4">
        <f>$C34*N(H21)</f>
        <v/>
      </c>
      <c r="I34" s="4">
        <f>$C34*N(I21)</f>
        <v/>
      </c>
      <c r="J34" s="4">
        <f>$C34*N(J21)</f>
        <v/>
      </c>
      <c r="K34" s="4">
        <f>$C34*N(K21)</f>
        <v/>
      </c>
      <c r="L34" s="4">
        <f>$C34*N(L21)</f>
        <v/>
      </c>
      <c r="M34" s="4">
        <f>$C34*N(M21)</f>
        <v/>
      </c>
      <c r="N34" s="4">
        <f>$C34*N(N21)</f>
        <v/>
      </c>
      <c r="O34" s="4" t="n"/>
    </row>
    <row r="35">
      <c r="B35" s="4" t="inlineStr">
        <is>
          <t>ÇAMAŞIR,BUL.MAK</t>
        </is>
      </c>
      <c r="C35" s="4" t="n">
        <v>4</v>
      </c>
      <c r="D35" s="4">
        <f>$C35*N(D22)</f>
        <v/>
      </c>
      <c r="E35" s="4">
        <f>$C35*N(E22)</f>
        <v/>
      </c>
      <c r="F35" s="4">
        <f>$C35*N(F22)</f>
        <v/>
      </c>
      <c r="G35" s="4">
        <f>$C35*N(G22)</f>
        <v/>
      </c>
      <c r="H35" s="4">
        <f>$C35*N(H22)</f>
        <v/>
      </c>
      <c r="I35" s="4">
        <f>$C35*N(I22)</f>
        <v/>
      </c>
      <c r="J35" s="4">
        <f>$C35*N(J22)</f>
        <v/>
      </c>
      <c r="K35" s="4">
        <f>$C35*N(K22)</f>
        <v/>
      </c>
      <c r="L35" s="4">
        <f>$C35*N(L22)</f>
        <v/>
      </c>
      <c r="M35" s="4">
        <f>$C35*N(M22)</f>
        <v/>
      </c>
      <c r="N35" s="4">
        <f>$C35*N(N22)</f>
        <v/>
      </c>
      <c r="O35" s="4" t="n"/>
    </row>
    <row r="36">
      <c r="B36" s="4" t="inlineStr">
        <is>
          <t>PİSUVAR</t>
        </is>
      </c>
      <c r="C36" s="4" t="n">
        <v>2</v>
      </c>
      <c r="D36" s="4">
        <f>$C36*N(D23)</f>
        <v/>
      </c>
      <c r="E36" s="4">
        <f>$C36*N(E23)</f>
        <v/>
      </c>
      <c r="F36" s="4">
        <f>$C36*N(F23)</f>
        <v/>
      </c>
      <c r="G36" s="4">
        <f>$C36*N(G23)</f>
        <v/>
      </c>
      <c r="H36" s="4">
        <f>$C36*N(H23)</f>
        <v/>
      </c>
      <c r="I36" s="4">
        <f>$C36*N(I23)</f>
        <v/>
      </c>
      <c r="J36" s="4">
        <f>$C36*N(J23)</f>
        <v/>
      </c>
      <c r="K36" s="4">
        <f>$C36*N(K23)</f>
        <v/>
      </c>
      <c r="L36" s="4">
        <f>$C36*N(L23)</f>
        <v/>
      </c>
      <c r="M36" s="4">
        <f>$C36*N(M23)</f>
        <v/>
      </c>
      <c r="N36" s="4">
        <f>$C36*N(N23)</f>
        <v/>
      </c>
      <c r="O36" s="4" t="n"/>
    </row>
    <row r="37">
      <c r="B37" s="4" t="inlineStr">
        <is>
          <t>IZGARA (Ø100)</t>
        </is>
      </c>
      <c r="C37" s="4" t="n">
        <v>8</v>
      </c>
      <c r="D37" s="4">
        <f>$C37*N(D24)</f>
        <v/>
      </c>
      <c r="E37" s="4">
        <f>$C37*N(E24)</f>
        <v/>
      </c>
      <c r="F37" s="4">
        <f>$C37*N(F24)</f>
        <v/>
      </c>
      <c r="G37" s="4">
        <f>$C37*N(G24)</f>
        <v/>
      </c>
      <c r="H37" s="4">
        <f>$C37*N(H24)</f>
        <v/>
      </c>
      <c r="I37" s="4">
        <f>$C37*N(I24)</f>
        <v/>
      </c>
      <c r="J37" s="4">
        <f>$C37*N(J24)</f>
        <v/>
      </c>
      <c r="K37" s="4">
        <f>$C37*N(K24)</f>
        <v/>
      </c>
      <c r="L37" s="4">
        <f>$C37*N(L24)</f>
        <v/>
      </c>
      <c r="M37" s="4">
        <f>$C37*N(M24)</f>
        <v/>
      </c>
      <c r="N37" s="4">
        <f>$C37*N(N24)</f>
        <v/>
      </c>
      <c r="O37" s="4" t="n"/>
    </row>
    <row r="38">
      <c r="B38" s="6" t="inlineStr">
        <is>
          <t>TOPLAM</t>
        </is>
      </c>
      <c r="C38" s="4" t="n"/>
      <c r="D38" s="6">
        <f>SUM(D29:D37)</f>
        <v/>
      </c>
      <c r="E38" s="6">
        <f>SUM(E29:E37)</f>
        <v/>
      </c>
      <c r="F38" s="6">
        <f>SUM(F29:F37)</f>
        <v/>
      </c>
      <c r="G38" s="6">
        <f>SUM(G29:G37)</f>
        <v/>
      </c>
      <c r="H38" s="6">
        <f>SUM(H29:H37)</f>
        <v/>
      </c>
      <c r="I38" s="6">
        <f>SUM(I29:I37)</f>
        <v/>
      </c>
      <c r="J38" s="6">
        <f>SUM(J29:J37)</f>
        <v/>
      </c>
      <c r="K38" s="6">
        <f>SUM(K29:K37)</f>
        <v/>
      </c>
      <c r="L38" s="6">
        <f>SUM(L29:L37)</f>
        <v/>
      </c>
      <c r="M38" s="6">
        <f>SUM(M29:M37)</f>
        <v/>
      </c>
      <c r="N38" s="6">
        <f>SUM(N29:N37)</f>
        <v/>
      </c>
      <c r="O38" s="6">
        <f>SUM(D38:N38)</f>
        <v/>
      </c>
    </row>
    <row r="39">
      <c r="B39" s="4" t="inlineStr">
        <is>
          <t>Qww = 0,5 x √ΣSB (l/s)</t>
        </is>
      </c>
      <c r="C39" s="4" t="n"/>
      <c r="D39" s="4">
        <f>ROUND(0.5*SQRT(D38),2)</f>
        <v/>
      </c>
      <c r="E39" s="4">
        <f>ROUND(0.5*SQRT(E38),2)</f>
        <v/>
      </c>
      <c r="F39" s="4">
        <f>ROUND(0.5*SQRT(F38),2)</f>
        <v/>
      </c>
      <c r="G39" s="4">
        <f>ROUND(0.5*SQRT(G38),2)</f>
        <v/>
      </c>
      <c r="H39" s="4">
        <f>ROUND(0.5*SQRT(H38),2)</f>
        <v/>
      </c>
      <c r="I39" s="4">
        <f>ROUND(0.5*SQRT(I38),2)</f>
        <v/>
      </c>
      <c r="J39" s="4">
        <f>ROUND(0.5*SQRT(J38),2)</f>
        <v/>
      </c>
      <c r="K39" s="4">
        <f>ROUND(0.5*SQRT(K38),2)</f>
        <v/>
      </c>
      <c r="L39" s="4">
        <f>ROUND(0.5*SQRT(L38),2)</f>
        <v/>
      </c>
      <c r="M39" s="4">
        <f>ROUND(0.5*SQRT(M38),2)</f>
        <v/>
      </c>
      <c r="N39" s="4">
        <f>ROUND(0.5*SQRT(N38),2)</f>
        <v/>
      </c>
      <c r="O39" s="4" t="n"/>
    </row>
    <row r="42">
      <c r="C42" s="3" t="inlineStr">
        <is>
          <t>BORU ÇAPI</t>
        </is>
      </c>
      <c r="D42" s="3" t="inlineStr">
        <is>
          <t>K.B.</t>
        </is>
      </c>
      <c r="E42" s="3" t="inlineStr">
        <is>
          <t>YÜK DEĞERİ</t>
        </is>
      </c>
    </row>
    <row r="43">
      <c r="C43" s="4" t="n">
        <v>50</v>
      </c>
      <c r="D43" s="4" t="n">
        <v>10</v>
      </c>
      <c r="E43" s="4" t="n">
        <v>10</v>
      </c>
    </row>
    <row r="44">
      <c r="C44" s="4" t="n">
        <v>70</v>
      </c>
      <c r="D44" s="4" t="n">
        <v>40</v>
      </c>
      <c r="E44" s="4" t="n">
        <v>25</v>
      </c>
    </row>
    <row r="45">
      <c r="C45" s="4" t="n">
        <v>100</v>
      </c>
      <c r="D45" s="4" t="n">
        <v>150</v>
      </c>
      <c r="E45" s="4" t="n">
        <v>100</v>
      </c>
    </row>
    <row r="46">
      <c r="C46" s="4" t="n">
        <v>125</v>
      </c>
      <c r="D46" s="4" t="n">
        <v>400</v>
      </c>
      <c r="E46" s="4" t="n">
        <v>270</v>
      </c>
    </row>
    <row r="47">
      <c r="C47" s="4" t="n">
        <v>150</v>
      </c>
      <c r="D47" s="4" t="n">
        <v>900</v>
      </c>
      <c r="E47" s="4" t="n">
        <v>600</v>
      </c>
    </row>
    <row r="48">
      <c r="C48" s="4" t="n">
        <v>200</v>
      </c>
      <c r="D48" s="4" t="n">
        <v>2200</v>
      </c>
      <c r="E48" s="4" t="n">
        <v>1550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PİS SU POMPASI HESAPLARI (TS EN 12056-2 / -4) - HER ÇUKUR İÇİN AYRI</t>
        </is>
      </c>
    </row>
    <row r="2">
      <c r="A2" t="inlineStr">
        <is>
          <t>Qww = K x √ΣSB  (K = 0,5 konut) ;  Hm = Hgeo + sürtünme (Hazen-Williams, C=140) + özel kayıplar ;  Vaktif ≥ Qp / (4 x Z)</t>
        </is>
      </c>
    </row>
    <row r="4">
      <c r="A4" s="3" t="inlineStr">
        <is>
          <t>HESAP ADIMI</t>
        </is>
      </c>
      <c r="B4" s="3" t="inlineStr">
        <is>
          <t>PİS SU ÇUKURU-1 (B1 BLOK)</t>
        </is>
      </c>
      <c r="C4" s="3" t="inlineStr">
        <is>
          <t>PİS SU ÇUKURU-2 (B2 BLOK)</t>
        </is>
      </c>
      <c r="D4" s="3" t="inlineStr">
        <is>
          <t>PİS SU ÇUKURU-3 (B3 BLOK)</t>
        </is>
      </c>
      <c r="E4" s="3" t="inlineStr">
        <is>
          <t>BİRİM</t>
        </is>
      </c>
    </row>
    <row r="5">
      <c r="A5" s="5" t="inlineStr">
        <is>
          <t>Toplandığı yer</t>
        </is>
      </c>
      <c r="B5" s="4" t="inlineStr">
        <is>
          <t>Bodrum: 5 yer süzgeci + 1 ızgara</t>
        </is>
      </c>
      <c r="C5" s="4" t="inlineStr">
        <is>
          <t>Bodrum birimi (P9+P10) + 7 süzgeç</t>
        </is>
      </c>
      <c r="D5" s="4" t="inlineStr">
        <is>
          <t>Bodrum birimi (P9+P10) + 7 süzgeç</t>
        </is>
      </c>
      <c r="E5" s="4" t="inlineStr"/>
    </row>
    <row r="6">
      <c r="A6" s="5" t="inlineStr">
        <is>
          <t>Toplam su birimi ΣSB</t>
        </is>
      </c>
      <c r="B6" s="4" t="n">
        <v>18</v>
      </c>
      <c r="C6" s="4" t="n">
        <v>64</v>
      </c>
      <c r="D6" s="4" t="n">
        <v>64</v>
      </c>
      <c r="E6" s="4" t="inlineStr">
        <is>
          <t>SB</t>
        </is>
      </c>
    </row>
    <row r="7">
      <c r="A7" s="5" t="inlineStr">
        <is>
          <t>Atık su debisi Qww = 0,5√ΣSB</t>
        </is>
      </c>
      <c r="B7" s="4" t="n">
        <v>2.12</v>
      </c>
      <c r="C7" s="4" t="n">
        <v>4</v>
      </c>
      <c r="D7" s="4" t="n">
        <v>4</v>
      </c>
      <c r="E7" s="4" t="inlineStr">
        <is>
          <t>l/s</t>
        </is>
      </c>
    </row>
    <row r="8">
      <c r="A8" s="5" t="inlineStr">
        <is>
          <t>Atık su debisi</t>
        </is>
      </c>
      <c r="B8" s="4" t="n">
        <v>7.64</v>
      </c>
      <c r="C8" s="4" t="n">
        <v>14.4</v>
      </c>
      <c r="D8" s="4" t="n">
        <v>14.4</v>
      </c>
      <c r="E8" s="4" t="inlineStr">
        <is>
          <t>m³/h</t>
        </is>
      </c>
    </row>
    <row r="9">
      <c r="A9" s="5" t="inlineStr">
        <is>
          <t>Basma hattı çapı</t>
        </is>
      </c>
      <c r="B9" s="4" t="inlineStr">
        <is>
          <t>DN50</t>
        </is>
      </c>
      <c r="C9" s="4" t="inlineStr">
        <is>
          <t>DN50</t>
        </is>
      </c>
      <c r="D9" s="4" t="inlineStr">
        <is>
          <t>DN50</t>
        </is>
      </c>
      <c r="E9" s="4" t="inlineStr"/>
    </row>
    <row r="10">
      <c r="A10" s="5" t="inlineStr">
        <is>
          <t>Basma hattında hız (Qww)</t>
        </is>
      </c>
      <c r="B10" s="4" t="n">
        <v>1.08</v>
      </c>
      <c r="C10" s="4" t="n">
        <v>2.04</v>
      </c>
      <c r="D10" s="4" t="n">
        <v>2.04</v>
      </c>
      <c r="E10" s="4" t="inlineStr">
        <is>
          <t>m/s</t>
        </is>
      </c>
    </row>
    <row r="11">
      <c r="A11" s="5" t="inlineStr">
        <is>
          <t>Geometrik yükseklik Hgeo = çukur derinliği + bodrum kat yük. - 0,40</t>
        </is>
      </c>
      <c r="B11" s="4" t="n">
        <v>3.45</v>
      </c>
      <c r="C11" s="4" t="n">
        <v>3.45</v>
      </c>
      <c r="D11" s="4" t="n">
        <v>3.45</v>
      </c>
      <c r="E11" s="4" t="inlineStr">
        <is>
          <t>mSS</t>
        </is>
      </c>
    </row>
    <row r="12">
      <c r="A12" s="5" t="inlineStr">
        <is>
          <t>Basma hattı uzunluğu (kabul)</t>
        </is>
      </c>
      <c r="B12" s="4" t="inlineStr">
        <is>
          <t>15</t>
        </is>
      </c>
      <c r="C12" s="4" t="inlineStr">
        <is>
          <t>15</t>
        </is>
      </c>
      <c r="D12" s="4" t="inlineStr">
        <is>
          <t>15</t>
        </is>
      </c>
      <c r="E12" s="4" t="inlineStr">
        <is>
          <t>m</t>
        </is>
      </c>
    </row>
    <row r="13">
      <c r="A13" s="5" t="inlineStr">
        <is>
          <t>Özel kayıp katsayısı Σζ (çek valf+vana+3 dirsek+çıkış)</t>
        </is>
      </c>
      <c r="B13" s="4" t="inlineStr">
        <is>
          <t>5,3</t>
        </is>
      </c>
      <c r="C13" s="4" t="inlineStr">
        <is>
          <t>5,3</t>
        </is>
      </c>
      <c r="D13" s="4" t="inlineStr">
        <is>
          <t>5,3</t>
        </is>
      </c>
      <c r="E13" s="4" t="inlineStr"/>
    </row>
    <row r="14">
      <c r="A14" s="5" t="inlineStr">
        <is>
          <t>Gerekli basma yüksekliği Hm (Qww)</t>
        </is>
      </c>
      <c r="B14" s="4" t="n">
        <v>4.18</v>
      </c>
      <c r="C14" s="4" t="n">
        <v>5.9</v>
      </c>
      <c r="D14" s="4" t="n">
        <v>5.9</v>
      </c>
      <c r="E14" s="4" t="inlineStr">
        <is>
          <t>mSS</t>
        </is>
      </c>
    </row>
    <row r="15">
      <c r="A15" s="5" t="inlineStr">
        <is>
          <t>Hm x 1,10 emniyet</t>
        </is>
      </c>
      <c r="B15" s="4" t="n">
        <v>4.59</v>
      </c>
      <c r="C15" s="4" t="n">
        <v>6.49</v>
      </c>
      <c r="D15" s="4" t="n">
        <v>6.49</v>
      </c>
      <c r="E15" s="4" t="inlineStr">
        <is>
          <t>mSS</t>
        </is>
      </c>
    </row>
    <row r="16">
      <c r="A16" s="5" t="inlineStr">
        <is>
          <t>SEÇİLEN POMPA DEBİSİ (1 asıl + 1 yedek, dalgıç-parçalayıcı)</t>
        </is>
      </c>
      <c r="B16" s="4" t="n">
        <v>10</v>
      </c>
      <c r="C16" s="4" t="n">
        <v>15</v>
      </c>
      <c r="D16" s="4" t="n">
        <v>15</v>
      </c>
      <c r="E16" s="4" t="inlineStr">
        <is>
          <t>m³/h</t>
        </is>
      </c>
    </row>
    <row r="17">
      <c r="A17" s="5" t="inlineStr">
        <is>
          <t>SEÇİLEN POMPA BASMA YÜKSEKLİĞİ</t>
        </is>
      </c>
      <c r="B17" s="4" t="n">
        <v>5.5</v>
      </c>
      <c r="C17" s="4" t="n">
        <v>7</v>
      </c>
      <c r="D17" s="4" t="n">
        <v>7</v>
      </c>
      <c r="E17" s="4" t="inlineStr">
        <is>
          <t>mSS</t>
        </is>
      </c>
    </row>
    <row r="18">
      <c r="A18" s="5" t="inlineStr">
        <is>
          <t>Seçilen debide sistem direnci</t>
        </is>
      </c>
      <c r="B18" s="4" t="n">
        <v>4.67</v>
      </c>
      <c r="C18" s="4" t="n">
        <v>6.1</v>
      </c>
      <c r="D18" s="4" t="n">
        <v>6.1</v>
      </c>
      <c r="E18" s="4" t="inlineStr">
        <is>
          <t>mSS</t>
        </is>
      </c>
    </row>
    <row r="19">
      <c r="A19" s="5" t="inlineStr">
        <is>
          <t>Seçilen debide basma hattı hızı (0,7-2,3 m/s)</t>
        </is>
      </c>
      <c r="B19" s="4" t="n">
        <v>1.41</v>
      </c>
      <c r="C19" s="4" t="n">
        <v>2.12</v>
      </c>
      <c r="D19" s="4" t="n">
        <v>2.12</v>
      </c>
      <c r="E19" s="4" t="inlineStr">
        <is>
          <t>m/s</t>
        </is>
      </c>
    </row>
    <row r="20">
      <c r="A20" s="5" t="inlineStr">
        <is>
          <t>Pompa debisi ≥ Qww ve basma yük. ≥ sistem direnci</t>
        </is>
      </c>
      <c r="B20" s="4" t="inlineStr">
        <is>
          <t>UYGUNDUR</t>
        </is>
      </c>
      <c r="C20" s="4" t="inlineStr">
        <is>
          <t>UYGUNDUR</t>
        </is>
      </c>
      <c r="D20" s="4" t="inlineStr">
        <is>
          <t>UYGUNDUR</t>
        </is>
      </c>
      <c r="E20" s="4" t="inlineStr"/>
    </row>
    <row r="21">
      <c r="A21" s="5" t="inlineStr">
        <is>
          <t>PİS SU ÇUKURU ÖLÇÜSÜ (en x boy x derinlik)</t>
        </is>
      </c>
      <c r="B21" s="4" t="inlineStr">
        <is>
          <t>70x70x85</t>
        </is>
      </c>
      <c r="C21" s="4" t="inlineStr">
        <is>
          <t>80x80x100</t>
        </is>
      </c>
      <c r="D21" s="4" t="inlineStr">
        <is>
          <t>80x80x100</t>
        </is>
      </c>
      <c r="E21" s="4" t="inlineStr">
        <is>
          <t>cm</t>
        </is>
      </c>
    </row>
    <row r="22">
      <c r="A22" s="5" t="inlineStr">
        <is>
          <t>Çukur aktif hacmi (min seviye 0,30 m, pay 0,10 m) / gerekli Qp/(4·Z), Z = 15</t>
        </is>
      </c>
      <c r="B22" s="4" t="inlineStr">
        <is>
          <t>0,22 / 0,17</t>
        </is>
      </c>
      <c r="C22" s="4" t="inlineStr">
        <is>
          <t>0,38 / 0,25</t>
        </is>
      </c>
      <c r="D22" s="4" t="inlineStr">
        <is>
          <t>0,38 / 0,25</t>
        </is>
      </c>
      <c r="E22" s="4" t="inlineStr">
        <is>
          <t>m³</t>
        </is>
      </c>
    </row>
    <row r="23">
      <c r="A23" s="5" t="inlineStr">
        <is>
          <t>Motor gücü P = ρ·g·Q·H/η (η = 0,40) → seçilen motor</t>
        </is>
      </c>
      <c r="B23" s="4" t="inlineStr">
        <is>
          <t>0,37 → 0,55 kW</t>
        </is>
      </c>
      <c r="C23" s="4" t="inlineStr">
        <is>
          <t>0,72 → 1,1 kW</t>
        </is>
      </c>
      <c r="D23" s="4" t="inlineStr">
        <is>
          <t>0,72 → 1,1 kW</t>
        </is>
      </c>
      <c r="E23" s="4" t="inlineStr">
        <is>
          <t>kW</t>
        </is>
      </c>
    </row>
    <row r="25">
      <c r="A25" t="inlineStr">
        <is>
          <t>*Pompalar dalgıç-parçalayıcı tip, 1 asıl + 1 yedek, seviye şamandıralı otomatik çalışmalı ve yüksek seviye alarmlı olacaktır.</t>
        </is>
      </c>
    </row>
    <row r="26">
      <c r="A26" t="inlineStr">
        <is>
          <t>*Basma hattı kanal geri tepmesine karşı çek valfli ve en yüksek kanal seviyesinin üstünden (geri tepme döngüsü) bağlanacaktır.</t>
        </is>
      </c>
    </row>
    <row r="27">
      <c r="A27" t="inlineStr">
        <is>
          <t>*Basma hattı uzunluğu şema ölçeksiz olduğundan 15 m kabul edilmiştir; uygulamada boy farklıysa Hm yeniden kontrol edilmelidir.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6" customWidth="1" min="1" max="1"/>
    <col width="24" customWidth="1" min="2" max="2"/>
    <col width="12" customWidth="1" min="3" max="3"/>
  </cols>
  <sheetData>
    <row r="1">
      <c r="A1" s="7" t="inlineStr">
        <is>
          <t>KULLANMA SUYU DEPOSU VE HİDROFOR HESABI</t>
        </is>
      </c>
    </row>
    <row r="3">
      <c r="A3" s="3" t="inlineStr">
        <is>
          <t>HESAP ADIMI</t>
        </is>
      </c>
      <c r="B3" s="3" t="inlineStr">
        <is>
          <t>DEĞER</t>
        </is>
      </c>
      <c r="C3" s="3" t="inlineStr">
        <is>
          <t>BİRİM</t>
        </is>
      </c>
    </row>
    <row r="4">
      <c r="A4" s="5" t="inlineStr">
        <is>
          <t>Bağımsız birim (daire) sayısı</t>
        </is>
      </c>
      <c r="B4" s="4" t="inlineStr">
        <is>
          <t>38 (B1 12, B2 13, B3 13)</t>
        </is>
      </c>
      <c r="C4" s="4" t="inlineStr">
        <is>
          <t>adet</t>
        </is>
      </c>
    </row>
    <row r="5">
      <c r="A5" s="5" t="inlineStr">
        <is>
          <t>Günlük kullanma suyu ihtiyacı</t>
        </is>
      </c>
      <c r="B5" s="4" t="n">
        <v>16</v>
      </c>
      <c r="C5" s="4" t="inlineStr">
        <is>
          <t>m³/gün</t>
        </is>
      </c>
    </row>
    <row r="6">
      <c r="A6" s="5" t="inlineStr">
        <is>
          <t>Daire başına günlük ihtiyaç</t>
        </is>
      </c>
      <c r="B6" s="4" t="n">
        <v>421</v>
      </c>
      <c r="C6" s="4" t="inlineStr">
        <is>
          <t>l/gün</t>
        </is>
      </c>
    </row>
    <row r="7">
      <c r="A7" s="5" t="inlineStr">
        <is>
          <t>KULLANMA SUYU DEPOSU (1 günlük ihtiyaç)</t>
        </is>
      </c>
      <c r="B7" s="4" t="inlineStr">
        <is>
          <t>16 m³ (16 ton)</t>
        </is>
      </c>
      <c r="C7" s="4" t="inlineStr"/>
    </row>
    <row r="8">
      <c r="A8" s="5" t="inlineStr">
        <is>
          <t>Hidrofor debisi Q = günlük ihtiyaç x kullanma faktörü (0.6)</t>
        </is>
      </c>
      <c r="B8" s="4" t="n">
        <v>9.6</v>
      </c>
      <c r="C8" s="4" t="inlineStr">
        <is>
          <t>m³/h</t>
        </is>
      </c>
    </row>
    <row r="9">
      <c r="A9" s="5" t="inlineStr">
        <is>
          <t>Statik yükseklik (bina yüksekliği)</t>
        </is>
      </c>
      <c r="B9" s="4" t="n">
        <v>21</v>
      </c>
      <c r="C9" s="4" t="inlineStr">
        <is>
          <t>mSS</t>
        </is>
      </c>
    </row>
    <row r="10">
      <c r="A10" s="5" t="inlineStr">
        <is>
          <t>Kritik devre boru kayıpları (TEMİZ SU KRİTİK DEVRE sayfası)</t>
        </is>
      </c>
      <c r="B10" s="4" t="n">
        <v>8.49</v>
      </c>
      <c r="C10" s="4" t="inlineStr">
        <is>
          <t>mSS</t>
        </is>
      </c>
    </row>
    <row r="11">
      <c r="A11" s="5" t="inlineStr">
        <is>
          <t>Akma basıncı + sayaç kaybı</t>
        </is>
      </c>
      <c r="B11" s="4" t="n">
        <v>10</v>
      </c>
      <c r="C11" s="4" t="inlineStr">
        <is>
          <t>mSS</t>
        </is>
      </c>
    </row>
    <row r="12">
      <c r="A12" s="5" t="inlineStr">
        <is>
          <t>Hidrofor kollektörü / emme kayıpları</t>
        </is>
      </c>
      <c r="B12" s="4" t="n">
        <v>2</v>
      </c>
      <c r="C12" s="4" t="inlineStr">
        <is>
          <t>mSS</t>
        </is>
      </c>
    </row>
    <row r="13">
      <c r="A13" s="5" t="inlineStr">
        <is>
          <t>Gerekli basma yüksekliği</t>
        </is>
      </c>
      <c r="B13" s="4" t="n">
        <v>41.5</v>
      </c>
      <c r="C13" s="4" t="inlineStr">
        <is>
          <t>mSS</t>
        </is>
      </c>
    </row>
    <row r="14">
      <c r="A14" s="5" t="inlineStr">
        <is>
          <t>HİDROFOR ALT ÇALIŞMA BASINCI (seçilen)</t>
        </is>
      </c>
      <c r="B14" s="4" t="n">
        <v>45</v>
      </c>
      <c r="C14" s="4" t="inlineStr">
        <is>
          <t>mSS</t>
        </is>
      </c>
    </row>
    <row r="15">
      <c r="A15" s="5" t="inlineStr">
        <is>
          <t>HİDROFOR ÜST ÇALIŞMA BASINCI (frekans konvertörlü, +1 bar)</t>
        </is>
      </c>
      <c r="B15" s="4" t="n">
        <v>55</v>
      </c>
      <c r="C15" s="4" t="inlineStr">
        <is>
          <t>mSS</t>
        </is>
      </c>
    </row>
    <row r="16">
      <c r="A16" s="5" t="inlineStr">
        <is>
          <t>SEÇİLEN HİDROFOR (Q ≥ hesaplanan)</t>
        </is>
      </c>
      <c r="B16" s="4" t="inlineStr">
        <is>
          <t>9,75 m³/h - 45 mSS</t>
        </is>
      </c>
      <c r="C16" s="4" t="inlineStr">
        <is>
          <t>1 asıl + 1 yedek</t>
        </is>
      </c>
    </row>
    <row r="17">
      <c r="A17" s="5" t="inlineStr">
        <is>
          <t>Pompa motor gücü P = Q·H/(367·η), η = 0,60</t>
        </is>
      </c>
      <c r="B17" s="4" t="inlineStr">
        <is>
          <t>1,99 → 3,0 kW (pompa başına)</t>
        </is>
      </c>
      <c r="C17" s="4" t="inlineStr"/>
    </row>
    <row r="18">
      <c r="A18" s="5" t="inlineStr">
        <is>
          <t>Kontrol</t>
        </is>
      </c>
      <c r="B18" s="4" t="inlineStr">
        <is>
          <t>UYGUNDUR</t>
        </is>
      </c>
      <c r="C1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YAĞMUR SUYU İNİŞ BORUSU ÇAP HESABI (HER BLOK)</t>
        </is>
      </c>
    </row>
    <row r="3">
      <c r="A3" s="3" t="inlineStr">
        <is>
          <t>HESAP ADIMI</t>
        </is>
      </c>
      <c r="B3" s="3" t="inlineStr">
        <is>
          <t>B1 BLOK</t>
        </is>
      </c>
      <c r="C3" s="3" t="inlineStr">
        <is>
          <t>B2 BLOK</t>
        </is>
      </c>
      <c r="D3" s="3" t="inlineStr">
        <is>
          <t>B3 BLOK</t>
        </is>
      </c>
      <c r="E3" s="3" t="inlineStr">
        <is>
          <t>BİRİM</t>
        </is>
      </c>
    </row>
    <row r="4">
      <c r="A4" s="4" t="inlineStr">
        <is>
          <t>P = Çatı alanı</t>
        </is>
      </c>
      <c r="B4" s="4" t="n">
        <v>237</v>
      </c>
      <c r="C4" s="4" t="n">
        <v>237</v>
      </c>
      <c r="D4" s="4" t="n">
        <v>237</v>
      </c>
      <c r="E4" s="4" t="inlineStr">
        <is>
          <t>m²</t>
        </is>
      </c>
    </row>
    <row r="5">
      <c r="A5" s="4" t="inlineStr">
        <is>
          <t>S = P x 0,75 / 1</t>
        </is>
      </c>
      <c r="B5" s="4">
        <f>ROUND(B4*0.75,2)</f>
        <v/>
      </c>
      <c r="C5" s="4">
        <f>ROUND(C4*0.75,2)</f>
        <v/>
      </c>
      <c r="D5" s="4">
        <f>ROUND(D4*0.75,2)</f>
        <v/>
      </c>
      <c r="E5" s="4" t="inlineStr">
        <is>
          <t>cm²</t>
        </is>
      </c>
    </row>
    <row r="6">
      <c r="A6" s="4" t="inlineStr">
        <is>
          <t>f = İniş (yağmur oluğu) adedi</t>
        </is>
      </c>
      <c r="B6" s="4" t="n">
        <v>4</v>
      </c>
      <c r="C6" s="4" t="n">
        <v>4</v>
      </c>
      <c r="D6" s="4" t="n">
        <v>4</v>
      </c>
      <c r="E6" s="4" t="inlineStr">
        <is>
          <t>adet</t>
        </is>
      </c>
    </row>
    <row r="7">
      <c r="A7" s="4" t="inlineStr">
        <is>
          <t>A = S / f</t>
        </is>
      </c>
      <c r="B7" s="4">
        <f>ROUND(B5/B6,2)</f>
        <v/>
      </c>
      <c r="C7" s="4">
        <f>ROUND(C5/C6,2)</f>
        <v/>
      </c>
      <c r="D7" s="4">
        <f>ROUND(D5/D6,2)</f>
        <v/>
      </c>
      <c r="E7" s="4" t="inlineStr">
        <is>
          <t>cm²</t>
        </is>
      </c>
    </row>
    <row r="8">
      <c r="A8" s="4" t="inlineStr">
        <is>
          <t>D = 1,13 x √A</t>
        </is>
      </c>
      <c r="B8" s="4">
        <f>ROUND(1.13*SQRT(B7),2)</f>
        <v/>
      </c>
      <c r="C8" s="4">
        <f>ROUND(1.13*SQRT(C7),2)</f>
        <v/>
      </c>
      <c r="D8" s="4">
        <f>ROUND(1.13*SQRT(D7),2)</f>
        <v/>
      </c>
      <c r="E8" s="4" t="inlineStr">
        <is>
          <t>cm</t>
        </is>
      </c>
    </row>
    <row r="9">
      <c r="A9" s="4" t="inlineStr">
        <is>
          <t>SEÇİLEN İNİŞ BORUSU</t>
        </is>
      </c>
      <c r="B9" s="4">
        <f>IF(B8&lt;7,"Ø70 PVC",IF(B8&lt;10,"Ø100 PVC","Ø125 PVC"))</f>
        <v/>
      </c>
      <c r="C9" s="4">
        <f>IF(C8&lt;7,"Ø70 PVC",IF(C8&lt;10,"Ø100 PVC","Ø125 PVC"))</f>
        <v/>
      </c>
      <c r="D9" s="4">
        <f>IF(D8&lt;7,"Ø70 PVC",IF(D8&lt;10,"Ø100 PVC","Ø125 PVC"))</f>
        <v/>
      </c>
      <c r="E9" s="4" t="inlineStr"/>
    </row>
    <row r="10">
      <c r="A10" s="4" t="inlineStr">
        <is>
          <t>Sonuç</t>
        </is>
      </c>
      <c r="B10" s="4">
        <f>IF(B8&lt;7,"Ø70'lik boru UYGUNDUR.",IF(B8&lt;10,"D&gt;7 cm olduğundan Ø100'lük boru UYGUNDUR.","Ø125'lik boru UYGUNDUR."))</f>
        <v/>
      </c>
      <c r="C10" s="4">
        <f>IF(C8&lt;7,"Ø70'lik boru UYGUNDUR.",IF(C8&lt;10,"D&gt;7 cm olduğundan Ø100'lük boru UYGUNDUR.","Ø125'lik boru UYGUNDUR."))</f>
        <v/>
      </c>
      <c r="D10" s="4">
        <f>IF(D8&lt;7,"Ø70'lik boru UYGUNDUR.",IF(D8&lt;10,"D&gt;7 cm olduğundan Ø100'lük boru UYGUNDUR.","Ø125'lik boru UYGUNDUR."))</f>
        <v/>
      </c>
      <c r="E10" s="4" t="inlineStr"/>
    </row>
    <row r="13">
      <c r="A13" t="inlineStr">
        <is>
          <t>*Yağmur suyu pis su kanalına bağlanmayacak, yağmur suyu kanalına (rögarına) verilecektir.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CİHAZ KULLANMA YERİ</t>
        </is>
      </c>
      <c r="B1" t="inlineStr">
        <is>
          <t>AKMA BASINCI</t>
        </is>
      </c>
      <c r="C1" t="inlineStr">
        <is>
          <t>DEBİ</t>
        </is>
      </c>
      <c r="D1" t="inlineStr">
        <is>
          <t>YÜK BİRİMİ</t>
        </is>
      </c>
    </row>
    <row r="2">
      <c r="B2" t="inlineStr">
        <is>
          <t>Pa</t>
        </is>
      </c>
      <c r="C2" t="inlineStr">
        <is>
          <t>l / s</t>
        </is>
      </c>
      <c r="D2" t="inlineStr">
        <is>
          <t>YB</t>
        </is>
      </c>
    </row>
    <row r="3">
      <c r="A3" t="inlineStr">
        <is>
          <t>Musluk veya boşalma vanası DN 15 mm</t>
        </is>
      </c>
      <c r="B3" t="n">
        <v>49035</v>
      </c>
      <c r="C3" t="n">
        <v>0.4</v>
      </c>
      <c r="D3" t="n">
        <v>2.5</v>
      </c>
    </row>
    <row r="4">
      <c r="A4" t="inlineStr">
        <is>
          <t>Musluk veya boşalma vanası DN 20 mm</t>
        </is>
      </c>
      <c r="B4" t="n">
        <v>49035</v>
      </c>
      <c r="C4" t="n">
        <v>1</v>
      </c>
      <c r="D4" t="n">
        <v>16</v>
      </c>
    </row>
    <row r="5">
      <c r="A5" t="inlineStr">
        <is>
          <t>Musluk veya boşalma vanası DN 25 mm</t>
        </is>
      </c>
      <c r="B5" t="n">
        <v>49035</v>
      </c>
      <c r="C5" t="n">
        <v>1.5</v>
      </c>
      <c r="D5" t="n">
        <v>36</v>
      </c>
    </row>
    <row r="6">
      <c r="A6" t="inlineStr">
        <is>
          <t>Lavabo</t>
        </is>
      </c>
      <c r="B6" t="n">
        <v>49035</v>
      </c>
      <c r="C6" t="n">
        <v>0.175</v>
      </c>
      <c r="D6" t="n">
        <v>0.5</v>
      </c>
    </row>
    <row r="7">
      <c r="A7" t="inlineStr">
        <is>
          <t>Küvetli banyo DN 15 mm</t>
        </is>
      </c>
      <c r="B7" t="n">
        <v>98070</v>
      </c>
      <c r="C7" t="n">
        <v>0.4</v>
      </c>
      <c r="D7" t="n">
        <v>2.5</v>
      </c>
    </row>
    <row r="8">
      <c r="A8" t="inlineStr">
        <is>
          <t>Küvetli banyo DN 20 mm</t>
        </is>
      </c>
      <c r="B8" t="n">
        <v>98070</v>
      </c>
      <c r="C8" t="n">
        <v>1</v>
      </c>
      <c r="D8" t="n">
        <v>16</v>
      </c>
    </row>
    <row r="9">
      <c r="A9" t="inlineStr">
        <is>
          <t>Pisuvar</t>
        </is>
      </c>
      <c r="B9" t="n">
        <v>49035</v>
      </c>
      <c r="C9" t="n">
        <v>0.125</v>
      </c>
      <c r="D9" t="n">
        <v>0.25</v>
      </c>
    </row>
    <row r="10">
      <c r="A10" t="inlineStr">
        <is>
          <t>Hela rezervuarı</t>
        </is>
      </c>
      <c r="B10" t="n">
        <v>49035</v>
      </c>
      <c r="C10" t="n">
        <v>0.125</v>
      </c>
      <c r="D10" t="n">
        <v>0.25</v>
      </c>
    </row>
    <row r="11">
      <c r="A11" t="inlineStr">
        <is>
          <t>Basınçlı hela yıkayıcısı DN 15 mm</t>
        </is>
      </c>
      <c r="B11" t="n">
        <v>127491</v>
      </c>
      <c r="C11" t="n">
        <v>0.6</v>
      </c>
      <c r="D11" t="n">
        <v>6</v>
      </c>
    </row>
    <row r="12">
      <c r="A12" t="inlineStr">
        <is>
          <t>Basınçlı hela yıkayıcısı DN 20 mm</t>
        </is>
      </c>
      <c r="B12" t="n">
        <v>117684</v>
      </c>
      <c r="C12" t="n">
        <v>0.8</v>
      </c>
      <c r="D12" t="n">
        <v>11</v>
      </c>
    </row>
    <row r="13">
      <c r="A13" t="inlineStr">
        <is>
          <t>Basınçlı hela yıkayıcısı DN 25 mm</t>
        </is>
      </c>
      <c r="B13" t="n">
        <v>39228</v>
      </c>
      <c r="C13" t="n">
        <v>1.3</v>
      </c>
      <c r="D13" t="n">
        <v>27</v>
      </c>
    </row>
    <row r="14">
      <c r="A14" t="inlineStr">
        <is>
          <t>Şofben ( 10 l/dak'yatak kadar)</t>
        </is>
      </c>
      <c r="B14" t="n">
        <v>245175</v>
      </c>
      <c r="C14" t="n">
        <v>0.175</v>
      </c>
      <c r="D14" t="n">
        <v>0.5</v>
      </c>
    </row>
    <row r="15">
      <c r="A15" t="inlineStr">
        <is>
          <t>Şofben ( 16 l/dak'yatak kadar)</t>
        </is>
      </c>
      <c r="B15" t="n">
        <v>245175</v>
      </c>
      <c r="C15" t="n">
        <v>0.25</v>
      </c>
      <c r="D15" t="n">
        <v>1</v>
      </c>
    </row>
    <row r="16">
      <c r="A16" t="inlineStr">
        <is>
          <t>Şofben ( 26 l/dak'yatak kadar)</t>
        </is>
      </c>
      <c r="B16" t="n">
        <v>245175</v>
      </c>
      <c r="C16" t="n">
        <v>0.43</v>
      </c>
      <c r="D16" t="n">
        <v>3</v>
      </c>
    </row>
    <row r="17">
      <c r="A17" t="inlineStr">
        <is>
          <t>Termosifon</t>
        </is>
      </c>
      <c r="B17" t="n">
        <v>49035</v>
      </c>
      <c r="C17" t="n">
        <v>0.4</v>
      </c>
      <c r="D17" t="n">
        <v>2.5</v>
      </c>
    </row>
    <row r="18">
      <c r="A18" t="inlineStr">
        <is>
          <t>Çamaşır, bulaşık makinası</t>
        </is>
      </c>
      <c r="B18" t="n">
        <v>49035</v>
      </c>
      <c r="C18" t="n">
        <v>0.4</v>
      </c>
      <c r="D18" t="n">
        <v>2.5</v>
      </c>
    </row>
    <row r="19">
      <c r="A19" t="inlineStr">
        <is>
          <t>1 mSS = 9807 Pa</t>
        </is>
      </c>
    </row>
    <row r="20">
      <c r="A20" t="inlineStr">
        <is>
          <t>ÇİZELGE_1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15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Sayacın Anma                             Çapı        mm DN  </t>
        </is>
      </c>
      <c r="B2" t="inlineStr">
        <is>
          <t>Sayacın su kapasitesi</t>
        </is>
      </c>
      <c r="F2" t="inlineStr">
        <is>
          <t>Sayaçtaki Basınç Kaybı(Pa)                                           İDEAL SAYAÇLAR</t>
        </is>
      </c>
    </row>
    <row r="3">
      <c r="B3" t="inlineStr">
        <is>
          <t>m3 /h</t>
        </is>
      </c>
      <c r="D3" t="n">
        <v>9807</v>
      </c>
      <c r="E3" t="n">
        <v>19641</v>
      </c>
      <c r="F3" t="n">
        <v>29421</v>
      </c>
      <c r="G3" t="n">
        <v>39228</v>
      </c>
      <c r="H3" t="n">
        <v>49035</v>
      </c>
      <c r="I3" t="n">
        <v>58842</v>
      </c>
      <c r="J3" t="n">
        <v>68649</v>
      </c>
      <c r="K3" t="n">
        <v>78456</v>
      </c>
      <c r="L3" t="n">
        <v>88263</v>
      </c>
      <c r="M3" t="n">
        <v>98070</v>
      </c>
    </row>
    <row r="4">
      <c r="A4" t="n">
        <v>20</v>
      </c>
      <c r="B4" t="n">
        <v>3</v>
      </c>
      <c r="C4" t="inlineStr">
        <is>
          <t>debi ( l/s)</t>
        </is>
      </c>
      <c r="D4" t="n">
        <v>0.264</v>
      </c>
      <c r="E4" t="n">
        <v>0.373</v>
      </c>
      <c r="F4" t="n">
        <v>0.456</v>
      </c>
      <c r="G4" t="n">
        <v>0.527</v>
      </c>
      <c r="H4" t="n">
        <v>0.589</v>
      </c>
      <c r="I4" t="n">
        <v>0.646</v>
      </c>
      <c r="J4" t="n">
        <v>0.696</v>
      </c>
      <c r="K4" t="n">
        <v>0.745</v>
      </c>
      <c r="L4" t="n">
        <v>0.791</v>
      </c>
      <c r="M4" t="n">
        <v>0.833</v>
      </c>
    </row>
    <row r="5">
      <c r="C5" t="inlineStr">
        <is>
          <t>Yük birimi (YB)</t>
        </is>
      </c>
      <c r="D5" t="inlineStr">
        <is>
          <t>(1.1)</t>
        </is>
      </c>
      <c r="E5" t="inlineStr">
        <is>
          <t>(2.2)</t>
        </is>
      </c>
      <c r="F5" t="inlineStr">
        <is>
          <t>(3.3)</t>
        </is>
      </c>
      <c r="G5" t="inlineStr">
        <is>
          <t>(4.4)</t>
        </is>
      </c>
      <c r="H5" t="inlineStr">
        <is>
          <t>(5.6)</t>
        </is>
      </c>
      <c r="I5" t="inlineStr">
        <is>
          <t>(6.7)</t>
        </is>
      </c>
      <c r="J5" t="inlineStr">
        <is>
          <t>(7.8)</t>
        </is>
      </c>
      <c r="K5" t="inlineStr">
        <is>
          <t>(7.9)</t>
        </is>
      </c>
      <c r="L5" t="inlineStr">
        <is>
          <t>(10.0)</t>
        </is>
      </c>
      <c r="M5" t="inlineStr">
        <is>
          <t>(11.1)</t>
        </is>
      </c>
    </row>
    <row r="6">
      <c r="A6" t="n">
        <v>25</v>
      </c>
      <c r="B6" t="n">
        <v>5</v>
      </c>
      <c r="C6" t="inlineStr">
        <is>
          <t>debi ( l/s)</t>
        </is>
      </c>
      <c r="D6" t="n">
        <v>0.439</v>
      </c>
      <c r="E6" t="n">
        <v>0.621</v>
      </c>
      <c r="F6" t="n">
        <v>0.761</v>
      </c>
      <c r="G6" t="n">
        <v>0.878</v>
      </c>
      <c r="H6" t="n">
        <v>0.982</v>
      </c>
      <c r="I6" t="n">
        <v>1.076</v>
      </c>
      <c r="J6" t="n">
        <v>1.162</v>
      </c>
      <c r="K6" t="n">
        <v>1.242</v>
      </c>
      <c r="L6" t="n">
        <v>1.318</v>
      </c>
      <c r="M6" t="n">
        <v>1.389</v>
      </c>
    </row>
    <row r="7">
      <c r="C7" t="inlineStr">
        <is>
          <t>Yük birimi (YB)</t>
        </is>
      </c>
      <c r="D7" t="inlineStr">
        <is>
          <t>(3.1)</t>
        </is>
      </c>
      <c r="E7" t="inlineStr">
        <is>
          <t>(6.2)</t>
        </is>
      </c>
      <c r="F7" t="inlineStr">
        <is>
          <t>(9.3.)</t>
        </is>
      </c>
      <c r="G7" t="inlineStr">
        <is>
          <t>(13.3)</t>
        </is>
      </c>
      <c r="H7" t="inlineStr">
        <is>
          <t>(15.4)</t>
        </is>
      </c>
      <c r="I7" t="inlineStr">
        <is>
          <t>(18.5)</t>
        </is>
      </c>
      <c r="J7" t="inlineStr">
        <is>
          <t>(21.6)</t>
        </is>
      </c>
      <c r="K7" t="inlineStr">
        <is>
          <t>(22.1)</t>
        </is>
      </c>
      <c r="L7" t="inlineStr">
        <is>
          <t>(27.8)</t>
        </is>
      </c>
      <c r="M7" t="inlineStr">
        <is>
          <t>(30.9)</t>
        </is>
      </c>
    </row>
    <row r="8">
      <c r="A8" t="n">
        <v>32</v>
      </c>
      <c r="B8" t="n">
        <v>7</v>
      </c>
      <c r="C8" t="inlineStr">
        <is>
          <t>debi ( l/s)</t>
        </is>
      </c>
      <c r="D8" t="n">
        <v>0.615</v>
      </c>
      <c r="E8" t="n">
        <v>0.868</v>
      </c>
      <c r="F8" t="n">
        <v>1.055</v>
      </c>
      <c r="G8" t="n">
        <v>1.23</v>
      </c>
      <c r="H8" t="n">
        <v>1.375</v>
      </c>
      <c r="I8" t="n">
        <v>1.506</v>
      </c>
      <c r="J8" t="n">
        <v>1.627</v>
      </c>
      <c r="K8" t="n">
        <v>1.739</v>
      </c>
      <c r="L8" t="n">
        <v>1.845</v>
      </c>
      <c r="M8" t="n">
        <v>1.944</v>
      </c>
    </row>
    <row r="9">
      <c r="C9" t="inlineStr">
        <is>
          <t>Yük birimi (YB)</t>
        </is>
      </c>
      <c r="D9" t="inlineStr">
        <is>
          <t>(6.0)</t>
        </is>
      </c>
      <c r="E9" t="inlineStr">
        <is>
          <t>(12.1)</t>
        </is>
      </c>
      <c r="F9" t="inlineStr">
        <is>
          <t>(18.1)</t>
        </is>
      </c>
      <c r="G9" t="inlineStr">
        <is>
          <t>(24.2)</t>
        </is>
      </c>
      <c r="H9" t="inlineStr">
        <is>
          <t>(30.3)</t>
        </is>
      </c>
      <c r="I9" t="inlineStr">
        <is>
          <t>(36.3)</t>
        </is>
      </c>
      <c r="J9" t="inlineStr">
        <is>
          <t>(42.3)</t>
        </is>
      </c>
      <c r="K9" t="inlineStr">
        <is>
          <t>(48.4)</t>
        </is>
      </c>
      <c r="L9" t="inlineStr">
        <is>
          <t>(54.4)</t>
        </is>
      </c>
      <c r="M9" t="inlineStr">
        <is>
          <t>(60.5)</t>
        </is>
      </c>
    </row>
    <row r="10">
      <c r="A10" t="n">
        <v>40</v>
      </c>
      <c r="B10" t="n">
        <v>10</v>
      </c>
      <c r="C10" t="inlineStr">
        <is>
          <t>debi ( l/s)</t>
        </is>
      </c>
      <c r="D10" t="n">
        <v>0.878</v>
      </c>
      <c r="E10" t="n">
        <v>1.242</v>
      </c>
      <c r="F10" t="n">
        <v>1.521</v>
      </c>
      <c r="G10" t="n">
        <v>1.757</v>
      </c>
      <c r="H10" t="n">
        <v>1.964</v>
      </c>
      <c r="I10" t="n">
        <v>2.152</v>
      </c>
      <c r="J10" t="n">
        <v>2.324</v>
      </c>
      <c r="K10" t="n">
        <v>2.485</v>
      </c>
      <c r="L10" t="n">
        <v>2.635</v>
      </c>
      <c r="M10" t="n">
        <v>2.778</v>
      </c>
    </row>
    <row r="11">
      <c r="C11" t="inlineStr">
        <is>
          <t>Yük birimi (YB)</t>
        </is>
      </c>
      <c r="D11" t="inlineStr">
        <is>
          <t>(12.3)</t>
        </is>
      </c>
      <c r="E11" t="inlineStr">
        <is>
          <t>(24.7)</t>
        </is>
      </c>
      <c r="F11" t="inlineStr">
        <is>
          <t>(37.0)</t>
        </is>
      </c>
      <c r="G11" t="inlineStr">
        <is>
          <t>(49.4)</t>
        </is>
      </c>
      <c r="H11" t="inlineStr">
        <is>
          <t>(61.7)</t>
        </is>
      </c>
      <c r="I11" t="inlineStr">
        <is>
          <t>(74.1)</t>
        </is>
      </c>
      <c r="J11" t="inlineStr">
        <is>
          <t>(86.4)</t>
        </is>
      </c>
      <c r="K11" t="inlineStr">
        <is>
          <t>(98.8)</t>
        </is>
      </c>
      <c r="L11" t="inlineStr">
        <is>
          <t>(111.1)</t>
        </is>
      </c>
      <c r="M11" t="inlineStr">
        <is>
          <t>(123.5)</t>
        </is>
      </c>
    </row>
    <row r="12">
      <c r="A12" t="n">
        <v>50</v>
      </c>
      <c r="B12" t="n">
        <v>20</v>
      </c>
      <c r="C12" t="inlineStr">
        <is>
          <t>debi ( l/s)</t>
        </is>
      </c>
      <c r="D12" t="n">
        <v>1.757</v>
      </c>
      <c r="E12" t="n">
        <v>2.484</v>
      </c>
      <c r="F12" t="n">
        <v>3.513</v>
      </c>
      <c r="G12" t="n">
        <v>3.514</v>
      </c>
      <c r="H12" t="n">
        <v>3.928</v>
      </c>
      <c r="I12" t="n">
        <v>4.303</v>
      </c>
      <c r="J12" t="n">
        <v>4.648</v>
      </c>
      <c r="K12" t="n">
        <v>4.969</v>
      </c>
      <c r="L12" t="n">
        <v>5.27</v>
      </c>
      <c r="M12" t="n">
        <v>5.556</v>
      </c>
    </row>
    <row r="13">
      <c r="C13" t="inlineStr">
        <is>
          <t>Yük birimi (YB)</t>
        </is>
      </c>
      <c r="D13" t="inlineStr">
        <is>
          <t>(49.4)</t>
        </is>
      </c>
      <c r="E13" t="inlineStr">
        <is>
          <t>(98.8)</t>
        </is>
      </c>
      <c r="F13" t="inlineStr">
        <is>
          <t>(197.5)</t>
        </is>
      </c>
      <c r="G13" t="inlineStr">
        <is>
          <t>(264.9)</t>
        </is>
      </c>
      <c r="H13" t="inlineStr">
        <is>
          <t>(294.3)</t>
        </is>
      </c>
      <c r="I13" t="inlineStr">
        <is>
          <t>(345.7)</t>
        </is>
      </c>
      <c r="J13" t="inlineStr">
        <is>
          <t>(395.7)</t>
        </is>
      </c>
      <c r="K13" t="inlineStr">
        <is>
          <t>(395.1)</t>
        </is>
      </c>
      <c r="L13" t="inlineStr">
        <is>
          <t>(444.4)</t>
        </is>
      </c>
      <c r="M13" t="inlineStr">
        <is>
          <t>(493.8)</t>
        </is>
      </c>
    </row>
    <row r="14">
      <c r="A14" t="inlineStr">
        <is>
          <t>1 mSS = 9807 Pa = 9,807 kPa</t>
        </is>
      </c>
    </row>
    <row r="15">
      <c r="A15" t="inlineStr">
        <is>
          <t>ÇİZELGE_2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B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YB ye göre Özgül Basınç Kaybı (Pa / m)</t>
        </is>
      </c>
    </row>
    <row r="2">
      <c r="B2" t="inlineStr">
        <is>
          <t>YB</t>
        </is>
      </c>
      <c r="C2" t="inlineStr">
        <is>
          <t>Verdi   L/S</t>
        </is>
      </c>
      <c r="D2" t="inlineStr">
        <is>
          <t>1 m Boru İçin Su Sayaçları Haricinde Dirsek Branşman Vana Gibi Bütün Özel Dirençler Dahil Basınç Kayıplar (Pa)</t>
        </is>
      </c>
      <c r="P2" t="inlineStr">
        <is>
          <t>YB</t>
        </is>
      </c>
      <c r="Q2" t="inlineStr">
        <is>
          <t>Yük Verdi Birimi l/s sayısı    Z</t>
        </is>
      </c>
      <c r="R2" t="inlineStr">
        <is>
          <t>1 m Boru İçin Su Sayaçları Haricinde Dirsek Branşman Vana Gibi Bütün Özel Dirençler Dahil Basınç Kayıplar (Pa)</t>
        </is>
      </c>
    </row>
    <row r="3">
      <c r="D3" t="inlineStr">
        <is>
          <t xml:space="preserve">Boru İç Çapları mm </t>
        </is>
      </c>
      <c r="R3" t="inlineStr">
        <is>
          <t xml:space="preserve">Boru İç Çapları mm </t>
        </is>
      </c>
    </row>
    <row r="4">
      <c r="B4" t="inlineStr">
        <is>
          <t>Plastik Boru</t>
        </is>
      </c>
      <c r="K4" t="inlineStr">
        <is>
          <t>Döküm Boru</t>
        </is>
      </c>
      <c r="P4" t="inlineStr">
        <is>
          <t>Plastik Boru</t>
        </is>
      </c>
      <c r="X4" t="inlineStr">
        <is>
          <t>Döküm Boru</t>
        </is>
      </c>
    </row>
    <row r="5">
      <c r="D5" t="n">
        <v>15</v>
      </c>
      <c r="E5" t="n">
        <v>20</v>
      </c>
      <c r="F5" t="n">
        <v>25</v>
      </c>
      <c r="G5" t="n">
        <v>32</v>
      </c>
      <c r="H5" t="n">
        <v>40</v>
      </c>
      <c r="I5" t="n">
        <v>50</v>
      </c>
      <c r="J5" t="n">
        <v>65</v>
      </c>
      <c r="K5" t="n">
        <v>40</v>
      </c>
      <c r="L5" t="n">
        <v>50</v>
      </c>
      <c r="M5" t="n">
        <v>65</v>
      </c>
      <c r="N5" t="n">
        <v>80</v>
      </c>
      <c r="R5" t="n">
        <v>32</v>
      </c>
      <c r="S5" t="n">
        <v>40</v>
      </c>
      <c r="T5" t="n">
        <v>50</v>
      </c>
      <c r="U5" t="n">
        <v>65</v>
      </c>
      <c r="V5" t="n">
        <v>80</v>
      </c>
      <c r="W5" t="n">
        <v>100</v>
      </c>
      <c r="X5" t="n">
        <v>40</v>
      </c>
      <c r="Y5" t="n">
        <v>50</v>
      </c>
      <c r="Z5" t="n">
        <v>65</v>
      </c>
      <c r="AA5" t="n">
        <v>80</v>
      </c>
      <c r="AB5" t="n">
        <v>100</v>
      </c>
    </row>
    <row r="6">
      <c r="B6" t="n">
        <v>0.5</v>
      </c>
      <c r="C6" t="n">
        <v>0.177</v>
      </c>
      <c r="D6" t="n">
        <v>3825</v>
      </c>
      <c r="E6" t="n">
        <v>785</v>
      </c>
      <c r="F6" t="n">
        <v>196</v>
      </c>
      <c r="G6" t="n">
        <v>98</v>
      </c>
      <c r="P6" t="n">
        <v>55</v>
      </c>
      <c r="Q6" t="n">
        <v>1.854</v>
      </c>
      <c r="R6" t="n">
        <v>6865</v>
      </c>
      <c r="S6" t="n">
        <v>2059</v>
      </c>
      <c r="T6" t="n">
        <v>588</v>
      </c>
      <c r="U6" t="n">
        <v>98</v>
      </c>
      <c r="X6" t="n">
        <v>2844</v>
      </c>
      <c r="Y6" t="n">
        <v>883</v>
      </c>
      <c r="Z6" t="n">
        <v>196</v>
      </c>
      <c r="AA6" t="n">
        <v>98</v>
      </c>
    </row>
    <row r="7">
      <c r="B7" t="n">
        <v>1</v>
      </c>
      <c r="C7" t="n">
        <v>0.25</v>
      </c>
      <c r="D7" t="n">
        <v>7649</v>
      </c>
      <c r="E7" t="n">
        <v>1569</v>
      </c>
      <c r="F7" t="n">
        <v>490</v>
      </c>
      <c r="G7" t="n">
        <v>98</v>
      </c>
      <c r="K7" t="n">
        <v>98</v>
      </c>
      <c r="P7" t="n">
        <v>60</v>
      </c>
      <c r="Q7" t="n">
        <v>1.937</v>
      </c>
      <c r="R7" t="n">
        <v>7551</v>
      </c>
      <c r="S7" t="n">
        <v>2256</v>
      </c>
      <c r="T7" t="n">
        <v>686</v>
      </c>
      <c r="U7" t="n">
        <v>196</v>
      </c>
      <c r="V7" t="n">
        <v>98</v>
      </c>
      <c r="X7" t="n">
        <v>3138</v>
      </c>
      <c r="Y7" t="n">
        <v>981</v>
      </c>
      <c r="Z7" t="n">
        <v>196</v>
      </c>
      <c r="AA7" t="n">
        <v>98</v>
      </c>
    </row>
    <row r="8">
      <c r="B8" t="n">
        <v>1.5</v>
      </c>
      <c r="C8" t="n">
        <v>0.306</v>
      </c>
      <c r="D8" t="n">
        <v>11572</v>
      </c>
      <c r="E8" t="n">
        <v>2452</v>
      </c>
      <c r="F8" t="n">
        <v>686</v>
      </c>
      <c r="G8" t="n">
        <v>196</v>
      </c>
      <c r="H8" t="n">
        <v>98</v>
      </c>
      <c r="K8" t="n">
        <v>98</v>
      </c>
      <c r="P8" t="n">
        <v>65</v>
      </c>
      <c r="Q8" t="n">
        <v>2.016</v>
      </c>
      <c r="R8" t="n">
        <v>8140</v>
      </c>
      <c r="S8" t="n">
        <v>2452</v>
      </c>
      <c r="T8" t="n">
        <v>686</v>
      </c>
      <c r="U8" t="n">
        <v>196</v>
      </c>
      <c r="V8" t="n">
        <v>98</v>
      </c>
      <c r="X8" t="n">
        <v>3432</v>
      </c>
      <c r="Y8" t="n">
        <v>981</v>
      </c>
      <c r="Z8" t="n">
        <v>196</v>
      </c>
      <c r="AA8" t="n">
        <v>98</v>
      </c>
    </row>
    <row r="9">
      <c r="B9" t="n">
        <v>2</v>
      </c>
      <c r="C9" t="n">
        <v>0.354</v>
      </c>
      <c r="D9" t="n">
        <v>15397</v>
      </c>
      <c r="E9" t="n">
        <v>3236</v>
      </c>
      <c r="F9" t="n">
        <v>981</v>
      </c>
      <c r="G9" t="n">
        <v>294</v>
      </c>
      <c r="H9" t="n">
        <v>98</v>
      </c>
      <c r="K9" t="n">
        <v>98</v>
      </c>
      <c r="P9" t="n">
        <v>70</v>
      </c>
      <c r="Q9" t="n">
        <v>2.092</v>
      </c>
      <c r="R9" t="n">
        <v>8728</v>
      </c>
      <c r="S9" t="n">
        <v>2648</v>
      </c>
      <c r="T9" t="n">
        <v>785</v>
      </c>
      <c r="U9" t="n">
        <v>196</v>
      </c>
      <c r="V9" t="n">
        <v>98</v>
      </c>
      <c r="X9" t="n">
        <v>3629</v>
      </c>
      <c r="Y9" t="n">
        <v>1079</v>
      </c>
      <c r="Z9" t="n">
        <v>294</v>
      </c>
      <c r="AA9" t="n">
        <v>98</v>
      </c>
    </row>
    <row r="10">
      <c r="B10" t="n">
        <v>2.5</v>
      </c>
      <c r="C10" t="n">
        <v>0.395</v>
      </c>
      <c r="D10" t="n">
        <v>19222</v>
      </c>
      <c r="E10" t="n">
        <v>4021</v>
      </c>
      <c r="F10" t="n">
        <v>1177</v>
      </c>
      <c r="G10" t="n">
        <v>294</v>
      </c>
      <c r="H10" t="n">
        <v>98</v>
      </c>
      <c r="K10" t="n">
        <v>98</v>
      </c>
      <c r="P10" t="n">
        <v>75</v>
      </c>
      <c r="Q10" t="n">
        <v>2.165</v>
      </c>
      <c r="R10" t="n">
        <v>9415</v>
      </c>
      <c r="S10" t="n">
        <v>2746</v>
      </c>
      <c r="T10" t="n">
        <v>785</v>
      </c>
      <c r="U10" t="n">
        <v>196</v>
      </c>
      <c r="V10" t="n">
        <v>98</v>
      </c>
      <c r="X10" t="n">
        <v>3923</v>
      </c>
      <c r="Y10" t="n">
        <v>1177</v>
      </c>
      <c r="Z10" t="n">
        <v>294</v>
      </c>
      <c r="AA10" t="n">
        <v>98</v>
      </c>
    </row>
    <row r="11">
      <c r="B11" t="n">
        <v>3</v>
      </c>
      <c r="C11" t="n">
        <v>0.433</v>
      </c>
      <c r="D11" t="n">
        <v>23046</v>
      </c>
      <c r="E11" t="n">
        <v>4805</v>
      </c>
      <c r="F11" t="n">
        <v>1961</v>
      </c>
      <c r="G11" t="n">
        <v>392</v>
      </c>
      <c r="H11" t="n">
        <v>98</v>
      </c>
      <c r="K11" t="n">
        <v>196</v>
      </c>
      <c r="P11" t="n">
        <v>80</v>
      </c>
      <c r="Q11" t="n">
        <v>2.236</v>
      </c>
      <c r="R11" t="n">
        <v>10003</v>
      </c>
      <c r="S11" t="n">
        <v>2942</v>
      </c>
      <c r="T11" t="n">
        <v>883</v>
      </c>
      <c r="U11" t="n">
        <v>196</v>
      </c>
      <c r="V11" t="n">
        <v>98</v>
      </c>
      <c r="X11" t="n">
        <v>4217</v>
      </c>
      <c r="Y11" t="n">
        <v>1275</v>
      </c>
      <c r="Z11" t="n">
        <v>294</v>
      </c>
      <c r="AA11" t="n">
        <v>98</v>
      </c>
    </row>
    <row r="12">
      <c r="B12" t="n">
        <v>3.5</v>
      </c>
      <c r="C12" t="n">
        <v>0.468</v>
      </c>
      <c r="D12" t="n">
        <v>26871</v>
      </c>
      <c r="E12" t="n">
        <v>5590</v>
      </c>
      <c r="F12" t="n">
        <v>1667</v>
      </c>
      <c r="G12" t="n">
        <v>392</v>
      </c>
      <c r="H12" t="n">
        <v>98</v>
      </c>
      <c r="K12" t="n">
        <v>196</v>
      </c>
      <c r="L12" t="n">
        <v>98</v>
      </c>
      <c r="P12" t="n">
        <v>85</v>
      </c>
      <c r="Q12" t="n">
        <v>2.305</v>
      </c>
      <c r="R12" t="n">
        <v>10592</v>
      </c>
      <c r="S12" t="n">
        <v>3138</v>
      </c>
      <c r="T12" t="n">
        <v>981</v>
      </c>
      <c r="U12" t="n">
        <v>196</v>
      </c>
      <c r="V12" t="n">
        <v>98</v>
      </c>
      <c r="X12" t="n">
        <v>4413</v>
      </c>
      <c r="Y12" t="n">
        <v>1275</v>
      </c>
      <c r="Z12" t="n">
        <v>294</v>
      </c>
      <c r="AA12" t="n">
        <v>98</v>
      </c>
    </row>
    <row r="13">
      <c r="B13" t="n">
        <v>4</v>
      </c>
      <c r="C13" t="n">
        <v>0.5</v>
      </c>
      <c r="D13" t="n">
        <v>30696</v>
      </c>
      <c r="E13" t="n">
        <v>6473</v>
      </c>
      <c r="F13" t="n">
        <v>1961</v>
      </c>
      <c r="G13" t="n">
        <v>490</v>
      </c>
      <c r="H13" t="n">
        <v>196</v>
      </c>
      <c r="K13" t="n">
        <v>196</v>
      </c>
      <c r="L13" t="n">
        <v>98</v>
      </c>
      <c r="P13" t="n">
        <v>90</v>
      </c>
      <c r="Q13" t="n">
        <v>2.372</v>
      </c>
      <c r="R13" t="n">
        <v>11768</v>
      </c>
      <c r="S13" t="n">
        <v>3334</v>
      </c>
      <c r="T13" t="n">
        <v>981</v>
      </c>
      <c r="U13" t="n">
        <v>196</v>
      </c>
      <c r="V13" t="n">
        <v>98</v>
      </c>
      <c r="X13" t="n">
        <v>4707</v>
      </c>
      <c r="Y13" t="n">
        <v>1373</v>
      </c>
      <c r="Z13" t="n">
        <v>294</v>
      </c>
      <c r="AA13" t="n">
        <v>98</v>
      </c>
    </row>
    <row r="14">
      <c r="B14" t="n">
        <v>4.5</v>
      </c>
      <c r="C14" t="n">
        <v>0.53</v>
      </c>
      <c r="D14" t="n">
        <v>34619</v>
      </c>
      <c r="E14" t="n">
        <v>7258</v>
      </c>
      <c r="F14" t="n">
        <v>2158</v>
      </c>
      <c r="G14" t="n">
        <v>588</v>
      </c>
      <c r="H14" t="n">
        <v>196</v>
      </c>
      <c r="I14" t="n">
        <v>98</v>
      </c>
      <c r="K14" t="n">
        <v>196</v>
      </c>
      <c r="L14" t="n">
        <v>98</v>
      </c>
      <c r="P14" t="n">
        <v>95</v>
      </c>
      <c r="Q14" t="n">
        <v>2.437</v>
      </c>
      <c r="S14" t="n">
        <v>3531</v>
      </c>
      <c r="T14" t="n">
        <v>1079</v>
      </c>
      <c r="U14" t="n">
        <v>294</v>
      </c>
      <c r="V14" t="n">
        <v>98</v>
      </c>
      <c r="X14" t="n">
        <v>5002</v>
      </c>
      <c r="Y14" t="n">
        <v>1471</v>
      </c>
      <c r="Z14" t="n">
        <v>392</v>
      </c>
      <c r="AA14" t="n">
        <v>98</v>
      </c>
    </row>
    <row r="15">
      <c r="B15" t="n">
        <v>5</v>
      </c>
      <c r="C15" t="n">
        <v>0.5590000000000001</v>
      </c>
      <c r="E15" t="n">
        <v>8042</v>
      </c>
      <c r="F15" t="n">
        <v>2354</v>
      </c>
      <c r="G15" t="n">
        <v>588</v>
      </c>
      <c r="H15" t="n">
        <v>196</v>
      </c>
      <c r="I15" t="n">
        <v>98</v>
      </c>
      <c r="K15" t="n">
        <v>294</v>
      </c>
      <c r="L15" t="n">
        <v>98</v>
      </c>
      <c r="P15" t="n">
        <v>100</v>
      </c>
      <c r="Q15" t="n">
        <v>2.5</v>
      </c>
      <c r="S15" t="n">
        <v>3727</v>
      </c>
      <c r="T15" t="n">
        <v>1079</v>
      </c>
      <c r="U15" t="n">
        <v>294</v>
      </c>
      <c r="V15" t="n">
        <v>98</v>
      </c>
      <c r="X15" t="n">
        <v>5198</v>
      </c>
      <c r="Y15" t="n">
        <v>1569</v>
      </c>
      <c r="Z15" t="n">
        <v>392</v>
      </c>
      <c r="AA15" t="n">
        <v>98</v>
      </c>
    </row>
    <row r="16">
      <c r="V16" t="n">
        <v>98</v>
      </c>
    </row>
    <row r="17">
      <c r="B17" t="n">
        <v>5.5</v>
      </c>
      <c r="C17" t="n">
        <v>0.586</v>
      </c>
      <c r="E17" t="n">
        <v>8826</v>
      </c>
      <c r="F17" t="n">
        <v>2648</v>
      </c>
      <c r="G17" t="n">
        <v>686</v>
      </c>
      <c r="H17" t="n">
        <v>196</v>
      </c>
      <c r="I17" t="n">
        <v>98</v>
      </c>
      <c r="K17" t="n">
        <v>294</v>
      </c>
      <c r="L17" t="n">
        <v>98</v>
      </c>
      <c r="P17" t="n">
        <v>105</v>
      </c>
      <c r="Q17" t="n">
        <v>2.562</v>
      </c>
      <c r="S17" t="n">
        <v>3923</v>
      </c>
      <c r="T17" t="n">
        <v>1177</v>
      </c>
      <c r="U17" t="n">
        <v>294</v>
      </c>
      <c r="V17" t="n">
        <v>98</v>
      </c>
      <c r="X17" t="n">
        <v>5492</v>
      </c>
      <c r="Y17" t="n">
        <v>1667</v>
      </c>
      <c r="Z17" t="n">
        <v>392</v>
      </c>
      <c r="AA17" t="n">
        <v>98</v>
      </c>
    </row>
    <row r="18">
      <c r="B18" t="n">
        <v>6</v>
      </c>
      <c r="C18" t="n">
        <v>0.612</v>
      </c>
      <c r="E18" t="n">
        <v>9611</v>
      </c>
      <c r="F18" t="n">
        <v>2844</v>
      </c>
      <c r="G18" t="n">
        <v>785</v>
      </c>
      <c r="H18" t="n">
        <v>196</v>
      </c>
      <c r="I18" t="n">
        <v>98</v>
      </c>
      <c r="K18" t="n">
        <v>294</v>
      </c>
      <c r="L18" t="n">
        <v>98</v>
      </c>
      <c r="P18" t="n">
        <v>110</v>
      </c>
      <c r="Q18" t="n">
        <v>2.622</v>
      </c>
      <c r="S18" t="n">
        <v>4119</v>
      </c>
      <c r="T18" t="n">
        <v>1177</v>
      </c>
      <c r="U18" t="n">
        <v>294</v>
      </c>
      <c r="V18" t="n">
        <v>98</v>
      </c>
      <c r="X18" t="n">
        <v>5786</v>
      </c>
      <c r="Y18" t="n">
        <v>1667</v>
      </c>
      <c r="Z18" t="n">
        <v>392</v>
      </c>
      <c r="AA18" t="n">
        <v>98</v>
      </c>
    </row>
    <row r="19">
      <c r="B19" t="n">
        <v>6.5</v>
      </c>
      <c r="C19" t="n">
        <v>0.637</v>
      </c>
      <c r="E19" t="n">
        <v>10690</v>
      </c>
      <c r="F19" t="n">
        <v>3138</v>
      </c>
      <c r="G19" t="n">
        <v>785</v>
      </c>
      <c r="H19" t="n">
        <v>196</v>
      </c>
      <c r="I19" t="n">
        <v>98</v>
      </c>
      <c r="K19" t="n">
        <v>294</v>
      </c>
      <c r="L19" t="n">
        <v>98</v>
      </c>
      <c r="P19" t="n">
        <v>115</v>
      </c>
      <c r="Q19" t="n">
        <v>2.681</v>
      </c>
      <c r="S19" t="n">
        <v>4315</v>
      </c>
      <c r="T19" t="n">
        <v>1275</v>
      </c>
      <c r="U19" t="n">
        <v>294</v>
      </c>
      <c r="V19" t="n">
        <v>98</v>
      </c>
      <c r="X19" t="n">
        <v>5982</v>
      </c>
      <c r="Y19" t="n">
        <v>1765</v>
      </c>
      <c r="Z19" t="n">
        <v>392</v>
      </c>
      <c r="AA19" t="n">
        <v>196</v>
      </c>
    </row>
    <row r="20">
      <c r="B20" t="n">
        <v>7</v>
      </c>
      <c r="C20" t="n">
        <v>0.661</v>
      </c>
      <c r="E20" t="n">
        <v>11768</v>
      </c>
      <c r="F20" t="n">
        <v>3334</v>
      </c>
      <c r="G20" t="n">
        <v>883</v>
      </c>
      <c r="H20" t="n">
        <v>294</v>
      </c>
      <c r="I20" t="n">
        <v>98</v>
      </c>
      <c r="K20" t="n">
        <v>392</v>
      </c>
      <c r="L20" t="n">
        <v>98</v>
      </c>
      <c r="P20" t="n">
        <v>120</v>
      </c>
      <c r="Q20" t="n">
        <v>2.739</v>
      </c>
      <c r="S20" t="n">
        <v>4413</v>
      </c>
      <c r="T20" t="n">
        <v>1373</v>
      </c>
      <c r="U20" t="n">
        <v>294</v>
      </c>
      <c r="V20" t="n">
        <v>98</v>
      </c>
      <c r="X20" t="n">
        <v>6276</v>
      </c>
      <c r="Y20" t="n">
        <v>1863</v>
      </c>
      <c r="Z20" t="n">
        <v>490</v>
      </c>
      <c r="AA20" t="n">
        <v>196</v>
      </c>
    </row>
    <row r="21">
      <c r="B21" t="n">
        <v>7.5</v>
      </c>
      <c r="C21" t="n">
        <v>0.6850000000000001</v>
      </c>
      <c r="E21" t="n">
        <v>12063</v>
      </c>
      <c r="F21" t="n">
        <v>3629</v>
      </c>
      <c r="G21" t="n">
        <v>981</v>
      </c>
      <c r="H21" t="n">
        <v>294</v>
      </c>
      <c r="I21" t="n">
        <v>98</v>
      </c>
      <c r="K21" t="n">
        <v>392</v>
      </c>
      <c r="L21" t="n">
        <v>98</v>
      </c>
      <c r="P21" t="n">
        <v>125</v>
      </c>
      <c r="Q21" t="n">
        <v>2.795</v>
      </c>
      <c r="S21" t="n">
        <v>4609</v>
      </c>
      <c r="T21" t="n">
        <v>1373</v>
      </c>
      <c r="U21" t="n">
        <v>294</v>
      </c>
      <c r="V21" t="n">
        <v>98</v>
      </c>
      <c r="X21" t="n">
        <v>6571</v>
      </c>
      <c r="Y21" t="n">
        <v>1961</v>
      </c>
      <c r="Z21" t="n">
        <v>490</v>
      </c>
      <c r="AA21" t="n">
        <v>196</v>
      </c>
    </row>
    <row r="22">
      <c r="B22" t="n">
        <v>8</v>
      </c>
      <c r="C22" t="n">
        <v>0.707</v>
      </c>
      <c r="E22" t="n">
        <v>12847</v>
      </c>
      <c r="F22" t="n">
        <v>3825</v>
      </c>
      <c r="G22" t="n">
        <v>981</v>
      </c>
      <c r="H22" t="n">
        <v>294</v>
      </c>
      <c r="I22" t="n">
        <v>98</v>
      </c>
      <c r="K22" t="n">
        <v>392</v>
      </c>
      <c r="L22" t="n">
        <v>98</v>
      </c>
      <c r="P22" t="n">
        <v>130</v>
      </c>
      <c r="Q22" t="n">
        <v>2.85</v>
      </c>
      <c r="S22" t="n">
        <v>4805</v>
      </c>
      <c r="T22" t="n">
        <v>1471</v>
      </c>
      <c r="U22" t="n">
        <v>392</v>
      </c>
      <c r="V22" t="n">
        <v>98</v>
      </c>
      <c r="X22" t="n">
        <v>6767</v>
      </c>
      <c r="Y22" t="n">
        <v>2059</v>
      </c>
      <c r="Z22" t="n">
        <v>490</v>
      </c>
      <c r="AA22" t="n">
        <v>196</v>
      </c>
    </row>
    <row r="23">
      <c r="B23" t="n">
        <v>8.5</v>
      </c>
      <c r="C23" t="n">
        <v>0.729</v>
      </c>
      <c r="E23" t="n">
        <v>13632</v>
      </c>
      <c r="F23" t="n">
        <v>4021</v>
      </c>
      <c r="G23" t="n">
        <v>1079</v>
      </c>
      <c r="H23" t="n">
        <v>294</v>
      </c>
      <c r="I23" t="n">
        <v>98</v>
      </c>
      <c r="K23" t="n">
        <v>490</v>
      </c>
      <c r="L23" t="n">
        <v>98</v>
      </c>
      <c r="P23" t="n">
        <v>135</v>
      </c>
      <c r="Q23" t="n">
        <v>2.905</v>
      </c>
      <c r="S23" t="n">
        <v>5002</v>
      </c>
      <c r="T23" t="n">
        <v>1471</v>
      </c>
      <c r="U23" t="n">
        <v>392</v>
      </c>
      <c r="V23" t="n">
        <v>98</v>
      </c>
      <c r="X23" t="n">
        <v>7061</v>
      </c>
      <c r="Y23" t="n">
        <v>2059</v>
      </c>
      <c r="Z23" t="n">
        <v>490</v>
      </c>
      <c r="AA23" t="n">
        <v>196</v>
      </c>
    </row>
    <row r="24">
      <c r="B24" t="n">
        <v>9</v>
      </c>
      <c r="C24" t="n">
        <v>0.75</v>
      </c>
      <c r="E24" t="n">
        <v>14514</v>
      </c>
      <c r="F24" t="n">
        <v>4315</v>
      </c>
      <c r="G24" t="n">
        <v>1079</v>
      </c>
      <c r="H24" t="n">
        <v>294</v>
      </c>
      <c r="I24" t="n">
        <v>98</v>
      </c>
      <c r="K24" t="n">
        <v>490</v>
      </c>
      <c r="L24" t="n">
        <v>98</v>
      </c>
      <c r="P24" t="n">
        <v>140</v>
      </c>
      <c r="Q24" t="n">
        <v>2.858</v>
      </c>
      <c r="S24" t="n">
        <v>5198</v>
      </c>
      <c r="T24" t="n">
        <v>1569</v>
      </c>
      <c r="U24" t="n">
        <v>392</v>
      </c>
      <c r="V24" t="n">
        <v>98</v>
      </c>
      <c r="X24" t="n">
        <v>7355</v>
      </c>
      <c r="Y24" t="n">
        <v>2158</v>
      </c>
      <c r="Z24" t="n">
        <v>490</v>
      </c>
      <c r="AA24" t="n">
        <v>196</v>
      </c>
      <c r="AB24" t="n">
        <v>98</v>
      </c>
    </row>
    <row r="25">
      <c r="B25" t="n">
        <v>9.5</v>
      </c>
      <c r="C25" t="n">
        <v>0.771</v>
      </c>
      <c r="E25" t="n">
        <v>15299</v>
      </c>
      <c r="F25" t="n">
        <v>4511</v>
      </c>
      <c r="G25" t="n">
        <v>1177</v>
      </c>
      <c r="H25" t="n">
        <v>392</v>
      </c>
      <c r="I25" t="n">
        <v>98</v>
      </c>
      <c r="K25" t="n">
        <v>490</v>
      </c>
      <c r="L25" t="n">
        <v>196</v>
      </c>
      <c r="P25" t="n">
        <v>145</v>
      </c>
      <c r="Q25" t="n">
        <v>3.01</v>
      </c>
      <c r="S25" t="n">
        <v>5394</v>
      </c>
      <c r="T25" t="n">
        <v>1569</v>
      </c>
      <c r="U25" t="n">
        <v>392</v>
      </c>
      <c r="V25" t="n">
        <v>98</v>
      </c>
      <c r="X25" t="n">
        <v>7551</v>
      </c>
      <c r="Y25" t="n">
        <v>2256</v>
      </c>
      <c r="Z25" t="n">
        <v>588</v>
      </c>
      <c r="AA25" t="n">
        <v>196</v>
      </c>
      <c r="AB25" t="n">
        <v>98</v>
      </c>
    </row>
    <row r="26">
      <c r="B26" t="n">
        <v>10</v>
      </c>
      <c r="C26" t="n">
        <v>0.791</v>
      </c>
      <c r="E26" t="n">
        <v>16083</v>
      </c>
      <c r="F26" t="n">
        <v>4805</v>
      </c>
      <c r="G26" t="n">
        <v>1275</v>
      </c>
      <c r="H26" t="n">
        <v>392</v>
      </c>
      <c r="I26" t="n">
        <v>98</v>
      </c>
      <c r="K26" t="n">
        <v>490</v>
      </c>
      <c r="L26" t="n">
        <v>196</v>
      </c>
      <c r="P26" t="n">
        <v>150</v>
      </c>
      <c r="Q26" t="n">
        <v>3.062</v>
      </c>
      <c r="S26" t="n">
        <v>5590</v>
      </c>
      <c r="T26" t="n">
        <v>1667</v>
      </c>
      <c r="U26" t="n">
        <v>392</v>
      </c>
      <c r="V26" t="n">
        <v>98</v>
      </c>
      <c r="X26" t="n">
        <v>7846</v>
      </c>
      <c r="Y26" t="n">
        <v>2354</v>
      </c>
      <c r="Z26" t="n">
        <v>588</v>
      </c>
      <c r="AA26" t="n">
        <v>196</v>
      </c>
      <c r="AB26" t="n">
        <v>98</v>
      </c>
    </row>
    <row r="27">
      <c r="AB27" t="n">
        <v>98</v>
      </c>
    </row>
    <row r="28">
      <c r="B28" t="n">
        <v>11</v>
      </c>
      <c r="C28" t="n">
        <v>0.829</v>
      </c>
      <c r="E28" t="n">
        <v>17653</v>
      </c>
      <c r="F28" t="n">
        <v>5296</v>
      </c>
      <c r="G28" t="n">
        <v>1373</v>
      </c>
      <c r="H28" t="n">
        <v>392</v>
      </c>
      <c r="I28" t="n">
        <v>98</v>
      </c>
      <c r="K28" t="n">
        <v>588</v>
      </c>
      <c r="L28" t="n">
        <v>196</v>
      </c>
      <c r="P28" t="n">
        <v>155</v>
      </c>
      <c r="Q28" t="n">
        <v>3.112</v>
      </c>
      <c r="S28" t="n">
        <v>5786</v>
      </c>
      <c r="T28" t="n">
        <v>1667</v>
      </c>
      <c r="U28" t="n">
        <v>392</v>
      </c>
      <c r="V28" t="n">
        <v>196</v>
      </c>
      <c r="X28" t="n">
        <v>8140</v>
      </c>
      <c r="Y28" t="n">
        <v>2452</v>
      </c>
      <c r="Z28" t="n">
        <v>588</v>
      </c>
      <c r="AA28" t="n">
        <v>196</v>
      </c>
      <c r="AB28" t="n">
        <v>98</v>
      </c>
    </row>
    <row r="29">
      <c r="B29" t="n">
        <v>12</v>
      </c>
      <c r="C29" t="n">
        <v>0.866</v>
      </c>
      <c r="E29" t="n">
        <v>19320</v>
      </c>
      <c r="F29" t="n">
        <v>5789</v>
      </c>
      <c r="G29" t="n">
        <v>1471</v>
      </c>
      <c r="H29" t="n">
        <v>490</v>
      </c>
      <c r="I29" t="n">
        <v>98</v>
      </c>
      <c r="K29" t="n">
        <v>588</v>
      </c>
      <c r="L29" t="n">
        <v>196</v>
      </c>
      <c r="P29" t="n">
        <v>160</v>
      </c>
      <c r="Q29" t="n">
        <v>3.162</v>
      </c>
      <c r="S29" t="n">
        <v>5982</v>
      </c>
      <c r="T29" t="n">
        <v>1765</v>
      </c>
      <c r="U29" t="n">
        <v>392</v>
      </c>
      <c r="V29" t="n">
        <v>196</v>
      </c>
      <c r="X29" t="n">
        <v>8336</v>
      </c>
      <c r="Y29" t="n">
        <v>2452</v>
      </c>
      <c r="Z29" t="n">
        <v>588</v>
      </c>
      <c r="AA29" t="n">
        <v>196</v>
      </c>
      <c r="AB29" t="n">
        <v>98</v>
      </c>
    </row>
    <row r="30">
      <c r="B30" t="n">
        <v>13</v>
      </c>
      <c r="C30" t="n">
        <v>0.901</v>
      </c>
      <c r="E30" t="n">
        <v>20889</v>
      </c>
      <c r="F30" t="n">
        <v>6178</v>
      </c>
      <c r="G30" t="n">
        <v>1667</v>
      </c>
      <c r="H30" t="n">
        <v>490</v>
      </c>
      <c r="I30" t="n">
        <v>98</v>
      </c>
      <c r="K30" t="n">
        <v>686</v>
      </c>
      <c r="L30" t="n">
        <v>196</v>
      </c>
      <c r="P30" t="n">
        <v>165</v>
      </c>
      <c r="Q30" t="n">
        <v>3.211</v>
      </c>
      <c r="S30" t="n">
        <v>6178</v>
      </c>
      <c r="T30" t="n">
        <v>1863</v>
      </c>
      <c r="U30" t="n">
        <v>392</v>
      </c>
      <c r="V30" t="n">
        <v>196</v>
      </c>
      <c r="X30" t="n">
        <v>8630</v>
      </c>
      <c r="Y30" t="n">
        <v>2550</v>
      </c>
      <c r="Z30" t="n">
        <v>588</v>
      </c>
      <c r="AA30" t="n">
        <v>196</v>
      </c>
      <c r="AB30" t="n">
        <v>98</v>
      </c>
    </row>
    <row r="31">
      <c r="B31" t="n">
        <v>14</v>
      </c>
      <c r="C31" t="n">
        <v>0.9350000000000001</v>
      </c>
      <c r="E31" t="n">
        <v>22556</v>
      </c>
      <c r="F31" t="n">
        <v>6669</v>
      </c>
      <c r="G31" t="n">
        <v>1765</v>
      </c>
      <c r="H31" t="n">
        <v>490</v>
      </c>
      <c r="I31" t="n">
        <v>196</v>
      </c>
      <c r="K31" t="n">
        <v>686</v>
      </c>
      <c r="L31" t="n">
        <v>196</v>
      </c>
      <c r="M31" t="n">
        <v>98</v>
      </c>
      <c r="P31" t="n">
        <v>170</v>
      </c>
      <c r="Q31" t="n">
        <v>3.26</v>
      </c>
      <c r="S31" t="n">
        <v>6276</v>
      </c>
      <c r="T31" t="n">
        <v>1863</v>
      </c>
      <c r="U31" t="n">
        <v>490</v>
      </c>
      <c r="V31" t="n">
        <v>196</v>
      </c>
      <c r="X31" t="n">
        <v>8924</v>
      </c>
      <c r="Y31" t="n">
        <v>2648</v>
      </c>
      <c r="Z31" t="n">
        <v>588</v>
      </c>
      <c r="AA31" t="n">
        <v>196</v>
      </c>
      <c r="AB31" t="n">
        <v>98</v>
      </c>
    </row>
    <row r="32">
      <c r="B32" t="n">
        <v>15</v>
      </c>
      <c r="C32" t="n">
        <v>0.968</v>
      </c>
      <c r="F32" t="n">
        <v>7159</v>
      </c>
      <c r="G32" t="n">
        <v>1863</v>
      </c>
      <c r="H32" t="n">
        <v>588</v>
      </c>
      <c r="I32" t="n">
        <v>196</v>
      </c>
      <c r="K32" t="n">
        <v>785</v>
      </c>
      <c r="L32" t="n">
        <v>196</v>
      </c>
      <c r="M32" t="n">
        <v>98</v>
      </c>
      <c r="P32" t="n">
        <v>175</v>
      </c>
      <c r="Q32" t="n">
        <v>3.307</v>
      </c>
      <c r="S32" t="n">
        <v>6473</v>
      </c>
      <c r="T32" t="n">
        <v>1961</v>
      </c>
      <c r="U32" t="n">
        <v>490</v>
      </c>
      <c r="V32" t="n">
        <v>196</v>
      </c>
      <c r="X32" t="n">
        <v>9121</v>
      </c>
      <c r="Y32" t="n">
        <v>2746</v>
      </c>
      <c r="Z32" t="n">
        <v>686</v>
      </c>
      <c r="AA32" t="n">
        <v>196</v>
      </c>
      <c r="AB32" t="n">
        <v>98</v>
      </c>
    </row>
    <row r="33">
      <c r="B33" t="n">
        <v>16</v>
      </c>
      <c r="C33" t="n">
        <v>1</v>
      </c>
      <c r="F33" t="n">
        <v>7649</v>
      </c>
      <c r="G33" t="n">
        <v>1961</v>
      </c>
      <c r="H33" t="n">
        <v>588</v>
      </c>
      <c r="I33" t="n">
        <v>196</v>
      </c>
      <c r="K33" t="n">
        <v>883</v>
      </c>
      <c r="L33" t="n">
        <v>294</v>
      </c>
      <c r="M33" t="n">
        <v>98</v>
      </c>
      <c r="P33" t="n">
        <v>180</v>
      </c>
      <c r="Q33" t="n">
        <v>3.354</v>
      </c>
      <c r="S33" t="n">
        <v>6669</v>
      </c>
      <c r="T33" t="n">
        <v>1961</v>
      </c>
      <c r="U33" t="n">
        <v>490</v>
      </c>
      <c r="V33" t="n">
        <v>196</v>
      </c>
      <c r="X33" t="n">
        <v>9415</v>
      </c>
      <c r="Y33" t="n">
        <v>2844</v>
      </c>
      <c r="Z33" t="n">
        <v>686</v>
      </c>
      <c r="AA33" t="n">
        <v>196</v>
      </c>
      <c r="AB33" t="n">
        <v>98</v>
      </c>
    </row>
    <row r="34">
      <c r="B34" t="n">
        <v>17</v>
      </c>
      <c r="C34" t="n">
        <v>1.031</v>
      </c>
      <c r="F34" t="n">
        <v>8140</v>
      </c>
      <c r="G34" t="n">
        <v>2158</v>
      </c>
      <c r="H34" t="n">
        <v>588</v>
      </c>
      <c r="I34" t="n">
        <v>196</v>
      </c>
      <c r="K34" t="n">
        <v>883</v>
      </c>
      <c r="L34" t="n">
        <v>294</v>
      </c>
      <c r="M34" t="n">
        <v>98</v>
      </c>
      <c r="P34" t="n">
        <v>185</v>
      </c>
      <c r="Q34" t="n">
        <v>3.4</v>
      </c>
      <c r="S34" t="n">
        <v>6865</v>
      </c>
      <c r="T34" t="n">
        <v>2059</v>
      </c>
      <c r="U34" t="n">
        <v>490</v>
      </c>
      <c r="V34" t="n">
        <v>196</v>
      </c>
      <c r="X34" t="n">
        <v>9709</v>
      </c>
      <c r="Y34" t="n">
        <v>2844</v>
      </c>
      <c r="Z34" t="n">
        <v>686</v>
      </c>
      <c r="AA34" t="n">
        <v>196</v>
      </c>
      <c r="AB34" t="n">
        <v>98</v>
      </c>
    </row>
    <row r="35">
      <c r="B35" t="n">
        <v>18</v>
      </c>
      <c r="C35" t="n">
        <v>1.061</v>
      </c>
      <c r="F35" t="n">
        <v>8630</v>
      </c>
      <c r="G35" t="n">
        <v>2256</v>
      </c>
      <c r="H35" t="n">
        <v>686</v>
      </c>
      <c r="I35" t="n">
        <v>196</v>
      </c>
      <c r="K35" t="n">
        <v>981</v>
      </c>
      <c r="L35" t="n">
        <v>294</v>
      </c>
      <c r="M35" t="n">
        <v>98</v>
      </c>
      <c r="P35" t="n">
        <v>190</v>
      </c>
      <c r="Q35" t="n">
        <v>3.446</v>
      </c>
      <c r="S35" t="n">
        <v>7061</v>
      </c>
      <c r="T35" t="n">
        <v>2059</v>
      </c>
      <c r="U35" t="n">
        <v>490</v>
      </c>
      <c r="V35" t="n">
        <v>196</v>
      </c>
      <c r="X35" t="n">
        <v>98</v>
      </c>
      <c r="Y35" t="n">
        <v>2942</v>
      </c>
      <c r="Z35" t="n">
        <v>686</v>
      </c>
      <c r="AA35" t="n">
        <v>196</v>
      </c>
      <c r="AB35" t="n">
        <v>98</v>
      </c>
    </row>
    <row r="36">
      <c r="B36" t="n">
        <v>19</v>
      </c>
      <c r="C36" t="n">
        <v>1.09</v>
      </c>
      <c r="F36" t="n">
        <v>9121</v>
      </c>
      <c r="G36" t="n">
        <v>2354</v>
      </c>
      <c r="H36" t="n">
        <v>686</v>
      </c>
      <c r="I36" t="n">
        <v>196</v>
      </c>
      <c r="J36" t="n">
        <v>98</v>
      </c>
      <c r="K36" t="n">
        <v>981</v>
      </c>
      <c r="L36" t="n">
        <v>294</v>
      </c>
      <c r="M36" t="n">
        <v>98</v>
      </c>
      <c r="P36" t="n">
        <v>195</v>
      </c>
      <c r="Q36" t="n">
        <v>3.491</v>
      </c>
      <c r="S36" t="n">
        <v>7257</v>
      </c>
      <c r="T36" t="n">
        <v>2158</v>
      </c>
      <c r="U36" t="n">
        <v>490</v>
      </c>
      <c r="V36" t="n">
        <v>196</v>
      </c>
      <c r="W36" t="n">
        <v>98</v>
      </c>
      <c r="X36" t="n">
        <v>392</v>
      </c>
      <c r="Y36" t="n">
        <v>3040</v>
      </c>
      <c r="Z36" t="n">
        <v>686</v>
      </c>
      <c r="AA36" t="n">
        <v>196</v>
      </c>
      <c r="AB36" t="n">
        <v>98</v>
      </c>
    </row>
    <row r="37">
      <c r="B37" t="n">
        <v>20</v>
      </c>
      <c r="C37" t="n">
        <v>1.118</v>
      </c>
      <c r="F37" t="n">
        <v>9611</v>
      </c>
      <c r="G37" t="n">
        <v>2452</v>
      </c>
      <c r="H37" t="n">
        <v>785</v>
      </c>
      <c r="I37" t="n">
        <v>196</v>
      </c>
      <c r="J37" t="n">
        <v>98</v>
      </c>
      <c r="K37" t="n">
        <v>1079</v>
      </c>
      <c r="L37" t="n">
        <v>294</v>
      </c>
      <c r="M37" t="n">
        <v>98</v>
      </c>
      <c r="P37" t="n">
        <v>200</v>
      </c>
      <c r="Q37" t="n">
        <v>3.536</v>
      </c>
      <c r="S37" t="n">
        <v>7453</v>
      </c>
      <c r="T37" t="n">
        <v>2256</v>
      </c>
      <c r="U37" t="n">
        <v>490</v>
      </c>
      <c r="V37" t="n">
        <v>196</v>
      </c>
      <c r="W37" t="n">
        <v>98</v>
      </c>
      <c r="X37" t="n">
        <v>686</v>
      </c>
      <c r="Y37" t="n">
        <v>3138</v>
      </c>
      <c r="Z37" t="n">
        <v>785</v>
      </c>
      <c r="AA37" t="n">
        <v>196</v>
      </c>
      <c r="AB37" t="n">
        <v>98</v>
      </c>
    </row>
    <row r="38">
      <c r="M38" t="n">
        <v>98</v>
      </c>
      <c r="V38" t="n">
        <v>196</v>
      </c>
      <c r="AB38" t="n">
        <v>98</v>
      </c>
    </row>
    <row r="39">
      <c r="B39" t="n">
        <v>21</v>
      </c>
      <c r="C39" t="n">
        <v>1.146</v>
      </c>
      <c r="F39" t="n">
        <v>10003</v>
      </c>
      <c r="G39" t="n">
        <v>2648</v>
      </c>
      <c r="H39" t="n">
        <v>785</v>
      </c>
      <c r="I39" t="n">
        <v>196</v>
      </c>
      <c r="J39" t="n">
        <v>98</v>
      </c>
      <c r="K39" t="n">
        <v>1079</v>
      </c>
      <c r="L39" t="n">
        <v>294</v>
      </c>
      <c r="M39" t="n">
        <v>98</v>
      </c>
      <c r="P39" t="n">
        <v>205</v>
      </c>
      <c r="Q39" t="n">
        <v>3.579</v>
      </c>
      <c r="S39" t="n">
        <v>7649</v>
      </c>
      <c r="T39" t="n">
        <v>2257</v>
      </c>
      <c r="U39" t="n">
        <v>588</v>
      </c>
      <c r="V39" t="n">
        <v>196</v>
      </c>
      <c r="W39" t="n">
        <v>98</v>
      </c>
      <c r="X39" t="n">
        <v>883</v>
      </c>
      <c r="Y39" t="n">
        <v>3236</v>
      </c>
      <c r="Z39" t="n">
        <v>785</v>
      </c>
      <c r="AA39" t="n">
        <v>294</v>
      </c>
      <c r="AB39" t="n">
        <v>98</v>
      </c>
    </row>
    <row r="40">
      <c r="B40" t="n">
        <v>22</v>
      </c>
      <c r="C40" t="n">
        <v>1.173</v>
      </c>
      <c r="F40" t="n">
        <v>10493</v>
      </c>
      <c r="G40" t="n">
        <v>2746</v>
      </c>
      <c r="H40" t="n">
        <v>785</v>
      </c>
      <c r="I40" t="n">
        <v>196</v>
      </c>
      <c r="J40" t="n">
        <v>98</v>
      </c>
      <c r="K40" t="n">
        <v>1177</v>
      </c>
      <c r="L40" t="n">
        <v>294</v>
      </c>
      <c r="M40" t="n">
        <v>98</v>
      </c>
      <c r="P40" t="n">
        <v>210</v>
      </c>
      <c r="Q40" t="n">
        <v>3.623</v>
      </c>
      <c r="S40" t="n">
        <v>7846</v>
      </c>
      <c r="T40" t="n">
        <v>2354</v>
      </c>
      <c r="U40" t="n">
        <v>588</v>
      </c>
      <c r="V40" t="n">
        <v>196</v>
      </c>
      <c r="W40" t="n">
        <v>98</v>
      </c>
      <c r="X40" t="n">
        <v>1177</v>
      </c>
      <c r="Y40" t="n">
        <v>3236</v>
      </c>
      <c r="Z40" t="n">
        <v>785</v>
      </c>
      <c r="AA40" t="n">
        <v>294</v>
      </c>
      <c r="AB40" t="n">
        <v>98</v>
      </c>
    </row>
    <row r="41">
      <c r="B41" t="n">
        <v>23</v>
      </c>
      <c r="C41" t="n">
        <v>1.199</v>
      </c>
      <c r="F41" t="n">
        <v>10984</v>
      </c>
      <c r="G41" t="n">
        <v>2844</v>
      </c>
      <c r="H41" t="n">
        <v>883</v>
      </c>
      <c r="I41" t="n">
        <v>294</v>
      </c>
      <c r="J41" t="n">
        <v>98</v>
      </c>
      <c r="K41" t="n">
        <v>1177</v>
      </c>
      <c r="L41" t="n">
        <v>392</v>
      </c>
      <c r="M41" t="n">
        <v>98</v>
      </c>
      <c r="P41" t="n">
        <v>215</v>
      </c>
      <c r="Q41" t="n">
        <v>3.666</v>
      </c>
      <c r="S41" t="n">
        <v>7944</v>
      </c>
      <c r="T41" t="n">
        <v>2354</v>
      </c>
      <c r="U41" t="n">
        <v>588</v>
      </c>
      <c r="V41" t="n">
        <v>196</v>
      </c>
      <c r="W41" t="n">
        <v>98</v>
      </c>
      <c r="X41" t="n">
        <v>1471</v>
      </c>
      <c r="Y41" t="n">
        <v>3334</v>
      </c>
      <c r="Z41" t="n">
        <v>785</v>
      </c>
      <c r="AA41" t="n">
        <v>294</v>
      </c>
      <c r="AB41" t="n">
        <v>98</v>
      </c>
    </row>
    <row r="42">
      <c r="B42" t="n">
        <v>24</v>
      </c>
      <c r="C42" t="n">
        <v>1.225</v>
      </c>
      <c r="F42" t="n">
        <v>11474</v>
      </c>
      <c r="G42" t="n">
        <v>3040</v>
      </c>
      <c r="H42" t="n">
        <v>883</v>
      </c>
      <c r="I42" t="n">
        <v>294</v>
      </c>
      <c r="J42" t="n">
        <v>98</v>
      </c>
      <c r="K42" t="n">
        <v>1275</v>
      </c>
      <c r="L42" t="n">
        <v>392</v>
      </c>
      <c r="M42" t="n">
        <v>98</v>
      </c>
      <c r="P42" t="n">
        <v>220</v>
      </c>
      <c r="Q42" t="n">
        <v>3.708</v>
      </c>
      <c r="S42" t="n">
        <v>8140</v>
      </c>
      <c r="T42" t="n">
        <v>2452</v>
      </c>
      <c r="U42" t="n">
        <v>588</v>
      </c>
      <c r="V42" t="n">
        <v>196</v>
      </c>
      <c r="W42" t="n">
        <v>98</v>
      </c>
      <c r="X42" t="n">
        <v>1667</v>
      </c>
      <c r="Y42" t="n">
        <v>3432</v>
      </c>
      <c r="Z42" t="n">
        <v>785</v>
      </c>
      <c r="AA42" t="n">
        <v>294</v>
      </c>
      <c r="AB42" t="n">
        <v>98</v>
      </c>
    </row>
    <row r="43">
      <c r="B43" t="n">
        <v>25</v>
      </c>
      <c r="C43" t="n">
        <v>1.25</v>
      </c>
      <c r="F43" t="n">
        <v>11965</v>
      </c>
      <c r="G43" t="n">
        <v>3138</v>
      </c>
      <c r="H43" t="n">
        <v>883</v>
      </c>
      <c r="I43" t="n">
        <v>294</v>
      </c>
      <c r="J43" t="n">
        <v>98</v>
      </c>
      <c r="K43" t="n">
        <v>1275</v>
      </c>
      <c r="L43" t="n">
        <v>392</v>
      </c>
      <c r="M43" t="n">
        <v>98</v>
      </c>
      <c r="P43" t="n">
        <v>225</v>
      </c>
      <c r="Q43" t="n">
        <v>3.75</v>
      </c>
      <c r="S43" t="n">
        <v>8336</v>
      </c>
      <c r="T43" t="n">
        <v>2452</v>
      </c>
      <c r="U43" t="n">
        <v>588</v>
      </c>
      <c r="V43" t="n">
        <v>196</v>
      </c>
      <c r="W43" t="n">
        <v>98</v>
      </c>
      <c r="X43" t="n">
        <v>1961</v>
      </c>
      <c r="Y43" t="n">
        <v>3531</v>
      </c>
      <c r="Z43" t="n">
        <v>883</v>
      </c>
      <c r="AA43" t="n">
        <v>294</v>
      </c>
      <c r="AB43" t="n">
        <v>98</v>
      </c>
    </row>
    <row r="44">
      <c r="B44" t="n">
        <v>26</v>
      </c>
      <c r="C44" t="n">
        <v>1.275</v>
      </c>
      <c r="F44" t="n">
        <v>12455</v>
      </c>
      <c r="G44" t="n">
        <v>3236</v>
      </c>
      <c r="H44" t="n">
        <v>981</v>
      </c>
      <c r="I44" t="n">
        <v>294</v>
      </c>
      <c r="J44" t="n">
        <v>98</v>
      </c>
      <c r="K44" t="n">
        <v>1373</v>
      </c>
      <c r="L44" t="n">
        <v>392</v>
      </c>
      <c r="M44" t="n">
        <v>98</v>
      </c>
      <c r="P44" t="n">
        <v>230</v>
      </c>
      <c r="Q44" t="n">
        <v>3.791</v>
      </c>
      <c r="T44" t="n">
        <v>2550</v>
      </c>
      <c r="U44" t="n">
        <v>588</v>
      </c>
      <c r="V44" t="n">
        <v>196</v>
      </c>
      <c r="W44" t="n">
        <v>98</v>
      </c>
      <c r="Y44" t="n">
        <v>3531</v>
      </c>
      <c r="Z44" t="n">
        <v>883</v>
      </c>
      <c r="AA44" t="n">
        <v>294</v>
      </c>
      <c r="AB44" t="n">
        <v>98</v>
      </c>
    </row>
    <row r="45">
      <c r="B45" t="n">
        <v>27</v>
      </c>
      <c r="C45" t="n">
        <v>1.299</v>
      </c>
      <c r="F45" t="n">
        <v>12945</v>
      </c>
      <c r="G45" t="n">
        <v>3334</v>
      </c>
      <c r="H45" t="n">
        <v>981</v>
      </c>
      <c r="I45" t="n">
        <v>294</v>
      </c>
      <c r="J45" t="n">
        <v>98</v>
      </c>
      <c r="K45" t="n">
        <v>1373</v>
      </c>
      <c r="L45" t="n">
        <v>392</v>
      </c>
      <c r="M45" t="n">
        <v>98</v>
      </c>
      <c r="P45" t="n">
        <v>235</v>
      </c>
      <c r="Q45" t="n">
        <v>3.832</v>
      </c>
      <c r="T45" t="n">
        <v>2550</v>
      </c>
      <c r="U45" t="n">
        <v>588</v>
      </c>
      <c r="V45" t="n">
        <v>196</v>
      </c>
      <c r="W45" t="n">
        <v>98</v>
      </c>
      <c r="Y45" t="n">
        <v>3629</v>
      </c>
      <c r="Z45" t="n">
        <v>883</v>
      </c>
      <c r="AA45" t="n">
        <v>294</v>
      </c>
      <c r="AB45" t="n">
        <v>98</v>
      </c>
    </row>
    <row r="46">
      <c r="B46" t="n">
        <v>28</v>
      </c>
      <c r="C46" t="n">
        <v>1.323</v>
      </c>
      <c r="F46" t="n">
        <v>13436</v>
      </c>
      <c r="G46" t="n">
        <v>3531</v>
      </c>
      <c r="H46" t="n">
        <v>1079</v>
      </c>
      <c r="I46" t="n">
        <v>294</v>
      </c>
      <c r="J46" t="n">
        <v>98</v>
      </c>
      <c r="K46" t="n">
        <v>1471</v>
      </c>
      <c r="L46" t="n">
        <v>392</v>
      </c>
      <c r="M46" t="n">
        <v>98</v>
      </c>
      <c r="P46" t="n">
        <v>240</v>
      </c>
      <c r="Q46" t="n">
        <v>3.873</v>
      </c>
      <c r="T46" t="n">
        <v>2648</v>
      </c>
      <c r="U46" t="n">
        <v>588</v>
      </c>
      <c r="V46" t="n">
        <v>196</v>
      </c>
      <c r="W46" t="n">
        <v>98</v>
      </c>
      <c r="Y46" t="n">
        <v>3727</v>
      </c>
      <c r="Z46" t="n">
        <v>883</v>
      </c>
      <c r="AA46" t="n">
        <v>294</v>
      </c>
      <c r="AB46" t="n">
        <v>98</v>
      </c>
    </row>
    <row r="47">
      <c r="B47" t="n">
        <v>29</v>
      </c>
      <c r="C47" t="n">
        <v>1.346</v>
      </c>
      <c r="F47" t="n">
        <v>13828</v>
      </c>
      <c r="G47" t="n">
        <v>3629</v>
      </c>
      <c r="H47" t="n">
        <v>1079</v>
      </c>
      <c r="I47" t="n">
        <v>294</v>
      </c>
      <c r="J47" t="n">
        <v>98</v>
      </c>
      <c r="K47" t="n">
        <v>1471</v>
      </c>
      <c r="L47" t="n">
        <v>490</v>
      </c>
      <c r="M47" t="n">
        <v>98</v>
      </c>
      <c r="P47" t="n">
        <v>245</v>
      </c>
      <c r="Q47" t="n">
        <v>3.913</v>
      </c>
      <c r="T47" t="n">
        <v>2746</v>
      </c>
      <c r="U47" t="n">
        <v>686</v>
      </c>
      <c r="V47" t="n">
        <v>196</v>
      </c>
      <c r="W47" t="n">
        <v>98</v>
      </c>
      <c r="Y47" t="n">
        <v>3825</v>
      </c>
      <c r="Z47" t="n">
        <v>883</v>
      </c>
      <c r="AA47" t="n">
        <v>294</v>
      </c>
      <c r="AB47" t="n">
        <v>98</v>
      </c>
    </row>
    <row r="48">
      <c r="B48" t="n">
        <v>30</v>
      </c>
      <c r="C48" t="n">
        <v>1.369</v>
      </c>
      <c r="F48" t="n">
        <v>14318</v>
      </c>
      <c r="G48" t="n">
        <v>3727</v>
      </c>
      <c r="H48" t="n">
        <v>1079</v>
      </c>
      <c r="I48" t="n">
        <v>294</v>
      </c>
      <c r="J48" t="n">
        <v>98</v>
      </c>
      <c r="K48" t="n">
        <v>1569</v>
      </c>
      <c r="L48" t="n">
        <v>490</v>
      </c>
      <c r="M48" t="n">
        <v>98</v>
      </c>
      <c r="P48" t="n">
        <v>250</v>
      </c>
      <c r="Q48" t="n">
        <v>3.953</v>
      </c>
      <c r="T48" t="n">
        <v>2746</v>
      </c>
      <c r="U48" t="n">
        <v>686</v>
      </c>
      <c r="V48" t="n">
        <v>196</v>
      </c>
      <c r="W48" t="n">
        <v>98</v>
      </c>
      <c r="Y48" t="n">
        <v>3923</v>
      </c>
      <c r="Z48" t="n">
        <v>981</v>
      </c>
      <c r="AA48" t="n">
        <v>294</v>
      </c>
      <c r="AB48" t="n">
        <v>98</v>
      </c>
    </row>
    <row r="49">
      <c r="J49" t="n">
        <v>98</v>
      </c>
      <c r="M49" t="n">
        <v>98</v>
      </c>
      <c r="W49" t="n">
        <v>98</v>
      </c>
      <c r="AB49" t="n">
        <v>98</v>
      </c>
    </row>
    <row r="50">
      <c r="B50" t="n">
        <v>31</v>
      </c>
      <c r="C50" t="n">
        <v>1.396</v>
      </c>
      <c r="F50" t="n">
        <v>14809</v>
      </c>
      <c r="G50" t="n">
        <v>3923</v>
      </c>
      <c r="H50" t="n">
        <v>1177</v>
      </c>
      <c r="I50" t="n">
        <v>294</v>
      </c>
      <c r="J50" t="n">
        <v>98</v>
      </c>
      <c r="K50" t="n">
        <v>1667</v>
      </c>
      <c r="L50" t="n">
        <v>490</v>
      </c>
      <c r="M50" t="n">
        <v>98</v>
      </c>
      <c r="P50" t="n">
        <v>275</v>
      </c>
      <c r="Q50" t="n">
        <v>4.146</v>
      </c>
      <c r="T50" t="n">
        <v>3040</v>
      </c>
      <c r="U50" t="n">
        <v>686</v>
      </c>
      <c r="V50" t="n">
        <v>196</v>
      </c>
      <c r="W50" t="n">
        <v>98</v>
      </c>
      <c r="Y50" t="n">
        <v>4315</v>
      </c>
      <c r="Z50" t="n">
        <v>981</v>
      </c>
      <c r="AA50" t="n">
        <v>294</v>
      </c>
      <c r="AB50" t="n">
        <v>98</v>
      </c>
    </row>
    <row r="51">
      <c r="B51" t="n">
        <v>32</v>
      </c>
      <c r="C51" t="n">
        <v>1.414</v>
      </c>
      <c r="F51" t="n">
        <v>15299</v>
      </c>
      <c r="G51" t="n">
        <v>4021</v>
      </c>
      <c r="H51" t="n">
        <v>1177</v>
      </c>
      <c r="I51" t="n">
        <v>392</v>
      </c>
      <c r="J51" t="n">
        <v>98</v>
      </c>
      <c r="K51" t="n">
        <v>1667</v>
      </c>
      <c r="L51" t="n">
        <v>490</v>
      </c>
      <c r="M51" t="n">
        <v>98</v>
      </c>
      <c r="P51" t="n">
        <v>300</v>
      </c>
      <c r="Q51" t="n">
        <v>4.331</v>
      </c>
      <c r="T51" t="n">
        <v>3334</v>
      </c>
      <c r="U51" t="n">
        <v>785</v>
      </c>
      <c r="V51" t="n">
        <v>294</v>
      </c>
      <c r="W51" t="n">
        <v>98</v>
      </c>
      <c r="Y51" t="n">
        <v>4707</v>
      </c>
      <c r="Z51" t="n">
        <v>1079</v>
      </c>
      <c r="AA51" t="n">
        <v>392</v>
      </c>
      <c r="AB51" t="n">
        <v>98</v>
      </c>
    </row>
    <row r="52">
      <c r="B52" t="n">
        <v>33</v>
      </c>
      <c r="C52" t="n">
        <v>1.436</v>
      </c>
      <c r="F52" t="n">
        <v>15789</v>
      </c>
      <c r="G52" t="n">
        <v>4119</v>
      </c>
      <c r="H52" t="n">
        <v>1275</v>
      </c>
      <c r="I52" t="n">
        <v>392</v>
      </c>
      <c r="J52" t="n">
        <v>98</v>
      </c>
      <c r="K52" t="n">
        <v>1765</v>
      </c>
      <c r="L52" t="n">
        <v>490</v>
      </c>
      <c r="M52" t="n">
        <v>98</v>
      </c>
      <c r="P52" t="n">
        <v>325</v>
      </c>
      <c r="Q52" t="n">
        <v>4.507</v>
      </c>
      <c r="T52" t="n">
        <v>3629</v>
      </c>
      <c r="U52" t="n">
        <v>883</v>
      </c>
      <c r="V52" t="n">
        <v>294</v>
      </c>
      <c r="W52" t="n">
        <v>98</v>
      </c>
      <c r="Y52" t="n">
        <v>5100</v>
      </c>
      <c r="Z52" t="n">
        <v>1177</v>
      </c>
      <c r="AA52" t="n">
        <v>392</v>
      </c>
      <c r="AB52" t="n">
        <v>98</v>
      </c>
    </row>
    <row r="53">
      <c r="B53" t="n">
        <v>34</v>
      </c>
      <c r="C53" t="n">
        <v>1.458</v>
      </c>
      <c r="F53" t="n">
        <v>16280</v>
      </c>
      <c r="G53" t="n">
        <v>4217</v>
      </c>
      <c r="H53" t="n">
        <v>1275</v>
      </c>
      <c r="I53" t="n">
        <v>392</v>
      </c>
      <c r="J53" t="n">
        <v>98</v>
      </c>
      <c r="K53" t="n">
        <v>1765</v>
      </c>
      <c r="L53" t="n">
        <v>490</v>
      </c>
      <c r="M53" t="n">
        <v>98</v>
      </c>
      <c r="P53" t="n">
        <v>350</v>
      </c>
      <c r="Q53" t="n">
        <v>4.677</v>
      </c>
      <c r="T53" t="n">
        <v>3825</v>
      </c>
      <c r="U53" t="n">
        <v>883</v>
      </c>
      <c r="V53" t="n">
        <v>294</v>
      </c>
      <c r="W53" t="n">
        <v>98</v>
      </c>
      <c r="Y53" t="n">
        <v>5492</v>
      </c>
      <c r="Z53" t="n">
        <v>1275</v>
      </c>
      <c r="AA53" t="n">
        <v>392</v>
      </c>
      <c r="AB53" t="n">
        <v>98</v>
      </c>
    </row>
    <row r="54">
      <c r="B54" t="n">
        <v>35</v>
      </c>
      <c r="C54" t="n">
        <v>1.479</v>
      </c>
      <c r="G54" t="n">
        <v>4413</v>
      </c>
      <c r="H54" t="n">
        <v>1275</v>
      </c>
      <c r="I54" t="n">
        <v>392</v>
      </c>
      <c r="J54" t="n">
        <v>98</v>
      </c>
      <c r="K54" t="n">
        <v>1863</v>
      </c>
      <c r="L54" t="n">
        <v>588</v>
      </c>
      <c r="M54" t="n">
        <v>98</v>
      </c>
      <c r="P54" t="n">
        <v>375</v>
      </c>
      <c r="Q54" t="n">
        <v>4.841</v>
      </c>
      <c r="T54" t="n">
        <v>4119</v>
      </c>
      <c r="U54" t="n">
        <v>981</v>
      </c>
      <c r="V54" t="n">
        <v>294</v>
      </c>
      <c r="W54" t="n">
        <v>98</v>
      </c>
      <c r="Y54" t="n">
        <v>5786</v>
      </c>
      <c r="Z54" t="n">
        <v>1373</v>
      </c>
      <c r="AA54" t="n">
        <v>490</v>
      </c>
      <c r="AB54" t="n">
        <v>98</v>
      </c>
    </row>
    <row r="55">
      <c r="B55" t="n">
        <v>36</v>
      </c>
      <c r="C55" t="n">
        <v>1.5</v>
      </c>
      <c r="G55" t="n">
        <v>4511</v>
      </c>
      <c r="H55" t="n">
        <v>1373</v>
      </c>
      <c r="I55" t="n">
        <v>392</v>
      </c>
      <c r="J55" t="n">
        <v>98</v>
      </c>
      <c r="K55" t="n">
        <v>1863</v>
      </c>
      <c r="L55" t="n">
        <v>588</v>
      </c>
      <c r="M55" t="n">
        <v>98</v>
      </c>
      <c r="P55" t="n">
        <v>400</v>
      </c>
      <c r="Q55" t="n">
        <v>5</v>
      </c>
      <c r="T55" t="n">
        <v>4413</v>
      </c>
      <c r="U55" t="n">
        <v>1079</v>
      </c>
      <c r="V55" t="n">
        <v>392</v>
      </c>
      <c r="W55" t="n">
        <v>98</v>
      </c>
      <c r="Y55" t="n">
        <v>6178</v>
      </c>
      <c r="Z55" t="n">
        <v>1471</v>
      </c>
      <c r="AA55" t="n">
        <v>490</v>
      </c>
      <c r="AB55" t="n">
        <v>98</v>
      </c>
    </row>
    <row r="56">
      <c r="B56" t="n">
        <v>37</v>
      </c>
      <c r="C56" t="n">
        <v>1.521</v>
      </c>
      <c r="G56" t="n">
        <v>4609</v>
      </c>
      <c r="H56" t="n">
        <v>1373</v>
      </c>
      <c r="I56" t="n">
        <v>392</v>
      </c>
      <c r="J56" t="n">
        <v>98</v>
      </c>
      <c r="K56" t="n">
        <v>1961</v>
      </c>
      <c r="L56" t="n">
        <v>588</v>
      </c>
      <c r="M56" t="n">
        <v>98</v>
      </c>
      <c r="P56" t="n">
        <v>425</v>
      </c>
      <c r="Q56" t="n">
        <v>5.154</v>
      </c>
      <c r="T56" t="n">
        <v>4707</v>
      </c>
      <c r="U56" t="n">
        <v>1177</v>
      </c>
      <c r="V56" t="n">
        <v>392</v>
      </c>
      <c r="W56" t="n">
        <v>98</v>
      </c>
      <c r="Y56" t="n">
        <v>6571</v>
      </c>
      <c r="Z56" t="n">
        <v>1569</v>
      </c>
      <c r="AA56" t="n">
        <v>490</v>
      </c>
      <c r="AB56" t="n">
        <v>98</v>
      </c>
    </row>
    <row r="57">
      <c r="B57" t="n">
        <v>38</v>
      </c>
      <c r="C57" t="n">
        <v>1.541</v>
      </c>
      <c r="G57" t="n">
        <v>4707</v>
      </c>
      <c r="H57" t="n">
        <v>1373</v>
      </c>
      <c r="I57" t="n">
        <v>392</v>
      </c>
      <c r="J57" t="n">
        <v>98</v>
      </c>
      <c r="K57" t="n">
        <v>1961</v>
      </c>
      <c r="L57" t="n">
        <v>785</v>
      </c>
      <c r="M57" t="n">
        <v>98</v>
      </c>
      <c r="P57" t="n">
        <v>450</v>
      </c>
      <c r="Q57" t="n">
        <v>5.303</v>
      </c>
      <c r="T57" t="n">
        <v>5002</v>
      </c>
      <c r="U57" t="n">
        <v>1177</v>
      </c>
      <c r="V57" t="n">
        <v>392</v>
      </c>
      <c r="W57" t="n">
        <v>98</v>
      </c>
      <c r="Y57" t="n">
        <v>6963</v>
      </c>
      <c r="Z57" t="n">
        <v>1667</v>
      </c>
      <c r="AA57" t="n">
        <v>588</v>
      </c>
      <c r="AB57" t="n">
        <v>196</v>
      </c>
    </row>
    <row r="58">
      <c r="B58" t="n">
        <v>39</v>
      </c>
      <c r="C58" t="n">
        <v>1.561</v>
      </c>
      <c r="G58" t="n">
        <v>4904</v>
      </c>
      <c r="H58" t="n">
        <v>1471</v>
      </c>
      <c r="I58" t="n">
        <v>392</v>
      </c>
      <c r="J58" t="n">
        <v>98</v>
      </c>
      <c r="K58" t="n">
        <v>2059</v>
      </c>
      <c r="L58" t="n">
        <v>785</v>
      </c>
      <c r="M58" t="n">
        <v>98</v>
      </c>
      <c r="P58" t="n">
        <v>475</v>
      </c>
      <c r="Q58" t="n">
        <v>5.449</v>
      </c>
      <c r="T58" t="n">
        <v>5198</v>
      </c>
      <c r="U58" t="n">
        <v>1275</v>
      </c>
      <c r="V58" t="n">
        <v>392</v>
      </c>
      <c r="W58" t="n">
        <v>98</v>
      </c>
      <c r="Y58" t="n">
        <v>7355</v>
      </c>
      <c r="Z58" t="n">
        <v>1765</v>
      </c>
      <c r="AA58" t="n">
        <v>588</v>
      </c>
      <c r="AB58" t="n">
        <v>196</v>
      </c>
    </row>
    <row r="59">
      <c r="B59" t="n">
        <v>40</v>
      </c>
      <c r="C59" t="n">
        <v>1.581</v>
      </c>
      <c r="G59" t="n">
        <v>5002</v>
      </c>
      <c r="H59" t="n">
        <v>1471</v>
      </c>
      <c r="I59" t="n">
        <v>490</v>
      </c>
      <c r="J59" t="n">
        <v>98</v>
      </c>
      <c r="K59" t="n">
        <v>2059</v>
      </c>
      <c r="L59" t="n">
        <v>785</v>
      </c>
      <c r="M59" t="n">
        <v>196</v>
      </c>
      <c r="P59" t="n">
        <v>500</v>
      </c>
      <c r="Q59" t="n">
        <v>5.59</v>
      </c>
      <c r="T59" t="n">
        <v>5492</v>
      </c>
      <c r="U59" t="n">
        <v>1373</v>
      </c>
      <c r="V59" t="n">
        <v>392</v>
      </c>
      <c r="W59" t="n">
        <v>98</v>
      </c>
      <c r="Y59" t="n">
        <v>7748</v>
      </c>
      <c r="Z59" t="n">
        <v>1863</v>
      </c>
      <c r="AA59" t="n">
        <v>588</v>
      </c>
      <c r="AB59" t="n">
        <v>196</v>
      </c>
    </row>
    <row r="61">
      <c r="B61" t="n">
        <v>41</v>
      </c>
      <c r="C61" t="n">
        <v>1.601</v>
      </c>
      <c r="G61" t="n">
        <v>5100</v>
      </c>
      <c r="H61" t="n">
        <v>1569</v>
      </c>
      <c r="I61" t="n">
        <v>490</v>
      </c>
      <c r="J61" t="n">
        <v>98</v>
      </c>
      <c r="K61" t="n">
        <v>2158</v>
      </c>
      <c r="L61" t="n">
        <v>686</v>
      </c>
      <c r="M61" t="n">
        <v>196</v>
      </c>
      <c r="N61" t="n">
        <v>98</v>
      </c>
      <c r="P61" t="n">
        <v>550</v>
      </c>
      <c r="Q61" t="n">
        <v>5.863</v>
      </c>
      <c r="T61" t="n">
        <v>6080</v>
      </c>
      <c r="U61" t="n">
        <v>1471</v>
      </c>
      <c r="V61" t="n">
        <v>490</v>
      </c>
      <c r="W61" t="n">
        <v>98</v>
      </c>
      <c r="Y61" t="n">
        <v>8532</v>
      </c>
      <c r="Z61" t="n">
        <v>2059</v>
      </c>
      <c r="AA61" t="n">
        <v>686</v>
      </c>
      <c r="AB61" t="n">
        <v>196</v>
      </c>
    </row>
    <row r="62">
      <c r="B62" t="n">
        <v>42</v>
      </c>
      <c r="C62" t="n">
        <v>1.62</v>
      </c>
      <c r="G62" t="n">
        <v>5296</v>
      </c>
      <c r="H62" t="n">
        <v>1569</v>
      </c>
      <c r="I62" t="n">
        <v>490</v>
      </c>
      <c r="J62" t="n">
        <v>98</v>
      </c>
      <c r="K62" t="n">
        <v>2158</v>
      </c>
      <c r="L62" t="n">
        <v>686</v>
      </c>
      <c r="M62" t="n">
        <v>196</v>
      </c>
      <c r="N62" t="n">
        <v>98</v>
      </c>
      <c r="P62" t="n">
        <v>600</v>
      </c>
      <c r="Q62" t="n">
        <v>6124</v>
      </c>
      <c r="U62" t="n">
        <v>1569</v>
      </c>
      <c r="V62" t="n">
        <v>490</v>
      </c>
      <c r="W62" t="n">
        <v>196</v>
      </c>
      <c r="Z62" t="n">
        <v>2256</v>
      </c>
      <c r="AA62" t="n">
        <v>686</v>
      </c>
      <c r="AB62" t="n">
        <v>196</v>
      </c>
    </row>
    <row r="63">
      <c r="B63" t="n">
        <v>43</v>
      </c>
      <c r="C63" t="n">
        <v>1.639</v>
      </c>
      <c r="G63" t="n">
        <v>5394</v>
      </c>
      <c r="H63" t="n">
        <v>1569</v>
      </c>
      <c r="I63" t="n">
        <v>490</v>
      </c>
      <c r="J63" t="n">
        <v>98</v>
      </c>
      <c r="K63" t="n">
        <v>2256</v>
      </c>
      <c r="L63" t="n">
        <v>686</v>
      </c>
      <c r="M63" t="n">
        <v>196</v>
      </c>
      <c r="N63" t="n">
        <v>98</v>
      </c>
      <c r="P63" t="n">
        <v>650</v>
      </c>
      <c r="Q63" t="n">
        <v>6.374</v>
      </c>
      <c r="U63" t="n">
        <v>1765</v>
      </c>
      <c r="V63" t="n">
        <v>588</v>
      </c>
      <c r="W63" t="n">
        <v>196</v>
      </c>
      <c r="Z63" t="n">
        <v>2452</v>
      </c>
      <c r="AA63" t="n">
        <v>785</v>
      </c>
      <c r="AB63" t="n">
        <v>196</v>
      </c>
    </row>
    <row r="64">
      <c r="B64" t="n">
        <v>44</v>
      </c>
      <c r="C64" t="n">
        <v>1.658</v>
      </c>
      <c r="G64" t="n">
        <v>5492</v>
      </c>
      <c r="H64" t="n">
        <v>1667</v>
      </c>
      <c r="I64" t="n">
        <v>490</v>
      </c>
      <c r="J64" t="n">
        <v>98</v>
      </c>
      <c r="K64" t="n">
        <v>2256</v>
      </c>
      <c r="L64" t="n">
        <v>686</v>
      </c>
      <c r="M64" t="n">
        <v>196</v>
      </c>
      <c r="N64" t="n">
        <v>98</v>
      </c>
      <c r="P64" t="n">
        <v>700</v>
      </c>
      <c r="Q64" t="n">
        <v>6.614</v>
      </c>
      <c r="U64" t="n">
        <v>1863</v>
      </c>
      <c r="V64" t="n">
        <v>588</v>
      </c>
      <c r="W64" t="n">
        <v>196</v>
      </c>
      <c r="Z64" t="n">
        <v>2648</v>
      </c>
      <c r="AA64" t="n">
        <v>883</v>
      </c>
      <c r="AB64" t="n">
        <v>294</v>
      </c>
    </row>
    <row r="65">
      <c r="B65" t="n">
        <v>45</v>
      </c>
      <c r="C65" t="n">
        <v>1.677</v>
      </c>
      <c r="G65" t="n">
        <v>5590</v>
      </c>
      <c r="H65" t="n">
        <v>1667</v>
      </c>
      <c r="I65" t="n">
        <v>490</v>
      </c>
      <c r="J65" t="n">
        <v>98</v>
      </c>
      <c r="K65" t="n">
        <v>2354</v>
      </c>
      <c r="L65" t="n">
        <v>686</v>
      </c>
      <c r="M65" t="n">
        <v>196</v>
      </c>
      <c r="N65" t="n">
        <v>98</v>
      </c>
      <c r="P65" t="n">
        <v>750</v>
      </c>
      <c r="Q65" t="n">
        <v>6.847</v>
      </c>
      <c r="U65" t="n">
        <v>1961</v>
      </c>
      <c r="V65" t="n">
        <v>686</v>
      </c>
      <c r="W65" t="n">
        <v>196</v>
      </c>
      <c r="Z65" t="n">
        <v>2844</v>
      </c>
      <c r="AA65" t="n">
        <v>883</v>
      </c>
      <c r="AB65" t="n">
        <v>294</v>
      </c>
    </row>
    <row r="66">
      <c r="B66" t="n">
        <v>46</v>
      </c>
      <c r="C66" t="n">
        <v>1.696</v>
      </c>
      <c r="G66" t="n">
        <v>5786</v>
      </c>
      <c r="H66" t="n">
        <v>1667</v>
      </c>
      <c r="I66" t="n">
        <v>490</v>
      </c>
      <c r="J66" t="n">
        <v>98</v>
      </c>
      <c r="K66" t="n">
        <v>2452</v>
      </c>
      <c r="L66" t="n">
        <v>686</v>
      </c>
      <c r="M66" t="n">
        <v>196</v>
      </c>
      <c r="N66" t="n">
        <v>98</v>
      </c>
      <c r="P66" t="n">
        <v>800</v>
      </c>
      <c r="Q66" t="n">
        <v>7.071</v>
      </c>
      <c r="U66" t="n">
        <v>2158</v>
      </c>
      <c r="V66" t="n">
        <v>686</v>
      </c>
      <c r="W66" t="n">
        <v>196</v>
      </c>
      <c r="Z66" t="n">
        <v>2942</v>
      </c>
      <c r="AA66" t="n">
        <v>981</v>
      </c>
      <c r="AB66" t="n">
        <v>294</v>
      </c>
    </row>
    <row r="67">
      <c r="B67" t="n">
        <v>47</v>
      </c>
      <c r="C67" t="n">
        <v>1.714</v>
      </c>
      <c r="G67" t="n">
        <v>5884</v>
      </c>
      <c r="H67" t="n">
        <v>1765</v>
      </c>
      <c r="I67" t="n">
        <v>490</v>
      </c>
      <c r="J67" t="n">
        <v>98</v>
      </c>
      <c r="K67" t="n">
        <v>2452</v>
      </c>
      <c r="L67" t="n">
        <v>686</v>
      </c>
      <c r="M67" t="n">
        <v>196</v>
      </c>
      <c r="N67" t="n">
        <v>98</v>
      </c>
      <c r="P67" t="n">
        <v>850</v>
      </c>
      <c r="Q67" t="n">
        <v>7.289</v>
      </c>
      <c r="U67" t="n">
        <v>2256</v>
      </c>
      <c r="V67" t="n">
        <v>686</v>
      </c>
      <c r="W67" t="n">
        <v>196</v>
      </c>
      <c r="Z67" t="n">
        <v>3138</v>
      </c>
      <c r="AA67" t="n">
        <v>981</v>
      </c>
      <c r="AB67" t="n">
        <v>294</v>
      </c>
    </row>
    <row r="68">
      <c r="B68" t="n">
        <v>48</v>
      </c>
      <c r="C68" t="n">
        <v>1.732</v>
      </c>
      <c r="G68" t="n">
        <v>5982</v>
      </c>
      <c r="H68" t="n">
        <v>1765</v>
      </c>
      <c r="I68" t="n">
        <v>490</v>
      </c>
      <c r="J68" t="n">
        <v>98</v>
      </c>
      <c r="K68" t="n">
        <v>2550</v>
      </c>
      <c r="L68" t="n">
        <v>785</v>
      </c>
      <c r="M68" t="n">
        <v>196</v>
      </c>
      <c r="N68" t="n">
        <v>98</v>
      </c>
      <c r="P68" t="n">
        <v>900</v>
      </c>
      <c r="Q68" t="n">
        <v>7.5</v>
      </c>
      <c r="U68" t="n">
        <v>2354</v>
      </c>
      <c r="V68" t="n">
        <v>785</v>
      </c>
      <c r="W68" t="n">
        <v>196</v>
      </c>
      <c r="Z68" t="n">
        <v>3334</v>
      </c>
      <c r="AA68" t="n">
        <v>1079</v>
      </c>
      <c r="AB68" t="n">
        <v>294</v>
      </c>
    </row>
    <row r="69">
      <c r="B69" t="n">
        <v>49</v>
      </c>
      <c r="C69" t="n">
        <v>1.75</v>
      </c>
      <c r="G69" t="n">
        <v>6080</v>
      </c>
      <c r="H69" t="n">
        <v>1863</v>
      </c>
      <c r="I69" t="n">
        <v>588</v>
      </c>
      <c r="J69" t="n">
        <v>98</v>
      </c>
      <c r="K69" t="n">
        <v>2550</v>
      </c>
      <c r="L69" t="n">
        <v>785</v>
      </c>
      <c r="M69" t="n">
        <v>196</v>
      </c>
      <c r="N69" t="n">
        <v>98</v>
      </c>
      <c r="P69" t="n">
        <v>950</v>
      </c>
      <c r="Q69" t="n">
        <v>7.706</v>
      </c>
      <c r="U69" t="n">
        <v>2550</v>
      </c>
      <c r="V69" t="n">
        <v>785</v>
      </c>
      <c r="W69" t="n">
        <v>196</v>
      </c>
      <c r="Z69" t="n">
        <v>3531</v>
      </c>
      <c r="AA69" t="n">
        <v>1177</v>
      </c>
      <c r="AB69" t="n">
        <v>294</v>
      </c>
    </row>
    <row r="70">
      <c r="B70" t="n">
        <v>50</v>
      </c>
      <c r="C70" t="n">
        <v>1.768</v>
      </c>
      <c r="G70" t="n">
        <v>6276</v>
      </c>
      <c r="H70" t="n">
        <v>1863</v>
      </c>
      <c r="I70" t="n">
        <v>588</v>
      </c>
      <c r="J70" t="n">
        <v>98</v>
      </c>
      <c r="K70" t="n">
        <v>2648</v>
      </c>
      <c r="L70" t="n">
        <v>785</v>
      </c>
      <c r="M70" t="n">
        <v>196</v>
      </c>
      <c r="N70" t="n">
        <v>98</v>
      </c>
      <c r="P70" t="n">
        <v>1000</v>
      </c>
      <c r="Q70" t="n">
        <v>7.906</v>
      </c>
      <c r="U70" t="n">
        <v>2648</v>
      </c>
      <c r="V70" t="n">
        <v>883</v>
      </c>
      <c r="W70" t="n">
        <v>294</v>
      </c>
      <c r="Z70" t="n">
        <v>3727</v>
      </c>
      <c r="AA70" t="n">
        <v>1177</v>
      </c>
      <c r="AB70" t="n">
        <v>392</v>
      </c>
    </row>
    <row r="71">
      <c r="B71" t="inlineStr">
        <is>
          <t>ÇİZELGE_3</t>
        </is>
      </c>
      <c r="O71" t="inlineStr">
        <is>
          <t>ÇİZELGE_3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2026-10-13T19:39:28Z</dcterms:created>
  <dcterms:modified xmlns:dcterms="http://purl.org/dc/terms/" xmlns:xsi="http://www.w3.org/2001/XMLSchema-instance" xsi:type="dcterms:W3CDTF">2026-10-13T19:39:28Z</dcterms:modified>
</cp:coreProperties>
</file>