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kapak" sheetId="1" state="visible" r:id="rId1"/>
    <sheet xmlns:r="http://schemas.openxmlformats.org/officeDocument/2006/relationships" name="TEKNİK RAPOR" sheetId="2" state="visible" r:id="rId2"/>
    <sheet xmlns:r="http://schemas.openxmlformats.org/officeDocument/2006/relationships" name="ZEMİN" sheetId="3" state="visible" r:id="rId3"/>
    <sheet xmlns:r="http://schemas.openxmlformats.org/officeDocument/2006/relationships" name="1 NK" sheetId="4" state="visible" r:id="rId4"/>
    <sheet xmlns:r="http://schemas.openxmlformats.org/officeDocument/2006/relationships" name="2 NK" sheetId="5" state="visible" r:id="rId5"/>
    <sheet xmlns:r="http://schemas.openxmlformats.org/officeDocument/2006/relationships" name="PETEK LİST" sheetId="6" state="visible" r:id="rId6"/>
    <sheet xmlns:r="http://schemas.openxmlformats.org/officeDocument/2006/relationships" name="YERDEN ISITMA" sheetId="7" state="visible" r:id="rId7"/>
    <sheet xmlns:r="http://schemas.openxmlformats.org/officeDocument/2006/relationships" name="MMO YERDEN ISITMA" sheetId="8" state="visible" r:id="rId8"/>
    <sheet xmlns:r="http://schemas.openxmlformats.org/officeDocument/2006/relationships" name="YERDEN ISITMA- DEVAMI" sheetId="9" state="visible" r:id="rId9"/>
    <sheet xmlns:r="http://schemas.openxmlformats.org/officeDocument/2006/relationships" name="KLİMA HESABI" sheetId="10" state="visible" r:id="rId10"/>
    <sheet xmlns:r="http://schemas.openxmlformats.org/officeDocument/2006/relationships" name="YAĞMUR SUYU" sheetId="11" state="visible" r:id="rId11"/>
    <sheet xmlns:r="http://schemas.openxmlformats.org/officeDocument/2006/relationships" name="KOMBİ-POMPA-GENLEŞME" sheetId="12" state="visible" r:id="rId12"/>
  </sheets>
  <externalReferences>
    <externalReference xmlns:r="http://schemas.openxmlformats.org/officeDocument/2006/relationships" r:id="rId13"/>
  </externalReferences>
  <definedNames>
    <definedName name="_xlnm.Print_Area" localSheetId="1">'TEKNİK RAPOR'!$A$1:$N$65</definedName>
    <definedName name="_xlnm.Print_Area" localSheetId="2">'ZEMİN'!$A$1:$Q$33</definedName>
    <definedName name="_xlnm.Print_Area" localSheetId="3">'1 NK'!$A$1:$Q$193</definedName>
    <definedName name="_xlnm.Print_Area" localSheetId="4">'2 NK'!$A$1:$Q$217</definedName>
    <definedName name="_xlnm.Print_Area" localSheetId="5">'PETEK LİST'!$A$1:$P$60</definedName>
    <definedName name="_xlnm.Print_Area" localSheetId="6">'YERDEN ISITMA'!$A$1:$N$60</definedName>
    <definedName name="_xlnm.Print_Area" localSheetId="7">'MMO YERDEN ISITMA'!$A$1:$AI$47</definedName>
    <definedName name="_xlnm.Print_Area" localSheetId="8">'YERDEN ISITMA- DEVAMI'!$A$1:$AI$47</definedName>
    <definedName name="_xlnm.Print_Area" localSheetId="9">'KLİMA HESABI'!$A$1:$G$70</definedName>
    <definedName name="_xlnm.Print_Area" localSheetId="10">'YAĞMUR SUYU'!$A$1:$D$13</definedName>
    <definedName name="_xlnm.Print_Area" localSheetId="11">'KOMBİ-POMPA-GENLEŞME'!$A$1:$L$30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8">
    <numFmt numFmtId="164" formatCode="[$-409]d\-mmm"/>
    <numFmt numFmtId="165" formatCode="[$-409]m/d/yyyy"/>
    <numFmt numFmtId="166" formatCode="General&quot; W/m²K&quot;"/>
    <numFmt numFmtId="167" formatCode="00000"/>
    <numFmt numFmtId="168" formatCode="#,##0&quot;  &quot;"/>
    <numFmt numFmtId="169" formatCode="&quot;  &quot;@"/>
    <numFmt numFmtId="170" formatCode="0.000"/>
    <numFmt numFmtId="171" formatCode="0.0000"/>
  </numFmts>
  <fonts count="59">
    <font>
      <name val="Arial Tur"/>
      <charset val="162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62"/>
      <family val="2"/>
      <sz val="10"/>
    </font>
    <font>
      <name val="Calibri"/>
      <charset val="162"/>
      <family val="2"/>
      <color rgb="FF000000"/>
      <sz val="12"/>
    </font>
    <font>
      <name val="Swis721 Cn BT"/>
      <family val="2"/>
      <b val="1"/>
      <color rgb="FF000000"/>
      <sz val="40"/>
    </font>
    <font>
      <name val="Swis721 Cn BT"/>
      <family val="2"/>
      <b val="1"/>
      <color rgb="FF000000"/>
      <sz val="16"/>
    </font>
    <font>
      <name val="Times New Roman"/>
      <charset val="162"/>
      <family val="1"/>
      <b val="1"/>
      <color rgb="FF000000"/>
      <sz val="10"/>
    </font>
    <font>
      <name val="Times New Roman"/>
      <charset val="162"/>
      <family val="1"/>
      <b val="1"/>
      <color rgb="FF000000"/>
      <sz val="12"/>
    </font>
    <font>
      <name val="Calibri"/>
      <charset val="162"/>
      <family val="2"/>
      <color rgb="FF000000"/>
      <sz val="20"/>
    </font>
    <font>
      <name val="Calibri"/>
      <charset val="162"/>
      <family val="2"/>
      <b val="1"/>
      <color rgb="FF000000"/>
      <sz val="28"/>
    </font>
    <font>
      <name val="Calibri"/>
      <charset val="162"/>
      <family val="2"/>
      <color rgb="FF000000"/>
      <sz val="16"/>
    </font>
    <font>
      <name val="Calibri"/>
      <charset val="162"/>
      <family val="2"/>
      <color rgb="FF000000"/>
      <sz val="14"/>
    </font>
    <font>
      <name val="Arial Tur"/>
      <charset val="162"/>
      <family val="0"/>
      <b val="1"/>
      <sz val="14"/>
    </font>
    <font>
      <name val="Arial Tur"/>
      <charset val="162"/>
      <family val="2"/>
      <b val="1"/>
      <sz val="14"/>
    </font>
    <font>
      <name val="Arial Tur"/>
      <charset val="162"/>
      <family val="0"/>
      <b val="1"/>
      <sz val="10"/>
    </font>
    <font>
      <name val="Arial Tur"/>
      <charset val="162"/>
      <family val="2"/>
      <b val="1"/>
      <sz val="12"/>
    </font>
    <font>
      <name val="Arial Tur"/>
      <charset val="162"/>
      <family val="2"/>
      <sz val="12"/>
    </font>
    <font>
      <name val="Arial Tur"/>
      <charset val="162"/>
      <family val="0"/>
      <b val="1"/>
      <sz val="12"/>
    </font>
    <font>
      <name val="Arial Tur"/>
      <charset val="162"/>
      <family val="2"/>
      <sz val="11"/>
    </font>
    <font>
      <name val="Arial Tur"/>
      <charset val="162"/>
      <family val="0"/>
      <color rgb="FFFF0000"/>
      <sz val="12"/>
    </font>
    <font>
      <name val="Arial Tur"/>
      <charset val="162"/>
      <family val="0"/>
      <color rgb="FFFF0000"/>
      <sz val="9"/>
    </font>
    <font>
      <name val="Arial Tur"/>
      <charset val="162"/>
      <family val="2"/>
      <color rgb="FFFF0000"/>
      <sz val="9"/>
    </font>
    <font>
      <name val="Arial Tur"/>
      <charset val="162"/>
      <family val="0"/>
      <sz val="9"/>
    </font>
    <font>
      <name val="Arial Tur"/>
      <charset val="162"/>
      <family val="0"/>
      <sz val="8"/>
    </font>
    <font>
      <name val="Arial"/>
      <charset val="162"/>
      <family val="2"/>
      <sz val="8"/>
    </font>
    <font>
      <name val="Arial Tur"/>
      <charset val="162"/>
      <family val="2"/>
      <b val="1"/>
      <sz val="11"/>
    </font>
    <font>
      <name val="Arial Tur"/>
      <charset val="162"/>
      <family val="0"/>
      <sz val="7.5"/>
    </font>
    <font>
      <name val="Arial"/>
      <charset val="162"/>
      <family val="2"/>
      <sz val="7.5"/>
    </font>
    <font>
      <name val="Arial Tur"/>
      <charset val="162"/>
      <family val="0"/>
      <b val="1"/>
      <sz val="7.5"/>
    </font>
    <font>
      <name val="Symbol"/>
      <charset val="2"/>
      <family val="1"/>
      <sz val="7.5"/>
    </font>
    <font>
      <name val="Arial Tur"/>
      <charset val="162"/>
      <family val="2"/>
      <sz val="7.5"/>
    </font>
    <font>
      <name val="Arial Tur"/>
      <charset val="162"/>
      <family val="0"/>
      <sz val="7.5"/>
      <u val="single"/>
    </font>
    <font>
      <name val="Arial Tur"/>
      <charset val="162"/>
      <family val="0"/>
      <sz val="5"/>
    </font>
    <font>
      <name val="Arial Tur"/>
      <charset val="162"/>
      <family val="2"/>
      <i val="1"/>
      <sz val="7.5"/>
    </font>
    <font>
      <name val="Symbol"/>
      <charset val="2"/>
      <family val="1"/>
      <i val="1"/>
      <sz val="7.5"/>
    </font>
    <font>
      <name val="Arial Tur"/>
      <charset val="162"/>
      <family val="0"/>
      <i val="1"/>
      <sz val="7.5"/>
    </font>
    <font>
      <name val="Arial Tur"/>
      <charset val="162"/>
      <family val="2"/>
      <b val="1"/>
      <sz val="7.5"/>
    </font>
    <font>
      <name val="Arial"/>
      <charset val="162"/>
      <family val="2"/>
      <sz val="9"/>
    </font>
    <font>
      <name val="Arial"/>
      <charset val="162"/>
      <family val="2"/>
      <sz val="10"/>
      <vertAlign val="superscript"/>
    </font>
    <font>
      <name val="Arial"/>
      <charset val="162"/>
      <family val="2"/>
      <sz val="14"/>
    </font>
    <font>
      <name val="Arial Tur"/>
      <charset val="162"/>
      <family val="2"/>
      <sz val="8"/>
    </font>
    <font>
      <name val="Arial Tur"/>
      <charset val="162"/>
      <family val="0"/>
      <sz val="8"/>
      <vertAlign val="superscript"/>
    </font>
    <font>
      <name val="Arial Tur"/>
      <charset val="162"/>
      <family val="2"/>
      <sz val="8"/>
      <vertAlign val="superscript"/>
    </font>
    <font>
      <name val="Arial Tur"/>
      <charset val="162"/>
      <family val="2"/>
      <sz val="9"/>
    </font>
    <font>
      <name val="Arial Tur"/>
      <charset val="162"/>
      <family val="0"/>
      <sz val="6.5"/>
    </font>
    <font>
      <name val="Arial Tur"/>
      <charset val="162"/>
      <family val="0"/>
      <b val="1"/>
      <sz val="11"/>
    </font>
    <font>
      <name val="Arial Tur"/>
      <charset val="162"/>
      <family val="0"/>
      <b val="1"/>
      <sz val="9"/>
    </font>
    <font>
      <name val="Arial Tur"/>
      <charset val="162"/>
      <family val="2"/>
      <sz val="10"/>
    </font>
    <font>
      <name val="Arial Tur"/>
      <charset val="162"/>
      <family val="0"/>
      <sz val="8.5"/>
    </font>
    <font>
      <name val="Arial Tur"/>
      <charset val="162"/>
      <family val="0"/>
      <color rgb="FFFF0000"/>
      <sz val="10"/>
    </font>
    <font>
      <name val="Arial Tur"/>
      <family val="0"/>
      <color rgb="FF000000"/>
      <sz val="11"/>
    </font>
    <font>
      <name val="DejaVu Sans"/>
      <family val="2"/>
      <color rgb="FF000000"/>
      <sz val="11"/>
    </font>
    <font>
      <name val="Cambria Math"/>
      <family val="0"/>
      <color rgb="FF000000"/>
      <sz val="11"/>
    </font>
    <font>
      <name val="Arial"/>
      <b val="1"/>
      <sz val="12"/>
    </font>
    <font>
      <name val="Arial"/>
      <sz val="8"/>
    </font>
    <font>
      <name val="Arial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993300"/>
      </patternFill>
    </fill>
    <fill>
      <patternFill patternType="solid">
        <fgColor rgb="FF99CC00"/>
        <bgColor rgb="FFFFCC00"/>
      </patternFill>
    </fill>
    <fill>
      <patternFill patternType="solid">
        <fgColor rgb="00D9E1F2"/>
      </patternFill>
    </fill>
  </fills>
  <borders count="59">
    <border>
      <left/>
      <right/>
      <top/>
      <bottom/>
      <diagonal/>
    </border>
    <border>
      <left style="double"/>
      <right style="double"/>
      <top style="double"/>
      <bottom style="thin"/>
      <diagonal/>
    </border>
    <border>
      <left style="double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double"/>
      <top style="thin"/>
      <bottom style="thin"/>
      <diagonal/>
    </border>
    <border>
      <left style="double"/>
      <right/>
      <top/>
      <bottom/>
      <diagonal/>
    </border>
    <border>
      <left/>
      <right style="double"/>
      <top/>
      <bottom/>
      <diagonal/>
    </border>
    <border>
      <left style="double"/>
      <right style="double"/>
      <top style="thin"/>
      <bottom/>
      <diagonal/>
    </border>
    <border>
      <left style="double"/>
      <right style="thin"/>
      <top style="thin"/>
      <bottom style="double"/>
      <diagonal/>
    </border>
    <border>
      <left style="thin"/>
      <right style="thin"/>
      <top style="thin"/>
      <bottom style="double"/>
      <diagonal/>
    </border>
    <border>
      <left style="thin"/>
      <right style="double"/>
      <top style="thin"/>
      <bottom style="double"/>
      <diagonal/>
    </border>
    <border>
      <left style="double"/>
      <right style="thin"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double"/>
      <bottom style="thin"/>
      <diagonal/>
    </border>
    <border>
      <left style="double"/>
      <right/>
      <top/>
      <bottom style="double"/>
      <diagonal/>
    </border>
    <border>
      <left/>
      <right/>
      <top/>
      <bottom style="double"/>
      <diagonal/>
    </border>
    <border>
      <left/>
      <right style="double"/>
      <top/>
      <bottom style="double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 style="hair"/>
      <top/>
      <bottom style="hair"/>
      <diagonal/>
    </border>
    <border>
      <left style="hair"/>
      <right style="hair"/>
      <top/>
      <bottom style="hair"/>
      <diagonal/>
    </border>
    <border>
      <left style="hair"/>
      <right style="thin"/>
      <top/>
      <bottom style="hair"/>
      <diagonal/>
    </border>
    <border>
      <left style="hair"/>
      <right/>
      <top/>
      <bottom style="hair"/>
      <diagonal/>
    </border>
    <border>
      <left style="hair"/>
      <right style="hair"/>
      <top/>
      <bottom/>
      <diagonal/>
    </border>
    <border>
      <left style="hair"/>
      <right style="thin"/>
      <top style="hair"/>
      <bottom style="hair"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 style="thin"/>
      <top style="thin"/>
      <bottom/>
      <diagonal/>
    </border>
    <border>
      <left/>
      <right/>
      <top style="double"/>
      <bottom/>
      <diagonal/>
    </border>
    <border>
      <left/>
      <right style="double"/>
      <top style="double"/>
      <bottom/>
      <diagonal/>
    </border>
    <border>
      <left/>
      <right/>
      <top style="double"/>
      <bottom style="thin"/>
      <diagonal/>
    </border>
    <border>
      <left/>
      <right style="double"/>
      <top style="double"/>
      <bottom style="thin"/>
      <diagonal/>
    </border>
    <border>
      <left/>
      <right style="double"/>
      <top style="thin"/>
      <bottom/>
      <diagonal/>
    </border>
    <border>
      <left style="double"/>
      <right/>
      <top/>
      <bottom style="thin"/>
      <diagonal/>
    </border>
    <border>
      <left/>
      <right style="double"/>
      <top/>
      <bottom style="thin"/>
      <diagonal/>
    </border>
    <border>
      <left/>
      <right style="double"/>
      <top style="thin"/>
      <bottom style="thin"/>
      <diagonal/>
    </border>
    <border>
      <left style="double"/>
      <right style="thin"/>
      <top/>
      <bottom/>
      <diagonal/>
    </border>
    <border>
      <left style="double"/>
      <right style="thin"/>
      <top/>
      <bottom style="double"/>
      <diagonal/>
    </border>
    <border>
      <left style="thin"/>
      <right style="thin"/>
      <top/>
      <bottom/>
      <diagonal/>
    </border>
    <border>
      <left style="thin"/>
      <right style="thin"/>
      <top/>
      <bottom style="double"/>
      <diagonal/>
    </border>
    <border>
      <left style="thin"/>
      <right/>
      <top/>
      <bottom style="double"/>
      <diagonal/>
    </border>
    <border>
      <left/>
      <right style="thin"/>
      <top/>
      <bottom style="double"/>
      <diagonal/>
    </border>
    <border>
      <left/>
      <right style="thin"/>
      <top style="double"/>
      <bottom/>
      <diagonal/>
    </border>
    <border>
      <left style="thin"/>
      <right style="double"/>
      <top/>
      <bottom/>
      <diagonal/>
    </border>
    <border>
      <left style="thin"/>
      <right style="double"/>
      <top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  <xf numFmtId="9" fontId="0" fillId="0" borderId="0"/>
  </cellStyleXfs>
  <cellXfs count="586">
    <xf numFmtId="0" fontId="0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2" applyAlignment="1" pivotButton="0" quotePrefix="0" xfId="0">
      <alignment horizontal="center" vertical="bottom" wrapText="1"/>
    </xf>
    <xf numFmtId="0" fontId="10" fillId="0" borderId="0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center"/>
    </xf>
    <xf numFmtId="0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bottom"/>
    </xf>
    <xf numFmtId="0" fontId="0" fillId="0" borderId="4" applyAlignment="1" pivotButton="0" quotePrefix="0" xfId="0">
      <alignment horizontal="general" vertical="bottom" wrapText="1"/>
    </xf>
    <xf numFmtId="0" fontId="0" fillId="0" borderId="5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3" applyAlignment="1" pivotButton="0" quotePrefix="0" xfId="0">
      <alignment horizontal="general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top"/>
    </xf>
    <xf numFmtId="0" fontId="5" fillId="0" borderId="2" applyAlignment="1" pivotButton="0" quotePrefix="0" xfId="0">
      <alignment horizontal="center" vertical="bottom"/>
    </xf>
    <xf numFmtId="0" fontId="0" fillId="0" borderId="3" applyAlignment="1" pivotButton="0" quotePrefix="0" xfId="0">
      <alignment horizontal="center" vertical="bottom"/>
    </xf>
    <xf numFmtId="0" fontId="12" fillId="0" borderId="5" applyAlignment="1" pivotButton="0" quotePrefix="0" xfId="0">
      <alignment horizontal="left" vertical="bottom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5" applyAlignment="1" pivotButton="0" quotePrefix="0" xfId="0">
      <alignment horizontal="center" vertical="bottom"/>
    </xf>
    <xf numFmtId="0" fontId="13" fillId="0" borderId="8" applyAlignment="1" pivotButton="0" quotePrefix="0" xfId="0">
      <alignment horizontal="center" vertical="bottom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general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 wrapText="1"/>
    </xf>
    <xf numFmtId="165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14" fillId="0" borderId="12" applyAlignment="1" pivotButton="0" quotePrefix="0" xfId="0">
      <alignment horizontal="center" vertical="bottom"/>
    </xf>
    <xf numFmtId="0" fontId="0" fillId="0" borderId="13" applyAlignment="1" pivotButton="0" quotePrefix="0" xfId="0">
      <alignment horizontal="center" vertical="bottom"/>
    </xf>
    <xf numFmtId="0" fontId="0" fillId="0" borderId="14" applyAlignment="1" pivotButton="0" quotePrefix="0" xfId="0">
      <alignment horizontal="center" vertical="bottom"/>
    </xf>
    <xf numFmtId="0" fontId="0" fillId="0" borderId="3" applyAlignment="1" pivotButton="0" quotePrefix="0" xfId="0">
      <alignment horizontal="left" vertical="bottom"/>
    </xf>
    <xf numFmtId="0" fontId="0" fillId="0" borderId="4" applyAlignment="1" pivotButton="0" quotePrefix="0" xfId="0">
      <alignment horizontal="left" vertical="bottom"/>
    </xf>
    <xf numFmtId="165" fontId="0" fillId="0" borderId="5" applyAlignment="1" pivotButton="0" quotePrefix="0" xfId="0">
      <alignment horizontal="center" vertical="bottom"/>
    </xf>
    <xf numFmtId="0" fontId="15" fillId="0" borderId="0" applyAlignment="1" pivotButton="0" quotePrefix="0" xfId="0">
      <alignment horizontal="general" vertical="bottom"/>
    </xf>
    <xf numFmtId="0" fontId="15" fillId="0" borderId="7" applyAlignment="1" pivotButton="0" quotePrefix="0" xfId="0">
      <alignment horizontal="general" vertical="bottom"/>
    </xf>
    <xf numFmtId="0" fontId="16" fillId="0" borderId="6" applyAlignment="1" pivotButton="0" quotePrefix="0" xfId="0">
      <alignment horizontal="general" vertical="bottom"/>
    </xf>
    <xf numFmtId="0" fontId="17" fillId="0" borderId="0" applyAlignment="1" pivotButton="0" quotePrefix="0" xfId="0">
      <alignment horizontal="center" vertical="bottom"/>
    </xf>
    <xf numFmtId="0" fontId="17" fillId="0" borderId="7" applyAlignment="1" pivotButton="0" quotePrefix="0" xfId="0">
      <alignment horizontal="center" vertical="bottom"/>
    </xf>
    <xf numFmtId="0" fontId="18" fillId="0" borderId="0" applyAlignment="1" pivotButton="0" quotePrefix="0" xfId="0">
      <alignment horizontal="general" vertical="bottom"/>
    </xf>
    <xf numFmtId="0" fontId="18" fillId="0" borderId="7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left" vertical="bottom"/>
    </xf>
    <xf numFmtId="0" fontId="1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19" fillId="0" borderId="0" applyAlignment="1" pivotButton="0" quotePrefix="0" xfId="0">
      <alignment horizontal="left" vertical="bottom" wrapText="1"/>
    </xf>
    <xf numFmtId="0" fontId="18" fillId="0" borderId="7" applyAlignment="1" pivotButton="0" quotePrefix="0" xfId="0">
      <alignment horizontal="left" vertical="bottom"/>
    </xf>
    <xf numFmtId="0" fontId="23" fillId="0" borderId="0" applyAlignment="1" pivotButton="0" quotePrefix="0" xfId="0">
      <alignment horizontal="left" vertical="bottom"/>
    </xf>
    <xf numFmtId="166" fontId="24" fillId="0" borderId="0" applyAlignment="1" pivotButton="0" quotePrefix="0" xfId="0">
      <alignment horizontal="left" vertical="bottom" wrapText="1"/>
    </xf>
    <xf numFmtId="0" fontId="18" fillId="0" borderId="0" applyAlignment="1" pivotButton="0" quotePrefix="0" xfId="0">
      <alignment horizontal="right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5" fillId="0" borderId="18" applyAlignment="1" pivotButton="0" quotePrefix="0" xfId="0">
      <alignment horizontal="general" vertical="center"/>
    </xf>
    <xf numFmtId="0" fontId="25" fillId="0" borderId="19" applyAlignment="1" pivotButton="0" quotePrefix="0" xfId="0">
      <alignment horizontal="general" vertical="center"/>
    </xf>
    <xf numFmtId="0" fontId="26" fillId="0" borderId="18" applyAlignment="1" pivotButton="0" quotePrefix="0" xfId="0">
      <alignment horizontal="general" vertical="center"/>
    </xf>
    <xf numFmtId="0" fontId="26" fillId="0" borderId="19" applyAlignment="1" pivotButton="0" quotePrefix="0" xfId="0">
      <alignment horizontal="general" vertical="center"/>
    </xf>
    <xf numFmtId="0" fontId="27" fillId="0" borderId="19" applyAlignment="1" pivotButton="0" quotePrefix="0" xfId="0">
      <alignment horizontal="left" vertical="center"/>
    </xf>
    <xf numFmtId="0" fontId="25" fillId="0" borderId="20" applyAlignment="1" pivotButton="0" quotePrefix="0" xfId="0">
      <alignment horizontal="general" vertical="center"/>
    </xf>
    <xf numFmtId="0" fontId="25" fillId="0" borderId="4" applyAlignment="1" pivotButton="0" quotePrefix="0" xfId="0">
      <alignment horizontal="center" vertical="center"/>
    </xf>
    <xf numFmtId="0" fontId="25" fillId="0" borderId="4" applyAlignment="1" applyProtection="1" pivotButton="0" quotePrefix="0" xfId="0">
      <alignment horizontal="center" vertical="center"/>
      <protection locked="0" hidden="0"/>
    </xf>
    <xf numFmtId="165" fontId="25" fillId="0" borderId="4" applyAlignment="1" applyProtection="1" pivotButton="0" quotePrefix="0" xfId="0">
      <alignment horizontal="center" vertical="center"/>
      <protection locked="0" hidden="0"/>
    </xf>
    <xf numFmtId="0" fontId="25" fillId="0" borderId="0" applyAlignment="1" pivotButton="0" quotePrefix="0" xfId="0">
      <alignment horizontal="general" vertical="center"/>
    </xf>
    <xf numFmtId="0" fontId="28" fillId="0" borderId="21" applyAlignment="1" pivotButton="0" quotePrefix="0" xfId="0">
      <alignment horizontal="general" vertical="center"/>
    </xf>
    <xf numFmtId="0" fontId="28" fillId="0" borderId="0" applyAlignment="1" pivotButton="0" quotePrefix="0" xfId="0">
      <alignment horizontal="general" vertical="center"/>
    </xf>
    <xf numFmtId="0" fontId="29" fillId="0" borderId="22" applyAlignment="1" pivotButton="0" quotePrefix="0" xfId="0">
      <alignment horizontal="general" vertical="center"/>
    </xf>
    <xf numFmtId="0" fontId="29" fillId="0" borderId="23" applyAlignment="1" pivotButton="0" quotePrefix="0" xfId="0">
      <alignment horizontal="general" vertical="center"/>
    </xf>
    <xf numFmtId="0" fontId="29" fillId="0" borderId="23" applyAlignment="1" applyProtection="1" pivotButton="0" quotePrefix="0" xfId="0">
      <alignment horizontal="general" vertical="center"/>
      <protection locked="0" hidden="0"/>
    </xf>
    <xf numFmtId="0" fontId="28" fillId="0" borderId="23" applyAlignment="1" applyProtection="1" pivotButton="0" quotePrefix="0" xfId="0">
      <alignment horizontal="general" vertical="center"/>
      <protection locked="0" hidden="0"/>
    </xf>
    <xf numFmtId="0" fontId="28" fillId="0" borderId="24" applyAlignment="1" applyProtection="1" pivotButton="0" quotePrefix="0" xfId="0">
      <alignment horizontal="general" vertical="center"/>
      <protection locked="0" hidden="0"/>
    </xf>
    <xf numFmtId="0" fontId="28" fillId="0" borderId="4" applyAlignment="1" pivotButton="0" quotePrefix="0" xfId="0">
      <alignment horizontal="center" vertical="center"/>
    </xf>
    <xf numFmtId="0" fontId="28" fillId="0" borderId="4" applyAlignment="1" applyProtection="1" pivotButton="0" quotePrefix="0" xfId="0">
      <alignment horizontal="center" vertical="center"/>
      <protection locked="0" hidden="0"/>
    </xf>
    <xf numFmtId="0" fontId="30" fillId="0" borderId="25" applyAlignment="1" pivotButton="0" quotePrefix="0" xfId="0">
      <alignment horizontal="center" vertical="center"/>
    </xf>
    <xf numFmtId="0" fontId="30" fillId="0" borderId="26" applyAlignment="1" pivotButton="0" quotePrefix="0" xfId="0">
      <alignment horizontal="center" vertical="center"/>
    </xf>
    <xf numFmtId="0" fontId="30" fillId="0" borderId="4" applyAlignment="1" pivotButton="0" quotePrefix="0" xfId="0">
      <alignment horizontal="center" vertical="center"/>
    </xf>
    <xf numFmtId="0" fontId="28" fillId="0" borderId="4" applyAlignment="1" pivotButton="0" quotePrefix="0" xfId="0">
      <alignment horizontal="center" vertical="center" textRotation="90"/>
    </xf>
    <xf numFmtId="0" fontId="28" fillId="0" borderId="4" applyAlignment="1" pivotButton="0" quotePrefix="0" xfId="0">
      <alignment horizontal="center" vertical="center" textRotation="90" wrapText="1"/>
    </xf>
    <xf numFmtId="0" fontId="28" fillId="0" borderId="0" applyAlignment="1" pivotButton="0" quotePrefix="0" xfId="0">
      <alignment horizontal="general" vertical="bottom"/>
    </xf>
    <xf numFmtId="0" fontId="28" fillId="0" borderId="4" applyAlignment="1" pivotButton="0" quotePrefix="0" xfId="0">
      <alignment horizontal="center" vertical="bottom"/>
    </xf>
    <xf numFmtId="0" fontId="31" fillId="0" borderId="4" applyAlignment="1" pivotButton="0" quotePrefix="0" xfId="0">
      <alignment horizontal="center" vertical="bottom"/>
    </xf>
    <xf numFmtId="0" fontId="33" fillId="0" borderId="4" applyAlignment="1" pivotButton="0" quotePrefix="0" xfId="0">
      <alignment horizontal="center" vertical="center" wrapText="1"/>
    </xf>
    <xf numFmtId="0" fontId="32" fillId="0" borderId="4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/>
    </xf>
    <xf numFmtId="0" fontId="28" fillId="0" borderId="25" applyAlignment="1" applyProtection="1" pivotButton="0" quotePrefix="0" xfId="0">
      <alignment horizontal="general" vertical="center"/>
      <protection locked="0" hidden="0"/>
    </xf>
    <xf numFmtId="0" fontId="28" fillId="0" borderId="27" applyAlignment="1" applyProtection="1" pivotButton="0" quotePrefix="0" xfId="0">
      <alignment horizontal="general" vertical="center"/>
      <protection locked="0" hidden="0"/>
    </xf>
    <xf numFmtId="0" fontId="28" fillId="0" borderId="27" applyAlignment="1" applyProtection="1" pivotButton="0" quotePrefix="0" xfId="0">
      <alignment horizontal="right" vertical="center"/>
      <protection locked="0" hidden="0"/>
    </xf>
    <xf numFmtId="0" fontId="28" fillId="0" borderId="27" applyAlignment="1" applyProtection="1" pivotButton="0" quotePrefix="0" xfId="0">
      <alignment horizontal="center" vertical="center"/>
      <protection locked="0" hidden="0"/>
    </xf>
    <xf numFmtId="0" fontId="34" fillId="0" borderId="27" applyAlignment="1" applyProtection="1" pivotButton="0" quotePrefix="0" xfId="0">
      <alignment horizontal="center" vertical="center"/>
      <protection locked="0" hidden="0"/>
    </xf>
    <xf numFmtId="0" fontId="28" fillId="0" borderId="26" applyAlignment="1" applyProtection="1" pivotButton="0" quotePrefix="0" xfId="0">
      <alignment horizontal="general" vertical="center"/>
      <protection locked="0" hidden="0"/>
    </xf>
    <xf numFmtId="0" fontId="28" fillId="0" borderId="28" applyAlignment="1" applyProtection="1" pivotButton="0" quotePrefix="0" xfId="0">
      <alignment horizontal="center" vertical="center"/>
      <protection locked="0" hidden="0"/>
    </xf>
    <xf numFmtId="167" fontId="28" fillId="0" borderId="29" applyAlignment="1" applyProtection="1" pivotButton="0" quotePrefix="0" xfId="0">
      <alignment horizontal="center" vertical="center"/>
      <protection locked="0" hidden="0"/>
    </xf>
    <xf numFmtId="167" fontId="28" fillId="0" borderId="30" applyAlignment="1" applyProtection="1" pivotButton="0" quotePrefix="0" xfId="0">
      <alignment horizontal="center" vertical="center"/>
      <protection locked="0" hidden="0"/>
    </xf>
    <xf numFmtId="4" fontId="28" fillId="0" borderId="29" applyAlignment="1" applyProtection="1" pivotButton="0" quotePrefix="0" xfId="0">
      <alignment horizontal="center" vertical="center"/>
      <protection locked="0" hidden="0"/>
    </xf>
    <xf numFmtId="4" fontId="28" fillId="0" borderId="29" applyAlignment="1" pivotButton="0" quotePrefix="0" xfId="0">
      <alignment horizontal="center" vertical="center"/>
    </xf>
    <xf numFmtId="3" fontId="28" fillId="0" borderId="29" applyAlignment="1" applyProtection="1" pivotButton="0" quotePrefix="0" xfId="0">
      <alignment horizontal="center" vertical="center"/>
      <protection locked="0" hidden="0"/>
    </xf>
    <xf numFmtId="4" fontId="28" fillId="0" borderId="30" applyAlignment="1" applyProtection="1" pivotButton="0" quotePrefix="0" xfId="0">
      <alignment horizontal="center" vertical="center"/>
      <protection locked="0" hidden="0"/>
    </xf>
    <xf numFmtId="168" fontId="28" fillId="0" borderId="31" applyAlignment="1" pivotButton="0" quotePrefix="0" xfId="0">
      <alignment horizontal="right" vertical="center"/>
    </xf>
    <xf numFmtId="3" fontId="28" fillId="0" borderId="32" applyAlignment="1" applyProtection="1" pivotButton="0" quotePrefix="0" xfId="0">
      <alignment horizontal="center" vertical="center"/>
      <protection locked="0" hidden="0"/>
    </xf>
    <xf numFmtId="168" fontId="28" fillId="0" borderId="30" applyAlignment="1" pivotButton="0" quotePrefix="0" xfId="0">
      <alignment horizontal="right" vertical="center"/>
    </xf>
    <xf numFmtId="168" fontId="28" fillId="0" borderId="33" applyAlignment="1" pivotButton="0" quotePrefix="0" xfId="0">
      <alignment horizontal="right" vertical="center"/>
    </xf>
    <xf numFmtId="0" fontId="28" fillId="0" borderId="22" applyAlignment="1" pivotButton="0" quotePrefix="0" xfId="0">
      <alignment horizontal="center" vertical="center"/>
    </xf>
    <xf numFmtId="167" fontId="28" fillId="0" borderId="23" applyAlignment="1" pivotButton="0" quotePrefix="0" xfId="0">
      <alignment horizontal="center" vertical="center"/>
    </xf>
    <xf numFmtId="4" fontId="28" fillId="0" borderId="23" applyAlignment="1" pivotButton="0" quotePrefix="0" xfId="0">
      <alignment horizontal="center" vertical="center"/>
    </xf>
    <xf numFmtId="3" fontId="28" fillId="0" borderId="23" applyAlignment="1" pivotButton="0" quotePrefix="0" xfId="0">
      <alignment horizontal="center" vertical="center"/>
    </xf>
    <xf numFmtId="168" fontId="28" fillId="0" borderId="34" applyAlignment="1" pivotButton="0" quotePrefix="0" xfId="0">
      <alignment horizontal="right" vertical="center"/>
    </xf>
    <xf numFmtId="3" fontId="28" fillId="0" borderId="4" applyAlignment="1" applyProtection="1" pivotButton="0" quotePrefix="0" xfId="0">
      <alignment horizontal="center" vertical="center"/>
      <protection locked="0" hidden="0"/>
    </xf>
    <xf numFmtId="4" fontId="28" fillId="0" borderId="4" applyAlignment="1" pivotButton="0" quotePrefix="0" xfId="0">
      <alignment horizontal="center" vertical="center"/>
    </xf>
    <xf numFmtId="168" fontId="28" fillId="0" borderId="4" applyAlignment="1" pivotButton="0" quotePrefix="0" xfId="0">
      <alignment horizontal="right" vertical="center"/>
    </xf>
    <xf numFmtId="0" fontId="28" fillId="0" borderId="18" applyAlignment="1" pivotButton="0" quotePrefix="0" xfId="0">
      <alignment horizontal="center" vertical="center"/>
    </xf>
    <xf numFmtId="49" fontId="28" fillId="0" borderId="19" applyAlignment="1" pivotButton="0" quotePrefix="0" xfId="0">
      <alignment horizontal="center" vertical="center"/>
    </xf>
    <xf numFmtId="4" fontId="28" fillId="0" borderId="19" applyAlignment="1" pivotButton="0" quotePrefix="0" xfId="0">
      <alignment horizontal="left" vertical="center"/>
    </xf>
    <xf numFmtId="4" fontId="35" fillId="0" borderId="19" applyAlignment="1" pivotButton="0" quotePrefix="0" xfId="0">
      <alignment horizontal="left" vertical="center"/>
    </xf>
    <xf numFmtId="4" fontId="28" fillId="0" borderId="19" applyAlignment="1" pivotButton="0" quotePrefix="0" xfId="0">
      <alignment horizontal="center" vertical="center"/>
    </xf>
    <xf numFmtId="3" fontId="28" fillId="0" borderId="19" applyAlignment="1" pivotButton="0" quotePrefix="0" xfId="0">
      <alignment horizontal="center" vertical="center"/>
    </xf>
    <xf numFmtId="4" fontId="31" fillId="0" borderId="19" applyAlignment="1" pivotButton="0" quotePrefix="0" xfId="0">
      <alignment horizontal="right" vertical="center"/>
    </xf>
    <xf numFmtId="4" fontId="32" fillId="0" borderId="0" applyAlignment="1" pivotButton="0" quotePrefix="0" xfId="0">
      <alignment horizontal="right" vertical="center"/>
    </xf>
    <xf numFmtId="168" fontId="28" fillId="0" borderId="19" applyAlignment="1" pivotButton="0" quotePrefix="0" xfId="0">
      <alignment horizontal="center" vertical="center"/>
    </xf>
    <xf numFmtId="0" fontId="31" fillId="0" borderId="19" applyAlignment="1" pivotButton="0" quotePrefix="0" xfId="0">
      <alignment horizontal="center" vertical="center"/>
    </xf>
    <xf numFmtId="168" fontId="28" fillId="0" borderId="2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35" fillId="0" borderId="21" applyAlignment="1" pivotButton="0" quotePrefix="0" xfId="0">
      <alignment horizontal="left" vertical="center"/>
    </xf>
    <xf numFmtId="4" fontId="28" fillId="0" borderId="0" applyAlignment="1" pivotButton="0" quotePrefix="0" xfId="0">
      <alignment horizontal="left" vertical="center"/>
    </xf>
    <xf numFmtId="4" fontId="36" fillId="0" borderId="0" applyAlignment="1" pivotButton="0" quotePrefix="0" xfId="0">
      <alignment horizontal="right" vertical="center"/>
    </xf>
    <xf numFmtId="4" fontId="37" fillId="0" borderId="0" applyAlignment="1" pivotButton="0" quotePrefix="0" xfId="0">
      <alignment horizontal="left" vertical="center"/>
    </xf>
    <xf numFmtId="3" fontId="37" fillId="0" borderId="25" applyAlignment="1" pivotButton="0" quotePrefix="0" xfId="0">
      <alignment horizontal="left" vertical="center"/>
    </xf>
    <xf numFmtId="4" fontId="37" fillId="0" borderId="27" applyAlignment="1" pivotButton="0" quotePrefix="0" xfId="0">
      <alignment horizontal="left" vertical="center"/>
    </xf>
    <xf numFmtId="4" fontId="28" fillId="0" borderId="27" applyAlignment="1" pivotButton="0" quotePrefix="0" xfId="0">
      <alignment horizontal="center" vertical="center"/>
    </xf>
    <xf numFmtId="4" fontId="32" fillId="0" borderId="26" applyAlignment="1" pivotButton="0" quotePrefix="0" xfId="0">
      <alignment horizontal="right" vertical="center"/>
    </xf>
    <xf numFmtId="4" fontId="28" fillId="0" borderId="4" applyAlignment="1" applyProtection="1" pivotButton="0" quotePrefix="0" xfId="0">
      <alignment horizontal="center" vertical="center"/>
      <protection locked="0" hidden="0"/>
    </xf>
    <xf numFmtId="0" fontId="28" fillId="0" borderId="21" applyAlignment="1" pivotButton="0" quotePrefix="0" xfId="0">
      <alignment horizontal="left" vertical="center"/>
    </xf>
    <xf numFmtId="3" fontId="28" fillId="0" borderId="0" applyAlignment="1" pivotButton="0" quotePrefix="0" xfId="0">
      <alignment horizontal="left" vertical="center"/>
    </xf>
    <xf numFmtId="3" fontId="38" fillId="0" borderId="0" applyAlignment="1" pivotButton="0" quotePrefix="0" xfId="0">
      <alignment horizontal="right" vertical="center"/>
    </xf>
    <xf numFmtId="4" fontId="38" fillId="0" borderId="0" applyAlignment="1" pivotButton="0" quotePrefix="0" xfId="0">
      <alignment horizontal="left" vertical="center"/>
    </xf>
    <xf numFmtId="3" fontId="38" fillId="0" borderId="0" applyAlignment="1" pivotButton="0" quotePrefix="0" xfId="0">
      <alignment horizontal="left" vertical="center"/>
    </xf>
    <xf numFmtId="168" fontId="38" fillId="0" borderId="35" applyAlignment="1" pivotButton="0" quotePrefix="0" xfId="0">
      <alignment horizontal="right" vertical="center"/>
    </xf>
    <xf numFmtId="169" fontId="28" fillId="0" borderId="25" applyAlignment="1" applyProtection="1" pivotButton="0" quotePrefix="0" xfId="0">
      <alignment horizontal="general" vertical="center"/>
      <protection locked="0" hidden="0"/>
    </xf>
    <xf numFmtId="169" fontId="28" fillId="0" borderId="27" applyAlignment="1" applyProtection="1" pivotButton="0" quotePrefix="0" xfId="0">
      <alignment horizontal="general" vertical="center"/>
      <protection locked="0" hidden="0"/>
    </xf>
    <xf numFmtId="169" fontId="28" fillId="0" borderId="27" applyAlignment="1" applyProtection="1" pivotButton="0" quotePrefix="0" xfId="0">
      <alignment horizontal="center" vertical="center"/>
      <protection locked="0" hidden="0"/>
    </xf>
    <xf numFmtId="169" fontId="28" fillId="0" borderId="26" applyAlignment="1" applyProtection="1" pivotButton="0" quotePrefix="0" xfId="0">
      <alignment horizontal="general" vertical="center"/>
      <protection locked="0" hidden="0"/>
    </xf>
    <xf numFmtId="4" fontId="28" fillId="0" borderId="0" applyAlignment="1" pivotButton="0" quotePrefix="0" xfId="0">
      <alignment horizontal="center" vertical="center"/>
    </xf>
    <xf numFmtId="4" fontId="28" fillId="0" borderId="0" applyAlignment="1" pivotButton="0" quotePrefix="0" xfId="0">
      <alignment horizontal="center" vertical="center"/>
    </xf>
    <xf numFmtId="0" fontId="4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/>
    </xf>
    <xf numFmtId="0" fontId="4" fillId="0" borderId="4" applyAlignment="1" pivotButton="0" quotePrefix="0" xfId="20">
      <alignment horizontal="center" vertical="center" wrapText="1"/>
    </xf>
    <xf numFmtId="0" fontId="4" fillId="0" borderId="4" applyAlignment="1" pivotButton="0" quotePrefix="0" xfId="20">
      <alignment horizontal="center" vertical="center"/>
    </xf>
    <xf numFmtId="0" fontId="4" fillId="0" borderId="4" applyAlignment="1" pivotButton="0" quotePrefix="0" xfId="20">
      <alignment horizontal="center" vertical="center"/>
    </xf>
    <xf numFmtId="165" fontId="4" fillId="0" borderId="4" applyAlignment="1" pivotButton="0" quotePrefix="0" xfId="20">
      <alignment horizontal="center" vertical="center"/>
    </xf>
    <xf numFmtId="0" fontId="26" fillId="0" borderId="4" applyAlignment="1" pivotButton="0" quotePrefix="0" xfId="20">
      <alignment horizontal="center" vertical="center" textRotation="90"/>
    </xf>
    <xf numFmtId="0" fontId="4" fillId="0" borderId="4" applyAlignment="1" pivotButton="0" quotePrefix="0" xfId="20">
      <alignment horizontal="center" vertical="center" textRotation="90"/>
    </xf>
    <xf numFmtId="0" fontId="39" fillId="0" borderId="4" applyAlignment="1" pivotButton="0" quotePrefix="0" xfId="20">
      <alignment horizontal="center" vertical="center"/>
    </xf>
    <xf numFmtId="0" fontId="40" fillId="0" borderId="4" applyAlignment="1" pivotButton="0" quotePrefix="0" xfId="20">
      <alignment horizontal="center" vertical="center"/>
    </xf>
    <xf numFmtId="0" fontId="4" fillId="0" borderId="4" applyAlignment="1" pivotButton="0" quotePrefix="0" xfId="20">
      <alignment horizontal="center" vertical="bottom"/>
    </xf>
    <xf numFmtId="0" fontId="26" fillId="0" borderId="4" applyAlignment="1" pivotButton="0" quotePrefix="0" xfId="20">
      <alignment horizontal="center" vertical="bottom"/>
    </xf>
    <xf numFmtId="49" fontId="4" fillId="0" borderId="4" applyAlignment="1" pivotButton="0" quotePrefix="0" xfId="20">
      <alignment horizontal="center" vertical="bottom"/>
    </xf>
    <xf numFmtId="3" fontId="4" fillId="0" borderId="4" applyAlignment="1" pivotButton="0" quotePrefix="0" xfId="20">
      <alignment horizontal="center" vertical="bottom"/>
    </xf>
    <xf numFmtId="4" fontId="4" fillId="0" borderId="4" applyAlignment="1" pivotButton="0" quotePrefix="0" xfId="20">
      <alignment horizontal="left" vertical="bottom"/>
    </xf>
    <xf numFmtId="0" fontId="4" fillId="0" borderId="4" applyAlignment="1" pivotButton="0" quotePrefix="0" xfId="20">
      <alignment horizontal="center" vertical="bottom"/>
    </xf>
    <xf numFmtId="4" fontId="4" fillId="2" borderId="4" applyAlignment="1" pivotButton="0" quotePrefix="0" xfId="20">
      <alignment horizontal="left" vertical="bottom"/>
    </xf>
    <xf numFmtId="0" fontId="4" fillId="2" borderId="4" applyAlignment="1" pivotButton="0" quotePrefix="0" xfId="20">
      <alignment horizontal="center" vertical="bottom"/>
    </xf>
    <xf numFmtId="3" fontId="0" fillId="0" borderId="0" applyAlignment="1" pivotButton="0" quotePrefix="0" xfId="0">
      <alignment horizontal="general" vertical="bottom"/>
    </xf>
    <xf numFmtId="0" fontId="4" fillId="0" borderId="36" applyAlignment="1" pivotButton="0" quotePrefix="0" xfId="20">
      <alignment horizontal="center" vertical="center" wrapText="1"/>
    </xf>
    <xf numFmtId="0" fontId="4" fillId="0" borderId="36" applyAlignment="1" pivotButton="0" quotePrefix="0" xfId="20">
      <alignment horizontal="center" vertical="center"/>
    </xf>
    <xf numFmtId="0" fontId="4" fillId="0" borderId="0" applyAlignment="1" pivotButton="0" quotePrefix="0" xfId="20">
      <alignment horizontal="general" vertical="center"/>
    </xf>
    <xf numFmtId="0" fontId="20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1" fontId="20" fillId="0" borderId="0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 textRotation="90" wrapText="1"/>
    </xf>
    <xf numFmtId="3" fontId="17" fillId="0" borderId="4" applyAlignment="1" pivotButton="0" quotePrefix="0" xfId="0">
      <alignment horizontal="center" vertical="center" textRotation="90" wrapText="1"/>
    </xf>
    <xf numFmtId="0" fontId="0" fillId="0" borderId="0" applyAlignment="1" pivotButton="0" quotePrefix="0" xfId="0">
      <alignment horizontal="general" vertical="bottom" wrapText="1"/>
    </xf>
    <xf numFmtId="0" fontId="42" fillId="0" borderId="4" applyAlignment="1" pivotButton="0" quotePrefix="0" xfId="0">
      <alignment horizontal="center" vertical="center"/>
    </xf>
    <xf numFmtId="1" fontId="42" fillId="0" borderId="4" applyAlignment="1" pivotButton="0" quotePrefix="0" xfId="0">
      <alignment horizontal="center" vertical="center"/>
    </xf>
    <xf numFmtId="3" fontId="42" fillId="0" borderId="4" applyAlignment="1" pivotButton="0" quotePrefix="0" xfId="0">
      <alignment horizontal="center" vertical="center"/>
    </xf>
    <xf numFmtId="0" fontId="42" fillId="0" borderId="4" applyAlignment="1" pivotButton="0" quotePrefix="0" xfId="0">
      <alignment horizontal="center" vertical="center" wrapText="1"/>
    </xf>
    <xf numFmtId="0" fontId="45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bottom"/>
    </xf>
    <xf numFmtId="0" fontId="46" fillId="0" borderId="4" applyAlignment="1" pivotButton="0" quotePrefix="0" xfId="0">
      <alignment horizontal="center" vertical="bottom"/>
    </xf>
    <xf numFmtId="49" fontId="0" fillId="0" borderId="4" applyAlignment="1" pivotButton="0" quotePrefix="0" xfId="0">
      <alignment horizontal="center" vertical="bottom"/>
    </xf>
    <xf numFmtId="4" fontId="0" fillId="0" borderId="4" applyAlignment="1" pivotButton="0" quotePrefix="0" xfId="0">
      <alignment horizontal="center" vertical="bottom"/>
    </xf>
    <xf numFmtId="3" fontId="0" fillId="0" borderId="4" applyAlignment="1" pivotButton="0" quotePrefix="0" xfId="0">
      <alignment horizontal="center" vertical="bottom"/>
    </xf>
    <xf numFmtId="0" fontId="4" fillId="0" borderId="4" applyAlignment="1" pivotButton="0" quotePrefix="0" xfId="20">
      <alignment horizontal="center" vertical="bottom"/>
    </xf>
    <xf numFmtId="3" fontId="0" fillId="0" borderId="4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16" fillId="0" borderId="25" applyAlignment="1" pivotButton="0" quotePrefix="0" xfId="0">
      <alignment horizontal="center" vertical="bottom"/>
    </xf>
    <xf numFmtId="0" fontId="16" fillId="0" borderId="0" applyAlignment="1" pivotButton="0" quotePrefix="0" xfId="0">
      <alignment horizontal="center" vertical="bottom"/>
    </xf>
    <xf numFmtId="0" fontId="4" fillId="0" borderId="34" applyAlignment="1" pivotButton="0" quotePrefix="0" xfId="20">
      <alignment horizontal="center" vertical="center" wrapText="1"/>
    </xf>
    <xf numFmtId="0" fontId="4" fillId="0" borderId="34" applyAlignment="1" pivotButton="0" quotePrefix="0" xfId="20">
      <alignment horizontal="center" vertical="center"/>
    </xf>
    <xf numFmtId="0" fontId="4" fillId="0" borderId="34" applyAlignment="1" pivotButton="0" quotePrefix="0" xfId="20">
      <alignment horizontal="left" vertical="center"/>
    </xf>
    <xf numFmtId="0" fontId="26" fillId="0" borderId="4" applyAlignment="1" pivotButton="0" quotePrefix="0" xfId="20">
      <alignment horizontal="left" vertical="center"/>
    </xf>
    <xf numFmtId="0" fontId="26" fillId="0" borderId="0" applyAlignment="1" pivotButton="0" quotePrefix="0" xfId="20">
      <alignment horizontal="left" vertical="center"/>
    </xf>
    <xf numFmtId="0" fontId="4" fillId="0" borderId="4" applyAlignment="1" pivotButton="0" quotePrefix="0" xfId="20">
      <alignment horizontal="left" vertical="center"/>
    </xf>
    <xf numFmtId="0" fontId="4" fillId="0" borderId="0" applyAlignment="1" pivotButton="0" quotePrefix="0" xfId="20">
      <alignment horizontal="center" vertical="center"/>
    </xf>
    <xf numFmtId="0" fontId="19" fillId="0" borderId="0" applyAlignment="1" pivotButton="0" quotePrefix="0" xfId="0">
      <alignment horizontal="center" vertical="bottom"/>
    </xf>
    <xf numFmtId="0" fontId="1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19" fillId="0" borderId="4" applyAlignment="1" pivotButton="0" quotePrefix="0" xfId="0">
      <alignment horizontal="center" vertical="bottom"/>
    </xf>
    <xf numFmtId="0" fontId="24" fillId="0" borderId="4" applyAlignment="1" pivotButton="0" quotePrefix="0" xfId="0">
      <alignment horizontal="left" vertical="bottom"/>
    </xf>
    <xf numFmtId="0" fontId="19" fillId="0" borderId="4" applyAlignment="1" pivotButton="0" quotePrefix="0" xfId="0">
      <alignment horizontal="center" vertical="center"/>
    </xf>
    <xf numFmtId="0" fontId="47" fillId="0" borderId="4" applyAlignment="1" pivotButton="0" quotePrefix="0" xfId="0">
      <alignment horizontal="center" vertical="center"/>
    </xf>
    <xf numFmtId="164" fontId="19" fillId="0" borderId="4" applyAlignment="1" pivotButton="0" quotePrefix="0" xfId="0">
      <alignment horizontal="center" vertical="center"/>
    </xf>
    <xf numFmtId="0" fontId="24" fillId="0" borderId="4" applyAlignment="1" pivotButton="0" quotePrefix="0" xfId="0">
      <alignment horizontal="general" vertical="bottom"/>
    </xf>
    <xf numFmtId="0" fontId="0" fillId="0" borderId="4" applyAlignment="1" pivotButton="0" quotePrefix="0" xfId="0">
      <alignment horizontal="center" vertical="center"/>
    </xf>
    <xf numFmtId="0" fontId="48" fillId="0" borderId="4" applyAlignment="1" pivotButton="0" quotePrefix="0" xfId="0">
      <alignment horizontal="center" vertical="center" wrapText="1"/>
    </xf>
    <xf numFmtId="0" fontId="47" fillId="0" borderId="4" applyAlignment="1" pivotButton="0" quotePrefix="0" xfId="0">
      <alignment horizontal="center" vertical="center" wrapText="1"/>
    </xf>
    <xf numFmtId="0" fontId="16" fillId="0" borderId="4" applyAlignment="1" pivotButton="0" quotePrefix="0" xfId="0">
      <alignment horizontal="center" vertical="center" wrapText="1"/>
    </xf>
    <xf numFmtId="0" fontId="0" fillId="3" borderId="4" applyAlignment="1" pivotButton="0" quotePrefix="0" xfId="0">
      <alignment horizontal="center" vertical="center"/>
    </xf>
    <xf numFmtId="3" fontId="0" fillId="3" borderId="4" applyAlignment="1" pivotButton="0" quotePrefix="0" xfId="0">
      <alignment horizontal="center" vertical="center"/>
    </xf>
    <xf numFmtId="3" fontId="0" fillId="2" borderId="4" applyAlignment="1" pivotButton="0" quotePrefix="0" xfId="0">
      <alignment horizontal="center" vertical="center"/>
    </xf>
    <xf numFmtId="1" fontId="0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general" vertical="bottom"/>
    </xf>
    <xf numFmtId="0" fontId="49" fillId="0" borderId="4" applyAlignment="1" pivotButton="0" quotePrefix="0" xfId="0">
      <alignment horizontal="general" vertical="bottom"/>
    </xf>
    <xf numFmtId="0" fontId="0" fillId="2" borderId="4" applyAlignment="1" pivotButton="0" quotePrefix="0" xfId="0">
      <alignment horizontal="center" vertical="center"/>
    </xf>
    <xf numFmtId="0" fontId="50" fillId="0" borderId="4" applyAlignment="1" pivotButton="0" quotePrefix="0" xfId="0">
      <alignment horizontal="center" vertical="bottom"/>
    </xf>
    <xf numFmtId="1" fontId="0" fillId="4" borderId="4" applyAlignment="1" pivotButton="0" quotePrefix="0" xfId="0">
      <alignment horizontal="center" vertical="center"/>
    </xf>
    <xf numFmtId="1" fontId="0" fillId="5" borderId="4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50" fillId="0" borderId="27" applyAlignment="1" pivotButton="0" quotePrefix="0" xfId="0">
      <alignment horizontal="general" vertical="center"/>
    </xf>
    <xf numFmtId="0" fontId="50" fillId="0" borderId="25" applyAlignment="1" pivotButton="0" quotePrefix="0" xfId="0">
      <alignment horizontal="general" vertical="center"/>
    </xf>
    <xf numFmtId="0" fontId="0" fillId="0" borderId="4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0" fontId="51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center" vertical="bottom"/>
    </xf>
    <xf numFmtId="49" fontId="0" fillId="0" borderId="0" applyAlignment="1" pivotButton="0" quotePrefix="0" xfId="0">
      <alignment horizontal="general" vertical="bottom"/>
    </xf>
    <xf numFmtId="0" fontId="16" fillId="0" borderId="27" applyAlignment="1" pivotButton="0" quotePrefix="0" xfId="0">
      <alignment horizontal="center" vertical="bottom"/>
    </xf>
    <xf numFmtId="0" fontId="0" fillId="0" borderId="27" applyAlignment="1" pivotButton="0" quotePrefix="0" xfId="0">
      <alignment horizontal="general" vertical="bottom"/>
    </xf>
    <xf numFmtId="0" fontId="0" fillId="0" borderId="26" applyAlignment="1" pivotButton="0" quotePrefix="0" xfId="0">
      <alignment horizontal="general" vertical="bottom"/>
    </xf>
    <xf numFmtId="0" fontId="4" fillId="0" borderId="25" applyAlignment="1" pivotButton="0" quotePrefix="0" xfId="20">
      <alignment horizontal="general" vertical="center"/>
    </xf>
    <xf numFmtId="0" fontId="4" fillId="0" borderId="27" applyAlignment="1" pivotButton="0" quotePrefix="0" xfId="20">
      <alignment horizontal="general" vertical="center"/>
    </xf>
    <xf numFmtId="0" fontId="4" fillId="0" borderId="26" applyAlignment="1" pivotButton="0" quotePrefix="0" xfId="20">
      <alignment horizontal="general" vertical="center"/>
    </xf>
    <xf numFmtId="0" fontId="19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/>
    </xf>
    <xf numFmtId="2" fontId="0" fillId="3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1" applyAlignment="1" pivotButton="0" quotePrefix="0" xfId="0">
      <alignment horizontal="center" vertical="bottom"/>
    </xf>
    <xf numFmtId="0" fontId="0" fillId="0" borderId="39" pivotButton="0" quotePrefix="0" xfId="0"/>
    <xf numFmtId="0" fontId="0" fillId="0" borderId="40" pivotButton="0" quotePrefix="0" xfId="0"/>
    <xf numFmtId="0" fontId="5" fillId="0" borderId="0" applyAlignment="1" pivotButton="0" quotePrefix="0" xfId="0">
      <alignment horizontal="general" vertical="bottom"/>
    </xf>
    <xf numFmtId="0" fontId="6" fillId="0" borderId="2" applyAlignment="1" pivotButton="0" quotePrefix="0" xfId="0">
      <alignment horizontal="center" vertical="bottom" wrapText="1"/>
    </xf>
    <xf numFmtId="0" fontId="0" fillId="0" borderId="19" pivotButton="0" quotePrefix="0" xfId="0"/>
    <xf numFmtId="0" fontId="0" fillId="0" borderId="41" pivotButton="0" quotePrefix="0" xfId="0"/>
    <xf numFmtId="0" fontId="10" fillId="0" borderId="0" applyAlignment="1" pivotButton="0" quotePrefix="0" xfId="0">
      <alignment horizontal="general" vertical="bottom"/>
    </xf>
    <xf numFmtId="0" fontId="0" fillId="0" borderId="6" pivotButton="0" quotePrefix="0" xfId="0"/>
    <xf numFmtId="0" fontId="0" fillId="0" borderId="7" pivotButton="0" quotePrefix="0" xfId="0"/>
    <xf numFmtId="0" fontId="0" fillId="0" borderId="42" pivotButton="0" quotePrefix="0" xfId="0"/>
    <xf numFmtId="0" fontId="0" fillId="0" borderId="23" pivotButton="0" quotePrefix="0" xfId="0"/>
    <xf numFmtId="0" fontId="0" fillId="0" borderId="43" pivotButton="0" quotePrefix="0" xfId="0"/>
    <xf numFmtId="0" fontId="0" fillId="0" borderId="3" applyAlignment="1" pivotButton="0" quotePrefix="0" xfId="0">
      <alignment horizontal="general" vertical="center"/>
    </xf>
    <xf numFmtId="0" fontId="0" fillId="0" borderId="4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4" applyAlignment="1" pivotButton="0" quotePrefix="0" xfId="0">
      <alignment horizontal="center" vertical="bottom"/>
    </xf>
    <xf numFmtId="0" fontId="0" fillId="0" borderId="4" applyAlignment="1" pivotButton="0" quotePrefix="0" xfId="0">
      <alignment horizontal="general" vertical="bottom" wrapText="1"/>
    </xf>
    <xf numFmtId="0" fontId="0" fillId="0" borderId="5" applyAlignment="1" pivotButton="0" quotePrefix="0" xfId="0">
      <alignment horizontal="center" vertical="bottom"/>
    </xf>
    <xf numFmtId="0" fontId="0" fillId="0" borderId="27" pivotButton="0" quotePrefix="0" xfId="0"/>
    <xf numFmtId="0" fontId="0" fillId="0" borderId="44" pivotButton="0" quotePrefix="0" xfId="0"/>
    <xf numFmtId="0" fontId="0" fillId="0" borderId="0" applyAlignment="1" pivotButton="0" quotePrefix="0" xfId="0">
      <alignment horizontal="center" vertical="bottom"/>
    </xf>
    <xf numFmtId="0" fontId="0" fillId="0" borderId="3" applyAlignment="1" pivotButton="0" quotePrefix="0" xfId="0">
      <alignment horizontal="general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top"/>
    </xf>
    <xf numFmtId="0" fontId="5" fillId="0" borderId="2" applyAlignment="1" pivotButton="0" quotePrefix="0" xfId="0">
      <alignment horizontal="center" vertical="bottom"/>
    </xf>
    <xf numFmtId="0" fontId="0" fillId="0" borderId="3" applyAlignment="1" pivotButton="0" quotePrefix="0" xfId="0">
      <alignment horizontal="center" vertical="bottom"/>
    </xf>
    <xf numFmtId="0" fontId="0" fillId="0" borderId="20" pivotButton="0" quotePrefix="0" xfId="0"/>
    <xf numFmtId="0" fontId="12" fillId="0" borderId="5" applyAlignment="1" pivotButton="0" quotePrefix="0" xfId="0">
      <alignment horizontal="left" vertical="bottom"/>
    </xf>
    <xf numFmtId="0" fontId="0" fillId="0" borderId="24" pivotButton="0" quotePrefix="0" xfId="0"/>
    <xf numFmtId="0" fontId="0" fillId="0" borderId="22" pivotButton="0" quotePrefix="0" xfId="0"/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3" fillId="0" borderId="8" applyAlignment="1" pivotButton="0" quotePrefix="0" xfId="0">
      <alignment horizontal="center" vertical="bottom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general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 wrapText="1"/>
    </xf>
    <xf numFmtId="165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17" pivotButton="0" quotePrefix="0" xfId="0"/>
    <xf numFmtId="0" fontId="14" fillId="0" borderId="12" applyAlignment="1" pivotButton="0" quotePrefix="0" xfId="0">
      <alignment horizontal="center" vertical="bottom"/>
    </xf>
    <xf numFmtId="0" fontId="0" fillId="0" borderId="37" pivotButton="0" quotePrefix="0" xfId="0"/>
    <xf numFmtId="0" fontId="0" fillId="0" borderId="51" pivotButton="0" quotePrefix="0" xfId="0"/>
    <xf numFmtId="0" fontId="0" fillId="0" borderId="13" applyAlignment="1" pivotButton="0" quotePrefix="0" xfId="0">
      <alignment horizontal="center" vertical="bottom"/>
    </xf>
    <xf numFmtId="0" fontId="0" fillId="0" borderId="14" applyAlignment="1" pivotButton="0" quotePrefix="0" xfId="0">
      <alignment horizontal="center" vertical="bottom"/>
    </xf>
    <xf numFmtId="0" fontId="0" fillId="0" borderId="34" pivotButton="0" quotePrefix="0" xfId="0"/>
    <xf numFmtId="0" fontId="0" fillId="0" borderId="53" pivotButton="0" quotePrefix="0" xfId="0"/>
    <xf numFmtId="0" fontId="0" fillId="0" borderId="3" applyAlignment="1" pivotButton="0" quotePrefix="0" xfId="0">
      <alignment horizontal="left" vertical="bottom"/>
    </xf>
    <xf numFmtId="0" fontId="0" fillId="0" borderId="4" applyAlignment="1" pivotButton="0" quotePrefix="0" xfId="0">
      <alignment horizontal="left" vertical="bottom"/>
    </xf>
    <xf numFmtId="165" fontId="0" fillId="0" borderId="5" applyAlignment="1" pivotButton="0" quotePrefix="0" xfId="0">
      <alignment horizontal="center" vertical="bottom"/>
    </xf>
    <xf numFmtId="0" fontId="15" fillId="0" borderId="0" applyAlignment="1" pivotButton="0" quotePrefix="0" xfId="0">
      <alignment horizontal="general" vertical="bottom"/>
    </xf>
    <xf numFmtId="0" fontId="15" fillId="0" borderId="7" applyAlignment="1" pivotButton="0" quotePrefix="0" xfId="0">
      <alignment horizontal="general" vertical="bottom"/>
    </xf>
    <xf numFmtId="0" fontId="16" fillId="0" borderId="6" applyAlignment="1" pivotButton="0" quotePrefix="0" xfId="0">
      <alignment horizontal="general" vertical="bottom"/>
    </xf>
    <xf numFmtId="0" fontId="17" fillId="0" borderId="0" applyAlignment="1" pivotButton="0" quotePrefix="0" xfId="0">
      <alignment horizontal="center" vertical="bottom"/>
    </xf>
    <xf numFmtId="0" fontId="17" fillId="0" borderId="7" applyAlignment="1" pivotButton="0" quotePrefix="0" xfId="0">
      <alignment horizontal="center" vertical="bottom"/>
    </xf>
    <xf numFmtId="0" fontId="18" fillId="0" borderId="0" applyAlignment="1" pivotButton="0" quotePrefix="0" xfId="0">
      <alignment horizontal="general" vertical="bottom"/>
    </xf>
    <xf numFmtId="0" fontId="18" fillId="0" borderId="7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left" vertical="bottom"/>
    </xf>
    <xf numFmtId="0" fontId="1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19" fillId="0" borderId="0" applyAlignment="1" pivotButton="0" quotePrefix="0" xfId="0">
      <alignment horizontal="left" vertical="bottom" wrapText="1"/>
    </xf>
    <xf numFmtId="0" fontId="18" fillId="0" borderId="7" applyAlignment="1" pivotButton="0" quotePrefix="0" xfId="0">
      <alignment horizontal="left" vertical="bottom"/>
    </xf>
    <xf numFmtId="0" fontId="23" fillId="0" borderId="0" applyAlignment="1" pivotButton="0" quotePrefix="0" xfId="0">
      <alignment horizontal="left" vertical="bottom"/>
    </xf>
    <xf numFmtId="166" fontId="24" fillId="0" borderId="0" applyAlignment="1" pivotButton="0" quotePrefix="0" xfId="0">
      <alignment horizontal="left" vertical="bottom" wrapText="1"/>
    </xf>
    <xf numFmtId="0" fontId="18" fillId="0" borderId="0" applyAlignment="1" pivotButton="0" quotePrefix="0" xfId="0">
      <alignment horizontal="right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25" fillId="0" borderId="18" applyAlignment="1" pivotButton="0" quotePrefix="0" xfId="0">
      <alignment horizontal="general" vertical="center"/>
    </xf>
    <xf numFmtId="0" fontId="25" fillId="0" borderId="19" applyAlignment="1" pivotButton="0" quotePrefix="0" xfId="0">
      <alignment horizontal="general" vertical="center"/>
    </xf>
    <xf numFmtId="0" fontId="26" fillId="0" borderId="18" applyAlignment="1" pivotButton="0" quotePrefix="0" xfId="0">
      <alignment horizontal="general" vertical="center"/>
    </xf>
    <xf numFmtId="0" fontId="26" fillId="0" borderId="19" applyAlignment="1" pivotButton="0" quotePrefix="0" xfId="0">
      <alignment horizontal="general" vertical="center"/>
    </xf>
    <xf numFmtId="0" fontId="27" fillId="0" borderId="19" applyAlignment="1" pivotButton="0" quotePrefix="0" xfId="0">
      <alignment horizontal="left" vertical="center"/>
    </xf>
    <xf numFmtId="0" fontId="25" fillId="0" borderId="20" applyAlignment="1" pivotButton="0" quotePrefix="0" xfId="0">
      <alignment horizontal="general" vertical="center"/>
    </xf>
    <xf numFmtId="0" fontId="25" fillId="0" borderId="4" applyAlignment="1" pivotButton="0" quotePrefix="0" xfId="0">
      <alignment horizontal="center" vertical="center"/>
    </xf>
    <xf numFmtId="0" fontId="25" fillId="0" borderId="4" applyAlignment="1" applyProtection="1" pivotButton="0" quotePrefix="0" xfId="0">
      <alignment horizontal="center" vertical="center"/>
      <protection locked="0" hidden="0"/>
    </xf>
    <xf numFmtId="165" fontId="25" fillId="0" borderId="4" applyAlignment="1" applyProtection="1" pivotButton="0" quotePrefix="0" xfId="0">
      <alignment horizontal="center" vertical="center"/>
      <protection locked="0" hidden="0"/>
    </xf>
    <xf numFmtId="0" fontId="28" fillId="0" borderId="0" applyAlignment="1" pivotButton="0" quotePrefix="0" xfId="0">
      <alignment horizontal="general" vertical="center"/>
    </xf>
    <xf numFmtId="0" fontId="28" fillId="0" borderId="21" applyAlignment="1" pivotButton="0" quotePrefix="0" xfId="0">
      <alignment horizontal="general" vertical="center"/>
    </xf>
    <xf numFmtId="0" fontId="29" fillId="0" borderId="22" applyAlignment="1" pivotButton="0" quotePrefix="0" xfId="0">
      <alignment horizontal="general" vertical="center"/>
    </xf>
    <xf numFmtId="0" fontId="29" fillId="0" borderId="23" applyAlignment="1" pivotButton="0" quotePrefix="0" xfId="0">
      <alignment horizontal="general" vertical="center"/>
    </xf>
    <xf numFmtId="0" fontId="29" fillId="0" borderId="23" applyAlignment="1" applyProtection="1" pivotButton="0" quotePrefix="0" xfId="0">
      <alignment horizontal="general" vertical="center"/>
      <protection locked="0" hidden="0"/>
    </xf>
    <xf numFmtId="0" fontId="28" fillId="0" borderId="23" applyAlignment="1" applyProtection="1" pivotButton="0" quotePrefix="0" xfId="0">
      <alignment horizontal="general" vertical="center"/>
      <protection locked="0" hidden="0"/>
    </xf>
    <xf numFmtId="0" fontId="28" fillId="0" borderId="24" applyAlignment="1" applyProtection="1" pivotButton="0" quotePrefix="0" xfId="0">
      <alignment horizontal="general" vertical="center"/>
      <protection locked="0" hidden="0"/>
    </xf>
    <xf numFmtId="0" fontId="28" fillId="0" borderId="4" applyAlignment="1" pivotButton="0" quotePrefix="0" xfId="0">
      <alignment horizontal="center" vertical="center"/>
    </xf>
    <xf numFmtId="0" fontId="28" fillId="0" borderId="4" applyAlignment="1" applyProtection="1" pivotButton="0" quotePrefix="0" xfId="0">
      <alignment horizontal="center" vertical="center"/>
      <protection locked="0" hidden="0"/>
    </xf>
    <xf numFmtId="0" fontId="30" fillId="0" borderId="25" applyAlignment="1" pivotButton="0" quotePrefix="0" xfId="0">
      <alignment horizontal="center" vertical="center"/>
    </xf>
    <xf numFmtId="0" fontId="30" fillId="0" borderId="26" applyAlignment="1" pivotButton="0" quotePrefix="0" xfId="0">
      <alignment horizontal="center" vertical="center"/>
    </xf>
    <xf numFmtId="0" fontId="30" fillId="0" borderId="4" applyAlignment="1" pivotButton="0" quotePrefix="0" xfId="0">
      <alignment horizontal="center" vertical="center"/>
    </xf>
    <xf numFmtId="0" fontId="28" fillId="0" borderId="0" applyAlignment="1" pivotButton="0" quotePrefix="0" xfId="0">
      <alignment horizontal="general" vertical="bottom"/>
    </xf>
    <xf numFmtId="0" fontId="28" fillId="0" borderId="4" applyAlignment="1" pivotButton="0" quotePrefix="0" xfId="0">
      <alignment horizontal="center" vertical="center" textRotation="90"/>
    </xf>
    <xf numFmtId="0" fontId="28" fillId="0" borderId="4" applyAlignment="1" pivotButton="0" quotePrefix="0" xfId="0">
      <alignment horizontal="center" vertical="center" textRotation="90" wrapText="1"/>
    </xf>
    <xf numFmtId="0" fontId="28" fillId="0" borderId="4" applyAlignment="1" pivotButton="0" quotePrefix="0" xfId="0">
      <alignment horizontal="center" vertical="bottom"/>
    </xf>
    <xf numFmtId="0" fontId="31" fillId="0" borderId="4" applyAlignment="1" pivotButton="0" quotePrefix="0" xfId="0">
      <alignment horizontal="center" vertical="bottom"/>
    </xf>
    <xf numFmtId="0" fontId="28" fillId="0" borderId="0" applyAlignment="1" pivotButton="0" quotePrefix="0" xfId="0">
      <alignment horizontal="center" vertical="center"/>
    </xf>
    <xf numFmtId="0" fontId="33" fillId="0" borderId="4" applyAlignment="1" pivotButton="0" quotePrefix="0" xfId="0">
      <alignment horizontal="center" vertical="center" wrapText="1"/>
    </xf>
    <xf numFmtId="0" fontId="32" fillId="0" borderId="4" applyAlignment="1" pivotButton="0" quotePrefix="0" xfId="0">
      <alignment horizontal="center" vertical="center" wrapText="1"/>
    </xf>
    <xf numFmtId="0" fontId="28" fillId="0" borderId="25" applyAlignment="1" applyProtection="1" pivotButton="0" quotePrefix="0" xfId="0">
      <alignment horizontal="general" vertical="center"/>
      <protection locked="0" hidden="0"/>
    </xf>
    <xf numFmtId="0" fontId="28" fillId="0" borderId="27" applyAlignment="1" applyProtection="1" pivotButton="0" quotePrefix="0" xfId="0">
      <alignment horizontal="general" vertical="center"/>
      <protection locked="0" hidden="0"/>
    </xf>
    <xf numFmtId="0" fontId="28" fillId="0" borderId="27" applyAlignment="1" applyProtection="1" pivotButton="0" quotePrefix="0" xfId="0">
      <alignment horizontal="right" vertical="center"/>
      <protection locked="0" hidden="0"/>
    </xf>
    <xf numFmtId="0" fontId="28" fillId="0" borderId="27" applyAlignment="1" applyProtection="1" pivotButton="0" quotePrefix="0" xfId="0">
      <alignment horizontal="center" vertical="center"/>
      <protection locked="0" hidden="0"/>
    </xf>
    <xf numFmtId="0" fontId="34" fillId="0" borderId="27" applyAlignment="1" applyProtection="1" pivotButton="0" quotePrefix="0" xfId="0">
      <alignment horizontal="center" vertical="center"/>
      <protection locked="0" hidden="0"/>
    </xf>
    <xf numFmtId="0" fontId="0" fillId="0" borderId="27" applyProtection="1" pivotButton="0" quotePrefix="0" xfId="0">
      <protection locked="0" hidden="0"/>
    </xf>
    <xf numFmtId="0" fontId="28" fillId="0" borderId="26" applyAlignment="1" applyProtection="1" pivotButton="0" quotePrefix="0" xfId="0">
      <alignment horizontal="general" vertical="center"/>
      <protection locked="0" hidden="0"/>
    </xf>
    <xf numFmtId="0" fontId="28" fillId="0" borderId="28" applyAlignment="1" applyProtection="1" pivotButton="0" quotePrefix="0" xfId="0">
      <alignment horizontal="center" vertical="center"/>
      <protection locked="0" hidden="0"/>
    </xf>
    <xf numFmtId="167" fontId="28" fillId="0" borderId="29" applyAlignment="1" applyProtection="1" pivotButton="0" quotePrefix="0" xfId="0">
      <alignment horizontal="center" vertical="center"/>
      <protection locked="0" hidden="0"/>
    </xf>
    <xf numFmtId="167" fontId="28" fillId="0" borderId="30" applyAlignment="1" applyProtection="1" pivotButton="0" quotePrefix="0" xfId="0">
      <alignment horizontal="center" vertical="center"/>
      <protection locked="0" hidden="0"/>
    </xf>
    <xf numFmtId="4" fontId="28" fillId="0" borderId="29" applyAlignment="1" applyProtection="1" pivotButton="0" quotePrefix="0" xfId="0">
      <alignment horizontal="center" vertical="center"/>
      <protection locked="0" hidden="0"/>
    </xf>
    <xf numFmtId="4" fontId="28" fillId="0" borderId="29" applyAlignment="1" pivotButton="0" quotePrefix="0" xfId="0">
      <alignment horizontal="center" vertical="center"/>
    </xf>
    <xf numFmtId="3" fontId="28" fillId="0" borderId="29" applyAlignment="1" applyProtection="1" pivotButton="0" quotePrefix="0" xfId="0">
      <alignment horizontal="center" vertical="center"/>
      <protection locked="0" hidden="0"/>
    </xf>
    <xf numFmtId="4" fontId="28" fillId="0" borderId="30" applyAlignment="1" applyProtection="1" pivotButton="0" quotePrefix="0" xfId="0">
      <alignment horizontal="center" vertical="center"/>
      <protection locked="0" hidden="0"/>
    </xf>
    <xf numFmtId="168" fontId="28" fillId="0" borderId="31" applyAlignment="1" pivotButton="0" quotePrefix="0" xfId="0">
      <alignment horizontal="right" vertical="center"/>
    </xf>
    <xf numFmtId="3" fontId="28" fillId="0" borderId="32" applyAlignment="1" applyProtection="1" pivotButton="0" quotePrefix="0" xfId="0">
      <alignment horizontal="center" vertical="center"/>
      <protection locked="0" hidden="0"/>
    </xf>
    <xf numFmtId="168" fontId="28" fillId="0" borderId="30" applyAlignment="1" pivotButton="0" quotePrefix="0" xfId="0">
      <alignment horizontal="right" vertical="center"/>
    </xf>
    <xf numFmtId="0" fontId="28" fillId="0" borderId="22" applyAlignment="1" pivotButton="0" quotePrefix="0" xfId="0">
      <alignment horizontal="center" vertical="center"/>
    </xf>
    <xf numFmtId="167" fontId="28" fillId="0" borderId="23" applyAlignment="1" pivotButton="0" quotePrefix="0" xfId="0">
      <alignment horizontal="center" vertical="center"/>
    </xf>
    <xf numFmtId="4" fontId="28" fillId="0" borderId="23" applyAlignment="1" pivotButton="0" quotePrefix="0" xfId="0">
      <alignment horizontal="center" vertical="center"/>
    </xf>
    <xf numFmtId="3" fontId="28" fillId="0" borderId="23" applyAlignment="1" pivotButton="0" quotePrefix="0" xfId="0">
      <alignment horizontal="center" vertical="center"/>
    </xf>
    <xf numFmtId="168" fontId="28" fillId="0" borderId="34" applyAlignment="1" pivotButton="0" quotePrefix="0" xfId="0">
      <alignment horizontal="right" vertical="center"/>
    </xf>
    <xf numFmtId="3" fontId="28" fillId="0" borderId="4" applyAlignment="1" applyProtection="1" pivotButton="0" quotePrefix="0" xfId="0">
      <alignment horizontal="center" vertical="center"/>
      <protection locked="0" hidden="0"/>
    </xf>
    <xf numFmtId="4" fontId="28" fillId="0" borderId="4" applyAlignment="1" pivotButton="0" quotePrefix="0" xfId="0">
      <alignment horizontal="center" vertical="center"/>
    </xf>
    <xf numFmtId="168" fontId="28" fillId="0" borderId="4" applyAlignment="1" pivotButton="0" quotePrefix="0" xfId="0">
      <alignment horizontal="right" vertical="center"/>
    </xf>
    <xf numFmtId="0" fontId="28" fillId="0" borderId="18" applyAlignment="1" pivotButton="0" quotePrefix="0" xfId="0">
      <alignment horizontal="center" vertical="center"/>
    </xf>
    <xf numFmtId="49" fontId="28" fillId="0" borderId="19" applyAlignment="1" pivotButton="0" quotePrefix="0" xfId="0">
      <alignment horizontal="center" vertical="center"/>
    </xf>
    <xf numFmtId="4" fontId="28" fillId="0" borderId="19" applyAlignment="1" pivotButton="0" quotePrefix="0" xfId="0">
      <alignment horizontal="left" vertical="center"/>
    </xf>
    <xf numFmtId="4" fontId="35" fillId="0" borderId="19" applyAlignment="1" pivotButton="0" quotePrefix="0" xfId="0">
      <alignment horizontal="left" vertical="center"/>
    </xf>
    <xf numFmtId="4" fontId="28" fillId="0" borderId="19" applyAlignment="1" pivotButton="0" quotePrefix="0" xfId="0">
      <alignment horizontal="center" vertical="center"/>
    </xf>
    <xf numFmtId="3" fontId="28" fillId="0" borderId="19" applyAlignment="1" pivotButton="0" quotePrefix="0" xfId="0">
      <alignment horizontal="center" vertical="center"/>
    </xf>
    <xf numFmtId="4" fontId="31" fillId="0" borderId="19" applyAlignment="1" pivotButton="0" quotePrefix="0" xfId="0">
      <alignment horizontal="right" vertical="center"/>
    </xf>
    <xf numFmtId="4" fontId="32" fillId="0" borderId="0" applyAlignment="1" pivotButton="0" quotePrefix="0" xfId="0">
      <alignment horizontal="right" vertical="center"/>
    </xf>
    <xf numFmtId="168" fontId="28" fillId="0" borderId="19" applyAlignment="1" pivotButton="0" quotePrefix="0" xfId="0">
      <alignment horizontal="center" vertical="center"/>
    </xf>
    <xf numFmtId="0" fontId="31" fillId="0" borderId="19" applyAlignment="1" pivotButton="0" quotePrefix="0" xfId="0">
      <alignment horizontal="center" vertical="center"/>
    </xf>
    <xf numFmtId="168" fontId="28" fillId="0" borderId="20" applyAlignment="1" pivotButton="0" quotePrefix="0" xfId="0">
      <alignment horizontal="center" vertical="center"/>
    </xf>
    <xf numFmtId="0" fontId="35" fillId="0" borderId="21" applyAlignment="1" pivotButton="0" quotePrefix="0" xfId="0">
      <alignment horizontal="left" vertical="center"/>
    </xf>
    <xf numFmtId="167" fontId="28" fillId="0" borderId="29" applyAlignment="1" applyProtection="1" pivotButton="0" quotePrefix="0" xfId="0">
      <alignment horizontal="center" vertical="center"/>
      <protection locked="0" hidden="0"/>
    </xf>
    <xf numFmtId="4" fontId="28" fillId="0" borderId="0" applyAlignment="1" pivotButton="0" quotePrefix="0" xfId="0">
      <alignment horizontal="left" vertical="center"/>
    </xf>
    <xf numFmtId="4" fontId="36" fillId="0" borderId="0" applyAlignment="1" pivotButton="0" quotePrefix="0" xfId="0">
      <alignment horizontal="right" vertical="center"/>
    </xf>
    <xf numFmtId="4" fontId="37" fillId="0" borderId="0" applyAlignment="1" pivotButton="0" quotePrefix="0" xfId="0">
      <alignment horizontal="left" vertical="center"/>
    </xf>
    <xf numFmtId="3" fontId="37" fillId="0" borderId="25" applyAlignment="1" pivotButton="0" quotePrefix="0" xfId="0">
      <alignment horizontal="left" vertical="center"/>
    </xf>
    <xf numFmtId="4" fontId="37" fillId="0" borderId="27" applyAlignment="1" pivotButton="0" quotePrefix="0" xfId="0">
      <alignment horizontal="left" vertical="center"/>
    </xf>
    <xf numFmtId="4" fontId="28" fillId="0" borderId="27" applyAlignment="1" pivotButton="0" quotePrefix="0" xfId="0">
      <alignment horizontal="center" vertical="center"/>
    </xf>
    <xf numFmtId="4" fontId="32" fillId="0" borderId="26" applyAlignment="1" pivotButton="0" quotePrefix="0" xfId="0">
      <alignment horizontal="right" vertical="center"/>
    </xf>
    <xf numFmtId="4" fontId="28" fillId="0" borderId="4" applyAlignment="1" applyProtection="1" pivotButton="0" quotePrefix="0" xfId="0">
      <alignment horizontal="center" vertical="center"/>
      <protection locked="0" hidden="0"/>
    </xf>
    <xf numFmtId="0" fontId="28" fillId="0" borderId="21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/>
    </xf>
    <xf numFmtId="3" fontId="28" fillId="0" borderId="0" applyAlignment="1" pivotButton="0" quotePrefix="0" xfId="0">
      <alignment horizontal="left" vertical="center"/>
    </xf>
    <xf numFmtId="3" fontId="38" fillId="0" borderId="0" applyAlignment="1" pivotButton="0" quotePrefix="0" xfId="0">
      <alignment horizontal="right" vertical="center"/>
    </xf>
    <xf numFmtId="4" fontId="38" fillId="0" borderId="0" applyAlignment="1" pivotButton="0" quotePrefix="0" xfId="0">
      <alignment horizontal="left" vertical="center"/>
    </xf>
    <xf numFmtId="3" fontId="38" fillId="0" borderId="0" applyAlignment="1" pivotButton="0" quotePrefix="0" xfId="0">
      <alignment horizontal="left" vertical="center"/>
    </xf>
    <xf numFmtId="168" fontId="38" fillId="0" borderId="35" applyAlignment="1" pivotButton="0" quotePrefix="0" xfId="0">
      <alignment horizontal="right" vertical="center"/>
    </xf>
    <xf numFmtId="0" fontId="28" fillId="0" borderId="0" applyAlignment="1" pivotButton="0" quotePrefix="0" xfId="0">
      <alignment horizontal="left" vertical="center"/>
    </xf>
    <xf numFmtId="0" fontId="28" fillId="0" borderId="28" applyAlignment="1" applyProtection="1" pivotButton="0" quotePrefix="0" xfId="0">
      <alignment horizontal="center" vertical="center"/>
      <protection locked="0" hidden="0"/>
    </xf>
    <xf numFmtId="167" fontId="28" fillId="0" borderId="30" applyAlignment="1" applyProtection="1" pivotButton="0" quotePrefix="0" xfId="0">
      <alignment horizontal="center" vertical="center"/>
      <protection locked="0" hidden="0"/>
    </xf>
    <xf numFmtId="4" fontId="28" fillId="0" borderId="29" applyAlignment="1" applyProtection="1" pivotButton="0" quotePrefix="0" xfId="0">
      <alignment horizontal="center" vertical="center"/>
      <protection locked="0" hidden="0"/>
    </xf>
    <xf numFmtId="4" fontId="28" fillId="0" borderId="29" applyAlignment="1" pivotButton="0" quotePrefix="0" xfId="0">
      <alignment horizontal="center" vertical="center"/>
    </xf>
    <xf numFmtId="3" fontId="28" fillId="0" borderId="29" applyAlignment="1" applyProtection="1" pivotButton="0" quotePrefix="0" xfId="0">
      <alignment horizontal="center" vertical="center"/>
      <protection locked="0" hidden="0"/>
    </xf>
    <xf numFmtId="4" fontId="28" fillId="0" borderId="30" applyAlignment="1" applyProtection="1" pivotButton="0" quotePrefix="0" xfId="0">
      <alignment horizontal="center" vertical="center"/>
      <protection locked="0" hidden="0"/>
    </xf>
    <xf numFmtId="168" fontId="28" fillId="0" borderId="31" applyAlignment="1" pivotButton="0" quotePrefix="0" xfId="0">
      <alignment horizontal="right" vertical="center"/>
    </xf>
    <xf numFmtId="3" fontId="28" fillId="0" borderId="32" applyAlignment="1" applyProtection="1" pivotButton="0" quotePrefix="0" xfId="0">
      <alignment horizontal="center" vertical="center"/>
      <protection locked="0" hidden="0"/>
    </xf>
    <xf numFmtId="168" fontId="28" fillId="0" borderId="30" applyAlignment="1" pivotButton="0" quotePrefix="0" xfId="0">
      <alignment horizontal="right" vertical="center"/>
    </xf>
    <xf numFmtId="168" fontId="28" fillId="0" borderId="33" applyAlignment="1" pivotButton="0" quotePrefix="0" xfId="0">
      <alignment horizontal="right" vertical="center"/>
    </xf>
    <xf numFmtId="0" fontId="28" fillId="0" borderId="22" applyAlignment="1" pivotButton="0" quotePrefix="0" xfId="0">
      <alignment horizontal="center" vertical="center"/>
    </xf>
    <xf numFmtId="167" fontId="28" fillId="0" borderId="23" applyAlignment="1" pivotButton="0" quotePrefix="0" xfId="0">
      <alignment horizontal="center" vertical="center"/>
    </xf>
    <xf numFmtId="4" fontId="28" fillId="0" borderId="23" applyAlignment="1" pivotButton="0" quotePrefix="0" xfId="0">
      <alignment horizontal="center" vertical="center"/>
    </xf>
    <xf numFmtId="3" fontId="28" fillId="0" borderId="23" applyAlignment="1" pivotButton="0" quotePrefix="0" xfId="0">
      <alignment horizontal="center" vertical="center"/>
    </xf>
    <xf numFmtId="168" fontId="28" fillId="0" borderId="34" applyAlignment="1" pivotButton="0" quotePrefix="0" xfId="0">
      <alignment horizontal="right" vertical="center"/>
    </xf>
    <xf numFmtId="3" fontId="28" fillId="0" borderId="4" applyAlignment="1" applyProtection="1" pivotButton="0" quotePrefix="0" xfId="0">
      <alignment horizontal="center" vertical="center"/>
      <protection locked="0" hidden="0"/>
    </xf>
    <xf numFmtId="4" fontId="28" fillId="0" borderId="4" applyAlignment="1" pivotButton="0" quotePrefix="0" xfId="0">
      <alignment horizontal="center" vertical="center"/>
    </xf>
    <xf numFmtId="168" fontId="28" fillId="0" borderId="4" applyAlignment="1" pivotButton="0" quotePrefix="0" xfId="0">
      <alignment horizontal="right" vertical="center"/>
    </xf>
    <xf numFmtId="0" fontId="28" fillId="0" borderId="18" applyAlignment="1" pivotButton="0" quotePrefix="0" xfId="0">
      <alignment horizontal="center" vertical="center"/>
    </xf>
    <xf numFmtId="49" fontId="28" fillId="0" borderId="19" applyAlignment="1" pivotButton="0" quotePrefix="0" xfId="0">
      <alignment horizontal="center" vertical="center"/>
    </xf>
    <xf numFmtId="4" fontId="28" fillId="0" borderId="19" applyAlignment="1" pivotButton="0" quotePrefix="0" xfId="0">
      <alignment horizontal="left" vertical="center"/>
    </xf>
    <xf numFmtId="4" fontId="35" fillId="0" borderId="19" applyAlignment="1" pivotButton="0" quotePrefix="0" xfId="0">
      <alignment horizontal="left" vertical="center"/>
    </xf>
    <xf numFmtId="4" fontId="28" fillId="0" borderId="19" applyAlignment="1" pivotButton="0" quotePrefix="0" xfId="0">
      <alignment horizontal="center" vertical="center"/>
    </xf>
    <xf numFmtId="3" fontId="28" fillId="0" borderId="19" applyAlignment="1" pivotButton="0" quotePrefix="0" xfId="0">
      <alignment horizontal="center" vertical="center"/>
    </xf>
    <xf numFmtId="4" fontId="31" fillId="0" borderId="19" applyAlignment="1" pivotButton="0" quotePrefix="0" xfId="0">
      <alignment horizontal="right" vertical="center"/>
    </xf>
    <xf numFmtId="4" fontId="32" fillId="0" borderId="0" applyAlignment="1" pivotButton="0" quotePrefix="0" xfId="0">
      <alignment horizontal="right" vertical="center"/>
    </xf>
    <xf numFmtId="168" fontId="28" fillId="0" borderId="19" applyAlignment="1" pivotButton="0" quotePrefix="0" xfId="0">
      <alignment horizontal="center" vertical="center"/>
    </xf>
    <xf numFmtId="0" fontId="31" fillId="0" borderId="19" applyAlignment="1" pivotButton="0" quotePrefix="0" xfId="0">
      <alignment horizontal="center" vertical="center"/>
    </xf>
    <xf numFmtId="168" fontId="28" fillId="0" borderId="20" applyAlignment="1" pivotButton="0" quotePrefix="0" xfId="0">
      <alignment horizontal="center" vertical="center"/>
    </xf>
    <xf numFmtId="0" fontId="35" fillId="0" borderId="21" applyAlignment="1" pivotButton="0" quotePrefix="0" xfId="0">
      <alignment horizontal="left" vertical="center"/>
    </xf>
    <xf numFmtId="4" fontId="28" fillId="0" borderId="0" applyAlignment="1" pivotButton="0" quotePrefix="0" xfId="0">
      <alignment horizontal="left" vertical="center"/>
    </xf>
    <xf numFmtId="4" fontId="36" fillId="0" borderId="0" applyAlignment="1" pivotButton="0" quotePrefix="0" xfId="0">
      <alignment horizontal="right" vertical="center"/>
    </xf>
    <xf numFmtId="4" fontId="37" fillId="0" borderId="0" applyAlignment="1" pivotButton="0" quotePrefix="0" xfId="0">
      <alignment horizontal="left" vertical="center"/>
    </xf>
    <xf numFmtId="3" fontId="37" fillId="0" borderId="25" applyAlignment="1" pivotButton="0" quotePrefix="0" xfId="0">
      <alignment horizontal="left" vertical="center"/>
    </xf>
    <xf numFmtId="4" fontId="37" fillId="0" borderId="27" applyAlignment="1" pivotButton="0" quotePrefix="0" xfId="0">
      <alignment horizontal="left" vertical="center"/>
    </xf>
    <xf numFmtId="4" fontId="28" fillId="0" borderId="27" applyAlignment="1" pivotButton="0" quotePrefix="0" xfId="0">
      <alignment horizontal="center" vertical="center"/>
    </xf>
    <xf numFmtId="4" fontId="32" fillId="0" borderId="26" applyAlignment="1" pivotButton="0" quotePrefix="0" xfId="0">
      <alignment horizontal="right" vertical="center"/>
    </xf>
    <xf numFmtId="4" fontId="28" fillId="0" borderId="4" applyAlignment="1" applyProtection="1" pivotButton="0" quotePrefix="0" xfId="0">
      <alignment horizontal="center" vertical="center"/>
      <protection locked="0" hidden="0"/>
    </xf>
    <xf numFmtId="0" fontId="28" fillId="0" borderId="21" applyAlignment="1" pivotButton="0" quotePrefix="0" xfId="0">
      <alignment horizontal="left" vertical="center"/>
    </xf>
    <xf numFmtId="3" fontId="28" fillId="0" borderId="0" applyAlignment="1" pivotButton="0" quotePrefix="0" xfId="0">
      <alignment horizontal="left" vertical="center"/>
    </xf>
    <xf numFmtId="3" fontId="38" fillId="0" borderId="0" applyAlignment="1" pivotButton="0" quotePrefix="0" xfId="0">
      <alignment horizontal="right" vertical="center"/>
    </xf>
    <xf numFmtId="4" fontId="38" fillId="0" borderId="0" applyAlignment="1" pivotButton="0" quotePrefix="0" xfId="0">
      <alignment horizontal="left" vertical="center"/>
    </xf>
    <xf numFmtId="3" fontId="38" fillId="0" borderId="0" applyAlignment="1" pivotButton="0" quotePrefix="0" xfId="0">
      <alignment horizontal="left" vertical="center"/>
    </xf>
    <xf numFmtId="168" fontId="38" fillId="0" borderId="35" applyAlignment="1" pivotButton="0" quotePrefix="0" xfId="0">
      <alignment horizontal="right" vertical="center"/>
    </xf>
    <xf numFmtId="169" fontId="28" fillId="0" borderId="25" applyAlignment="1" applyProtection="1" pivotButton="0" quotePrefix="0" xfId="0">
      <alignment horizontal="general" vertical="center"/>
      <protection locked="0" hidden="0"/>
    </xf>
    <xf numFmtId="169" fontId="28" fillId="0" borderId="27" applyAlignment="1" applyProtection="1" pivotButton="0" quotePrefix="0" xfId="0">
      <alignment horizontal="general" vertical="center"/>
      <protection locked="0" hidden="0"/>
    </xf>
    <xf numFmtId="0" fontId="28" fillId="0" borderId="27" applyAlignment="1" applyProtection="1" pivotButton="0" quotePrefix="0" xfId="0">
      <alignment horizontal="right" vertical="center"/>
      <protection locked="0" hidden="0"/>
    </xf>
    <xf numFmtId="169" fontId="28" fillId="0" borderId="27" applyAlignment="1" applyProtection="1" pivotButton="0" quotePrefix="0" xfId="0">
      <alignment horizontal="center" vertical="center"/>
      <protection locked="0" hidden="0"/>
    </xf>
    <xf numFmtId="169" fontId="28" fillId="0" borderId="26" applyAlignment="1" applyProtection="1" pivotButton="0" quotePrefix="0" xfId="0">
      <alignment horizontal="general" vertical="center"/>
      <protection locked="0" hidden="0"/>
    </xf>
    <xf numFmtId="4" fontId="28" fillId="0" borderId="0" applyAlignment="1" pivotButton="0" quotePrefix="0" xfId="0">
      <alignment horizontal="center" vertical="center"/>
    </xf>
    <xf numFmtId="0" fontId="4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/>
    </xf>
    <xf numFmtId="0" fontId="4" fillId="0" borderId="4" applyAlignment="1" pivotButton="0" quotePrefix="0" xfId="20">
      <alignment horizontal="center" vertical="center" wrapText="1"/>
    </xf>
    <xf numFmtId="0" fontId="4" fillId="0" borderId="4" applyAlignment="1" pivotButton="0" quotePrefix="0" xfId="20">
      <alignment horizontal="center" vertical="center"/>
    </xf>
    <xf numFmtId="0" fontId="0" fillId="0" borderId="21" pivotButton="0" quotePrefix="0" xfId="0"/>
    <xf numFmtId="0" fontId="0" fillId="0" borderId="35" pivotButton="0" quotePrefix="0" xfId="0"/>
    <xf numFmtId="165" fontId="4" fillId="0" borderId="4" applyAlignment="1" pivotButton="0" quotePrefix="0" xfId="20">
      <alignment horizontal="center" vertical="center"/>
    </xf>
    <xf numFmtId="0" fontId="26" fillId="0" borderId="4" applyAlignment="1" pivotButton="0" quotePrefix="0" xfId="20">
      <alignment horizontal="center" vertical="center" textRotation="90"/>
    </xf>
    <xf numFmtId="0" fontId="4" fillId="0" borderId="4" applyAlignment="1" pivotButton="0" quotePrefix="0" xfId="20">
      <alignment horizontal="center" vertical="center" textRotation="90"/>
    </xf>
    <xf numFmtId="0" fontId="0" fillId="0" borderId="47" pivotButton="0" quotePrefix="0" xfId="0"/>
    <xf numFmtId="0" fontId="39" fillId="0" borderId="4" applyAlignment="1" pivotButton="0" quotePrefix="0" xfId="20">
      <alignment horizontal="center" vertical="center"/>
    </xf>
    <xf numFmtId="0" fontId="40" fillId="0" borderId="4" applyAlignment="1" pivotButton="0" quotePrefix="0" xfId="20">
      <alignment horizontal="center" vertical="center"/>
    </xf>
    <xf numFmtId="0" fontId="4" fillId="0" borderId="4" applyAlignment="1" pivotButton="0" quotePrefix="0" xfId="20">
      <alignment horizontal="center" vertical="bottom"/>
    </xf>
    <xf numFmtId="0" fontId="26" fillId="0" borderId="4" applyAlignment="1" pivotButton="0" quotePrefix="0" xfId="20">
      <alignment horizontal="center" vertical="bottom"/>
    </xf>
    <xf numFmtId="49" fontId="4" fillId="0" borderId="4" applyAlignment="1" pivotButton="0" quotePrefix="0" xfId="20">
      <alignment horizontal="center" vertical="bottom"/>
    </xf>
    <xf numFmtId="3" fontId="4" fillId="0" borderId="4" applyAlignment="1" pivotButton="0" quotePrefix="0" xfId="20">
      <alignment horizontal="center" vertical="bottom"/>
    </xf>
    <xf numFmtId="4" fontId="4" fillId="0" borderId="4" applyAlignment="1" pivotButton="0" quotePrefix="0" xfId="20">
      <alignment horizontal="left" vertical="bottom"/>
    </xf>
    <xf numFmtId="0" fontId="4" fillId="0" borderId="4" applyAlignment="1" pivotButton="0" quotePrefix="0" xfId="0">
      <alignment horizontal="center" vertical="bottom"/>
    </xf>
    <xf numFmtId="0" fontId="26" fillId="0" borderId="4" applyAlignment="1" pivotButton="0" quotePrefix="0" xfId="0">
      <alignment horizontal="center" vertical="bottom"/>
    </xf>
    <xf numFmtId="49" fontId="4" fillId="0" borderId="4" applyAlignment="1" pivotButton="0" quotePrefix="0" xfId="0">
      <alignment horizontal="center" vertical="bottom"/>
    </xf>
    <xf numFmtId="3" fontId="4" fillId="0" borderId="4" applyAlignment="1" pivotButton="0" quotePrefix="0" xfId="0">
      <alignment horizontal="center" vertical="bottom"/>
    </xf>
    <xf numFmtId="4" fontId="4" fillId="0" borderId="4" applyAlignment="1" pivotButton="0" quotePrefix="0" xfId="0">
      <alignment horizontal="left" vertical="bottom"/>
    </xf>
    <xf numFmtId="4" fontId="4" fillId="2" borderId="4" applyAlignment="1" pivotButton="0" quotePrefix="0" xfId="0">
      <alignment horizontal="left" vertical="bottom"/>
    </xf>
    <xf numFmtId="0" fontId="4" fillId="2" borderId="4" applyAlignment="1" pivotButton="0" quotePrefix="0" xfId="0">
      <alignment horizontal="center" vertical="bottom"/>
    </xf>
    <xf numFmtId="3" fontId="0" fillId="0" borderId="0" applyAlignment="1" pivotButton="0" quotePrefix="0" xfId="0">
      <alignment horizontal="general" vertical="bottom"/>
    </xf>
    <xf numFmtId="0" fontId="4" fillId="0" borderId="36" applyAlignment="1" pivotButton="0" quotePrefix="0" xfId="20">
      <alignment horizontal="center" vertical="center" wrapText="1"/>
    </xf>
    <xf numFmtId="0" fontId="4" fillId="0" borderId="36" applyAlignment="1" pivotButton="0" quotePrefix="0" xfId="20">
      <alignment horizontal="center" vertical="center"/>
    </xf>
    <xf numFmtId="0" fontId="4" fillId="0" borderId="0" applyAlignment="1" pivotButton="0" quotePrefix="0" xfId="20">
      <alignment horizontal="general" vertical="center"/>
    </xf>
    <xf numFmtId="0" fontId="20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1" fontId="20" fillId="0" borderId="0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 textRotation="90" wrapText="1"/>
    </xf>
    <xf numFmtId="3" fontId="17" fillId="0" borderId="4" applyAlignment="1" pivotButton="0" quotePrefix="0" xfId="0">
      <alignment horizontal="center" vertical="center" textRotation="90" wrapText="1"/>
    </xf>
    <xf numFmtId="0" fontId="0" fillId="0" borderId="0" applyAlignment="1" pivotButton="0" quotePrefix="0" xfId="0">
      <alignment horizontal="general" vertical="bottom" wrapText="1"/>
    </xf>
    <xf numFmtId="0" fontId="42" fillId="0" borderId="4" applyAlignment="1" pivotButton="0" quotePrefix="0" xfId="0">
      <alignment horizontal="center" vertical="center"/>
    </xf>
    <xf numFmtId="1" fontId="42" fillId="0" borderId="4" applyAlignment="1" pivotButton="0" quotePrefix="0" xfId="0">
      <alignment horizontal="center" vertical="center"/>
    </xf>
    <xf numFmtId="3" fontId="42" fillId="0" borderId="4" applyAlignment="1" pivotButton="0" quotePrefix="0" xfId="0">
      <alignment horizontal="center" vertical="center"/>
    </xf>
    <xf numFmtId="0" fontId="42" fillId="0" borderId="4" applyAlignment="1" pivotButton="0" quotePrefix="0" xfId="0">
      <alignment horizontal="center" vertical="center" wrapText="1"/>
    </xf>
    <xf numFmtId="0" fontId="45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bottom"/>
    </xf>
    <xf numFmtId="0" fontId="46" fillId="0" borderId="4" applyAlignment="1" pivotButton="0" quotePrefix="0" xfId="0">
      <alignment horizontal="center" vertical="bottom"/>
    </xf>
    <xf numFmtId="49" fontId="0" fillId="0" borderId="4" applyAlignment="1" pivotButton="0" quotePrefix="0" xfId="0">
      <alignment horizontal="center" vertical="bottom"/>
    </xf>
    <xf numFmtId="0" fontId="0" fillId="0" borderId="4" applyAlignment="1" pivotButton="0" quotePrefix="0" xfId="0">
      <alignment horizontal="general" vertical="bottom"/>
    </xf>
    <xf numFmtId="4" fontId="0" fillId="0" borderId="4" applyAlignment="1" pivotButton="0" quotePrefix="0" xfId="0">
      <alignment horizontal="center" vertical="bottom"/>
    </xf>
    <xf numFmtId="3" fontId="0" fillId="0" borderId="4" applyAlignment="1" pivotButton="0" quotePrefix="0" xfId="0">
      <alignment horizontal="center" vertical="bottom"/>
    </xf>
    <xf numFmtId="0" fontId="0" fillId="0" borderId="4" applyAlignment="1" pivotButton="0" quotePrefix="0" xfId="20">
      <alignment horizontal="center" vertical="bottom"/>
    </xf>
    <xf numFmtId="0" fontId="46" fillId="0" borderId="4" applyAlignment="1" pivotButton="0" quotePrefix="0" xfId="20">
      <alignment horizontal="center" vertical="bottom"/>
    </xf>
    <xf numFmtId="49" fontId="0" fillId="0" borderId="4" applyAlignment="1" pivotButton="0" quotePrefix="0" xfId="20">
      <alignment horizontal="center" vertical="bottom"/>
    </xf>
    <xf numFmtId="0" fontId="0" fillId="0" borderId="0" applyAlignment="1" pivotButton="0" quotePrefix="0" xfId="0">
      <alignment horizontal="center" vertical="center"/>
    </xf>
    <xf numFmtId="0" fontId="16" fillId="0" borderId="25" applyAlignment="1" pivotButton="0" quotePrefix="0" xfId="0">
      <alignment horizontal="center" vertical="bottom"/>
    </xf>
    <xf numFmtId="0" fontId="16" fillId="0" borderId="0" applyAlignment="1" pivotButton="0" quotePrefix="0" xfId="0">
      <alignment horizontal="center" vertical="bottom"/>
    </xf>
    <xf numFmtId="0" fontId="4" fillId="0" borderId="34" applyAlignment="1" pivotButton="0" quotePrefix="0" xfId="20">
      <alignment horizontal="center" vertical="center" wrapText="1"/>
    </xf>
    <xf numFmtId="0" fontId="4" fillId="0" borderId="34" applyAlignment="1" pivotButton="0" quotePrefix="0" xfId="20">
      <alignment horizontal="center" vertical="center"/>
    </xf>
    <xf numFmtId="0" fontId="4" fillId="0" borderId="34" applyAlignment="1" pivotButton="0" quotePrefix="0" xfId="20">
      <alignment horizontal="left" vertical="center"/>
    </xf>
    <xf numFmtId="0" fontId="26" fillId="0" borderId="4" applyAlignment="1" pivotButton="0" quotePrefix="0" xfId="20">
      <alignment horizontal="left" vertical="center"/>
    </xf>
    <xf numFmtId="0" fontId="26" fillId="0" borderId="0" applyAlignment="1" pivotButton="0" quotePrefix="0" xfId="20">
      <alignment horizontal="left" vertical="center"/>
    </xf>
    <xf numFmtId="0" fontId="4" fillId="0" borderId="4" applyAlignment="1" pivotButton="0" quotePrefix="0" xfId="20">
      <alignment horizontal="left" vertical="center"/>
    </xf>
    <xf numFmtId="0" fontId="4" fillId="0" borderId="0" applyAlignment="1" pivotButton="0" quotePrefix="0" xfId="20">
      <alignment horizontal="center" vertical="center"/>
    </xf>
    <xf numFmtId="0" fontId="19" fillId="0" borderId="0" applyAlignment="1" pivotButton="0" quotePrefix="0" xfId="0">
      <alignment horizontal="center" vertical="bottom"/>
    </xf>
    <xf numFmtId="0" fontId="19" fillId="0" borderId="0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bottom"/>
    </xf>
    <xf numFmtId="0" fontId="24" fillId="0" borderId="4" applyAlignment="1" pivotButton="0" quotePrefix="0" xfId="0">
      <alignment horizontal="left" vertical="bottom"/>
    </xf>
    <xf numFmtId="0" fontId="19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/>
    </xf>
    <xf numFmtId="164" fontId="19" fillId="0" borderId="4" applyAlignment="1" pivotButton="0" quotePrefix="0" xfId="0">
      <alignment horizontal="center" vertical="center"/>
    </xf>
    <xf numFmtId="0" fontId="24" fillId="0" borderId="4" applyAlignment="1" pivotButton="0" quotePrefix="0" xfId="0">
      <alignment horizontal="general" vertical="bottom"/>
    </xf>
    <xf numFmtId="0" fontId="48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3" fontId="0" fillId="3" borderId="4" applyAlignment="1" pivotButton="0" quotePrefix="0" xfId="0">
      <alignment horizontal="center" vertical="center"/>
    </xf>
    <xf numFmtId="3" fontId="0" fillId="2" borderId="4" applyAlignment="1" pivotButton="0" quotePrefix="0" xfId="0">
      <alignment horizontal="center" vertical="center"/>
    </xf>
    <xf numFmtId="1" fontId="0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general" vertical="bottom"/>
    </xf>
    <xf numFmtId="0" fontId="49" fillId="0" borderId="4" applyAlignment="1" pivotButton="0" quotePrefix="0" xfId="0">
      <alignment horizontal="general" vertical="bottom"/>
    </xf>
    <xf numFmtId="0" fontId="0" fillId="2" borderId="4" applyAlignment="1" pivotButton="0" quotePrefix="0" xfId="0">
      <alignment horizontal="center" vertical="center"/>
    </xf>
    <xf numFmtId="0" fontId="50" fillId="0" borderId="4" applyAlignment="1" pivotButton="0" quotePrefix="0" xfId="0">
      <alignment horizontal="center" vertical="bottom"/>
    </xf>
    <xf numFmtId="1" fontId="0" fillId="4" borderId="4" applyAlignment="1" pivotButton="0" quotePrefix="0" xfId="0">
      <alignment horizontal="center" vertical="center"/>
    </xf>
    <xf numFmtId="1" fontId="0" fillId="5" borderId="4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50" fillId="0" borderId="27" applyAlignment="1" pivotButton="0" quotePrefix="0" xfId="0">
      <alignment horizontal="general" vertical="center"/>
    </xf>
    <xf numFmtId="0" fontId="0" fillId="6" borderId="4" applyAlignment="1" pivotButton="0" quotePrefix="0" xfId="0">
      <alignment horizontal="center" vertical="center"/>
    </xf>
    <xf numFmtId="0" fontId="51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center" vertical="bottom"/>
    </xf>
    <xf numFmtId="49" fontId="0" fillId="0" borderId="0" applyAlignment="1" pivotButton="0" quotePrefix="0" xfId="0">
      <alignment horizontal="general" vertical="bottom"/>
    </xf>
    <xf numFmtId="0" fontId="16" fillId="0" borderId="27" applyAlignment="1" pivotButton="0" quotePrefix="0" xfId="0">
      <alignment horizontal="center" vertical="bottom"/>
    </xf>
    <xf numFmtId="0" fontId="0" fillId="0" borderId="27" applyAlignment="1" pivotButton="0" quotePrefix="0" xfId="0">
      <alignment horizontal="general" vertical="bottom"/>
    </xf>
    <xf numFmtId="0" fontId="0" fillId="0" borderId="26" applyAlignment="1" pivotButton="0" quotePrefix="0" xfId="0">
      <alignment horizontal="general" vertical="bottom"/>
    </xf>
    <xf numFmtId="0" fontId="4" fillId="0" borderId="25" applyAlignment="1" pivotButton="0" quotePrefix="0" xfId="20">
      <alignment horizontal="general" vertical="center"/>
    </xf>
    <xf numFmtId="0" fontId="4" fillId="0" borderId="27" applyAlignment="1" pivotButton="0" quotePrefix="0" xfId="20">
      <alignment horizontal="general" vertical="center"/>
    </xf>
    <xf numFmtId="0" fontId="4" fillId="0" borderId="26" applyAlignment="1" pivotButton="0" quotePrefix="0" xfId="20">
      <alignment horizontal="general" vertical="center"/>
    </xf>
    <xf numFmtId="164" fontId="19" fillId="0" borderId="4" applyAlignment="1" pivotButton="0" quotePrefix="0" xfId="0">
      <alignment horizontal="center" vertical="center"/>
    </xf>
    <xf numFmtId="0" fontId="47" fillId="0" borderId="4" applyAlignment="1" pivotButton="0" quotePrefix="0" xfId="0">
      <alignment horizontal="center" vertical="center" wrapText="1"/>
    </xf>
    <xf numFmtId="0" fontId="48" fillId="0" borderId="4" applyAlignment="1" pivotButton="0" quotePrefix="0" xfId="0">
      <alignment horizontal="center" vertical="center" wrapText="1"/>
    </xf>
    <xf numFmtId="0" fontId="16" fillId="0" borderId="4" applyAlignment="1" pivotButton="0" quotePrefix="0" xfId="0">
      <alignment horizontal="center" vertical="center" wrapText="1"/>
    </xf>
    <xf numFmtId="0" fontId="0" fillId="3" borderId="4" applyAlignment="1" pivotButton="0" quotePrefix="0" xfId="0">
      <alignment horizontal="center" vertical="center"/>
    </xf>
    <xf numFmtId="2" fontId="0" fillId="3" borderId="4" applyAlignment="1" pivotButton="0" quotePrefix="0" xfId="0">
      <alignment horizontal="center" vertical="center"/>
    </xf>
    <xf numFmtId="3" fontId="0" fillId="3" borderId="4" applyAlignment="1" pivotButton="0" quotePrefix="0" xfId="0">
      <alignment horizontal="center" vertical="center"/>
    </xf>
    <xf numFmtId="3" fontId="0" fillId="2" borderId="4" applyAlignment="1" pivotButton="0" quotePrefix="0" xfId="0">
      <alignment horizontal="center" vertical="center"/>
    </xf>
    <xf numFmtId="1" fontId="0" fillId="0" borderId="4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1" fontId="0" fillId="4" borderId="4" applyAlignment="1" pivotButton="0" quotePrefix="0" xfId="0">
      <alignment horizontal="center" vertical="center"/>
    </xf>
    <xf numFmtId="1" fontId="0" fillId="5" borderId="4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50" fillId="0" borderId="25" applyAlignment="1" pivotButton="0" quotePrefix="0" xfId="0">
      <alignment horizontal="general" vertical="center"/>
    </xf>
    <xf numFmtId="0" fontId="50" fillId="0" borderId="27" applyAlignment="1" pivotButton="0" quotePrefix="0" xfId="0">
      <alignment horizontal="general" vertical="center"/>
    </xf>
    <xf numFmtId="0" fontId="0" fillId="6" borderId="4" applyAlignment="1" pivotButton="0" quotePrefix="0" xfId="0">
      <alignment horizontal="center" vertical="center"/>
    </xf>
    <xf numFmtId="0" fontId="55" fillId="0" borderId="0" applyAlignment="1" pivotButton="0" quotePrefix="0" xfId="0">
      <alignment horizontal="center" vertical="center" wrapText="1"/>
    </xf>
    <xf numFmtId="0" fontId="56" fillId="0" borderId="0" applyAlignment="1" pivotButton="0" quotePrefix="0" xfId="0">
      <alignment horizontal="center" vertical="center" wrapText="1"/>
    </xf>
    <xf numFmtId="0" fontId="57" fillId="0" borderId="0" applyAlignment="1" pivotButton="0" quotePrefix="0" xfId="0">
      <alignment horizontal="left" vertical="center" wrapText="1"/>
    </xf>
    <xf numFmtId="0" fontId="58" fillId="7" borderId="54" applyAlignment="1" pivotButton="0" quotePrefix="0" xfId="0">
      <alignment horizontal="center" vertical="center" wrapText="1"/>
    </xf>
    <xf numFmtId="0" fontId="0" fillId="0" borderId="57" pivotButton="0" quotePrefix="0" xfId="0"/>
    <xf numFmtId="0" fontId="0" fillId="0" borderId="58" pivotButton="0" quotePrefix="0" xfId="0"/>
    <xf numFmtId="0" fontId="57" fillId="0" borderId="54" applyAlignment="1" pivotButton="0" quotePrefix="0" xfId="0">
      <alignment horizontal="left" vertical="center" wrapText="1"/>
    </xf>
    <xf numFmtId="0" fontId="57" fillId="0" borderId="54" applyAlignment="1" pivotButton="0" quotePrefix="0" xfId="0">
      <alignment horizontal="center" vertical="center" wrapText="1"/>
    </xf>
    <xf numFmtId="2" fontId="57" fillId="0" borderId="54" applyAlignment="1" pivotButton="0" quotePrefix="0" xfId="0">
      <alignment horizontal="center" vertical="center" wrapText="1"/>
    </xf>
    <xf numFmtId="1" fontId="57" fillId="0" borderId="54" applyAlignment="1" pivotButton="0" quotePrefix="0" xfId="0">
      <alignment horizontal="center" vertical="center" wrapText="1"/>
    </xf>
    <xf numFmtId="170" fontId="57" fillId="0" borderId="54" applyAlignment="1" pivotButton="0" quotePrefix="0" xfId="0">
      <alignment horizontal="center" vertical="center" wrapText="1"/>
    </xf>
    <xf numFmtId="0" fontId="58" fillId="0" borderId="54" applyAlignment="1" pivotButton="0" quotePrefix="0" xfId="0">
      <alignment horizontal="center" vertical="center" wrapText="1"/>
    </xf>
    <xf numFmtId="1" fontId="58" fillId="0" borderId="54" applyAlignment="1" pivotButton="0" quotePrefix="0" xfId="0">
      <alignment horizontal="center" vertical="center" wrapText="1"/>
    </xf>
    <xf numFmtId="171" fontId="57" fillId="0" borderId="54" applyAlignment="1" pivotButton="0" quotePrefix="0" xfId="0">
      <alignment horizontal="center" vertical="center" wrapText="1"/>
    </xf>
    <xf numFmtId="1" fontId="58" fillId="7" borderId="54" applyAlignment="1" pivotButton="0" quotePrefix="0" xfId="0">
      <alignment horizontal="center" vertical="center" wrapText="1"/>
    </xf>
    <xf numFmtId="0" fontId="58" fillId="0" borderId="0" applyAlignment="1" pivotButton="0" quotePrefix="0" xfId="0">
      <alignment horizontal="left" vertical="center" wrapText="1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  <cellStyle name="Yüzde 2" xfId="7"/>
  </cellStyles>
  <dxfs count="27">
    <dxf>
      <font>
        <name val="Arial Tur"/>
        <charset val="162"/>
        <family val="0"/>
        <color rgb="00FFFFFF"/>
      </font>
      <fill>
        <patternFill>
          <bgColor rgb="FFFF00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00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00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00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00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externalLink" Target="/xl/externalLinks/externalLink1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Users/user/Desktop/dcm/PROJE/MEKAN&#304;K%20HESAPLAR/MEKAN&#304;K%20HESAPLAR%20KOMB&#304;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kapak"/>
      <sheetName val="TEKNİK RAPOR"/>
      <sheetName val="TEKNİK RAPOR (2)"/>
      <sheetName val="ZEMİN"/>
      <sheetName val="1 NK"/>
      <sheetName val="PETEK LİST"/>
      <sheetName val="TAHHÜTNAME"/>
      <sheetName val="FENNİ MESUL"/>
      <sheetName val="HİDRAFOR HESABI ÜMİT"/>
      <sheetName val="Sayfa1"/>
    </sheetNames>
    <sheetDataSet>
      <sheetData sheetId="0">
        <row r="41">
          <cell r="G41">
            <v>44267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M4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zeroHeight="0" outlineLevelRow="0"/>
  <cols>
    <col width="20.99" customWidth="1" style="243" min="1" max="1"/>
    <col width="16.13" customWidth="1" style="243" min="2" max="2"/>
    <col width="14.14" customWidth="1" style="243" min="3" max="3"/>
    <col width="11.7" customWidth="1" style="243" min="4" max="4"/>
    <col width="9.85" customWidth="1" style="243" min="5" max="5"/>
    <col width="10.56" customWidth="1" style="243" min="6" max="6"/>
    <col width="11.13" customWidth="1" style="243" min="7" max="7"/>
    <col width="7.14" customWidth="1" style="243" min="8" max="8"/>
    <col width="10.28" customWidth="1" style="243" min="9" max="9"/>
  </cols>
  <sheetData>
    <row r="1" ht="16.5" customHeight="1" s="244">
      <c r="A1" s="245" t="inlineStr">
        <is>
          <t>P R O J E Y İ   H A Z I R L A Y A N</t>
        </is>
      </c>
      <c r="B1" s="246" t="n"/>
      <c r="C1" s="246" t="n"/>
      <c r="D1" s="246" t="n"/>
      <c r="E1" s="246" t="n"/>
      <c r="F1" s="246" t="n"/>
      <c r="G1" s="246" t="n"/>
      <c r="H1" s="246" t="n"/>
      <c r="I1" s="247" t="n"/>
      <c r="J1" s="248" t="n"/>
    </row>
    <row r="2" ht="26.25" customHeight="1" s="244">
      <c r="A2" s="249" t="inlineStr">
        <is>
          <t xml:space="preserve">ROTAŞ MÜHENDİSLİK.PROJE.MÜŞAVİRLİK.
Mak. Müh. Bayram GENÇ
Semerciler Mah. Sait Faik Sk. No:22/C Z01 Adapazarı/Sakarya
TEL: 0264 272 00 49   rotasmuhendislik@gmail.com
</t>
        </is>
      </c>
      <c r="B2" s="250" t="n"/>
      <c r="C2" s="250" t="n"/>
      <c r="D2" s="250" t="n"/>
      <c r="E2" s="250" t="n"/>
      <c r="F2" s="250" t="n"/>
      <c r="G2" s="250" t="n"/>
      <c r="H2" s="250" t="n"/>
      <c r="I2" s="251" t="n"/>
      <c r="J2" s="252" t="n"/>
    </row>
    <row r="3" ht="26.25" customHeight="1" s="244">
      <c r="A3" s="253" t="n"/>
      <c r="I3" s="254" t="n"/>
      <c r="J3" s="252" t="n"/>
    </row>
    <row r="4" ht="18" customHeight="1" s="244">
      <c r="A4" s="253" t="n"/>
      <c r="I4" s="254" t="n"/>
      <c r="J4" s="252" t="n"/>
    </row>
    <row r="5" ht="26.25" customHeight="1" s="244">
      <c r="A5" s="253" t="n"/>
      <c r="I5" s="254" t="n"/>
      <c r="J5" s="252" t="n"/>
    </row>
    <row r="6" ht="26.25" customHeight="1" s="244">
      <c r="A6" s="253" t="n"/>
      <c r="I6" s="254" t="n"/>
      <c r="J6" s="252" t="n"/>
    </row>
    <row r="7" ht="26.25" customHeight="1" s="244">
      <c r="A7" s="253" t="n"/>
      <c r="I7" s="254" t="n"/>
      <c r="J7" s="252" t="n"/>
    </row>
    <row r="8" ht="26.25" customHeight="1" s="244">
      <c r="A8" s="255" t="n"/>
      <c r="B8" s="256" t="n"/>
      <c r="C8" s="256" t="n"/>
      <c r="D8" s="256" t="n"/>
      <c r="E8" s="256" t="n"/>
      <c r="F8" s="256" t="n"/>
      <c r="G8" s="256" t="n"/>
      <c r="H8" s="256" t="n"/>
      <c r="I8" s="257" t="n"/>
      <c r="J8" s="252" t="n"/>
    </row>
    <row r="9" ht="33.75" customHeight="1" s="244">
      <c r="A9" s="258" t="inlineStr">
        <is>
          <t>ÜNVANI</t>
        </is>
      </c>
      <c r="B9" s="259" t="inlineStr">
        <is>
          <t>Adı Soyadı</t>
        </is>
      </c>
      <c r="C9" s="260" t="n"/>
      <c r="D9" s="261" t="inlineStr">
        <is>
          <t>Oda Sicil No</t>
        </is>
      </c>
      <c r="E9" s="260" t="n"/>
      <c r="F9" s="262" t="inlineStr">
        <is>
          <t>SMM Büro 
Tescil No</t>
        </is>
      </c>
      <c r="G9" s="263" t="inlineStr">
        <is>
          <t>İmza</t>
        </is>
      </c>
      <c r="H9" s="264" t="n"/>
      <c r="I9" s="265" t="n"/>
      <c r="J9" s="252" t="n"/>
      <c r="M9" s="266" t="n"/>
    </row>
    <row r="10" ht="88.5" customHeight="1" s="244">
      <c r="A10" s="267" t="inlineStr">
        <is>
          <t>Makine Mühendisi</t>
        </is>
      </c>
      <c r="B10" s="268" t="inlineStr">
        <is>
          <t>BAYRAM GENÇ</t>
        </is>
      </c>
      <c r="C10" s="260" t="n"/>
      <c r="D10" s="269" t="n"/>
      <c r="E10" s="260" t="n"/>
      <c r="F10" s="269" t="n"/>
      <c r="G10" s="270" t="n"/>
      <c r="H10" s="264" t="n"/>
      <c r="I10" s="265" t="n"/>
    </row>
    <row r="11" ht="27.75" customHeight="1" s="244">
      <c r="A11" s="271" t="inlineStr">
        <is>
          <t>OFİSLER YERDEN ISITMA (KOMBİLİ) + DÜKKÂN KLİMA PROJE RAPORU</t>
        </is>
      </c>
      <c r="B11" s="250" t="n"/>
      <c r="C11" s="250" t="n"/>
      <c r="D11" s="250" t="n"/>
      <c r="E11" s="250" t="n"/>
      <c r="F11" s="250" t="n"/>
      <c r="G11" s="250" t="n"/>
      <c r="H11" s="250" t="n"/>
      <c r="I11" s="251" t="n"/>
    </row>
    <row r="12" ht="27.75" customHeight="1" s="244">
      <c r="A12" s="253" t="n"/>
      <c r="I12" s="254" t="n"/>
    </row>
    <row r="13" ht="27.75" customHeight="1" s="244">
      <c r="A13" s="255" t="n"/>
      <c r="B13" s="256" t="n"/>
      <c r="C13" s="256" t="n"/>
      <c r="D13" s="256" t="n"/>
      <c r="E13" s="256" t="n"/>
      <c r="F13" s="256" t="n"/>
      <c r="G13" s="256" t="n"/>
      <c r="H13" s="256" t="n"/>
      <c r="I13" s="257" t="n"/>
    </row>
    <row r="14" ht="12.75" customHeight="1" s="244">
      <c r="A14" s="272" t="inlineStr">
        <is>
          <t xml:space="preserve">  Yapı Denetim Onay</t>
        </is>
      </c>
      <c r="B14" s="250" t="n"/>
      <c r="C14" s="251" t="n"/>
      <c r="D14" s="272" t="inlineStr">
        <is>
          <t>Belediye Onay</t>
        </is>
      </c>
      <c r="E14" s="250" t="n"/>
      <c r="F14" s="250" t="n"/>
      <c r="G14" s="250" t="n"/>
      <c r="H14" s="250" t="n"/>
      <c r="I14" s="251" t="n"/>
    </row>
    <row r="15" ht="12.75" customHeight="1" s="244">
      <c r="A15" s="253" t="n"/>
      <c r="C15" s="254" t="n"/>
      <c r="D15" s="253" t="n"/>
      <c r="I15" s="254" t="n"/>
    </row>
    <row r="16" ht="12.75" customHeight="1" s="244">
      <c r="A16" s="253" t="n"/>
      <c r="C16" s="254" t="n"/>
      <c r="D16" s="253" t="n"/>
      <c r="I16" s="254" t="n"/>
    </row>
    <row r="17" ht="12.75" customHeight="1" s="244">
      <c r="A17" s="253" t="n"/>
      <c r="C17" s="254" t="n"/>
      <c r="D17" s="253" t="n"/>
      <c r="I17" s="254" t="n"/>
    </row>
    <row r="18" ht="12.75" customHeight="1" s="244">
      <c r="A18" s="253" t="n"/>
      <c r="C18" s="254" t="n"/>
      <c r="D18" s="253" t="n"/>
      <c r="I18" s="254" t="n"/>
    </row>
    <row r="19" ht="12.75" customHeight="1" s="244">
      <c r="A19" s="253" t="n"/>
      <c r="C19" s="254" t="n"/>
      <c r="D19" s="253" t="n"/>
      <c r="I19" s="254" t="n"/>
    </row>
    <row r="20" ht="12.75" customHeight="1" s="244">
      <c r="A20" s="253" t="n"/>
      <c r="C20" s="254" t="n"/>
      <c r="D20" s="253" t="n"/>
      <c r="I20" s="254" t="n"/>
    </row>
    <row r="21" ht="12.75" customHeight="1" s="244">
      <c r="A21" s="253" t="n"/>
      <c r="C21" s="254" t="n"/>
      <c r="D21" s="253" t="n"/>
      <c r="I21" s="254" t="n"/>
    </row>
    <row r="22" ht="27.75" customHeight="1" s="244">
      <c r="A22" s="253" t="n"/>
      <c r="C22" s="254" t="n"/>
      <c r="D22" s="253" t="n"/>
      <c r="I22" s="254" t="n"/>
    </row>
    <row r="23" ht="27.75" customHeight="1" s="244">
      <c r="A23" s="253" t="n"/>
      <c r="C23" s="254" t="n"/>
      <c r="D23" s="253" t="n"/>
      <c r="I23" s="254" t="n"/>
    </row>
    <row r="24" ht="27.75" customHeight="1" s="244">
      <c r="A24" s="253" t="n"/>
      <c r="C24" s="254" t="n"/>
      <c r="D24" s="253" t="n"/>
      <c r="I24" s="254" t="n"/>
    </row>
    <row r="25" ht="12.75" customHeight="1" s="244">
      <c r="A25" s="253" t="n"/>
      <c r="C25" s="254" t="n"/>
      <c r="D25" s="253" t="n"/>
      <c r="I25" s="254" t="n"/>
    </row>
    <row r="26" ht="6" customHeight="1" s="244">
      <c r="A26" s="253" t="n"/>
      <c r="C26" s="254" t="n"/>
      <c r="D26" s="253" t="n"/>
      <c r="I26" s="254" t="n"/>
    </row>
    <row r="27" hidden="1" ht="12.75" customHeight="1" s="244">
      <c r="A27" s="253" t="n"/>
      <c r="C27" s="254" t="n"/>
      <c r="D27" s="253" t="n"/>
      <c r="I27" s="254" t="n"/>
    </row>
    <row r="28" hidden="1" ht="12.75" customHeight="1" s="244">
      <c r="A28" s="253" t="n"/>
      <c r="C28" s="254" t="n"/>
      <c r="D28" s="253" t="n"/>
      <c r="I28" s="254" t="n"/>
    </row>
    <row r="29" ht="12.75" customHeight="1" s="244">
      <c r="A29" s="255" t="n"/>
      <c r="B29" s="256" t="n"/>
      <c r="C29" s="257" t="n"/>
      <c r="D29" s="255" t="n"/>
      <c r="E29" s="256" t="n"/>
      <c r="F29" s="256" t="n"/>
      <c r="G29" s="256" t="n"/>
      <c r="H29" s="256" t="n"/>
      <c r="I29" s="257" t="n"/>
    </row>
    <row r="30" ht="15.75" customHeight="1" s="244">
      <c r="A30" s="273" t="inlineStr">
        <is>
          <t>P R O J E Y İ     Y A P T I R A N</t>
        </is>
      </c>
      <c r="B30" s="264" t="n"/>
      <c r="C30" s="264" t="n"/>
      <c r="D30" s="264" t="n"/>
      <c r="E30" s="264" t="n"/>
      <c r="F30" s="264" t="n"/>
      <c r="G30" s="264" t="n"/>
      <c r="H30" s="264" t="n"/>
      <c r="I30" s="265" t="n"/>
    </row>
    <row r="31" ht="12.75" customHeight="1" s="244">
      <c r="A31" s="274" t="inlineStr">
        <is>
          <t>ADI SOYADI/ÜNVANI</t>
        </is>
      </c>
      <c r="B31" s="275" t="n"/>
      <c r="C31" s="276" t="inlineStr">
        <is>
          <t>EMİNE TUNCE - İŞ YERİ (ZEMİN + 2 KAT, 2 DÜKKÂN + 8 OFİS)</t>
        </is>
      </c>
      <c r="D31" s="250" t="n"/>
      <c r="E31" s="250" t="n"/>
      <c r="F31" s="250" t="n"/>
      <c r="G31" s="250" t="n"/>
      <c r="H31" s="250" t="n"/>
      <c r="I31" s="251" t="n"/>
    </row>
    <row r="32" ht="12.75" customHeight="1" s="244">
      <c r="A32" s="255" t="n"/>
      <c r="B32" s="277" t="n"/>
      <c r="C32" s="278" t="n"/>
      <c r="D32" s="256" t="n"/>
      <c r="E32" s="256" t="n"/>
      <c r="F32" s="256" t="n"/>
      <c r="G32" s="256" t="n"/>
      <c r="H32" s="256" t="n"/>
      <c r="I32" s="257" t="n"/>
    </row>
    <row r="33" ht="12.75" customHeight="1" s="244">
      <c r="A33" s="279" t="n"/>
      <c r="I33" s="280" t="n"/>
    </row>
    <row r="34" ht="15.75" customHeight="1" s="244">
      <c r="A34" s="273" t="inlineStr">
        <is>
          <t>Y A P I N I N   B U L U N D U Ğ U   Y E R</t>
        </is>
      </c>
      <c r="B34" s="264" t="n"/>
      <c r="C34" s="264" t="n"/>
      <c r="D34" s="264" t="n"/>
      <c r="E34" s="264" t="n"/>
      <c r="F34" s="264" t="n"/>
      <c r="G34" s="264" t="n"/>
      <c r="H34" s="264" t="n"/>
      <c r="I34" s="265" t="n"/>
    </row>
    <row r="35" ht="12.75" customHeight="1" s="244">
      <c r="A35" s="281" t="inlineStr">
        <is>
          <t>İl</t>
        </is>
      </c>
      <c r="B35" s="282" t="inlineStr">
        <is>
          <t>İlçe</t>
        </is>
      </c>
      <c r="C35" s="243" t="inlineStr">
        <is>
          <t>Belediye</t>
        </is>
      </c>
      <c r="D35" s="282" t="inlineStr">
        <is>
          <t>Mahalle</t>
        </is>
      </c>
      <c r="E35" s="261" t="inlineStr">
        <is>
          <t>Sok.</t>
        </is>
      </c>
      <c r="F35" s="260" t="n"/>
      <c r="G35" s="282" t="inlineStr">
        <is>
          <t>Pafta</t>
        </is>
      </c>
      <c r="H35" s="282" t="inlineStr">
        <is>
          <t>Ada</t>
        </is>
      </c>
      <c r="I35" s="283" t="inlineStr">
        <is>
          <t>Parsel</t>
        </is>
      </c>
      <c r="K35" s="284" t="n"/>
    </row>
    <row r="36" ht="12.75" customHeight="1" s="244">
      <c r="A36" s="281" t="inlineStr">
        <is>
          <t>SAKARYA</t>
        </is>
      </c>
      <c r="B36" s="282" t="inlineStr">
        <is>
          <t>SERDİVAN</t>
        </is>
      </c>
      <c r="C36" s="282">
        <f>B36</f>
        <v/>
      </c>
      <c r="D36" s="282" t="inlineStr">
        <is>
          <t>YAZLIK</t>
        </is>
      </c>
      <c r="E36" s="261" t="n"/>
      <c r="F36" s="260" t="n"/>
      <c r="G36" s="262" t="inlineStr">
        <is>
          <t>G24B23A3B</t>
        </is>
      </c>
      <c r="H36" s="282" t="inlineStr">
        <is>
          <t>-</t>
        </is>
      </c>
      <c r="I36" s="263" t="n">
        <v>5799</v>
      </c>
    </row>
    <row r="37" ht="12.75" customHeight="1" s="244">
      <c r="A37" s="279" t="n"/>
      <c r="I37" s="280" t="n"/>
    </row>
    <row r="38" ht="12.75" customHeight="1" s="244">
      <c r="A38" s="285" t="inlineStr">
        <is>
          <t>YAPININ ÖZELLİKLERİ</t>
        </is>
      </c>
      <c r="B38" s="250" t="n"/>
      <c r="C38" s="250" t="n"/>
      <c r="D38" s="250" t="n"/>
      <c r="E38" s="250" t="n"/>
      <c r="F38" s="250" t="n"/>
      <c r="G38" s="250" t="n"/>
      <c r="H38" s="250" t="n"/>
      <c r="I38" s="251" t="n"/>
    </row>
    <row r="39" ht="12.75" customHeight="1" s="244">
      <c r="A39" s="253" t="n"/>
      <c r="I39" s="254" t="n"/>
    </row>
    <row r="40" ht="38.25" customHeight="1" s="244">
      <c r="A40" s="286" t="inlineStr">
        <is>
          <t>Yapının
 Sistemi</t>
        </is>
      </c>
      <c r="B40" s="287" t="inlineStr">
        <is>
          <t>Yapının
Sınıfı</t>
        </is>
      </c>
      <c r="C40" s="287" t="inlineStr">
        <is>
          <t>Toplam
Bağımsız
Bölüm</t>
        </is>
      </c>
      <c r="D40" s="269" t="inlineStr">
        <is>
          <t>Toplam Kat Sayısı</t>
        </is>
      </c>
      <c r="E40" s="260" t="n"/>
      <c r="F40" s="287" t="inlineStr">
        <is>
          <t>Toplam
İnşaat
Alanı m²</t>
        </is>
      </c>
      <c r="G40" s="287" t="inlineStr">
        <is>
          <t>Tarih</t>
        </is>
      </c>
      <c r="H40" s="270" t="inlineStr">
        <is>
          <t>Kullanım Amacı</t>
        </is>
      </c>
      <c r="I40" s="265" t="n"/>
    </row>
    <row r="41" ht="12.75" customHeight="1" s="244">
      <c r="A41" s="288" t="inlineStr">
        <is>
          <t>BETONARME</t>
        </is>
      </c>
      <c r="B41" s="289" t="inlineStr">
        <is>
          <t>3A</t>
        </is>
      </c>
      <c r="C41" s="289" t="n">
        <v>3</v>
      </c>
      <c r="D41" s="290" t="inlineStr">
        <is>
          <t>ZEMİN + 2</t>
        </is>
      </c>
      <c r="E41" s="275" t="n"/>
      <c r="F41" s="289" t="n"/>
      <c r="G41" s="291" t="n">
        <v>46307</v>
      </c>
      <c r="H41" s="292" t="inlineStr">
        <is>
          <t>İŞ YERİ (DÜKKÂN + OFİS)</t>
        </is>
      </c>
      <c r="I41" s="251" t="n"/>
    </row>
    <row r="42" ht="13.5" customHeight="1" s="244">
      <c r="A42" s="293" t="n"/>
      <c r="B42" s="294" t="n"/>
      <c r="C42" s="294" t="n"/>
      <c r="D42" s="295" t="n"/>
      <c r="E42" s="296" t="n"/>
      <c r="F42" s="294" t="n"/>
      <c r="G42" s="294" t="n"/>
      <c r="H42" s="295" t="n"/>
      <c r="I42" s="297" t="n"/>
    </row>
    <row r="43" ht="13.5" customHeight="1" s="244"/>
  </sheetData>
  <mergeCells count="27">
    <mergeCell ref="G10:I10"/>
    <mergeCell ref="D10:E10"/>
    <mergeCell ref="D41:E42"/>
    <mergeCell ref="A41:A42"/>
    <mergeCell ref="D40:E40"/>
    <mergeCell ref="A38:I39"/>
    <mergeCell ref="H40:I40"/>
    <mergeCell ref="E35:F35"/>
    <mergeCell ref="C41:C42"/>
    <mergeCell ref="F41:F42"/>
    <mergeCell ref="C31:I32"/>
    <mergeCell ref="A2:I8"/>
    <mergeCell ref="A14:C29"/>
    <mergeCell ref="B10:C10"/>
    <mergeCell ref="A31:B32"/>
    <mergeCell ref="G9:I9"/>
    <mergeCell ref="D14:I29"/>
    <mergeCell ref="E36:F36"/>
    <mergeCell ref="B9:C9"/>
    <mergeCell ref="A34:I34"/>
    <mergeCell ref="D9:E9"/>
    <mergeCell ref="G41:G42"/>
    <mergeCell ref="A30:I30"/>
    <mergeCell ref="H41:I42"/>
    <mergeCell ref="A1:I1"/>
    <mergeCell ref="B41:B42"/>
    <mergeCell ref="A11:I13"/>
  </mergeCells>
  <printOptions horizontalCentered="0" verticalCentered="0" headings="0" gridLines="0" gridLinesSet="1"/>
  <pageMargins left="0.157638888888889" right="0.157638888888889" top="0.479861111111111" bottom="0.15763888888888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N65"/>
  <sheetViews>
    <sheetView showFormulas="0" showGridLines="1" showRowColHeaders="1" showZeros="1" rightToLeft="0" tabSelected="0" showOutlineSymbols="1" defaultGridColor="1" view="normal" topLeftCell="A1" colorId="64" zoomScale="145" zoomScaleNormal="145" zoomScalePageLayoutView="100" workbookViewId="0">
      <selection pane="topLeft" activeCell="F24" activeCellId="0" sqref="F24"/>
    </sheetView>
  </sheetViews>
  <sheetFormatPr baseColWidth="8" defaultColWidth="9.0546875" defaultRowHeight="12.75" zeroHeight="0" outlineLevelRow="0"/>
  <cols>
    <col width="4.99" customWidth="1" style="243" min="1" max="1"/>
    <col width="12.14" customWidth="1" style="243" min="2" max="2"/>
    <col width="10.28" customWidth="1" style="243" min="3" max="4"/>
    <col width="22.85" customWidth="1" style="243" min="6" max="6"/>
    <col width="22.7" customWidth="1" style="243" min="7" max="7"/>
    <col width="14.85" customWidth="1" style="243" min="8" max="8"/>
    <col width="17.56" customWidth="1" style="243" min="9" max="9"/>
  </cols>
  <sheetData>
    <row r="1" ht="12" customHeight="1" s="244">
      <c r="A1" s="298" t="inlineStr">
        <is>
          <t>KALORİFER TESİSATI PROJESİ TEKNİK RAPORU</t>
        </is>
      </c>
      <c r="B1" s="299" t="n"/>
      <c r="C1" s="299" t="n"/>
      <c r="D1" s="299" t="n"/>
      <c r="E1" s="299" t="n"/>
      <c r="F1" s="300" t="n"/>
      <c r="G1" s="301" t="inlineStr">
        <is>
          <t>Sayfa</t>
        </is>
      </c>
      <c r="H1" s="302" t="n">
        <v>1</v>
      </c>
    </row>
    <row r="2" ht="12" customHeight="1" s="244">
      <c r="A2" s="255" t="n"/>
      <c r="B2" s="256" t="n"/>
      <c r="C2" s="256" t="n"/>
      <c r="D2" s="256" t="n"/>
      <c r="E2" s="256" t="n"/>
      <c r="F2" s="277" t="n"/>
      <c r="G2" s="303" t="n"/>
      <c r="H2" s="304" t="n"/>
    </row>
    <row r="3" ht="17.25" customHeight="1" s="244">
      <c r="A3" s="305" t="inlineStr">
        <is>
          <t>Proje Adı              :</t>
        </is>
      </c>
      <c r="B3" s="260" t="n"/>
      <c r="C3" s="306">
        <f>kapak!C31</f>
        <v/>
      </c>
      <c r="D3" s="264" t="n"/>
      <c r="E3" s="264" t="n"/>
      <c r="F3" s="260" t="n"/>
      <c r="G3" s="261" t="inlineStr">
        <is>
          <t>Tarih</t>
        </is>
      </c>
      <c r="H3" s="307">
        <f>kapak!G41</f>
        <v/>
      </c>
    </row>
    <row r="4" ht="17.25" customHeight="1" s="244">
      <c r="A4" s="305" t="inlineStr">
        <is>
          <t>Düzenleyen          :</t>
        </is>
      </c>
      <c r="B4" s="260" t="n"/>
      <c r="C4" s="306">
        <f>kapak!B10</f>
        <v/>
      </c>
      <c r="D4" s="264" t="n"/>
      <c r="E4" s="264" t="n"/>
      <c r="F4" s="260" t="n"/>
      <c r="G4" s="303" t="n"/>
      <c r="H4" s="304" t="n"/>
    </row>
    <row r="5" ht="18" customHeight="1" s="244">
      <c r="A5" s="279" t="n"/>
      <c r="B5" s="308" t="n"/>
      <c r="C5" s="308" t="n"/>
      <c r="D5" s="308" t="n"/>
      <c r="E5" s="308" t="n"/>
      <c r="F5" s="308" t="n"/>
      <c r="G5" s="308" t="n"/>
      <c r="H5" s="309" t="n"/>
      <c r="I5" s="308" t="n"/>
    </row>
    <row r="6" ht="15.75" customHeight="1" s="244">
      <c r="A6" s="310" t="n"/>
      <c r="B6" s="311" t="n"/>
      <c r="C6" s="311" t="n"/>
      <c r="D6" s="311" t="n"/>
      <c r="E6" s="311" t="n"/>
      <c r="F6" s="311" t="n"/>
      <c r="G6" s="311" t="n"/>
      <c r="H6" s="312" t="n"/>
      <c r="I6" s="311" t="n"/>
    </row>
    <row r="7" ht="15" customHeight="1" s="244">
      <c r="A7" s="310" t="inlineStr">
        <is>
          <t>1.1.</t>
        </is>
      </c>
      <c r="B7" s="313" t="inlineStr">
        <is>
          <t>Binanın kalorifer projesi aşağıdaki değerler esas alınarak hazırlanmıştır.</t>
        </is>
      </c>
      <c r="C7" s="313" t="n"/>
      <c r="D7" s="313" t="n"/>
      <c r="E7" s="313" t="n"/>
      <c r="F7" s="313" t="n"/>
      <c r="G7" s="313" t="n"/>
      <c r="H7" s="314" t="n"/>
      <c r="I7" s="313" t="n"/>
    </row>
    <row r="8" ht="15.75" customHeight="1" s="244">
      <c r="A8" s="310" t="n"/>
      <c r="B8" s="315" t="inlineStr">
        <is>
          <t xml:space="preserve">Binanın Yeri </t>
        </is>
      </c>
      <c r="D8" s="313" t="n"/>
      <c r="E8" s="316">
        <f>kapak!B36</f>
        <v/>
      </c>
      <c r="F8" s="313" t="inlineStr">
        <is>
          <t xml:space="preserve">   / SAKARYA</t>
        </is>
      </c>
      <c r="G8" s="313" t="n"/>
      <c r="H8" s="314" t="n"/>
      <c r="I8" s="313" t="n"/>
    </row>
    <row r="9" ht="15.75" customHeight="1" s="244">
      <c r="A9" s="310" t="n"/>
      <c r="B9" s="315" t="inlineStr">
        <is>
          <t xml:space="preserve">Sıcaklık Bölgesi </t>
        </is>
      </c>
      <c r="E9" s="317" t="inlineStr">
        <is>
          <t>: TS 825</t>
        </is>
      </c>
      <c r="F9" s="318" t="inlineStr">
        <is>
          <t xml:space="preserve"> -6 °C (Sakarya)</t>
        </is>
      </c>
      <c r="G9" s="313" t="n"/>
      <c r="H9" s="314" t="n"/>
      <c r="I9" s="313" t="n"/>
    </row>
    <row r="10" ht="15.75" customHeight="1" s="244">
      <c r="A10" s="310" t="n"/>
      <c r="B10" s="315" t="inlineStr">
        <is>
          <t>Bina Tipi</t>
        </is>
      </c>
      <c r="D10" s="313" t="n"/>
      <c r="E10" s="313" t="inlineStr">
        <is>
          <t>: Zemin kat dükkân, 1. ve 2. kat ofis</t>
        </is>
      </c>
      <c r="F10" s="313" t="n"/>
      <c r="G10" s="313" t="n"/>
      <c r="H10" s="314" t="n"/>
      <c r="I10" s="313" t="n"/>
    </row>
    <row r="11" ht="15.75" customHeight="1" s="244">
      <c r="A11" s="310" t="n"/>
      <c r="B11" s="315" t="inlineStr">
        <is>
          <t>Isıtıcı Cinsi</t>
        </is>
      </c>
      <c r="D11" s="313" t="n"/>
      <c r="E11" s="313" t="inlineStr">
        <is>
          <t>: Ofis: duvar tipi hermetik yoğuşmalı kombi (her ofiste 1 adet, 24 kW); dükkân: duvar tipi split klima</t>
        </is>
      </c>
      <c r="F11" s="313" t="n"/>
      <c r="G11" s="313" t="n"/>
      <c r="H11" s="314" t="n"/>
      <c r="I11" s="313" t="n"/>
      <c r="K11" s="319" t="n"/>
      <c r="L11" s="319" t="n"/>
      <c r="M11" s="319" t="n"/>
      <c r="N11" s="319" t="n"/>
    </row>
    <row r="12" ht="15.75" customHeight="1" s="244">
      <c r="A12" s="310" t="n"/>
      <c r="B12" s="315" t="inlineStr">
        <is>
          <t>Kullanılacak Yakıt</t>
        </is>
      </c>
      <c r="D12" s="313" t="n"/>
      <c r="E12" s="313" t="inlineStr">
        <is>
          <t>: Doğalgaz (ofis) / elektrik (dükkân klima)</t>
        </is>
      </c>
      <c r="F12" s="313" t="n"/>
      <c r="G12" s="313" t="n"/>
      <c r="H12" s="314" t="n"/>
      <c r="I12" s="313" t="n"/>
      <c r="K12" s="319" t="n"/>
      <c r="L12" s="319" t="n"/>
      <c r="M12" s="319" t="n"/>
      <c r="N12" s="319" t="n"/>
    </row>
    <row r="13" ht="15.75" customHeight="1" s="244">
      <c r="A13" s="310" t="n"/>
      <c r="B13" s="315" t="inlineStr">
        <is>
          <t>Radyatör Türü / Isıl Verimi</t>
        </is>
      </c>
      <c r="D13" s="313" t="n"/>
      <c r="E13" s="313" t="inlineStr">
        <is>
          <t>: Zeminden ısıtma borusu PEX 16x2,0 / 45-35 °C</t>
        </is>
      </c>
      <c r="F13" s="313" t="n"/>
      <c r="G13" s="313" t="n"/>
      <c r="H13" s="314" t="n"/>
      <c r="I13" s="313" t="n"/>
      <c r="K13" s="319" t="n"/>
      <c r="L13" s="319" t="n"/>
      <c r="M13" s="319" t="n"/>
      <c r="N13" s="319" t="n"/>
    </row>
    <row r="14" ht="31.5" customHeight="1" s="244">
      <c r="A14" s="310" t="n"/>
      <c r="B14" s="320" t="inlineStr">
        <is>
          <t>Binanın bulunduğu yerleşim bölgesi</t>
        </is>
      </c>
      <c r="E14" s="313" t="inlineStr">
        <is>
          <t>: Bitişik nizam</t>
        </is>
      </c>
      <c r="F14" s="313" t="n"/>
      <c r="G14" s="313" t="n"/>
      <c r="H14" s="314" t="n"/>
      <c r="I14" s="313" t="n"/>
    </row>
    <row r="15" ht="15.75" customHeight="1" s="244">
      <c r="A15" s="310" t="n"/>
      <c r="B15" s="315" t="inlineStr">
        <is>
          <t>Havalandırma Tipi</t>
        </is>
      </c>
      <c r="D15" s="313" t="n"/>
      <c r="E15" s="313" t="inlineStr">
        <is>
          <t>:Doğal havalandırma</t>
        </is>
      </c>
      <c r="F15" s="313" t="n"/>
      <c r="G15" s="313" t="n"/>
      <c r="H15" s="314" t="n"/>
      <c r="I15" s="313" t="n"/>
    </row>
    <row r="16" ht="15.75" customHeight="1" s="244">
      <c r="A16" s="310" t="n"/>
      <c r="B16" s="315" t="inlineStr">
        <is>
          <t>Bina tanımı</t>
        </is>
      </c>
      <c r="D16" s="313" t="n"/>
      <c r="E16" s="313" t="inlineStr">
        <is>
          <t>: Zemin (2 dükkân) + 2 normal kat (her katta 4 ofis)</t>
        </is>
      </c>
      <c r="F16" s="313" t="n"/>
      <c r="G16" s="313" t="n"/>
      <c r="H16" s="314" t="n"/>
      <c r="I16" s="313" t="n"/>
    </row>
    <row r="17" ht="15.75" customHeight="1" s="244">
      <c r="A17" s="310" t="n"/>
      <c r="B17" s="315" t="inlineStr">
        <is>
          <t>Radyatör Türü</t>
        </is>
      </c>
      <c r="C17" s="313" t="n"/>
      <c r="D17" s="313" t="n"/>
      <c r="E17" s="313" t="inlineStr">
        <is>
          <t>: Zeminden ısıtma borusu PEX 16x2,0 (oksijen bariyerli)</t>
        </is>
      </c>
      <c r="F17" s="313" t="n"/>
      <c r="G17" s="313" t="n"/>
      <c r="H17" s="314" t="n"/>
      <c r="I17" s="313" t="n"/>
    </row>
    <row r="18" ht="15.75" customHeight="1" s="244">
      <c r="A18" s="310" t="n"/>
      <c r="B18" s="315" t="inlineStr">
        <is>
          <t>Çalışma Sıcaklığı</t>
        </is>
      </c>
      <c r="C18" s="313" t="n"/>
      <c r="D18" s="313" t="n"/>
      <c r="E18" s="317" t="inlineStr">
        <is>
          <t>: 45 - 35 °C</t>
        </is>
      </c>
      <c r="F18" s="313" t="n"/>
      <c r="G18" s="313" t="n"/>
      <c r="H18" s="314" t="n"/>
      <c r="I18" s="313" t="n"/>
    </row>
    <row r="19" ht="15.75" customHeight="1" s="244">
      <c r="A19" s="310" t="n"/>
      <c r="B19" s="315" t="n"/>
      <c r="C19" s="313" t="n"/>
      <c r="D19" s="313" t="n"/>
      <c r="E19" s="313" t="n"/>
      <c r="F19" s="313" t="n"/>
      <c r="G19" s="313" t="n"/>
      <c r="H19" s="314" t="n"/>
      <c r="I19" s="313" t="n"/>
    </row>
    <row r="20" ht="15.75" customHeight="1" s="244">
      <c r="A20" s="310" t="inlineStr">
        <is>
          <t>1.2.</t>
        </is>
      </c>
      <c r="B20" s="315" t="inlineStr">
        <is>
          <t>Mahal Sıcaklıkları :</t>
        </is>
      </c>
      <c r="C20" s="313" t="n"/>
      <c r="D20" s="313" t="n"/>
      <c r="E20" s="313" t="n"/>
      <c r="F20" s="313" t="n"/>
      <c r="G20" s="313" t="n"/>
      <c r="H20" s="314" t="n"/>
      <c r="I20" s="313" t="n"/>
    </row>
    <row r="21" ht="15" customHeight="1" s="244">
      <c r="A21" s="310" t="n"/>
      <c r="B21" s="313" t="inlineStr">
        <is>
          <t>Salon</t>
        </is>
      </c>
      <c r="F21" s="317" t="inlineStr">
        <is>
          <t>: 20°C</t>
        </is>
      </c>
      <c r="H21" s="321" t="n"/>
      <c r="I21" s="313" t="n"/>
    </row>
    <row r="22" ht="15" customHeight="1" s="244">
      <c r="A22" s="310" t="n"/>
      <c r="B22" s="313" t="inlineStr">
        <is>
          <t>Oturma Odası</t>
        </is>
      </c>
      <c r="F22" s="317" t="inlineStr">
        <is>
          <t>: 20°C</t>
        </is>
      </c>
      <c r="H22" s="321" t="n"/>
      <c r="I22" s="313" t="n"/>
    </row>
    <row r="23" ht="15" customHeight="1" s="244">
      <c r="A23" s="310" t="n"/>
      <c r="B23" s="313" t="inlineStr">
        <is>
          <t>Yatak Odası</t>
        </is>
      </c>
      <c r="F23" s="317" t="inlineStr">
        <is>
          <t>: 20°C</t>
        </is>
      </c>
      <c r="H23" s="321" t="n"/>
      <c r="I23" s="313" t="n"/>
    </row>
    <row r="24" ht="15" customHeight="1" s="244">
      <c r="A24" s="310" t="n"/>
      <c r="B24" s="313" t="inlineStr">
        <is>
          <t>Banyo</t>
        </is>
      </c>
      <c r="F24" s="317" t="inlineStr">
        <is>
          <t>: 24°C</t>
        </is>
      </c>
      <c r="H24" s="321" t="n"/>
      <c r="I24" s="313" t="n"/>
    </row>
    <row r="25" ht="15" customHeight="1" s="244">
      <c r="A25" s="310" t="n"/>
      <c r="B25" s="313" t="inlineStr">
        <is>
          <t>Hol</t>
        </is>
      </c>
      <c r="F25" s="317" t="inlineStr">
        <is>
          <t>: 18°C (kollektör bağlantı boruları ile ısıtılır)</t>
        </is>
      </c>
      <c r="H25" s="321" t="n"/>
      <c r="I25" s="313" t="n"/>
    </row>
    <row r="26" ht="15" customHeight="1" s="244">
      <c r="A26" s="310" t="n"/>
      <c r="B26" s="313" t="n"/>
      <c r="F26" s="322" t="n"/>
      <c r="H26" s="321" t="n"/>
      <c r="I26" s="313" t="n"/>
    </row>
    <row r="27" ht="15" customHeight="1" s="244">
      <c r="A27" s="310" t="n"/>
      <c r="B27" s="313" t="n"/>
      <c r="F27" s="322" t="n"/>
      <c r="H27" s="321" t="n"/>
      <c r="I27" s="313" t="n"/>
    </row>
    <row r="28" ht="15" customHeight="1" s="244">
      <c r="A28" s="310" t="n"/>
      <c r="B28" s="313" t="n"/>
      <c r="F28" s="322" t="n"/>
      <c r="H28" s="321" t="n"/>
      <c r="I28" s="313" t="n"/>
    </row>
    <row r="29" ht="15" customHeight="1" s="244">
      <c r="A29" s="310" t="n"/>
      <c r="B29" s="313" t="inlineStr">
        <is>
          <t xml:space="preserve">Çatı Arası </t>
        </is>
      </c>
      <c r="F29" s="317" t="inlineStr">
        <is>
          <t>:  -6°C (teras çatı)</t>
        </is>
      </c>
      <c r="H29" s="321" t="n"/>
      <c r="I29" s="313" t="n"/>
    </row>
    <row r="30" ht="15" customHeight="1" s="244">
      <c r="A30" s="310" t="n"/>
      <c r="B30" s="313" t="inlineStr">
        <is>
          <t xml:space="preserve">Toprağa Bitişik Döşeme </t>
        </is>
      </c>
      <c r="F30" s="317" t="inlineStr">
        <is>
          <t>:   6°C</t>
        </is>
      </c>
      <c r="H30" s="321" t="n"/>
      <c r="I30" s="313" t="n"/>
    </row>
    <row r="31" ht="15" customHeight="1" s="244">
      <c r="A31" s="310" t="n"/>
      <c r="B31" s="313" t="inlineStr">
        <is>
          <t>Mutfak</t>
        </is>
      </c>
      <c r="F31" s="317" t="inlineStr">
        <is>
          <t>: 20°C</t>
        </is>
      </c>
      <c r="H31" s="321" t="n"/>
      <c r="I31" s="313" t="n"/>
    </row>
    <row r="32" ht="15" customHeight="1" s="244">
      <c r="A32" s="310" t="n"/>
      <c r="B32" s="313" t="n"/>
      <c r="D32" s="317" t="n"/>
      <c r="E32" s="313" t="n"/>
      <c r="F32" s="313" t="n"/>
      <c r="H32" s="321" t="n"/>
      <c r="I32" s="313" t="n"/>
    </row>
    <row r="33" ht="15.75" customHeight="1" s="244">
      <c r="A33" s="310" t="inlineStr">
        <is>
          <t>1.3.</t>
        </is>
      </c>
      <c r="B33" s="315" t="inlineStr">
        <is>
          <t>Isı İletim Katsayıları:</t>
        </is>
      </c>
      <c r="C33" s="317" t="n"/>
      <c r="D33" s="317" t="n"/>
      <c r="E33" s="313" t="n"/>
      <c r="F33" s="313" t="n"/>
      <c r="G33" s="313" t="n"/>
      <c r="H33" s="314" t="n"/>
      <c r="I33" s="313" t="n"/>
    </row>
    <row r="34" ht="15.75" customHeight="1" s="244">
      <c r="A34" s="310" t="n"/>
      <c r="B34" s="315" t="n"/>
      <c r="C34" s="317" t="n"/>
      <c r="D34" s="317" t="n"/>
      <c r="H34" s="280" t="n"/>
    </row>
    <row r="35" ht="15" customHeight="1" s="244">
      <c r="A35" s="310" t="n"/>
      <c r="B35" s="313" t="inlineStr">
        <is>
          <t>Dış Duvar                                         :</t>
        </is>
      </c>
      <c r="E35" s="243" t="inlineStr">
        <is>
          <t>:</t>
        </is>
      </c>
      <c r="F35" s="317" t="n">
        <v>0.344</v>
      </c>
      <c r="G35" s="323" t="inlineStr">
        <is>
          <t>W/M²k</t>
        </is>
      </c>
      <c r="H35" s="280" t="n"/>
    </row>
    <row r="36" ht="15" customHeight="1" s="244">
      <c r="A36" s="310" t="n"/>
      <c r="B36" s="313" t="inlineStr">
        <is>
          <t>Kiriş 25 cm</t>
        </is>
      </c>
      <c r="E36" s="243" t="inlineStr">
        <is>
          <t>:</t>
        </is>
      </c>
      <c r="F36" s="317" t="n">
        <v>0.387</v>
      </c>
      <c r="G36" s="323" t="inlineStr">
        <is>
          <t>W/M²k</t>
        </is>
      </c>
      <c r="H36" s="280" t="n"/>
    </row>
    <row r="37" ht="15" customHeight="1" s="244">
      <c r="A37" s="310" t="n"/>
      <c r="B37" s="313" t="inlineStr">
        <is>
          <t>Kiriş 30 cm</t>
        </is>
      </c>
      <c r="E37" s="243" t="inlineStr">
        <is>
          <t>:</t>
        </is>
      </c>
      <c r="F37" s="317" t="n">
        <v>0.384</v>
      </c>
      <c r="G37" s="323" t="inlineStr">
        <is>
          <t>W/M²k</t>
        </is>
      </c>
      <c r="H37" s="280" t="n"/>
    </row>
    <row r="38" ht="15" customHeight="1" s="244">
      <c r="A38" s="310" t="n"/>
      <c r="B38" s="313" t="inlineStr">
        <is>
          <t>Kapı                                                  :</t>
        </is>
      </c>
      <c r="E38" s="243" t="inlineStr">
        <is>
          <t>:</t>
        </is>
      </c>
      <c r="F38" s="317" t="n">
        <v>2</v>
      </c>
      <c r="G38" s="323" t="inlineStr">
        <is>
          <t>W/M²k</t>
        </is>
      </c>
      <c r="H38" s="280" t="n"/>
    </row>
    <row r="39" ht="15" customHeight="1" s="244">
      <c r="A39" s="310" t="n"/>
      <c r="B39" s="313" t="inlineStr">
        <is>
          <t>Pencere                                           :</t>
        </is>
      </c>
      <c r="E39" s="243" t="inlineStr">
        <is>
          <t>:</t>
        </is>
      </c>
      <c r="F39" s="317" t="n">
        <v>1.8</v>
      </c>
      <c r="G39" s="323" t="inlineStr">
        <is>
          <t>W/M²k</t>
        </is>
      </c>
      <c r="H39" s="280" t="n"/>
    </row>
    <row r="40" ht="15" customHeight="1" s="244">
      <c r="A40" s="310" t="n"/>
      <c r="B40" s="313" t="inlineStr">
        <is>
          <t>Döşeme      ara                              :</t>
        </is>
      </c>
      <c r="E40" s="243" t="inlineStr">
        <is>
          <t>:</t>
        </is>
      </c>
      <c r="F40" s="317" t="n">
        <v>0</v>
      </c>
      <c r="G40" s="323" t="inlineStr">
        <is>
          <t>W/M²k</t>
        </is>
      </c>
      <c r="H40" s="280" t="n"/>
    </row>
    <row r="41" ht="15" customHeight="1" s="244">
      <c r="A41" s="310" t="n"/>
      <c r="B41" s="313" t="inlineStr">
        <is>
          <t xml:space="preserve">Merdiven Duvarı </t>
        </is>
      </c>
      <c r="E41" s="243" t="inlineStr">
        <is>
          <t>:</t>
        </is>
      </c>
      <c r="F41" s="317" t="n">
        <v>0.332</v>
      </c>
      <c r="G41" s="323" t="inlineStr">
        <is>
          <t>W/M²k</t>
        </is>
      </c>
      <c r="H41" s="280" t="n"/>
    </row>
    <row r="42" ht="15" customHeight="1" s="244">
      <c r="A42" s="310" t="n"/>
      <c r="B42" s="313" t="inlineStr">
        <is>
          <t xml:space="preserve">Merdiven Kiriş-kolon </t>
        </is>
      </c>
      <c r="E42" s="243" t="inlineStr">
        <is>
          <t>:</t>
        </is>
      </c>
      <c r="F42" s="317" t="n">
        <v>0.375</v>
      </c>
      <c r="G42" s="323" t="inlineStr">
        <is>
          <t>W/M²k</t>
        </is>
      </c>
      <c r="H42" s="280" t="n"/>
    </row>
    <row r="43" ht="15" customHeight="1" s="244">
      <c r="A43" s="310" t="n"/>
      <c r="B43" s="313" t="inlineStr">
        <is>
          <t xml:space="preserve">Döşeme  </t>
        </is>
      </c>
      <c r="E43" s="243" t="inlineStr">
        <is>
          <t>:</t>
        </is>
      </c>
      <c r="F43" s="317" t="n">
        <v>0.312</v>
      </c>
      <c r="G43" s="323" t="inlineStr">
        <is>
          <t>W/M²k</t>
        </is>
      </c>
      <c r="H43" s="280" t="n"/>
    </row>
    <row r="44" ht="15" customHeight="1" s="244">
      <c r="A44" s="310" t="n"/>
      <c r="B44" s="313" t="inlineStr">
        <is>
          <t>Tavan                                               :</t>
        </is>
      </c>
      <c r="E44" s="243" t="inlineStr">
        <is>
          <t>:</t>
        </is>
      </c>
      <c r="F44" s="317" t="n">
        <v>0.266</v>
      </c>
      <c r="G44" s="323" t="inlineStr">
        <is>
          <t>W/M²k</t>
        </is>
      </c>
      <c r="H44" s="280" t="n"/>
    </row>
    <row r="45" ht="15" customHeight="1" s="244">
      <c r="A45" s="310" t="n"/>
      <c r="B45" s="313" t="inlineStr">
        <is>
          <t>Döşeme  Açık Geçit</t>
        </is>
      </c>
      <c r="E45" s="243" t="inlineStr">
        <is>
          <t>:</t>
        </is>
      </c>
      <c r="F45" s="317" t="n">
        <v>0</v>
      </c>
      <c r="G45" s="323" t="inlineStr">
        <is>
          <t>W/M²k</t>
        </is>
      </c>
      <c r="H45" s="280" t="n"/>
    </row>
    <row r="46" ht="15" customHeight="1" s="244">
      <c r="A46" s="310" t="n"/>
      <c r="B46" s="313" t="inlineStr">
        <is>
          <t>Bağımsız bölüm</t>
        </is>
      </c>
      <c r="C46" s="324" t="n"/>
      <c r="D46" s="323" t="n"/>
      <c r="E46" s="243" t="inlineStr">
        <is>
          <t>:</t>
        </is>
      </c>
      <c r="F46" s="317" t="n">
        <v>0</v>
      </c>
      <c r="G46" s="323" t="inlineStr">
        <is>
          <t>W/M²k</t>
        </is>
      </c>
      <c r="H46" s="280" t="n"/>
    </row>
    <row r="47" ht="15" customHeight="1" s="244">
      <c r="A47" s="310" t="n"/>
      <c r="B47" s="313" t="inlineStr">
        <is>
          <t>Bağımsız bölüm kolon kiriş</t>
        </is>
      </c>
      <c r="C47" s="324" t="n"/>
      <c r="D47" s="323" t="n"/>
      <c r="E47" s="243" t="inlineStr">
        <is>
          <t>:</t>
        </is>
      </c>
      <c r="F47" s="317" t="n">
        <v>0</v>
      </c>
      <c r="G47" s="323" t="inlineStr">
        <is>
          <t>W/M²k</t>
        </is>
      </c>
      <c r="H47" s="280" t="n"/>
    </row>
    <row r="48" ht="15" customHeight="1" s="244">
      <c r="A48" s="310" t="n"/>
      <c r="B48" s="313" t="inlineStr">
        <is>
          <t>İç Duvar</t>
        </is>
      </c>
      <c r="C48" s="324" t="n"/>
      <c r="D48" s="323" t="n"/>
      <c r="E48" s="243" t="inlineStr">
        <is>
          <t>:</t>
        </is>
      </c>
      <c r="F48" s="317" t="n">
        <v>1.915</v>
      </c>
      <c r="G48" s="323" t="inlineStr">
        <is>
          <t>W/M²k</t>
        </is>
      </c>
      <c r="H48" s="280" t="n"/>
    </row>
    <row r="49" ht="15.75" customHeight="1" s="244">
      <c r="A49" s="310" t="n"/>
      <c r="B49" s="315" t="inlineStr">
        <is>
          <t>Kullanılan Kısaltmalar:</t>
        </is>
      </c>
      <c r="D49" s="323" t="n"/>
      <c r="H49" s="280" t="n"/>
    </row>
    <row r="50" ht="15" customHeight="1" s="244">
      <c r="A50" s="310" t="n"/>
      <c r="B50" s="313" t="inlineStr">
        <is>
          <t>Dış Duvar</t>
        </is>
      </c>
      <c r="D50" s="323" t="n"/>
      <c r="E50" s="317" t="inlineStr">
        <is>
          <t>:DD</t>
        </is>
      </c>
      <c r="H50" s="280" t="n"/>
    </row>
    <row r="51" ht="15" customHeight="1" s="244">
      <c r="A51" s="310" t="n"/>
      <c r="B51" s="313" t="inlineStr">
        <is>
          <t>Pencere</t>
        </is>
      </c>
      <c r="D51" s="323" t="n"/>
      <c r="E51" s="317" t="inlineStr">
        <is>
          <t>:ÇP</t>
        </is>
      </c>
      <c r="H51" s="280" t="n"/>
    </row>
    <row r="52" ht="15" customHeight="1" s="244">
      <c r="A52" s="310" t="n"/>
      <c r="B52" s="313" t="inlineStr">
        <is>
          <t>İç Kapı</t>
        </is>
      </c>
      <c r="E52" s="317" t="inlineStr">
        <is>
          <t>:İK</t>
        </is>
      </c>
      <c r="H52" s="280" t="n"/>
    </row>
    <row r="53" ht="15" customHeight="1" s="244">
      <c r="A53" s="310" t="n"/>
      <c r="B53" s="313" t="inlineStr">
        <is>
          <t>Dış Kapı</t>
        </is>
      </c>
      <c r="E53" s="317" t="inlineStr">
        <is>
          <t>:DK</t>
        </is>
      </c>
      <c r="H53" s="280" t="n"/>
    </row>
    <row r="54" ht="15" customHeight="1" s="244">
      <c r="A54" s="310" t="n"/>
      <c r="B54" s="313" t="inlineStr">
        <is>
          <t>Balkon Kapısı</t>
        </is>
      </c>
      <c r="E54" s="317" t="inlineStr">
        <is>
          <t>:BK</t>
        </is>
      </c>
      <c r="H54" s="280" t="n"/>
    </row>
    <row r="55" ht="15" customHeight="1" s="244">
      <c r="A55" s="310" t="n"/>
      <c r="B55" s="313" t="inlineStr">
        <is>
          <t>Döşeme</t>
        </is>
      </c>
      <c r="E55" s="317" t="inlineStr">
        <is>
          <t>:Dö</t>
        </is>
      </c>
      <c r="H55" s="280" t="n"/>
    </row>
    <row r="56" ht="15" customHeight="1" s="244">
      <c r="A56" s="310" t="n"/>
      <c r="B56" s="313" t="inlineStr">
        <is>
          <t>Tavan</t>
        </is>
      </c>
      <c r="E56" s="317" t="inlineStr">
        <is>
          <t>:Ta</t>
        </is>
      </c>
      <c r="H56" s="280" t="n"/>
    </row>
    <row r="57" ht="15" customHeight="1" s="244">
      <c r="A57" s="310" t="n"/>
      <c r="B57" s="313" t="inlineStr">
        <is>
          <t>Dükkan</t>
        </is>
      </c>
      <c r="E57" s="317" t="inlineStr">
        <is>
          <t>:DÜK</t>
        </is>
      </c>
      <c r="H57" s="280" t="n"/>
    </row>
    <row r="58" ht="15" customHeight="1" s="244">
      <c r="A58" s="310" t="n"/>
      <c r="B58" s="313" t="inlineStr">
        <is>
          <t>Bodrum</t>
        </is>
      </c>
      <c r="E58" s="317" t="inlineStr">
        <is>
          <t>:B</t>
        </is>
      </c>
      <c r="H58" s="280" t="n"/>
    </row>
    <row r="59" ht="15" customHeight="1" s="244">
      <c r="A59" s="310" t="n"/>
      <c r="B59" s="313" t="inlineStr">
        <is>
          <t xml:space="preserve">Sürgülü  kapı                                </t>
        </is>
      </c>
      <c r="E59" s="317" t="inlineStr">
        <is>
          <t>:SK</t>
        </is>
      </c>
      <c r="H59" s="280" t="n"/>
    </row>
    <row r="60" ht="15" customHeight="1" s="244">
      <c r="A60" s="310" t="n"/>
      <c r="B60" s="313" t="inlineStr">
        <is>
          <t>Kiriş - Kolon</t>
        </is>
      </c>
      <c r="E60" s="317" t="inlineStr">
        <is>
          <t>: DD2</t>
        </is>
      </c>
      <c r="H60" s="280" t="n"/>
    </row>
    <row r="61" ht="15" customHeight="1" s="244">
      <c r="A61" s="310" t="n"/>
      <c r="B61" s="313" t="inlineStr">
        <is>
          <t>İç Taban</t>
        </is>
      </c>
      <c r="E61" s="317" t="inlineStr">
        <is>
          <t>:Dö</t>
        </is>
      </c>
      <c r="H61" s="280" t="n"/>
    </row>
    <row r="62" ht="15" customHeight="1" s="244">
      <c r="A62" s="310" t="n"/>
      <c r="B62" s="313" t="inlineStr">
        <is>
          <t>İç Duvar</t>
        </is>
      </c>
      <c r="E62" s="317" t="inlineStr">
        <is>
          <t>: İD</t>
        </is>
      </c>
      <c r="H62" s="280" t="n"/>
    </row>
    <row r="63" ht="15" customHeight="1" s="244">
      <c r="A63" s="279" t="n"/>
      <c r="B63" s="313" t="inlineStr">
        <is>
          <t xml:space="preserve">Merdiven Duvarı </t>
        </is>
      </c>
      <c r="E63" s="317" t="inlineStr">
        <is>
          <t>: İDM</t>
        </is>
      </c>
      <c r="H63" s="280" t="n"/>
    </row>
    <row r="64" ht="15" customHeight="1" s="244">
      <c r="A64" s="279" t="n"/>
      <c r="B64" s="313" t="inlineStr">
        <is>
          <t xml:space="preserve">Merdiven Kiriş-kolon </t>
        </is>
      </c>
      <c r="E64" s="317" t="inlineStr">
        <is>
          <t>: İDMK</t>
        </is>
      </c>
      <c r="H64" s="280" t="n"/>
    </row>
    <row r="65" ht="13.5" customHeight="1" s="244">
      <c r="A65" s="325" t="n"/>
      <c r="B65" s="326" t="n"/>
      <c r="C65" s="326" t="n"/>
      <c r="D65" s="326" t="n"/>
      <c r="E65" s="326" t="n"/>
      <c r="F65" s="326" t="n"/>
      <c r="G65" s="326" t="n"/>
      <c r="H65" s="327" t="n"/>
    </row>
    <row r="66" ht="13.5" customHeight="1" s="244"/>
  </sheetData>
  <mergeCells count="10">
    <mergeCell ref="A4:B4"/>
    <mergeCell ref="B14:D14"/>
    <mergeCell ref="C3:F3"/>
    <mergeCell ref="C4:F4"/>
    <mergeCell ref="G3:G4"/>
    <mergeCell ref="A1:F2"/>
    <mergeCell ref="H3:H4"/>
    <mergeCell ref="G1:G2"/>
    <mergeCell ref="H1:H2"/>
    <mergeCell ref="A3:B3"/>
  </mergeCells>
  <printOptions horizontalCentered="1" verticalCentered="0" headings="0" gridLines="0" gridLinesSet="1"/>
  <pageMargins left="0.309722222222222" right="0.3" top="0.590277777777778" bottom="0.196527777777778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Q200"/>
  <sheetViews>
    <sheetView showFormulas="0" showGridLines="1" showRowColHeaders="1" showZeros="1" rightToLeft="0" tabSelected="0" showOutlineSymbols="1" defaultGridColor="1" view="normal" topLeftCell="A8" colorId="64" zoomScale="160" zoomScaleNormal="160" zoomScalePageLayoutView="100" workbookViewId="0">
      <selection pane="topLeft" activeCell="Q43" activeCellId="0" sqref="Q43"/>
    </sheetView>
  </sheetViews>
  <sheetFormatPr baseColWidth="8" defaultColWidth="6.84765625" defaultRowHeight="11.25" zeroHeight="0" outlineLevelRow="0"/>
  <cols>
    <col width="7.28" customWidth="1" style="328" min="1" max="1"/>
    <col width="3.85" customWidth="1" style="328" min="2" max="3"/>
    <col width="5.56" customWidth="1" style="328" min="4" max="4"/>
    <col width="6.13" customWidth="1" style="328" min="5" max="5"/>
    <col width="5.56" customWidth="1" style="328" min="6" max="7"/>
    <col width="6.56" customWidth="1" style="328" min="8" max="9"/>
    <col width="6.41" customWidth="1" style="328" min="10" max="10"/>
    <col width="6.13" customWidth="1" style="328" min="11" max="11"/>
    <col width="7.28" customWidth="1" style="328" min="12" max="12"/>
    <col width="5.56" customWidth="1" style="328" min="13" max="16"/>
    <col width="8.279999999999999" customWidth="1" style="328" min="17" max="17"/>
    <col width="6.85" customWidth="1" style="328" min="18" max="257"/>
  </cols>
  <sheetData>
    <row r="1" ht="9.75" customFormat="1" customHeight="1" s="329">
      <c r="A1" s="330" t="n"/>
      <c r="B1" s="331" t="n"/>
      <c r="C1" s="331" t="n"/>
      <c r="D1" s="331" t="n"/>
      <c r="E1" s="331" t="n"/>
      <c r="F1" s="332" t="n"/>
      <c r="G1" s="333" t="n"/>
      <c r="H1" s="334" t="inlineStr">
        <is>
          <t>ISI  KAYBI  HESABI</t>
        </is>
      </c>
      <c r="I1" s="333" t="n"/>
      <c r="J1" s="333" t="n"/>
      <c r="K1" s="331" t="n"/>
      <c r="L1" s="335" t="n"/>
      <c r="M1" s="331" t="n"/>
      <c r="N1" s="336" t="inlineStr">
        <is>
          <t>Kat :</t>
        </is>
      </c>
      <c r="O1" s="337" t="inlineStr">
        <is>
          <t>ZEMİN (DÜKKÂN)</t>
        </is>
      </c>
      <c r="P1" s="337" t="inlineStr">
        <is>
          <t>Tarih</t>
        </is>
      </c>
      <c r="Q1" s="338">
        <f>kapak!G41</f>
        <v/>
      </c>
    </row>
    <row r="2" ht="10.5" customFormat="1" customHeight="1" s="339">
      <c r="A2" s="340" t="n"/>
      <c r="F2" s="341" t="inlineStr">
        <is>
          <t xml:space="preserve">   PROJE ADI :</t>
        </is>
      </c>
      <c r="G2" s="342" t="n"/>
      <c r="H2" s="343">
        <f>kapak!C31</f>
        <v/>
      </c>
      <c r="I2" s="343" t="n"/>
      <c r="J2" s="343" t="n"/>
      <c r="K2" s="344" t="n"/>
      <c r="L2" s="345" t="n"/>
      <c r="N2" s="346" t="inlineStr">
        <is>
          <t xml:space="preserve">  Sayfa :</t>
        </is>
      </c>
      <c r="O2" s="347" t="n">
        <v>3</v>
      </c>
      <c r="P2" s="347" t="n"/>
      <c r="Q2" s="347" t="n"/>
    </row>
    <row r="3" ht="8.25" customFormat="1" customHeight="1" s="339">
      <c r="A3" s="348" t="inlineStr">
        <is>
          <t xml:space="preserve"> Yapı Bileşeni</t>
        </is>
      </c>
      <c r="B3" s="264" t="n"/>
      <c r="C3" s="264" t="n"/>
      <c r="D3" s="264" t="n"/>
      <c r="E3" s="349" t="inlineStr">
        <is>
          <t xml:space="preserve"> Alan Hesabı</t>
        </is>
      </c>
      <c r="F3" s="264" t="n"/>
      <c r="G3" s="264" t="n"/>
      <c r="H3" s="260" t="n"/>
      <c r="I3" s="350" t="inlineStr">
        <is>
          <t xml:space="preserve">                 Isı kaybı hesabı</t>
        </is>
      </c>
      <c r="J3" s="264" t="n"/>
      <c r="K3" s="264" t="n"/>
      <c r="L3" s="260" t="n"/>
      <c r="M3" s="350" t="inlineStr">
        <is>
          <t xml:space="preserve">            Zamlar</t>
        </is>
      </c>
      <c r="N3" s="264" t="n"/>
      <c r="O3" s="264" t="n"/>
      <c r="P3" s="260" t="n"/>
      <c r="Q3" s="350" t="inlineStr">
        <is>
          <t xml:space="preserve">Toplam </t>
        </is>
      </c>
    </row>
    <row r="4" ht="31.5" customFormat="1" customHeight="1" s="351">
      <c r="A4" s="352" t="inlineStr">
        <is>
          <t>İşaret</t>
        </is>
      </c>
      <c r="B4" s="352" t="inlineStr">
        <is>
          <t>Yön</t>
        </is>
      </c>
      <c r="C4" s="352" t="inlineStr">
        <is>
          <t>Kalınlık</t>
        </is>
      </c>
      <c r="D4" s="352" t="inlineStr">
        <is>
          <t>Uzunluk</t>
        </is>
      </c>
      <c r="E4" s="352" t="inlineStr">
        <is>
          <t>Yükseklik</t>
        </is>
      </c>
      <c r="F4" s="353" t="inlineStr">
        <is>
          <t xml:space="preserve">  Toplam Alan</t>
        </is>
      </c>
      <c r="G4" s="352" t="inlineStr">
        <is>
          <t>Miktar</t>
        </is>
      </c>
      <c r="H4" s="353" t="inlineStr">
        <is>
          <t>Çıkarıla alan</t>
        </is>
      </c>
      <c r="I4" s="353" t="inlineStr">
        <is>
          <t>Hesaba giren Alan</t>
        </is>
      </c>
      <c r="J4" s="353" t="inlineStr">
        <is>
          <t xml:space="preserve">    Isı İletim Katsayısı</t>
        </is>
      </c>
      <c r="K4" s="353" t="inlineStr">
        <is>
          <t xml:space="preserve">Sıcaklık Farkı </t>
        </is>
      </c>
      <c r="L4" s="353" t="inlineStr">
        <is>
          <t>Zamsız Isı Kaybı</t>
        </is>
      </c>
      <c r="M4" s="352" t="inlineStr">
        <is>
          <t>İşletme</t>
        </is>
      </c>
      <c r="N4" s="352" t="inlineStr">
        <is>
          <t>Kat Yük.</t>
        </is>
      </c>
      <c r="O4" s="352" t="inlineStr">
        <is>
          <t>Yön</t>
        </is>
      </c>
      <c r="P4" s="352" t="inlineStr">
        <is>
          <t>Toplam</t>
        </is>
      </c>
      <c r="Q4" s="353" t="inlineStr">
        <is>
          <t>Toplam Is
ı İhtiyacı</t>
        </is>
      </c>
    </row>
    <row r="5" ht="9.75" customFormat="1" customHeight="1" s="351">
      <c r="A5" s="354" t="n"/>
      <c r="B5" s="354" t="n"/>
      <c r="C5" s="354" t="n"/>
      <c r="D5" s="354" t="n"/>
      <c r="E5" s="354" t="n"/>
      <c r="F5" s="354" t="inlineStr">
        <is>
          <t>[Ao]</t>
        </is>
      </c>
      <c r="G5" s="354" t="n"/>
      <c r="H5" s="354" t="n"/>
      <c r="I5" s="354" t="inlineStr">
        <is>
          <t>[A]</t>
        </is>
      </c>
      <c r="J5" s="354" t="inlineStr">
        <is>
          <t>[k]</t>
        </is>
      </c>
      <c r="K5" s="355" t="inlineStr">
        <is>
          <t>D T</t>
        </is>
      </c>
      <c r="L5" s="354" t="inlineStr">
        <is>
          <t>Qo</t>
        </is>
      </c>
      <c r="M5" s="354" t="inlineStr">
        <is>
          <t>ZD</t>
        </is>
      </c>
      <c r="N5" s="354" t="inlineStr">
        <is>
          <t>ZW</t>
        </is>
      </c>
      <c r="O5" s="354" t="inlineStr">
        <is>
          <t>ZH</t>
        </is>
      </c>
      <c r="P5" s="354" t="inlineStr">
        <is>
          <t>Z</t>
        </is>
      </c>
      <c r="Q5" s="354" t="inlineStr">
        <is>
          <t>Qh=Qi+Qs</t>
        </is>
      </c>
    </row>
    <row r="6" ht="15.75" customFormat="1" customHeight="1" s="356">
      <c r="A6" s="346" t="n"/>
      <c r="B6" s="346" t="n"/>
      <c r="C6" s="346" t="inlineStr">
        <is>
          <t>cm</t>
        </is>
      </c>
      <c r="D6" s="346" t="inlineStr">
        <is>
          <t>m</t>
        </is>
      </c>
      <c r="E6" s="346" t="inlineStr">
        <is>
          <t>m</t>
        </is>
      </c>
      <c r="F6" s="346" t="inlineStr">
        <is>
          <t>m²</t>
        </is>
      </c>
      <c r="G6" s="346" t="inlineStr">
        <is>
          <t>ad</t>
        </is>
      </c>
      <c r="H6" s="346" t="inlineStr">
        <is>
          <t>m²</t>
        </is>
      </c>
      <c r="I6" s="346" t="inlineStr">
        <is>
          <t>m²</t>
        </is>
      </c>
      <c r="J6" s="357" t="inlineStr">
        <is>
          <t>watt  m²hºC</t>
        </is>
      </c>
      <c r="K6" s="346" t="inlineStr">
        <is>
          <t>ºC</t>
        </is>
      </c>
      <c r="L6" s="358" t="inlineStr">
        <is>
          <t>watt</t>
        </is>
      </c>
      <c r="M6" s="346" t="inlineStr">
        <is>
          <t>%</t>
        </is>
      </c>
      <c r="N6" s="346" t="inlineStr">
        <is>
          <t>%</t>
        </is>
      </c>
      <c r="O6" s="346" t="inlineStr">
        <is>
          <t>%</t>
        </is>
      </c>
      <c r="P6" s="346" t="inlineStr">
        <is>
          <t>1+%</t>
        </is>
      </c>
      <c r="Q6" s="358" t="inlineStr">
        <is>
          <t>watt</t>
        </is>
      </c>
    </row>
    <row r="7" ht="11.25" customFormat="1" customHeight="1" s="356">
      <c r="A7" s="346" t="n">
        <v>1</v>
      </c>
      <c r="B7" s="346" t="n">
        <v>2</v>
      </c>
      <c r="C7" s="346" t="n">
        <v>3</v>
      </c>
      <c r="D7" s="346" t="n">
        <v>4</v>
      </c>
      <c r="E7" s="346" t="n">
        <v>5</v>
      </c>
      <c r="F7" s="346" t="n">
        <v>6</v>
      </c>
      <c r="G7" s="346" t="n">
        <v>7</v>
      </c>
      <c r="H7" s="346" t="n">
        <v>8</v>
      </c>
      <c r="I7" s="346" t="n">
        <v>9</v>
      </c>
      <c r="J7" s="346" t="n">
        <v>10</v>
      </c>
      <c r="K7" s="346" t="n">
        <v>11</v>
      </c>
      <c r="L7" s="346" t="n">
        <v>12</v>
      </c>
      <c r="M7" s="346" t="n">
        <v>13</v>
      </c>
      <c r="N7" s="346" t="n">
        <v>14</v>
      </c>
      <c r="O7" s="346" t="n">
        <v>15</v>
      </c>
      <c r="P7" s="346" t="n">
        <v>16</v>
      </c>
      <c r="Q7" s="346" t="n">
        <v>17</v>
      </c>
    </row>
    <row r="8" ht="10.35" customFormat="1" customHeight="1" s="356">
      <c r="A8" s="359" t="n"/>
      <c r="B8" s="360" t="n"/>
      <c r="C8" s="360" t="n"/>
      <c r="D8" s="360" t="n"/>
      <c r="E8" s="360" t="n"/>
      <c r="F8" s="361" t="inlineStr">
        <is>
          <t>Z</t>
        </is>
      </c>
      <c r="G8" s="362" t="inlineStr">
        <is>
          <t>0</t>
        </is>
      </c>
      <c r="H8" s="360" t="inlineStr">
        <is>
          <t>Z01</t>
        </is>
      </c>
      <c r="I8" s="363" t="inlineStr">
        <is>
          <t>DÜKKÂN-1</t>
        </is>
      </c>
      <c r="J8" s="364" t="n"/>
      <c r="K8" s="360" t="inlineStr">
        <is>
          <t>20ºC</t>
        </is>
      </c>
      <c r="L8" s="360" t="n"/>
      <c r="M8" s="360" t="n"/>
      <c r="N8" s="360" t="n"/>
      <c r="O8" s="360" t="n"/>
      <c r="P8" s="360" t="n"/>
      <c r="Q8" s="365" t="n"/>
    </row>
    <row r="9" ht="9.949999999999999" customFormat="1" customHeight="1" s="356">
      <c r="A9" s="366" t="inlineStr">
        <is>
          <t>DD</t>
        </is>
      </c>
      <c r="B9" s="367" t="inlineStr">
        <is>
          <t>K</t>
        </is>
      </c>
      <c r="C9" s="368" t="n"/>
      <c r="D9" s="369" t="n">
        <v>12.9</v>
      </c>
      <c r="E9" s="369" t="n">
        <v>2.5</v>
      </c>
      <c r="F9" s="370">
        <f>IF(D9=0," ",D9*E9)</f>
        <v/>
      </c>
      <c r="G9" s="371" t="n">
        <v>1</v>
      </c>
      <c r="H9" s="372">
        <f>F11*G11</f>
        <v/>
      </c>
      <c r="I9" s="370">
        <f>IF(F9=" "," ",F9*G9-H9)</f>
        <v/>
      </c>
      <c r="J9" s="369" t="n">
        <v>0.344</v>
      </c>
      <c r="K9" s="371" t="n">
        <v>26</v>
      </c>
      <c r="L9" s="373">
        <f>IF(I9=" "," ",I9*J9*K9)</f>
        <v/>
      </c>
      <c r="M9" s="374" t="n">
        <v>7</v>
      </c>
      <c r="N9" s="371" t="n">
        <v>0</v>
      </c>
      <c r="O9" s="374" t="n">
        <v>5</v>
      </c>
      <c r="P9" s="370">
        <f>IF(M9=" "," ",(1+(M9+N9+O9)/100))</f>
        <v/>
      </c>
      <c r="Q9" s="375">
        <f>IF(L9=" "," ",L9*P9)</f>
        <v/>
      </c>
    </row>
    <row r="10" ht="9.949999999999999" customFormat="1" customHeight="1" s="356">
      <c r="A10" s="366" t="inlineStr">
        <is>
          <t>DD25</t>
        </is>
      </c>
      <c r="B10" s="367" t="inlineStr">
        <is>
          <t>K</t>
        </is>
      </c>
      <c r="C10" s="368" t="n"/>
      <c r="D10" s="369">
        <f>D9</f>
        <v/>
      </c>
      <c r="E10" s="369" t="n">
        <v>0.5</v>
      </c>
      <c r="F10" s="370">
        <f>IF(D10=0," ",D10*E10)</f>
        <v/>
      </c>
      <c r="G10" s="371" t="n">
        <v>1</v>
      </c>
      <c r="H10" s="372" t="n"/>
      <c r="I10" s="370">
        <f>IF(F10=" "," ",F10*G10-H10)</f>
        <v/>
      </c>
      <c r="J10" s="369" t="n">
        <v>0.387</v>
      </c>
      <c r="K10" s="371" t="n">
        <v>26</v>
      </c>
      <c r="L10" s="373">
        <f>IF(I10=" "," ",I10*J10*K10)</f>
        <v/>
      </c>
      <c r="M10" s="374" t="n">
        <v>7</v>
      </c>
      <c r="N10" s="371" t="n">
        <v>0</v>
      </c>
      <c r="O10" s="374" t="n">
        <v>5</v>
      </c>
      <c r="P10" s="370">
        <f>IF(M10=" "," ",(1+(M10+N10+O10)/100))</f>
        <v/>
      </c>
      <c r="Q10" s="375">
        <f>IF(L10=" "," ",L10*P10)</f>
        <v/>
      </c>
    </row>
    <row r="11" ht="9.949999999999999" customFormat="1" customHeight="1" s="356">
      <c r="A11" s="366" t="inlineStr">
        <is>
          <t>ÇP</t>
        </is>
      </c>
      <c r="B11" s="367" t="inlineStr">
        <is>
          <t>K</t>
        </is>
      </c>
      <c r="C11" s="368" t="n"/>
      <c r="D11" s="369" t="n">
        <v>12</v>
      </c>
      <c r="E11" s="369" t="n">
        <v>3</v>
      </c>
      <c r="F11" s="370">
        <f>IF(D11=0," ",D11*E11)</f>
        <v/>
      </c>
      <c r="G11" s="371" t="n">
        <v>1</v>
      </c>
      <c r="H11" s="372" t="n"/>
      <c r="I11" s="370">
        <f>IF(F11=" "," ",F11*G11-H11)</f>
        <v/>
      </c>
      <c r="J11" s="369" t="n">
        <v>1.8</v>
      </c>
      <c r="K11" s="371" t="n">
        <v>26</v>
      </c>
      <c r="L11" s="373">
        <f>IF(I11=" "," ",I11*J11*K11)</f>
        <v/>
      </c>
      <c r="M11" s="374" t="n">
        <v>7</v>
      </c>
      <c r="N11" s="371" t="n">
        <v>0</v>
      </c>
      <c r="O11" s="374" t="n">
        <v>5</v>
      </c>
      <c r="P11" s="370">
        <f>IF(M11=" "," ",(1+(M11+N11+O11)/100))</f>
        <v/>
      </c>
      <c r="Q11" s="375">
        <f>IF(L11=" "," ",L11*P11)</f>
        <v/>
      </c>
    </row>
    <row r="12" ht="9.949999999999999" customFormat="1" customHeight="1" s="356">
      <c r="A12" s="366" t="inlineStr">
        <is>
          <t>DD</t>
        </is>
      </c>
      <c r="B12" s="367" t="inlineStr">
        <is>
          <t>G</t>
        </is>
      </c>
      <c r="C12" s="368" t="n"/>
      <c r="D12" s="369" t="n">
        <v>13.4</v>
      </c>
      <c r="E12" s="369" t="n">
        <v>2.5</v>
      </c>
      <c r="F12" s="370">
        <f>IF(D12=0," ",D12*E12)</f>
        <v/>
      </c>
      <c r="G12" s="371" t="n">
        <v>1</v>
      </c>
      <c r="H12" s="372" t="n"/>
      <c r="I12" s="370">
        <f>IF(F12=" "," ",F12*G12-H12)</f>
        <v/>
      </c>
      <c r="J12" s="369" t="n">
        <v>0.344</v>
      </c>
      <c r="K12" s="371" t="n">
        <v>26</v>
      </c>
      <c r="L12" s="373">
        <f>IF(I12=" "," ",I12*J12*K12)</f>
        <v/>
      </c>
      <c r="M12" s="374" t="n">
        <v>7</v>
      </c>
      <c r="N12" s="371" t="n">
        <v>0</v>
      </c>
      <c r="O12" s="374" t="n">
        <v>-5</v>
      </c>
      <c r="P12" s="370">
        <f>IF(M12=" "," ",(1+(M12+N12+O12)/100))</f>
        <v/>
      </c>
      <c r="Q12" s="375">
        <f>IF(L12=" "," ",L12*P12)</f>
        <v/>
      </c>
    </row>
    <row r="13" ht="9.949999999999999" customFormat="1" customHeight="1" s="356">
      <c r="A13" s="366" t="inlineStr">
        <is>
          <t>DD25</t>
        </is>
      </c>
      <c r="B13" s="367" t="inlineStr">
        <is>
          <t>G</t>
        </is>
      </c>
      <c r="C13" s="368" t="n"/>
      <c r="D13" s="369">
        <f>D12</f>
        <v/>
      </c>
      <c r="E13" s="369" t="n">
        <v>0.5</v>
      </c>
      <c r="F13" s="370">
        <f>IF(D13=0," ",D13*E13)</f>
        <v/>
      </c>
      <c r="G13" s="371" t="n">
        <v>1</v>
      </c>
      <c r="H13" s="372" t="n"/>
      <c r="I13" s="370">
        <f>IF(F13=" "," ",F13*G13-H13)</f>
        <v/>
      </c>
      <c r="J13" s="369" t="n">
        <v>0.387</v>
      </c>
      <c r="K13" s="371" t="n">
        <v>26</v>
      </c>
      <c r="L13" s="373">
        <f>IF(I13=" "," ",I13*J13*K13)</f>
        <v/>
      </c>
      <c r="M13" s="374" t="n">
        <v>7</v>
      </c>
      <c r="N13" s="371" t="n">
        <v>0</v>
      </c>
      <c r="O13" s="374" t="n">
        <v>-5</v>
      </c>
      <c r="P13" s="370">
        <f>IF(M13=" "," ",(1+(M13+N13+O13)/100))</f>
        <v/>
      </c>
      <c r="Q13" s="375">
        <f>IF(L13=" "," ",L13*P13)</f>
        <v/>
      </c>
    </row>
    <row r="14" ht="9.949999999999999" customFormat="1" customHeight="1" s="356">
      <c r="A14" s="366" t="inlineStr">
        <is>
          <t>İDM</t>
        </is>
      </c>
      <c r="B14" s="367" t="inlineStr"/>
      <c r="C14" s="368" t="n"/>
      <c r="D14" s="369" t="n">
        <v>9</v>
      </c>
      <c r="E14" s="369" t="n">
        <v>3</v>
      </c>
      <c r="F14" s="370">
        <f>IF(D14=0," ",D14*E14)</f>
        <v/>
      </c>
      <c r="G14" s="371" t="n">
        <v>1</v>
      </c>
      <c r="H14" s="372" t="n"/>
      <c r="I14" s="370">
        <f>IF(F14=" "," ",F14*G14-H14)</f>
        <v/>
      </c>
      <c r="J14" s="369" t="n">
        <v>0.332</v>
      </c>
      <c r="K14" s="371" t="n">
        <v>5</v>
      </c>
      <c r="L14" s="373">
        <f>IF(I14=" "," ",I14*J14*K14)</f>
        <v/>
      </c>
      <c r="M14" s="374" t="n">
        <v>7</v>
      </c>
      <c r="N14" s="371" t="n">
        <v>0</v>
      </c>
      <c r="O14" s="374" t="n">
        <v>0</v>
      </c>
      <c r="P14" s="370">
        <f>IF(M14=" "," ",(1+(M14+N14+O14)/100))</f>
        <v/>
      </c>
      <c r="Q14" s="375">
        <f>IF(L14=" "," ",L14*P14)</f>
        <v/>
      </c>
    </row>
    <row r="15" ht="9.949999999999999" customFormat="1" customHeight="1" s="356">
      <c r="A15" s="366" t="inlineStr">
        <is>
          <t>İDM</t>
        </is>
      </c>
      <c r="B15" s="367" t="inlineStr"/>
      <c r="C15" s="368" t="n"/>
      <c r="D15" s="369" t="n">
        <v>5</v>
      </c>
      <c r="E15" s="369" t="n">
        <v>3</v>
      </c>
      <c r="F15" s="370">
        <f>IF(D15=0," ",D15*E15)</f>
        <v/>
      </c>
      <c r="G15" s="371" t="n">
        <v>1</v>
      </c>
      <c r="H15" s="372" t="n"/>
      <c r="I15" s="370">
        <f>IF(F15=" "," ",F15*G15-H15)</f>
        <v/>
      </c>
      <c r="J15" s="369" t="n">
        <v>0.332</v>
      </c>
      <c r="K15" s="371" t="n">
        <v>10</v>
      </c>
      <c r="L15" s="373">
        <f>IF(I15=" "," ",I15*J15*K15)</f>
        <v/>
      </c>
      <c r="M15" s="374" t="n">
        <v>7</v>
      </c>
      <c r="N15" s="371" t="n">
        <v>0</v>
      </c>
      <c r="O15" s="374" t="n">
        <v>0</v>
      </c>
      <c r="P15" s="370">
        <f>IF(M15=" "," ",(1+(M15+N15+O15)/100))</f>
        <v/>
      </c>
      <c r="Q15" s="375">
        <f>IF(L15=" "," ",L15*P15)</f>
        <v/>
      </c>
    </row>
    <row r="16" ht="9.949999999999999" customFormat="1" customHeight="1" s="356">
      <c r="A16" s="366" t="inlineStr">
        <is>
          <t>Dö</t>
        </is>
      </c>
      <c r="B16" s="367" t="inlineStr"/>
      <c r="C16" s="368" t="n"/>
      <c r="D16" s="369" t="n">
        <v>100.38</v>
      </c>
      <c r="E16" s="369" t="n">
        <v>1</v>
      </c>
      <c r="F16" s="370">
        <f>IF(D16=0," ",D16*E16)</f>
        <v/>
      </c>
      <c r="G16" s="371" t="n">
        <v>1</v>
      </c>
      <c r="H16" s="372" t="n"/>
      <c r="I16" s="370">
        <f>IF(F16=" "," ",F16*G16-H16)</f>
        <v/>
      </c>
      <c r="J16" s="369" t="n">
        <v>0.312</v>
      </c>
      <c r="K16" s="371" t="n">
        <v>14</v>
      </c>
      <c r="L16" s="373">
        <f>IF(I16=" "," ",I16*J16*K16)</f>
        <v/>
      </c>
      <c r="M16" s="374" t="n">
        <v>7</v>
      </c>
      <c r="N16" s="371" t="n">
        <v>0</v>
      </c>
      <c r="O16" s="374" t="n">
        <v>0</v>
      </c>
      <c r="P16" s="370">
        <f>IF(M16=" "," ",(1+(M16+N16+O16)/100))</f>
        <v/>
      </c>
      <c r="Q16" s="375">
        <f>IF(L16=" "," ",L16*P16)</f>
        <v/>
      </c>
    </row>
    <row r="17" ht="9.949999999999999" customFormat="1" customHeight="1" s="356">
      <c r="A17" s="376" t="n"/>
      <c r="B17" s="377" t="n"/>
      <c r="C17" s="377" t="n"/>
      <c r="D17" s="378" t="n"/>
      <c r="E17" s="378" t="n"/>
      <c r="F17" s="378" t="n"/>
      <c r="G17" s="379" t="n"/>
      <c r="H17" s="378" t="n"/>
      <c r="I17" s="378" t="n"/>
      <c r="J17" s="378" t="n"/>
      <c r="K17" s="379" t="n"/>
      <c r="L17" s="380" t="n"/>
      <c r="M17" s="381" t="n"/>
      <c r="N17" s="381" t="n"/>
      <c r="O17" s="381" t="n"/>
      <c r="P17" s="382" t="n"/>
      <c r="Q17" s="383">
        <f>SUM(Q9:Q16)</f>
        <v/>
      </c>
    </row>
    <row r="18" ht="9.949999999999999" customFormat="1" customHeight="1" s="356">
      <c r="A18" s="384" t="n"/>
      <c r="B18" s="385" t="n"/>
      <c r="C18" s="385" t="n"/>
      <c r="D18" s="386" t="n"/>
      <c r="E18" s="387" t="n"/>
      <c r="F18" s="388" t="n"/>
      <c r="G18" s="389" t="n"/>
      <c r="H18" s="388" t="n"/>
      <c r="I18" s="390" t="n"/>
      <c r="J18" s="391" t="inlineStr">
        <is>
          <t>Qs=</t>
        </is>
      </c>
      <c r="K18" s="390" t="inlineStr">
        <is>
          <t>S a</t>
        </is>
      </c>
      <c r="L18" s="388" t="inlineStr">
        <is>
          <t>L</t>
        </is>
      </c>
      <c r="M18" s="389" t="inlineStr">
        <is>
          <t>R</t>
        </is>
      </c>
      <c r="N18" s="392" t="inlineStr">
        <is>
          <t>H</t>
        </is>
      </c>
      <c r="O18" s="393" t="inlineStr">
        <is>
          <t>D  T</t>
        </is>
      </c>
      <c r="P18" s="389" t="inlineStr">
        <is>
          <t>Ze</t>
        </is>
      </c>
      <c r="Q18" s="394" t="n"/>
    </row>
    <row r="19" ht="9.949999999999999" customFormat="1" customHeight="1" s="356">
      <c r="A19" s="395" t="inlineStr">
        <is>
          <t xml:space="preserve"> </t>
        </is>
      </c>
      <c r="B19" s="396" t="n"/>
      <c r="C19" s="397" t="n"/>
      <c r="D19" s="397" t="n"/>
      <c r="E19" s="398" t="n"/>
      <c r="F19" s="399" t="n"/>
      <c r="G19" s="400" t="n"/>
      <c r="H19" s="401" t="n"/>
      <c r="I19" s="402" t="n"/>
      <c r="J19" s="403" t="inlineStr">
        <is>
          <t>Qs  =</t>
        </is>
      </c>
      <c r="K19" s="404" t="n">
        <v>2</v>
      </c>
      <c r="L19" s="404">
        <f>(D11+E11)*2*G11</f>
        <v/>
      </c>
      <c r="M19" s="404" t="n">
        <v>0.9</v>
      </c>
      <c r="N19" s="404" t="n">
        <v>0.67</v>
      </c>
      <c r="O19" s="381" t="n">
        <v>26</v>
      </c>
      <c r="P19" s="404" t="n">
        <v>1</v>
      </c>
      <c r="Q19" s="383">
        <f>K19*L19*M19*N19*O19*P19</f>
        <v/>
      </c>
    </row>
    <row r="20" ht="9.949999999999999" customFormat="1" customHeight="1" s="356">
      <c r="A20" s="405" t="n"/>
      <c r="B20" s="406" t="n"/>
      <c r="C20" s="397" t="n"/>
      <c r="D20" s="397" t="n"/>
      <c r="E20" s="378" t="n"/>
      <c r="F20" s="256" t="n"/>
      <c r="G20" s="407" t="n"/>
      <c r="H20" s="397" t="n"/>
      <c r="I20" s="397" t="n"/>
      <c r="J20" s="397" t="n"/>
      <c r="K20" s="407" t="n"/>
      <c r="L20" s="408" t="n"/>
      <c r="M20" s="409" t="inlineStr">
        <is>
          <t xml:space="preserve">   TOPLAM ISI KAYBI =</t>
        </is>
      </c>
      <c r="N20" s="409" t="n"/>
      <c r="O20" s="410" t="n"/>
      <c r="P20" s="409" t="n"/>
      <c r="Q20" s="411">
        <f>Q17+Q19</f>
        <v/>
      </c>
    </row>
    <row r="21" ht="10.35" customFormat="1" customHeight="1" s="356">
      <c r="A21" s="359" t="n"/>
      <c r="B21" s="360" t="n"/>
      <c r="C21" s="360" t="n"/>
      <c r="D21" s="360" t="n"/>
      <c r="E21" s="360" t="n"/>
      <c r="F21" s="361" t="inlineStr">
        <is>
          <t>Z</t>
        </is>
      </c>
      <c r="G21" s="362" t="inlineStr">
        <is>
          <t>0</t>
        </is>
      </c>
      <c r="H21" s="360" t="inlineStr">
        <is>
          <t>Z02</t>
        </is>
      </c>
      <c r="I21" s="363" t="inlineStr">
        <is>
          <t>DÜKKÂN-2</t>
        </is>
      </c>
      <c r="J21" s="364" t="n"/>
      <c r="K21" s="360" t="inlineStr">
        <is>
          <t>20ºC</t>
        </is>
      </c>
      <c r="L21" s="360" t="n"/>
      <c r="M21" s="360" t="n"/>
      <c r="N21" s="360" t="n"/>
      <c r="O21" s="360" t="n"/>
      <c r="P21" s="360" t="n"/>
      <c r="Q21" s="365" t="n"/>
    </row>
    <row r="22" ht="9.949999999999999" customFormat="1" customHeight="1" s="356">
      <c r="A22" s="366" t="inlineStr">
        <is>
          <t>DD</t>
        </is>
      </c>
      <c r="B22" s="367" t="inlineStr">
        <is>
          <t>K</t>
        </is>
      </c>
      <c r="C22" s="368" t="n"/>
      <c r="D22" s="369" t="n">
        <v>15</v>
      </c>
      <c r="E22" s="369" t="n">
        <v>2.5</v>
      </c>
      <c r="F22" s="370">
        <f>IF(D22=0," ",D22*E22)</f>
        <v/>
      </c>
      <c r="G22" s="371" t="n">
        <v>1</v>
      </c>
      <c r="H22" s="372">
        <f>F24*G24</f>
        <v/>
      </c>
      <c r="I22" s="370">
        <f>IF(F22=" "," ",F22*G22-H22)</f>
        <v/>
      </c>
      <c r="J22" s="369" t="n">
        <v>0.344</v>
      </c>
      <c r="K22" s="371" t="n">
        <v>26</v>
      </c>
      <c r="L22" s="373">
        <f>IF(I22=" "," ",I22*J22*K22)</f>
        <v/>
      </c>
      <c r="M22" s="374" t="n">
        <v>7</v>
      </c>
      <c r="N22" s="371" t="n">
        <v>0</v>
      </c>
      <c r="O22" s="374" t="n">
        <v>5</v>
      </c>
      <c r="P22" s="370">
        <f>IF(M22=" "," ",(1+(M22+N22+O22)/100))</f>
        <v/>
      </c>
      <c r="Q22" s="375">
        <f>IF(L22=" "," ",L22*P22)</f>
        <v/>
      </c>
    </row>
    <row r="23" ht="9.949999999999999" customFormat="1" customHeight="1" s="356">
      <c r="A23" s="366" t="inlineStr">
        <is>
          <t>DD25</t>
        </is>
      </c>
      <c r="B23" s="367" t="inlineStr">
        <is>
          <t>K</t>
        </is>
      </c>
      <c r="C23" s="368" t="n"/>
      <c r="D23" s="369">
        <f>D22</f>
        <v/>
      </c>
      <c r="E23" s="369" t="n">
        <v>0.5</v>
      </c>
      <c r="F23" s="370">
        <f>IF(D23=0," ",D23*E23)</f>
        <v/>
      </c>
      <c r="G23" s="371" t="n">
        <v>1</v>
      </c>
      <c r="H23" s="372" t="n"/>
      <c r="I23" s="370">
        <f>IF(F23=" "," ",F23*G23-H23)</f>
        <v/>
      </c>
      <c r="J23" s="369" t="n">
        <v>0.387</v>
      </c>
      <c r="K23" s="371" t="n">
        <v>26</v>
      </c>
      <c r="L23" s="373">
        <f>IF(I23=" "," ",I23*J23*K23)</f>
        <v/>
      </c>
      <c r="M23" s="374" t="n">
        <v>7</v>
      </c>
      <c r="N23" s="371" t="n">
        <v>0</v>
      </c>
      <c r="O23" s="374" t="n">
        <v>5</v>
      </c>
      <c r="P23" s="370">
        <f>IF(M23=" "," ",(1+(M23+N23+O23)/100))</f>
        <v/>
      </c>
      <c r="Q23" s="375">
        <f>IF(L23=" "," ",L23*P23)</f>
        <v/>
      </c>
    </row>
    <row r="24" ht="9.949999999999999" customFormat="1" customHeight="1" s="356">
      <c r="A24" s="366" t="inlineStr">
        <is>
          <t>ÇP</t>
        </is>
      </c>
      <c r="B24" s="367" t="inlineStr">
        <is>
          <t>K</t>
        </is>
      </c>
      <c r="C24" s="368" t="n"/>
      <c r="D24" s="369" t="n">
        <v>14</v>
      </c>
      <c r="E24" s="369" t="n">
        <v>3</v>
      </c>
      <c r="F24" s="370">
        <f>IF(D24=0," ",D24*E24)</f>
        <v/>
      </c>
      <c r="G24" s="371" t="n">
        <v>1</v>
      </c>
      <c r="H24" s="372" t="n"/>
      <c r="I24" s="370">
        <f>IF(F24=" "," ",F24*G24-H24)</f>
        <v/>
      </c>
      <c r="J24" s="369" t="n">
        <v>1.8</v>
      </c>
      <c r="K24" s="371" t="n">
        <v>26</v>
      </c>
      <c r="L24" s="373">
        <f>IF(I24=" "," ",I24*J24*K24)</f>
        <v/>
      </c>
      <c r="M24" s="374" t="n">
        <v>7</v>
      </c>
      <c r="N24" s="371" t="n">
        <v>0</v>
      </c>
      <c r="O24" s="374" t="n">
        <v>5</v>
      </c>
      <c r="P24" s="370">
        <f>IF(M24=" "," ",(1+(M24+N24+O24)/100))</f>
        <v/>
      </c>
      <c r="Q24" s="375">
        <f>IF(L24=" "," ",L24*P24)</f>
        <v/>
      </c>
    </row>
    <row r="25" ht="9.949999999999999" customFormat="1" customHeight="1" s="356">
      <c r="A25" s="366" t="inlineStr">
        <is>
          <t>DD</t>
        </is>
      </c>
      <c r="B25" s="367" t="inlineStr">
        <is>
          <t>G</t>
        </is>
      </c>
      <c r="C25" s="368" t="n"/>
      <c r="D25" s="369" t="n">
        <v>10.5</v>
      </c>
      <c r="E25" s="369" t="n">
        <v>2.5</v>
      </c>
      <c r="F25" s="370">
        <f>IF(D25=0," ",D25*E25)</f>
        <v/>
      </c>
      <c r="G25" s="371" t="n">
        <v>1</v>
      </c>
      <c r="H25" s="372" t="n"/>
      <c r="I25" s="370">
        <f>IF(F25=" "," ",F25*G25-H25)</f>
        <v/>
      </c>
      <c r="J25" s="369" t="n">
        <v>0.344</v>
      </c>
      <c r="K25" s="371" t="n">
        <v>26</v>
      </c>
      <c r="L25" s="373">
        <f>IF(I25=" "," ",I25*J25*K25)</f>
        <v/>
      </c>
      <c r="M25" s="374" t="n">
        <v>7</v>
      </c>
      <c r="N25" s="371" t="n">
        <v>0</v>
      </c>
      <c r="O25" s="374" t="n">
        <v>-5</v>
      </c>
      <c r="P25" s="370">
        <f>IF(M25=" "," ",(1+(M25+N25+O25)/100))</f>
        <v/>
      </c>
      <c r="Q25" s="375">
        <f>IF(L25=" "," ",L25*P25)</f>
        <v/>
      </c>
    </row>
    <row r="26" ht="9.949999999999999" customFormat="1" customHeight="1" s="356">
      <c r="A26" s="366" t="inlineStr">
        <is>
          <t>DD25</t>
        </is>
      </c>
      <c r="B26" s="367" t="inlineStr">
        <is>
          <t>G</t>
        </is>
      </c>
      <c r="C26" s="368" t="n"/>
      <c r="D26" s="369">
        <f>D25</f>
        <v/>
      </c>
      <c r="E26" s="369" t="n">
        <v>0.5</v>
      </c>
      <c r="F26" s="370">
        <f>IF(D26=0," ",D26*E26)</f>
        <v/>
      </c>
      <c r="G26" s="371" t="n">
        <v>1</v>
      </c>
      <c r="H26" s="372" t="n"/>
      <c r="I26" s="370">
        <f>IF(F26=" "," ",F26*G26-H26)</f>
        <v/>
      </c>
      <c r="J26" s="369" t="n">
        <v>0.387</v>
      </c>
      <c r="K26" s="371" t="n">
        <v>26</v>
      </c>
      <c r="L26" s="373">
        <f>IF(I26=" "," ",I26*J26*K26)</f>
        <v/>
      </c>
      <c r="M26" s="374" t="n">
        <v>7</v>
      </c>
      <c r="N26" s="371" t="n">
        <v>0</v>
      </c>
      <c r="O26" s="374" t="n">
        <v>-5</v>
      </c>
      <c r="P26" s="370">
        <f>IF(M26=" "," ",(1+(M26+N26+O26)/100))</f>
        <v/>
      </c>
      <c r="Q26" s="375">
        <f>IF(L26=" "," ",L26*P26)</f>
        <v/>
      </c>
    </row>
    <row r="27" ht="9.949999999999999" customFormat="1" customHeight="1" s="356">
      <c r="A27" s="366" t="inlineStr">
        <is>
          <t>İDM</t>
        </is>
      </c>
      <c r="B27" s="367" t="inlineStr"/>
      <c r="C27" s="368" t="n"/>
      <c r="D27" s="369" t="n">
        <v>9</v>
      </c>
      <c r="E27" s="369" t="n">
        <v>3</v>
      </c>
      <c r="F27" s="370">
        <f>IF(D27=0," ",D27*E27)</f>
        <v/>
      </c>
      <c r="G27" s="371" t="n">
        <v>1</v>
      </c>
      <c r="H27" s="372" t="n"/>
      <c r="I27" s="370">
        <f>IF(F27=" "," ",F27*G27-H27)</f>
        <v/>
      </c>
      <c r="J27" s="369" t="n">
        <v>0.332</v>
      </c>
      <c r="K27" s="371" t="n">
        <v>5</v>
      </c>
      <c r="L27" s="373">
        <f>IF(I27=" "," ",I27*J27*K27)</f>
        <v/>
      </c>
      <c r="M27" s="374" t="n">
        <v>7</v>
      </c>
      <c r="N27" s="371" t="n">
        <v>0</v>
      </c>
      <c r="O27" s="374" t="n">
        <v>0</v>
      </c>
      <c r="P27" s="370">
        <f>IF(M27=" "," ",(1+(M27+N27+O27)/100))</f>
        <v/>
      </c>
      <c r="Q27" s="375">
        <f>IF(L27=" "," ",L27*P27)</f>
        <v/>
      </c>
    </row>
    <row r="28" ht="9.949999999999999" customFormat="1" customHeight="1" s="356">
      <c r="A28" s="366" t="inlineStr">
        <is>
          <t>İDM</t>
        </is>
      </c>
      <c r="B28" s="367" t="inlineStr"/>
      <c r="C28" s="368" t="n"/>
      <c r="D28" s="369" t="n">
        <v>5</v>
      </c>
      <c r="E28" s="369" t="n">
        <v>3</v>
      </c>
      <c r="F28" s="370">
        <f>IF(D28=0," ",D28*E28)</f>
        <v/>
      </c>
      <c r="G28" s="371" t="n">
        <v>1</v>
      </c>
      <c r="H28" s="372" t="n"/>
      <c r="I28" s="370">
        <f>IF(F28=" "," ",F28*G28-H28)</f>
        <v/>
      </c>
      <c r="J28" s="369" t="n">
        <v>0.332</v>
      </c>
      <c r="K28" s="371" t="n">
        <v>10</v>
      </c>
      <c r="L28" s="373">
        <f>IF(I28=" "," ",I28*J28*K28)</f>
        <v/>
      </c>
      <c r="M28" s="374" t="n">
        <v>7</v>
      </c>
      <c r="N28" s="371" t="n">
        <v>0</v>
      </c>
      <c r="O28" s="374" t="n">
        <v>0</v>
      </c>
      <c r="P28" s="370">
        <f>IF(M28=" "," ",(1+(M28+N28+O28)/100))</f>
        <v/>
      </c>
      <c r="Q28" s="375">
        <f>IF(L28=" "," ",L28*P28)</f>
        <v/>
      </c>
    </row>
    <row r="29" ht="9.949999999999999" customFormat="1" customHeight="1" s="356">
      <c r="A29" s="366" t="inlineStr">
        <is>
          <t>Dö</t>
        </is>
      </c>
      <c r="B29" s="367" t="inlineStr"/>
      <c r="C29" s="368" t="n"/>
      <c r="D29" s="369" t="n">
        <v>105.71</v>
      </c>
      <c r="E29" s="369" t="n">
        <v>1</v>
      </c>
      <c r="F29" s="370">
        <f>IF(D29=0," ",D29*E29)</f>
        <v/>
      </c>
      <c r="G29" s="371" t="n">
        <v>1</v>
      </c>
      <c r="H29" s="372" t="n"/>
      <c r="I29" s="370">
        <f>IF(F29=" "," ",F29*G29-H29)</f>
        <v/>
      </c>
      <c r="J29" s="369" t="n">
        <v>0.312</v>
      </c>
      <c r="K29" s="371" t="n">
        <v>14</v>
      </c>
      <c r="L29" s="373">
        <f>IF(I29=" "," ",I29*J29*K29)</f>
        <v/>
      </c>
      <c r="M29" s="374" t="n">
        <v>7</v>
      </c>
      <c r="N29" s="371" t="n">
        <v>0</v>
      </c>
      <c r="O29" s="374" t="n">
        <v>0</v>
      </c>
      <c r="P29" s="370">
        <f>IF(M29=" "," ",(1+(M29+N29+O29)/100))</f>
        <v/>
      </c>
      <c r="Q29" s="375">
        <f>IF(L29=" "," ",L29*P29)</f>
        <v/>
      </c>
    </row>
    <row r="30" ht="9.949999999999999" customFormat="1" customHeight="1" s="412">
      <c r="A30" s="376" t="n"/>
      <c r="B30" s="377" t="n"/>
      <c r="C30" s="377" t="n"/>
      <c r="D30" s="378" t="n"/>
      <c r="E30" s="378" t="n"/>
      <c r="F30" s="378" t="n"/>
      <c r="G30" s="379" t="n"/>
      <c r="H30" s="378" t="n"/>
      <c r="I30" s="378" t="n"/>
      <c r="J30" s="378" t="n"/>
      <c r="K30" s="379" t="n"/>
      <c r="L30" s="380" t="n"/>
      <c r="M30" s="381" t="n"/>
      <c r="N30" s="381" t="n"/>
      <c r="O30" s="381" t="n"/>
      <c r="P30" s="382" t="n"/>
      <c r="Q30" s="383">
        <f>SUM(Q22:Q29)</f>
        <v/>
      </c>
    </row>
    <row r="31" ht="9.949999999999999" customFormat="1" customHeight="1" s="412">
      <c r="A31" s="384" t="n"/>
      <c r="B31" s="385" t="n"/>
      <c r="C31" s="385" t="n"/>
      <c r="D31" s="386" t="n"/>
      <c r="E31" s="387" t="n"/>
      <c r="F31" s="388" t="n"/>
      <c r="G31" s="389" t="n"/>
      <c r="H31" s="388" t="n"/>
      <c r="I31" s="390" t="n"/>
      <c r="J31" s="391" t="inlineStr">
        <is>
          <t>Qs=</t>
        </is>
      </c>
      <c r="K31" s="390" t="inlineStr">
        <is>
          <t>S a</t>
        </is>
      </c>
      <c r="L31" s="388" t="inlineStr">
        <is>
          <t>L</t>
        </is>
      </c>
      <c r="M31" s="389" t="inlineStr">
        <is>
          <t>R</t>
        </is>
      </c>
      <c r="N31" s="392" t="inlineStr">
        <is>
          <t>H</t>
        </is>
      </c>
      <c r="O31" s="393" t="inlineStr">
        <is>
          <t>D  T</t>
        </is>
      </c>
      <c r="P31" s="389" t="inlineStr">
        <is>
          <t>Ze</t>
        </is>
      </c>
      <c r="Q31" s="394" t="n"/>
    </row>
    <row r="32" ht="9.949999999999999" customFormat="1" customHeight="1" s="351">
      <c r="A32" s="395" t="inlineStr">
        <is>
          <t xml:space="preserve"> </t>
        </is>
      </c>
      <c r="B32" s="412" t="n"/>
      <c r="C32" s="397" t="n"/>
      <c r="D32" s="397" t="n"/>
      <c r="E32" s="398" t="n"/>
      <c r="F32" s="399" t="n"/>
      <c r="G32" s="400" t="n"/>
      <c r="H32" s="401" t="n"/>
      <c r="I32" s="402" t="n"/>
      <c r="J32" s="403" t="inlineStr">
        <is>
          <t>Qs  =</t>
        </is>
      </c>
      <c r="K32" s="404" t="n">
        <v>2</v>
      </c>
      <c r="L32" s="404">
        <f>(D24+E24)*2*G24</f>
        <v/>
      </c>
      <c r="M32" s="404" t="n">
        <v>0.9</v>
      </c>
      <c r="N32" s="404" t="n">
        <v>0.67</v>
      </c>
      <c r="O32" s="381" t="n">
        <v>26</v>
      </c>
      <c r="P32" s="404" t="n">
        <v>1</v>
      </c>
      <c r="Q32" s="383">
        <f>K32*L32*M32*N32*O32*P32</f>
        <v/>
      </c>
    </row>
    <row r="33" ht="9.949999999999999" customFormat="1" customHeight="1" s="356">
      <c r="A33" s="405" t="n"/>
      <c r="B33" s="406" t="n"/>
      <c r="C33" s="397" t="n"/>
      <c r="D33" s="397" t="n"/>
      <c r="E33" s="378" t="n"/>
      <c r="F33" s="256" t="n"/>
      <c r="G33" s="407" t="n"/>
      <c r="H33" s="397" t="n"/>
      <c r="I33" s="397" t="n"/>
      <c r="J33" s="397" t="n"/>
      <c r="K33" s="407" t="n"/>
      <c r="L33" s="408" t="n"/>
      <c r="M33" s="409" t="inlineStr">
        <is>
          <t xml:space="preserve">   TOPLAM ISI KAYBI =</t>
        </is>
      </c>
      <c r="N33" s="409" t="n"/>
      <c r="O33" s="410" t="n"/>
      <c r="P33" s="409" t="n"/>
      <c r="Q33" s="411">
        <f>Q30+Q32</f>
        <v/>
      </c>
    </row>
    <row r="34" ht="9.949999999999999" customFormat="1" customHeight="1" s="356">
      <c r="A34" s="413" t="n"/>
      <c r="B34" s="396" t="n"/>
      <c r="C34" s="414" t="n"/>
      <c r="D34" s="415" t="n"/>
      <c r="E34" s="415" t="n"/>
      <c r="F34" s="416" t="n"/>
      <c r="G34" s="417" t="n"/>
      <c r="H34" s="418" t="n"/>
      <c r="I34" s="416" t="n"/>
      <c r="J34" s="415" t="n"/>
      <c r="K34" s="417" t="n"/>
      <c r="L34" s="419" t="n"/>
      <c r="M34" s="420" t="n"/>
      <c r="N34" s="417" t="n"/>
      <c r="O34" s="420" t="n"/>
      <c r="P34" s="416" t="n"/>
      <c r="Q34" s="421" t="n"/>
    </row>
    <row r="35" ht="9.949999999999999" customFormat="1" customHeight="1" s="356">
      <c r="A35" s="413" t="n"/>
      <c r="B35" s="396" t="n"/>
      <c r="C35" s="414" t="n"/>
      <c r="D35" s="415" t="n"/>
      <c r="E35" s="415" t="n"/>
      <c r="F35" s="416" t="n"/>
      <c r="G35" s="417" t="n"/>
      <c r="H35" s="418" t="n"/>
      <c r="I35" s="416" t="n"/>
      <c r="J35" s="415" t="n"/>
      <c r="K35" s="417" t="n"/>
      <c r="L35" s="419" t="n"/>
      <c r="M35" s="420" t="n"/>
      <c r="N35" s="417" t="n"/>
      <c r="O35" s="420" t="n"/>
      <c r="P35" s="416" t="n"/>
      <c r="Q35" s="421" t="n"/>
    </row>
    <row r="36" ht="9.949999999999999" customFormat="1" customHeight="1" s="356">
      <c r="A36" s="413" t="n"/>
      <c r="B36" s="396" t="n"/>
      <c r="C36" s="414" t="n"/>
      <c r="D36" s="415" t="n"/>
      <c r="E36" s="415" t="n"/>
      <c r="F36" s="416" t="n"/>
      <c r="G36" s="417" t="n"/>
      <c r="H36" s="418" t="n"/>
      <c r="I36" s="416" t="n"/>
      <c r="J36" s="415" t="n"/>
      <c r="K36" s="417" t="n"/>
      <c r="L36" s="419" t="n"/>
      <c r="M36" s="420" t="n"/>
      <c r="N36" s="417" t="n"/>
      <c r="O36" s="420" t="n"/>
      <c r="P36" s="416" t="n"/>
      <c r="Q36" s="422" t="n"/>
    </row>
    <row r="37" ht="9.949999999999999" customFormat="1" customHeight="1" s="356">
      <c r="A37" s="413" t="n"/>
      <c r="B37" s="396" t="n"/>
      <c r="C37" s="414" t="n"/>
      <c r="D37" s="415" t="n"/>
      <c r="E37" s="415" t="n"/>
      <c r="F37" s="416" t="n"/>
      <c r="G37" s="417" t="n"/>
      <c r="H37" s="418" t="n"/>
      <c r="I37" s="416" t="n"/>
      <c r="J37" s="415" t="n"/>
      <c r="K37" s="417" t="n"/>
      <c r="L37" s="419" t="n"/>
      <c r="M37" s="420" t="n"/>
      <c r="N37" s="417" t="n"/>
      <c r="O37" s="420" t="n"/>
      <c r="P37" s="416" t="n"/>
      <c r="Q37" s="421" t="n"/>
    </row>
    <row r="38" ht="9.949999999999999" customFormat="1" customHeight="1" s="356">
      <c r="A38" s="413" t="n"/>
      <c r="B38" s="396" t="n"/>
      <c r="C38" s="414" t="n"/>
      <c r="D38" s="415" t="n"/>
      <c r="E38" s="415" t="n"/>
      <c r="F38" s="416" t="n"/>
      <c r="G38" s="417" t="n"/>
      <c r="H38" s="418" t="n"/>
      <c r="I38" s="416" t="n"/>
      <c r="J38" s="415" t="n"/>
      <c r="K38" s="417" t="n"/>
      <c r="L38" s="419" t="n"/>
      <c r="M38" s="420" t="n"/>
      <c r="N38" s="417" t="n"/>
      <c r="O38" s="420" t="n"/>
      <c r="P38" s="416" t="n"/>
      <c r="Q38" s="421" t="n"/>
    </row>
    <row r="39" ht="9.949999999999999" customFormat="1" customHeight="1" s="356">
      <c r="A39" s="413" t="n"/>
      <c r="B39" s="396" t="n"/>
      <c r="C39" s="414" t="n"/>
      <c r="D39" s="415" t="n"/>
      <c r="E39" s="415" t="n"/>
      <c r="F39" s="416" t="n"/>
      <c r="G39" s="417" t="n"/>
      <c r="H39" s="418" t="n"/>
      <c r="I39" s="416" t="n"/>
      <c r="J39" s="415" t="n"/>
      <c r="K39" s="417" t="n"/>
      <c r="L39" s="419" t="n"/>
      <c r="M39" s="420" t="n"/>
      <c r="N39" s="417" t="n"/>
      <c r="O39" s="420" t="n"/>
      <c r="P39" s="416" t="n"/>
      <c r="Q39" s="422" t="n"/>
    </row>
    <row r="40" ht="9.949999999999999" customFormat="1" customHeight="1" s="356">
      <c r="A40" s="413" t="n"/>
      <c r="B40" s="396" t="n"/>
      <c r="C40" s="414" t="n"/>
      <c r="D40" s="415" t="n"/>
      <c r="E40" s="415" t="n"/>
      <c r="F40" s="416" t="n"/>
      <c r="G40" s="417" t="n"/>
      <c r="H40" s="418" t="n"/>
      <c r="I40" s="416" t="n"/>
      <c r="J40" s="415" t="n"/>
      <c r="K40" s="417" t="n"/>
      <c r="L40" s="419" t="n"/>
      <c r="M40" s="420" t="n"/>
      <c r="N40" s="417" t="n"/>
      <c r="O40" s="420" t="n"/>
      <c r="P40" s="416" t="n"/>
      <c r="Q40" s="422" t="n"/>
    </row>
    <row r="41" ht="9.949999999999999" customFormat="1" customHeight="1" s="356">
      <c r="A41" s="423" t="n"/>
      <c r="B41" s="424" t="n"/>
      <c r="C41" s="424" t="n"/>
      <c r="D41" s="425" t="n"/>
      <c r="E41" s="425" t="n"/>
      <c r="F41" s="425" t="n"/>
      <c r="G41" s="426" t="n"/>
      <c r="H41" s="425" t="n"/>
      <c r="I41" s="425" t="n"/>
      <c r="J41" s="425" t="n"/>
      <c r="K41" s="426" t="n"/>
      <c r="L41" s="427" t="n"/>
      <c r="M41" s="428" t="n"/>
      <c r="N41" s="428" t="n"/>
      <c r="O41" s="428" t="n"/>
      <c r="P41" s="429" t="n"/>
      <c r="Q41" s="430" t="n"/>
    </row>
    <row r="42" ht="9.949999999999999" customFormat="1" customHeight="1" s="412">
      <c r="A42" s="431" t="n"/>
      <c r="B42" s="432" t="n"/>
      <c r="C42" s="432" t="n"/>
      <c r="D42" s="433" t="n"/>
      <c r="E42" s="434" t="n"/>
      <c r="F42" s="435" t="n"/>
      <c r="G42" s="436" t="n"/>
      <c r="H42" s="435" t="n"/>
      <c r="I42" s="437" t="n"/>
      <c r="J42" s="438" t="n"/>
      <c r="K42" s="437" t="n"/>
      <c r="L42" s="435" t="n"/>
      <c r="M42" s="436" t="n"/>
      <c r="N42" s="439" t="n"/>
      <c r="O42" s="440" t="n"/>
      <c r="P42" s="436" t="n"/>
      <c r="Q42" s="441" t="n"/>
    </row>
    <row r="43" ht="9.949999999999999" customFormat="1" customHeight="1" s="412">
      <c r="A43" s="442" t="n"/>
      <c r="C43" s="443" t="n"/>
      <c r="D43" s="443" t="n"/>
      <c r="E43" s="444" t="n"/>
      <c r="F43" s="445" t="n"/>
      <c r="G43" s="446" t="n"/>
      <c r="H43" s="447" t="n"/>
      <c r="I43" s="448" t="n"/>
      <c r="J43" s="449" t="n"/>
      <c r="K43" s="450" t="n"/>
      <c r="L43" s="450" t="n"/>
      <c r="M43" s="450" t="n"/>
      <c r="N43" s="450" t="n"/>
      <c r="O43" s="428" t="n"/>
      <c r="P43" s="450" t="n"/>
      <c r="Q43" s="430" t="n"/>
    </row>
    <row r="44" ht="9.949999999999999" customFormat="1" customHeight="1" s="351">
      <c r="A44" s="451" t="n"/>
      <c r="B44" s="412" t="n"/>
      <c r="C44" s="443" t="n"/>
      <c r="D44" s="443" t="n"/>
      <c r="E44" s="425" t="n"/>
      <c r="G44" s="452" t="n"/>
      <c r="H44" s="443" t="n"/>
      <c r="I44" s="443" t="n"/>
      <c r="J44" s="443" t="n"/>
      <c r="K44" s="452" t="n"/>
      <c r="L44" s="453" t="n"/>
      <c r="M44" s="454" t="n"/>
      <c r="N44" s="454" t="n"/>
      <c r="O44" s="455" t="n"/>
      <c r="P44" s="454" t="n"/>
      <c r="Q44" s="456" t="n"/>
    </row>
    <row r="45" ht="9.949999999999999" customFormat="1" customHeight="1" s="356">
      <c r="A45" s="457" t="n"/>
      <c r="B45" s="458" t="n"/>
      <c r="C45" s="458" t="n"/>
      <c r="D45" s="458" t="n"/>
      <c r="E45" s="458" t="n"/>
      <c r="F45" s="459" t="n"/>
      <c r="G45" s="460" t="n"/>
      <c r="H45" s="458" t="n"/>
      <c r="I45" s="460" t="n"/>
      <c r="K45" s="458" t="n"/>
      <c r="L45" s="458" t="n"/>
      <c r="M45" s="458" t="n"/>
      <c r="N45" s="458" t="n"/>
      <c r="O45" s="458" t="n"/>
      <c r="P45" s="458" t="n"/>
      <c r="Q45" s="461" t="n"/>
    </row>
    <row r="46" ht="9.949999999999999" customFormat="1" customHeight="1" s="356">
      <c r="A46" s="413" t="n"/>
      <c r="B46" s="396" t="n"/>
      <c r="C46" s="414" t="n"/>
      <c r="D46" s="415" t="n"/>
      <c r="E46" s="415" t="n"/>
      <c r="F46" s="416" t="n"/>
      <c r="G46" s="417" t="n"/>
      <c r="H46" s="418" t="n"/>
      <c r="I46" s="416" t="n"/>
      <c r="J46" s="415" t="n"/>
      <c r="K46" s="417" t="n"/>
      <c r="L46" s="419" t="n"/>
      <c r="M46" s="420" t="n"/>
      <c r="N46" s="417" t="n"/>
      <c r="O46" s="420" t="n"/>
      <c r="P46" s="416" t="n"/>
      <c r="Q46" s="421" t="n"/>
    </row>
    <row r="47" ht="9.949999999999999" customFormat="1" customHeight="1" s="356">
      <c r="A47" s="413" t="n"/>
      <c r="B47" s="396" t="n"/>
      <c r="C47" s="414" t="n"/>
      <c r="D47" s="415" t="n"/>
      <c r="E47" s="415" t="n"/>
      <c r="F47" s="416" t="n"/>
      <c r="G47" s="417" t="n"/>
      <c r="H47" s="418" t="n"/>
      <c r="I47" s="416" t="n"/>
      <c r="J47" s="415" t="n"/>
      <c r="K47" s="417" t="n"/>
      <c r="L47" s="419" t="n"/>
      <c r="M47" s="420" t="n"/>
      <c r="N47" s="417" t="n"/>
      <c r="O47" s="420" t="n"/>
      <c r="P47" s="416" t="n"/>
      <c r="Q47" s="421" t="n"/>
    </row>
    <row r="48" ht="9.949999999999999" customFormat="1" customHeight="1" s="356">
      <c r="A48" s="413" t="n"/>
      <c r="B48" s="396" t="n"/>
      <c r="C48" s="414" t="n"/>
      <c r="D48" s="415" t="n"/>
      <c r="E48" s="415" t="n"/>
      <c r="F48" s="416" t="n"/>
      <c r="G48" s="417" t="n"/>
      <c r="H48" s="418" t="n"/>
      <c r="I48" s="416" t="n"/>
      <c r="J48" s="415" t="n"/>
      <c r="K48" s="417" t="n"/>
      <c r="L48" s="419" t="n"/>
      <c r="M48" s="420" t="n"/>
      <c r="N48" s="417" t="n"/>
      <c r="O48" s="420" t="n"/>
      <c r="P48" s="416" t="n"/>
      <c r="Q48" s="421" t="n"/>
    </row>
    <row r="49" ht="9.949999999999999" customFormat="1" customHeight="1" s="356">
      <c r="A49" s="413" t="n"/>
      <c r="B49" s="396" t="n"/>
      <c r="C49" s="414" t="n"/>
      <c r="D49" s="415" t="n"/>
      <c r="E49" s="415" t="n"/>
      <c r="F49" s="416" t="n"/>
      <c r="G49" s="417" t="n"/>
      <c r="H49" s="418" t="n"/>
      <c r="I49" s="416" t="n"/>
      <c r="J49" s="415" t="n"/>
      <c r="K49" s="417" t="n"/>
      <c r="L49" s="419" t="n"/>
      <c r="M49" s="420" t="n"/>
      <c r="N49" s="417" t="n"/>
      <c r="O49" s="420" t="n"/>
      <c r="P49" s="416" t="n"/>
      <c r="Q49" s="421" t="n"/>
    </row>
    <row r="50" ht="9.949999999999999" customFormat="1" customHeight="1" s="356">
      <c r="A50" s="413" t="n"/>
      <c r="B50" s="396" t="n"/>
      <c r="C50" s="414" t="n"/>
      <c r="D50" s="415" t="n"/>
      <c r="E50" s="415" t="n"/>
      <c r="F50" s="416" t="n"/>
      <c r="G50" s="417" t="n"/>
      <c r="H50" s="418" t="n"/>
      <c r="I50" s="416" t="n"/>
      <c r="J50" s="415" t="n"/>
      <c r="K50" s="417" t="n"/>
      <c r="L50" s="419" t="n"/>
      <c r="M50" s="420" t="n"/>
      <c r="N50" s="417" t="n"/>
      <c r="O50" s="420" t="n"/>
      <c r="P50" s="416" t="n"/>
      <c r="Q50" s="421" t="n"/>
    </row>
    <row r="51" ht="9.949999999999999" customFormat="1" customHeight="1" s="356">
      <c r="A51" s="413" t="n"/>
      <c r="B51" s="396" t="n"/>
      <c r="C51" s="414" t="n"/>
      <c r="D51" s="415" t="n"/>
      <c r="E51" s="415" t="n"/>
      <c r="F51" s="416" t="n"/>
      <c r="G51" s="417" t="n"/>
      <c r="H51" s="418" t="n"/>
      <c r="I51" s="416" t="n"/>
      <c r="J51" s="415" t="n"/>
      <c r="K51" s="417" t="n"/>
      <c r="L51" s="419" t="n"/>
      <c r="M51" s="420" t="n"/>
      <c r="N51" s="417" t="n"/>
      <c r="O51" s="420" t="n"/>
      <c r="P51" s="416" t="n"/>
      <c r="Q51" s="421" t="n"/>
    </row>
    <row r="52" ht="9.949999999999999" customFormat="1" customHeight="1" s="356">
      <c r="A52" s="413" t="n"/>
      <c r="B52" s="396" t="n"/>
      <c r="C52" s="414" t="n"/>
      <c r="D52" s="415" t="n"/>
      <c r="E52" s="415" t="n"/>
      <c r="F52" s="416" t="n"/>
      <c r="G52" s="417" t="n"/>
      <c r="H52" s="418" t="n"/>
      <c r="I52" s="416" t="n"/>
      <c r="J52" s="415" t="n"/>
      <c r="K52" s="417" t="n"/>
      <c r="L52" s="419" t="n"/>
      <c r="M52" s="420" t="n"/>
      <c r="N52" s="417" t="n"/>
      <c r="O52" s="420" t="n"/>
      <c r="P52" s="416" t="n"/>
      <c r="Q52" s="422" t="n"/>
    </row>
    <row r="53" ht="9.949999999999999" customFormat="1" customHeight="1" s="356">
      <c r="A53" s="413" t="n"/>
      <c r="B53" s="396" t="n"/>
      <c r="C53" s="414" t="n"/>
      <c r="D53" s="415" t="n"/>
      <c r="E53" s="415" t="n"/>
      <c r="F53" s="416" t="n"/>
      <c r="G53" s="417" t="n"/>
      <c r="H53" s="418" t="n"/>
      <c r="I53" s="416" t="n"/>
      <c r="J53" s="415" t="n"/>
      <c r="K53" s="417" t="n"/>
      <c r="L53" s="419" t="n"/>
      <c r="M53" s="420" t="n"/>
      <c r="N53" s="417" t="n"/>
      <c r="O53" s="420" t="n"/>
      <c r="P53" s="416" t="n"/>
      <c r="Q53" s="422" t="n"/>
    </row>
    <row r="54" ht="9.949999999999999" customFormat="1" customHeight="1" s="356">
      <c r="A54" s="423" t="n"/>
      <c r="B54" s="424" t="n"/>
      <c r="C54" s="424" t="n"/>
      <c r="D54" s="425" t="n"/>
      <c r="E54" s="425" t="n"/>
      <c r="F54" s="425" t="n"/>
      <c r="G54" s="426" t="n"/>
      <c r="H54" s="425" t="n"/>
      <c r="I54" s="425" t="n"/>
      <c r="J54" s="425" t="n"/>
      <c r="K54" s="426" t="n"/>
      <c r="L54" s="427" t="n"/>
      <c r="M54" s="428" t="n"/>
      <c r="N54" s="428" t="n"/>
      <c r="O54" s="428" t="n"/>
      <c r="P54" s="429" t="n"/>
      <c r="Q54" s="430" t="n"/>
    </row>
    <row r="55" ht="9.949999999999999" customFormat="1" customHeight="1" s="412">
      <c r="A55" s="431" t="n"/>
      <c r="B55" s="432" t="n"/>
      <c r="C55" s="432" t="n"/>
      <c r="D55" s="433" t="n"/>
      <c r="E55" s="434" t="n"/>
      <c r="F55" s="435" t="n"/>
      <c r="G55" s="436" t="n"/>
      <c r="H55" s="435" t="n"/>
      <c r="I55" s="437" t="n"/>
      <c r="J55" s="438" t="n"/>
      <c r="K55" s="437" t="n"/>
      <c r="L55" s="435" t="n"/>
      <c r="M55" s="436" t="n"/>
      <c r="N55" s="439" t="n"/>
      <c r="O55" s="440" t="n"/>
      <c r="P55" s="436" t="n"/>
      <c r="Q55" s="441" t="n"/>
    </row>
    <row r="56" ht="9.949999999999999" customFormat="1" customHeight="1" s="412">
      <c r="A56" s="442" t="n"/>
      <c r="C56" s="443" t="n"/>
      <c r="D56" s="443" t="n"/>
      <c r="E56" s="444" t="n"/>
      <c r="F56" s="445" t="n"/>
      <c r="G56" s="446" t="n"/>
      <c r="H56" s="447" t="n"/>
      <c r="I56" s="448" t="n"/>
      <c r="J56" s="449" t="n"/>
      <c r="K56" s="450" t="n"/>
      <c r="L56" s="450" t="n"/>
      <c r="M56" s="450" t="n"/>
      <c r="N56" s="450" t="n"/>
      <c r="O56" s="428" t="n"/>
      <c r="P56" s="450" t="n"/>
      <c r="Q56" s="430" t="n"/>
    </row>
    <row r="57" ht="9.949999999999999" customFormat="1" customHeight="1" s="351">
      <c r="A57" s="451" t="n"/>
      <c r="B57" s="412" t="n"/>
      <c r="C57" s="443" t="n"/>
      <c r="D57" s="443" t="n"/>
      <c r="E57" s="462" t="n"/>
      <c r="G57" s="452" t="n"/>
      <c r="H57" s="443" t="n"/>
      <c r="I57" s="443" t="n"/>
      <c r="J57" s="443" t="n"/>
      <c r="K57" s="452" t="n"/>
      <c r="L57" s="453" t="n"/>
      <c r="M57" s="454" t="n"/>
      <c r="N57" s="454" t="n"/>
      <c r="O57" s="455" t="n"/>
      <c r="P57" s="454" t="n"/>
      <c r="Q57" s="456" t="n"/>
    </row>
    <row r="58" ht="9.949999999999999" customFormat="1" customHeight="1" s="356">
      <c r="A58" s="457" t="n"/>
      <c r="B58" s="458" t="n"/>
      <c r="C58" s="458" t="n"/>
      <c r="D58" s="458" t="n"/>
      <c r="E58" s="458" t="n"/>
      <c r="F58" s="459" t="n"/>
      <c r="G58" s="460" t="n"/>
      <c r="H58" s="458" t="n"/>
      <c r="I58" s="460" t="n"/>
      <c r="K58" s="458" t="n"/>
      <c r="L58" s="458" t="n"/>
      <c r="M58" s="458" t="n"/>
      <c r="N58" s="458" t="n"/>
      <c r="O58" s="458" t="n"/>
      <c r="P58" s="458" t="n"/>
      <c r="Q58" s="461" t="n"/>
    </row>
    <row r="59" ht="9.949999999999999" customFormat="1" customHeight="1" s="356">
      <c r="A59" s="413" t="n"/>
      <c r="B59" s="396" t="n"/>
      <c r="C59" s="414" t="n"/>
      <c r="D59" s="415" t="n"/>
      <c r="E59" s="415" t="n"/>
      <c r="F59" s="416" t="n"/>
      <c r="G59" s="417" t="n"/>
      <c r="H59" s="418" t="n"/>
      <c r="I59" s="416" t="n"/>
      <c r="J59" s="415" t="n"/>
      <c r="K59" s="417" t="n"/>
      <c r="L59" s="419" t="n"/>
      <c r="M59" s="420" t="n"/>
      <c r="N59" s="417" t="n"/>
      <c r="O59" s="420" t="n"/>
      <c r="P59" s="416" t="n"/>
      <c r="Q59" s="421" t="n"/>
    </row>
    <row r="60" ht="9.949999999999999" customFormat="1" customHeight="1" s="356">
      <c r="A60" s="413" t="n"/>
      <c r="B60" s="396" t="n"/>
      <c r="C60" s="414" t="n"/>
      <c r="D60" s="415" t="n"/>
      <c r="E60" s="415" t="n"/>
      <c r="F60" s="416" t="n"/>
      <c r="G60" s="417" t="n"/>
      <c r="H60" s="418" t="n"/>
      <c r="I60" s="416" t="n"/>
      <c r="J60" s="415" t="n"/>
      <c r="K60" s="417" t="n"/>
      <c r="L60" s="419" t="n"/>
      <c r="M60" s="420" t="n"/>
      <c r="N60" s="417" t="n"/>
      <c r="O60" s="420" t="n"/>
      <c r="P60" s="416" t="n"/>
      <c r="Q60" s="421" t="n"/>
    </row>
    <row r="61" ht="9.949999999999999" customFormat="1" customHeight="1" s="356">
      <c r="A61" s="413" t="n"/>
      <c r="B61" s="396" t="n"/>
      <c r="C61" s="414" t="n"/>
      <c r="D61" s="415" t="n"/>
      <c r="E61" s="415" t="n"/>
      <c r="F61" s="416" t="n"/>
      <c r="G61" s="417" t="n"/>
      <c r="H61" s="418" t="n"/>
      <c r="I61" s="416" t="n"/>
      <c r="J61" s="415" t="n"/>
      <c r="K61" s="417" t="n"/>
      <c r="L61" s="419" t="n"/>
      <c r="M61" s="420" t="n"/>
      <c r="N61" s="417" t="n"/>
      <c r="O61" s="420" t="n"/>
      <c r="P61" s="416" t="n"/>
      <c r="Q61" s="422" t="n"/>
    </row>
    <row r="62" ht="9.949999999999999" customFormat="1" customHeight="1" s="356">
      <c r="A62" s="413" t="n"/>
      <c r="B62" s="396" t="n"/>
      <c r="C62" s="414" t="n"/>
      <c r="D62" s="415" t="n"/>
      <c r="E62" s="415" t="n"/>
      <c r="F62" s="416" t="n"/>
      <c r="G62" s="417" t="n"/>
      <c r="H62" s="418" t="n"/>
      <c r="I62" s="416" t="n"/>
      <c r="J62" s="415" t="n"/>
      <c r="K62" s="417" t="n"/>
      <c r="L62" s="419" t="n"/>
      <c r="M62" s="420" t="n"/>
      <c r="N62" s="417" t="n"/>
      <c r="O62" s="420" t="n"/>
      <c r="P62" s="416" t="n"/>
      <c r="Q62" s="421" t="n"/>
    </row>
    <row r="63" ht="9.949999999999999" customFormat="1" customHeight="1" s="356">
      <c r="A63" s="413" t="n"/>
      <c r="B63" s="396" t="n"/>
      <c r="C63" s="414" t="n"/>
      <c r="D63" s="415" t="n"/>
      <c r="E63" s="415" t="n"/>
      <c r="F63" s="416" t="n"/>
      <c r="G63" s="417" t="n"/>
      <c r="H63" s="418" t="n"/>
      <c r="I63" s="416" t="n"/>
      <c r="J63" s="415" t="n"/>
      <c r="K63" s="417" t="n"/>
      <c r="L63" s="419" t="n"/>
      <c r="M63" s="420" t="n"/>
      <c r="N63" s="417" t="n"/>
      <c r="O63" s="420" t="n"/>
      <c r="P63" s="416" t="n"/>
      <c r="Q63" s="421" t="n"/>
    </row>
    <row r="64" ht="9.949999999999999" customFormat="1" customHeight="1" s="356">
      <c r="A64" s="413" t="n"/>
      <c r="B64" s="396" t="n"/>
      <c r="C64" s="414" t="n"/>
      <c r="D64" s="415" t="n"/>
      <c r="E64" s="415" t="n"/>
      <c r="F64" s="416" t="n"/>
      <c r="G64" s="417" t="n"/>
      <c r="H64" s="418" t="n"/>
      <c r="I64" s="416" t="n"/>
      <c r="J64" s="415" t="n"/>
      <c r="K64" s="417" t="n"/>
      <c r="L64" s="419" t="n"/>
      <c r="M64" s="420" t="n"/>
      <c r="N64" s="417" t="n"/>
      <c r="O64" s="420" t="n"/>
      <c r="P64" s="416" t="n"/>
      <c r="Q64" s="421" t="n"/>
    </row>
    <row r="65" ht="9.949999999999999" customFormat="1" customHeight="1" s="356">
      <c r="A65" s="413" t="n"/>
      <c r="B65" s="396" t="n"/>
      <c r="C65" s="414" t="n"/>
      <c r="D65" s="415" t="n"/>
      <c r="E65" s="415" t="n"/>
      <c r="F65" s="416" t="n"/>
      <c r="G65" s="417" t="n"/>
      <c r="H65" s="418" t="n"/>
      <c r="I65" s="416" t="n"/>
      <c r="J65" s="415" t="n"/>
      <c r="K65" s="417" t="n"/>
      <c r="L65" s="419" t="n"/>
      <c r="M65" s="420" t="n"/>
      <c r="N65" s="417" t="n"/>
      <c r="O65" s="420" t="n"/>
      <c r="P65" s="416" t="n"/>
      <c r="Q65" s="421" t="n"/>
    </row>
    <row r="66" ht="9.949999999999999" customFormat="1" customHeight="1" s="356">
      <c r="A66" s="413" t="n"/>
      <c r="B66" s="396" t="n"/>
      <c r="C66" s="414" t="n"/>
      <c r="D66" s="415" t="n"/>
      <c r="E66" s="415" t="n"/>
      <c r="F66" s="416" t="n"/>
      <c r="G66" s="417" t="n"/>
      <c r="H66" s="418" t="n"/>
      <c r="I66" s="416" t="n"/>
      <c r="J66" s="415" t="n"/>
      <c r="K66" s="417" t="n"/>
      <c r="L66" s="419" t="n"/>
      <c r="M66" s="420" t="n"/>
      <c r="N66" s="417" t="n"/>
      <c r="O66" s="420" t="n"/>
      <c r="P66" s="416" t="n"/>
      <c r="Q66" s="422" t="n"/>
    </row>
    <row r="67" ht="9.949999999999999" customFormat="1" customHeight="1" s="356">
      <c r="A67" s="413" t="n"/>
      <c r="B67" s="396" t="n"/>
      <c r="C67" s="414" t="n"/>
      <c r="D67" s="415" t="n"/>
      <c r="E67" s="415" t="n"/>
      <c r="F67" s="416" t="n"/>
      <c r="G67" s="417" t="n"/>
      <c r="H67" s="418" t="n"/>
      <c r="I67" s="416" t="n"/>
      <c r="J67" s="415" t="n"/>
      <c r="K67" s="417" t="n"/>
      <c r="L67" s="419" t="n"/>
      <c r="M67" s="420" t="n"/>
      <c r="N67" s="417" t="n"/>
      <c r="O67" s="420" t="n"/>
      <c r="P67" s="416" t="n"/>
      <c r="Q67" s="422" t="n"/>
    </row>
    <row r="68" ht="9.949999999999999" customFormat="1" customHeight="1" s="356">
      <c r="A68" s="423" t="n"/>
      <c r="B68" s="424" t="n"/>
      <c r="C68" s="424" t="n"/>
      <c r="D68" s="425" t="n"/>
      <c r="E68" s="425" t="n"/>
      <c r="F68" s="425" t="n"/>
      <c r="G68" s="426" t="n"/>
      <c r="H68" s="425" t="n"/>
      <c r="I68" s="425" t="n"/>
      <c r="J68" s="425" t="n"/>
      <c r="K68" s="426" t="n"/>
      <c r="L68" s="427" t="n"/>
      <c r="M68" s="428" t="n"/>
      <c r="N68" s="428" t="n"/>
      <c r="O68" s="428" t="n"/>
      <c r="P68" s="429" t="n"/>
      <c r="Q68" s="430" t="n"/>
    </row>
    <row r="69" ht="9.949999999999999" customFormat="1" customHeight="1" s="412">
      <c r="A69" s="431" t="n"/>
      <c r="B69" s="432" t="n"/>
      <c r="C69" s="432" t="n"/>
      <c r="D69" s="433" t="n"/>
      <c r="E69" s="434" t="n"/>
      <c r="F69" s="435" t="n"/>
      <c r="G69" s="436" t="n"/>
      <c r="H69" s="435" t="n"/>
      <c r="I69" s="437" t="n"/>
      <c r="J69" s="438" t="n"/>
      <c r="K69" s="437" t="n"/>
      <c r="L69" s="435" t="n"/>
      <c r="M69" s="436" t="n"/>
      <c r="N69" s="439" t="n"/>
      <c r="O69" s="440" t="n"/>
      <c r="P69" s="436" t="n"/>
      <c r="Q69" s="441" t="n"/>
    </row>
    <row r="70" ht="9.949999999999999" customFormat="1" customHeight="1" s="412">
      <c r="A70" s="442" t="n"/>
      <c r="C70" s="443" t="n"/>
      <c r="D70" s="443" t="n"/>
      <c r="E70" s="444" t="n"/>
      <c r="F70" s="445" t="n"/>
      <c r="G70" s="446" t="n"/>
      <c r="H70" s="447" t="n"/>
      <c r="I70" s="448" t="n"/>
      <c r="J70" s="449" t="n"/>
      <c r="K70" s="450" t="n"/>
      <c r="L70" s="450" t="n"/>
      <c r="M70" s="450" t="n"/>
      <c r="N70" s="450" t="n"/>
      <c r="O70" s="428" t="n"/>
      <c r="P70" s="450" t="n"/>
      <c r="Q70" s="430" t="n"/>
    </row>
    <row r="71" ht="9.949999999999999" customFormat="1" customHeight="1" s="351">
      <c r="A71" s="451" t="n"/>
      <c r="B71" s="412" t="n"/>
      <c r="C71" s="443" t="n"/>
      <c r="D71" s="443" t="n"/>
      <c r="E71" s="425" t="n"/>
      <c r="G71" s="452" t="n"/>
      <c r="H71" s="443" t="n"/>
      <c r="I71" s="443" t="n"/>
      <c r="J71" s="443" t="n"/>
      <c r="K71" s="452" t="n"/>
      <c r="L71" s="453" t="n"/>
      <c r="M71" s="454" t="n"/>
      <c r="N71" s="454" t="n"/>
      <c r="O71" s="455" t="n"/>
      <c r="P71" s="454" t="n"/>
      <c r="Q71" s="456" t="n"/>
    </row>
    <row r="72" ht="9.949999999999999" customFormat="1" customHeight="1" s="351">
      <c r="A72" s="451" t="n"/>
      <c r="B72" s="412" t="n"/>
      <c r="C72" s="443" t="n"/>
      <c r="D72" s="443" t="n"/>
      <c r="E72" s="462" t="n"/>
      <c r="F72" s="462" t="n"/>
      <c r="G72" s="452" t="n"/>
      <c r="H72" s="443" t="n"/>
      <c r="I72" s="443" t="n"/>
      <c r="J72" s="443" t="n"/>
      <c r="K72" s="452" t="n"/>
      <c r="L72" s="453" t="n"/>
      <c r="M72" s="454" t="n"/>
      <c r="N72" s="454" t="n"/>
      <c r="O72" s="455" t="n"/>
      <c r="P72" s="454" t="n"/>
      <c r="Q72" s="456" t="n"/>
    </row>
    <row r="73" ht="9.949999999999999" customFormat="1" customHeight="1" s="351">
      <c r="A73" s="451" t="n"/>
      <c r="B73" s="412" t="n"/>
      <c r="C73" s="443" t="n"/>
      <c r="D73" s="443" t="n"/>
      <c r="E73" s="462" t="n"/>
      <c r="F73" s="462" t="n"/>
      <c r="G73" s="452" t="n"/>
      <c r="H73" s="443" t="n"/>
      <c r="I73" s="443" t="n"/>
      <c r="J73" s="443" t="n"/>
      <c r="K73" s="452" t="n"/>
      <c r="L73" s="453" t="n"/>
      <c r="M73" s="454" t="n"/>
      <c r="N73" s="454" t="n"/>
      <c r="O73" s="455" t="n"/>
      <c r="P73" s="454" t="n"/>
      <c r="Q73" s="456" t="n"/>
    </row>
    <row r="74" ht="9.949999999999999" customFormat="1" customHeight="1" s="351">
      <c r="A74" s="451" t="n"/>
      <c r="B74" s="412" t="n"/>
      <c r="C74" s="443" t="n"/>
      <c r="D74" s="443" t="n"/>
      <c r="E74" s="462" t="n"/>
      <c r="F74" s="462" t="n"/>
      <c r="G74" s="452" t="n"/>
      <c r="H74" s="443" t="n"/>
      <c r="I74" s="443" t="n"/>
      <c r="J74" s="443" t="n"/>
      <c r="K74" s="452" t="n"/>
      <c r="L74" s="453" t="n"/>
      <c r="M74" s="454" t="n"/>
      <c r="N74" s="454" t="n"/>
      <c r="O74" s="455" t="n"/>
      <c r="P74" s="454" t="n"/>
      <c r="Q74" s="456" t="n"/>
    </row>
    <row r="75" ht="9.949999999999999" customFormat="1" customHeight="1" s="351">
      <c r="A75" s="451" t="n"/>
      <c r="B75" s="412" t="n"/>
      <c r="C75" s="443" t="n"/>
      <c r="D75" s="443" t="n"/>
      <c r="E75" s="462" t="n"/>
      <c r="F75" s="462" t="n"/>
      <c r="G75" s="452" t="n"/>
      <c r="H75" s="443" t="n"/>
      <c r="I75" s="443" t="n"/>
      <c r="J75" s="443" t="n"/>
      <c r="K75" s="452" t="n"/>
      <c r="L75" s="453" t="n"/>
      <c r="M75" s="454" t="n"/>
      <c r="N75" s="454" t="n"/>
      <c r="O75" s="455" t="n"/>
      <c r="P75" s="454" t="n"/>
      <c r="Q75" s="456" t="n"/>
    </row>
    <row r="76"/>
    <row r="77"/>
    <row r="78"/>
    <row r="79"/>
    <row r="80" ht="9.75" customFormat="1" customHeight="1" s="329">
      <c r="A80" s="330" t="n"/>
      <c r="B80" s="331" t="n"/>
      <c r="C80" s="331" t="n"/>
      <c r="D80" s="331" t="n"/>
      <c r="E80" s="331" t="n"/>
      <c r="F80" s="332" t="n"/>
      <c r="G80" s="333" t="n"/>
      <c r="H80" s="334" t="n"/>
      <c r="I80" s="333" t="n"/>
      <c r="J80" s="333" t="n"/>
      <c r="K80" s="331" t="n"/>
      <c r="L80" s="335" t="n"/>
      <c r="M80" s="331" t="n"/>
      <c r="N80" s="336" t="n"/>
      <c r="O80" s="337" t="n"/>
      <c r="P80" s="337" t="n"/>
      <c r="Q80" s="338" t="n"/>
    </row>
    <row r="81" ht="10.5" customFormat="1" customHeight="1" s="339">
      <c r="A81" s="340" t="n"/>
      <c r="F81" s="341" t="n"/>
      <c r="G81" s="342" t="n"/>
      <c r="H81" s="343" t="n"/>
      <c r="I81" s="343" t="n"/>
      <c r="J81" s="343" t="n"/>
      <c r="K81" s="344" t="n"/>
      <c r="L81" s="345" t="n"/>
      <c r="N81" s="346" t="n"/>
      <c r="O81" s="347" t="n"/>
      <c r="P81" s="347" t="n"/>
      <c r="Q81" s="347" t="n"/>
    </row>
    <row r="82" ht="8.25" customFormat="1" customHeight="1" s="339">
      <c r="A82" s="348" t="n"/>
      <c r="E82" s="349" t="n"/>
      <c r="I82" s="350" t="n"/>
      <c r="M82" s="350" t="n"/>
      <c r="Q82" s="350" t="n"/>
    </row>
    <row r="83" ht="31.5" customFormat="1" customHeight="1" s="351">
      <c r="A83" s="352" t="n"/>
      <c r="B83" s="352" t="n"/>
      <c r="C83" s="352" t="n"/>
      <c r="D83" s="352" t="n"/>
      <c r="E83" s="352" t="n"/>
      <c r="F83" s="353" t="n"/>
      <c r="G83" s="352" t="n"/>
      <c r="H83" s="353" t="n"/>
      <c r="I83" s="353" t="n"/>
      <c r="J83" s="353" t="n"/>
      <c r="K83" s="353" t="n"/>
      <c r="L83" s="353" t="n"/>
      <c r="M83" s="352" t="n"/>
      <c r="N83" s="352" t="n"/>
      <c r="O83" s="352" t="n"/>
      <c r="P83" s="352" t="n"/>
      <c r="Q83" s="353" t="n"/>
    </row>
    <row r="84" ht="9.75" customFormat="1" customHeight="1" s="351">
      <c r="A84" s="354" t="n"/>
      <c r="B84" s="354" t="n"/>
      <c r="C84" s="354" t="n"/>
      <c r="D84" s="354" t="n"/>
      <c r="E84" s="354" t="n"/>
      <c r="F84" s="354" t="n"/>
      <c r="G84" s="354" t="n"/>
      <c r="H84" s="354" t="n"/>
      <c r="I84" s="354" t="n"/>
      <c r="J84" s="354" t="n"/>
      <c r="K84" s="355" t="n"/>
      <c r="L84" s="354" t="n"/>
      <c r="M84" s="354" t="n"/>
      <c r="N84" s="354" t="n"/>
      <c r="O84" s="354" t="n"/>
      <c r="P84" s="354" t="n"/>
      <c r="Q84" s="354" t="n"/>
    </row>
    <row r="85" ht="15.75" customFormat="1" customHeight="1" s="356">
      <c r="A85" s="346" t="n"/>
      <c r="B85" s="346" t="n"/>
      <c r="C85" s="346" t="n"/>
      <c r="D85" s="346" t="n"/>
      <c r="E85" s="346" t="n"/>
      <c r="F85" s="346" t="n"/>
      <c r="G85" s="346" t="n"/>
      <c r="H85" s="346" t="n"/>
      <c r="I85" s="346" t="n"/>
      <c r="J85" s="357" t="n"/>
      <c r="K85" s="346" t="n"/>
      <c r="L85" s="358" t="n"/>
      <c r="M85" s="346" t="n"/>
      <c r="N85" s="346" t="n"/>
      <c r="O85" s="346" t="n"/>
      <c r="P85" s="346" t="n"/>
      <c r="Q85" s="358" t="n"/>
    </row>
    <row r="86" ht="11.25" customFormat="1" customHeight="1" s="356">
      <c r="A86" s="346" t="n"/>
      <c r="B86" s="346" t="n"/>
      <c r="C86" s="346" t="n"/>
      <c r="D86" s="346" t="n"/>
      <c r="E86" s="346" t="n"/>
      <c r="F86" s="346" t="n"/>
      <c r="G86" s="346" t="n"/>
      <c r="H86" s="346" t="n"/>
      <c r="I86" s="346" t="n"/>
      <c r="J86" s="346" t="n"/>
      <c r="K86" s="346" t="n"/>
      <c r="L86" s="346" t="n"/>
      <c r="M86" s="346" t="n"/>
      <c r="N86" s="346" t="n"/>
      <c r="O86" s="346" t="n"/>
      <c r="P86" s="346" t="n"/>
      <c r="Q86" s="346" t="n"/>
    </row>
    <row r="87" ht="9.75" customFormat="1" customHeight="1" s="356">
      <c r="A87" s="457" t="n"/>
      <c r="B87" s="458" t="n"/>
      <c r="C87" s="458" t="n"/>
      <c r="D87" s="458" t="n"/>
      <c r="E87" s="458" t="n"/>
      <c r="F87" s="459" t="n"/>
      <c r="G87" s="460" t="n"/>
      <c r="H87" s="458" t="n"/>
      <c r="I87" s="460" t="n"/>
      <c r="K87" s="458" t="n"/>
      <c r="L87" s="458" t="n"/>
      <c r="M87" s="458" t="n"/>
      <c r="N87" s="458" t="n"/>
      <c r="O87" s="458" t="n"/>
      <c r="P87" s="458" t="n"/>
      <c r="Q87" s="461" t="n"/>
    </row>
    <row r="88" ht="9.949999999999999" customFormat="1" customHeight="1" s="356">
      <c r="A88" s="413" t="n"/>
      <c r="B88" s="396" t="n"/>
      <c r="C88" s="414" t="n"/>
      <c r="D88" s="415" t="n"/>
      <c r="E88" s="415" t="n"/>
      <c r="F88" s="416" t="n"/>
      <c r="G88" s="417" t="n"/>
      <c r="H88" s="418" t="n"/>
      <c r="I88" s="416" t="n"/>
      <c r="J88" s="415" t="n"/>
      <c r="K88" s="417" t="n"/>
      <c r="L88" s="419" t="n"/>
      <c r="M88" s="420" t="n"/>
      <c r="N88" s="417" t="n"/>
      <c r="O88" s="420" t="n"/>
      <c r="P88" s="416" t="n"/>
      <c r="Q88" s="421" t="n"/>
    </row>
    <row r="89" ht="9.949999999999999" customFormat="1" customHeight="1" s="356">
      <c r="A89" s="413" t="n"/>
      <c r="B89" s="396" t="n"/>
      <c r="C89" s="414" t="n"/>
      <c r="D89" s="415" t="n"/>
      <c r="E89" s="415" t="n"/>
      <c r="F89" s="416" t="n"/>
      <c r="G89" s="417" t="n"/>
      <c r="H89" s="418" t="n"/>
      <c r="I89" s="416" t="n"/>
      <c r="J89" s="415" t="n"/>
      <c r="K89" s="417" t="n"/>
      <c r="L89" s="419" t="n"/>
      <c r="M89" s="420" t="n"/>
      <c r="N89" s="417" t="n"/>
      <c r="O89" s="420" t="n"/>
      <c r="P89" s="416" t="n"/>
      <c r="Q89" s="421" t="n"/>
    </row>
    <row r="90" ht="9.949999999999999" customFormat="1" customHeight="1" s="356">
      <c r="A90" s="413" t="n"/>
      <c r="B90" s="396" t="n"/>
      <c r="C90" s="414" t="n"/>
      <c r="D90" s="415" t="n"/>
      <c r="E90" s="415" t="n"/>
      <c r="F90" s="416" t="n"/>
      <c r="G90" s="417" t="n"/>
      <c r="H90" s="418" t="n"/>
      <c r="I90" s="416" t="n"/>
      <c r="J90" s="415" t="n"/>
      <c r="K90" s="417" t="n"/>
      <c r="L90" s="419" t="n"/>
      <c r="M90" s="420" t="n"/>
      <c r="N90" s="417" t="n"/>
      <c r="O90" s="420" t="n"/>
      <c r="P90" s="416" t="n"/>
      <c r="Q90" s="422" t="n"/>
    </row>
    <row r="91" ht="9.949999999999999" customFormat="1" customHeight="1" s="356">
      <c r="A91" s="413" t="n"/>
      <c r="B91" s="396" t="n"/>
      <c r="C91" s="414" t="n"/>
      <c r="D91" s="415" t="n"/>
      <c r="E91" s="415" t="n"/>
      <c r="F91" s="416" t="n"/>
      <c r="G91" s="417" t="n"/>
      <c r="H91" s="418" t="n"/>
      <c r="I91" s="416" t="n"/>
      <c r="J91" s="415" t="n"/>
      <c r="K91" s="417" t="n"/>
      <c r="L91" s="419" t="n"/>
      <c r="M91" s="420" t="n"/>
      <c r="N91" s="417" t="n"/>
      <c r="O91" s="420" t="n"/>
      <c r="P91" s="416" t="n"/>
      <c r="Q91" s="421" t="n"/>
    </row>
    <row r="92" ht="9.949999999999999" customFormat="1" customHeight="1" s="356">
      <c r="A92" s="413" t="n"/>
      <c r="B92" s="396" t="n"/>
      <c r="C92" s="414" t="n"/>
      <c r="D92" s="415" t="n"/>
      <c r="E92" s="415" t="n"/>
      <c r="F92" s="416" t="n"/>
      <c r="G92" s="417" t="n"/>
      <c r="H92" s="418" t="n"/>
      <c r="I92" s="416" t="n"/>
      <c r="J92" s="415" t="n"/>
      <c r="K92" s="417" t="n"/>
      <c r="L92" s="419" t="n"/>
      <c r="M92" s="420" t="n"/>
      <c r="N92" s="417" t="n"/>
      <c r="O92" s="420" t="n"/>
      <c r="P92" s="416" t="n"/>
      <c r="Q92" s="421" t="n"/>
    </row>
    <row r="93" ht="9.949999999999999" customFormat="1" customHeight="1" s="356">
      <c r="A93" s="413" t="n"/>
      <c r="B93" s="396" t="n"/>
      <c r="C93" s="414" t="n"/>
      <c r="D93" s="415" t="n"/>
      <c r="E93" s="415" t="n"/>
      <c r="F93" s="416" t="n"/>
      <c r="G93" s="417" t="n"/>
      <c r="H93" s="418" t="n"/>
      <c r="I93" s="416" t="n"/>
      <c r="J93" s="415" t="n"/>
      <c r="K93" s="417" t="n"/>
      <c r="L93" s="419" t="n"/>
      <c r="M93" s="420" t="n"/>
      <c r="N93" s="417" t="n"/>
      <c r="O93" s="420" t="n"/>
      <c r="P93" s="416" t="n"/>
      <c r="Q93" s="421" t="n"/>
    </row>
    <row r="94" ht="9.949999999999999" customFormat="1" customHeight="1" s="356">
      <c r="A94" s="413" t="n"/>
      <c r="B94" s="396" t="n"/>
      <c r="C94" s="414" t="n"/>
      <c r="D94" s="415" t="n"/>
      <c r="E94" s="415" t="n"/>
      <c r="F94" s="416" t="n"/>
      <c r="G94" s="417" t="n"/>
      <c r="H94" s="418" t="n"/>
      <c r="I94" s="416" t="n"/>
      <c r="J94" s="415" t="n"/>
      <c r="K94" s="417" t="n"/>
      <c r="L94" s="419" t="n"/>
      <c r="M94" s="420" t="n"/>
      <c r="N94" s="417" t="n"/>
      <c r="O94" s="420" t="n"/>
      <c r="P94" s="416" t="n"/>
      <c r="Q94" s="422" t="n"/>
    </row>
    <row r="95" ht="9.949999999999999" customFormat="1" customHeight="1" s="356">
      <c r="A95" s="413" t="n"/>
      <c r="B95" s="396" t="n"/>
      <c r="C95" s="414" t="n"/>
      <c r="D95" s="415" t="n"/>
      <c r="E95" s="415" t="n"/>
      <c r="F95" s="416" t="n"/>
      <c r="G95" s="417" t="n"/>
      <c r="H95" s="418" t="n"/>
      <c r="I95" s="416" t="n"/>
      <c r="J95" s="415" t="n"/>
      <c r="K95" s="417" t="n"/>
      <c r="L95" s="419" t="n"/>
      <c r="M95" s="420" t="n"/>
      <c r="N95" s="417" t="n"/>
      <c r="O95" s="420" t="n"/>
      <c r="P95" s="416" t="n"/>
      <c r="Q95" s="422" t="n"/>
    </row>
    <row r="96" ht="9.949999999999999" customFormat="1" customHeight="1" s="356">
      <c r="A96" s="423" t="n"/>
      <c r="B96" s="424" t="n"/>
      <c r="C96" s="424" t="n"/>
      <c r="D96" s="425" t="n"/>
      <c r="E96" s="425" t="n"/>
      <c r="F96" s="425" t="n"/>
      <c r="G96" s="426" t="n"/>
      <c r="H96" s="425" t="n"/>
      <c r="I96" s="425" t="n"/>
      <c r="J96" s="425" t="n"/>
      <c r="K96" s="426" t="n"/>
      <c r="L96" s="427" t="n"/>
      <c r="M96" s="428" t="n"/>
      <c r="N96" s="428" t="n"/>
      <c r="O96" s="428" t="n"/>
      <c r="P96" s="429" t="n"/>
      <c r="Q96" s="430" t="n"/>
    </row>
    <row r="97" ht="9.949999999999999" customFormat="1" customHeight="1" s="412">
      <c r="A97" s="431" t="n"/>
      <c r="B97" s="432" t="n"/>
      <c r="C97" s="432" t="n"/>
      <c r="D97" s="433" t="n"/>
      <c r="E97" s="434" t="n"/>
      <c r="F97" s="435" t="n"/>
      <c r="G97" s="436" t="n"/>
      <c r="H97" s="435" t="n"/>
      <c r="I97" s="437" t="n"/>
      <c r="J97" s="438" t="n"/>
      <c r="K97" s="437" t="n"/>
      <c r="L97" s="435" t="n"/>
      <c r="M97" s="436" t="n"/>
      <c r="N97" s="439" t="n"/>
      <c r="O97" s="440" t="n"/>
      <c r="P97" s="436" t="n"/>
      <c r="Q97" s="441" t="n"/>
    </row>
    <row r="98" ht="9.949999999999999" customFormat="1" customHeight="1" s="412">
      <c r="A98" s="442" t="n"/>
      <c r="C98" s="443" t="n"/>
      <c r="D98" s="443" t="n"/>
      <c r="E98" s="444" t="n"/>
      <c r="F98" s="445" t="n"/>
      <c r="G98" s="446" t="n"/>
      <c r="H98" s="447" t="n"/>
      <c r="I98" s="448" t="n"/>
      <c r="J98" s="449" t="n"/>
      <c r="K98" s="450" t="n"/>
      <c r="L98" s="450" t="n"/>
      <c r="M98" s="450" t="n"/>
      <c r="N98" s="450" t="n"/>
      <c r="O98" s="428" t="n"/>
      <c r="P98" s="450" t="n"/>
      <c r="Q98" s="430" t="n"/>
    </row>
    <row r="99" ht="9.949999999999999" customFormat="1" customHeight="1" s="351">
      <c r="A99" s="451" t="n"/>
      <c r="B99" s="412" t="n"/>
      <c r="C99" s="443" t="n"/>
      <c r="D99" s="443" t="n"/>
      <c r="E99" s="425" t="n"/>
      <c r="G99" s="452" t="n"/>
      <c r="H99" s="443" t="n"/>
      <c r="I99" s="443" t="n"/>
      <c r="J99" s="443" t="n"/>
      <c r="K99" s="452" t="n"/>
      <c r="L99" s="453" t="n"/>
      <c r="M99" s="454" t="n"/>
      <c r="N99" s="454" t="n"/>
      <c r="O99" s="455" t="n"/>
      <c r="P99" s="454" t="n"/>
      <c r="Q99" s="456" t="n"/>
    </row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8">
    <mergeCell ref="I21:J21"/>
    <mergeCell ref="E20:F20"/>
    <mergeCell ref="M3:P3"/>
    <mergeCell ref="E3:H3"/>
    <mergeCell ref="I3:L3"/>
    <mergeCell ref="A3:D3"/>
    <mergeCell ref="E33:F33"/>
    <mergeCell ref="I8:J8"/>
  </mergeCells>
  <printOptions horizontalCentered="0" verticalCentered="0" headings="0" gridLines="0" gridLinesSet="1"/>
  <pageMargins left="0.196527777777778" right="0.157638888888889" top="0.315277777777778" bottom="0.315277777777778" header="0.511811023622047" footer="0.511811023622047"/>
  <pageSetup orientation="portrait" paperSize="9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Q200"/>
  <sheetViews>
    <sheetView showFormulas="0" showGridLines="1" showRowColHeaders="1" showZeros="1" rightToLeft="0" tabSelected="0" showOutlineSymbols="1" defaultGridColor="1" view="normal" topLeftCell="A7" colorId="64" zoomScale="145" zoomScaleNormal="145" zoomScalePageLayoutView="100" workbookViewId="0">
      <selection pane="topLeft" activeCell="H18" activeCellId="0" sqref="H18"/>
    </sheetView>
  </sheetViews>
  <sheetFormatPr baseColWidth="8" defaultColWidth="6.84765625" defaultRowHeight="11.25" zeroHeight="0" outlineLevelRow="0"/>
  <cols>
    <col width="7.28" customWidth="1" style="328" min="1" max="1"/>
    <col width="3.85" customWidth="1" style="328" min="2" max="3"/>
    <col width="5.56" customWidth="1" style="328" min="4" max="4"/>
    <col width="6.13" customWidth="1" style="328" min="5" max="5"/>
    <col width="5.56" customWidth="1" style="328" min="6" max="7"/>
    <col width="6.56" customWidth="1" style="328" min="8" max="9"/>
    <col width="6.41" customWidth="1" style="328" min="10" max="10"/>
    <col width="6.13" customWidth="1" style="328" min="11" max="11"/>
    <col width="7.28" customWidth="1" style="328" min="12" max="12"/>
    <col width="5.56" customWidth="1" style="328" min="13" max="16"/>
    <col width="8.279999999999999" customWidth="1" style="328" min="17" max="17"/>
    <col width="6.85" customWidth="1" style="328" min="18" max="257"/>
  </cols>
  <sheetData>
    <row r="1" ht="9.75" customFormat="1" customHeight="1" s="329">
      <c r="A1" s="330" t="n"/>
      <c r="B1" s="331" t="n"/>
      <c r="C1" s="331" t="n"/>
      <c r="D1" s="331" t="n"/>
      <c r="E1" s="331" t="n"/>
      <c r="F1" s="332" t="n"/>
      <c r="G1" s="333" t="n"/>
      <c r="H1" s="334" t="inlineStr">
        <is>
          <t>ISI  KAYBI  HESABI</t>
        </is>
      </c>
      <c r="I1" s="333" t="n"/>
      <c r="J1" s="333" t="n"/>
      <c r="K1" s="331" t="n"/>
      <c r="L1" s="335" t="n"/>
      <c r="M1" s="331" t="n"/>
      <c r="N1" s="336" t="inlineStr">
        <is>
          <t>Kat :</t>
        </is>
      </c>
      <c r="O1" s="337" t="inlineStr">
        <is>
          <t>1. NORMAL</t>
        </is>
      </c>
      <c r="P1" s="337" t="inlineStr">
        <is>
          <t>Tarih</t>
        </is>
      </c>
      <c r="Q1" s="338">
        <f>kapak!G41</f>
        <v/>
      </c>
    </row>
    <row r="2" ht="10.5" customFormat="1" customHeight="1" s="339">
      <c r="A2" s="340" t="n"/>
      <c r="F2" s="341" t="inlineStr">
        <is>
          <t xml:space="preserve">   PROJE ADI :</t>
        </is>
      </c>
      <c r="G2" s="342" t="n"/>
      <c r="H2" s="343">
        <f>kapak!C31</f>
        <v/>
      </c>
      <c r="I2" s="343" t="n"/>
      <c r="J2" s="343" t="n"/>
      <c r="K2" s="344" t="n"/>
      <c r="L2" s="345" t="n"/>
      <c r="N2" s="346" t="inlineStr">
        <is>
          <t xml:space="preserve">  Sayfa :</t>
        </is>
      </c>
      <c r="O2" s="347" t="n">
        <v>4</v>
      </c>
      <c r="P2" s="347" t="n"/>
      <c r="Q2" s="347" t="n"/>
    </row>
    <row r="3" ht="8.25" customFormat="1" customHeight="1" s="339">
      <c r="A3" s="348" t="inlineStr">
        <is>
          <t xml:space="preserve"> Yapı Bileşeni</t>
        </is>
      </c>
      <c r="B3" s="264" t="n"/>
      <c r="C3" s="264" t="n"/>
      <c r="D3" s="264" t="n"/>
      <c r="E3" s="349" t="inlineStr">
        <is>
          <t xml:space="preserve"> Alan Hesabı</t>
        </is>
      </c>
      <c r="F3" s="264" t="n"/>
      <c r="G3" s="264" t="n"/>
      <c r="H3" s="260" t="n"/>
      <c r="I3" s="350" t="inlineStr">
        <is>
          <t xml:space="preserve">                 Isı kaybı hesabı</t>
        </is>
      </c>
      <c r="J3" s="264" t="n"/>
      <c r="K3" s="264" t="n"/>
      <c r="L3" s="260" t="n"/>
      <c r="M3" s="350" t="inlineStr">
        <is>
          <t xml:space="preserve">            Zamlar</t>
        </is>
      </c>
      <c r="N3" s="264" t="n"/>
      <c r="O3" s="264" t="n"/>
      <c r="P3" s="260" t="n"/>
      <c r="Q3" s="350" t="inlineStr">
        <is>
          <t xml:space="preserve">Toplam </t>
        </is>
      </c>
    </row>
    <row r="4" ht="31.5" customFormat="1" customHeight="1" s="351">
      <c r="A4" s="352" t="inlineStr">
        <is>
          <t>İşaret</t>
        </is>
      </c>
      <c r="B4" s="352" t="inlineStr">
        <is>
          <t>Yön</t>
        </is>
      </c>
      <c r="C4" s="352" t="inlineStr">
        <is>
          <t>Kalınlık</t>
        </is>
      </c>
      <c r="D4" s="352" t="inlineStr">
        <is>
          <t>Uzunluk</t>
        </is>
      </c>
      <c r="E4" s="352" t="inlineStr">
        <is>
          <t>Yükseklik</t>
        </is>
      </c>
      <c r="F4" s="353" t="inlineStr">
        <is>
          <t xml:space="preserve">  Toplam Alan</t>
        </is>
      </c>
      <c r="G4" s="352" t="inlineStr">
        <is>
          <t>Miktar</t>
        </is>
      </c>
      <c r="H4" s="353" t="inlineStr">
        <is>
          <t>Çıkarıla alan</t>
        </is>
      </c>
      <c r="I4" s="353" t="inlineStr">
        <is>
          <t>Hesaba giren Alan</t>
        </is>
      </c>
      <c r="J4" s="353" t="inlineStr">
        <is>
          <t xml:space="preserve">    Isı İletim Katsayısı</t>
        </is>
      </c>
      <c r="K4" s="353" t="inlineStr">
        <is>
          <t xml:space="preserve">Sıcaklık Farkı </t>
        </is>
      </c>
      <c r="L4" s="353" t="inlineStr">
        <is>
          <t>Zamsız Isı Kaybı</t>
        </is>
      </c>
      <c r="M4" s="352" t="inlineStr">
        <is>
          <t>İşletme</t>
        </is>
      </c>
      <c r="N4" s="352" t="inlineStr">
        <is>
          <t>Kat Yük.</t>
        </is>
      </c>
      <c r="O4" s="352" t="inlineStr">
        <is>
          <t>Yön</t>
        </is>
      </c>
      <c r="P4" s="352" t="inlineStr">
        <is>
          <t>Toplam</t>
        </is>
      </c>
      <c r="Q4" s="353" t="inlineStr">
        <is>
          <t>Toplam Is
ı İhtiyacı</t>
        </is>
      </c>
    </row>
    <row r="5" ht="9.75" customFormat="1" customHeight="1" s="351">
      <c r="A5" s="354" t="n"/>
      <c r="B5" s="354" t="n"/>
      <c r="C5" s="354" t="n"/>
      <c r="D5" s="354" t="n"/>
      <c r="E5" s="354" t="n"/>
      <c r="F5" s="354" t="inlineStr">
        <is>
          <t>[Ao]</t>
        </is>
      </c>
      <c r="G5" s="354" t="n"/>
      <c r="H5" s="354" t="n"/>
      <c r="I5" s="354" t="inlineStr">
        <is>
          <t>[A]</t>
        </is>
      </c>
      <c r="J5" s="354" t="inlineStr">
        <is>
          <t>[k]</t>
        </is>
      </c>
      <c r="K5" s="355" t="inlineStr">
        <is>
          <t>D T</t>
        </is>
      </c>
      <c r="L5" s="354" t="inlineStr">
        <is>
          <t>Qo</t>
        </is>
      </c>
      <c r="M5" s="354" t="inlineStr">
        <is>
          <t>ZD</t>
        </is>
      </c>
      <c r="N5" s="354" t="inlineStr">
        <is>
          <t>ZW</t>
        </is>
      </c>
      <c r="O5" s="354" t="inlineStr">
        <is>
          <t>ZH</t>
        </is>
      </c>
      <c r="P5" s="354" t="inlineStr">
        <is>
          <t>Z</t>
        </is>
      </c>
      <c r="Q5" s="354" t="inlineStr">
        <is>
          <t>Qh=Qi+Qs</t>
        </is>
      </c>
    </row>
    <row r="6" ht="15.75" customFormat="1" customHeight="1" s="356">
      <c r="A6" s="346" t="n"/>
      <c r="B6" s="346" t="n"/>
      <c r="C6" s="346" t="inlineStr">
        <is>
          <t>cm</t>
        </is>
      </c>
      <c r="D6" s="346" t="inlineStr">
        <is>
          <t>m</t>
        </is>
      </c>
      <c r="E6" s="346" t="inlineStr">
        <is>
          <t>m</t>
        </is>
      </c>
      <c r="F6" s="346" t="inlineStr">
        <is>
          <t>m²</t>
        </is>
      </c>
      <c r="G6" s="346" t="inlineStr">
        <is>
          <t>ad</t>
        </is>
      </c>
      <c r="H6" s="346" t="inlineStr">
        <is>
          <t>m²</t>
        </is>
      </c>
      <c r="I6" s="346" t="inlineStr">
        <is>
          <t>m²</t>
        </is>
      </c>
      <c r="J6" s="357" t="inlineStr">
        <is>
          <t>watt  m²hºC</t>
        </is>
      </c>
      <c r="K6" s="346" t="inlineStr">
        <is>
          <t>ºC</t>
        </is>
      </c>
      <c r="L6" s="358" t="inlineStr">
        <is>
          <t>watt</t>
        </is>
      </c>
      <c r="M6" s="346" t="inlineStr">
        <is>
          <t>%</t>
        </is>
      </c>
      <c r="N6" s="346" t="inlineStr">
        <is>
          <t>%</t>
        </is>
      </c>
      <c r="O6" s="346" t="inlineStr">
        <is>
          <t>%</t>
        </is>
      </c>
      <c r="P6" s="346" t="inlineStr">
        <is>
          <t>1+%</t>
        </is>
      </c>
      <c r="Q6" s="358" t="inlineStr">
        <is>
          <t>watt</t>
        </is>
      </c>
    </row>
    <row r="7" ht="9.75" customFormat="1" customHeight="1" s="356">
      <c r="A7" s="346" t="n">
        <v>1</v>
      </c>
      <c r="B7" s="346" t="n">
        <v>2</v>
      </c>
      <c r="C7" s="346" t="n">
        <v>3</v>
      </c>
      <c r="D7" s="346" t="n">
        <v>4</v>
      </c>
      <c r="E7" s="346" t="n">
        <v>5</v>
      </c>
      <c r="F7" s="346" t="n">
        <v>6</v>
      </c>
      <c r="G7" s="346" t="n">
        <v>7</v>
      </c>
      <c r="H7" s="346" t="n">
        <v>8</v>
      </c>
      <c r="I7" s="346" t="n">
        <v>9</v>
      </c>
      <c r="J7" s="346" t="n">
        <v>10</v>
      </c>
      <c r="K7" s="346" t="n">
        <v>11</v>
      </c>
      <c r="L7" s="346" t="n">
        <v>12</v>
      </c>
      <c r="M7" s="346" t="n">
        <v>13</v>
      </c>
      <c r="N7" s="346" t="n">
        <v>14</v>
      </c>
      <c r="O7" s="346" t="n">
        <v>15</v>
      </c>
      <c r="P7" s="346" t="n">
        <v>16</v>
      </c>
      <c r="Q7" s="346" t="n">
        <v>17</v>
      </c>
    </row>
    <row r="8" ht="10.35" customFormat="1" customHeight="1" s="356">
      <c r="A8" s="359" t="n"/>
      <c r="B8" s="360" t="n"/>
      <c r="C8" s="360" t="n"/>
      <c r="D8" s="360" t="n"/>
      <c r="E8" s="360" t="n"/>
      <c r="F8" s="361" t="inlineStr">
        <is>
          <t>1</t>
        </is>
      </c>
      <c r="G8" s="362" t="inlineStr">
        <is>
          <t>0</t>
        </is>
      </c>
      <c r="H8" s="360" t="inlineStr">
        <is>
          <t>101</t>
        </is>
      </c>
      <c r="I8" s="363" t="inlineStr">
        <is>
          <t>OFİS 1 ODA</t>
        </is>
      </c>
      <c r="J8" s="364" t="n"/>
      <c r="K8" s="360" t="inlineStr">
        <is>
          <t>20ºC</t>
        </is>
      </c>
      <c r="L8" s="360" t="n"/>
      <c r="M8" s="360" t="n"/>
      <c r="N8" s="360" t="n"/>
      <c r="O8" s="360" t="n"/>
      <c r="P8" s="360" t="n"/>
      <c r="Q8" s="365" t="n"/>
    </row>
    <row r="9" ht="9.949999999999999" customFormat="1" customHeight="1" s="356">
      <c r="A9" s="366" t="inlineStr">
        <is>
          <t>DD</t>
        </is>
      </c>
      <c r="B9" s="367" t="inlineStr">
        <is>
          <t>K</t>
        </is>
      </c>
      <c r="C9" s="368" t="n"/>
      <c r="D9" s="369" t="n">
        <v>3.9</v>
      </c>
      <c r="E9" s="369" t="n">
        <v>2.5</v>
      </c>
      <c r="F9" s="370">
        <f>IF(D9=0," ",D9*E9)</f>
        <v/>
      </c>
      <c r="G9" s="371" t="n">
        <v>1</v>
      </c>
      <c r="H9" s="372">
        <f>F11*G11</f>
        <v/>
      </c>
      <c r="I9" s="370">
        <f>IF(F9=" "," ",F9*G9-H9)</f>
        <v/>
      </c>
      <c r="J9" s="369" t="n">
        <v>0.344</v>
      </c>
      <c r="K9" s="371" t="n">
        <v>26</v>
      </c>
      <c r="L9" s="373">
        <f>IF(I9=" "," ",I9*J9*K9)</f>
        <v/>
      </c>
      <c r="M9" s="374" t="n">
        <v>7</v>
      </c>
      <c r="N9" s="371" t="n">
        <v>0</v>
      </c>
      <c r="O9" s="374" t="n">
        <v>5</v>
      </c>
      <c r="P9" s="370">
        <f>IF(M9=" "," ",(1+(M9+N9+O9)/100))</f>
        <v/>
      </c>
      <c r="Q9" s="375">
        <f>IF(L9=" "," ",L9*P9)</f>
        <v/>
      </c>
    </row>
    <row r="10" ht="9.949999999999999" customFormat="1" customHeight="1" s="356">
      <c r="A10" s="366" t="inlineStr">
        <is>
          <t>DD25</t>
        </is>
      </c>
      <c r="B10" s="367" t="inlineStr">
        <is>
          <t>K</t>
        </is>
      </c>
      <c r="C10" s="368" t="n"/>
      <c r="D10" s="369">
        <f>D9</f>
        <v/>
      </c>
      <c r="E10" s="369" t="n">
        <v>0.5</v>
      </c>
      <c r="F10" s="370">
        <f>IF(D10=0," ",D10*E10)</f>
        <v/>
      </c>
      <c r="G10" s="371" t="n">
        <v>1</v>
      </c>
      <c r="H10" s="372" t="n"/>
      <c r="I10" s="370">
        <f>IF(F10=" "," ",F10*G10-H10)</f>
        <v/>
      </c>
      <c r="J10" s="369" t="n">
        <v>0.387</v>
      </c>
      <c r="K10" s="371" t="n">
        <v>26</v>
      </c>
      <c r="L10" s="373">
        <f>IF(I10=" "," ",I10*J10*K10)</f>
        <v/>
      </c>
      <c r="M10" s="374" t="n">
        <v>7</v>
      </c>
      <c r="N10" s="371" t="n">
        <v>0</v>
      </c>
      <c r="O10" s="374" t="n">
        <v>5</v>
      </c>
      <c r="P10" s="370">
        <f>IF(M10=" "," ",(1+(M10+N10+O10)/100))</f>
        <v/>
      </c>
      <c r="Q10" s="375">
        <f>IF(L10=" "," ",L10*P10)</f>
        <v/>
      </c>
    </row>
    <row r="11" ht="9.949999999999999" customFormat="1" customHeight="1" s="356">
      <c r="A11" s="366" t="inlineStr">
        <is>
          <t>ÇP</t>
        </is>
      </c>
      <c r="B11" s="367" t="inlineStr">
        <is>
          <t>K</t>
        </is>
      </c>
      <c r="C11" s="368" t="n"/>
      <c r="D11" s="369" t="n">
        <v>3.5</v>
      </c>
      <c r="E11" s="369" t="n">
        <v>2.7</v>
      </c>
      <c r="F11" s="370">
        <f>IF(D11=0," ",D11*E11)</f>
        <v/>
      </c>
      <c r="G11" s="371" t="n">
        <v>1</v>
      </c>
      <c r="H11" s="372" t="n"/>
      <c r="I11" s="370">
        <f>IF(F11=" "," ",F11*G11-H11)</f>
        <v/>
      </c>
      <c r="J11" s="369" t="n">
        <v>1.8</v>
      </c>
      <c r="K11" s="371" t="n">
        <v>26</v>
      </c>
      <c r="L11" s="373">
        <f>IF(I11=" "," ",I11*J11*K11)</f>
        <v/>
      </c>
      <c r="M11" s="374" t="n">
        <v>7</v>
      </c>
      <c r="N11" s="371" t="n">
        <v>0</v>
      </c>
      <c r="O11" s="374" t="n">
        <v>5</v>
      </c>
      <c r="P11" s="370">
        <f>IF(M11=" "," ",(1+(M11+N11+O11)/100))</f>
        <v/>
      </c>
      <c r="Q11" s="375">
        <f>IF(L11=" "," ",L11*P11)</f>
        <v/>
      </c>
    </row>
    <row r="12" ht="9.949999999999999" customFormat="1" customHeight="1" s="356">
      <c r="A12" s="366" t="inlineStr">
        <is>
          <t>İDM</t>
        </is>
      </c>
      <c r="B12" s="367" t="inlineStr"/>
      <c r="C12" s="368" t="n"/>
      <c r="D12" s="369" t="n">
        <v>4.4</v>
      </c>
      <c r="E12" s="369" t="n">
        <v>3</v>
      </c>
      <c r="F12" s="370">
        <f>IF(D12=0," ",D12*E12)</f>
        <v/>
      </c>
      <c r="G12" s="371" t="n">
        <v>1</v>
      </c>
      <c r="H12" s="372" t="n"/>
      <c r="I12" s="370">
        <f>IF(F12=" "," ",F12*G12-H12)</f>
        <v/>
      </c>
      <c r="J12" s="369" t="n">
        <v>0.332</v>
      </c>
      <c r="K12" s="371" t="n">
        <v>5</v>
      </c>
      <c r="L12" s="373">
        <f>IF(I12=" "," ",I12*J12*K12)</f>
        <v/>
      </c>
      <c r="M12" s="374" t="n">
        <v>7</v>
      </c>
      <c r="N12" s="371" t="n">
        <v>0</v>
      </c>
      <c r="O12" s="374" t="n">
        <v>0</v>
      </c>
      <c r="P12" s="370">
        <f>IF(M12=" "," ",(1+(M12+N12+O12)/100))</f>
        <v/>
      </c>
      <c r="Q12" s="375">
        <f>IF(L12=" "," ",L12*P12)</f>
        <v/>
      </c>
    </row>
    <row r="13" ht="9.949999999999999" customFormat="1" customHeight="1" s="356">
      <c r="A13" s="376" t="n"/>
      <c r="B13" s="377" t="n"/>
      <c r="C13" s="377" t="n"/>
      <c r="D13" s="378" t="n"/>
      <c r="E13" s="378" t="n"/>
      <c r="F13" s="378" t="n"/>
      <c r="G13" s="379" t="n"/>
      <c r="H13" s="378" t="n"/>
      <c r="I13" s="378" t="n"/>
      <c r="J13" s="378" t="n"/>
      <c r="K13" s="379" t="n"/>
      <c r="L13" s="380" t="n"/>
      <c r="M13" s="381" t="n"/>
      <c r="N13" s="381" t="n"/>
      <c r="O13" s="381" t="n"/>
      <c r="P13" s="382" t="n"/>
      <c r="Q13" s="383">
        <f>SUM(Q9:Q12)</f>
        <v/>
      </c>
    </row>
    <row r="14" ht="9.949999999999999" customFormat="1" customHeight="1" s="356">
      <c r="A14" s="384" t="n"/>
      <c r="B14" s="385" t="n"/>
      <c r="C14" s="385" t="n"/>
      <c r="D14" s="386" t="n"/>
      <c r="E14" s="387" t="n"/>
      <c r="F14" s="388" t="n"/>
      <c r="G14" s="389" t="n"/>
      <c r="H14" s="388" t="n"/>
      <c r="I14" s="390" t="n"/>
      <c r="J14" s="391" t="inlineStr">
        <is>
          <t>Qs=</t>
        </is>
      </c>
      <c r="K14" s="390" t="inlineStr">
        <is>
          <t>S a</t>
        </is>
      </c>
      <c r="L14" s="388" t="inlineStr">
        <is>
          <t>L</t>
        </is>
      </c>
      <c r="M14" s="389" t="inlineStr">
        <is>
          <t>R</t>
        </is>
      </c>
      <c r="N14" s="392" t="inlineStr">
        <is>
          <t>H</t>
        </is>
      </c>
      <c r="O14" s="393" t="inlineStr">
        <is>
          <t>D  T</t>
        </is>
      </c>
      <c r="P14" s="389" t="inlineStr">
        <is>
          <t>Ze</t>
        </is>
      </c>
      <c r="Q14" s="394" t="n"/>
    </row>
    <row r="15" ht="9.949999999999999" customFormat="1" customHeight="1" s="356">
      <c r="A15" s="395" t="inlineStr">
        <is>
          <t xml:space="preserve"> </t>
        </is>
      </c>
      <c r="B15" s="396" t="n"/>
      <c r="C15" s="397" t="n"/>
      <c r="D15" s="397" t="n"/>
      <c r="E15" s="398" t="n"/>
      <c r="F15" s="399" t="n"/>
      <c r="G15" s="400" t="n"/>
      <c r="H15" s="401" t="n"/>
      <c r="I15" s="402" t="n"/>
      <c r="J15" s="403" t="inlineStr">
        <is>
          <t>Qs  =</t>
        </is>
      </c>
      <c r="K15" s="404" t="n">
        <v>2</v>
      </c>
      <c r="L15" s="404">
        <f>(D11+E11)*2*G11</f>
        <v/>
      </c>
      <c r="M15" s="404" t="n">
        <v>0.9</v>
      </c>
      <c r="N15" s="404" t="n">
        <v>0.67</v>
      </c>
      <c r="O15" s="381" t="n">
        <v>26</v>
      </c>
      <c r="P15" s="404" t="n">
        <v>1</v>
      </c>
      <c r="Q15" s="383">
        <f>K15*L15*M15*N15*O15*P15</f>
        <v/>
      </c>
    </row>
    <row r="16" ht="9.949999999999999" customFormat="1" customHeight="1" s="356">
      <c r="A16" s="405" t="n"/>
      <c r="B16" s="406" t="n"/>
      <c r="C16" s="397" t="n"/>
      <c r="D16" s="397" t="n"/>
      <c r="E16" s="378" t="n"/>
      <c r="F16" s="256" t="n"/>
      <c r="G16" s="407" t="n"/>
      <c r="H16" s="397" t="n"/>
      <c r="I16" s="397" t="n"/>
      <c r="J16" s="397" t="n"/>
      <c r="K16" s="407" t="n"/>
      <c r="L16" s="408" t="n"/>
      <c r="M16" s="409" t="inlineStr">
        <is>
          <t xml:space="preserve">   TOPLAM ISI KAYBI =</t>
        </is>
      </c>
      <c r="N16" s="409" t="n"/>
      <c r="O16" s="410" t="n"/>
      <c r="P16" s="409" t="n"/>
      <c r="Q16" s="411">
        <f>Q13+Q15</f>
        <v/>
      </c>
    </row>
    <row r="17" ht="10.35" customFormat="1" customHeight="1" s="356">
      <c r="A17" s="359" t="n"/>
      <c r="B17" s="360" t="n"/>
      <c r="C17" s="360" t="n"/>
      <c r="D17" s="360" t="n"/>
      <c r="E17" s="360" t="n"/>
      <c r="F17" s="361" t="inlineStr">
        <is>
          <t>1</t>
        </is>
      </c>
      <c r="G17" s="362" t="inlineStr">
        <is>
          <t>0</t>
        </is>
      </c>
      <c r="H17" s="360" t="inlineStr">
        <is>
          <t>102</t>
        </is>
      </c>
      <c r="I17" s="363" t="inlineStr">
        <is>
          <t>OFİS 1 ODA</t>
        </is>
      </c>
      <c r="J17" s="364" t="n"/>
      <c r="K17" s="360" t="inlineStr">
        <is>
          <t>20ºC</t>
        </is>
      </c>
      <c r="L17" s="360" t="n"/>
      <c r="M17" s="360" t="n"/>
      <c r="N17" s="360" t="n"/>
      <c r="O17" s="360" t="n"/>
      <c r="P17" s="360" t="n"/>
      <c r="Q17" s="365" t="n"/>
    </row>
    <row r="18" ht="9.949999999999999" customFormat="1" customHeight="1" s="356">
      <c r="A18" s="366" t="inlineStr">
        <is>
          <t>DD</t>
        </is>
      </c>
      <c r="B18" s="367" t="inlineStr">
        <is>
          <t>G</t>
        </is>
      </c>
      <c r="C18" s="368" t="n"/>
      <c r="D18" s="369" t="n">
        <v>2.5</v>
      </c>
      <c r="E18" s="369" t="n">
        <v>2.5</v>
      </c>
      <c r="F18" s="370">
        <f>IF(D18=0," ",D18*E18)</f>
        <v/>
      </c>
      <c r="G18" s="371" t="n">
        <v>1</v>
      </c>
      <c r="H18" s="372">
        <f>F20*G20</f>
        <v/>
      </c>
      <c r="I18" s="370">
        <f>IF(F18=" "," ",F18*G18-H18)</f>
        <v/>
      </c>
      <c r="J18" s="369" t="n">
        <v>0.344</v>
      </c>
      <c r="K18" s="371" t="n">
        <v>26</v>
      </c>
      <c r="L18" s="373">
        <f>IF(I18=" "," ",I18*J18*K18)</f>
        <v/>
      </c>
      <c r="M18" s="374" t="n">
        <v>7</v>
      </c>
      <c r="N18" s="371" t="n">
        <v>0</v>
      </c>
      <c r="O18" s="374" t="n">
        <v>-5</v>
      </c>
      <c r="P18" s="370">
        <f>IF(M18=" "," ",(1+(M18+N18+O18)/100))</f>
        <v/>
      </c>
      <c r="Q18" s="375">
        <f>IF(L18=" "," ",L18*P18)</f>
        <v/>
      </c>
    </row>
    <row r="19" ht="9.949999999999999" customFormat="1" customHeight="1" s="356">
      <c r="A19" s="366" t="inlineStr">
        <is>
          <t>DD25</t>
        </is>
      </c>
      <c r="B19" s="367" t="inlineStr">
        <is>
          <t>G</t>
        </is>
      </c>
      <c r="C19" s="368" t="n"/>
      <c r="D19" s="369">
        <f>D18</f>
        <v/>
      </c>
      <c r="E19" s="369" t="n">
        <v>0.5</v>
      </c>
      <c r="F19" s="370">
        <f>IF(D19=0," ",D19*E19)</f>
        <v/>
      </c>
      <c r="G19" s="371" t="n">
        <v>1</v>
      </c>
      <c r="H19" s="372" t="n"/>
      <c r="I19" s="370">
        <f>IF(F19=" "," ",F19*G19-H19)</f>
        <v/>
      </c>
      <c r="J19" s="369" t="n">
        <v>0.387</v>
      </c>
      <c r="K19" s="371" t="n">
        <v>26</v>
      </c>
      <c r="L19" s="373">
        <f>IF(I19=" "," ",I19*J19*K19)</f>
        <v/>
      </c>
      <c r="M19" s="374" t="n">
        <v>7</v>
      </c>
      <c r="N19" s="371" t="n">
        <v>0</v>
      </c>
      <c r="O19" s="374" t="n">
        <v>-5</v>
      </c>
      <c r="P19" s="370">
        <f>IF(M19=" "," ",(1+(M19+N19+O19)/100))</f>
        <v/>
      </c>
      <c r="Q19" s="375">
        <f>IF(L19=" "," ",L19*P19)</f>
        <v/>
      </c>
    </row>
    <row r="20" ht="9.949999999999999" customFormat="1" customHeight="1" s="356">
      <c r="A20" s="366" t="inlineStr">
        <is>
          <t>ÇP</t>
        </is>
      </c>
      <c r="B20" s="367" t="inlineStr">
        <is>
          <t>G</t>
        </is>
      </c>
      <c r="C20" s="368" t="n"/>
      <c r="D20" s="369" t="n">
        <v>2.2</v>
      </c>
      <c r="E20" s="369" t="n">
        <v>2.7</v>
      </c>
      <c r="F20" s="370">
        <f>IF(D20=0," ",D20*E20)</f>
        <v/>
      </c>
      <c r="G20" s="371" t="n">
        <v>1</v>
      </c>
      <c r="H20" s="372" t="n"/>
      <c r="I20" s="370">
        <f>IF(F20=" "," ",F20*G20-H20)</f>
        <v/>
      </c>
      <c r="J20" s="369" t="n">
        <v>1.8</v>
      </c>
      <c r="K20" s="371" t="n">
        <v>26</v>
      </c>
      <c r="L20" s="373">
        <f>IF(I20=" "," ",I20*J20*K20)</f>
        <v/>
      </c>
      <c r="M20" s="374" t="n">
        <v>7</v>
      </c>
      <c r="N20" s="371" t="n">
        <v>0</v>
      </c>
      <c r="O20" s="374" t="n">
        <v>-5</v>
      </c>
      <c r="P20" s="370">
        <f>IF(M20=" "," ",(1+(M20+N20+O20)/100))</f>
        <v/>
      </c>
      <c r="Q20" s="375">
        <f>IF(L20=" "," ",L20*P20)</f>
        <v/>
      </c>
    </row>
    <row r="21" ht="9.949999999999999" customFormat="1" customHeight="1" s="356">
      <c r="A21" s="366" t="inlineStr">
        <is>
          <t>İDM</t>
        </is>
      </c>
      <c r="B21" s="367" t="inlineStr"/>
      <c r="C21" s="368" t="n"/>
      <c r="D21" s="369" t="n">
        <v>3.5</v>
      </c>
      <c r="E21" s="369" t="n">
        <v>3</v>
      </c>
      <c r="F21" s="370">
        <f>IF(D21=0," ",D21*E21)</f>
        <v/>
      </c>
      <c r="G21" s="371" t="n">
        <v>1</v>
      </c>
      <c r="H21" s="372" t="n"/>
      <c r="I21" s="370">
        <f>IF(F21=" "," ",F21*G21-H21)</f>
        <v/>
      </c>
      <c r="J21" s="369" t="n">
        <v>0.332</v>
      </c>
      <c r="K21" s="371" t="n">
        <v>5</v>
      </c>
      <c r="L21" s="373">
        <f>IF(I21=" "," ",I21*J21*K21)</f>
        <v/>
      </c>
      <c r="M21" s="374" t="n">
        <v>7</v>
      </c>
      <c r="N21" s="371" t="n">
        <v>0</v>
      </c>
      <c r="O21" s="374" t="n">
        <v>0</v>
      </c>
      <c r="P21" s="370">
        <f>IF(M21=" "," ",(1+(M21+N21+O21)/100))</f>
        <v/>
      </c>
      <c r="Q21" s="375">
        <f>IF(L21=" "," ",L21*P21)</f>
        <v/>
      </c>
    </row>
    <row r="22" ht="9.949999999999999" customFormat="1" customHeight="1" s="356">
      <c r="A22" s="376" t="n"/>
      <c r="B22" s="377" t="n"/>
      <c r="C22" s="377" t="n"/>
      <c r="D22" s="378" t="n"/>
      <c r="E22" s="378" t="n"/>
      <c r="F22" s="378" t="n"/>
      <c r="G22" s="379" t="n"/>
      <c r="H22" s="378" t="n"/>
      <c r="I22" s="378" t="n"/>
      <c r="J22" s="378" t="n"/>
      <c r="K22" s="379" t="n"/>
      <c r="L22" s="380" t="n"/>
      <c r="M22" s="381" t="n"/>
      <c r="N22" s="381" t="n"/>
      <c r="O22" s="381" t="n"/>
      <c r="P22" s="382" t="n"/>
      <c r="Q22" s="383">
        <f>SUM(Q18:Q21)</f>
        <v/>
      </c>
    </row>
    <row r="23" ht="9.949999999999999" customFormat="1" customHeight="1" s="356">
      <c r="A23" s="384" t="n"/>
      <c r="B23" s="385" t="n"/>
      <c r="C23" s="385" t="n"/>
      <c r="D23" s="386" t="n"/>
      <c r="E23" s="387" t="n"/>
      <c r="F23" s="388" t="n"/>
      <c r="G23" s="389" t="n"/>
      <c r="H23" s="388" t="n"/>
      <c r="I23" s="390" t="n"/>
      <c r="J23" s="391" t="inlineStr">
        <is>
          <t>Qs=</t>
        </is>
      </c>
      <c r="K23" s="390" t="inlineStr">
        <is>
          <t>S a</t>
        </is>
      </c>
      <c r="L23" s="388" t="inlineStr">
        <is>
          <t>L</t>
        </is>
      </c>
      <c r="M23" s="389" t="inlineStr">
        <is>
          <t>R</t>
        </is>
      </c>
      <c r="N23" s="392" t="inlineStr">
        <is>
          <t>H</t>
        </is>
      </c>
      <c r="O23" s="393" t="inlineStr">
        <is>
          <t>D  T</t>
        </is>
      </c>
      <c r="P23" s="389" t="inlineStr">
        <is>
          <t>Ze</t>
        </is>
      </c>
      <c r="Q23" s="394" t="n"/>
    </row>
    <row r="24" ht="9.949999999999999" customFormat="1" customHeight="1" s="412">
      <c r="A24" s="395" t="inlineStr">
        <is>
          <t xml:space="preserve"> </t>
        </is>
      </c>
      <c r="B24" s="432" t="n"/>
      <c r="C24" s="397" t="n"/>
      <c r="D24" s="397" t="n"/>
      <c r="E24" s="398" t="n"/>
      <c r="F24" s="399" t="n"/>
      <c r="G24" s="400" t="n"/>
      <c r="H24" s="401" t="n"/>
      <c r="I24" s="402" t="n"/>
      <c r="J24" s="403" t="inlineStr">
        <is>
          <t>Qs  =</t>
        </is>
      </c>
      <c r="K24" s="404" t="n">
        <v>2</v>
      </c>
      <c r="L24" s="404">
        <f>(D20+E20)*2*G20</f>
        <v/>
      </c>
      <c r="M24" s="404" t="n">
        <v>0.9</v>
      </c>
      <c r="N24" s="404" t="n">
        <v>0.67</v>
      </c>
      <c r="O24" s="381" t="n">
        <v>26</v>
      </c>
      <c r="P24" s="404" t="n">
        <v>1</v>
      </c>
      <c r="Q24" s="383">
        <f>K24*L24*M24*N24*O24*P24</f>
        <v/>
      </c>
    </row>
    <row r="25" ht="9.949999999999999" customFormat="1" customHeight="1" s="412">
      <c r="A25" s="405" t="n"/>
      <c r="B25" s="406" t="n"/>
      <c r="C25" s="397" t="n"/>
      <c r="D25" s="397" t="n"/>
      <c r="E25" s="378" t="n"/>
      <c r="F25" s="256" t="n"/>
      <c r="G25" s="407" t="n"/>
      <c r="H25" s="397" t="n"/>
      <c r="I25" s="397" t="n"/>
      <c r="J25" s="397" t="n"/>
      <c r="K25" s="407" t="n"/>
      <c r="L25" s="408" t="n"/>
      <c r="M25" s="409" t="inlineStr">
        <is>
          <t xml:space="preserve">   TOPLAM ISI KAYBI =</t>
        </is>
      </c>
      <c r="N25" s="409" t="n"/>
      <c r="O25" s="410" t="n"/>
      <c r="P25" s="409" t="n"/>
      <c r="Q25" s="411">
        <f>Q22+Q24</f>
        <v/>
      </c>
    </row>
    <row r="26" ht="10.35" customFormat="1" customHeight="1" s="351">
      <c r="A26" s="359" t="n"/>
      <c r="B26" s="360" t="n"/>
      <c r="C26" s="360" t="n"/>
      <c r="D26" s="360" t="n"/>
      <c r="E26" s="360" t="n"/>
      <c r="F26" s="361" t="inlineStr">
        <is>
          <t>1</t>
        </is>
      </c>
      <c r="G26" s="362" t="inlineStr">
        <is>
          <t>0</t>
        </is>
      </c>
      <c r="H26" s="360" t="inlineStr">
        <is>
          <t>103</t>
        </is>
      </c>
      <c r="I26" s="363" t="inlineStr">
        <is>
          <t>OFİS 1 ODA</t>
        </is>
      </c>
      <c r="J26" s="364" t="n"/>
      <c r="K26" s="360" t="inlineStr">
        <is>
          <t>20ºC</t>
        </is>
      </c>
      <c r="L26" s="360" t="n"/>
      <c r="M26" s="360" t="n"/>
      <c r="N26" s="360" t="n"/>
      <c r="O26" s="360" t="n"/>
      <c r="P26" s="360" t="n"/>
      <c r="Q26" s="365" t="n"/>
    </row>
    <row r="27" ht="9.949999999999999" customFormat="1" customHeight="1" s="356">
      <c r="A27" s="366" t="inlineStr">
        <is>
          <t>DD</t>
        </is>
      </c>
      <c r="B27" s="367" t="inlineStr">
        <is>
          <t>G</t>
        </is>
      </c>
      <c r="C27" s="368" t="n"/>
      <c r="D27" s="369" t="n">
        <v>4.4</v>
      </c>
      <c r="E27" s="369" t="n">
        <v>2.5</v>
      </c>
      <c r="F27" s="370">
        <f>IF(D27=0," ",D27*E27)</f>
        <v/>
      </c>
      <c r="G27" s="371" t="n">
        <v>1</v>
      </c>
      <c r="H27" s="372">
        <f>F29*G29</f>
        <v/>
      </c>
      <c r="I27" s="370">
        <f>IF(F27=" "," ",F27*G27-H27)</f>
        <v/>
      </c>
      <c r="J27" s="369" t="n">
        <v>0.344</v>
      </c>
      <c r="K27" s="371" t="n">
        <v>26</v>
      </c>
      <c r="L27" s="373">
        <f>IF(I27=" "," ",I27*J27*K27)</f>
        <v/>
      </c>
      <c r="M27" s="374" t="n">
        <v>7</v>
      </c>
      <c r="N27" s="371" t="n">
        <v>0</v>
      </c>
      <c r="O27" s="374" t="n">
        <v>-5</v>
      </c>
      <c r="P27" s="370">
        <f>IF(M27=" "," ",(1+(M27+N27+O27)/100))</f>
        <v/>
      </c>
      <c r="Q27" s="375">
        <f>IF(L27=" "," ",L27*P27)</f>
        <v/>
      </c>
    </row>
    <row r="28" ht="9.949999999999999" customFormat="1" customHeight="1" s="356">
      <c r="A28" s="366" t="inlineStr">
        <is>
          <t>DD25</t>
        </is>
      </c>
      <c r="B28" s="367" t="inlineStr">
        <is>
          <t>G</t>
        </is>
      </c>
      <c r="C28" s="368" t="n"/>
      <c r="D28" s="369">
        <f>D27</f>
        <v/>
      </c>
      <c r="E28" s="369" t="n">
        <v>0.5</v>
      </c>
      <c r="F28" s="370">
        <f>IF(D28=0," ",D28*E28)</f>
        <v/>
      </c>
      <c r="G28" s="371" t="n">
        <v>1</v>
      </c>
      <c r="H28" s="372" t="n"/>
      <c r="I28" s="370">
        <f>IF(F28=" "," ",F28*G28-H28)</f>
        <v/>
      </c>
      <c r="J28" s="369" t="n">
        <v>0.387</v>
      </c>
      <c r="K28" s="371" t="n">
        <v>26</v>
      </c>
      <c r="L28" s="373">
        <f>IF(I28=" "," ",I28*J28*K28)</f>
        <v/>
      </c>
      <c r="M28" s="374" t="n">
        <v>7</v>
      </c>
      <c r="N28" s="371" t="n">
        <v>0</v>
      </c>
      <c r="O28" s="374" t="n">
        <v>-5</v>
      </c>
      <c r="P28" s="370">
        <f>IF(M28=" "," ",(1+(M28+N28+O28)/100))</f>
        <v/>
      </c>
      <c r="Q28" s="375">
        <f>IF(L28=" "," ",L28*P28)</f>
        <v/>
      </c>
    </row>
    <row r="29" ht="9.949999999999999" customFormat="1" customHeight="1" s="356">
      <c r="A29" s="366" t="inlineStr">
        <is>
          <t>ÇP</t>
        </is>
      </c>
      <c r="B29" s="367" t="inlineStr">
        <is>
          <t>G</t>
        </is>
      </c>
      <c r="C29" s="368" t="n"/>
      <c r="D29" s="369" t="n">
        <v>4.15</v>
      </c>
      <c r="E29" s="369" t="n">
        <v>2.7</v>
      </c>
      <c r="F29" s="370">
        <f>IF(D29=0," ",D29*E29)</f>
        <v/>
      </c>
      <c r="G29" s="371" t="n">
        <v>1</v>
      </c>
      <c r="H29" s="372" t="n"/>
      <c r="I29" s="370">
        <f>IF(F29=" "," ",F29*G29-H29)</f>
        <v/>
      </c>
      <c r="J29" s="369" t="n">
        <v>1.8</v>
      </c>
      <c r="K29" s="371" t="n">
        <v>26</v>
      </c>
      <c r="L29" s="373">
        <f>IF(I29=" "," ",I29*J29*K29)</f>
        <v/>
      </c>
      <c r="M29" s="374" t="n">
        <v>7</v>
      </c>
      <c r="N29" s="371" t="n">
        <v>0</v>
      </c>
      <c r="O29" s="374" t="n">
        <v>-5</v>
      </c>
      <c r="P29" s="370">
        <f>IF(M29=" "," ",(1+(M29+N29+O29)/100))</f>
        <v/>
      </c>
      <c r="Q29" s="375">
        <f>IF(L29=" "," ",L29*P29)</f>
        <v/>
      </c>
    </row>
    <row r="30" ht="9.949999999999999" customFormat="1" customHeight="1" s="356">
      <c r="A30" s="376" t="n"/>
      <c r="B30" s="377" t="n"/>
      <c r="C30" s="377" t="n"/>
      <c r="D30" s="378" t="n"/>
      <c r="E30" s="378" t="n"/>
      <c r="F30" s="378" t="n"/>
      <c r="G30" s="379" t="n"/>
      <c r="H30" s="378" t="n"/>
      <c r="I30" s="378" t="n"/>
      <c r="J30" s="378" t="n"/>
      <c r="K30" s="379" t="n"/>
      <c r="L30" s="380" t="n"/>
      <c r="M30" s="381" t="n"/>
      <c r="N30" s="381" t="n"/>
      <c r="O30" s="381" t="n"/>
      <c r="P30" s="382" t="n"/>
      <c r="Q30" s="383">
        <f>SUM(Q27:Q29)</f>
        <v/>
      </c>
    </row>
    <row r="31" ht="9.949999999999999" customFormat="1" customHeight="1" s="356">
      <c r="A31" s="384" t="n"/>
      <c r="B31" s="385" t="n"/>
      <c r="C31" s="385" t="n"/>
      <c r="D31" s="386" t="n"/>
      <c r="E31" s="387" t="n"/>
      <c r="F31" s="388" t="n"/>
      <c r="G31" s="389" t="n"/>
      <c r="H31" s="388" t="n"/>
      <c r="I31" s="390" t="n"/>
      <c r="J31" s="391" t="inlineStr">
        <is>
          <t>Qs=</t>
        </is>
      </c>
      <c r="K31" s="390" t="inlineStr">
        <is>
          <t>S a</t>
        </is>
      </c>
      <c r="L31" s="388" t="inlineStr">
        <is>
          <t>L</t>
        </is>
      </c>
      <c r="M31" s="389" t="inlineStr">
        <is>
          <t>R</t>
        </is>
      </c>
      <c r="N31" s="392" t="inlineStr">
        <is>
          <t>H</t>
        </is>
      </c>
      <c r="O31" s="393" t="inlineStr">
        <is>
          <t>D  T</t>
        </is>
      </c>
      <c r="P31" s="389" t="inlineStr">
        <is>
          <t>Ze</t>
        </is>
      </c>
      <c r="Q31" s="394" t="n"/>
    </row>
    <row r="32" ht="9.949999999999999" customFormat="1" customHeight="1" s="356">
      <c r="A32" s="395" t="inlineStr">
        <is>
          <t xml:space="preserve"> </t>
        </is>
      </c>
      <c r="B32" s="396" t="n"/>
      <c r="C32" s="397" t="n"/>
      <c r="D32" s="397" t="n"/>
      <c r="E32" s="398" t="n"/>
      <c r="F32" s="399" t="n"/>
      <c r="G32" s="400" t="n"/>
      <c r="H32" s="401" t="n"/>
      <c r="I32" s="402" t="n"/>
      <c r="J32" s="403" t="inlineStr">
        <is>
          <t>Qs  =</t>
        </is>
      </c>
      <c r="K32" s="404" t="n">
        <v>2</v>
      </c>
      <c r="L32" s="404">
        <f>(D29+E29)*2*G29</f>
        <v/>
      </c>
      <c r="M32" s="404" t="n">
        <v>0.9</v>
      </c>
      <c r="N32" s="404" t="n">
        <v>0.67</v>
      </c>
      <c r="O32" s="381" t="n">
        <v>26</v>
      </c>
      <c r="P32" s="404" t="n">
        <v>1</v>
      </c>
      <c r="Q32" s="383">
        <f>K32*L32*M32*N32*O32*P32</f>
        <v/>
      </c>
    </row>
    <row r="33" ht="9.949999999999999" customFormat="1" customHeight="1" s="356">
      <c r="A33" s="405" t="n"/>
      <c r="B33" s="406" t="n"/>
      <c r="C33" s="397" t="n"/>
      <c r="D33" s="397" t="n"/>
      <c r="E33" s="378" t="n"/>
      <c r="F33" s="256" t="n"/>
      <c r="G33" s="407" t="n"/>
      <c r="H33" s="397" t="n"/>
      <c r="I33" s="397" t="n"/>
      <c r="J33" s="397" t="n"/>
      <c r="K33" s="407" t="n"/>
      <c r="L33" s="408" t="n"/>
      <c r="M33" s="409" t="inlineStr">
        <is>
          <t xml:space="preserve">   TOPLAM ISI KAYBI =</t>
        </is>
      </c>
      <c r="N33" s="409" t="n"/>
      <c r="O33" s="410" t="n"/>
      <c r="P33" s="409" t="n"/>
      <c r="Q33" s="411">
        <f>Q30+Q32</f>
        <v/>
      </c>
    </row>
    <row r="34" ht="10.35" customFormat="1" customHeight="1" s="356">
      <c r="A34" s="359" t="n"/>
      <c r="B34" s="360" t="n"/>
      <c r="C34" s="360" t="n"/>
      <c r="D34" s="360" t="n"/>
      <c r="E34" s="360" t="n"/>
      <c r="F34" s="361" t="inlineStr">
        <is>
          <t>1</t>
        </is>
      </c>
      <c r="G34" s="362" t="inlineStr">
        <is>
          <t>0</t>
        </is>
      </c>
      <c r="H34" s="360" t="inlineStr">
        <is>
          <t>104</t>
        </is>
      </c>
      <c r="I34" s="363" t="inlineStr">
        <is>
          <t>OFİS 1 MUTFAK</t>
        </is>
      </c>
      <c r="J34" s="364" t="n"/>
      <c r="K34" s="360" t="inlineStr">
        <is>
          <t>20ºC</t>
        </is>
      </c>
      <c r="L34" s="360" t="n"/>
      <c r="M34" s="360" t="n"/>
      <c r="N34" s="360" t="n"/>
      <c r="O34" s="360" t="n"/>
      <c r="P34" s="360" t="n"/>
      <c r="Q34" s="365" t="n"/>
    </row>
    <row r="35" ht="9.949999999999999" customFormat="1" customHeight="1" s="356">
      <c r="A35" s="366" t="inlineStr">
        <is>
          <t>DD</t>
        </is>
      </c>
      <c r="B35" s="367" t="inlineStr">
        <is>
          <t>G</t>
        </is>
      </c>
      <c r="C35" s="368" t="n"/>
      <c r="D35" s="369" t="n">
        <v>0.9</v>
      </c>
      <c r="E35" s="369" t="n">
        <v>2.5</v>
      </c>
      <c r="F35" s="370">
        <f>IF(D35=0," ",D35*E35)</f>
        <v/>
      </c>
      <c r="G35" s="371" t="n">
        <v>1</v>
      </c>
      <c r="H35" s="372">
        <f>F37*G37</f>
        <v/>
      </c>
      <c r="I35" s="370">
        <f>IF(F35=" "," ",F35*G35-H35)</f>
        <v/>
      </c>
      <c r="J35" s="369" t="n">
        <v>0.344</v>
      </c>
      <c r="K35" s="371" t="n">
        <v>26</v>
      </c>
      <c r="L35" s="373">
        <f>IF(I35=" "," ",I35*J35*K35)</f>
        <v/>
      </c>
      <c r="M35" s="374" t="n">
        <v>7</v>
      </c>
      <c r="N35" s="371" t="n">
        <v>0</v>
      </c>
      <c r="O35" s="374" t="n">
        <v>-5</v>
      </c>
      <c r="P35" s="370">
        <f>IF(M35=" "," ",(1+(M35+N35+O35)/100))</f>
        <v/>
      </c>
      <c r="Q35" s="375">
        <f>IF(L35=" "," ",L35*P35)</f>
        <v/>
      </c>
    </row>
    <row r="36" ht="9.949999999999999" customFormat="1" customHeight="1" s="412">
      <c r="A36" s="366" t="inlineStr">
        <is>
          <t>DD25</t>
        </is>
      </c>
      <c r="B36" s="367" t="inlineStr">
        <is>
          <t>G</t>
        </is>
      </c>
      <c r="C36" s="368" t="n"/>
      <c r="D36" s="369">
        <f>D35</f>
        <v/>
      </c>
      <c r="E36" s="369" t="n">
        <v>0.5</v>
      </c>
      <c r="F36" s="370">
        <f>IF(D36=0," ",D36*E36)</f>
        <v/>
      </c>
      <c r="G36" s="371" t="n">
        <v>1</v>
      </c>
      <c r="H36" s="372" t="n"/>
      <c r="I36" s="370">
        <f>IF(F36=" "," ",F36*G36-H36)</f>
        <v/>
      </c>
      <c r="J36" s="369" t="n">
        <v>0.387</v>
      </c>
      <c r="K36" s="371" t="n">
        <v>26</v>
      </c>
      <c r="L36" s="373">
        <f>IF(I36=" "," ",I36*J36*K36)</f>
        <v/>
      </c>
      <c r="M36" s="374" t="n">
        <v>7</v>
      </c>
      <c r="N36" s="371" t="n">
        <v>0</v>
      </c>
      <c r="O36" s="374" t="n">
        <v>-5</v>
      </c>
      <c r="P36" s="370">
        <f>IF(M36=" "," ",(1+(M36+N36+O36)/100))</f>
        <v/>
      </c>
      <c r="Q36" s="375">
        <f>IF(L36=" "," ",L36*P36)</f>
        <v/>
      </c>
    </row>
    <row r="37" ht="9.949999999999999" customFormat="1" customHeight="1" s="412">
      <c r="A37" s="366" t="inlineStr">
        <is>
          <t>ÇP</t>
        </is>
      </c>
      <c r="B37" s="367" t="inlineStr">
        <is>
          <t>G</t>
        </is>
      </c>
      <c r="C37" s="368" t="n"/>
      <c r="D37" s="369" t="n">
        <v>0.8</v>
      </c>
      <c r="E37" s="369" t="n">
        <v>1.4</v>
      </c>
      <c r="F37" s="370">
        <f>IF(D37=0," ",D37*E37)</f>
        <v/>
      </c>
      <c r="G37" s="371" t="n">
        <v>1</v>
      </c>
      <c r="H37" s="372" t="n"/>
      <c r="I37" s="370">
        <f>IF(F37=" "," ",F37*G37-H37)</f>
        <v/>
      </c>
      <c r="J37" s="369" t="n">
        <v>1.8</v>
      </c>
      <c r="K37" s="371" t="n">
        <v>26</v>
      </c>
      <c r="L37" s="373">
        <f>IF(I37=" "," ",I37*J37*K37)</f>
        <v/>
      </c>
      <c r="M37" s="374" t="n">
        <v>7</v>
      </c>
      <c r="N37" s="371" t="n">
        <v>0</v>
      </c>
      <c r="O37" s="374" t="n">
        <v>-5</v>
      </c>
      <c r="P37" s="370">
        <f>IF(M37=" "," ",(1+(M37+N37+O37)/100))</f>
        <v/>
      </c>
      <c r="Q37" s="375">
        <f>IF(L37=" "," ",L37*P37)</f>
        <v/>
      </c>
    </row>
    <row r="38" ht="9.949999999999999" customFormat="1" customHeight="1" s="351">
      <c r="A38" s="376" t="n"/>
      <c r="B38" s="377" t="n"/>
      <c r="C38" s="377" t="n"/>
      <c r="D38" s="378" t="n"/>
      <c r="E38" s="378" t="n"/>
      <c r="F38" s="378" t="n"/>
      <c r="G38" s="379" t="n"/>
      <c r="H38" s="378" t="n"/>
      <c r="I38" s="378" t="n"/>
      <c r="J38" s="378" t="n"/>
      <c r="K38" s="379" t="n"/>
      <c r="L38" s="380" t="n"/>
      <c r="M38" s="381" t="n"/>
      <c r="N38" s="381" t="n"/>
      <c r="O38" s="381" t="n"/>
      <c r="P38" s="382" t="n"/>
      <c r="Q38" s="383">
        <f>SUM(Q35:Q37)</f>
        <v/>
      </c>
    </row>
    <row r="39" ht="9.949999999999999" customFormat="1" customHeight="1" s="356">
      <c r="A39" s="384" t="n"/>
      <c r="B39" s="385" t="n"/>
      <c r="C39" s="385" t="n"/>
      <c r="D39" s="386" t="n"/>
      <c r="E39" s="387" t="n"/>
      <c r="F39" s="388" t="n"/>
      <c r="G39" s="389" t="n"/>
      <c r="H39" s="388" t="n"/>
      <c r="I39" s="390" t="n"/>
      <c r="J39" s="391" t="inlineStr">
        <is>
          <t>Qs=</t>
        </is>
      </c>
      <c r="K39" s="390" t="inlineStr">
        <is>
          <t>S a</t>
        </is>
      </c>
      <c r="L39" s="388" t="inlineStr">
        <is>
          <t>L</t>
        </is>
      </c>
      <c r="M39" s="389" t="inlineStr">
        <is>
          <t>R</t>
        </is>
      </c>
      <c r="N39" s="392" t="inlineStr">
        <is>
          <t>H</t>
        </is>
      </c>
      <c r="O39" s="393" t="inlineStr">
        <is>
          <t>D  T</t>
        </is>
      </c>
      <c r="P39" s="389" t="inlineStr">
        <is>
          <t>Ze</t>
        </is>
      </c>
      <c r="Q39" s="394" t="n"/>
    </row>
    <row r="40" ht="9.949999999999999" customFormat="1" customHeight="1" s="356">
      <c r="A40" s="395" t="inlineStr">
        <is>
          <t xml:space="preserve"> </t>
        </is>
      </c>
      <c r="B40" s="396" t="n"/>
      <c r="C40" s="397" t="n"/>
      <c r="D40" s="397" t="n"/>
      <c r="E40" s="398" t="n"/>
      <c r="F40" s="399" t="n"/>
      <c r="G40" s="400" t="n"/>
      <c r="H40" s="401" t="n"/>
      <c r="I40" s="402" t="n"/>
      <c r="J40" s="403" t="inlineStr">
        <is>
          <t>Qs  =</t>
        </is>
      </c>
      <c r="K40" s="404" t="n">
        <v>2</v>
      </c>
      <c r="L40" s="404">
        <f>(D37+E37)*2*G37</f>
        <v/>
      </c>
      <c r="M40" s="404" t="n">
        <v>0.9</v>
      </c>
      <c r="N40" s="404" t="n">
        <v>0.67</v>
      </c>
      <c r="O40" s="381" t="n">
        <v>26</v>
      </c>
      <c r="P40" s="404" t="n">
        <v>1</v>
      </c>
      <c r="Q40" s="383">
        <f>K40*L40*M40*N40*O40*P40</f>
        <v/>
      </c>
    </row>
    <row r="41" ht="9.949999999999999" customFormat="1" customHeight="1" s="356">
      <c r="A41" s="405" t="n"/>
      <c r="B41" s="406" t="n"/>
      <c r="C41" s="397" t="n"/>
      <c r="D41" s="397" t="n"/>
      <c r="E41" s="378" t="n"/>
      <c r="F41" s="256" t="n"/>
      <c r="G41" s="407" t="n"/>
      <c r="H41" s="397" t="n"/>
      <c r="I41" s="397" t="n"/>
      <c r="J41" s="397" t="n"/>
      <c r="K41" s="407" t="n"/>
      <c r="L41" s="408" t="n"/>
      <c r="M41" s="409" t="inlineStr">
        <is>
          <t xml:space="preserve">   TOPLAM ISI KAYBI =</t>
        </is>
      </c>
      <c r="N41" s="409" t="n"/>
      <c r="O41" s="410" t="n"/>
      <c r="P41" s="409" t="n"/>
      <c r="Q41" s="411">
        <f>Q38+Q40</f>
        <v/>
      </c>
    </row>
    <row r="42" ht="10.35" customFormat="1" customHeight="1" s="356">
      <c r="A42" s="359" t="n"/>
      <c r="B42" s="360" t="n"/>
      <c r="C42" s="360" t="n"/>
      <c r="D42" s="360" t="n"/>
      <c r="E42" s="360" t="n"/>
      <c r="F42" s="361" t="inlineStr">
        <is>
          <t>1</t>
        </is>
      </c>
      <c r="G42" s="362" t="inlineStr">
        <is>
          <t>0</t>
        </is>
      </c>
      <c r="H42" s="360" t="inlineStr">
        <is>
          <t>105</t>
        </is>
      </c>
      <c r="I42" s="363" t="inlineStr">
        <is>
          <t>OFİS 1 LVB.WC</t>
        </is>
      </c>
      <c r="J42" s="364" t="n"/>
      <c r="K42" s="360" t="inlineStr">
        <is>
          <t>24ºC</t>
        </is>
      </c>
      <c r="L42" s="360" t="n"/>
      <c r="M42" s="360" t="n"/>
      <c r="N42" s="360" t="n"/>
      <c r="O42" s="360" t="n"/>
      <c r="P42" s="360" t="n"/>
      <c r="Q42" s="365" t="n"/>
    </row>
    <row r="43" ht="9.949999999999999" customFormat="1" customHeight="1" s="356">
      <c r="A43" s="366" t="inlineStr">
        <is>
          <t>DD</t>
        </is>
      </c>
      <c r="B43" s="367" t="inlineStr">
        <is>
          <t>G</t>
        </is>
      </c>
      <c r="C43" s="368" t="n"/>
      <c r="D43" s="369" t="n">
        <v>1.2</v>
      </c>
      <c r="E43" s="369" t="n">
        <v>2.5</v>
      </c>
      <c r="F43" s="370">
        <f>IF(D43=0," ",D43*E43)</f>
        <v/>
      </c>
      <c r="G43" s="371" t="n">
        <v>1</v>
      </c>
      <c r="H43" s="372">
        <f>F45*G45</f>
        <v/>
      </c>
      <c r="I43" s="370">
        <f>IF(F43=" "," ",F43*G43-H43)</f>
        <v/>
      </c>
      <c r="J43" s="369" t="n">
        <v>0.344</v>
      </c>
      <c r="K43" s="371" t="n">
        <v>30</v>
      </c>
      <c r="L43" s="373">
        <f>IF(I43=" "," ",I43*J43*K43)</f>
        <v/>
      </c>
      <c r="M43" s="374" t="n">
        <v>7</v>
      </c>
      <c r="N43" s="371" t="n">
        <v>0</v>
      </c>
      <c r="O43" s="374" t="n">
        <v>-5</v>
      </c>
      <c r="P43" s="370">
        <f>IF(M43=" "," ",(1+(M43+N43+O43)/100))</f>
        <v/>
      </c>
      <c r="Q43" s="375">
        <f>IF(L43=" "," ",L43*P43)</f>
        <v/>
      </c>
    </row>
    <row r="44" ht="9.949999999999999" customFormat="1" customHeight="1" s="356">
      <c r="A44" s="366" t="inlineStr">
        <is>
          <t>DD25</t>
        </is>
      </c>
      <c r="B44" s="367" t="inlineStr">
        <is>
          <t>G</t>
        </is>
      </c>
      <c r="C44" s="368" t="n"/>
      <c r="D44" s="369">
        <f>D43</f>
        <v/>
      </c>
      <c r="E44" s="369" t="n">
        <v>0.5</v>
      </c>
      <c r="F44" s="370">
        <f>IF(D44=0," ",D44*E44)</f>
        <v/>
      </c>
      <c r="G44" s="371" t="n">
        <v>1</v>
      </c>
      <c r="H44" s="372" t="n"/>
      <c r="I44" s="370">
        <f>IF(F44=" "," ",F44*G44-H44)</f>
        <v/>
      </c>
      <c r="J44" s="369" t="n">
        <v>0.387</v>
      </c>
      <c r="K44" s="371" t="n">
        <v>30</v>
      </c>
      <c r="L44" s="373">
        <f>IF(I44=" "," ",I44*J44*K44)</f>
        <v/>
      </c>
      <c r="M44" s="374" t="n">
        <v>7</v>
      </c>
      <c r="N44" s="371" t="n">
        <v>0</v>
      </c>
      <c r="O44" s="374" t="n">
        <v>-5</v>
      </c>
      <c r="P44" s="370">
        <f>IF(M44=" "," ",(1+(M44+N44+O44)/100))</f>
        <v/>
      </c>
      <c r="Q44" s="375">
        <f>IF(L44=" "," ",L44*P44)</f>
        <v/>
      </c>
    </row>
    <row r="45" ht="9.949999999999999" customFormat="1" customHeight="1" s="356">
      <c r="A45" s="366" t="inlineStr">
        <is>
          <t>ÇP</t>
        </is>
      </c>
      <c r="B45" s="367" t="inlineStr">
        <is>
          <t>G</t>
        </is>
      </c>
      <c r="C45" s="368" t="n"/>
      <c r="D45" s="369" t="n">
        <v>0.5</v>
      </c>
      <c r="E45" s="369" t="n">
        <v>0.5</v>
      </c>
      <c r="F45" s="370">
        <f>IF(D45=0," ",D45*E45)</f>
        <v/>
      </c>
      <c r="G45" s="371" t="n">
        <v>1</v>
      </c>
      <c r="H45" s="372" t="n"/>
      <c r="I45" s="370">
        <f>IF(F45=" "," ",F45*G45-H45)</f>
        <v/>
      </c>
      <c r="J45" s="369" t="n">
        <v>1.8</v>
      </c>
      <c r="K45" s="371" t="n">
        <v>30</v>
      </c>
      <c r="L45" s="373">
        <f>IF(I45=" "," ",I45*J45*K45)</f>
        <v/>
      </c>
      <c r="M45" s="374" t="n">
        <v>7</v>
      </c>
      <c r="N45" s="371" t="n">
        <v>0</v>
      </c>
      <c r="O45" s="374" t="n">
        <v>-5</v>
      </c>
      <c r="P45" s="370">
        <f>IF(M45=" "," ",(1+(M45+N45+O45)/100))</f>
        <v/>
      </c>
      <c r="Q45" s="375">
        <f>IF(L45=" "," ",L45*P45)</f>
        <v/>
      </c>
    </row>
    <row r="46" ht="9.949999999999999" customFormat="1" customHeight="1" s="356">
      <c r="A46" s="366" t="inlineStr">
        <is>
          <t>İDA</t>
        </is>
      </c>
      <c r="B46" s="367" t="inlineStr"/>
      <c r="C46" s="368" t="n"/>
      <c r="D46" s="369" t="n">
        <v>1.9</v>
      </c>
      <c r="E46" s="369" t="n">
        <v>3</v>
      </c>
      <c r="F46" s="370">
        <f>IF(D46=0," ",D46*E46)</f>
        <v/>
      </c>
      <c r="G46" s="371" t="n">
        <v>1</v>
      </c>
      <c r="H46" s="372" t="n"/>
      <c r="I46" s="370">
        <f>IF(F46=" "," ",F46*G46-H46)</f>
        <v/>
      </c>
      <c r="J46" s="369" t="n">
        <v>0.375</v>
      </c>
      <c r="K46" s="371" t="n">
        <v>19</v>
      </c>
      <c r="L46" s="373">
        <f>IF(I46=" "," ",I46*J46*K46)</f>
        <v/>
      </c>
      <c r="M46" s="374" t="n">
        <v>7</v>
      </c>
      <c r="N46" s="371" t="n">
        <v>0</v>
      </c>
      <c r="O46" s="374" t="n">
        <v>0</v>
      </c>
      <c r="P46" s="370">
        <f>IF(M46=" "," ",(1+(M46+N46+O46)/100))</f>
        <v/>
      </c>
      <c r="Q46" s="375">
        <f>IF(L46=" "," ",L46*P46)</f>
        <v/>
      </c>
    </row>
    <row r="47" ht="9.949999999999999" customFormat="1" customHeight="1" s="356">
      <c r="A47" s="376" t="n"/>
      <c r="B47" s="377" t="n"/>
      <c r="C47" s="377" t="n"/>
      <c r="D47" s="378" t="n"/>
      <c r="E47" s="378" t="n"/>
      <c r="F47" s="378" t="n"/>
      <c r="G47" s="379" t="n"/>
      <c r="H47" s="378" t="n"/>
      <c r="I47" s="378" t="n"/>
      <c r="J47" s="378" t="n"/>
      <c r="K47" s="379" t="n"/>
      <c r="L47" s="380" t="n"/>
      <c r="M47" s="381" t="n"/>
      <c r="N47" s="381" t="n"/>
      <c r="O47" s="381" t="n"/>
      <c r="P47" s="382" t="n"/>
      <c r="Q47" s="383">
        <f>SUM(Q43:Q46)</f>
        <v/>
      </c>
    </row>
    <row r="48" ht="9.949999999999999" customFormat="1" customHeight="1" s="412">
      <c r="A48" s="384" t="n"/>
      <c r="B48" s="385" t="n"/>
      <c r="C48" s="385" t="n"/>
      <c r="D48" s="386" t="n"/>
      <c r="E48" s="387" t="n"/>
      <c r="F48" s="388" t="n"/>
      <c r="G48" s="389" t="n"/>
      <c r="H48" s="388" t="n"/>
      <c r="I48" s="390" t="n"/>
      <c r="J48" s="391" t="inlineStr">
        <is>
          <t>Qs=</t>
        </is>
      </c>
      <c r="K48" s="390" t="inlineStr">
        <is>
          <t>S a</t>
        </is>
      </c>
      <c r="L48" s="388" t="inlineStr">
        <is>
          <t>L</t>
        </is>
      </c>
      <c r="M48" s="389" t="inlineStr">
        <is>
          <t>R</t>
        </is>
      </c>
      <c r="N48" s="392" t="inlineStr">
        <is>
          <t>H</t>
        </is>
      </c>
      <c r="O48" s="393" t="inlineStr">
        <is>
          <t>D  T</t>
        </is>
      </c>
      <c r="P48" s="389" t="inlineStr">
        <is>
          <t>Ze</t>
        </is>
      </c>
      <c r="Q48" s="394" t="n"/>
    </row>
    <row r="49" ht="9.949999999999999" customFormat="1" customHeight="1" s="412">
      <c r="A49" s="395" t="inlineStr">
        <is>
          <t xml:space="preserve"> </t>
        </is>
      </c>
      <c r="C49" s="397" t="n"/>
      <c r="D49" s="397" t="n"/>
      <c r="E49" s="398" t="n"/>
      <c r="F49" s="399" t="n"/>
      <c r="G49" s="400" t="n"/>
      <c r="H49" s="401" t="n"/>
      <c r="I49" s="402" t="n"/>
      <c r="J49" s="403" t="inlineStr">
        <is>
          <t>Qs  =</t>
        </is>
      </c>
      <c r="K49" s="404" t="n">
        <v>2</v>
      </c>
      <c r="L49" s="404">
        <f>(D45+E45)*2*G45</f>
        <v/>
      </c>
      <c r="M49" s="404" t="n">
        <v>0.9</v>
      </c>
      <c r="N49" s="404" t="n">
        <v>0.67</v>
      </c>
      <c r="O49" s="381" t="n">
        <v>30</v>
      </c>
      <c r="P49" s="404" t="n">
        <v>1</v>
      </c>
      <c r="Q49" s="383">
        <f>K49*L49*M49*N49*O49*P49</f>
        <v/>
      </c>
    </row>
    <row r="50" ht="9.949999999999999" customFormat="1" customHeight="1" s="351">
      <c r="A50" s="405" t="n"/>
      <c r="B50" s="406" t="n"/>
      <c r="C50" s="397" t="n"/>
      <c r="D50" s="397" t="n"/>
      <c r="E50" s="378" t="n"/>
      <c r="F50" s="256" t="n"/>
      <c r="G50" s="407" t="n"/>
      <c r="H50" s="397" t="n"/>
      <c r="I50" s="397" t="n"/>
      <c r="J50" s="397" t="n"/>
      <c r="K50" s="407" t="n"/>
      <c r="L50" s="408" t="n"/>
      <c r="M50" s="409" t="inlineStr">
        <is>
          <t xml:space="preserve">   TOPLAM ISI KAYBI =</t>
        </is>
      </c>
      <c r="N50" s="409" t="n"/>
      <c r="O50" s="410" t="n"/>
      <c r="P50" s="409" t="n"/>
      <c r="Q50" s="411">
        <f>Q47+Q49</f>
        <v/>
      </c>
    </row>
    <row r="51" ht="10.35" customFormat="1" customHeight="1" s="356">
      <c r="A51" s="359" t="n"/>
      <c r="B51" s="360" t="n"/>
      <c r="C51" s="360" t="n"/>
      <c r="D51" s="360" t="n"/>
      <c r="E51" s="360" t="n"/>
      <c r="F51" s="361" t="inlineStr">
        <is>
          <t>1</t>
        </is>
      </c>
      <c r="G51" s="362" t="inlineStr">
        <is>
          <t>0</t>
        </is>
      </c>
      <c r="H51" s="360" t="inlineStr">
        <is>
          <t>109</t>
        </is>
      </c>
      <c r="I51" s="363" t="inlineStr">
        <is>
          <t>OFİS 1 HOL</t>
        </is>
      </c>
      <c r="J51" s="364" t="n"/>
      <c r="K51" s="360" t="inlineStr">
        <is>
          <t>18ºC</t>
        </is>
      </c>
      <c r="L51" s="360" t="n"/>
      <c r="M51" s="360" t="n"/>
      <c r="N51" s="360" t="n"/>
      <c r="O51" s="360" t="n"/>
      <c r="P51" s="360" t="n"/>
      <c r="Q51" s="365" t="n"/>
    </row>
    <row r="52" ht="9.949999999999999" customFormat="1" customHeight="1" s="356">
      <c r="A52" s="366" t="inlineStr">
        <is>
          <t>İDM</t>
        </is>
      </c>
      <c r="B52" s="367" t="inlineStr"/>
      <c r="C52" s="368" t="n"/>
      <c r="D52" s="369" t="n">
        <v>1.3</v>
      </c>
      <c r="E52" s="369" t="n">
        <v>3</v>
      </c>
      <c r="F52" s="370">
        <f>IF(D52=0," ",D52*E52)</f>
        <v/>
      </c>
      <c r="G52" s="371" t="n">
        <v>1</v>
      </c>
      <c r="H52" s="372">
        <f>F53*G53</f>
        <v/>
      </c>
      <c r="I52" s="370">
        <f>IF(F52=" "," ",F52*G52-H52)</f>
        <v/>
      </c>
      <c r="J52" s="369" t="n">
        <v>0.332</v>
      </c>
      <c r="K52" s="371" t="n">
        <v>8</v>
      </c>
      <c r="L52" s="373">
        <f>IF(I52=" "," ",I52*J52*K52)</f>
        <v/>
      </c>
      <c r="M52" s="374" t="n">
        <v>7</v>
      </c>
      <c r="N52" s="371" t="n">
        <v>0</v>
      </c>
      <c r="O52" s="374" t="n">
        <v>0</v>
      </c>
      <c r="P52" s="370">
        <f>IF(M52=" "," ",(1+(M52+N52+O52)/100))</f>
        <v/>
      </c>
      <c r="Q52" s="375">
        <f>IF(L52=" "," ",L52*P52)</f>
        <v/>
      </c>
    </row>
    <row r="53" ht="9.949999999999999" customFormat="1" customHeight="1" s="356">
      <c r="A53" s="366" t="inlineStr">
        <is>
          <t>DK</t>
        </is>
      </c>
      <c r="B53" s="367" t="inlineStr"/>
      <c r="C53" s="368" t="n"/>
      <c r="D53" s="369" t="n">
        <v>1</v>
      </c>
      <c r="E53" s="369" t="n">
        <v>2.2</v>
      </c>
      <c r="F53" s="370">
        <f>IF(D53=0," ",D53*E53)</f>
        <v/>
      </c>
      <c r="G53" s="371" t="n">
        <v>1</v>
      </c>
      <c r="H53" s="372" t="n"/>
      <c r="I53" s="370">
        <f>IF(F53=" "," ",F53*G53-H53)</f>
        <v/>
      </c>
      <c r="J53" s="369" t="n">
        <v>2</v>
      </c>
      <c r="K53" s="371" t="n">
        <v>8</v>
      </c>
      <c r="L53" s="373">
        <f>IF(I53=" "," ",I53*J53*K53)</f>
        <v/>
      </c>
      <c r="M53" s="374" t="n">
        <v>7</v>
      </c>
      <c r="N53" s="371" t="n">
        <v>0</v>
      </c>
      <c r="O53" s="374" t="n">
        <v>0</v>
      </c>
      <c r="P53" s="370">
        <f>IF(M53=" "," ",(1+(M53+N53+O53)/100))</f>
        <v/>
      </c>
      <c r="Q53" s="375">
        <f>IF(L53=" "," ",L53*P53)</f>
        <v/>
      </c>
    </row>
    <row r="54" ht="9.949999999999999" customFormat="1" customHeight="1" s="356">
      <c r="A54" s="376" t="n"/>
      <c r="B54" s="377" t="n"/>
      <c r="C54" s="377" t="n"/>
      <c r="D54" s="378" t="n"/>
      <c r="E54" s="378" t="n"/>
      <c r="F54" s="378" t="n"/>
      <c r="G54" s="379" t="n"/>
      <c r="H54" s="378" t="n"/>
      <c r="I54" s="378" t="n"/>
      <c r="J54" s="378" t="n"/>
      <c r="K54" s="379" t="n"/>
      <c r="L54" s="380" t="n"/>
      <c r="M54" s="381" t="n"/>
      <c r="N54" s="381" t="n"/>
      <c r="O54" s="381" t="n"/>
      <c r="P54" s="382" t="n"/>
      <c r="Q54" s="383">
        <f>SUM(Q52:Q53)</f>
        <v/>
      </c>
    </row>
    <row r="55" ht="9.949999999999999" customFormat="1" customHeight="1" s="356">
      <c r="A55" s="384" t="n"/>
      <c r="B55" s="385" t="n"/>
      <c r="C55" s="385" t="n"/>
      <c r="D55" s="386" t="n"/>
      <c r="E55" s="387" t="n"/>
      <c r="F55" s="388" t="n"/>
      <c r="G55" s="389" t="n"/>
      <c r="H55" s="388" t="n"/>
      <c r="I55" s="390" t="n"/>
      <c r="J55" s="391" t="inlineStr">
        <is>
          <t>Qs=</t>
        </is>
      </c>
      <c r="K55" s="390" t="inlineStr">
        <is>
          <t>S a</t>
        </is>
      </c>
      <c r="L55" s="388" t="inlineStr">
        <is>
          <t>L</t>
        </is>
      </c>
      <c r="M55" s="389" t="inlineStr">
        <is>
          <t>R</t>
        </is>
      </c>
      <c r="N55" s="392" t="inlineStr">
        <is>
          <t>H</t>
        </is>
      </c>
      <c r="O55" s="393" t="inlineStr">
        <is>
          <t>D  T</t>
        </is>
      </c>
      <c r="P55" s="389" t="inlineStr">
        <is>
          <t>Ze</t>
        </is>
      </c>
      <c r="Q55" s="394" t="n"/>
    </row>
    <row r="56" ht="9.949999999999999" customFormat="1" customHeight="1" s="356">
      <c r="A56" s="395" t="inlineStr">
        <is>
          <t xml:space="preserve"> </t>
        </is>
      </c>
      <c r="B56" s="396" t="n"/>
      <c r="C56" s="397" t="n"/>
      <c r="D56" s="397" t="n"/>
      <c r="E56" s="398" t="n"/>
      <c r="F56" s="399" t="n"/>
      <c r="G56" s="400" t="n"/>
      <c r="H56" s="401" t="n"/>
      <c r="I56" s="402" t="n"/>
      <c r="J56" s="403" t="inlineStr">
        <is>
          <t>Qs  =</t>
        </is>
      </c>
      <c r="K56" s="404" t="n">
        <v>2</v>
      </c>
      <c r="L56" s="404" t="n">
        <v>0</v>
      </c>
      <c r="M56" s="404" t="n">
        <v>0.9</v>
      </c>
      <c r="N56" s="404" t="n">
        <v>0.67</v>
      </c>
      <c r="O56" s="381" t="n">
        <v>24</v>
      </c>
      <c r="P56" s="404" t="n">
        <v>1</v>
      </c>
      <c r="Q56" s="383">
        <f>K56*L56*M56*N56*O56*P56</f>
        <v/>
      </c>
    </row>
    <row r="57" ht="9.949999999999999" customFormat="1" customHeight="1" s="356">
      <c r="A57" s="405" t="n"/>
      <c r="B57" s="406" t="n"/>
      <c r="C57" s="397" t="n"/>
      <c r="D57" s="397" t="n"/>
      <c r="E57" s="378" t="n"/>
      <c r="F57" s="256" t="n"/>
      <c r="G57" s="407" t="n"/>
      <c r="H57" s="397" t="n"/>
      <c r="I57" s="397" t="n"/>
      <c r="J57" s="397" t="n"/>
      <c r="K57" s="407" t="n"/>
      <c r="L57" s="408" t="n"/>
      <c r="M57" s="409" t="inlineStr">
        <is>
          <t xml:space="preserve">   TOPLAM ISI KAYBI =</t>
        </is>
      </c>
      <c r="N57" s="409" t="n"/>
      <c r="O57" s="410" t="n"/>
      <c r="P57" s="409" t="n"/>
      <c r="Q57" s="411">
        <f>Q54+Q56</f>
        <v/>
      </c>
    </row>
    <row r="58" ht="10.35" customFormat="1" customHeight="1" s="356">
      <c r="A58" s="359" t="n"/>
      <c r="B58" s="360" t="n"/>
      <c r="C58" s="360" t="n"/>
      <c r="D58" s="360" t="n"/>
      <c r="E58" s="360" t="n"/>
      <c r="F58" s="361" t="inlineStr">
        <is>
          <t>1</t>
        </is>
      </c>
      <c r="G58" s="362" t="inlineStr">
        <is>
          <t>0</t>
        </is>
      </c>
      <c r="H58" s="360" t="inlineStr">
        <is>
          <t>111</t>
        </is>
      </c>
      <c r="I58" s="363" t="inlineStr">
        <is>
          <t>OFİS 2 ODA</t>
        </is>
      </c>
      <c r="J58" s="364" t="n"/>
      <c r="K58" s="360" t="inlineStr">
        <is>
          <t>20ºC</t>
        </is>
      </c>
      <c r="L58" s="360" t="n"/>
      <c r="M58" s="360" t="n"/>
      <c r="N58" s="360" t="n"/>
      <c r="O58" s="360" t="n"/>
      <c r="P58" s="360" t="n"/>
      <c r="Q58" s="365" t="n"/>
    </row>
    <row r="59" ht="9.949999999999999" customFormat="1" customHeight="1" s="356">
      <c r="A59" s="366" t="inlineStr">
        <is>
          <t>DD</t>
        </is>
      </c>
      <c r="B59" s="367" t="inlineStr">
        <is>
          <t>K</t>
        </is>
      </c>
      <c r="C59" s="368" t="n"/>
      <c r="D59" s="369" t="n">
        <v>3.2</v>
      </c>
      <c r="E59" s="369" t="n">
        <v>2.5</v>
      </c>
      <c r="F59" s="370">
        <f>IF(D59=0," ",D59*E59)</f>
        <v/>
      </c>
      <c r="G59" s="371" t="n">
        <v>1</v>
      </c>
      <c r="H59" s="372">
        <f>F61*G61</f>
        <v/>
      </c>
      <c r="I59" s="370">
        <f>IF(F59=" "," ",F59*G59-H59)</f>
        <v/>
      </c>
      <c r="J59" s="369" t="n">
        <v>0.344</v>
      </c>
      <c r="K59" s="371" t="n">
        <v>26</v>
      </c>
      <c r="L59" s="373">
        <f>IF(I59=" "," ",I59*J59*K59)</f>
        <v/>
      </c>
      <c r="M59" s="374" t="n">
        <v>7</v>
      </c>
      <c r="N59" s="371" t="n">
        <v>0</v>
      </c>
      <c r="O59" s="374" t="n">
        <v>5</v>
      </c>
      <c r="P59" s="370">
        <f>IF(M59=" "," ",(1+(M59+N59+O59)/100))</f>
        <v/>
      </c>
      <c r="Q59" s="375">
        <f>IF(L59=" "," ",L59*P59)</f>
        <v/>
      </c>
    </row>
    <row r="60" ht="9.949999999999999" customFormat="1" customHeight="1" s="356">
      <c r="A60" s="366" t="inlineStr">
        <is>
          <t>DD25</t>
        </is>
      </c>
      <c r="B60" s="367" t="inlineStr">
        <is>
          <t>K</t>
        </is>
      </c>
      <c r="C60" s="368" t="n"/>
      <c r="D60" s="369">
        <f>D59</f>
        <v/>
      </c>
      <c r="E60" s="369" t="n">
        <v>0.5</v>
      </c>
      <c r="F60" s="370">
        <f>IF(D60=0," ",D60*E60)</f>
        <v/>
      </c>
      <c r="G60" s="371" t="n">
        <v>1</v>
      </c>
      <c r="H60" s="372" t="n"/>
      <c r="I60" s="370">
        <f>IF(F60=" "," ",F60*G60-H60)</f>
        <v/>
      </c>
      <c r="J60" s="369" t="n">
        <v>0.387</v>
      </c>
      <c r="K60" s="371" t="n">
        <v>26</v>
      </c>
      <c r="L60" s="373">
        <f>IF(I60=" "," ",I60*J60*K60)</f>
        <v/>
      </c>
      <c r="M60" s="374" t="n">
        <v>7</v>
      </c>
      <c r="N60" s="371" t="n">
        <v>0</v>
      </c>
      <c r="O60" s="374" t="n">
        <v>5</v>
      </c>
      <c r="P60" s="370">
        <f>IF(M60=" "," ",(1+(M60+N60+O60)/100))</f>
        <v/>
      </c>
      <c r="Q60" s="375">
        <f>IF(L60=" "," ",L60*P60)</f>
        <v/>
      </c>
    </row>
    <row r="61" ht="9.949999999999999" customFormat="1" customHeight="1" s="356">
      <c r="A61" s="366" t="inlineStr">
        <is>
          <t>ÇP</t>
        </is>
      </c>
      <c r="B61" s="367" t="inlineStr">
        <is>
          <t>K</t>
        </is>
      </c>
      <c r="C61" s="368" t="n"/>
      <c r="D61" s="369" t="n">
        <v>2.8</v>
      </c>
      <c r="E61" s="369" t="n">
        <v>2.7</v>
      </c>
      <c r="F61" s="370">
        <f>IF(D61=0," ",D61*E61)</f>
        <v/>
      </c>
      <c r="G61" s="371" t="n">
        <v>1</v>
      </c>
      <c r="H61" s="372" t="n"/>
      <c r="I61" s="370">
        <f>IF(F61=" "," ",F61*G61-H61)</f>
        <v/>
      </c>
      <c r="J61" s="369" t="n">
        <v>1.8</v>
      </c>
      <c r="K61" s="371" t="n">
        <v>26</v>
      </c>
      <c r="L61" s="373">
        <f>IF(I61=" "," ",I61*J61*K61)</f>
        <v/>
      </c>
      <c r="M61" s="374" t="n">
        <v>7</v>
      </c>
      <c r="N61" s="371" t="n">
        <v>0</v>
      </c>
      <c r="O61" s="374" t="n">
        <v>5</v>
      </c>
      <c r="P61" s="370">
        <f>IF(M61=" "," ",(1+(M61+N61+O61)/100))</f>
        <v/>
      </c>
      <c r="Q61" s="375">
        <f>IF(L61=" "," ",L61*P61)</f>
        <v/>
      </c>
    </row>
    <row r="62" ht="9.949999999999999" customFormat="1" customHeight="1" s="356">
      <c r="A62" s="376" t="n"/>
      <c r="B62" s="377" t="n"/>
      <c r="C62" s="377" t="n"/>
      <c r="D62" s="378" t="n"/>
      <c r="E62" s="378" t="n"/>
      <c r="F62" s="378" t="n"/>
      <c r="G62" s="379" t="n"/>
      <c r="H62" s="378" t="n"/>
      <c r="I62" s="378" t="n"/>
      <c r="J62" s="378" t="n"/>
      <c r="K62" s="379" t="n"/>
      <c r="L62" s="380" t="n"/>
      <c r="M62" s="381" t="n"/>
      <c r="N62" s="381" t="n"/>
      <c r="O62" s="381" t="n"/>
      <c r="P62" s="382" t="n"/>
      <c r="Q62" s="383">
        <f>SUM(Q59:Q61)</f>
        <v/>
      </c>
    </row>
    <row r="63" ht="9.949999999999999" customFormat="1" customHeight="1" s="412">
      <c r="A63" s="384" t="n"/>
      <c r="B63" s="385" t="n"/>
      <c r="C63" s="385" t="n"/>
      <c r="D63" s="386" t="n"/>
      <c r="E63" s="387" t="n"/>
      <c r="F63" s="388" t="n"/>
      <c r="G63" s="389" t="n"/>
      <c r="H63" s="388" t="n"/>
      <c r="I63" s="390" t="n"/>
      <c r="J63" s="391" t="inlineStr">
        <is>
          <t>Qs=</t>
        </is>
      </c>
      <c r="K63" s="390" t="inlineStr">
        <is>
          <t>S a</t>
        </is>
      </c>
      <c r="L63" s="388" t="inlineStr">
        <is>
          <t>L</t>
        </is>
      </c>
      <c r="M63" s="389" t="inlineStr">
        <is>
          <t>R</t>
        </is>
      </c>
      <c r="N63" s="392" t="inlineStr">
        <is>
          <t>H</t>
        </is>
      </c>
      <c r="O63" s="393" t="inlineStr">
        <is>
          <t>D  T</t>
        </is>
      </c>
      <c r="P63" s="389" t="inlineStr">
        <is>
          <t>Ze</t>
        </is>
      </c>
      <c r="Q63" s="394" t="n"/>
    </row>
    <row r="64" ht="9.949999999999999" customFormat="1" customHeight="1" s="412">
      <c r="A64" s="395" t="inlineStr">
        <is>
          <t xml:space="preserve"> </t>
        </is>
      </c>
      <c r="C64" s="397" t="n"/>
      <c r="D64" s="397" t="n"/>
      <c r="E64" s="398" t="n"/>
      <c r="F64" s="399" t="n"/>
      <c r="G64" s="400" t="n"/>
      <c r="H64" s="401" t="n"/>
      <c r="I64" s="402" t="n"/>
      <c r="J64" s="403" t="inlineStr">
        <is>
          <t>Qs  =</t>
        </is>
      </c>
      <c r="K64" s="404" t="n">
        <v>2</v>
      </c>
      <c r="L64" s="404">
        <f>(D61+E61)*2*G61</f>
        <v/>
      </c>
      <c r="M64" s="404" t="n">
        <v>0.9</v>
      </c>
      <c r="N64" s="404" t="n">
        <v>0.67</v>
      </c>
      <c r="O64" s="381" t="n">
        <v>26</v>
      </c>
      <c r="P64" s="404" t="n">
        <v>1</v>
      </c>
      <c r="Q64" s="383">
        <f>K64*L64*M64*N64*O64*P64</f>
        <v/>
      </c>
    </row>
    <row r="65" ht="9.949999999999999" customFormat="1" customHeight="1" s="351">
      <c r="A65" s="405" t="n"/>
      <c r="B65" s="406" t="n"/>
      <c r="C65" s="397" t="n"/>
      <c r="D65" s="397" t="n"/>
      <c r="E65" s="378" t="n"/>
      <c r="F65" s="256" t="n"/>
      <c r="G65" s="407" t="n"/>
      <c r="H65" s="397" t="n"/>
      <c r="I65" s="397" t="n"/>
      <c r="J65" s="397" t="n"/>
      <c r="K65" s="407" t="n"/>
      <c r="L65" s="408" t="n"/>
      <c r="M65" s="409" t="inlineStr">
        <is>
          <t xml:space="preserve">   TOPLAM ISI KAYBI =</t>
        </is>
      </c>
      <c r="N65" s="409" t="n"/>
      <c r="O65" s="410" t="n"/>
      <c r="P65" s="409" t="n"/>
      <c r="Q65" s="411">
        <f>Q62+Q64</f>
        <v/>
      </c>
    </row>
    <row r="66" ht="10.35" customFormat="1" customHeight="1" s="356">
      <c r="A66" s="359" t="n"/>
      <c r="B66" s="360" t="n"/>
      <c r="C66" s="360" t="n"/>
      <c r="D66" s="360" t="n"/>
      <c r="E66" s="360" t="n"/>
      <c r="F66" s="361" t="inlineStr">
        <is>
          <t>1</t>
        </is>
      </c>
      <c r="G66" s="362" t="inlineStr">
        <is>
          <t>0</t>
        </is>
      </c>
      <c r="H66" s="360" t="inlineStr">
        <is>
          <t>112</t>
        </is>
      </c>
      <c r="I66" s="363" t="inlineStr">
        <is>
          <t>OFİS 2 ODA</t>
        </is>
      </c>
      <c r="J66" s="364" t="n"/>
      <c r="K66" s="360" t="inlineStr">
        <is>
          <t>20ºC</t>
        </is>
      </c>
      <c r="L66" s="360" t="n"/>
      <c r="M66" s="360" t="n"/>
      <c r="N66" s="360" t="n"/>
      <c r="O66" s="360" t="n"/>
      <c r="P66" s="360" t="n"/>
      <c r="Q66" s="365" t="n"/>
    </row>
    <row r="67" ht="9.949999999999999" customFormat="1" customHeight="1" s="356">
      <c r="A67" s="366" t="inlineStr">
        <is>
          <t>DD</t>
        </is>
      </c>
      <c r="B67" s="367" t="inlineStr">
        <is>
          <t>K</t>
        </is>
      </c>
      <c r="C67" s="368" t="n"/>
      <c r="D67" s="369" t="n">
        <v>3.1</v>
      </c>
      <c r="E67" s="369" t="n">
        <v>2.5</v>
      </c>
      <c r="F67" s="370">
        <f>IF(D67=0," ",D67*E67)</f>
        <v/>
      </c>
      <c r="G67" s="371" t="n">
        <v>1</v>
      </c>
      <c r="H67" s="372">
        <f>F69*G69</f>
        <v/>
      </c>
      <c r="I67" s="370">
        <f>IF(F67=" "," ",F67*G67-H67)</f>
        <v/>
      </c>
      <c r="J67" s="369" t="n">
        <v>0.344</v>
      </c>
      <c r="K67" s="371" t="n">
        <v>26</v>
      </c>
      <c r="L67" s="373">
        <f>IF(I67=" "," ",I67*J67*K67)</f>
        <v/>
      </c>
      <c r="M67" s="374" t="n">
        <v>7</v>
      </c>
      <c r="N67" s="371" t="n">
        <v>0</v>
      </c>
      <c r="O67" s="374" t="n">
        <v>5</v>
      </c>
      <c r="P67" s="370">
        <f>IF(M67=" "," ",(1+(M67+N67+O67)/100))</f>
        <v/>
      </c>
      <c r="Q67" s="375">
        <f>IF(L67=" "," ",L67*P67)</f>
        <v/>
      </c>
    </row>
    <row r="68" ht="9.949999999999999" customFormat="1" customHeight="1" s="356">
      <c r="A68" s="366" t="inlineStr">
        <is>
          <t>DD25</t>
        </is>
      </c>
      <c r="B68" s="367" t="inlineStr">
        <is>
          <t>K</t>
        </is>
      </c>
      <c r="C68" s="368" t="n"/>
      <c r="D68" s="369">
        <f>D67</f>
        <v/>
      </c>
      <c r="E68" s="369" t="n">
        <v>0.5</v>
      </c>
      <c r="F68" s="370">
        <f>IF(D68=0," ",D68*E68)</f>
        <v/>
      </c>
      <c r="G68" s="371" t="n">
        <v>1</v>
      </c>
      <c r="H68" s="372" t="n"/>
      <c r="I68" s="370">
        <f>IF(F68=" "," ",F68*G68-H68)</f>
        <v/>
      </c>
      <c r="J68" s="369" t="n">
        <v>0.387</v>
      </c>
      <c r="K68" s="371" t="n">
        <v>26</v>
      </c>
      <c r="L68" s="373">
        <f>IF(I68=" "," ",I68*J68*K68)</f>
        <v/>
      </c>
      <c r="M68" s="374" t="n">
        <v>7</v>
      </c>
      <c r="N68" s="371" t="n">
        <v>0</v>
      </c>
      <c r="O68" s="374" t="n">
        <v>5</v>
      </c>
      <c r="P68" s="370">
        <f>IF(M68=" "," ",(1+(M68+N68+O68)/100))</f>
        <v/>
      </c>
      <c r="Q68" s="375">
        <f>IF(L68=" "," ",L68*P68)</f>
        <v/>
      </c>
    </row>
    <row r="69" ht="9.949999999999999" customFormat="1" customHeight="1" s="356">
      <c r="A69" s="366" t="inlineStr">
        <is>
          <t>ÇP</t>
        </is>
      </c>
      <c r="B69" s="367" t="inlineStr">
        <is>
          <t>K</t>
        </is>
      </c>
      <c r="C69" s="368" t="n"/>
      <c r="D69" s="369" t="n">
        <v>2.7</v>
      </c>
      <c r="E69" s="369" t="n">
        <v>2.7</v>
      </c>
      <c r="F69" s="370">
        <f>IF(D69=0," ",D69*E69)</f>
        <v/>
      </c>
      <c r="G69" s="371" t="n">
        <v>1</v>
      </c>
      <c r="H69" s="372" t="n"/>
      <c r="I69" s="370">
        <f>IF(F69=" "," ",F69*G69-H69)</f>
        <v/>
      </c>
      <c r="J69" s="369" t="n">
        <v>1.8</v>
      </c>
      <c r="K69" s="371" t="n">
        <v>26</v>
      </c>
      <c r="L69" s="373">
        <f>IF(I69=" "," ",I69*J69*K69)</f>
        <v/>
      </c>
      <c r="M69" s="374" t="n">
        <v>7</v>
      </c>
      <c r="N69" s="371" t="n">
        <v>0</v>
      </c>
      <c r="O69" s="374" t="n">
        <v>5</v>
      </c>
      <c r="P69" s="370">
        <f>IF(M69=" "," ",(1+(M69+N69+O69)/100))</f>
        <v/>
      </c>
      <c r="Q69" s="375">
        <f>IF(L69=" "," ",L69*P69)</f>
        <v/>
      </c>
    </row>
    <row r="70" ht="9.949999999999999" customFormat="1" customHeight="1" s="356">
      <c r="A70" s="376" t="n"/>
      <c r="B70" s="377" t="n"/>
      <c r="C70" s="377" t="n"/>
      <c r="D70" s="378" t="n"/>
      <c r="E70" s="378" t="n"/>
      <c r="F70" s="378" t="n"/>
      <c r="G70" s="379" t="n"/>
      <c r="H70" s="378" t="n"/>
      <c r="I70" s="378" t="n"/>
      <c r="J70" s="378" t="n"/>
      <c r="K70" s="379" t="n"/>
      <c r="L70" s="380" t="n"/>
      <c r="M70" s="381" t="n"/>
      <c r="N70" s="381" t="n"/>
      <c r="O70" s="381" t="n"/>
      <c r="P70" s="382" t="n"/>
      <c r="Q70" s="383">
        <f>SUM(Q67:Q69)</f>
        <v/>
      </c>
    </row>
    <row r="71" ht="9.949999999999999" customFormat="1" customHeight="1" s="356">
      <c r="A71" s="384" t="n"/>
      <c r="B71" s="385" t="n"/>
      <c r="C71" s="385" t="n"/>
      <c r="D71" s="386" t="n"/>
      <c r="E71" s="387" t="n"/>
      <c r="F71" s="388" t="n"/>
      <c r="G71" s="389" t="n"/>
      <c r="H71" s="388" t="n"/>
      <c r="I71" s="390" t="n"/>
      <c r="J71" s="391" t="inlineStr">
        <is>
          <t>Qs=</t>
        </is>
      </c>
      <c r="K71" s="390" t="inlineStr">
        <is>
          <t>S a</t>
        </is>
      </c>
      <c r="L71" s="388" t="inlineStr">
        <is>
          <t>L</t>
        </is>
      </c>
      <c r="M71" s="389" t="inlineStr">
        <is>
          <t>R</t>
        </is>
      </c>
      <c r="N71" s="392" t="inlineStr">
        <is>
          <t>H</t>
        </is>
      </c>
      <c r="O71" s="393" t="inlineStr">
        <is>
          <t>D  T</t>
        </is>
      </c>
      <c r="P71" s="389" t="inlineStr">
        <is>
          <t>Ze</t>
        </is>
      </c>
      <c r="Q71" s="394" t="n"/>
    </row>
    <row r="72" ht="9.949999999999999" customFormat="1" customHeight="1" s="356">
      <c r="A72" s="395" t="inlineStr">
        <is>
          <t xml:space="preserve"> </t>
        </is>
      </c>
      <c r="B72" s="396" t="n"/>
      <c r="C72" s="397" t="n"/>
      <c r="D72" s="397" t="n"/>
      <c r="E72" s="398" t="n"/>
      <c r="F72" s="399" t="n"/>
      <c r="G72" s="400" t="n"/>
      <c r="H72" s="401" t="n"/>
      <c r="I72" s="402" t="n"/>
      <c r="J72" s="403" t="inlineStr">
        <is>
          <t>Qs  =</t>
        </is>
      </c>
      <c r="K72" s="404" t="n">
        <v>2</v>
      </c>
      <c r="L72" s="404">
        <f>(D69+E69)*2*G69</f>
        <v/>
      </c>
      <c r="M72" s="404" t="n">
        <v>0.9</v>
      </c>
      <c r="N72" s="404" t="n">
        <v>0.67</v>
      </c>
      <c r="O72" s="381" t="n">
        <v>26</v>
      </c>
      <c r="P72" s="404" t="n">
        <v>1</v>
      </c>
      <c r="Q72" s="383">
        <f>K72*L72*M72*N72*O72*P72</f>
        <v/>
      </c>
    </row>
    <row r="73" ht="9.949999999999999" customFormat="1" customHeight="1" s="356">
      <c r="A73" s="405" t="n"/>
      <c r="B73" s="406" t="n"/>
      <c r="C73" s="397" t="n"/>
      <c r="D73" s="397" t="n"/>
      <c r="E73" s="378" t="n"/>
      <c r="F73" s="256" t="n"/>
      <c r="G73" s="407" t="n"/>
      <c r="H73" s="397" t="n"/>
      <c r="I73" s="397" t="n"/>
      <c r="J73" s="397" t="n"/>
      <c r="K73" s="407" t="n"/>
      <c r="L73" s="408" t="n"/>
      <c r="M73" s="409" t="inlineStr">
        <is>
          <t xml:space="preserve">   TOPLAM ISI KAYBI =</t>
        </is>
      </c>
      <c r="N73" s="409" t="n"/>
      <c r="O73" s="410" t="n"/>
      <c r="P73" s="409" t="n"/>
      <c r="Q73" s="411">
        <f>Q70+Q72</f>
        <v/>
      </c>
    </row>
    <row r="74" ht="10.35" customFormat="1" customHeight="1" s="356">
      <c r="A74" s="359" t="n"/>
      <c r="B74" s="360" t="n"/>
      <c r="C74" s="360" t="n"/>
      <c r="D74" s="360" t="n"/>
      <c r="E74" s="360" t="n"/>
      <c r="F74" s="361" t="inlineStr">
        <is>
          <t>1</t>
        </is>
      </c>
      <c r="G74" s="362" t="inlineStr">
        <is>
          <t>0</t>
        </is>
      </c>
      <c r="H74" s="360" t="inlineStr">
        <is>
          <t>113</t>
        </is>
      </c>
      <c r="I74" s="363" t="inlineStr">
        <is>
          <t>OFİS 2 ODA</t>
        </is>
      </c>
      <c r="J74" s="364" t="n"/>
      <c r="K74" s="360" t="inlineStr">
        <is>
          <t>20ºC</t>
        </is>
      </c>
      <c r="L74" s="360" t="n"/>
      <c r="M74" s="360" t="n"/>
      <c r="N74" s="360" t="n"/>
      <c r="O74" s="360" t="n"/>
      <c r="P74" s="360" t="n"/>
      <c r="Q74" s="365" t="n"/>
    </row>
    <row r="75" ht="9.949999999999999" customFormat="1" customHeight="1" s="356">
      <c r="A75" s="366" t="inlineStr">
        <is>
          <t>DD</t>
        </is>
      </c>
      <c r="B75" s="367" t="inlineStr">
        <is>
          <t>K</t>
        </is>
      </c>
      <c r="C75" s="368" t="n"/>
      <c r="D75" s="369" t="n">
        <v>4</v>
      </c>
      <c r="E75" s="369" t="n">
        <v>2.5</v>
      </c>
      <c r="F75" s="370">
        <f>IF(D75=0," ",D75*E75)</f>
        <v/>
      </c>
      <c r="G75" s="371" t="n">
        <v>1</v>
      </c>
      <c r="H75" s="372">
        <f>F77*G77</f>
        <v/>
      </c>
      <c r="I75" s="370">
        <f>IF(F75=" "," ",F75*G75-H75)</f>
        <v/>
      </c>
      <c r="J75" s="369" t="n">
        <v>0.344</v>
      </c>
      <c r="K75" s="371" t="n">
        <v>26</v>
      </c>
      <c r="L75" s="373">
        <f>IF(I75=" "," ",I75*J75*K75)</f>
        <v/>
      </c>
      <c r="M75" s="374" t="n">
        <v>7</v>
      </c>
      <c r="N75" s="371" t="n">
        <v>0</v>
      </c>
      <c r="O75" s="374" t="n">
        <v>5</v>
      </c>
      <c r="P75" s="370">
        <f>IF(M75=" "," ",(1+(M75+N75+O75)/100))</f>
        <v/>
      </c>
      <c r="Q75" s="375">
        <f>IF(L75=" "," ",L75*P75)</f>
        <v/>
      </c>
    </row>
    <row r="76" ht="9.949999999999999" customFormat="1" customHeight="1" s="412">
      <c r="A76" s="366" t="inlineStr">
        <is>
          <t>DD25</t>
        </is>
      </c>
      <c r="B76" s="367" t="inlineStr">
        <is>
          <t>K</t>
        </is>
      </c>
      <c r="C76" s="368" t="n"/>
      <c r="D76" s="369">
        <f>D75</f>
        <v/>
      </c>
      <c r="E76" s="369" t="n">
        <v>0.5</v>
      </c>
      <c r="F76" s="370">
        <f>IF(D76=0," ",D76*E76)</f>
        <v/>
      </c>
      <c r="G76" s="371" t="n">
        <v>1</v>
      </c>
      <c r="H76" s="372" t="n"/>
      <c r="I76" s="370">
        <f>IF(F76=" "," ",F76*G76-H76)</f>
        <v/>
      </c>
      <c r="J76" s="369" t="n">
        <v>0.387</v>
      </c>
      <c r="K76" s="371" t="n">
        <v>26</v>
      </c>
      <c r="L76" s="373">
        <f>IF(I76=" "," ",I76*J76*K76)</f>
        <v/>
      </c>
      <c r="M76" s="374" t="n">
        <v>7</v>
      </c>
      <c r="N76" s="371" t="n">
        <v>0</v>
      </c>
      <c r="O76" s="374" t="n">
        <v>5</v>
      </c>
      <c r="P76" s="370">
        <f>IF(M76=" "," ",(1+(M76+N76+O76)/100))</f>
        <v/>
      </c>
      <c r="Q76" s="375">
        <f>IF(L76=" "," ",L76*P76)</f>
        <v/>
      </c>
    </row>
    <row r="77" ht="9.949999999999999" customFormat="1" customHeight="1" s="412">
      <c r="A77" s="366" t="inlineStr">
        <is>
          <t>ÇP</t>
        </is>
      </c>
      <c r="B77" s="367" t="inlineStr">
        <is>
          <t>K</t>
        </is>
      </c>
      <c r="C77" s="368" t="n"/>
      <c r="D77" s="369" t="n">
        <v>3.6</v>
      </c>
      <c r="E77" s="369" t="n">
        <v>2.7</v>
      </c>
      <c r="F77" s="370">
        <f>IF(D77=0," ",D77*E77)</f>
        <v/>
      </c>
      <c r="G77" s="371" t="n">
        <v>1</v>
      </c>
      <c r="H77" s="372" t="n"/>
      <c r="I77" s="370">
        <f>IF(F77=" "," ",F77*G77-H77)</f>
        <v/>
      </c>
      <c r="J77" s="369" t="n">
        <v>1.8</v>
      </c>
      <c r="K77" s="371" t="n">
        <v>26</v>
      </c>
      <c r="L77" s="373">
        <f>IF(I77=" "," ",I77*J77*K77)</f>
        <v/>
      </c>
      <c r="M77" s="374" t="n">
        <v>7</v>
      </c>
      <c r="N77" s="371" t="n">
        <v>0</v>
      </c>
      <c r="O77" s="374" t="n">
        <v>5</v>
      </c>
      <c r="P77" s="370">
        <f>IF(M77=" "," ",(1+(M77+N77+O77)/100))</f>
        <v/>
      </c>
      <c r="Q77" s="375">
        <f>IF(L77=" "," ",L77*P77)</f>
        <v/>
      </c>
    </row>
    <row r="78" ht="9.949999999999999" customFormat="1" customHeight="1" s="351">
      <c r="A78" s="376" t="n"/>
      <c r="B78" s="377" t="n"/>
      <c r="C78" s="377" t="n"/>
      <c r="D78" s="378" t="n"/>
      <c r="E78" s="378" t="n"/>
      <c r="F78" s="378" t="n"/>
      <c r="G78" s="379" t="n"/>
      <c r="H78" s="378" t="n"/>
      <c r="I78" s="378" t="n"/>
      <c r="J78" s="378" t="n"/>
      <c r="K78" s="379" t="n"/>
      <c r="L78" s="380" t="n"/>
      <c r="M78" s="381" t="n"/>
      <c r="N78" s="381" t="n"/>
      <c r="O78" s="381" t="n"/>
      <c r="P78" s="382" t="n"/>
      <c r="Q78" s="383">
        <f>SUM(Q75:Q77)</f>
        <v/>
      </c>
    </row>
    <row r="79" ht="9.949999999999999" customHeight="1" s="244">
      <c r="A79" s="384" t="n"/>
      <c r="B79" s="385" t="n"/>
      <c r="C79" s="385" t="n"/>
      <c r="D79" s="386" t="n"/>
      <c r="E79" s="387" t="n"/>
      <c r="F79" s="388" t="n"/>
      <c r="G79" s="389" t="n"/>
      <c r="H79" s="388" t="n"/>
      <c r="I79" s="390" t="n"/>
      <c r="J79" s="391" t="inlineStr">
        <is>
          <t>Qs=</t>
        </is>
      </c>
      <c r="K79" s="390" t="inlineStr">
        <is>
          <t>S a</t>
        </is>
      </c>
      <c r="L79" s="388" t="inlineStr">
        <is>
          <t>L</t>
        </is>
      </c>
      <c r="M79" s="389" t="inlineStr">
        <is>
          <t>R</t>
        </is>
      </c>
      <c r="N79" s="392" t="inlineStr">
        <is>
          <t>H</t>
        </is>
      </c>
      <c r="O79" s="393" t="inlineStr">
        <is>
          <t>D  T</t>
        </is>
      </c>
      <c r="P79" s="389" t="inlineStr">
        <is>
          <t>Ze</t>
        </is>
      </c>
      <c r="Q79" s="394" t="n"/>
    </row>
    <row r="80" ht="9.949999999999999" customHeight="1" s="244">
      <c r="A80" s="395" t="inlineStr">
        <is>
          <t xml:space="preserve"> </t>
        </is>
      </c>
      <c r="C80" s="397" t="n"/>
      <c r="D80" s="397" t="n"/>
      <c r="E80" s="398" t="n"/>
      <c r="F80" s="399" t="n"/>
      <c r="G80" s="400" t="n"/>
      <c r="H80" s="401" t="n"/>
      <c r="I80" s="402" t="n"/>
      <c r="J80" s="403" t="inlineStr">
        <is>
          <t>Qs  =</t>
        </is>
      </c>
      <c r="K80" s="404" t="n">
        <v>2</v>
      </c>
      <c r="L80" s="404">
        <f>(D77+E77)*2*G77</f>
        <v/>
      </c>
      <c r="M80" s="404" t="n">
        <v>0.9</v>
      </c>
      <c r="N80" s="404" t="n">
        <v>0.67</v>
      </c>
      <c r="O80" s="381" t="n">
        <v>26</v>
      </c>
      <c r="P80" s="404" t="n">
        <v>1</v>
      </c>
      <c r="Q80" s="383">
        <f>K80*L80*M80*N80*O80*P80</f>
        <v/>
      </c>
    </row>
    <row r="81" ht="9.949999999999999" customHeight="1" s="244">
      <c r="A81" s="405" t="n"/>
      <c r="B81" s="406" t="n"/>
      <c r="C81" s="397" t="n"/>
      <c r="D81" s="397" t="n"/>
      <c r="E81" s="378" t="n"/>
      <c r="F81" s="256" t="n"/>
      <c r="G81" s="407" t="n"/>
      <c r="H81" s="397" t="n"/>
      <c r="I81" s="397" t="n"/>
      <c r="J81" s="397" t="n"/>
      <c r="K81" s="407" t="n"/>
      <c r="L81" s="408" t="n"/>
      <c r="M81" s="409" t="inlineStr">
        <is>
          <t xml:space="preserve">   TOPLAM ISI KAYBI =</t>
        </is>
      </c>
      <c r="N81" s="409" t="n"/>
      <c r="O81" s="410" t="n"/>
      <c r="P81" s="409" t="n"/>
      <c r="Q81" s="411">
        <f>Q78+Q80</f>
        <v/>
      </c>
    </row>
    <row r="82" ht="10.35" customHeight="1" s="244">
      <c r="A82" s="359" t="n"/>
      <c r="B82" s="360" t="n"/>
      <c r="C82" s="360" t="n"/>
      <c r="D82" s="360" t="n"/>
      <c r="E82" s="360" t="n"/>
      <c r="F82" s="361" t="inlineStr">
        <is>
          <t>1</t>
        </is>
      </c>
      <c r="G82" s="362" t="inlineStr">
        <is>
          <t>0</t>
        </is>
      </c>
      <c r="H82" s="360" t="inlineStr">
        <is>
          <t>114</t>
        </is>
      </c>
      <c r="I82" s="363" t="inlineStr">
        <is>
          <t>OFİS 2 MUTFAK</t>
        </is>
      </c>
      <c r="J82" s="364" t="n"/>
      <c r="K82" s="360" t="inlineStr">
        <is>
          <t>20ºC</t>
        </is>
      </c>
      <c r="L82" s="360" t="n"/>
      <c r="M82" s="360" t="n"/>
      <c r="N82" s="360" t="n"/>
      <c r="O82" s="360" t="n"/>
      <c r="P82" s="360" t="n"/>
      <c r="Q82" s="365" t="n"/>
    </row>
    <row r="83" ht="9.949999999999999" customHeight="1" s="244">
      <c r="A83" s="366" t="inlineStr">
        <is>
          <t>İDM</t>
        </is>
      </c>
      <c r="B83" s="367" t="inlineStr"/>
      <c r="C83" s="368" t="n"/>
      <c r="D83" s="369" t="n">
        <v>2.6</v>
      </c>
      <c r="E83" s="369" t="n">
        <v>3</v>
      </c>
      <c r="F83" s="370">
        <f>IF(D83=0," ",D83*E83)</f>
        <v/>
      </c>
      <c r="G83" s="371" t="n">
        <v>1</v>
      </c>
      <c r="H83" s="372" t="n"/>
      <c r="I83" s="370">
        <f>IF(F83=" "," ",F83*G83-H83)</f>
        <v/>
      </c>
      <c r="J83" s="369" t="n">
        <v>0.332</v>
      </c>
      <c r="K83" s="371" t="n">
        <v>10</v>
      </c>
      <c r="L83" s="373">
        <f>IF(I83=" "," ",I83*J83*K83)</f>
        <v/>
      </c>
      <c r="M83" s="374" t="n">
        <v>7</v>
      </c>
      <c r="N83" s="371" t="n">
        <v>0</v>
      </c>
      <c r="O83" s="374" t="n">
        <v>0</v>
      </c>
      <c r="P83" s="370">
        <f>IF(M83=" "," ",(1+(M83+N83+O83)/100))</f>
        <v/>
      </c>
      <c r="Q83" s="375">
        <f>IF(L83=" "," ",L83*P83)</f>
        <v/>
      </c>
    </row>
    <row r="84" ht="9.949999999999999" customFormat="1" customHeight="1" s="329">
      <c r="A84" s="376" t="n"/>
      <c r="B84" s="377" t="n"/>
      <c r="C84" s="377" t="n"/>
      <c r="D84" s="378" t="n"/>
      <c r="E84" s="378" t="n"/>
      <c r="F84" s="378" t="n"/>
      <c r="G84" s="379" t="n"/>
      <c r="H84" s="378" t="n"/>
      <c r="I84" s="378" t="n"/>
      <c r="J84" s="378" t="n"/>
      <c r="K84" s="379" t="n"/>
      <c r="L84" s="380" t="n"/>
      <c r="M84" s="381" t="n"/>
      <c r="N84" s="381" t="n"/>
      <c r="O84" s="381" t="n"/>
      <c r="P84" s="382" t="n"/>
      <c r="Q84" s="383">
        <f>SUM(Q83:Q83)</f>
        <v/>
      </c>
    </row>
    <row r="85" ht="9.949999999999999" customFormat="1" customHeight="1" s="339">
      <c r="A85" s="384" t="n"/>
      <c r="B85" s="385" t="n"/>
      <c r="C85" s="385" t="n"/>
      <c r="D85" s="386" t="n"/>
      <c r="E85" s="387" t="n"/>
      <c r="F85" s="388" t="n"/>
      <c r="G85" s="389" t="n"/>
      <c r="H85" s="388" t="n"/>
      <c r="I85" s="390" t="n"/>
      <c r="J85" s="391" t="inlineStr">
        <is>
          <t>Qs=</t>
        </is>
      </c>
      <c r="K85" s="390" t="inlineStr">
        <is>
          <t>S a</t>
        </is>
      </c>
      <c r="L85" s="388" t="inlineStr">
        <is>
          <t>L</t>
        </is>
      </c>
      <c r="M85" s="389" t="inlineStr">
        <is>
          <t>R</t>
        </is>
      </c>
      <c r="N85" s="392" t="inlineStr">
        <is>
          <t>H</t>
        </is>
      </c>
      <c r="O85" s="393" t="inlineStr">
        <is>
          <t>D  T</t>
        </is>
      </c>
      <c r="P85" s="389" t="inlineStr">
        <is>
          <t>Ze</t>
        </is>
      </c>
      <c r="Q85" s="394" t="n"/>
    </row>
    <row r="86" ht="9.949999999999999" customFormat="1" customHeight="1" s="339">
      <c r="A86" s="395" t="inlineStr">
        <is>
          <t xml:space="preserve"> </t>
        </is>
      </c>
      <c r="C86" s="397" t="n"/>
      <c r="D86" s="397" t="n"/>
      <c r="E86" s="398" t="n"/>
      <c r="F86" s="399" t="n"/>
      <c r="G86" s="400" t="n"/>
      <c r="H86" s="401" t="n"/>
      <c r="I86" s="402" t="n"/>
      <c r="J86" s="403" t="inlineStr">
        <is>
          <t>Qs  =</t>
        </is>
      </c>
      <c r="K86" s="404" t="n">
        <v>2</v>
      </c>
      <c r="L86" s="404" t="n">
        <v>0</v>
      </c>
      <c r="M86" s="404" t="n">
        <v>0.9</v>
      </c>
      <c r="N86" s="404" t="n">
        <v>0.67</v>
      </c>
      <c r="O86" s="381" t="n">
        <v>26</v>
      </c>
      <c r="P86" s="404" t="n">
        <v>1</v>
      </c>
      <c r="Q86" s="383">
        <f>K86*L86*M86*N86*O86*P86</f>
        <v/>
      </c>
    </row>
    <row r="87" ht="9.949999999999999" customFormat="1" customHeight="1" s="351">
      <c r="A87" s="405" t="n"/>
      <c r="B87" s="406" t="n"/>
      <c r="C87" s="397" t="n"/>
      <c r="D87" s="397" t="n"/>
      <c r="E87" s="378" t="n"/>
      <c r="F87" s="256" t="n"/>
      <c r="G87" s="407" t="n"/>
      <c r="H87" s="397" t="n"/>
      <c r="I87" s="397" t="n"/>
      <c r="J87" s="397" t="n"/>
      <c r="K87" s="407" t="n"/>
      <c r="L87" s="408" t="n"/>
      <c r="M87" s="409" t="inlineStr">
        <is>
          <t xml:space="preserve">   TOPLAM ISI KAYBI =</t>
        </is>
      </c>
      <c r="N87" s="409" t="n"/>
      <c r="O87" s="410" t="n"/>
      <c r="P87" s="409" t="n"/>
      <c r="Q87" s="411">
        <f>Q84+Q86</f>
        <v/>
      </c>
    </row>
    <row r="88" ht="10.35" customFormat="1" customHeight="1" s="351">
      <c r="A88" s="359" t="n"/>
      <c r="B88" s="360" t="n"/>
      <c r="C88" s="360" t="n"/>
      <c r="D88" s="360" t="n"/>
      <c r="E88" s="360" t="n"/>
      <c r="F88" s="361" t="inlineStr">
        <is>
          <t>1</t>
        </is>
      </c>
      <c r="G88" s="362" t="inlineStr">
        <is>
          <t>0</t>
        </is>
      </c>
      <c r="H88" s="360" t="inlineStr">
        <is>
          <t>115</t>
        </is>
      </c>
      <c r="I88" s="363" t="inlineStr">
        <is>
          <t>OFİS 2 LVB.WC</t>
        </is>
      </c>
      <c r="J88" s="364" t="n"/>
      <c r="K88" s="360" t="inlineStr">
        <is>
          <t>24ºC</t>
        </is>
      </c>
      <c r="L88" s="360" t="n"/>
      <c r="M88" s="360" t="n"/>
      <c r="N88" s="360" t="n"/>
      <c r="O88" s="360" t="n"/>
      <c r="P88" s="360" t="n"/>
      <c r="Q88" s="365" t="n"/>
    </row>
    <row r="89" ht="9.949999999999999" customFormat="1" customHeight="1" s="356">
      <c r="A89" s="366" t="inlineStr">
        <is>
          <t>İD</t>
        </is>
      </c>
      <c r="B89" s="367" t="inlineStr"/>
      <c r="C89" s="368" t="n"/>
      <c r="D89" s="369" t="n">
        <v>6.6</v>
      </c>
      <c r="E89" s="369" t="n">
        <v>3</v>
      </c>
      <c r="F89" s="370">
        <f>IF(D89=0," ",D89*E89)</f>
        <v/>
      </c>
      <c r="G89" s="371" t="n">
        <v>1</v>
      </c>
      <c r="H89" s="372" t="n"/>
      <c r="I89" s="370">
        <f>IF(F89=" "," ",F89*G89-H89)</f>
        <v/>
      </c>
      <c r="J89" s="369" t="n">
        <v>1.915</v>
      </c>
      <c r="K89" s="371" t="n">
        <v>4</v>
      </c>
      <c r="L89" s="373">
        <f>IF(I89=" "," ",I89*J89*K89)</f>
        <v/>
      </c>
      <c r="M89" s="374" t="n">
        <v>7</v>
      </c>
      <c r="N89" s="371" t="n">
        <v>0</v>
      </c>
      <c r="O89" s="374" t="n">
        <v>0</v>
      </c>
      <c r="P89" s="370">
        <f>IF(M89=" "," ",(1+(M89+N89+O89)/100))</f>
        <v/>
      </c>
      <c r="Q89" s="375">
        <f>IF(L89=" "," ",L89*P89)</f>
        <v/>
      </c>
    </row>
    <row r="90" ht="9.949999999999999" customFormat="1" customHeight="1" s="356">
      <c r="A90" s="376" t="n"/>
      <c r="B90" s="377" t="n"/>
      <c r="C90" s="377" t="n"/>
      <c r="D90" s="378" t="n"/>
      <c r="E90" s="378" t="n"/>
      <c r="F90" s="378" t="n"/>
      <c r="G90" s="379" t="n"/>
      <c r="H90" s="378" t="n"/>
      <c r="I90" s="378" t="n"/>
      <c r="J90" s="378" t="n"/>
      <c r="K90" s="379" t="n"/>
      <c r="L90" s="380" t="n"/>
      <c r="M90" s="381" t="n"/>
      <c r="N90" s="381" t="n"/>
      <c r="O90" s="381" t="n"/>
      <c r="P90" s="382" t="n"/>
      <c r="Q90" s="383">
        <f>SUM(Q89:Q89)</f>
        <v/>
      </c>
    </row>
    <row r="91" ht="9.949999999999999" customFormat="1" customHeight="1" s="356">
      <c r="A91" s="384" t="n"/>
      <c r="B91" s="385" t="n"/>
      <c r="C91" s="385" t="n"/>
      <c r="D91" s="386" t="n"/>
      <c r="E91" s="387" t="n"/>
      <c r="F91" s="388" t="n"/>
      <c r="G91" s="389" t="n"/>
      <c r="H91" s="388" t="n"/>
      <c r="I91" s="390" t="n"/>
      <c r="J91" s="391" t="inlineStr">
        <is>
          <t>Qs=</t>
        </is>
      </c>
      <c r="K91" s="390" t="inlineStr">
        <is>
          <t>S a</t>
        </is>
      </c>
      <c r="L91" s="388" t="inlineStr">
        <is>
          <t>L</t>
        </is>
      </c>
      <c r="M91" s="389" t="inlineStr">
        <is>
          <t>R</t>
        </is>
      </c>
      <c r="N91" s="392" t="inlineStr">
        <is>
          <t>H</t>
        </is>
      </c>
      <c r="O91" s="393" t="inlineStr">
        <is>
          <t>D  T</t>
        </is>
      </c>
      <c r="P91" s="389" t="inlineStr">
        <is>
          <t>Ze</t>
        </is>
      </c>
      <c r="Q91" s="394" t="n"/>
    </row>
    <row r="92" ht="9.949999999999999" customFormat="1" customHeight="1" s="356">
      <c r="A92" s="395" t="inlineStr">
        <is>
          <t xml:space="preserve"> </t>
        </is>
      </c>
      <c r="B92" s="396" t="n"/>
      <c r="C92" s="397" t="n"/>
      <c r="D92" s="397" t="n"/>
      <c r="E92" s="398" t="n"/>
      <c r="F92" s="399" t="n"/>
      <c r="G92" s="400" t="n"/>
      <c r="H92" s="401" t="n"/>
      <c r="I92" s="402" t="n"/>
      <c r="J92" s="403" t="inlineStr">
        <is>
          <t>Qs  =</t>
        </is>
      </c>
      <c r="K92" s="404" t="n">
        <v>2</v>
      </c>
      <c r="L92" s="404" t="n">
        <v>0</v>
      </c>
      <c r="M92" s="404" t="n">
        <v>0.9</v>
      </c>
      <c r="N92" s="404" t="n">
        <v>0.67</v>
      </c>
      <c r="O92" s="381" t="n">
        <v>30</v>
      </c>
      <c r="P92" s="404" t="n">
        <v>1</v>
      </c>
      <c r="Q92" s="383">
        <f>K92*L92*M92*N92*O92*P92</f>
        <v/>
      </c>
    </row>
    <row r="93" ht="9.949999999999999" customFormat="1" customHeight="1" s="356">
      <c r="A93" s="405" t="n"/>
      <c r="B93" s="406" t="n"/>
      <c r="C93" s="397" t="n"/>
      <c r="D93" s="397" t="n"/>
      <c r="E93" s="378" t="n"/>
      <c r="F93" s="256" t="n"/>
      <c r="G93" s="407" t="n"/>
      <c r="H93" s="397" t="n"/>
      <c r="I93" s="397" t="n"/>
      <c r="J93" s="397" t="n"/>
      <c r="K93" s="407" t="n"/>
      <c r="L93" s="408" t="n"/>
      <c r="M93" s="409" t="inlineStr">
        <is>
          <t xml:space="preserve">   TOPLAM ISI KAYBI =</t>
        </is>
      </c>
      <c r="N93" s="409" t="n"/>
      <c r="O93" s="410" t="n"/>
      <c r="P93" s="409" t="n"/>
      <c r="Q93" s="411">
        <f>Q90+Q92</f>
        <v/>
      </c>
    </row>
    <row r="94" ht="10.35" customFormat="1" customHeight="1" s="356">
      <c r="A94" s="359" t="n"/>
      <c r="B94" s="360" t="n"/>
      <c r="C94" s="360" t="n"/>
      <c r="D94" s="360" t="n"/>
      <c r="E94" s="360" t="n"/>
      <c r="F94" s="361" t="inlineStr">
        <is>
          <t>1</t>
        </is>
      </c>
      <c r="G94" s="362" t="inlineStr">
        <is>
          <t>0</t>
        </is>
      </c>
      <c r="H94" s="360" t="inlineStr">
        <is>
          <t>119</t>
        </is>
      </c>
      <c r="I94" s="363" t="inlineStr">
        <is>
          <t>OFİS 2 HOL</t>
        </is>
      </c>
      <c r="J94" s="364" t="n"/>
      <c r="K94" s="360" t="inlineStr">
        <is>
          <t>18ºC</t>
        </is>
      </c>
      <c r="L94" s="360" t="n"/>
      <c r="M94" s="360" t="n"/>
      <c r="N94" s="360" t="n"/>
      <c r="O94" s="360" t="n"/>
      <c r="P94" s="360" t="n"/>
      <c r="Q94" s="365" t="n"/>
    </row>
    <row r="95" ht="9.949999999999999" customFormat="1" customHeight="1" s="356">
      <c r="A95" s="366" t="inlineStr">
        <is>
          <t>İDM</t>
        </is>
      </c>
      <c r="B95" s="367" t="inlineStr"/>
      <c r="C95" s="368" t="n"/>
      <c r="D95" s="369" t="n">
        <v>1.3</v>
      </c>
      <c r="E95" s="369" t="n">
        <v>3</v>
      </c>
      <c r="F95" s="370">
        <f>IF(D95=0," ",D95*E95)</f>
        <v/>
      </c>
      <c r="G95" s="371" t="n">
        <v>1</v>
      </c>
      <c r="H95" s="372">
        <f>F96*G96</f>
        <v/>
      </c>
      <c r="I95" s="370">
        <f>IF(F95=" "," ",F95*G95-H95)</f>
        <v/>
      </c>
      <c r="J95" s="369" t="n">
        <v>0.332</v>
      </c>
      <c r="K95" s="371" t="n">
        <v>8</v>
      </c>
      <c r="L95" s="373">
        <f>IF(I95=" "," ",I95*J95*K95)</f>
        <v/>
      </c>
      <c r="M95" s="374" t="n">
        <v>7</v>
      </c>
      <c r="N95" s="371" t="n">
        <v>0</v>
      </c>
      <c r="O95" s="374" t="n">
        <v>0</v>
      </c>
      <c r="P95" s="370">
        <f>IF(M95=" "," ",(1+(M95+N95+O95)/100))</f>
        <v/>
      </c>
      <c r="Q95" s="375">
        <f>IF(L95=" "," ",L95*P95)</f>
        <v/>
      </c>
    </row>
    <row r="96" ht="9.949999999999999" customFormat="1" customHeight="1" s="356">
      <c r="A96" s="366" t="inlineStr">
        <is>
          <t>DK</t>
        </is>
      </c>
      <c r="B96" s="367" t="inlineStr"/>
      <c r="C96" s="368" t="n"/>
      <c r="D96" s="369" t="n">
        <v>1</v>
      </c>
      <c r="E96" s="369" t="n">
        <v>2.2</v>
      </c>
      <c r="F96" s="370">
        <f>IF(D96=0," ",D96*E96)</f>
        <v/>
      </c>
      <c r="G96" s="371" t="n">
        <v>1</v>
      </c>
      <c r="H96" s="372" t="n"/>
      <c r="I96" s="370">
        <f>IF(F96=" "," ",F96*G96-H96)</f>
        <v/>
      </c>
      <c r="J96" s="369" t="n">
        <v>2</v>
      </c>
      <c r="K96" s="371" t="n">
        <v>8</v>
      </c>
      <c r="L96" s="373">
        <f>IF(I96=" "," ",I96*J96*K96)</f>
        <v/>
      </c>
      <c r="M96" s="374" t="n">
        <v>7</v>
      </c>
      <c r="N96" s="371" t="n">
        <v>0</v>
      </c>
      <c r="O96" s="374" t="n">
        <v>0</v>
      </c>
      <c r="P96" s="370">
        <f>IF(M96=" "," ",(1+(M96+N96+O96)/100))</f>
        <v/>
      </c>
      <c r="Q96" s="375">
        <f>IF(L96=" "," ",L96*P96)</f>
        <v/>
      </c>
    </row>
    <row r="97" ht="9.949999999999999" customFormat="1" customHeight="1" s="356">
      <c r="A97" s="376" t="n"/>
      <c r="B97" s="377" t="n"/>
      <c r="C97" s="377" t="n"/>
      <c r="D97" s="378" t="n"/>
      <c r="E97" s="378" t="n"/>
      <c r="F97" s="378" t="n"/>
      <c r="G97" s="379" t="n"/>
      <c r="H97" s="378" t="n"/>
      <c r="I97" s="378" t="n"/>
      <c r="J97" s="378" t="n"/>
      <c r="K97" s="379" t="n"/>
      <c r="L97" s="380" t="n"/>
      <c r="M97" s="381" t="n"/>
      <c r="N97" s="381" t="n"/>
      <c r="O97" s="381" t="n"/>
      <c r="P97" s="382" t="n"/>
      <c r="Q97" s="383">
        <f>SUM(Q95:Q96)</f>
        <v/>
      </c>
    </row>
    <row r="98" ht="9.949999999999999" customFormat="1" customHeight="1" s="356">
      <c r="A98" s="384" t="n"/>
      <c r="B98" s="385" t="n"/>
      <c r="C98" s="385" t="n"/>
      <c r="D98" s="386" t="n"/>
      <c r="E98" s="387" t="n"/>
      <c r="F98" s="388" t="n"/>
      <c r="G98" s="389" t="n"/>
      <c r="H98" s="388" t="n"/>
      <c r="I98" s="390" t="n"/>
      <c r="J98" s="391" t="inlineStr">
        <is>
          <t>Qs=</t>
        </is>
      </c>
      <c r="K98" s="390" t="inlineStr">
        <is>
          <t>S a</t>
        </is>
      </c>
      <c r="L98" s="388" t="inlineStr">
        <is>
          <t>L</t>
        </is>
      </c>
      <c r="M98" s="389" t="inlineStr">
        <is>
          <t>R</t>
        </is>
      </c>
      <c r="N98" s="392" t="inlineStr">
        <is>
          <t>H</t>
        </is>
      </c>
      <c r="O98" s="393" t="inlineStr">
        <is>
          <t>D  T</t>
        </is>
      </c>
      <c r="P98" s="389" t="inlineStr">
        <is>
          <t>Ze</t>
        </is>
      </c>
      <c r="Q98" s="394" t="n"/>
    </row>
    <row r="99" ht="9.949999999999999" customFormat="1" customHeight="1" s="356">
      <c r="A99" s="395" t="inlineStr">
        <is>
          <t xml:space="preserve"> </t>
        </is>
      </c>
      <c r="B99" s="396" t="n"/>
      <c r="C99" s="397" t="n"/>
      <c r="D99" s="397" t="n"/>
      <c r="E99" s="398" t="n"/>
      <c r="F99" s="399" t="n"/>
      <c r="G99" s="400" t="n"/>
      <c r="H99" s="401" t="n"/>
      <c r="I99" s="402" t="n"/>
      <c r="J99" s="403" t="inlineStr">
        <is>
          <t>Qs  =</t>
        </is>
      </c>
      <c r="K99" s="404" t="n">
        <v>2</v>
      </c>
      <c r="L99" s="404" t="n">
        <v>0</v>
      </c>
      <c r="M99" s="404" t="n">
        <v>0.9</v>
      </c>
      <c r="N99" s="404" t="n">
        <v>0.67</v>
      </c>
      <c r="O99" s="381" t="n">
        <v>24</v>
      </c>
      <c r="P99" s="404" t="n">
        <v>1</v>
      </c>
      <c r="Q99" s="383">
        <f>K99*L99*M99*N99*O99*P99</f>
        <v/>
      </c>
    </row>
    <row r="100" ht="9.949999999999999" customFormat="1" customHeight="1" s="356">
      <c r="A100" s="405" t="n"/>
      <c r="B100" s="406" t="n"/>
      <c r="C100" s="397" t="n"/>
      <c r="D100" s="397" t="n"/>
      <c r="E100" s="378" t="n"/>
      <c r="F100" s="256" t="n"/>
      <c r="G100" s="407" t="n"/>
      <c r="H100" s="397" t="n"/>
      <c r="I100" s="397" t="n"/>
      <c r="J100" s="397" t="n"/>
      <c r="K100" s="407" t="n"/>
      <c r="L100" s="408" t="n"/>
      <c r="M100" s="409" t="inlineStr">
        <is>
          <t xml:space="preserve">   TOPLAM ISI KAYBI =</t>
        </is>
      </c>
      <c r="N100" s="409" t="n"/>
      <c r="O100" s="410" t="n"/>
      <c r="P100" s="409" t="n"/>
      <c r="Q100" s="411">
        <f>Q97+Q99</f>
        <v/>
      </c>
    </row>
    <row r="101" ht="10.35" customFormat="1" customHeight="1" s="356">
      <c r="A101" s="359" t="n"/>
      <c r="B101" s="360" t="n"/>
      <c r="C101" s="360" t="n"/>
      <c r="D101" s="360" t="n"/>
      <c r="E101" s="360" t="n"/>
      <c r="F101" s="361" t="inlineStr">
        <is>
          <t>1</t>
        </is>
      </c>
      <c r="G101" s="362" t="inlineStr">
        <is>
          <t>0</t>
        </is>
      </c>
      <c r="H101" s="360" t="inlineStr">
        <is>
          <t>121</t>
        </is>
      </c>
      <c r="I101" s="363" t="inlineStr">
        <is>
          <t>OFİS 3 ODA</t>
        </is>
      </c>
      <c r="J101" s="364" t="n"/>
      <c r="K101" s="360" t="inlineStr">
        <is>
          <t>20ºC</t>
        </is>
      </c>
      <c r="L101" s="360" t="n"/>
      <c r="M101" s="360" t="n"/>
      <c r="N101" s="360" t="n"/>
      <c r="O101" s="360" t="n"/>
      <c r="P101" s="360" t="n"/>
      <c r="Q101" s="365" t="n"/>
    </row>
    <row r="102" ht="9.949999999999999" customFormat="1" customHeight="1" s="412">
      <c r="A102" s="366" t="inlineStr">
        <is>
          <t>DD</t>
        </is>
      </c>
      <c r="B102" s="367" t="inlineStr">
        <is>
          <t>K</t>
        </is>
      </c>
      <c r="C102" s="368" t="n"/>
      <c r="D102" s="369" t="n">
        <v>3.9</v>
      </c>
      <c r="E102" s="369" t="n">
        <v>2.5</v>
      </c>
      <c r="F102" s="370">
        <f>IF(D102=0," ",D102*E102)</f>
        <v/>
      </c>
      <c r="G102" s="371" t="n">
        <v>1</v>
      </c>
      <c r="H102" s="372">
        <f>F104*G104</f>
        <v/>
      </c>
      <c r="I102" s="370">
        <f>IF(F102=" "," ",F102*G102-H102)</f>
        <v/>
      </c>
      <c r="J102" s="369" t="n">
        <v>0.344</v>
      </c>
      <c r="K102" s="371" t="n">
        <v>26</v>
      </c>
      <c r="L102" s="373">
        <f>IF(I102=" "," ",I102*J102*K102)</f>
        <v/>
      </c>
      <c r="M102" s="374" t="n">
        <v>7</v>
      </c>
      <c r="N102" s="371" t="n">
        <v>0</v>
      </c>
      <c r="O102" s="374" t="n">
        <v>5</v>
      </c>
      <c r="P102" s="370">
        <f>IF(M102=" "," ",(1+(M102+N102+O102)/100))</f>
        <v/>
      </c>
      <c r="Q102" s="375">
        <f>IF(L102=" "," ",L102*P102)</f>
        <v/>
      </c>
    </row>
    <row r="103" ht="9.949999999999999" customFormat="1" customHeight="1" s="412">
      <c r="A103" s="366" t="inlineStr">
        <is>
          <t>DD25</t>
        </is>
      </c>
      <c r="B103" s="367" t="inlineStr">
        <is>
          <t>K</t>
        </is>
      </c>
      <c r="C103" s="368" t="n"/>
      <c r="D103" s="369">
        <f>D102</f>
        <v/>
      </c>
      <c r="E103" s="369" t="n">
        <v>0.5</v>
      </c>
      <c r="F103" s="370">
        <f>IF(D103=0," ",D103*E103)</f>
        <v/>
      </c>
      <c r="G103" s="371" t="n">
        <v>1</v>
      </c>
      <c r="H103" s="372" t="n"/>
      <c r="I103" s="370">
        <f>IF(F103=" "," ",F103*G103-H103)</f>
        <v/>
      </c>
      <c r="J103" s="369" t="n">
        <v>0.387</v>
      </c>
      <c r="K103" s="371" t="n">
        <v>26</v>
      </c>
      <c r="L103" s="373">
        <f>IF(I103=" "," ",I103*J103*K103)</f>
        <v/>
      </c>
      <c r="M103" s="374" t="n">
        <v>7</v>
      </c>
      <c r="N103" s="371" t="n">
        <v>0</v>
      </c>
      <c r="O103" s="374" t="n">
        <v>5</v>
      </c>
      <c r="P103" s="370">
        <f>IF(M103=" "," ",(1+(M103+N103+O103)/100))</f>
        <v/>
      </c>
      <c r="Q103" s="375">
        <f>IF(L103=" "," ",L103*P103)</f>
        <v/>
      </c>
    </row>
    <row r="104" ht="9.949999999999999" customFormat="1" customHeight="1" s="351">
      <c r="A104" s="366" t="inlineStr">
        <is>
          <t>ÇP</t>
        </is>
      </c>
      <c r="B104" s="367" t="inlineStr">
        <is>
          <t>K</t>
        </is>
      </c>
      <c r="C104" s="368" t="n"/>
      <c r="D104" s="369" t="n">
        <v>3.5</v>
      </c>
      <c r="E104" s="369" t="n">
        <v>2.7</v>
      </c>
      <c r="F104" s="370">
        <f>IF(D104=0," ",D104*E104)</f>
        <v/>
      </c>
      <c r="G104" s="371" t="n">
        <v>1</v>
      </c>
      <c r="H104" s="372" t="n"/>
      <c r="I104" s="370">
        <f>IF(F104=" "," ",F104*G104-H104)</f>
        <v/>
      </c>
      <c r="J104" s="369" t="n">
        <v>1.8</v>
      </c>
      <c r="K104" s="371" t="n">
        <v>26</v>
      </c>
      <c r="L104" s="373">
        <f>IF(I104=" "," ",I104*J104*K104)</f>
        <v/>
      </c>
      <c r="M104" s="374" t="n">
        <v>7</v>
      </c>
      <c r="N104" s="371" t="n">
        <v>0</v>
      </c>
      <c r="O104" s="374" t="n">
        <v>5</v>
      </c>
      <c r="P104" s="370">
        <f>IF(M104=" "," ",(1+(M104+N104+O104)/100))</f>
        <v/>
      </c>
      <c r="Q104" s="375">
        <f>IF(L104=" "," ",L104*P104)</f>
        <v/>
      </c>
    </row>
    <row r="105" ht="9.949999999999999" customFormat="1" customHeight="1" s="356">
      <c r="A105" s="376" t="n"/>
      <c r="B105" s="377" t="n"/>
      <c r="C105" s="377" t="n"/>
      <c r="D105" s="378" t="n"/>
      <c r="E105" s="378" t="n"/>
      <c r="F105" s="378" t="n"/>
      <c r="G105" s="379" t="n"/>
      <c r="H105" s="378" t="n"/>
      <c r="I105" s="378" t="n"/>
      <c r="J105" s="378" t="n"/>
      <c r="K105" s="379" t="n"/>
      <c r="L105" s="380" t="n"/>
      <c r="M105" s="381" t="n"/>
      <c r="N105" s="381" t="n"/>
      <c r="O105" s="381" t="n"/>
      <c r="P105" s="382" t="n"/>
      <c r="Q105" s="383">
        <f>SUM(Q102:Q104)</f>
        <v/>
      </c>
    </row>
    <row r="106" ht="9.949999999999999" customFormat="1" customHeight="1" s="356">
      <c r="A106" s="384" t="n"/>
      <c r="B106" s="385" t="n"/>
      <c r="C106" s="385" t="n"/>
      <c r="D106" s="386" t="n"/>
      <c r="E106" s="387" t="n"/>
      <c r="F106" s="388" t="n"/>
      <c r="G106" s="389" t="n"/>
      <c r="H106" s="388" t="n"/>
      <c r="I106" s="390" t="n"/>
      <c r="J106" s="391" t="inlineStr">
        <is>
          <t>Qs=</t>
        </is>
      </c>
      <c r="K106" s="390" t="inlineStr">
        <is>
          <t>S a</t>
        </is>
      </c>
      <c r="L106" s="388" t="inlineStr">
        <is>
          <t>L</t>
        </is>
      </c>
      <c r="M106" s="389" t="inlineStr">
        <is>
          <t>R</t>
        </is>
      </c>
      <c r="N106" s="392" t="inlineStr">
        <is>
          <t>H</t>
        </is>
      </c>
      <c r="O106" s="393" t="inlineStr">
        <is>
          <t>D  T</t>
        </is>
      </c>
      <c r="P106" s="389" t="inlineStr">
        <is>
          <t>Ze</t>
        </is>
      </c>
      <c r="Q106" s="394" t="n"/>
    </row>
    <row r="107" ht="9.949999999999999" customFormat="1" customHeight="1" s="356">
      <c r="A107" s="395" t="inlineStr">
        <is>
          <t xml:space="preserve"> </t>
        </is>
      </c>
      <c r="B107" s="396" t="n"/>
      <c r="C107" s="397" t="n"/>
      <c r="D107" s="397" t="n"/>
      <c r="E107" s="398" t="n"/>
      <c r="F107" s="399" t="n"/>
      <c r="G107" s="400" t="n"/>
      <c r="H107" s="401" t="n"/>
      <c r="I107" s="402" t="n"/>
      <c r="J107" s="403" t="inlineStr">
        <is>
          <t>Qs  =</t>
        </is>
      </c>
      <c r="K107" s="404" t="n">
        <v>2</v>
      </c>
      <c r="L107" s="404">
        <f>(D104+E104)*2*G104</f>
        <v/>
      </c>
      <c r="M107" s="404" t="n">
        <v>0.9</v>
      </c>
      <c r="N107" s="404" t="n">
        <v>0.67</v>
      </c>
      <c r="O107" s="381" t="n">
        <v>26</v>
      </c>
      <c r="P107" s="404" t="n">
        <v>1</v>
      </c>
      <c r="Q107" s="383">
        <f>K107*L107*M107*N107*O107*P107</f>
        <v/>
      </c>
    </row>
    <row r="108" ht="9.949999999999999" customFormat="1" customHeight="1" s="356">
      <c r="A108" s="405" t="n"/>
      <c r="B108" s="406" t="n"/>
      <c r="C108" s="397" t="n"/>
      <c r="D108" s="397" t="n"/>
      <c r="E108" s="378" t="n"/>
      <c r="F108" s="256" t="n"/>
      <c r="G108" s="407" t="n"/>
      <c r="H108" s="397" t="n"/>
      <c r="I108" s="397" t="n"/>
      <c r="J108" s="397" t="n"/>
      <c r="K108" s="407" t="n"/>
      <c r="L108" s="408" t="n"/>
      <c r="M108" s="409" t="inlineStr">
        <is>
          <t xml:space="preserve">   TOPLAM ISI KAYBI =</t>
        </is>
      </c>
      <c r="N108" s="409" t="n"/>
      <c r="O108" s="410" t="n"/>
      <c r="P108" s="409" t="n"/>
      <c r="Q108" s="411">
        <f>Q105+Q107</f>
        <v/>
      </c>
    </row>
    <row r="109" ht="10.35" customFormat="1" customHeight="1" s="356">
      <c r="A109" s="359" t="n"/>
      <c r="B109" s="360" t="n"/>
      <c r="C109" s="360" t="n"/>
      <c r="D109" s="360" t="n"/>
      <c r="E109" s="360" t="n"/>
      <c r="F109" s="361" t="inlineStr">
        <is>
          <t>1</t>
        </is>
      </c>
      <c r="G109" s="362" t="inlineStr">
        <is>
          <t>0</t>
        </is>
      </c>
      <c r="H109" s="360" t="inlineStr">
        <is>
          <t>122</t>
        </is>
      </c>
      <c r="I109" s="363" t="inlineStr">
        <is>
          <t>OFİS 3 ODA</t>
        </is>
      </c>
      <c r="J109" s="364" t="n"/>
      <c r="K109" s="360" t="inlineStr">
        <is>
          <t>20ºC</t>
        </is>
      </c>
      <c r="L109" s="360" t="n"/>
      <c r="M109" s="360" t="n"/>
      <c r="N109" s="360" t="n"/>
      <c r="O109" s="360" t="n"/>
      <c r="P109" s="360" t="n"/>
      <c r="Q109" s="365" t="n"/>
    </row>
    <row r="110" ht="9.949999999999999" customFormat="1" customHeight="1" s="356">
      <c r="A110" s="366" t="inlineStr">
        <is>
          <t>DD</t>
        </is>
      </c>
      <c r="B110" s="367" t="inlineStr">
        <is>
          <t>K</t>
        </is>
      </c>
      <c r="C110" s="368" t="n"/>
      <c r="D110" s="369" t="n">
        <v>3.3</v>
      </c>
      <c r="E110" s="369" t="n">
        <v>2.5</v>
      </c>
      <c r="F110" s="370">
        <f>IF(D110=0," ",D110*E110)</f>
        <v/>
      </c>
      <c r="G110" s="371" t="n">
        <v>1</v>
      </c>
      <c r="H110" s="372">
        <f>F112*G112</f>
        <v/>
      </c>
      <c r="I110" s="370">
        <f>IF(F110=" "," ",F110*G110-H110)</f>
        <v/>
      </c>
      <c r="J110" s="369" t="n">
        <v>0.344</v>
      </c>
      <c r="K110" s="371" t="n">
        <v>26</v>
      </c>
      <c r="L110" s="373">
        <f>IF(I110=" "," ",I110*J110*K110)</f>
        <v/>
      </c>
      <c r="M110" s="374" t="n">
        <v>7</v>
      </c>
      <c r="N110" s="371" t="n">
        <v>0</v>
      </c>
      <c r="O110" s="374" t="n">
        <v>5</v>
      </c>
      <c r="P110" s="370">
        <f>IF(M110=" "," ",(1+(M110+N110+O110)/100))</f>
        <v/>
      </c>
      <c r="Q110" s="375">
        <f>IF(L110=" "," ",L110*P110)</f>
        <v/>
      </c>
    </row>
    <row r="111" ht="9.949999999999999" customFormat="1" customHeight="1" s="356">
      <c r="A111" s="366" t="inlineStr">
        <is>
          <t>DD25</t>
        </is>
      </c>
      <c r="B111" s="367" t="inlineStr">
        <is>
          <t>K</t>
        </is>
      </c>
      <c r="C111" s="368" t="n"/>
      <c r="D111" s="369">
        <f>D110</f>
        <v/>
      </c>
      <c r="E111" s="369" t="n">
        <v>0.5</v>
      </c>
      <c r="F111" s="370">
        <f>IF(D111=0," ",D111*E111)</f>
        <v/>
      </c>
      <c r="G111" s="371" t="n">
        <v>1</v>
      </c>
      <c r="H111" s="372" t="n"/>
      <c r="I111" s="370">
        <f>IF(F111=" "," ",F111*G111-H111)</f>
        <v/>
      </c>
      <c r="J111" s="369" t="n">
        <v>0.387</v>
      </c>
      <c r="K111" s="371" t="n">
        <v>26</v>
      </c>
      <c r="L111" s="373">
        <f>IF(I111=" "," ",I111*J111*K111)</f>
        <v/>
      </c>
      <c r="M111" s="374" t="n">
        <v>7</v>
      </c>
      <c r="N111" s="371" t="n">
        <v>0</v>
      </c>
      <c r="O111" s="374" t="n">
        <v>5</v>
      </c>
      <c r="P111" s="370">
        <f>IF(M111=" "," ",(1+(M111+N111+O111)/100))</f>
        <v/>
      </c>
      <c r="Q111" s="375">
        <f>IF(L111=" "," ",L111*P111)</f>
        <v/>
      </c>
    </row>
    <row r="112" ht="9.949999999999999" customFormat="1" customHeight="1" s="356">
      <c r="A112" s="366" t="inlineStr">
        <is>
          <t>ÇP</t>
        </is>
      </c>
      <c r="B112" s="367" t="inlineStr">
        <is>
          <t>K</t>
        </is>
      </c>
      <c r="C112" s="368" t="n"/>
      <c r="D112" s="369" t="n">
        <v>2.9</v>
      </c>
      <c r="E112" s="369" t="n">
        <v>2.7</v>
      </c>
      <c r="F112" s="370">
        <f>IF(D112=0," ",D112*E112)</f>
        <v/>
      </c>
      <c r="G112" s="371" t="n">
        <v>1</v>
      </c>
      <c r="H112" s="372" t="n"/>
      <c r="I112" s="370">
        <f>IF(F112=" "," ",F112*G112-H112)</f>
        <v/>
      </c>
      <c r="J112" s="369" t="n">
        <v>1.8</v>
      </c>
      <c r="K112" s="371" t="n">
        <v>26</v>
      </c>
      <c r="L112" s="373">
        <f>IF(I112=" "," ",I112*J112*K112)</f>
        <v/>
      </c>
      <c r="M112" s="374" t="n">
        <v>7</v>
      </c>
      <c r="N112" s="371" t="n">
        <v>0</v>
      </c>
      <c r="O112" s="374" t="n">
        <v>5</v>
      </c>
      <c r="P112" s="370">
        <f>IF(M112=" "," ",(1+(M112+N112+O112)/100))</f>
        <v/>
      </c>
      <c r="Q112" s="375">
        <f>IF(L112=" "," ",L112*P112)</f>
        <v/>
      </c>
    </row>
    <row r="113" ht="9.949999999999999" customFormat="1" customHeight="1" s="356">
      <c r="A113" s="376" t="n"/>
      <c r="B113" s="377" t="n"/>
      <c r="C113" s="377" t="n"/>
      <c r="D113" s="378" t="n"/>
      <c r="E113" s="378" t="n"/>
      <c r="F113" s="378" t="n"/>
      <c r="G113" s="379" t="n"/>
      <c r="H113" s="378" t="n"/>
      <c r="I113" s="378" t="n"/>
      <c r="J113" s="378" t="n"/>
      <c r="K113" s="379" t="n"/>
      <c r="L113" s="380" t="n"/>
      <c r="M113" s="381" t="n"/>
      <c r="N113" s="381" t="n"/>
      <c r="O113" s="381" t="n"/>
      <c r="P113" s="382" t="n"/>
      <c r="Q113" s="383">
        <f>SUM(Q110:Q112)</f>
        <v/>
      </c>
    </row>
    <row r="114" ht="9.949999999999999" customFormat="1" customHeight="1" s="356">
      <c r="A114" s="384" t="n"/>
      <c r="B114" s="385" t="n"/>
      <c r="C114" s="385" t="n"/>
      <c r="D114" s="386" t="n"/>
      <c r="E114" s="387" t="n"/>
      <c r="F114" s="388" t="n"/>
      <c r="G114" s="389" t="n"/>
      <c r="H114" s="388" t="n"/>
      <c r="I114" s="390" t="n"/>
      <c r="J114" s="391" t="inlineStr">
        <is>
          <t>Qs=</t>
        </is>
      </c>
      <c r="K114" s="390" t="inlineStr">
        <is>
          <t>S a</t>
        </is>
      </c>
      <c r="L114" s="388" t="inlineStr">
        <is>
          <t>L</t>
        </is>
      </c>
      <c r="M114" s="389" t="inlineStr">
        <is>
          <t>R</t>
        </is>
      </c>
      <c r="N114" s="392" t="inlineStr">
        <is>
          <t>H</t>
        </is>
      </c>
      <c r="O114" s="393" t="inlineStr">
        <is>
          <t>D  T</t>
        </is>
      </c>
      <c r="P114" s="389" t="inlineStr">
        <is>
          <t>Ze</t>
        </is>
      </c>
      <c r="Q114" s="394" t="n"/>
    </row>
    <row r="115" ht="9.949999999999999" customFormat="1" customHeight="1" s="356">
      <c r="A115" s="395" t="inlineStr">
        <is>
          <t xml:space="preserve"> </t>
        </is>
      </c>
      <c r="B115" s="424" t="n"/>
      <c r="C115" s="397" t="n"/>
      <c r="D115" s="397" t="n"/>
      <c r="E115" s="398" t="n"/>
      <c r="F115" s="399" t="n"/>
      <c r="G115" s="400" t="n"/>
      <c r="H115" s="401" t="n"/>
      <c r="I115" s="402" t="n"/>
      <c r="J115" s="403" t="inlineStr">
        <is>
          <t>Qs  =</t>
        </is>
      </c>
      <c r="K115" s="404" t="n">
        <v>2</v>
      </c>
      <c r="L115" s="404">
        <f>(D112+E112)*2*G112</f>
        <v/>
      </c>
      <c r="M115" s="404" t="n">
        <v>0.9</v>
      </c>
      <c r="N115" s="404" t="n">
        <v>0.67</v>
      </c>
      <c r="O115" s="381" t="n">
        <v>26</v>
      </c>
      <c r="P115" s="404" t="n">
        <v>1</v>
      </c>
      <c r="Q115" s="383">
        <f>K115*L115*M115*N115*O115*P115</f>
        <v/>
      </c>
    </row>
    <row r="116" ht="9.949999999999999" customFormat="1" customHeight="1" s="412">
      <c r="A116" s="405" t="n"/>
      <c r="B116" s="406" t="n"/>
      <c r="C116" s="397" t="n"/>
      <c r="D116" s="397" t="n"/>
      <c r="E116" s="378" t="n"/>
      <c r="F116" s="256" t="n"/>
      <c r="G116" s="407" t="n"/>
      <c r="H116" s="397" t="n"/>
      <c r="I116" s="397" t="n"/>
      <c r="J116" s="397" t="n"/>
      <c r="K116" s="407" t="n"/>
      <c r="L116" s="408" t="n"/>
      <c r="M116" s="409" t="inlineStr">
        <is>
          <t xml:space="preserve">   TOPLAM ISI KAYBI =</t>
        </is>
      </c>
      <c r="N116" s="409" t="n"/>
      <c r="O116" s="410" t="n"/>
      <c r="P116" s="409" t="n"/>
      <c r="Q116" s="411">
        <f>Q113+Q115</f>
        <v/>
      </c>
    </row>
    <row r="117" ht="10.35" customFormat="1" customHeight="1" s="412">
      <c r="A117" s="359" t="n"/>
      <c r="B117" s="360" t="n"/>
      <c r="C117" s="360" t="n"/>
      <c r="D117" s="360" t="n"/>
      <c r="E117" s="360" t="n"/>
      <c r="F117" s="361" t="inlineStr">
        <is>
          <t>1</t>
        </is>
      </c>
      <c r="G117" s="362" t="inlineStr">
        <is>
          <t>0</t>
        </is>
      </c>
      <c r="H117" s="360" t="inlineStr">
        <is>
          <t>123</t>
        </is>
      </c>
      <c r="I117" s="363" t="inlineStr">
        <is>
          <t>OFİS 3 ODA</t>
        </is>
      </c>
      <c r="J117" s="364" t="n"/>
      <c r="K117" s="360" t="inlineStr">
        <is>
          <t>20ºC</t>
        </is>
      </c>
      <c r="L117" s="360" t="n"/>
      <c r="M117" s="360" t="n"/>
      <c r="N117" s="360" t="n"/>
      <c r="O117" s="360" t="n"/>
      <c r="P117" s="360" t="n"/>
      <c r="Q117" s="365" t="n"/>
    </row>
    <row r="118" ht="9.949999999999999" customFormat="1" customHeight="1" s="351">
      <c r="A118" s="366" t="inlineStr">
        <is>
          <t>DD</t>
        </is>
      </c>
      <c r="B118" s="367" t="inlineStr">
        <is>
          <t>K</t>
        </is>
      </c>
      <c r="C118" s="368" t="n"/>
      <c r="D118" s="369" t="n">
        <v>3.2</v>
      </c>
      <c r="E118" s="369" t="n">
        <v>2.5</v>
      </c>
      <c r="F118" s="370">
        <f>IF(D118=0," ",D118*E118)</f>
        <v/>
      </c>
      <c r="G118" s="371" t="n">
        <v>1</v>
      </c>
      <c r="H118" s="372">
        <f>F120*G120</f>
        <v/>
      </c>
      <c r="I118" s="370">
        <f>IF(F118=" "," ",F118*G118-H118)</f>
        <v/>
      </c>
      <c r="J118" s="369" t="n">
        <v>0.344</v>
      </c>
      <c r="K118" s="371" t="n">
        <v>26</v>
      </c>
      <c r="L118" s="373">
        <f>IF(I118=" "," ",I118*J118*K118)</f>
        <v/>
      </c>
      <c r="M118" s="374" t="n">
        <v>7</v>
      </c>
      <c r="N118" s="371" t="n">
        <v>0</v>
      </c>
      <c r="O118" s="374" t="n">
        <v>5</v>
      </c>
      <c r="P118" s="370">
        <f>IF(M118=" "," ",(1+(M118+N118+O118)/100))</f>
        <v/>
      </c>
      <c r="Q118" s="375">
        <f>IF(L118=" "," ",L118*P118)</f>
        <v/>
      </c>
    </row>
    <row r="119" ht="9.949999999999999" customFormat="1" customHeight="1" s="356">
      <c r="A119" s="366" t="inlineStr">
        <is>
          <t>DD25</t>
        </is>
      </c>
      <c r="B119" s="367" t="inlineStr">
        <is>
          <t>K</t>
        </is>
      </c>
      <c r="C119" s="368" t="n"/>
      <c r="D119" s="369">
        <f>D118</f>
        <v/>
      </c>
      <c r="E119" s="369" t="n">
        <v>0.5</v>
      </c>
      <c r="F119" s="370">
        <f>IF(D119=0," ",D119*E119)</f>
        <v/>
      </c>
      <c r="G119" s="371" t="n">
        <v>1</v>
      </c>
      <c r="H119" s="372" t="n"/>
      <c r="I119" s="370">
        <f>IF(F119=" "," ",F119*G119-H119)</f>
        <v/>
      </c>
      <c r="J119" s="369" t="n">
        <v>0.387</v>
      </c>
      <c r="K119" s="371" t="n">
        <v>26</v>
      </c>
      <c r="L119" s="373">
        <f>IF(I119=" "," ",I119*J119*K119)</f>
        <v/>
      </c>
      <c r="M119" s="374" t="n">
        <v>7</v>
      </c>
      <c r="N119" s="371" t="n">
        <v>0</v>
      </c>
      <c r="O119" s="374" t="n">
        <v>5</v>
      </c>
      <c r="P119" s="370">
        <f>IF(M119=" "," ",(1+(M119+N119+O119)/100))</f>
        <v/>
      </c>
      <c r="Q119" s="375">
        <f>IF(L119=" "," ",L119*P119)</f>
        <v/>
      </c>
    </row>
    <row r="120" ht="9.949999999999999" customFormat="1" customHeight="1" s="356">
      <c r="A120" s="366" t="inlineStr">
        <is>
          <t>ÇP</t>
        </is>
      </c>
      <c r="B120" s="367" t="inlineStr">
        <is>
          <t>K</t>
        </is>
      </c>
      <c r="C120" s="368" t="n"/>
      <c r="D120" s="369" t="n">
        <v>2.8</v>
      </c>
      <c r="E120" s="369" t="n">
        <v>2.7</v>
      </c>
      <c r="F120" s="370">
        <f>IF(D120=0," ",D120*E120)</f>
        <v/>
      </c>
      <c r="G120" s="371" t="n">
        <v>1</v>
      </c>
      <c r="H120" s="372" t="n"/>
      <c r="I120" s="370">
        <f>IF(F120=" "," ",F120*G120-H120)</f>
        <v/>
      </c>
      <c r="J120" s="369" t="n">
        <v>1.8</v>
      </c>
      <c r="K120" s="371" t="n">
        <v>26</v>
      </c>
      <c r="L120" s="373">
        <f>IF(I120=" "," ",I120*J120*K120)</f>
        <v/>
      </c>
      <c r="M120" s="374" t="n">
        <v>7</v>
      </c>
      <c r="N120" s="371" t="n">
        <v>0</v>
      </c>
      <c r="O120" s="374" t="n">
        <v>5</v>
      </c>
      <c r="P120" s="370">
        <f>IF(M120=" "," ",(1+(M120+N120+O120)/100))</f>
        <v/>
      </c>
      <c r="Q120" s="375">
        <f>IF(L120=" "," ",L120*P120)</f>
        <v/>
      </c>
    </row>
    <row r="121" ht="9.949999999999999" customFormat="1" customHeight="1" s="356">
      <c r="A121" s="376" t="n"/>
      <c r="B121" s="377" t="n"/>
      <c r="C121" s="377" t="n"/>
      <c r="D121" s="378" t="n"/>
      <c r="E121" s="378" t="n"/>
      <c r="F121" s="378" t="n"/>
      <c r="G121" s="379" t="n"/>
      <c r="H121" s="378" t="n"/>
      <c r="I121" s="378" t="n"/>
      <c r="J121" s="378" t="n"/>
      <c r="K121" s="379" t="n"/>
      <c r="L121" s="380" t="n"/>
      <c r="M121" s="381" t="n"/>
      <c r="N121" s="381" t="n"/>
      <c r="O121" s="381" t="n"/>
      <c r="P121" s="382" t="n"/>
      <c r="Q121" s="383">
        <f>SUM(Q118:Q120)</f>
        <v/>
      </c>
    </row>
    <row r="122" ht="9.949999999999999" customFormat="1" customHeight="1" s="356">
      <c r="A122" s="384" t="n"/>
      <c r="B122" s="385" t="n"/>
      <c r="C122" s="385" t="n"/>
      <c r="D122" s="386" t="n"/>
      <c r="E122" s="387" t="n"/>
      <c r="F122" s="388" t="n"/>
      <c r="G122" s="389" t="n"/>
      <c r="H122" s="388" t="n"/>
      <c r="I122" s="390" t="n"/>
      <c r="J122" s="391" t="inlineStr">
        <is>
          <t>Qs=</t>
        </is>
      </c>
      <c r="K122" s="390" t="inlineStr">
        <is>
          <t>S a</t>
        </is>
      </c>
      <c r="L122" s="388" t="inlineStr">
        <is>
          <t>L</t>
        </is>
      </c>
      <c r="M122" s="389" t="inlineStr">
        <is>
          <t>R</t>
        </is>
      </c>
      <c r="N122" s="392" t="inlineStr">
        <is>
          <t>H</t>
        </is>
      </c>
      <c r="O122" s="393" t="inlineStr">
        <is>
          <t>D  T</t>
        </is>
      </c>
      <c r="P122" s="389" t="inlineStr">
        <is>
          <t>Ze</t>
        </is>
      </c>
      <c r="Q122" s="394" t="n"/>
    </row>
    <row r="123" ht="9.949999999999999" customFormat="1" customHeight="1" s="356">
      <c r="A123" s="395" t="inlineStr">
        <is>
          <t xml:space="preserve"> </t>
        </is>
      </c>
      <c r="B123" s="396" t="n"/>
      <c r="C123" s="397" t="n"/>
      <c r="D123" s="397" t="n"/>
      <c r="E123" s="398" t="n"/>
      <c r="F123" s="399" t="n"/>
      <c r="G123" s="400" t="n"/>
      <c r="H123" s="401" t="n"/>
      <c r="I123" s="402" t="n"/>
      <c r="J123" s="403" t="inlineStr">
        <is>
          <t>Qs  =</t>
        </is>
      </c>
      <c r="K123" s="404" t="n">
        <v>2</v>
      </c>
      <c r="L123" s="404">
        <f>(D120+E120)*2*G120</f>
        <v/>
      </c>
      <c r="M123" s="404" t="n">
        <v>0.9</v>
      </c>
      <c r="N123" s="404" t="n">
        <v>0.67</v>
      </c>
      <c r="O123" s="381" t="n">
        <v>26</v>
      </c>
      <c r="P123" s="404" t="n">
        <v>1</v>
      </c>
      <c r="Q123" s="383">
        <f>K123*L123*M123*N123*O123*P123</f>
        <v/>
      </c>
    </row>
    <row r="124" ht="9.949999999999999" customFormat="1" customHeight="1" s="356">
      <c r="A124" s="405" t="n"/>
      <c r="B124" s="406" t="n"/>
      <c r="C124" s="397" t="n"/>
      <c r="D124" s="397" t="n"/>
      <c r="E124" s="378" t="n"/>
      <c r="F124" s="256" t="n"/>
      <c r="G124" s="407" t="n"/>
      <c r="H124" s="397" t="n"/>
      <c r="I124" s="397" t="n"/>
      <c r="J124" s="397" t="n"/>
      <c r="K124" s="407" t="n"/>
      <c r="L124" s="408" t="n"/>
      <c r="M124" s="409" t="inlineStr">
        <is>
          <t xml:space="preserve">   TOPLAM ISI KAYBI =</t>
        </is>
      </c>
      <c r="N124" s="409" t="n"/>
      <c r="O124" s="410" t="n"/>
      <c r="P124" s="409" t="n"/>
      <c r="Q124" s="411">
        <f>Q121+Q123</f>
        <v/>
      </c>
    </row>
    <row r="125" ht="10.35" customFormat="1" customHeight="1" s="356">
      <c r="A125" s="359" t="n"/>
      <c r="B125" s="360" t="n"/>
      <c r="C125" s="360" t="n"/>
      <c r="D125" s="360" t="n"/>
      <c r="E125" s="360" t="n"/>
      <c r="F125" s="361" t="inlineStr">
        <is>
          <t>1</t>
        </is>
      </c>
      <c r="G125" s="362" t="inlineStr">
        <is>
          <t>0</t>
        </is>
      </c>
      <c r="H125" s="360" t="inlineStr">
        <is>
          <t>124</t>
        </is>
      </c>
      <c r="I125" s="363" t="inlineStr">
        <is>
          <t>OFİS 3 MUTFAK</t>
        </is>
      </c>
      <c r="J125" s="364" t="n"/>
      <c r="K125" s="360" t="inlineStr">
        <is>
          <t>20ºC</t>
        </is>
      </c>
      <c r="L125" s="360" t="n"/>
      <c r="M125" s="360" t="n"/>
      <c r="N125" s="360" t="n"/>
      <c r="O125" s="360" t="n"/>
      <c r="P125" s="360" t="n"/>
      <c r="Q125" s="365" t="n"/>
    </row>
    <row r="126" ht="9.949999999999999" customFormat="1" customHeight="1" s="356">
      <c r="A126" s="366" t="inlineStr">
        <is>
          <t>İDM</t>
        </is>
      </c>
      <c r="B126" s="367" t="inlineStr"/>
      <c r="C126" s="368" t="n"/>
      <c r="D126" s="369" t="n">
        <v>2.6</v>
      </c>
      <c r="E126" s="369" t="n">
        <v>3</v>
      </c>
      <c r="F126" s="370">
        <f>IF(D126=0," ",D126*E126)</f>
        <v/>
      </c>
      <c r="G126" s="371" t="n">
        <v>1</v>
      </c>
      <c r="H126" s="372" t="n"/>
      <c r="I126" s="370">
        <f>IF(F126=" "," ",F126*G126-H126)</f>
        <v/>
      </c>
      <c r="J126" s="369" t="n">
        <v>0.332</v>
      </c>
      <c r="K126" s="371" t="n">
        <v>10</v>
      </c>
      <c r="L126" s="373">
        <f>IF(I126=" "," ",I126*J126*K126)</f>
        <v/>
      </c>
      <c r="M126" s="374" t="n">
        <v>7</v>
      </c>
      <c r="N126" s="371" t="n">
        <v>0</v>
      </c>
      <c r="O126" s="374" t="n">
        <v>0</v>
      </c>
      <c r="P126" s="370">
        <f>IF(M126=" "," ",(1+(M126+N126+O126)/100))</f>
        <v/>
      </c>
      <c r="Q126" s="375">
        <f>IF(L126=" "," ",L126*P126)</f>
        <v/>
      </c>
    </row>
    <row r="127" ht="9.949999999999999" customFormat="1" customHeight="1" s="356">
      <c r="A127" s="376" t="n"/>
      <c r="B127" s="377" t="n"/>
      <c r="C127" s="377" t="n"/>
      <c r="D127" s="378" t="n"/>
      <c r="E127" s="378" t="n"/>
      <c r="F127" s="378" t="n"/>
      <c r="G127" s="379" t="n"/>
      <c r="H127" s="378" t="n"/>
      <c r="I127" s="378" t="n"/>
      <c r="J127" s="378" t="n"/>
      <c r="K127" s="379" t="n"/>
      <c r="L127" s="380" t="n"/>
      <c r="M127" s="381" t="n"/>
      <c r="N127" s="381" t="n"/>
      <c r="O127" s="381" t="n"/>
      <c r="P127" s="382" t="n"/>
      <c r="Q127" s="383">
        <f>SUM(Q126:Q126)</f>
        <v/>
      </c>
    </row>
    <row r="128" ht="9.949999999999999" customFormat="1" customHeight="1" s="356">
      <c r="A128" s="384" t="n"/>
      <c r="B128" s="385" t="n"/>
      <c r="C128" s="385" t="n"/>
      <c r="D128" s="386" t="n"/>
      <c r="E128" s="387" t="n"/>
      <c r="F128" s="388" t="n"/>
      <c r="G128" s="389" t="n"/>
      <c r="H128" s="388" t="n"/>
      <c r="I128" s="390" t="n"/>
      <c r="J128" s="391" t="inlineStr">
        <is>
          <t>Qs=</t>
        </is>
      </c>
      <c r="K128" s="390" t="inlineStr">
        <is>
          <t>S a</t>
        </is>
      </c>
      <c r="L128" s="388" t="inlineStr">
        <is>
          <t>L</t>
        </is>
      </c>
      <c r="M128" s="389" t="inlineStr">
        <is>
          <t>R</t>
        </is>
      </c>
      <c r="N128" s="392" t="inlineStr">
        <is>
          <t>H</t>
        </is>
      </c>
      <c r="O128" s="393" t="inlineStr">
        <is>
          <t>D  T</t>
        </is>
      </c>
      <c r="P128" s="389" t="inlineStr">
        <is>
          <t>Ze</t>
        </is>
      </c>
      <c r="Q128" s="394" t="n"/>
    </row>
    <row r="129" ht="9.949999999999999" customFormat="1" customHeight="1" s="412">
      <c r="A129" s="395" t="inlineStr">
        <is>
          <t xml:space="preserve"> </t>
        </is>
      </c>
      <c r="B129" s="432" t="n"/>
      <c r="C129" s="397" t="n"/>
      <c r="D129" s="397" t="n"/>
      <c r="E129" s="398" t="n"/>
      <c r="F129" s="399" t="n"/>
      <c r="G129" s="400" t="n"/>
      <c r="H129" s="401" t="n"/>
      <c r="I129" s="402" t="n"/>
      <c r="J129" s="403" t="inlineStr">
        <is>
          <t>Qs  =</t>
        </is>
      </c>
      <c r="K129" s="404" t="n">
        <v>2</v>
      </c>
      <c r="L129" s="404" t="n">
        <v>0</v>
      </c>
      <c r="M129" s="404" t="n">
        <v>0.9</v>
      </c>
      <c r="N129" s="404" t="n">
        <v>0.67</v>
      </c>
      <c r="O129" s="381" t="n">
        <v>26</v>
      </c>
      <c r="P129" s="404" t="n">
        <v>1</v>
      </c>
      <c r="Q129" s="383">
        <f>K129*L129*M129*N129*O129*P129</f>
        <v/>
      </c>
    </row>
    <row r="130" ht="9.949999999999999" customFormat="1" customHeight="1" s="412">
      <c r="A130" s="405" t="n"/>
      <c r="B130" s="406" t="n"/>
      <c r="C130" s="397" t="n"/>
      <c r="D130" s="397" t="n"/>
      <c r="E130" s="378" t="n"/>
      <c r="F130" s="256" t="n"/>
      <c r="G130" s="407" t="n"/>
      <c r="H130" s="397" t="n"/>
      <c r="I130" s="397" t="n"/>
      <c r="J130" s="397" t="n"/>
      <c r="K130" s="407" t="n"/>
      <c r="L130" s="408" t="n"/>
      <c r="M130" s="409" t="inlineStr">
        <is>
          <t xml:space="preserve">   TOPLAM ISI KAYBI =</t>
        </is>
      </c>
      <c r="N130" s="409" t="n"/>
      <c r="O130" s="410" t="n"/>
      <c r="P130" s="409" t="n"/>
      <c r="Q130" s="411">
        <f>Q127+Q129</f>
        <v/>
      </c>
    </row>
    <row r="131" ht="10.35" customFormat="1" customHeight="1" s="351">
      <c r="A131" s="359" t="n"/>
      <c r="B131" s="360" t="n"/>
      <c r="C131" s="360" t="n"/>
      <c r="D131" s="360" t="n"/>
      <c r="E131" s="360" t="n"/>
      <c r="F131" s="361" t="inlineStr">
        <is>
          <t>1</t>
        </is>
      </c>
      <c r="G131" s="362" t="inlineStr">
        <is>
          <t>0</t>
        </is>
      </c>
      <c r="H131" s="360" t="inlineStr">
        <is>
          <t>125</t>
        </is>
      </c>
      <c r="I131" s="363" t="inlineStr">
        <is>
          <t>OFİS 3 LVB.WC</t>
        </is>
      </c>
      <c r="J131" s="364" t="n"/>
      <c r="K131" s="360" t="inlineStr">
        <is>
          <t>24ºC</t>
        </is>
      </c>
      <c r="L131" s="360" t="n"/>
      <c r="M131" s="360" t="n"/>
      <c r="N131" s="360" t="n"/>
      <c r="O131" s="360" t="n"/>
      <c r="P131" s="360" t="n"/>
      <c r="Q131" s="365" t="n"/>
    </row>
    <row r="132" ht="9.949999999999999" customHeight="1" s="244">
      <c r="A132" s="366" t="inlineStr">
        <is>
          <t>İD</t>
        </is>
      </c>
      <c r="B132" s="367" t="inlineStr"/>
      <c r="C132" s="368" t="n"/>
      <c r="D132" s="369" t="n">
        <v>6.6</v>
      </c>
      <c r="E132" s="369" t="n">
        <v>3</v>
      </c>
      <c r="F132" s="370">
        <f>IF(D132=0," ",D132*E132)</f>
        <v/>
      </c>
      <c r="G132" s="371" t="n">
        <v>1</v>
      </c>
      <c r="H132" s="372" t="n"/>
      <c r="I132" s="370">
        <f>IF(F132=" "," ",F132*G132-H132)</f>
        <v/>
      </c>
      <c r="J132" s="369" t="n">
        <v>1.915</v>
      </c>
      <c r="K132" s="371" t="n">
        <v>4</v>
      </c>
      <c r="L132" s="373">
        <f>IF(I132=" "," ",I132*J132*K132)</f>
        <v/>
      </c>
      <c r="M132" s="374" t="n">
        <v>7</v>
      </c>
      <c r="N132" s="371" t="n">
        <v>0</v>
      </c>
      <c r="O132" s="374" t="n">
        <v>0</v>
      </c>
      <c r="P132" s="370">
        <f>IF(M132=" "," ",(1+(M132+N132+O132)/100))</f>
        <v/>
      </c>
      <c r="Q132" s="375">
        <f>IF(L132=" "," ",L132*P132)</f>
        <v/>
      </c>
    </row>
    <row r="133" ht="9.949999999999999" customHeight="1" s="244">
      <c r="A133" s="376" t="n"/>
      <c r="B133" s="377" t="n"/>
      <c r="C133" s="377" t="n"/>
      <c r="D133" s="378" t="n"/>
      <c r="E133" s="378" t="n"/>
      <c r="F133" s="378" t="n"/>
      <c r="G133" s="379" t="n"/>
      <c r="H133" s="378" t="n"/>
      <c r="I133" s="378" t="n"/>
      <c r="J133" s="378" t="n"/>
      <c r="K133" s="379" t="n"/>
      <c r="L133" s="380" t="n"/>
      <c r="M133" s="381" t="n"/>
      <c r="N133" s="381" t="n"/>
      <c r="O133" s="381" t="n"/>
      <c r="P133" s="382" t="n"/>
      <c r="Q133" s="383">
        <f>SUM(Q132:Q132)</f>
        <v/>
      </c>
    </row>
    <row r="134" ht="9.949999999999999" customHeight="1" s="244">
      <c r="A134" s="384" t="n"/>
      <c r="B134" s="385" t="n"/>
      <c r="C134" s="385" t="n"/>
      <c r="D134" s="386" t="n"/>
      <c r="E134" s="387" t="n"/>
      <c r="F134" s="388" t="n"/>
      <c r="G134" s="389" t="n"/>
      <c r="H134" s="388" t="n"/>
      <c r="I134" s="390" t="n"/>
      <c r="J134" s="391" t="inlineStr">
        <is>
          <t>Qs=</t>
        </is>
      </c>
      <c r="K134" s="390" t="inlineStr">
        <is>
          <t>S a</t>
        </is>
      </c>
      <c r="L134" s="388" t="inlineStr">
        <is>
          <t>L</t>
        </is>
      </c>
      <c r="M134" s="389" t="inlineStr">
        <is>
          <t>R</t>
        </is>
      </c>
      <c r="N134" s="392" t="inlineStr">
        <is>
          <t>H</t>
        </is>
      </c>
      <c r="O134" s="393" t="inlineStr">
        <is>
          <t>D  T</t>
        </is>
      </c>
      <c r="P134" s="389" t="inlineStr">
        <is>
          <t>Ze</t>
        </is>
      </c>
      <c r="Q134" s="394" t="n"/>
    </row>
    <row r="135" ht="9.949999999999999" customHeight="1" s="244">
      <c r="A135" s="395" t="inlineStr">
        <is>
          <t xml:space="preserve"> </t>
        </is>
      </c>
      <c r="C135" s="397" t="n"/>
      <c r="D135" s="397" t="n"/>
      <c r="E135" s="398" t="n"/>
      <c r="F135" s="399" t="n"/>
      <c r="G135" s="400" t="n"/>
      <c r="H135" s="401" t="n"/>
      <c r="I135" s="402" t="n"/>
      <c r="J135" s="403" t="inlineStr">
        <is>
          <t>Qs  =</t>
        </is>
      </c>
      <c r="K135" s="404" t="n">
        <v>2</v>
      </c>
      <c r="L135" s="404" t="n">
        <v>0</v>
      </c>
      <c r="M135" s="404" t="n">
        <v>0.9</v>
      </c>
      <c r="N135" s="404" t="n">
        <v>0.67</v>
      </c>
      <c r="O135" s="381" t="n">
        <v>30</v>
      </c>
      <c r="P135" s="404" t="n">
        <v>1</v>
      </c>
      <c r="Q135" s="383">
        <f>K135*L135*M135*N135*O135*P135</f>
        <v/>
      </c>
    </row>
    <row r="136" ht="9.949999999999999" customHeight="1" s="244">
      <c r="A136" s="405" t="n"/>
      <c r="B136" s="406" t="n"/>
      <c r="C136" s="397" t="n"/>
      <c r="D136" s="397" t="n"/>
      <c r="E136" s="378" t="n"/>
      <c r="F136" s="256" t="n"/>
      <c r="G136" s="407" t="n"/>
      <c r="H136" s="397" t="n"/>
      <c r="I136" s="397" t="n"/>
      <c r="J136" s="397" t="n"/>
      <c r="K136" s="407" t="n"/>
      <c r="L136" s="408" t="n"/>
      <c r="M136" s="409" t="inlineStr">
        <is>
          <t xml:space="preserve">   TOPLAM ISI KAYBI =</t>
        </is>
      </c>
      <c r="N136" s="409" t="n"/>
      <c r="O136" s="410" t="n"/>
      <c r="P136" s="409" t="n"/>
      <c r="Q136" s="411">
        <f>Q133+Q135</f>
        <v/>
      </c>
    </row>
    <row r="137" ht="10.35" customHeight="1" s="244">
      <c r="A137" s="359" t="n"/>
      <c r="B137" s="360" t="n"/>
      <c r="C137" s="360" t="n"/>
      <c r="D137" s="360" t="n"/>
      <c r="E137" s="360" t="n"/>
      <c r="F137" s="361" t="inlineStr">
        <is>
          <t>1</t>
        </is>
      </c>
      <c r="G137" s="362" t="inlineStr">
        <is>
          <t>0</t>
        </is>
      </c>
      <c r="H137" s="360" t="inlineStr">
        <is>
          <t>129</t>
        </is>
      </c>
      <c r="I137" s="363" t="inlineStr">
        <is>
          <t>OFİS 3 HOL</t>
        </is>
      </c>
      <c r="J137" s="364" t="n"/>
      <c r="K137" s="360" t="inlineStr">
        <is>
          <t>18ºC</t>
        </is>
      </c>
      <c r="L137" s="360" t="n"/>
      <c r="M137" s="360" t="n"/>
      <c r="N137" s="360" t="n"/>
      <c r="O137" s="360" t="n"/>
      <c r="P137" s="360" t="n"/>
      <c r="Q137" s="365" t="n"/>
    </row>
    <row r="138" ht="9.949999999999999" customHeight="1" s="244">
      <c r="A138" s="366" t="inlineStr">
        <is>
          <t>İDM</t>
        </is>
      </c>
      <c r="B138" s="367" t="inlineStr"/>
      <c r="C138" s="368" t="n"/>
      <c r="D138" s="369" t="n">
        <v>1.3</v>
      </c>
      <c r="E138" s="369" t="n">
        <v>3</v>
      </c>
      <c r="F138" s="370">
        <f>IF(D138=0," ",D138*E138)</f>
        <v/>
      </c>
      <c r="G138" s="371" t="n">
        <v>1</v>
      </c>
      <c r="H138" s="372">
        <f>F139*G139</f>
        <v/>
      </c>
      <c r="I138" s="370">
        <f>IF(F138=" "," ",F138*G138-H138)</f>
        <v/>
      </c>
      <c r="J138" s="369" t="n">
        <v>0.332</v>
      </c>
      <c r="K138" s="371" t="n">
        <v>8</v>
      </c>
      <c r="L138" s="373">
        <f>IF(I138=" "," ",I138*J138*K138)</f>
        <v/>
      </c>
      <c r="M138" s="374" t="n">
        <v>7</v>
      </c>
      <c r="N138" s="371" t="n">
        <v>0</v>
      </c>
      <c r="O138" s="374" t="n">
        <v>0</v>
      </c>
      <c r="P138" s="370">
        <f>IF(M138=" "," ",(1+(M138+N138+O138)/100))</f>
        <v/>
      </c>
      <c r="Q138" s="375">
        <f>IF(L138=" "," ",L138*P138)</f>
        <v/>
      </c>
    </row>
    <row r="139" ht="9.949999999999999" customHeight="1" s="244">
      <c r="A139" s="366" t="inlineStr">
        <is>
          <t>DK</t>
        </is>
      </c>
      <c r="B139" s="367" t="inlineStr"/>
      <c r="C139" s="368" t="n"/>
      <c r="D139" s="369" t="n">
        <v>1</v>
      </c>
      <c r="E139" s="369" t="n">
        <v>2.2</v>
      </c>
      <c r="F139" s="370">
        <f>IF(D139=0," ",D139*E139)</f>
        <v/>
      </c>
      <c r="G139" s="371" t="n">
        <v>1</v>
      </c>
      <c r="H139" s="372" t="n"/>
      <c r="I139" s="370">
        <f>IF(F139=" "," ",F139*G139-H139)</f>
        <v/>
      </c>
      <c r="J139" s="369" t="n">
        <v>2</v>
      </c>
      <c r="K139" s="371" t="n">
        <v>8</v>
      </c>
      <c r="L139" s="373">
        <f>IF(I139=" "," ",I139*J139*K139)</f>
        <v/>
      </c>
      <c r="M139" s="374" t="n">
        <v>7</v>
      </c>
      <c r="N139" s="371" t="n">
        <v>0</v>
      </c>
      <c r="O139" s="374" t="n">
        <v>0</v>
      </c>
      <c r="P139" s="370">
        <f>IF(M139=" "," ",(1+(M139+N139+O139)/100))</f>
        <v/>
      </c>
      <c r="Q139" s="375">
        <f>IF(L139=" "," ",L139*P139)</f>
        <v/>
      </c>
    </row>
    <row r="140" ht="9.949999999999999" customHeight="1" s="244">
      <c r="A140" s="376" t="n"/>
      <c r="B140" s="377" t="n"/>
      <c r="C140" s="377" t="n"/>
      <c r="D140" s="378" t="n"/>
      <c r="E140" s="378" t="n"/>
      <c r="F140" s="378" t="n"/>
      <c r="G140" s="379" t="n"/>
      <c r="H140" s="378" t="n"/>
      <c r="I140" s="378" t="n"/>
      <c r="J140" s="378" t="n"/>
      <c r="K140" s="379" t="n"/>
      <c r="L140" s="380" t="n"/>
      <c r="M140" s="381" t="n"/>
      <c r="N140" s="381" t="n"/>
      <c r="O140" s="381" t="n"/>
      <c r="P140" s="382" t="n"/>
      <c r="Q140" s="383">
        <f>SUM(Q138:Q139)</f>
        <v/>
      </c>
    </row>
    <row r="141" ht="9.949999999999999" customHeight="1" s="244">
      <c r="A141" s="384" t="n"/>
      <c r="B141" s="385" t="n"/>
      <c r="C141" s="385" t="n"/>
      <c r="D141" s="386" t="n"/>
      <c r="E141" s="387" t="n"/>
      <c r="F141" s="388" t="n"/>
      <c r="G141" s="389" t="n"/>
      <c r="H141" s="388" t="n"/>
      <c r="I141" s="390" t="n"/>
      <c r="J141" s="391" t="inlineStr">
        <is>
          <t>Qs=</t>
        </is>
      </c>
      <c r="K141" s="390" t="inlineStr">
        <is>
          <t>S a</t>
        </is>
      </c>
      <c r="L141" s="388" t="inlineStr">
        <is>
          <t>L</t>
        </is>
      </c>
      <c r="M141" s="389" t="inlineStr">
        <is>
          <t>R</t>
        </is>
      </c>
      <c r="N141" s="392" t="inlineStr">
        <is>
          <t>H</t>
        </is>
      </c>
      <c r="O141" s="393" t="inlineStr">
        <is>
          <t>D  T</t>
        </is>
      </c>
      <c r="P141" s="389" t="inlineStr">
        <is>
          <t>Ze</t>
        </is>
      </c>
      <c r="Q141" s="394" t="n"/>
    </row>
    <row r="142" ht="9.949999999999999" customHeight="1" s="244">
      <c r="A142" s="395" t="inlineStr">
        <is>
          <t xml:space="preserve"> </t>
        </is>
      </c>
      <c r="C142" s="397" t="n"/>
      <c r="D142" s="397" t="n"/>
      <c r="E142" s="398" t="n"/>
      <c r="F142" s="399" t="n"/>
      <c r="G142" s="400" t="n"/>
      <c r="H142" s="401" t="n"/>
      <c r="I142" s="402" t="n"/>
      <c r="J142" s="403" t="inlineStr">
        <is>
          <t>Qs  =</t>
        </is>
      </c>
      <c r="K142" s="404" t="n">
        <v>2</v>
      </c>
      <c r="L142" s="404" t="n">
        <v>0</v>
      </c>
      <c r="M142" s="404" t="n">
        <v>0.9</v>
      </c>
      <c r="N142" s="404" t="n">
        <v>0.67</v>
      </c>
      <c r="O142" s="381" t="n">
        <v>24</v>
      </c>
      <c r="P142" s="404" t="n">
        <v>1</v>
      </c>
      <c r="Q142" s="383">
        <f>K142*L142*M142*N142*O142*P142</f>
        <v/>
      </c>
    </row>
    <row r="143" ht="9.949999999999999" customHeight="1" s="244">
      <c r="A143" s="405" t="n"/>
      <c r="B143" s="406" t="n"/>
      <c r="C143" s="397" t="n"/>
      <c r="D143" s="397" t="n"/>
      <c r="E143" s="378" t="n"/>
      <c r="F143" s="256" t="n"/>
      <c r="G143" s="407" t="n"/>
      <c r="H143" s="397" t="n"/>
      <c r="I143" s="397" t="n"/>
      <c r="J143" s="397" t="n"/>
      <c r="K143" s="407" t="n"/>
      <c r="L143" s="408" t="n"/>
      <c r="M143" s="409" t="inlineStr">
        <is>
          <t xml:space="preserve">   TOPLAM ISI KAYBI =</t>
        </is>
      </c>
      <c r="N143" s="409" t="n"/>
      <c r="O143" s="410" t="n"/>
      <c r="P143" s="409" t="n"/>
      <c r="Q143" s="411">
        <f>Q140+Q142</f>
        <v/>
      </c>
    </row>
    <row r="144" ht="10.35" customHeight="1" s="244">
      <c r="A144" s="359" t="n"/>
      <c r="B144" s="360" t="n"/>
      <c r="C144" s="360" t="n"/>
      <c r="D144" s="360" t="n"/>
      <c r="E144" s="360" t="n"/>
      <c r="F144" s="361" t="inlineStr">
        <is>
          <t>1</t>
        </is>
      </c>
      <c r="G144" s="362" t="inlineStr">
        <is>
          <t>0</t>
        </is>
      </c>
      <c r="H144" s="360" t="inlineStr">
        <is>
          <t>131</t>
        </is>
      </c>
      <c r="I144" s="363" t="inlineStr">
        <is>
          <t>OFİS 4 ODA</t>
        </is>
      </c>
      <c r="J144" s="364" t="n"/>
      <c r="K144" s="360" t="inlineStr">
        <is>
          <t>20ºC</t>
        </is>
      </c>
      <c r="L144" s="360" t="n"/>
      <c r="M144" s="360" t="n"/>
      <c r="N144" s="360" t="n"/>
      <c r="O144" s="360" t="n"/>
      <c r="P144" s="360" t="n"/>
      <c r="Q144" s="365" t="n"/>
    </row>
    <row r="145" ht="9.949999999999999" customHeight="1" s="244">
      <c r="A145" s="366" t="inlineStr">
        <is>
          <t>DD</t>
        </is>
      </c>
      <c r="B145" s="367" t="inlineStr">
        <is>
          <t>K</t>
        </is>
      </c>
      <c r="C145" s="368" t="n"/>
      <c r="D145" s="369" t="n">
        <v>3.8</v>
      </c>
      <c r="E145" s="369" t="n">
        <v>2.5</v>
      </c>
      <c r="F145" s="370">
        <f>IF(D145=0," ",D145*E145)</f>
        <v/>
      </c>
      <c r="G145" s="371" t="n">
        <v>1</v>
      </c>
      <c r="H145" s="372">
        <f>F147*G147</f>
        <v/>
      </c>
      <c r="I145" s="370">
        <f>IF(F145=" "," ",F145*G145-H145)</f>
        <v/>
      </c>
      <c r="J145" s="369" t="n">
        <v>0.344</v>
      </c>
      <c r="K145" s="371" t="n">
        <v>26</v>
      </c>
      <c r="L145" s="373">
        <f>IF(I145=" "," ",I145*J145*K145)</f>
        <v/>
      </c>
      <c r="M145" s="374" t="n">
        <v>7</v>
      </c>
      <c r="N145" s="371" t="n">
        <v>0</v>
      </c>
      <c r="O145" s="374" t="n">
        <v>5</v>
      </c>
      <c r="P145" s="370">
        <f>IF(M145=" "," ",(1+(M145+N145+O145)/100))</f>
        <v/>
      </c>
      <c r="Q145" s="375">
        <f>IF(L145=" "," ",L145*P145)</f>
        <v/>
      </c>
    </row>
    <row r="146" ht="9.949999999999999" customHeight="1" s="244">
      <c r="A146" s="366" t="inlineStr">
        <is>
          <t>DD25</t>
        </is>
      </c>
      <c r="B146" s="367" t="inlineStr">
        <is>
          <t>K</t>
        </is>
      </c>
      <c r="C146" s="368" t="n"/>
      <c r="D146" s="369">
        <f>D145</f>
        <v/>
      </c>
      <c r="E146" s="369" t="n">
        <v>0.5</v>
      </c>
      <c r="F146" s="370">
        <f>IF(D146=0," ",D146*E146)</f>
        <v/>
      </c>
      <c r="G146" s="371" t="n">
        <v>1</v>
      </c>
      <c r="H146" s="372" t="n"/>
      <c r="I146" s="370">
        <f>IF(F146=" "," ",F146*G146-H146)</f>
        <v/>
      </c>
      <c r="J146" s="369" t="n">
        <v>0.387</v>
      </c>
      <c r="K146" s="371" t="n">
        <v>26</v>
      </c>
      <c r="L146" s="373">
        <f>IF(I146=" "," ",I146*J146*K146)</f>
        <v/>
      </c>
      <c r="M146" s="374" t="n">
        <v>7</v>
      </c>
      <c r="N146" s="371" t="n">
        <v>0</v>
      </c>
      <c r="O146" s="374" t="n">
        <v>5</v>
      </c>
      <c r="P146" s="370">
        <f>IF(M146=" "," ",(1+(M146+N146+O146)/100))</f>
        <v/>
      </c>
      <c r="Q146" s="375">
        <f>IF(L146=" "," ",L146*P146)</f>
        <v/>
      </c>
    </row>
    <row r="147" ht="9.949999999999999" customHeight="1" s="244">
      <c r="A147" s="366" t="inlineStr">
        <is>
          <t>ÇP</t>
        </is>
      </c>
      <c r="B147" s="367" t="inlineStr">
        <is>
          <t>K</t>
        </is>
      </c>
      <c r="C147" s="368" t="n"/>
      <c r="D147" s="369" t="n">
        <v>3.4</v>
      </c>
      <c r="E147" s="369" t="n">
        <v>2.7</v>
      </c>
      <c r="F147" s="370">
        <f>IF(D147=0," ",D147*E147)</f>
        <v/>
      </c>
      <c r="G147" s="371" t="n">
        <v>1</v>
      </c>
      <c r="H147" s="372" t="n"/>
      <c r="I147" s="370">
        <f>IF(F147=" "," ",F147*G147-H147)</f>
        <v/>
      </c>
      <c r="J147" s="369" t="n">
        <v>1.8</v>
      </c>
      <c r="K147" s="371" t="n">
        <v>26</v>
      </c>
      <c r="L147" s="373">
        <f>IF(I147=" "," ",I147*J147*K147)</f>
        <v/>
      </c>
      <c r="M147" s="374" t="n">
        <v>7</v>
      </c>
      <c r="N147" s="371" t="n">
        <v>0</v>
      </c>
      <c r="O147" s="374" t="n">
        <v>5</v>
      </c>
      <c r="P147" s="370">
        <f>IF(M147=" "," ",(1+(M147+N147+O147)/100))</f>
        <v/>
      </c>
      <c r="Q147" s="375">
        <f>IF(L147=" "," ",L147*P147)</f>
        <v/>
      </c>
    </row>
    <row r="148" ht="9.949999999999999" customHeight="1" s="244">
      <c r="A148" s="366" t="inlineStr">
        <is>
          <t>İDM</t>
        </is>
      </c>
      <c r="B148" s="367" t="inlineStr"/>
      <c r="C148" s="368" t="n"/>
      <c r="D148" s="369" t="n">
        <v>4.4</v>
      </c>
      <c r="E148" s="369" t="n">
        <v>3</v>
      </c>
      <c r="F148" s="370">
        <f>IF(D148=0," ",D148*E148)</f>
        <v/>
      </c>
      <c r="G148" s="371" t="n">
        <v>1</v>
      </c>
      <c r="H148" s="372" t="n"/>
      <c r="I148" s="370">
        <f>IF(F148=" "," ",F148*G148-H148)</f>
        <v/>
      </c>
      <c r="J148" s="369" t="n">
        <v>0.332</v>
      </c>
      <c r="K148" s="371" t="n">
        <v>5</v>
      </c>
      <c r="L148" s="373">
        <f>IF(I148=" "," ",I148*J148*K148)</f>
        <v/>
      </c>
      <c r="M148" s="374" t="n">
        <v>7</v>
      </c>
      <c r="N148" s="371" t="n">
        <v>0</v>
      </c>
      <c r="O148" s="374" t="n">
        <v>0</v>
      </c>
      <c r="P148" s="370">
        <f>IF(M148=" "," ",(1+(M148+N148+O148)/100))</f>
        <v/>
      </c>
      <c r="Q148" s="375">
        <f>IF(L148=" "," ",L148*P148)</f>
        <v/>
      </c>
    </row>
    <row r="149" ht="9.949999999999999" customHeight="1" s="244">
      <c r="A149" s="376" t="n"/>
      <c r="B149" s="377" t="n"/>
      <c r="C149" s="377" t="n"/>
      <c r="D149" s="378" t="n"/>
      <c r="E149" s="378" t="n"/>
      <c r="F149" s="378" t="n"/>
      <c r="G149" s="379" t="n"/>
      <c r="H149" s="378" t="n"/>
      <c r="I149" s="378" t="n"/>
      <c r="J149" s="378" t="n"/>
      <c r="K149" s="379" t="n"/>
      <c r="L149" s="380" t="n"/>
      <c r="M149" s="381" t="n"/>
      <c r="N149" s="381" t="n"/>
      <c r="O149" s="381" t="n"/>
      <c r="P149" s="382" t="n"/>
      <c r="Q149" s="383">
        <f>SUM(Q145:Q148)</f>
        <v/>
      </c>
    </row>
    <row r="150" ht="9.949999999999999" customHeight="1" s="244">
      <c r="A150" s="384" t="n"/>
      <c r="B150" s="385" t="n"/>
      <c r="C150" s="385" t="n"/>
      <c r="D150" s="386" t="n"/>
      <c r="E150" s="387" t="n"/>
      <c r="F150" s="388" t="n"/>
      <c r="G150" s="389" t="n"/>
      <c r="H150" s="388" t="n"/>
      <c r="I150" s="390" t="n"/>
      <c r="J150" s="391" t="inlineStr">
        <is>
          <t>Qs=</t>
        </is>
      </c>
      <c r="K150" s="390" t="inlineStr">
        <is>
          <t>S a</t>
        </is>
      </c>
      <c r="L150" s="388" t="inlineStr">
        <is>
          <t>L</t>
        </is>
      </c>
      <c r="M150" s="389" t="inlineStr">
        <is>
          <t>R</t>
        </is>
      </c>
      <c r="N150" s="392" t="inlineStr">
        <is>
          <t>H</t>
        </is>
      </c>
      <c r="O150" s="393" t="inlineStr">
        <is>
          <t>D  T</t>
        </is>
      </c>
      <c r="P150" s="389" t="inlineStr">
        <is>
          <t>Ze</t>
        </is>
      </c>
      <c r="Q150" s="394" t="n"/>
    </row>
    <row r="151" ht="9.949999999999999" customHeight="1" s="244">
      <c r="A151" s="395" t="inlineStr">
        <is>
          <t xml:space="preserve"> </t>
        </is>
      </c>
      <c r="C151" s="397" t="n"/>
      <c r="D151" s="397" t="n"/>
      <c r="E151" s="398" t="n"/>
      <c r="F151" s="399" t="n"/>
      <c r="G151" s="400" t="n"/>
      <c r="H151" s="401" t="n"/>
      <c r="I151" s="402" t="n"/>
      <c r="J151" s="403" t="inlineStr">
        <is>
          <t>Qs  =</t>
        </is>
      </c>
      <c r="K151" s="404" t="n">
        <v>2</v>
      </c>
      <c r="L151" s="404">
        <f>(D147+E147)*2*G147</f>
        <v/>
      </c>
      <c r="M151" s="404" t="n">
        <v>0.9</v>
      </c>
      <c r="N151" s="404" t="n">
        <v>0.67</v>
      </c>
      <c r="O151" s="381" t="n">
        <v>26</v>
      </c>
      <c r="P151" s="404" t="n">
        <v>1</v>
      </c>
      <c r="Q151" s="383">
        <f>K151*L151*M151*N151*O151*P151</f>
        <v/>
      </c>
    </row>
    <row r="152" ht="9.949999999999999" customHeight="1" s="244">
      <c r="A152" s="405" t="n"/>
      <c r="B152" s="406" t="n"/>
      <c r="C152" s="397" t="n"/>
      <c r="D152" s="397" t="n"/>
      <c r="E152" s="378" t="n"/>
      <c r="F152" s="256" t="n"/>
      <c r="G152" s="407" t="n"/>
      <c r="H152" s="397" t="n"/>
      <c r="I152" s="397" t="n"/>
      <c r="J152" s="397" t="n"/>
      <c r="K152" s="407" t="n"/>
      <c r="L152" s="408" t="n"/>
      <c r="M152" s="409" t="inlineStr">
        <is>
          <t xml:space="preserve">   TOPLAM ISI KAYBI =</t>
        </is>
      </c>
      <c r="N152" s="409" t="n"/>
      <c r="O152" s="410" t="n"/>
      <c r="P152" s="409" t="n"/>
      <c r="Q152" s="411">
        <f>Q149+Q151</f>
        <v/>
      </c>
    </row>
    <row r="153" ht="10.35" customHeight="1" s="244">
      <c r="A153" s="359" t="n"/>
      <c r="B153" s="360" t="n"/>
      <c r="C153" s="360" t="n"/>
      <c r="D153" s="360" t="n"/>
      <c r="E153" s="360" t="n"/>
      <c r="F153" s="361" t="inlineStr">
        <is>
          <t>1</t>
        </is>
      </c>
      <c r="G153" s="362" t="inlineStr">
        <is>
          <t>0</t>
        </is>
      </c>
      <c r="H153" s="360" t="inlineStr">
        <is>
          <t>132</t>
        </is>
      </c>
      <c r="I153" s="363" t="inlineStr">
        <is>
          <t>OFİS 4 ODA</t>
        </is>
      </c>
      <c r="J153" s="364" t="n"/>
      <c r="K153" s="360" t="inlineStr">
        <is>
          <t>20ºC</t>
        </is>
      </c>
      <c r="L153" s="360" t="n"/>
      <c r="M153" s="360" t="n"/>
      <c r="N153" s="360" t="n"/>
      <c r="O153" s="360" t="n"/>
      <c r="P153" s="360" t="n"/>
      <c r="Q153" s="365" t="n"/>
    </row>
    <row r="154" ht="9.949999999999999" customHeight="1" s="244">
      <c r="A154" s="366" t="inlineStr">
        <is>
          <t>DD</t>
        </is>
      </c>
      <c r="B154" s="367" t="inlineStr">
        <is>
          <t>G</t>
        </is>
      </c>
      <c r="C154" s="368" t="n"/>
      <c r="D154" s="369" t="n">
        <v>2.5</v>
      </c>
      <c r="E154" s="369" t="n">
        <v>2.5</v>
      </c>
      <c r="F154" s="370">
        <f>IF(D154=0," ",D154*E154)</f>
        <v/>
      </c>
      <c r="G154" s="371" t="n">
        <v>1</v>
      </c>
      <c r="H154" s="372">
        <f>F156*G156</f>
        <v/>
      </c>
      <c r="I154" s="370">
        <f>IF(F154=" "," ",F154*G154-H154)</f>
        <v/>
      </c>
      <c r="J154" s="369" t="n">
        <v>0.344</v>
      </c>
      <c r="K154" s="371" t="n">
        <v>26</v>
      </c>
      <c r="L154" s="373">
        <f>IF(I154=" "," ",I154*J154*K154)</f>
        <v/>
      </c>
      <c r="M154" s="374" t="n">
        <v>7</v>
      </c>
      <c r="N154" s="371" t="n">
        <v>0</v>
      </c>
      <c r="O154" s="374" t="n">
        <v>-5</v>
      </c>
      <c r="P154" s="370">
        <f>IF(M154=" "," ",(1+(M154+N154+O154)/100))</f>
        <v/>
      </c>
      <c r="Q154" s="375">
        <f>IF(L154=" "," ",L154*P154)</f>
        <v/>
      </c>
    </row>
    <row r="155" ht="9.949999999999999" customHeight="1" s="244">
      <c r="A155" s="366" t="inlineStr">
        <is>
          <t>DD25</t>
        </is>
      </c>
      <c r="B155" s="367" t="inlineStr">
        <is>
          <t>G</t>
        </is>
      </c>
      <c r="C155" s="368" t="n"/>
      <c r="D155" s="369">
        <f>D154</f>
        <v/>
      </c>
      <c r="E155" s="369" t="n">
        <v>0.5</v>
      </c>
      <c r="F155" s="370">
        <f>IF(D155=0," ",D155*E155)</f>
        <v/>
      </c>
      <c r="G155" s="371" t="n">
        <v>1</v>
      </c>
      <c r="H155" s="372" t="n"/>
      <c r="I155" s="370">
        <f>IF(F155=" "," ",F155*G155-H155)</f>
        <v/>
      </c>
      <c r="J155" s="369" t="n">
        <v>0.387</v>
      </c>
      <c r="K155" s="371" t="n">
        <v>26</v>
      </c>
      <c r="L155" s="373">
        <f>IF(I155=" "," ",I155*J155*K155)</f>
        <v/>
      </c>
      <c r="M155" s="374" t="n">
        <v>7</v>
      </c>
      <c r="N155" s="371" t="n">
        <v>0</v>
      </c>
      <c r="O155" s="374" t="n">
        <v>-5</v>
      </c>
      <c r="P155" s="370">
        <f>IF(M155=" "," ",(1+(M155+N155+O155)/100))</f>
        <v/>
      </c>
      <c r="Q155" s="375">
        <f>IF(L155=" "," ",L155*P155)</f>
        <v/>
      </c>
    </row>
    <row r="156" ht="9.949999999999999" customHeight="1" s="244">
      <c r="A156" s="366" t="inlineStr">
        <is>
          <t>ÇP</t>
        </is>
      </c>
      <c r="B156" s="367" t="inlineStr">
        <is>
          <t>G</t>
        </is>
      </c>
      <c r="C156" s="368" t="n"/>
      <c r="D156" s="369" t="n">
        <v>2.45</v>
      </c>
      <c r="E156" s="369" t="n">
        <v>2.7</v>
      </c>
      <c r="F156" s="370">
        <f>IF(D156=0," ",D156*E156)</f>
        <v/>
      </c>
      <c r="G156" s="371" t="n">
        <v>1</v>
      </c>
      <c r="H156" s="372" t="n"/>
      <c r="I156" s="370">
        <f>IF(F156=" "," ",F156*G156-H156)</f>
        <v/>
      </c>
      <c r="J156" s="369" t="n">
        <v>1.8</v>
      </c>
      <c r="K156" s="371" t="n">
        <v>26</v>
      </c>
      <c r="L156" s="373">
        <f>IF(I156=" "," ",I156*J156*K156)</f>
        <v/>
      </c>
      <c r="M156" s="374" t="n">
        <v>7</v>
      </c>
      <c r="N156" s="371" t="n">
        <v>0</v>
      </c>
      <c r="O156" s="374" t="n">
        <v>-5</v>
      </c>
      <c r="P156" s="370">
        <f>IF(M156=" "," ",(1+(M156+N156+O156)/100))</f>
        <v/>
      </c>
      <c r="Q156" s="375">
        <f>IF(L156=" "," ",L156*P156)</f>
        <v/>
      </c>
    </row>
    <row r="157" ht="9.949999999999999" customHeight="1" s="244">
      <c r="A157" s="366" t="inlineStr">
        <is>
          <t>İDM</t>
        </is>
      </c>
      <c r="B157" s="367" t="inlineStr"/>
      <c r="C157" s="368" t="n"/>
      <c r="D157" s="369" t="n">
        <v>3.5</v>
      </c>
      <c r="E157" s="369" t="n">
        <v>3</v>
      </c>
      <c r="F157" s="370">
        <f>IF(D157=0," ",D157*E157)</f>
        <v/>
      </c>
      <c r="G157" s="371" t="n">
        <v>1</v>
      </c>
      <c r="H157" s="372" t="n"/>
      <c r="I157" s="370">
        <f>IF(F157=" "," ",F157*G157-H157)</f>
        <v/>
      </c>
      <c r="J157" s="369" t="n">
        <v>0.332</v>
      </c>
      <c r="K157" s="371" t="n">
        <v>5</v>
      </c>
      <c r="L157" s="373">
        <f>IF(I157=" "," ",I157*J157*K157)</f>
        <v/>
      </c>
      <c r="M157" s="374" t="n">
        <v>7</v>
      </c>
      <c r="N157" s="371" t="n">
        <v>0</v>
      </c>
      <c r="O157" s="374" t="n">
        <v>0</v>
      </c>
      <c r="P157" s="370">
        <f>IF(M157=" "," ",(1+(M157+N157+O157)/100))</f>
        <v/>
      </c>
      <c r="Q157" s="375">
        <f>IF(L157=" "," ",L157*P157)</f>
        <v/>
      </c>
    </row>
    <row r="158" ht="9.949999999999999" customHeight="1" s="244">
      <c r="A158" s="376" t="n"/>
      <c r="B158" s="377" t="n"/>
      <c r="C158" s="377" t="n"/>
      <c r="D158" s="378" t="n"/>
      <c r="E158" s="378" t="n"/>
      <c r="F158" s="378" t="n"/>
      <c r="G158" s="379" t="n"/>
      <c r="H158" s="378" t="n"/>
      <c r="I158" s="378" t="n"/>
      <c r="J158" s="378" t="n"/>
      <c r="K158" s="379" t="n"/>
      <c r="L158" s="380" t="n"/>
      <c r="M158" s="381" t="n"/>
      <c r="N158" s="381" t="n"/>
      <c r="O158" s="381" t="n"/>
      <c r="P158" s="382" t="n"/>
      <c r="Q158" s="383">
        <f>SUM(Q154:Q157)</f>
        <v/>
      </c>
    </row>
    <row r="159" ht="9.949999999999999" customHeight="1" s="244">
      <c r="A159" s="384" t="n"/>
      <c r="B159" s="385" t="n"/>
      <c r="C159" s="385" t="n"/>
      <c r="D159" s="386" t="n"/>
      <c r="E159" s="387" t="n"/>
      <c r="F159" s="388" t="n"/>
      <c r="G159" s="389" t="n"/>
      <c r="H159" s="388" t="n"/>
      <c r="I159" s="390" t="n"/>
      <c r="J159" s="391" t="inlineStr">
        <is>
          <t>Qs=</t>
        </is>
      </c>
      <c r="K159" s="390" t="inlineStr">
        <is>
          <t>S a</t>
        </is>
      </c>
      <c r="L159" s="388" t="inlineStr">
        <is>
          <t>L</t>
        </is>
      </c>
      <c r="M159" s="389" t="inlineStr">
        <is>
          <t>R</t>
        </is>
      </c>
      <c r="N159" s="392" t="inlineStr">
        <is>
          <t>H</t>
        </is>
      </c>
      <c r="O159" s="393" t="inlineStr">
        <is>
          <t>D  T</t>
        </is>
      </c>
      <c r="P159" s="389" t="inlineStr">
        <is>
          <t>Ze</t>
        </is>
      </c>
      <c r="Q159" s="394" t="n"/>
    </row>
    <row r="160" ht="9.949999999999999" customHeight="1" s="244">
      <c r="A160" s="395" t="inlineStr">
        <is>
          <t xml:space="preserve"> </t>
        </is>
      </c>
      <c r="C160" s="397" t="n"/>
      <c r="D160" s="397" t="n"/>
      <c r="E160" s="398" t="n"/>
      <c r="F160" s="399" t="n"/>
      <c r="G160" s="400" t="n"/>
      <c r="H160" s="401" t="n"/>
      <c r="I160" s="402" t="n"/>
      <c r="J160" s="403" t="inlineStr">
        <is>
          <t>Qs  =</t>
        </is>
      </c>
      <c r="K160" s="404" t="n">
        <v>2</v>
      </c>
      <c r="L160" s="404">
        <f>(D156+E156)*2*G156</f>
        <v/>
      </c>
      <c r="M160" s="404" t="n">
        <v>0.9</v>
      </c>
      <c r="N160" s="404" t="n">
        <v>0.67</v>
      </c>
      <c r="O160" s="381" t="n">
        <v>26</v>
      </c>
      <c r="P160" s="404" t="n">
        <v>1</v>
      </c>
      <c r="Q160" s="383">
        <f>K160*L160*M160*N160*O160*P160</f>
        <v/>
      </c>
    </row>
    <row r="161" ht="9.949999999999999" customHeight="1" s="244">
      <c r="A161" s="405" t="n"/>
      <c r="B161" s="406" t="n"/>
      <c r="C161" s="397" t="n"/>
      <c r="D161" s="397" t="n"/>
      <c r="E161" s="378" t="n"/>
      <c r="F161" s="256" t="n"/>
      <c r="G161" s="407" t="n"/>
      <c r="H161" s="397" t="n"/>
      <c r="I161" s="397" t="n"/>
      <c r="J161" s="397" t="n"/>
      <c r="K161" s="407" t="n"/>
      <c r="L161" s="408" t="n"/>
      <c r="M161" s="409" t="inlineStr">
        <is>
          <t xml:space="preserve">   TOPLAM ISI KAYBI =</t>
        </is>
      </c>
      <c r="N161" s="409" t="n"/>
      <c r="O161" s="410" t="n"/>
      <c r="P161" s="409" t="n"/>
      <c r="Q161" s="411">
        <f>Q158+Q160</f>
        <v/>
      </c>
    </row>
    <row r="162" ht="10.35" customHeight="1" s="244">
      <c r="A162" s="359" t="n"/>
      <c r="B162" s="360" t="n"/>
      <c r="C162" s="360" t="n"/>
      <c r="D162" s="360" t="n"/>
      <c r="E162" s="360" t="n"/>
      <c r="F162" s="361" t="inlineStr">
        <is>
          <t>1</t>
        </is>
      </c>
      <c r="G162" s="362" t="inlineStr">
        <is>
          <t>0</t>
        </is>
      </c>
      <c r="H162" s="360" t="inlineStr">
        <is>
          <t>133</t>
        </is>
      </c>
      <c r="I162" s="363" t="inlineStr">
        <is>
          <t>OFİS 4 ODA</t>
        </is>
      </c>
      <c r="J162" s="364" t="n"/>
      <c r="K162" s="360" t="inlineStr">
        <is>
          <t>20ºC</t>
        </is>
      </c>
      <c r="L162" s="360" t="n"/>
      <c r="M162" s="360" t="n"/>
      <c r="N162" s="360" t="n"/>
      <c r="O162" s="360" t="n"/>
      <c r="P162" s="360" t="n"/>
      <c r="Q162" s="365" t="n"/>
    </row>
    <row r="163" ht="9.949999999999999" customHeight="1" s="244">
      <c r="A163" s="366" t="inlineStr">
        <is>
          <t>DD</t>
        </is>
      </c>
      <c r="B163" s="367" t="inlineStr">
        <is>
          <t>G</t>
        </is>
      </c>
      <c r="C163" s="368" t="n"/>
      <c r="D163" s="369" t="n">
        <v>4.45</v>
      </c>
      <c r="E163" s="369" t="n">
        <v>2.5</v>
      </c>
      <c r="F163" s="370">
        <f>IF(D163=0," ",D163*E163)</f>
        <v/>
      </c>
      <c r="G163" s="371" t="n">
        <v>1</v>
      </c>
      <c r="H163" s="372">
        <f>F165*G165</f>
        <v/>
      </c>
      <c r="I163" s="370">
        <f>IF(F163=" "," ",F163*G163-H163)</f>
        <v/>
      </c>
      <c r="J163" s="369" t="n">
        <v>0.344</v>
      </c>
      <c r="K163" s="371" t="n">
        <v>26</v>
      </c>
      <c r="L163" s="373">
        <f>IF(I163=" "," ",I163*J163*K163)</f>
        <v/>
      </c>
      <c r="M163" s="374" t="n">
        <v>7</v>
      </c>
      <c r="N163" s="371" t="n">
        <v>0</v>
      </c>
      <c r="O163" s="374" t="n">
        <v>-5</v>
      </c>
      <c r="P163" s="370">
        <f>IF(M163=" "," ",(1+(M163+N163+O163)/100))</f>
        <v/>
      </c>
      <c r="Q163" s="375">
        <f>IF(L163=" "," ",L163*P163)</f>
        <v/>
      </c>
    </row>
    <row r="164" ht="9.949999999999999" customHeight="1" s="244">
      <c r="A164" s="366" t="inlineStr">
        <is>
          <t>DD25</t>
        </is>
      </c>
      <c r="B164" s="367" t="inlineStr">
        <is>
          <t>G</t>
        </is>
      </c>
      <c r="C164" s="368" t="n"/>
      <c r="D164" s="369">
        <f>D163</f>
        <v/>
      </c>
      <c r="E164" s="369" t="n">
        <v>0.5</v>
      </c>
      <c r="F164" s="370">
        <f>IF(D164=0," ",D164*E164)</f>
        <v/>
      </c>
      <c r="G164" s="371" t="n">
        <v>1</v>
      </c>
      <c r="H164" s="372" t="n"/>
      <c r="I164" s="370">
        <f>IF(F164=" "," ",F164*G164-H164)</f>
        <v/>
      </c>
      <c r="J164" s="369" t="n">
        <v>0.387</v>
      </c>
      <c r="K164" s="371" t="n">
        <v>26</v>
      </c>
      <c r="L164" s="373">
        <f>IF(I164=" "," ",I164*J164*K164)</f>
        <v/>
      </c>
      <c r="M164" s="374" t="n">
        <v>7</v>
      </c>
      <c r="N164" s="371" t="n">
        <v>0</v>
      </c>
      <c r="O164" s="374" t="n">
        <v>-5</v>
      </c>
      <c r="P164" s="370">
        <f>IF(M164=" "," ",(1+(M164+N164+O164)/100))</f>
        <v/>
      </c>
      <c r="Q164" s="375">
        <f>IF(L164=" "," ",L164*P164)</f>
        <v/>
      </c>
    </row>
    <row r="165" ht="9.949999999999999" customHeight="1" s="244">
      <c r="A165" s="366" t="inlineStr">
        <is>
          <t>ÇP</t>
        </is>
      </c>
      <c r="B165" s="367" t="inlineStr">
        <is>
          <t>G</t>
        </is>
      </c>
      <c r="C165" s="368" t="n"/>
      <c r="D165" s="369" t="n">
        <v>3.8</v>
      </c>
      <c r="E165" s="369" t="n">
        <v>2.7</v>
      </c>
      <c r="F165" s="370">
        <f>IF(D165=0," ",D165*E165)</f>
        <v/>
      </c>
      <c r="G165" s="371" t="n">
        <v>1</v>
      </c>
      <c r="H165" s="372" t="n"/>
      <c r="I165" s="370">
        <f>IF(F165=" "," ",F165*G165-H165)</f>
        <v/>
      </c>
      <c r="J165" s="369" t="n">
        <v>1.8</v>
      </c>
      <c r="K165" s="371" t="n">
        <v>26</v>
      </c>
      <c r="L165" s="373">
        <f>IF(I165=" "," ",I165*J165*K165)</f>
        <v/>
      </c>
      <c r="M165" s="374" t="n">
        <v>7</v>
      </c>
      <c r="N165" s="371" t="n">
        <v>0</v>
      </c>
      <c r="O165" s="374" t="n">
        <v>-5</v>
      </c>
      <c r="P165" s="370">
        <f>IF(M165=" "," ",(1+(M165+N165+O165)/100))</f>
        <v/>
      </c>
      <c r="Q165" s="375">
        <f>IF(L165=" "," ",L165*P165)</f>
        <v/>
      </c>
    </row>
    <row r="166" ht="9.949999999999999" customHeight="1" s="244">
      <c r="A166" s="376" t="n"/>
      <c r="B166" s="377" t="n"/>
      <c r="C166" s="377" t="n"/>
      <c r="D166" s="378" t="n"/>
      <c r="E166" s="378" t="n"/>
      <c r="F166" s="378" t="n"/>
      <c r="G166" s="379" t="n"/>
      <c r="H166" s="378" t="n"/>
      <c r="I166" s="378" t="n"/>
      <c r="J166" s="378" t="n"/>
      <c r="K166" s="379" t="n"/>
      <c r="L166" s="380" t="n"/>
      <c r="M166" s="381" t="n"/>
      <c r="N166" s="381" t="n"/>
      <c r="O166" s="381" t="n"/>
      <c r="P166" s="382" t="n"/>
      <c r="Q166" s="383">
        <f>SUM(Q163:Q165)</f>
        <v/>
      </c>
    </row>
    <row r="167" ht="9.949999999999999" customHeight="1" s="244">
      <c r="A167" s="384" t="n"/>
      <c r="B167" s="385" t="n"/>
      <c r="C167" s="385" t="n"/>
      <c r="D167" s="386" t="n"/>
      <c r="E167" s="387" t="n"/>
      <c r="F167" s="388" t="n"/>
      <c r="G167" s="389" t="n"/>
      <c r="H167" s="388" t="n"/>
      <c r="I167" s="390" t="n"/>
      <c r="J167" s="391" t="inlineStr">
        <is>
          <t>Qs=</t>
        </is>
      </c>
      <c r="K167" s="390" t="inlineStr">
        <is>
          <t>S a</t>
        </is>
      </c>
      <c r="L167" s="388" t="inlineStr">
        <is>
          <t>L</t>
        </is>
      </c>
      <c r="M167" s="389" t="inlineStr">
        <is>
          <t>R</t>
        </is>
      </c>
      <c r="N167" s="392" t="inlineStr">
        <is>
          <t>H</t>
        </is>
      </c>
      <c r="O167" s="393" t="inlineStr">
        <is>
          <t>D  T</t>
        </is>
      </c>
      <c r="P167" s="389" t="inlineStr">
        <is>
          <t>Ze</t>
        </is>
      </c>
      <c r="Q167" s="394" t="n"/>
    </row>
    <row r="168" ht="9.949999999999999" customHeight="1" s="244">
      <c r="A168" s="395" t="inlineStr">
        <is>
          <t xml:space="preserve"> </t>
        </is>
      </c>
      <c r="C168" s="397" t="n"/>
      <c r="D168" s="397" t="n"/>
      <c r="E168" s="398" t="n"/>
      <c r="F168" s="399" t="n"/>
      <c r="G168" s="400" t="n"/>
      <c r="H168" s="401" t="n"/>
      <c r="I168" s="402" t="n"/>
      <c r="J168" s="403" t="inlineStr">
        <is>
          <t>Qs  =</t>
        </is>
      </c>
      <c r="K168" s="404" t="n">
        <v>2</v>
      </c>
      <c r="L168" s="404">
        <f>(D165+E165)*2*G165</f>
        <v/>
      </c>
      <c r="M168" s="404" t="n">
        <v>0.9</v>
      </c>
      <c r="N168" s="404" t="n">
        <v>0.67</v>
      </c>
      <c r="O168" s="381" t="n">
        <v>26</v>
      </c>
      <c r="P168" s="404" t="n">
        <v>1</v>
      </c>
      <c r="Q168" s="383">
        <f>K168*L168*M168*N168*O168*P168</f>
        <v/>
      </c>
    </row>
    <row r="169" ht="9.949999999999999" customHeight="1" s="244">
      <c r="A169" s="405" t="n"/>
      <c r="B169" s="406" t="n"/>
      <c r="C169" s="397" t="n"/>
      <c r="D169" s="397" t="n"/>
      <c r="E169" s="378" t="n"/>
      <c r="F169" s="256" t="n"/>
      <c r="G169" s="407" t="n"/>
      <c r="H169" s="397" t="n"/>
      <c r="I169" s="397" t="n"/>
      <c r="J169" s="397" t="n"/>
      <c r="K169" s="407" t="n"/>
      <c r="L169" s="408" t="n"/>
      <c r="M169" s="409" t="inlineStr">
        <is>
          <t xml:space="preserve">   TOPLAM ISI KAYBI =</t>
        </is>
      </c>
      <c r="N169" s="409" t="n"/>
      <c r="O169" s="410" t="n"/>
      <c r="P169" s="409" t="n"/>
      <c r="Q169" s="411">
        <f>Q166+Q168</f>
        <v/>
      </c>
    </row>
    <row r="170" ht="10.35" customHeight="1" s="244">
      <c r="A170" s="359" t="n"/>
      <c r="B170" s="360" t="n"/>
      <c r="C170" s="360" t="n"/>
      <c r="D170" s="360" t="n"/>
      <c r="E170" s="360" t="n"/>
      <c r="F170" s="361" t="inlineStr">
        <is>
          <t>1</t>
        </is>
      </c>
      <c r="G170" s="362" t="inlineStr">
        <is>
          <t>0</t>
        </is>
      </c>
      <c r="H170" s="360" t="inlineStr">
        <is>
          <t>134</t>
        </is>
      </c>
      <c r="I170" s="363" t="inlineStr">
        <is>
          <t>OFİS 4 MUTFAK</t>
        </is>
      </c>
      <c r="J170" s="364" t="n"/>
      <c r="K170" s="360" t="inlineStr">
        <is>
          <t>20ºC</t>
        </is>
      </c>
      <c r="L170" s="360" t="n"/>
      <c r="M170" s="360" t="n"/>
      <c r="N170" s="360" t="n"/>
      <c r="O170" s="360" t="n"/>
      <c r="P170" s="360" t="n"/>
      <c r="Q170" s="365" t="n"/>
    </row>
    <row r="171" ht="9.949999999999999" customHeight="1" s="244">
      <c r="A171" s="366" t="inlineStr">
        <is>
          <t>DD</t>
        </is>
      </c>
      <c r="B171" s="367" t="inlineStr">
        <is>
          <t>G</t>
        </is>
      </c>
      <c r="C171" s="368" t="n"/>
      <c r="D171" s="369" t="n">
        <v>0.9</v>
      </c>
      <c r="E171" s="369" t="n">
        <v>2.5</v>
      </c>
      <c r="F171" s="370">
        <f>IF(D171=0," ",D171*E171)</f>
        <v/>
      </c>
      <c r="G171" s="371" t="n">
        <v>1</v>
      </c>
      <c r="H171" s="372">
        <f>F173*G173</f>
        <v/>
      </c>
      <c r="I171" s="370">
        <f>IF(F171=" "," ",F171*G171-H171)</f>
        <v/>
      </c>
      <c r="J171" s="369" t="n">
        <v>0.344</v>
      </c>
      <c r="K171" s="371" t="n">
        <v>26</v>
      </c>
      <c r="L171" s="373">
        <f>IF(I171=" "," ",I171*J171*K171)</f>
        <v/>
      </c>
      <c r="M171" s="374" t="n">
        <v>7</v>
      </c>
      <c r="N171" s="371" t="n">
        <v>0</v>
      </c>
      <c r="O171" s="374" t="n">
        <v>-5</v>
      </c>
      <c r="P171" s="370">
        <f>IF(M171=" "," ",(1+(M171+N171+O171)/100))</f>
        <v/>
      </c>
      <c r="Q171" s="375">
        <f>IF(L171=" "," ",L171*P171)</f>
        <v/>
      </c>
    </row>
    <row r="172" ht="9.949999999999999" customHeight="1" s="244">
      <c r="A172" s="366" t="inlineStr">
        <is>
          <t>DD25</t>
        </is>
      </c>
      <c r="B172" s="367" t="inlineStr">
        <is>
          <t>G</t>
        </is>
      </c>
      <c r="C172" s="368" t="n"/>
      <c r="D172" s="369">
        <f>D171</f>
        <v/>
      </c>
      <c r="E172" s="369" t="n">
        <v>0.5</v>
      </c>
      <c r="F172" s="370">
        <f>IF(D172=0," ",D172*E172)</f>
        <v/>
      </c>
      <c r="G172" s="371" t="n">
        <v>1</v>
      </c>
      <c r="H172" s="372" t="n"/>
      <c r="I172" s="370">
        <f>IF(F172=" "," ",F172*G172-H172)</f>
        <v/>
      </c>
      <c r="J172" s="369" t="n">
        <v>0.387</v>
      </c>
      <c r="K172" s="371" t="n">
        <v>26</v>
      </c>
      <c r="L172" s="373">
        <f>IF(I172=" "," ",I172*J172*K172)</f>
        <v/>
      </c>
      <c r="M172" s="374" t="n">
        <v>7</v>
      </c>
      <c r="N172" s="371" t="n">
        <v>0</v>
      </c>
      <c r="O172" s="374" t="n">
        <v>-5</v>
      </c>
      <c r="P172" s="370">
        <f>IF(M172=" "," ",(1+(M172+N172+O172)/100))</f>
        <v/>
      </c>
      <c r="Q172" s="375">
        <f>IF(L172=" "," ",L172*P172)</f>
        <v/>
      </c>
    </row>
    <row r="173" ht="9.949999999999999" customHeight="1" s="244">
      <c r="A173" s="366" t="inlineStr">
        <is>
          <t>ÇP</t>
        </is>
      </c>
      <c r="B173" s="367" t="inlineStr">
        <is>
          <t>G</t>
        </is>
      </c>
      <c r="C173" s="368" t="n"/>
      <c r="D173" s="369" t="n">
        <v>0.8</v>
      </c>
      <c r="E173" s="369" t="n">
        <v>1.4</v>
      </c>
      <c r="F173" s="370">
        <f>IF(D173=0," ",D173*E173)</f>
        <v/>
      </c>
      <c r="G173" s="371" t="n">
        <v>1</v>
      </c>
      <c r="H173" s="372" t="n"/>
      <c r="I173" s="370">
        <f>IF(F173=" "," ",F173*G173-H173)</f>
        <v/>
      </c>
      <c r="J173" s="369" t="n">
        <v>1.8</v>
      </c>
      <c r="K173" s="371" t="n">
        <v>26</v>
      </c>
      <c r="L173" s="373">
        <f>IF(I173=" "," ",I173*J173*K173)</f>
        <v/>
      </c>
      <c r="M173" s="374" t="n">
        <v>7</v>
      </c>
      <c r="N173" s="371" t="n">
        <v>0</v>
      </c>
      <c r="O173" s="374" t="n">
        <v>-5</v>
      </c>
      <c r="P173" s="370">
        <f>IF(M173=" "," ",(1+(M173+N173+O173)/100))</f>
        <v/>
      </c>
      <c r="Q173" s="375">
        <f>IF(L173=" "," ",L173*P173)</f>
        <v/>
      </c>
    </row>
    <row r="174" ht="9.949999999999999" customHeight="1" s="244">
      <c r="A174" s="376" t="n"/>
      <c r="B174" s="377" t="n"/>
      <c r="C174" s="377" t="n"/>
      <c r="D174" s="378" t="n"/>
      <c r="E174" s="378" t="n"/>
      <c r="F174" s="378" t="n"/>
      <c r="G174" s="379" t="n"/>
      <c r="H174" s="378" t="n"/>
      <c r="I174" s="378" t="n"/>
      <c r="J174" s="378" t="n"/>
      <c r="K174" s="379" t="n"/>
      <c r="L174" s="380" t="n"/>
      <c r="M174" s="381" t="n"/>
      <c r="N174" s="381" t="n"/>
      <c r="O174" s="381" t="n"/>
      <c r="P174" s="382" t="n"/>
      <c r="Q174" s="383">
        <f>SUM(Q171:Q173)</f>
        <v/>
      </c>
    </row>
    <row r="175" ht="9.949999999999999" customHeight="1" s="244">
      <c r="A175" s="384" t="n"/>
      <c r="B175" s="385" t="n"/>
      <c r="C175" s="385" t="n"/>
      <c r="D175" s="386" t="n"/>
      <c r="E175" s="387" t="n"/>
      <c r="F175" s="388" t="n"/>
      <c r="G175" s="389" t="n"/>
      <c r="H175" s="388" t="n"/>
      <c r="I175" s="390" t="n"/>
      <c r="J175" s="391" t="inlineStr">
        <is>
          <t>Qs=</t>
        </is>
      </c>
      <c r="K175" s="390" t="inlineStr">
        <is>
          <t>S a</t>
        </is>
      </c>
      <c r="L175" s="388" t="inlineStr">
        <is>
          <t>L</t>
        </is>
      </c>
      <c r="M175" s="389" t="inlineStr">
        <is>
          <t>R</t>
        </is>
      </c>
      <c r="N175" s="392" t="inlineStr">
        <is>
          <t>H</t>
        </is>
      </c>
      <c r="O175" s="393" t="inlineStr">
        <is>
          <t>D  T</t>
        </is>
      </c>
      <c r="P175" s="389" t="inlineStr">
        <is>
          <t>Ze</t>
        </is>
      </c>
      <c r="Q175" s="394" t="n"/>
    </row>
    <row r="176" ht="9.949999999999999" customHeight="1" s="244">
      <c r="A176" s="395" t="inlineStr">
        <is>
          <t xml:space="preserve"> </t>
        </is>
      </c>
      <c r="C176" s="397" t="n"/>
      <c r="D176" s="397" t="n"/>
      <c r="E176" s="398" t="n"/>
      <c r="F176" s="399" t="n"/>
      <c r="G176" s="400" t="n"/>
      <c r="H176" s="401" t="n"/>
      <c r="I176" s="402" t="n"/>
      <c r="J176" s="403" t="inlineStr">
        <is>
          <t>Qs  =</t>
        </is>
      </c>
      <c r="K176" s="404" t="n">
        <v>2</v>
      </c>
      <c r="L176" s="404">
        <f>(D173+E173)*2*G173</f>
        <v/>
      </c>
      <c r="M176" s="404" t="n">
        <v>0.9</v>
      </c>
      <c r="N176" s="404" t="n">
        <v>0.67</v>
      </c>
      <c r="O176" s="381" t="n">
        <v>26</v>
      </c>
      <c r="P176" s="404" t="n">
        <v>1</v>
      </c>
      <c r="Q176" s="383">
        <f>K176*L176*M176*N176*O176*P176</f>
        <v/>
      </c>
    </row>
    <row r="177" ht="9.949999999999999" customHeight="1" s="244">
      <c r="A177" s="405" t="n"/>
      <c r="B177" s="406" t="n"/>
      <c r="C177" s="397" t="n"/>
      <c r="D177" s="397" t="n"/>
      <c r="E177" s="378" t="n"/>
      <c r="F177" s="256" t="n"/>
      <c r="G177" s="407" t="n"/>
      <c r="H177" s="397" t="n"/>
      <c r="I177" s="397" t="n"/>
      <c r="J177" s="397" t="n"/>
      <c r="K177" s="407" t="n"/>
      <c r="L177" s="408" t="n"/>
      <c r="M177" s="409" t="inlineStr">
        <is>
          <t xml:space="preserve">   TOPLAM ISI KAYBI =</t>
        </is>
      </c>
      <c r="N177" s="409" t="n"/>
      <c r="O177" s="410" t="n"/>
      <c r="P177" s="409" t="n"/>
      <c r="Q177" s="411">
        <f>Q174+Q176</f>
        <v/>
      </c>
    </row>
    <row r="178" ht="10.35" customHeight="1" s="244">
      <c r="A178" s="359" t="n"/>
      <c r="B178" s="360" t="n"/>
      <c r="C178" s="360" t="n"/>
      <c r="D178" s="360" t="n"/>
      <c r="E178" s="360" t="n"/>
      <c r="F178" s="361" t="inlineStr">
        <is>
          <t>1</t>
        </is>
      </c>
      <c r="G178" s="362" t="inlineStr">
        <is>
          <t>0</t>
        </is>
      </c>
      <c r="H178" s="360" t="inlineStr">
        <is>
          <t>135</t>
        </is>
      </c>
      <c r="I178" s="363" t="inlineStr">
        <is>
          <t>OFİS 4 LVB.WC</t>
        </is>
      </c>
      <c r="J178" s="364" t="n"/>
      <c r="K178" s="360" t="inlineStr">
        <is>
          <t>24ºC</t>
        </is>
      </c>
      <c r="L178" s="360" t="n"/>
      <c r="M178" s="360" t="n"/>
      <c r="N178" s="360" t="n"/>
      <c r="O178" s="360" t="n"/>
      <c r="P178" s="360" t="n"/>
      <c r="Q178" s="365" t="n"/>
    </row>
    <row r="179" ht="9.949999999999999" customHeight="1" s="244">
      <c r="A179" s="366" t="inlineStr">
        <is>
          <t>DD</t>
        </is>
      </c>
      <c r="B179" s="367" t="inlineStr">
        <is>
          <t>G</t>
        </is>
      </c>
      <c r="C179" s="368" t="n"/>
      <c r="D179" s="369" t="n">
        <v>1.2</v>
      </c>
      <c r="E179" s="369" t="n">
        <v>2.5</v>
      </c>
      <c r="F179" s="370">
        <f>IF(D179=0," ",D179*E179)</f>
        <v/>
      </c>
      <c r="G179" s="371" t="n">
        <v>1</v>
      </c>
      <c r="H179" s="372">
        <f>F181*G181</f>
        <v/>
      </c>
      <c r="I179" s="370">
        <f>IF(F179=" "," ",F179*G179-H179)</f>
        <v/>
      </c>
      <c r="J179" s="369" t="n">
        <v>0.344</v>
      </c>
      <c r="K179" s="371" t="n">
        <v>30</v>
      </c>
      <c r="L179" s="373">
        <f>IF(I179=" "," ",I179*J179*K179)</f>
        <v/>
      </c>
      <c r="M179" s="374" t="n">
        <v>7</v>
      </c>
      <c r="N179" s="371" t="n">
        <v>0</v>
      </c>
      <c r="O179" s="374" t="n">
        <v>-5</v>
      </c>
      <c r="P179" s="370">
        <f>IF(M179=" "," ",(1+(M179+N179+O179)/100))</f>
        <v/>
      </c>
      <c r="Q179" s="375">
        <f>IF(L179=" "," ",L179*P179)</f>
        <v/>
      </c>
    </row>
    <row r="180" ht="9.949999999999999" customHeight="1" s="244">
      <c r="A180" s="366" t="inlineStr">
        <is>
          <t>DD25</t>
        </is>
      </c>
      <c r="B180" s="367" t="inlineStr">
        <is>
          <t>G</t>
        </is>
      </c>
      <c r="C180" s="368" t="n"/>
      <c r="D180" s="369">
        <f>D179</f>
        <v/>
      </c>
      <c r="E180" s="369" t="n">
        <v>0.5</v>
      </c>
      <c r="F180" s="370">
        <f>IF(D180=0," ",D180*E180)</f>
        <v/>
      </c>
      <c r="G180" s="371" t="n">
        <v>1</v>
      </c>
      <c r="H180" s="372" t="n"/>
      <c r="I180" s="370">
        <f>IF(F180=" "," ",F180*G180-H180)</f>
        <v/>
      </c>
      <c r="J180" s="369" t="n">
        <v>0.387</v>
      </c>
      <c r="K180" s="371" t="n">
        <v>30</v>
      </c>
      <c r="L180" s="373">
        <f>IF(I180=" "," ",I180*J180*K180)</f>
        <v/>
      </c>
      <c r="M180" s="374" t="n">
        <v>7</v>
      </c>
      <c r="N180" s="371" t="n">
        <v>0</v>
      </c>
      <c r="O180" s="374" t="n">
        <v>-5</v>
      </c>
      <c r="P180" s="370">
        <f>IF(M180=" "," ",(1+(M180+N180+O180)/100))</f>
        <v/>
      </c>
      <c r="Q180" s="375">
        <f>IF(L180=" "," ",L180*P180)</f>
        <v/>
      </c>
    </row>
    <row r="181" ht="9.949999999999999" customHeight="1" s="244">
      <c r="A181" s="366" t="inlineStr">
        <is>
          <t>ÇP</t>
        </is>
      </c>
      <c r="B181" s="367" t="inlineStr">
        <is>
          <t>G</t>
        </is>
      </c>
      <c r="C181" s="368" t="n"/>
      <c r="D181" s="369" t="n">
        <v>0.5</v>
      </c>
      <c r="E181" s="369" t="n">
        <v>0.5</v>
      </c>
      <c r="F181" s="370">
        <f>IF(D181=0," ",D181*E181)</f>
        <v/>
      </c>
      <c r="G181" s="371" t="n">
        <v>1</v>
      </c>
      <c r="H181" s="372" t="n"/>
      <c r="I181" s="370">
        <f>IF(F181=" "," ",F181*G181-H181)</f>
        <v/>
      </c>
      <c r="J181" s="369" t="n">
        <v>1.8</v>
      </c>
      <c r="K181" s="371" t="n">
        <v>30</v>
      </c>
      <c r="L181" s="373">
        <f>IF(I181=" "," ",I181*J181*K181)</f>
        <v/>
      </c>
      <c r="M181" s="374" t="n">
        <v>7</v>
      </c>
      <c r="N181" s="371" t="n">
        <v>0</v>
      </c>
      <c r="O181" s="374" t="n">
        <v>-5</v>
      </c>
      <c r="P181" s="370">
        <f>IF(M181=" "," ",(1+(M181+N181+O181)/100))</f>
        <v/>
      </c>
      <c r="Q181" s="375">
        <f>IF(L181=" "," ",L181*P181)</f>
        <v/>
      </c>
    </row>
    <row r="182" ht="9.949999999999999" customHeight="1" s="244">
      <c r="A182" s="366" t="inlineStr">
        <is>
          <t>İD</t>
        </is>
      </c>
      <c r="B182" s="367" t="inlineStr"/>
      <c r="C182" s="368" t="n"/>
      <c r="D182" s="369" t="n">
        <v>4</v>
      </c>
      <c r="E182" s="369" t="n">
        <v>3</v>
      </c>
      <c r="F182" s="370">
        <f>IF(D182=0," ",D182*E182)</f>
        <v/>
      </c>
      <c r="G182" s="371" t="n">
        <v>1</v>
      </c>
      <c r="H182" s="372" t="n"/>
      <c r="I182" s="370">
        <f>IF(F182=" "," ",F182*G182-H182)</f>
        <v/>
      </c>
      <c r="J182" s="369" t="n">
        <v>1.915</v>
      </c>
      <c r="K182" s="371" t="n">
        <v>4</v>
      </c>
      <c r="L182" s="373">
        <f>IF(I182=" "," ",I182*J182*K182)</f>
        <v/>
      </c>
      <c r="M182" s="374" t="n">
        <v>7</v>
      </c>
      <c r="N182" s="371" t="n">
        <v>0</v>
      </c>
      <c r="O182" s="374" t="n">
        <v>0</v>
      </c>
      <c r="P182" s="370">
        <f>IF(M182=" "," ",(1+(M182+N182+O182)/100))</f>
        <v/>
      </c>
      <c r="Q182" s="375">
        <f>IF(L182=" "," ",L182*P182)</f>
        <v/>
      </c>
    </row>
    <row r="183" ht="9.949999999999999" customHeight="1" s="244">
      <c r="A183" s="376" t="n"/>
      <c r="B183" s="377" t="n"/>
      <c r="C183" s="377" t="n"/>
      <c r="D183" s="378" t="n"/>
      <c r="E183" s="378" t="n"/>
      <c r="F183" s="378" t="n"/>
      <c r="G183" s="379" t="n"/>
      <c r="H183" s="378" t="n"/>
      <c r="I183" s="378" t="n"/>
      <c r="J183" s="378" t="n"/>
      <c r="K183" s="379" t="n"/>
      <c r="L183" s="380" t="n"/>
      <c r="M183" s="381" t="n"/>
      <c r="N183" s="381" t="n"/>
      <c r="O183" s="381" t="n"/>
      <c r="P183" s="382" t="n"/>
      <c r="Q183" s="383">
        <f>SUM(Q179:Q182)</f>
        <v/>
      </c>
    </row>
    <row r="184" ht="9.949999999999999" customHeight="1" s="244">
      <c r="A184" s="384" t="n"/>
      <c r="B184" s="385" t="n"/>
      <c r="C184" s="385" t="n"/>
      <c r="D184" s="386" t="n"/>
      <c r="E184" s="387" t="n"/>
      <c r="F184" s="388" t="n"/>
      <c r="G184" s="389" t="n"/>
      <c r="H184" s="388" t="n"/>
      <c r="I184" s="390" t="n"/>
      <c r="J184" s="391" t="inlineStr">
        <is>
          <t>Qs=</t>
        </is>
      </c>
      <c r="K184" s="390" t="inlineStr">
        <is>
          <t>S a</t>
        </is>
      </c>
      <c r="L184" s="388" t="inlineStr">
        <is>
          <t>L</t>
        </is>
      </c>
      <c r="M184" s="389" t="inlineStr">
        <is>
          <t>R</t>
        </is>
      </c>
      <c r="N184" s="392" t="inlineStr">
        <is>
          <t>H</t>
        </is>
      </c>
      <c r="O184" s="393" t="inlineStr">
        <is>
          <t>D  T</t>
        </is>
      </c>
      <c r="P184" s="389" t="inlineStr">
        <is>
          <t>Ze</t>
        </is>
      </c>
      <c r="Q184" s="394" t="n"/>
    </row>
    <row r="185" ht="9.949999999999999" customHeight="1" s="244">
      <c r="A185" s="395" t="inlineStr">
        <is>
          <t xml:space="preserve"> </t>
        </is>
      </c>
      <c r="C185" s="397" t="n"/>
      <c r="D185" s="397" t="n"/>
      <c r="E185" s="398" t="n"/>
      <c r="F185" s="399" t="n"/>
      <c r="G185" s="400" t="n"/>
      <c r="H185" s="401" t="n"/>
      <c r="I185" s="402" t="n"/>
      <c r="J185" s="403" t="inlineStr">
        <is>
          <t>Qs  =</t>
        </is>
      </c>
      <c r="K185" s="404" t="n">
        <v>2</v>
      </c>
      <c r="L185" s="404">
        <f>(D181+E181)*2*G181</f>
        <v/>
      </c>
      <c r="M185" s="404" t="n">
        <v>0.9</v>
      </c>
      <c r="N185" s="404" t="n">
        <v>0.67</v>
      </c>
      <c r="O185" s="381" t="n">
        <v>30</v>
      </c>
      <c r="P185" s="404" t="n">
        <v>1</v>
      </c>
      <c r="Q185" s="383">
        <f>K185*L185*M185*N185*O185*P185</f>
        <v/>
      </c>
    </row>
    <row r="186" ht="9.949999999999999" customHeight="1" s="244">
      <c r="A186" s="405" t="n"/>
      <c r="B186" s="406" t="n"/>
      <c r="C186" s="397" t="n"/>
      <c r="D186" s="397" t="n"/>
      <c r="E186" s="378" t="n"/>
      <c r="F186" s="256" t="n"/>
      <c r="G186" s="407" t="n"/>
      <c r="H186" s="397" t="n"/>
      <c r="I186" s="397" t="n"/>
      <c r="J186" s="397" t="n"/>
      <c r="K186" s="407" t="n"/>
      <c r="L186" s="408" t="n"/>
      <c r="M186" s="409" t="inlineStr">
        <is>
          <t xml:space="preserve">   TOPLAM ISI KAYBI =</t>
        </is>
      </c>
      <c r="N186" s="409" t="n"/>
      <c r="O186" s="410" t="n"/>
      <c r="P186" s="409" t="n"/>
      <c r="Q186" s="411">
        <f>Q183+Q185</f>
        <v/>
      </c>
    </row>
    <row r="187" ht="10.35" customHeight="1" s="244">
      <c r="A187" s="359" t="n"/>
      <c r="B187" s="360" t="n"/>
      <c r="C187" s="360" t="n"/>
      <c r="D187" s="360" t="n"/>
      <c r="E187" s="360" t="n"/>
      <c r="F187" s="361" t="inlineStr">
        <is>
          <t>1</t>
        </is>
      </c>
      <c r="G187" s="362" t="inlineStr">
        <is>
          <t>0</t>
        </is>
      </c>
      <c r="H187" s="360" t="inlineStr">
        <is>
          <t>139</t>
        </is>
      </c>
      <c r="I187" s="363" t="inlineStr">
        <is>
          <t>OFİS 4 HOL</t>
        </is>
      </c>
      <c r="J187" s="364" t="n"/>
      <c r="K187" s="360" t="inlineStr">
        <is>
          <t>18ºC</t>
        </is>
      </c>
      <c r="L187" s="360" t="n"/>
      <c r="M187" s="360" t="n"/>
      <c r="N187" s="360" t="n"/>
      <c r="O187" s="360" t="n"/>
      <c r="P187" s="360" t="n"/>
      <c r="Q187" s="365" t="n"/>
    </row>
    <row r="188" ht="9.949999999999999" customHeight="1" s="244">
      <c r="A188" s="366" t="inlineStr">
        <is>
          <t>İDM</t>
        </is>
      </c>
      <c r="B188" s="367" t="inlineStr"/>
      <c r="C188" s="368" t="n"/>
      <c r="D188" s="369" t="n">
        <v>1.3</v>
      </c>
      <c r="E188" s="369" t="n">
        <v>3</v>
      </c>
      <c r="F188" s="370">
        <f>IF(D188=0," ",D188*E188)</f>
        <v/>
      </c>
      <c r="G188" s="371" t="n">
        <v>1</v>
      </c>
      <c r="H188" s="372">
        <f>F189*G189</f>
        <v/>
      </c>
      <c r="I188" s="370">
        <f>IF(F188=" "," ",F188*G188-H188)</f>
        <v/>
      </c>
      <c r="J188" s="369" t="n">
        <v>0.332</v>
      </c>
      <c r="K188" s="371" t="n">
        <v>8</v>
      </c>
      <c r="L188" s="373">
        <f>IF(I188=" "," ",I188*J188*K188)</f>
        <v/>
      </c>
      <c r="M188" s="374" t="n">
        <v>7</v>
      </c>
      <c r="N188" s="371" t="n">
        <v>0</v>
      </c>
      <c r="O188" s="374" t="n">
        <v>0</v>
      </c>
      <c r="P188" s="370">
        <f>IF(M188=" "," ",(1+(M188+N188+O188)/100))</f>
        <v/>
      </c>
      <c r="Q188" s="375">
        <f>IF(L188=" "," ",L188*P188)</f>
        <v/>
      </c>
    </row>
    <row r="189" ht="9.949999999999999" customHeight="1" s="244">
      <c r="A189" s="366" t="inlineStr">
        <is>
          <t>DK</t>
        </is>
      </c>
      <c r="B189" s="367" t="inlineStr"/>
      <c r="C189" s="368" t="n"/>
      <c r="D189" s="369" t="n">
        <v>1</v>
      </c>
      <c r="E189" s="369" t="n">
        <v>2.2</v>
      </c>
      <c r="F189" s="370">
        <f>IF(D189=0," ",D189*E189)</f>
        <v/>
      </c>
      <c r="G189" s="371" t="n">
        <v>1</v>
      </c>
      <c r="H189" s="372" t="n"/>
      <c r="I189" s="370">
        <f>IF(F189=" "," ",F189*G189-H189)</f>
        <v/>
      </c>
      <c r="J189" s="369" t="n">
        <v>2</v>
      </c>
      <c r="K189" s="371" t="n">
        <v>8</v>
      </c>
      <c r="L189" s="373">
        <f>IF(I189=" "," ",I189*J189*K189)</f>
        <v/>
      </c>
      <c r="M189" s="374" t="n">
        <v>7</v>
      </c>
      <c r="N189" s="371" t="n">
        <v>0</v>
      </c>
      <c r="O189" s="374" t="n">
        <v>0</v>
      </c>
      <c r="P189" s="370">
        <f>IF(M189=" "," ",(1+(M189+N189+O189)/100))</f>
        <v/>
      </c>
      <c r="Q189" s="375">
        <f>IF(L189=" "," ",L189*P189)</f>
        <v/>
      </c>
    </row>
    <row r="190" ht="9.949999999999999" customHeight="1" s="244">
      <c r="A190" s="376" t="n"/>
      <c r="B190" s="377" t="n"/>
      <c r="C190" s="377" t="n"/>
      <c r="D190" s="378" t="n"/>
      <c r="E190" s="378" t="n"/>
      <c r="F190" s="378" t="n"/>
      <c r="G190" s="379" t="n"/>
      <c r="H190" s="378" t="n"/>
      <c r="I190" s="378" t="n"/>
      <c r="J190" s="378" t="n"/>
      <c r="K190" s="379" t="n"/>
      <c r="L190" s="380" t="n"/>
      <c r="M190" s="381" t="n"/>
      <c r="N190" s="381" t="n"/>
      <c r="O190" s="381" t="n"/>
      <c r="P190" s="382" t="n"/>
      <c r="Q190" s="383">
        <f>SUM(Q188:Q189)</f>
        <v/>
      </c>
    </row>
    <row r="191" ht="9.949999999999999" customHeight="1" s="244">
      <c r="A191" s="384" t="n"/>
      <c r="B191" s="385" t="n"/>
      <c r="C191" s="385" t="n"/>
      <c r="D191" s="386" t="n"/>
      <c r="E191" s="387" t="n"/>
      <c r="F191" s="388" t="n"/>
      <c r="G191" s="389" t="n"/>
      <c r="H191" s="388" t="n"/>
      <c r="I191" s="390" t="n"/>
      <c r="J191" s="391" t="inlineStr">
        <is>
          <t>Qs=</t>
        </is>
      </c>
      <c r="K191" s="390" t="inlineStr">
        <is>
          <t>S a</t>
        </is>
      </c>
      <c r="L191" s="388" t="inlineStr">
        <is>
          <t>L</t>
        </is>
      </c>
      <c r="M191" s="389" t="inlineStr">
        <is>
          <t>R</t>
        </is>
      </c>
      <c r="N191" s="392" t="inlineStr">
        <is>
          <t>H</t>
        </is>
      </c>
      <c r="O191" s="393" t="inlineStr">
        <is>
          <t>D  T</t>
        </is>
      </c>
      <c r="P191" s="389" t="inlineStr">
        <is>
          <t>Ze</t>
        </is>
      </c>
      <c r="Q191" s="394" t="n"/>
    </row>
    <row r="192" ht="9.949999999999999" customHeight="1" s="244">
      <c r="A192" s="395" t="inlineStr">
        <is>
          <t xml:space="preserve"> </t>
        </is>
      </c>
      <c r="C192" s="397" t="n"/>
      <c r="D192" s="397" t="n"/>
      <c r="E192" s="398" t="n"/>
      <c r="F192" s="399" t="n"/>
      <c r="G192" s="400" t="n"/>
      <c r="H192" s="401" t="n"/>
      <c r="I192" s="402" t="n"/>
      <c r="J192" s="403" t="inlineStr">
        <is>
          <t>Qs  =</t>
        </is>
      </c>
      <c r="K192" s="404" t="n">
        <v>2</v>
      </c>
      <c r="L192" s="404" t="n">
        <v>0</v>
      </c>
      <c r="M192" s="404" t="n">
        <v>0.9</v>
      </c>
      <c r="N192" s="404" t="n">
        <v>0.67</v>
      </c>
      <c r="O192" s="381" t="n">
        <v>24</v>
      </c>
      <c r="P192" s="404" t="n">
        <v>1</v>
      </c>
      <c r="Q192" s="383">
        <f>K192*L192*M192*N192*O192*P192</f>
        <v/>
      </c>
    </row>
    <row r="193" ht="9.949999999999999" customHeight="1" s="244">
      <c r="A193" s="405" t="n"/>
      <c r="B193" s="406" t="n"/>
      <c r="C193" s="397" t="n"/>
      <c r="D193" s="397" t="n"/>
      <c r="E193" s="378" t="n"/>
      <c r="F193" s="256" t="n"/>
      <c r="G193" s="407" t="n"/>
      <c r="H193" s="397" t="n"/>
      <c r="I193" s="397" t="n"/>
      <c r="J193" s="397" t="n"/>
      <c r="K193" s="407" t="n"/>
      <c r="L193" s="408" t="n"/>
      <c r="M193" s="409" t="inlineStr">
        <is>
          <t xml:space="preserve">   TOPLAM ISI KAYBI =</t>
        </is>
      </c>
      <c r="N193" s="409" t="n"/>
      <c r="O193" s="410" t="n"/>
      <c r="P193" s="409" t="n"/>
      <c r="Q193" s="411">
        <f>Q190+Q192</f>
        <v/>
      </c>
    </row>
    <row r="194"/>
    <row r="195"/>
    <row r="196"/>
    <row r="197"/>
    <row r="198"/>
    <row r="199"/>
    <row r="200"/>
  </sheetData>
  <mergeCells count="52">
    <mergeCell ref="I178:J178"/>
    <mergeCell ref="E50:F50"/>
    <mergeCell ref="I34:J34"/>
    <mergeCell ref="E130:F130"/>
    <mergeCell ref="M3:P3"/>
    <mergeCell ref="E33:F33"/>
    <mergeCell ref="I26:J26"/>
    <mergeCell ref="I101:J101"/>
    <mergeCell ref="E73:F73"/>
    <mergeCell ref="I144:J144"/>
    <mergeCell ref="E87:F87"/>
    <mergeCell ref="E3:H3"/>
    <mergeCell ref="E143:F143"/>
    <mergeCell ref="I125:J125"/>
    <mergeCell ref="E161:F161"/>
    <mergeCell ref="E152:F152"/>
    <mergeCell ref="E177:F177"/>
    <mergeCell ref="I131:J131"/>
    <mergeCell ref="I66:J66"/>
    <mergeCell ref="I58:J58"/>
    <mergeCell ref="E65:F65"/>
    <mergeCell ref="I162:J162"/>
    <mergeCell ref="E186:F186"/>
    <mergeCell ref="E108:F108"/>
    <mergeCell ref="I117:J117"/>
    <mergeCell ref="I42:J42"/>
    <mergeCell ref="E169:F169"/>
    <mergeCell ref="I170:J170"/>
    <mergeCell ref="I8:J8"/>
    <mergeCell ref="I187:J187"/>
    <mergeCell ref="E116:F116"/>
    <mergeCell ref="I17:J17"/>
    <mergeCell ref="I88:J88"/>
    <mergeCell ref="E124:F124"/>
    <mergeCell ref="E57:F57"/>
    <mergeCell ref="I82:J82"/>
    <mergeCell ref="I51:J51"/>
    <mergeCell ref="E16:F16"/>
    <mergeCell ref="E100:F100"/>
    <mergeCell ref="I109:J109"/>
    <mergeCell ref="I3:L3"/>
    <mergeCell ref="E25:F25"/>
    <mergeCell ref="E41:F41"/>
    <mergeCell ref="A3:D3"/>
    <mergeCell ref="E81:F81"/>
    <mergeCell ref="I94:J94"/>
    <mergeCell ref="E136:F136"/>
    <mergeCell ref="I153:J153"/>
    <mergeCell ref="E193:F193"/>
    <mergeCell ref="I137:J137"/>
    <mergeCell ref="E93:F93"/>
    <mergeCell ref="I74:J74"/>
  </mergeCells>
  <printOptions horizontalCentered="0" verticalCentered="0" headings="0" gridLines="0" gridLinesSet="1"/>
  <pageMargins left="0.196527777777778" right="0.157638888888889" top="0.315277777777778" bottom="0.315277777777778" header="0.511811023622047" footer="0.511811023622047"/>
  <pageSetup orientation="portrait" paperSize="9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Q217"/>
  <sheetViews>
    <sheetView workbookViewId="0">
      <selection activeCell="A1" sqref="A1"/>
    </sheetView>
  </sheetViews>
  <sheetFormatPr baseColWidth="8" defaultColWidth="6.84765625" defaultRowHeight="11.25" zeroHeight="0" outlineLevelRow="0"/>
  <cols>
    <col width="7.28" customWidth="1" style="328" min="1" max="1"/>
    <col width="3.85" customWidth="1" style="328" min="2" max="3"/>
    <col width="5.56" customWidth="1" style="328" min="4" max="4"/>
    <col width="6.13" customWidth="1" style="328" min="5" max="5"/>
    <col width="5.56" customWidth="1" style="328" min="6" max="7"/>
    <col width="6.56" customWidth="1" style="328" min="8" max="9"/>
    <col width="6.41" customWidth="1" style="328" min="10" max="10"/>
    <col width="6.13" customWidth="1" style="328" min="11" max="11"/>
    <col width="7.28" customWidth="1" style="328" min="12" max="12"/>
    <col width="5.56" customWidth="1" style="328" min="13" max="16"/>
    <col width="8.279999999999999" customWidth="1" style="328" min="17" max="17"/>
    <col width="6.85" customWidth="1" style="328" min="18" max="257"/>
  </cols>
  <sheetData>
    <row r="1" ht="9.75" customFormat="1" customHeight="1" s="329">
      <c r="A1" s="330" t="n"/>
      <c r="B1" s="331" t="n"/>
      <c r="C1" s="331" t="n"/>
      <c r="D1" s="331" t="n"/>
      <c r="E1" s="331" t="n"/>
      <c r="F1" s="332" t="n"/>
      <c r="G1" s="333" t="n"/>
      <c r="H1" s="334" t="inlineStr">
        <is>
          <t>ISI  KAYBI  HESABI</t>
        </is>
      </c>
      <c r="I1" s="333" t="n"/>
      <c r="J1" s="333" t="n"/>
      <c r="K1" s="331" t="n"/>
      <c r="L1" s="335" t="n"/>
      <c r="M1" s="331" t="n"/>
      <c r="N1" s="336" t="inlineStr">
        <is>
          <t>Kat :</t>
        </is>
      </c>
      <c r="O1" s="337" t="inlineStr">
        <is>
          <t>2. NORMAL</t>
        </is>
      </c>
      <c r="P1" s="337" t="inlineStr">
        <is>
          <t>Tarih</t>
        </is>
      </c>
      <c r="Q1" s="338">
        <f>kapak!G41</f>
        <v/>
      </c>
    </row>
    <row r="2" ht="10.5" customFormat="1" customHeight="1" s="339">
      <c r="A2" s="340" t="n"/>
      <c r="F2" s="341" t="inlineStr">
        <is>
          <t xml:space="preserve">   PROJE ADI :</t>
        </is>
      </c>
      <c r="G2" s="342" t="n"/>
      <c r="H2" s="343">
        <f>kapak!C31</f>
        <v/>
      </c>
      <c r="I2" s="343" t="n"/>
      <c r="J2" s="343" t="n"/>
      <c r="K2" s="344" t="n"/>
      <c r="L2" s="345" t="n"/>
      <c r="N2" s="346" t="inlineStr">
        <is>
          <t xml:space="preserve">  Sayfa :</t>
        </is>
      </c>
      <c r="O2" s="347" t="n">
        <v>5</v>
      </c>
      <c r="P2" s="347" t="n"/>
      <c r="Q2" s="347" t="n"/>
    </row>
    <row r="3" ht="8.25" customFormat="1" customHeight="1" s="339">
      <c r="A3" s="348" t="inlineStr">
        <is>
          <t xml:space="preserve"> Yapı Bileşeni</t>
        </is>
      </c>
      <c r="B3" s="264" t="n"/>
      <c r="C3" s="264" t="n"/>
      <c r="D3" s="264" t="n"/>
      <c r="E3" s="349" t="inlineStr">
        <is>
          <t xml:space="preserve"> Alan Hesabı</t>
        </is>
      </c>
      <c r="F3" s="264" t="n"/>
      <c r="G3" s="264" t="n"/>
      <c r="H3" s="260" t="n"/>
      <c r="I3" s="350" t="inlineStr">
        <is>
          <t xml:space="preserve">                 Isı kaybı hesabı</t>
        </is>
      </c>
      <c r="J3" s="264" t="n"/>
      <c r="K3" s="264" t="n"/>
      <c r="L3" s="260" t="n"/>
      <c r="M3" s="350" t="inlineStr">
        <is>
          <t xml:space="preserve">            Zamlar</t>
        </is>
      </c>
      <c r="N3" s="264" t="n"/>
      <c r="O3" s="264" t="n"/>
      <c r="P3" s="260" t="n"/>
      <c r="Q3" s="350" t="inlineStr">
        <is>
          <t xml:space="preserve">Toplam </t>
        </is>
      </c>
    </row>
    <row r="4" ht="31.5" customFormat="1" customHeight="1" s="351">
      <c r="A4" s="352" t="inlineStr">
        <is>
          <t>İşaret</t>
        </is>
      </c>
      <c r="B4" s="352" t="inlineStr">
        <is>
          <t>Yön</t>
        </is>
      </c>
      <c r="C4" s="352" t="inlineStr">
        <is>
          <t>Kalınlık</t>
        </is>
      </c>
      <c r="D4" s="352" t="inlineStr">
        <is>
          <t>Uzunluk</t>
        </is>
      </c>
      <c r="E4" s="352" t="inlineStr">
        <is>
          <t>Yükseklik</t>
        </is>
      </c>
      <c r="F4" s="353" t="inlineStr">
        <is>
          <t xml:space="preserve">  Toplam Alan</t>
        </is>
      </c>
      <c r="G4" s="352" t="inlineStr">
        <is>
          <t>Miktar</t>
        </is>
      </c>
      <c r="H4" s="353" t="inlineStr">
        <is>
          <t>Çıkarıla alan</t>
        </is>
      </c>
      <c r="I4" s="353" t="inlineStr">
        <is>
          <t>Hesaba giren Alan</t>
        </is>
      </c>
      <c r="J4" s="353" t="inlineStr">
        <is>
          <t xml:space="preserve">    Isı İletim Katsayısı</t>
        </is>
      </c>
      <c r="K4" s="353" t="inlineStr">
        <is>
          <t xml:space="preserve">Sıcaklık Farkı </t>
        </is>
      </c>
      <c r="L4" s="353" t="inlineStr">
        <is>
          <t>Zamsız Isı Kaybı</t>
        </is>
      </c>
      <c r="M4" s="352" t="inlineStr">
        <is>
          <t>İşletme</t>
        </is>
      </c>
      <c r="N4" s="352" t="inlineStr">
        <is>
          <t>Kat Yük.</t>
        </is>
      </c>
      <c r="O4" s="352" t="inlineStr">
        <is>
          <t>Yön</t>
        </is>
      </c>
      <c r="P4" s="352" t="inlineStr">
        <is>
          <t>Toplam</t>
        </is>
      </c>
      <c r="Q4" s="353" t="inlineStr">
        <is>
          <t>Toplam Is
ı İhtiyacı</t>
        </is>
      </c>
    </row>
    <row r="5" ht="9.75" customFormat="1" customHeight="1" s="351">
      <c r="A5" s="354" t="n"/>
      <c r="B5" s="354" t="n"/>
      <c r="C5" s="354" t="n"/>
      <c r="D5" s="354" t="n"/>
      <c r="E5" s="354" t="n"/>
      <c r="F5" s="354" t="inlineStr">
        <is>
          <t>[Ao]</t>
        </is>
      </c>
      <c r="G5" s="354" t="n"/>
      <c r="H5" s="354" t="n"/>
      <c r="I5" s="354" t="inlineStr">
        <is>
          <t>[A]</t>
        </is>
      </c>
      <c r="J5" s="354" t="inlineStr">
        <is>
          <t>[k]</t>
        </is>
      </c>
      <c r="K5" s="355" t="inlineStr">
        <is>
          <t>D T</t>
        </is>
      </c>
      <c r="L5" s="354" t="inlineStr">
        <is>
          <t>Qo</t>
        </is>
      </c>
      <c r="M5" s="354" t="inlineStr">
        <is>
          <t>ZD</t>
        </is>
      </c>
      <c r="N5" s="354" t="inlineStr">
        <is>
          <t>ZW</t>
        </is>
      </c>
      <c r="O5" s="354" t="inlineStr">
        <is>
          <t>ZH</t>
        </is>
      </c>
      <c r="P5" s="354" t="inlineStr">
        <is>
          <t>Z</t>
        </is>
      </c>
      <c r="Q5" s="354" t="inlineStr">
        <is>
          <t>Qh=Qi+Qs</t>
        </is>
      </c>
    </row>
    <row r="6" ht="15.75" customFormat="1" customHeight="1" s="356">
      <c r="A6" s="346" t="n"/>
      <c r="B6" s="346" t="n"/>
      <c r="C6" s="346" t="inlineStr">
        <is>
          <t>cm</t>
        </is>
      </c>
      <c r="D6" s="346" t="inlineStr">
        <is>
          <t>m</t>
        </is>
      </c>
      <c r="E6" s="346" t="inlineStr">
        <is>
          <t>m</t>
        </is>
      </c>
      <c r="F6" s="346" t="inlineStr">
        <is>
          <t>m²</t>
        </is>
      </c>
      <c r="G6" s="346" t="inlineStr">
        <is>
          <t>ad</t>
        </is>
      </c>
      <c r="H6" s="346" t="inlineStr">
        <is>
          <t>m²</t>
        </is>
      </c>
      <c r="I6" s="346" t="inlineStr">
        <is>
          <t>m²</t>
        </is>
      </c>
      <c r="J6" s="357" t="inlineStr">
        <is>
          <t>watt  m²hºC</t>
        </is>
      </c>
      <c r="K6" s="346" t="inlineStr">
        <is>
          <t>ºC</t>
        </is>
      </c>
      <c r="L6" s="358" t="inlineStr">
        <is>
          <t>watt</t>
        </is>
      </c>
      <c r="M6" s="346" t="inlineStr">
        <is>
          <t>%</t>
        </is>
      </c>
      <c r="N6" s="346" t="inlineStr">
        <is>
          <t>%</t>
        </is>
      </c>
      <c r="O6" s="346" t="inlineStr">
        <is>
          <t>%</t>
        </is>
      </c>
      <c r="P6" s="346" t="inlineStr">
        <is>
          <t>1+%</t>
        </is>
      </c>
      <c r="Q6" s="358" t="inlineStr">
        <is>
          <t>watt</t>
        </is>
      </c>
    </row>
    <row r="7" ht="9.75" customFormat="1" customHeight="1" s="356">
      <c r="A7" s="346" t="n">
        <v>1</v>
      </c>
      <c r="B7" s="346" t="n">
        <v>2</v>
      </c>
      <c r="C7" s="346" t="n">
        <v>3</v>
      </c>
      <c r="D7" s="346" t="n">
        <v>4</v>
      </c>
      <c r="E7" s="346" t="n">
        <v>5</v>
      </c>
      <c r="F7" s="346" t="n">
        <v>6</v>
      </c>
      <c r="G7" s="346" t="n">
        <v>7</v>
      </c>
      <c r="H7" s="346" t="n">
        <v>8</v>
      </c>
      <c r="I7" s="346" t="n">
        <v>9</v>
      </c>
      <c r="J7" s="346" t="n">
        <v>10</v>
      </c>
      <c r="K7" s="346" t="n">
        <v>11</v>
      </c>
      <c r="L7" s="346" t="n">
        <v>12</v>
      </c>
      <c r="M7" s="346" t="n">
        <v>13</v>
      </c>
      <c r="N7" s="346" t="n">
        <v>14</v>
      </c>
      <c r="O7" s="346" t="n">
        <v>15</v>
      </c>
      <c r="P7" s="346" t="n">
        <v>16</v>
      </c>
      <c r="Q7" s="346" t="n">
        <v>17</v>
      </c>
    </row>
    <row r="8" ht="10.35" customFormat="1" customHeight="1" s="356">
      <c r="A8" s="359" t="n"/>
      <c r="B8" s="360" t="n"/>
      <c r="C8" s="360" t="n"/>
      <c r="D8" s="360" t="n"/>
      <c r="E8" s="360" t="n"/>
      <c r="F8" s="361" t="inlineStr">
        <is>
          <t>2</t>
        </is>
      </c>
      <c r="G8" s="362" t="inlineStr">
        <is>
          <t>0</t>
        </is>
      </c>
      <c r="H8" s="360" t="inlineStr">
        <is>
          <t>201</t>
        </is>
      </c>
      <c r="I8" s="363" t="inlineStr">
        <is>
          <t>OFİS 5 ODA</t>
        </is>
      </c>
      <c r="J8" s="364" t="n"/>
      <c r="K8" s="360" t="inlineStr">
        <is>
          <t>20ºC</t>
        </is>
      </c>
      <c r="L8" s="360" t="n"/>
      <c r="M8" s="360" t="n"/>
      <c r="N8" s="360" t="n"/>
      <c r="O8" s="360" t="n"/>
      <c r="P8" s="360" t="n"/>
      <c r="Q8" s="365" t="n"/>
    </row>
    <row r="9" ht="9.949999999999999" customFormat="1" customHeight="1" s="356">
      <c r="A9" s="366" t="inlineStr">
        <is>
          <t>DD</t>
        </is>
      </c>
      <c r="B9" s="367" t="inlineStr">
        <is>
          <t>K</t>
        </is>
      </c>
      <c r="C9" s="368" t="n"/>
      <c r="D9" s="369" t="n">
        <v>3.9</v>
      </c>
      <c r="E9" s="369" t="n">
        <v>2.5</v>
      </c>
      <c r="F9" s="370">
        <f>IF(D9=0," ",D9*E9)</f>
        <v/>
      </c>
      <c r="G9" s="371" t="n">
        <v>1</v>
      </c>
      <c r="H9" s="372">
        <f>F11*G11</f>
        <v/>
      </c>
      <c r="I9" s="370">
        <f>IF(F9=" "," ",F9*G9-H9)</f>
        <v/>
      </c>
      <c r="J9" s="369" t="n">
        <v>0.344</v>
      </c>
      <c r="K9" s="371" t="n">
        <v>26</v>
      </c>
      <c r="L9" s="373">
        <f>IF(I9=" "," ",I9*J9*K9)</f>
        <v/>
      </c>
      <c r="M9" s="374" t="n">
        <v>7</v>
      </c>
      <c r="N9" s="371" t="n">
        <v>0</v>
      </c>
      <c r="O9" s="374" t="n">
        <v>5</v>
      </c>
      <c r="P9" s="370">
        <f>IF(M9=" "," ",(1+(M9+N9+O9)/100))</f>
        <v/>
      </c>
      <c r="Q9" s="375">
        <f>IF(L9=" "," ",L9*P9)</f>
        <v/>
      </c>
    </row>
    <row r="10" ht="9.949999999999999" customFormat="1" customHeight="1" s="356">
      <c r="A10" s="366" t="inlineStr">
        <is>
          <t>DD25</t>
        </is>
      </c>
      <c r="B10" s="367" t="inlineStr">
        <is>
          <t>K</t>
        </is>
      </c>
      <c r="C10" s="368" t="n"/>
      <c r="D10" s="369">
        <f>D9</f>
        <v/>
      </c>
      <c r="E10" s="369" t="n">
        <v>0.5</v>
      </c>
      <c r="F10" s="370">
        <f>IF(D10=0," ",D10*E10)</f>
        <v/>
      </c>
      <c r="G10" s="371" t="n">
        <v>1</v>
      </c>
      <c r="H10" s="372" t="n"/>
      <c r="I10" s="370">
        <f>IF(F10=" "," ",F10*G10-H10)</f>
        <v/>
      </c>
      <c r="J10" s="369" t="n">
        <v>0.387</v>
      </c>
      <c r="K10" s="371" t="n">
        <v>26</v>
      </c>
      <c r="L10" s="373">
        <f>IF(I10=" "," ",I10*J10*K10)</f>
        <v/>
      </c>
      <c r="M10" s="374" t="n">
        <v>7</v>
      </c>
      <c r="N10" s="371" t="n">
        <v>0</v>
      </c>
      <c r="O10" s="374" t="n">
        <v>5</v>
      </c>
      <c r="P10" s="370">
        <f>IF(M10=" "," ",(1+(M10+N10+O10)/100))</f>
        <v/>
      </c>
      <c r="Q10" s="375">
        <f>IF(L10=" "," ",L10*P10)</f>
        <v/>
      </c>
    </row>
    <row r="11" ht="9.949999999999999" customFormat="1" customHeight="1" s="356">
      <c r="A11" s="366" t="inlineStr">
        <is>
          <t>ÇP</t>
        </is>
      </c>
      <c r="B11" s="367" t="inlineStr">
        <is>
          <t>K</t>
        </is>
      </c>
      <c r="C11" s="368" t="n"/>
      <c r="D11" s="369" t="n">
        <v>3.5</v>
      </c>
      <c r="E11" s="369" t="n">
        <v>2.7</v>
      </c>
      <c r="F11" s="370">
        <f>IF(D11=0," ",D11*E11)</f>
        <v/>
      </c>
      <c r="G11" s="371" t="n">
        <v>1</v>
      </c>
      <c r="H11" s="372" t="n"/>
      <c r="I11" s="370">
        <f>IF(F11=" "," ",F11*G11-H11)</f>
        <v/>
      </c>
      <c r="J11" s="369" t="n">
        <v>1.8</v>
      </c>
      <c r="K11" s="371" t="n">
        <v>26</v>
      </c>
      <c r="L11" s="373">
        <f>IF(I11=" "," ",I11*J11*K11)</f>
        <v/>
      </c>
      <c r="M11" s="374" t="n">
        <v>7</v>
      </c>
      <c r="N11" s="371" t="n">
        <v>0</v>
      </c>
      <c r="O11" s="374" t="n">
        <v>5</v>
      </c>
      <c r="P11" s="370">
        <f>IF(M11=" "," ",(1+(M11+N11+O11)/100))</f>
        <v/>
      </c>
      <c r="Q11" s="375">
        <f>IF(L11=" "," ",L11*P11)</f>
        <v/>
      </c>
    </row>
    <row r="12" ht="9.949999999999999" customFormat="1" customHeight="1" s="356">
      <c r="A12" s="366" t="inlineStr">
        <is>
          <t>İDM</t>
        </is>
      </c>
      <c r="B12" s="367" t="inlineStr"/>
      <c r="C12" s="368" t="n"/>
      <c r="D12" s="369" t="n">
        <v>4.4</v>
      </c>
      <c r="E12" s="369" t="n">
        <v>3</v>
      </c>
      <c r="F12" s="370">
        <f>IF(D12=0," ",D12*E12)</f>
        <v/>
      </c>
      <c r="G12" s="371" t="n">
        <v>1</v>
      </c>
      <c r="H12" s="372" t="n"/>
      <c r="I12" s="370">
        <f>IF(F12=" "," ",F12*G12-H12)</f>
        <v/>
      </c>
      <c r="J12" s="369" t="n">
        <v>0.332</v>
      </c>
      <c r="K12" s="371" t="n">
        <v>5</v>
      </c>
      <c r="L12" s="373">
        <f>IF(I12=" "," ",I12*J12*K12)</f>
        <v/>
      </c>
      <c r="M12" s="374" t="n">
        <v>7</v>
      </c>
      <c r="N12" s="371" t="n">
        <v>0</v>
      </c>
      <c r="O12" s="374" t="n">
        <v>0</v>
      </c>
      <c r="P12" s="370">
        <f>IF(M12=" "," ",(1+(M12+N12+O12)/100))</f>
        <v/>
      </c>
      <c r="Q12" s="375">
        <f>IF(L12=" "," ",L12*P12)</f>
        <v/>
      </c>
    </row>
    <row r="13" ht="9.949999999999999" customFormat="1" customHeight="1" s="356">
      <c r="A13" s="366" t="inlineStr">
        <is>
          <t>Ta</t>
        </is>
      </c>
      <c r="B13" s="367" t="inlineStr"/>
      <c r="C13" s="368" t="n"/>
      <c r="D13" s="369" t="n">
        <v>19.54</v>
      </c>
      <c r="E13" s="369" t="n">
        <v>1</v>
      </c>
      <c r="F13" s="370">
        <f>IF(D13=0," ",D13*E13)</f>
        <v/>
      </c>
      <c r="G13" s="371" t="n">
        <v>1</v>
      </c>
      <c r="H13" s="372" t="n"/>
      <c r="I13" s="370">
        <f>IF(F13=" "," ",F13*G13-H13)</f>
        <v/>
      </c>
      <c r="J13" s="369" t="n">
        <v>0.266</v>
      </c>
      <c r="K13" s="371" t="n">
        <v>20</v>
      </c>
      <c r="L13" s="373">
        <f>IF(I13=" "," ",I13*J13*K13)</f>
        <v/>
      </c>
      <c r="M13" s="374" t="n">
        <v>7</v>
      </c>
      <c r="N13" s="371" t="n">
        <v>0</v>
      </c>
      <c r="O13" s="374" t="n">
        <v>0</v>
      </c>
      <c r="P13" s="370">
        <f>IF(M13=" "," ",(1+(M13+N13+O13)/100))</f>
        <v/>
      </c>
      <c r="Q13" s="375">
        <f>IF(L13=" "," ",L13*P13)</f>
        <v/>
      </c>
    </row>
    <row r="14" ht="9.949999999999999" customFormat="1" customHeight="1" s="356">
      <c r="A14" s="376" t="n"/>
      <c r="B14" s="377" t="n"/>
      <c r="C14" s="377" t="n"/>
      <c r="D14" s="378" t="n"/>
      <c r="E14" s="378" t="n"/>
      <c r="F14" s="378" t="n"/>
      <c r="G14" s="379" t="n"/>
      <c r="H14" s="378" t="n"/>
      <c r="I14" s="378" t="n"/>
      <c r="J14" s="378" t="n"/>
      <c r="K14" s="379" t="n"/>
      <c r="L14" s="380" t="n"/>
      <c r="M14" s="381" t="n"/>
      <c r="N14" s="381" t="n"/>
      <c r="O14" s="381" t="n"/>
      <c r="P14" s="382" t="n"/>
      <c r="Q14" s="383">
        <f>SUM(Q9:Q13)</f>
        <v/>
      </c>
    </row>
    <row r="15" ht="9.949999999999999" customFormat="1" customHeight="1" s="356">
      <c r="A15" s="384" t="n"/>
      <c r="B15" s="385" t="n"/>
      <c r="C15" s="385" t="n"/>
      <c r="D15" s="386" t="n"/>
      <c r="E15" s="387" t="n"/>
      <c r="F15" s="388" t="n"/>
      <c r="G15" s="389" t="n"/>
      <c r="H15" s="388" t="n"/>
      <c r="I15" s="390" t="n"/>
      <c r="J15" s="391" t="inlineStr">
        <is>
          <t>Qs=</t>
        </is>
      </c>
      <c r="K15" s="390" t="inlineStr">
        <is>
          <t>S a</t>
        </is>
      </c>
      <c r="L15" s="388" t="inlineStr">
        <is>
          <t>L</t>
        </is>
      </c>
      <c r="M15" s="389" t="inlineStr">
        <is>
          <t>R</t>
        </is>
      </c>
      <c r="N15" s="392" t="inlineStr">
        <is>
          <t>H</t>
        </is>
      </c>
      <c r="O15" s="393" t="inlineStr">
        <is>
          <t>D  T</t>
        </is>
      </c>
      <c r="P15" s="389" t="inlineStr">
        <is>
          <t>Ze</t>
        </is>
      </c>
      <c r="Q15" s="394" t="n"/>
    </row>
    <row r="16" ht="9.949999999999999" customFormat="1" customHeight="1" s="356">
      <c r="A16" s="395" t="inlineStr">
        <is>
          <t xml:space="preserve"> </t>
        </is>
      </c>
      <c r="B16" s="396" t="n"/>
      <c r="C16" s="397" t="n"/>
      <c r="D16" s="397" t="n"/>
      <c r="E16" s="398" t="n"/>
      <c r="F16" s="399" t="n"/>
      <c r="G16" s="400" t="n"/>
      <c r="H16" s="401" t="n"/>
      <c r="I16" s="402" t="n"/>
      <c r="J16" s="403" t="inlineStr">
        <is>
          <t>Qs  =</t>
        </is>
      </c>
      <c r="K16" s="404" t="n">
        <v>2</v>
      </c>
      <c r="L16" s="404">
        <f>(D11+E11)*2*G11</f>
        <v/>
      </c>
      <c r="M16" s="404" t="n">
        <v>0.9</v>
      </c>
      <c r="N16" s="404" t="n">
        <v>0.67</v>
      </c>
      <c r="O16" s="381" t="n">
        <v>26</v>
      </c>
      <c r="P16" s="404" t="n">
        <v>1</v>
      </c>
      <c r="Q16" s="383">
        <f>K16*L16*M16*N16*O16*P16</f>
        <v/>
      </c>
    </row>
    <row r="17" ht="9.949999999999999" customFormat="1" customHeight="1" s="356">
      <c r="A17" s="405" t="n"/>
      <c r="B17" s="406" t="n"/>
      <c r="C17" s="397" t="n"/>
      <c r="D17" s="397" t="n"/>
      <c r="E17" s="378" t="n"/>
      <c r="F17" s="256" t="n"/>
      <c r="G17" s="407" t="n"/>
      <c r="H17" s="397" t="n"/>
      <c r="I17" s="397" t="n"/>
      <c r="J17" s="397" t="n"/>
      <c r="K17" s="407" t="n"/>
      <c r="L17" s="408" t="n"/>
      <c r="M17" s="409" t="inlineStr">
        <is>
          <t xml:space="preserve">   TOPLAM ISI KAYBI =</t>
        </is>
      </c>
      <c r="N17" s="409" t="n"/>
      <c r="O17" s="410" t="n"/>
      <c r="P17" s="409" t="n"/>
      <c r="Q17" s="411">
        <f>Q14+Q16</f>
        <v/>
      </c>
    </row>
    <row r="18" ht="10.35" customFormat="1" customHeight="1" s="356">
      <c r="A18" s="359" t="n"/>
      <c r="B18" s="360" t="n"/>
      <c r="C18" s="360" t="n"/>
      <c r="D18" s="360" t="n"/>
      <c r="E18" s="360" t="n"/>
      <c r="F18" s="361" t="inlineStr">
        <is>
          <t>2</t>
        </is>
      </c>
      <c r="G18" s="362" t="inlineStr">
        <is>
          <t>0</t>
        </is>
      </c>
      <c r="H18" s="360" t="inlineStr">
        <is>
          <t>202</t>
        </is>
      </c>
      <c r="I18" s="363" t="inlineStr">
        <is>
          <t>OFİS 5 ODA</t>
        </is>
      </c>
      <c r="J18" s="364" t="n"/>
      <c r="K18" s="360" t="inlineStr">
        <is>
          <t>20ºC</t>
        </is>
      </c>
      <c r="L18" s="360" t="n"/>
      <c r="M18" s="360" t="n"/>
      <c r="N18" s="360" t="n"/>
      <c r="O18" s="360" t="n"/>
      <c r="P18" s="360" t="n"/>
      <c r="Q18" s="365" t="n"/>
    </row>
    <row r="19" ht="9.949999999999999" customFormat="1" customHeight="1" s="356">
      <c r="A19" s="366" t="inlineStr">
        <is>
          <t>DD</t>
        </is>
      </c>
      <c r="B19" s="367" t="inlineStr">
        <is>
          <t>G</t>
        </is>
      </c>
      <c r="C19" s="368" t="n"/>
      <c r="D19" s="369" t="n">
        <v>2.5</v>
      </c>
      <c r="E19" s="369" t="n">
        <v>2.5</v>
      </c>
      <c r="F19" s="370">
        <f>IF(D19=0," ",D19*E19)</f>
        <v/>
      </c>
      <c r="G19" s="371" t="n">
        <v>1</v>
      </c>
      <c r="H19" s="372">
        <f>F21*G21</f>
        <v/>
      </c>
      <c r="I19" s="370">
        <f>IF(F19=" "," ",F19*G19-H19)</f>
        <v/>
      </c>
      <c r="J19" s="369" t="n">
        <v>0.344</v>
      </c>
      <c r="K19" s="371" t="n">
        <v>26</v>
      </c>
      <c r="L19" s="373">
        <f>IF(I19=" "," ",I19*J19*K19)</f>
        <v/>
      </c>
      <c r="M19" s="374" t="n">
        <v>7</v>
      </c>
      <c r="N19" s="371" t="n">
        <v>0</v>
      </c>
      <c r="O19" s="374" t="n">
        <v>-5</v>
      </c>
      <c r="P19" s="370">
        <f>IF(M19=" "," ",(1+(M19+N19+O19)/100))</f>
        <v/>
      </c>
      <c r="Q19" s="375">
        <f>IF(L19=" "," ",L19*P19)</f>
        <v/>
      </c>
    </row>
    <row r="20" ht="9.949999999999999" customFormat="1" customHeight="1" s="356">
      <c r="A20" s="366" t="inlineStr">
        <is>
          <t>DD25</t>
        </is>
      </c>
      <c r="B20" s="367" t="inlineStr">
        <is>
          <t>G</t>
        </is>
      </c>
      <c r="C20" s="368" t="n"/>
      <c r="D20" s="369">
        <f>D19</f>
        <v/>
      </c>
      <c r="E20" s="369" t="n">
        <v>0.5</v>
      </c>
      <c r="F20" s="370">
        <f>IF(D20=0," ",D20*E20)</f>
        <v/>
      </c>
      <c r="G20" s="371" t="n">
        <v>1</v>
      </c>
      <c r="H20" s="372" t="n"/>
      <c r="I20" s="370">
        <f>IF(F20=" "," ",F20*G20-H20)</f>
        <v/>
      </c>
      <c r="J20" s="369" t="n">
        <v>0.387</v>
      </c>
      <c r="K20" s="371" t="n">
        <v>26</v>
      </c>
      <c r="L20" s="373">
        <f>IF(I20=" "," ",I20*J20*K20)</f>
        <v/>
      </c>
      <c r="M20" s="374" t="n">
        <v>7</v>
      </c>
      <c r="N20" s="371" t="n">
        <v>0</v>
      </c>
      <c r="O20" s="374" t="n">
        <v>-5</v>
      </c>
      <c r="P20" s="370">
        <f>IF(M20=" "," ",(1+(M20+N20+O20)/100))</f>
        <v/>
      </c>
      <c r="Q20" s="375">
        <f>IF(L20=" "," ",L20*P20)</f>
        <v/>
      </c>
    </row>
    <row r="21" ht="9.949999999999999" customFormat="1" customHeight="1" s="356">
      <c r="A21" s="366" t="inlineStr">
        <is>
          <t>ÇP</t>
        </is>
      </c>
      <c r="B21" s="367" t="inlineStr">
        <is>
          <t>G</t>
        </is>
      </c>
      <c r="C21" s="368" t="n"/>
      <c r="D21" s="369" t="n">
        <v>2.2</v>
      </c>
      <c r="E21" s="369" t="n">
        <v>2.7</v>
      </c>
      <c r="F21" s="370">
        <f>IF(D21=0," ",D21*E21)</f>
        <v/>
      </c>
      <c r="G21" s="371" t="n">
        <v>1</v>
      </c>
      <c r="H21" s="372" t="n"/>
      <c r="I21" s="370">
        <f>IF(F21=" "," ",F21*G21-H21)</f>
        <v/>
      </c>
      <c r="J21" s="369" t="n">
        <v>1.8</v>
      </c>
      <c r="K21" s="371" t="n">
        <v>26</v>
      </c>
      <c r="L21" s="373">
        <f>IF(I21=" "," ",I21*J21*K21)</f>
        <v/>
      </c>
      <c r="M21" s="374" t="n">
        <v>7</v>
      </c>
      <c r="N21" s="371" t="n">
        <v>0</v>
      </c>
      <c r="O21" s="374" t="n">
        <v>-5</v>
      </c>
      <c r="P21" s="370">
        <f>IF(M21=" "," ",(1+(M21+N21+O21)/100))</f>
        <v/>
      </c>
      <c r="Q21" s="375">
        <f>IF(L21=" "," ",L21*P21)</f>
        <v/>
      </c>
    </row>
    <row r="22" ht="9.949999999999999" customFormat="1" customHeight="1" s="356">
      <c r="A22" s="366" t="inlineStr">
        <is>
          <t>İDM</t>
        </is>
      </c>
      <c r="B22" s="367" t="inlineStr"/>
      <c r="C22" s="368" t="n"/>
      <c r="D22" s="369" t="n">
        <v>3.5</v>
      </c>
      <c r="E22" s="369" t="n">
        <v>3</v>
      </c>
      <c r="F22" s="370">
        <f>IF(D22=0," ",D22*E22)</f>
        <v/>
      </c>
      <c r="G22" s="371" t="n">
        <v>1</v>
      </c>
      <c r="H22" s="372" t="n"/>
      <c r="I22" s="370">
        <f>IF(F22=" "," ",F22*G22-H22)</f>
        <v/>
      </c>
      <c r="J22" s="369" t="n">
        <v>0.332</v>
      </c>
      <c r="K22" s="371" t="n">
        <v>5</v>
      </c>
      <c r="L22" s="373">
        <f>IF(I22=" "," ",I22*J22*K22)</f>
        <v/>
      </c>
      <c r="M22" s="374" t="n">
        <v>7</v>
      </c>
      <c r="N22" s="371" t="n">
        <v>0</v>
      </c>
      <c r="O22" s="374" t="n">
        <v>0</v>
      </c>
      <c r="P22" s="370">
        <f>IF(M22=" "," ",(1+(M22+N22+O22)/100))</f>
        <v/>
      </c>
      <c r="Q22" s="375">
        <f>IF(L22=" "," ",L22*P22)</f>
        <v/>
      </c>
    </row>
    <row r="23" ht="9.949999999999999" customFormat="1" customHeight="1" s="356">
      <c r="A23" s="366" t="inlineStr">
        <is>
          <t>Ta</t>
        </is>
      </c>
      <c r="B23" s="367" t="inlineStr"/>
      <c r="C23" s="368" t="n"/>
      <c r="D23" s="369" t="n">
        <v>10.1</v>
      </c>
      <c r="E23" s="369" t="n">
        <v>1</v>
      </c>
      <c r="F23" s="370">
        <f>IF(D23=0," ",D23*E23)</f>
        <v/>
      </c>
      <c r="G23" s="371" t="n">
        <v>1</v>
      </c>
      <c r="H23" s="372" t="n"/>
      <c r="I23" s="370">
        <f>IF(F23=" "," ",F23*G23-H23)</f>
        <v/>
      </c>
      <c r="J23" s="369" t="n">
        <v>0.266</v>
      </c>
      <c r="K23" s="371" t="n">
        <v>20</v>
      </c>
      <c r="L23" s="373">
        <f>IF(I23=" "," ",I23*J23*K23)</f>
        <v/>
      </c>
      <c r="M23" s="374" t="n">
        <v>7</v>
      </c>
      <c r="N23" s="371" t="n">
        <v>0</v>
      </c>
      <c r="O23" s="374" t="n">
        <v>0</v>
      </c>
      <c r="P23" s="370">
        <f>IF(M23=" "," ",(1+(M23+N23+O23)/100))</f>
        <v/>
      </c>
      <c r="Q23" s="375">
        <f>IF(L23=" "," ",L23*P23)</f>
        <v/>
      </c>
    </row>
    <row r="24" ht="9.949999999999999" customFormat="1" customHeight="1" s="412">
      <c r="A24" s="376" t="n"/>
      <c r="B24" s="377" t="n"/>
      <c r="C24" s="377" t="n"/>
      <c r="D24" s="378" t="n"/>
      <c r="E24" s="378" t="n"/>
      <c r="F24" s="378" t="n"/>
      <c r="G24" s="379" t="n"/>
      <c r="H24" s="378" t="n"/>
      <c r="I24" s="378" t="n"/>
      <c r="J24" s="378" t="n"/>
      <c r="K24" s="379" t="n"/>
      <c r="L24" s="380" t="n"/>
      <c r="M24" s="381" t="n"/>
      <c r="N24" s="381" t="n"/>
      <c r="O24" s="381" t="n"/>
      <c r="P24" s="382" t="n"/>
      <c r="Q24" s="383">
        <f>SUM(Q19:Q23)</f>
        <v/>
      </c>
    </row>
    <row r="25" ht="9.949999999999999" customFormat="1" customHeight="1" s="412">
      <c r="A25" s="384" t="n"/>
      <c r="B25" s="385" t="n"/>
      <c r="C25" s="385" t="n"/>
      <c r="D25" s="386" t="n"/>
      <c r="E25" s="387" t="n"/>
      <c r="F25" s="388" t="n"/>
      <c r="G25" s="389" t="n"/>
      <c r="H25" s="388" t="n"/>
      <c r="I25" s="390" t="n"/>
      <c r="J25" s="391" t="inlineStr">
        <is>
          <t>Qs=</t>
        </is>
      </c>
      <c r="K25" s="390" t="inlineStr">
        <is>
          <t>S a</t>
        </is>
      </c>
      <c r="L25" s="388" t="inlineStr">
        <is>
          <t>L</t>
        </is>
      </c>
      <c r="M25" s="389" t="inlineStr">
        <is>
          <t>R</t>
        </is>
      </c>
      <c r="N25" s="392" t="inlineStr">
        <is>
          <t>H</t>
        </is>
      </c>
      <c r="O25" s="393" t="inlineStr">
        <is>
          <t>D  T</t>
        </is>
      </c>
      <c r="P25" s="389" t="inlineStr">
        <is>
          <t>Ze</t>
        </is>
      </c>
      <c r="Q25" s="394" t="n"/>
    </row>
    <row r="26" ht="9.949999999999999" customFormat="1" customHeight="1" s="351">
      <c r="A26" s="395" t="inlineStr">
        <is>
          <t xml:space="preserve"> </t>
        </is>
      </c>
      <c r="B26" s="412" t="n"/>
      <c r="C26" s="397" t="n"/>
      <c r="D26" s="397" t="n"/>
      <c r="E26" s="398" t="n"/>
      <c r="F26" s="399" t="n"/>
      <c r="G26" s="400" t="n"/>
      <c r="H26" s="401" t="n"/>
      <c r="I26" s="402" t="n"/>
      <c r="J26" s="403" t="inlineStr">
        <is>
          <t>Qs  =</t>
        </is>
      </c>
      <c r="K26" s="404" t="n">
        <v>2</v>
      </c>
      <c r="L26" s="404">
        <f>(D21+E21)*2*G21</f>
        <v/>
      </c>
      <c r="M26" s="404" t="n">
        <v>0.9</v>
      </c>
      <c r="N26" s="404" t="n">
        <v>0.67</v>
      </c>
      <c r="O26" s="381" t="n">
        <v>26</v>
      </c>
      <c r="P26" s="404" t="n">
        <v>1</v>
      </c>
      <c r="Q26" s="383">
        <f>K26*L26*M26*N26*O26*P26</f>
        <v/>
      </c>
    </row>
    <row r="27" ht="9.949999999999999" customFormat="1" customHeight="1" s="356">
      <c r="A27" s="405" t="n"/>
      <c r="B27" s="406" t="n"/>
      <c r="C27" s="397" t="n"/>
      <c r="D27" s="397" t="n"/>
      <c r="E27" s="378" t="n"/>
      <c r="F27" s="256" t="n"/>
      <c r="G27" s="407" t="n"/>
      <c r="H27" s="397" t="n"/>
      <c r="I27" s="397" t="n"/>
      <c r="J27" s="397" t="n"/>
      <c r="K27" s="407" t="n"/>
      <c r="L27" s="408" t="n"/>
      <c r="M27" s="409" t="inlineStr">
        <is>
          <t xml:space="preserve">   TOPLAM ISI KAYBI =</t>
        </is>
      </c>
      <c r="N27" s="409" t="n"/>
      <c r="O27" s="410" t="n"/>
      <c r="P27" s="409" t="n"/>
      <c r="Q27" s="411">
        <f>Q24+Q26</f>
        <v/>
      </c>
    </row>
    <row r="28" ht="10.35" customFormat="1" customHeight="1" s="356">
      <c r="A28" s="359" t="n"/>
      <c r="B28" s="360" t="n"/>
      <c r="C28" s="360" t="n"/>
      <c r="D28" s="360" t="n"/>
      <c r="E28" s="360" t="n"/>
      <c r="F28" s="361" t="inlineStr">
        <is>
          <t>2</t>
        </is>
      </c>
      <c r="G28" s="362" t="inlineStr">
        <is>
          <t>0</t>
        </is>
      </c>
      <c r="H28" s="360" t="inlineStr">
        <is>
          <t>203</t>
        </is>
      </c>
      <c r="I28" s="363" t="inlineStr">
        <is>
          <t>OFİS 5 ODA</t>
        </is>
      </c>
      <c r="J28" s="364" t="n"/>
      <c r="K28" s="360" t="inlineStr">
        <is>
          <t>20ºC</t>
        </is>
      </c>
      <c r="L28" s="360" t="n"/>
      <c r="M28" s="360" t="n"/>
      <c r="N28" s="360" t="n"/>
      <c r="O28" s="360" t="n"/>
      <c r="P28" s="360" t="n"/>
      <c r="Q28" s="365" t="n"/>
    </row>
    <row r="29" ht="9.949999999999999" customFormat="1" customHeight="1" s="356">
      <c r="A29" s="366" t="inlineStr">
        <is>
          <t>DD</t>
        </is>
      </c>
      <c r="B29" s="367" t="inlineStr">
        <is>
          <t>G</t>
        </is>
      </c>
      <c r="C29" s="368" t="n"/>
      <c r="D29" s="369" t="n">
        <v>4.4</v>
      </c>
      <c r="E29" s="369" t="n">
        <v>2.5</v>
      </c>
      <c r="F29" s="370">
        <f>IF(D29=0," ",D29*E29)</f>
        <v/>
      </c>
      <c r="G29" s="371" t="n">
        <v>1</v>
      </c>
      <c r="H29" s="372">
        <f>F31*G31</f>
        <v/>
      </c>
      <c r="I29" s="370">
        <f>IF(F29=" "," ",F29*G29-H29)</f>
        <v/>
      </c>
      <c r="J29" s="369" t="n">
        <v>0.344</v>
      </c>
      <c r="K29" s="371" t="n">
        <v>26</v>
      </c>
      <c r="L29" s="373">
        <f>IF(I29=" "," ",I29*J29*K29)</f>
        <v/>
      </c>
      <c r="M29" s="374" t="n">
        <v>7</v>
      </c>
      <c r="N29" s="371" t="n">
        <v>0</v>
      </c>
      <c r="O29" s="374" t="n">
        <v>-5</v>
      </c>
      <c r="P29" s="370">
        <f>IF(M29=" "," ",(1+(M29+N29+O29)/100))</f>
        <v/>
      </c>
      <c r="Q29" s="375">
        <f>IF(L29=" "," ",L29*P29)</f>
        <v/>
      </c>
    </row>
    <row r="30" ht="9.949999999999999" customFormat="1" customHeight="1" s="356">
      <c r="A30" s="366" t="inlineStr">
        <is>
          <t>DD25</t>
        </is>
      </c>
      <c r="B30" s="367" t="inlineStr">
        <is>
          <t>G</t>
        </is>
      </c>
      <c r="C30" s="368" t="n"/>
      <c r="D30" s="369">
        <f>D29</f>
        <v/>
      </c>
      <c r="E30" s="369" t="n">
        <v>0.5</v>
      </c>
      <c r="F30" s="370">
        <f>IF(D30=0," ",D30*E30)</f>
        <v/>
      </c>
      <c r="G30" s="371" t="n">
        <v>1</v>
      </c>
      <c r="H30" s="372" t="n"/>
      <c r="I30" s="370">
        <f>IF(F30=" "," ",F30*G30-H30)</f>
        <v/>
      </c>
      <c r="J30" s="369" t="n">
        <v>0.387</v>
      </c>
      <c r="K30" s="371" t="n">
        <v>26</v>
      </c>
      <c r="L30" s="373">
        <f>IF(I30=" "," ",I30*J30*K30)</f>
        <v/>
      </c>
      <c r="M30" s="374" t="n">
        <v>7</v>
      </c>
      <c r="N30" s="371" t="n">
        <v>0</v>
      </c>
      <c r="O30" s="374" t="n">
        <v>-5</v>
      </c>
      <c r="P30" s="370">
        <f>IF(M30=" "," ",(1+(M30+N30+O30)/100))</f>
        <v/>
      </c>
      <c r="Q30" s="375">
        <f>IF(L30=" "," ",L30*P30)</f>
        <v/>
      </c>
    </row>
    <row r="31" ht="9.949999999999999" customFormat="1" customHeight="1" s="356">
      <c r="A31" s="366" t="inlineStr">
        <is>
          <t>ÇP</t>
        </is>
      </c>
      <c r="B31" s="367" t="inlineStr">
        <is>
          <t>G</t>
        </is>
      </c>
      <c r="C31" s="368" t="n"/>
      <c r="D31" s="369" t="n">
        <v>4.15</v>
      </c>
      <c r="E31" s="369" t="n">
        <v>2.7</v>
      </c>
      <c r="F31" s="370">
        <f>IF(D31=0," ",D31*E31)</f>
        <v/>
      </c>
      <c r="G31" s="371" t="n">
        <v>1</v>
      </c>
      <c r="H31" s="372" t="n"/>
      <c r="I31" s="370">
        <f>IF(F31=" "," ",F31*G31-H31)</f>
        <v/>
      </c>
      <c r="J31" s="369" t="n">
        <v>1.8</v>
      </c>
      <c r="K31" s="371" t="n">
        <v>26</v>
      </c>
      <c r="L31" s="373">
        <f>IF(I31=" "," ",I31*J31*K31)</f>
        <v/>
      </c>
      <c r="M31" s="374" t="n">
        <v>7</v>
      </c>
      <c r="N31" s="371" t="n">
        <v>0</v>
      </c>
      <c r="O31" s="374" t="n">
        <v>-5</v>
      </c>
      <c r="P31" s="370">
        <f>IF(M31=" "," ",(1+(M31+N31+O31)/100))</f>
        <v/>
      </c>
      <c r="Q31" s="375">
        <f>IF(L31=" "," ",L31*P31)</f>
        <v/>
      </c>
    </row>
    <row r="32" ht="9.949999999999999" customFormat="1" customHeight="1" s="356">
      <c r="A32" s="366" t="inlineStr">
        <is>
          <t>Ta</t>
        </is>
      </c>
      <c r="B32" s="367" t="inlineStr"/>
      <c r="C32" s="368" t="n"/>
      <c r="D32" s="369" t="n">
        <v>10.96</v>
      </c>
      <c r="E32" s="369" t="n">
        <v>1</v>
      </c>
      <c r="F32" s="370">
        <f>IF(D32=0," ",D32*E32)</f>
        <v/>
      </c>
      <c r="G32" s="371" t="n">
        <v>1</v>
      </c>
      <c r="H32" s="372" t="n"/>
      <c r="I32" s="370">
        <f>IF(F32=" "," ",F32*G32-H32)</f>
        <v/>
      </c>
      <c r="J32" s="369" t="n">
        <v>0.266</v>
      </c>
      <c r="K32" s="371" t="n">
        <v>20</v>
      </c>
      <c r="L32" s="373">
        <f>IF(I32=" "," ",I32*J32*K32)</f>
        <v/>
      </c>
      <c r="M32" s="374" t="n">
        <v>7</v>
      </c>
      <c r="N32" s="371" t="n">
        <v>0</v>
      </c>
      <c r="O32" s="374" t="n">
        <v>0</v>
      </c>
      <c r="P32" s="370">
        <f>IF(M32=" "," ",(1+(M32+N32+O32)/100))</f>
        <v/>
      </c>
      <c r="Q32" s="375">
        <f>IF(L32=" "," ",L32*P32)</f>
        <v/>
      </c>
    </row>
    <row r="33" ht="9.949999999999999" customFormat="1" customHeight="1" s="356">
      <c r="A33" s="376" t="n"/>
      <c r="B33" s="377" t="n"/>
      <c r="C33" s="377" t="n"/>
      <c r="D33" s="378" t="n"/>
      <c r="E33" s="378" t="n"/>
      <c r="F33" s="378" t="n"/>
      <c r="G33" s="379" t="n"/>
      <c r="H33" s="378" t="n"/>
      <c r="I33" s="378" t="n"/>
      <c r="J33" s="378" t="n"/>
      <c r="K33" s="379" t="n"/>
      <c r="L33" s="380" t="n"/>
      <c r="M33" s="381" t="n"/>
      <c r="N33" s="381" t="n"/>
      <c r="O33" s="381" t="n"/>
      <c r="P33" s="382" t="n"/>
      <c r="Q33" s="383">
        <f>SUM(Q29:Q32)</f>
        <v/>
      </c>
    </row>
    <row r="34" ht="9.949999999999999" customFormat="1" customHeight="1" s="356">
      <c r="A34" s="384" t="n"/>
      <c r="B34" s="385" t="n"/>
      <c r="C34" s="385" t="n"/>
      <c r="D34" s="386" t="n"/>
      <c r="E34" s="387" t="n"/>
      <c r="F34" s="388" t="n"/>
      <c r="G34" s="389" t="n"/>
      <c r="H34" s="388" t="n"/>
      <c r="I34" s="390" t="n"/>
      <c r="J34" s="391" t="inlineStr">
        <is>
          <t>Qs=</t>
        </is>
      </c>
      <c r="K34" s="390" t="inlineStr">
        <is>
          <t>S a</t>
        </is>
      </c>
      <c r="L34" s="388" t="inlineStr">
        <is>
          <t>L</t>
        </is>
      </c>
      <c r="M34" s="389" t="inlineStr">
        <is>
          <t>R</t>
        </is>
      </c>
      <c r="N34" s="392" t="inlineStr">
        <is>
          <t>H</t>
        </is>
      </c>
      <c r="O34" s="393" t="inlineStr">
        <is>
          <t>D  T</t>
        </is>
      </c>
      <c r="P34" s="389" t="inlineStr">
        <is>
          <t>Ze</t>
        </is>
      </c>
      <c r="Q34" s="394" t="n"/>
    </row>
    <row r="35" ht="9.949999999999999" customFormat="1" customHeight="1" s="356">
      <c r="A35" s="395" t="inlineStr">
        <is>
          <t xml:space="preserve"> </t>
        </is>
      </c>
      <c r="B35" s="424" t="n"/>
      <c r="C35" s="397" t="n"/>
      <c r="D35" s="397" t="n"/>
      <c r="E35" s="398" t="n"/>
      <c r="F35" s="399" t="n"/>
      <c r="G35" s="400" t="n"/>
      <c r="H35" s="401" t="n"/>
      <c r="I35" s="402" t="n"/>
      <c r="J35" s="403" t="inlineStr">
        <is>
          <t>Qs  =</t>
        </is>
      </c>
      <c r="K35" s="404" t="n">
        <v>2</v>
      </c>
      <c r="L35" s="404">
        <f>(D31+E31)*2*G31</f>
        <v/>
      </c>
      <c r="M35" s="404" t="n">
        <v>0.9</v>
      </c>
      <c r="N35" s="404" t="n">
        <v>0.67</v>
      </c>
      <c r="O35" s="381" t="n">
        <v>26</v>
      </c>
      <c r="P35" s="404" t="n">
        <v>1</v>
      </c>
      <c r="Q35" s="383">
        <f>K35*L35*M35*N35*O35*P35</f>
        <v/>
      </c>
    </row>
    <row r="36" ht="9.949999999999999" customFormat="1" customHeight="1" s="412">
      <c r="A36" s="405" t="n"/>
      <c r="B36" s="406" t="n"/>
      <c r="C36" s="397" t="n"/>
      <c r="D36" s="397" t="n"/>
      <c r="E36" s="378" t="n"/>
      <c r="F36" s="256" t="n"/>
      <c r="G36" s="407" t="n"/>
      <c r="H36" s="397" t="n"/>
      <c r="I36" s="397" t="n"/>
      <c r="J36" s="397" t="n"/>
      <c r="K36" s="407" t="n"/>
      <c r="L36" s="408" t="n"/>
      <c r="M36" s="409" t="inlineStr">
        <is>
          <t xml:space="preserve">   TOPLAM ISI KAYBI =</t>
        </is>
      </c>
      <c r="N36" s="409" t="n"/>
      <c r="O36" s="410" t="n"/>
      <c r="P36" s="409" t="n"/>
      <c r="Q36" s="411">
        <f>Q33+Q35</f>
        <v/>
      </c>
    </row>
    <row r="37" ht="10.35" customFormat="1" customHeight="1" s="412">
      <c r="A37" s="359" t="n"/>
      <c r="B37" s="360" t="n"/>
      <c r="C37" s="360" t="n"/>
      <c r="D37" s="360" t="n"/>
      <c r="E37" s="360" t="n"/>
      <c r="F37" s="361" t="inlineStr">
        <is>
          <t>2</t>
        </is>
      </c>
      <c r="G37" s="362" t="inlineStr">
        <is>
          <t>0</t>
        </is>
      </c>
      <c r="H37" s="360" t="inlineStr">
        <is>
          <t>204</t>
        </is>
      </c>
      <c r="I37" s="363" t="inlineStr">
        <is>
          <t>OFİS 5 MUTFAK</t>
        </is>
      </c>
      <c r="J37" s="364" t="n"/>
      <c r="K37" s="360" t="inlineStr">
        <is>
          <t>20ºC</t>
        </is>
      </c>
      <c r="L37" s="360" t="n"/>
      <c r="M37" s="360" t="n"/>
      <c r="N37" s="360" t="n"/>
      <c r="O37" s="360" t="n"/>
      <c r="P37" s="360" t="n"/>
      <c r="Q37" s="365" t="n"/>
    </row>
    <row r="38" ht="9.949999999999999" customFormat="1" customHeight="1" s="351">
      <c r="A38" s="366" t="inlineStr">
        <is>
          <t>DD</t>
        </is>
      </c>
      <c r="B38" s="367" t="inlineStr">
        <is>
          <t>G</t>
        </is>
      </c>
      <c r="C38" s="368" t="n"/>
      <c r="D38" s="369" t="n">
        <v>0.9</v>
      </c>
      <c r="E38" s="369" t="n">
        <v>2.5</v>
      </c>
      <c r="F38" s="370">
        <f>IF(D38=0," ",D38*E38)</f>
        <v/>
      </c>
      <c r="G38" s="371" t="n">
        <v>1</v>
      </c>
      <c r="H38" s="372">
        <f>F40*G40</f>
        <v/>
      </c>
      <c r="I38" s="370">
        <f>IF(F38=" "," ",F38*G38-H38)</f>
        <v/>
      </c>
      <c r="J38" s="369" t="n">
        <v>0.344</v>
      </c>
      <c r="K38" s="371" t="n">
        <v>26</v>
      </c>
      <c r="L38" s="373">
        <f>IF(I38=" "," ",I38*J38*K38)</f>
        <v/>
      </c>
      <c r="M38" s="374" t="n">
        <v>7</v>
      </c>
      <c r="N38" s="371" t="n">
        <v>0</v>
      </c>
      <c r="O38" s="374" t="n">
        <v>-5</v>
      </c>
      <c r="P38" s="370">
        <f>IF(M38=" "," ",(1+(M38+N38+O38)/100))</f>
        <v/>
      </c>
      <c r="Q38" s="375">
        <f>IF(L38=" "," ",L38*P38)</f>
        <v/>
      </c>
    </row>
    <row r="39" ht="9.949999999999999" customFormat="1" customHeight="1" s="356">
      <c r="A39" s="366" t="inlineStr">
        <is>
          <t>DD25</t>
        </is>
      </c>
      <c r="B39" s="367" t="inlineStr">
        <is>
          <t>G</t>
        </is>
      </c>
      <c r="C39" s="368" t="n"/>
      <c r="D39" s="369">
        <f>D38</f>
        <v/>
      </c>
      <c r="E39" s="369" t="n">
        <v>0.5</v>
      </c>
      <c r="F39" s="370">
        <f>IF(D39=0," ",D39*E39)</f>
        <v/>
      </c>
      <c r="G39" s="371" t="n">
        <v>1</v>
      </c>
      <c r="H39" s="372" t="n"/>
      <c r="I39" s="370">
        <f>IF(F39=" "," ",F39*G39-H39)</f>
        <v/>
      </c>
      <c r="J39" s="369" t="n">
        <v>0.387</v>
      </c>
      <c r="K39" s="371" t="n">
        <v>26</v>
      </c>
      <c r="L39" s="373">
        <f>IF(I39=" "," ",I39*J39*K39)</f>
        <v/>
      </c>
      <c r="M39" s="374" t="n">
        <v>7</v>
      </c>
      <c r="N39" s="371" t="n">
        <v>0</v>
      </c>
      <c r="O39" s="374" t="n">
        <v>-5</v>
      </c>
      <c r="P39" s="370">
        <f>IF(M39=" "," ",(1+(M39+N39+O39)/100))</f>
        <v/>
      </c>
      <c r="Q39" s="375">
        <f>IF(L39=" "," ",L39*P39)</f>
        <v/>
      </c>
    </row>
    <row r="40" ht="9.949999999999999" customFormat="1" customHeight="1" s="356">
      <c r="A40" s="366" t="inlineStr">
        <is>
          <t>ÇP</t>
        </is>
      </c>
      <c r="B40" s="367" t="inlineStr">
        <is>
          <t>G</t>
        </is>
      </c>
      <c r="C40" s="368" t="n"/>
      <c r="D40" s="369" t="n">
        <v>0.8</v>
      </c>
      <c r="E40" s="369" t="n">
        <v>1.4</v>
      </c>
      <c r="F40" s="370">
        <f>IF(D40=0," ",D40*E40)</f>
        <v/>
      </c>
      <c r="G40" s="371" t="n">
        <v>1</v>
      </c>
      <c r="H40" s="372" t="n"/>
      <c r="I40" s="370">
        <f>IF(F40=" "," ",F40*G40-H40)</f>
        <v/>
      </c>
      <c r="J40" s="369" t="n">
        <v>1.8</v>
      </c>
      <c r="K40" s="371" t="n">
        <v>26</v>
      </c>
      <c r="L40" s="373">
        <f>IF(I40=" "," ",I40*J40*K40)</f>
        <v/>
      </c>
      <c r="M40" s="374" t="n">
        <v>7</v>
      </c>
      <c r="N40" s="371" t="n">
        <v>0</v>
      </c>
      <c r="O40" s="374" t="n">
        <v>-5</v>
      </c>
      <c r="P40" s="370">
        <f>IF(M40=" "," ",(1+(M40+N40+O40)/100))</f>
        <v/>
      </c>
      <c r="Q40" s="375">
        <f>IF(L40=" "," ",L40*P40)</f>
        <v/>
      </c>
    </row>
    <row r="41" ht="9.949999999999999" customFormat="1" customHeight="1" s="356">
      <c r="A41" s="366" t="inlineStr">
        <is>
          <t>Ta</t>
        </is>
      </c>
      <c r="B41" s="367" t="inlineStr"/>
      <c r="C41" s="368" t="n"/>
      <c r="D41" s="369" t="n">
        <v>3.83</v>
      </c>
      <c r="E41" s="369" t="n">
        <v>1</v>
      </c>
      <c r="F41" s="370">
        <f>IF(D41=0," ",D41*E41)</f>
        <v/>
      </c>
      <c r="G41" s="371" t="n">
        <v>1</v>
      </c>
      <c r="H41" s="372" t="n"/>
      <c r="I41" s="370">
        <f>IF(F41=" "," ",F41*G41-H41)</f>
        <v/>
      </c>
      <c r="J41" s="369" t="n">
        <v>0.266</v>
      </c>
      <c r="K41" s="371" t="n">
        <v>20</v>
      </c>
      <c r="L41" s="373">
        <f>IF(I41=" "," ",I41*J41*K41)</f>
        <v/>
      </c>
      <c r="M41" s="374" t="n">
        <v>7</v>
      </c>
      <c r="N41" s="371" t="n">
        <v>0</v>
      </c>
      <c r="O41" s="374" t="n">
        <v>0</v>
      </c>
      <c r="P41" s="370">
        <f>IF(M41=" "," ",(1+(M41+N41+O41)/100))</f>
        <v/>
      </c>
      <c r="Q41" s="375">
        <f>IF(L41=" "," ",L41*P41)</f>
        <v/>
      </c>
    </row>
    <row r="42" ht="9.949999999999999" customFormat="1" customHeight="1" s="356">
      <c r="A42" s="376" t="n"/>
      <c r="B42" s="377" t="n"/>
      <c r="C42" s="377" t="n"/>
      <c r="D42" s="378" t="n"/>
      <c r="E42" s="378" t="n"/>
      <c r="F42" s="378" t="n"/>
      <c r="G42" s="379" t="n"/>
      <c r="H42" s="378" t="n"/>
      <c r="I42" s="378" t="n"/>
      <c r="J42" s="378" t="n"/>
      <c r="K42" s="379" t="n"/>
      <c r="L42" s="380" t="n"/>
      <c r="M42" s="381" t="n"/>
      <c r="N42" s="381" t="n"/>
      <c r="O42" s="381" t="n"/>
      <c r="P42" s="382" t="n"/>
      <c r="Q42" s="383">
        <f>SUM(Q38:Q41)</f>
        <v/>
      </c>
    </row>
    <row r="43" ht="9.949999999999999" customFormat="1" customHeight="1" s="356">
      <c r="A43" s="384" t="n"/>
      <c r="B43" s="385" t="n"/>
      <c r="C43" s="385" t="n"/>
      <c r="D43" s="386" t="n"/>
      <c r="E43" s="387" t="n"/>
      <c r="F43" s="388" t="n"/>
      <c r="G43" s="389" t="n"/>
      <c r="H43" s="388" t="n"/>
      <c r="I43" s="390" t="n"/>
      <c r="J43" s="391" t="inlineStr">
        <is>
          <t>Qs=</t>
        </is>
      </c>
      <c r="K43" s="390" t="inlineStr">
        <is>
          <t>S a</t>
        </is>
      </c>
      <c r="L43" s="388" t="inlineStr">
        <is>
          <t>L</t>
        </is>
      </c>
      <c r="M43" s="389" t="inlineStr">
        <is>
          <t>R</t>
        </is>
      </c>
      <c r="N43" s="392" t="inlineStr">
        <is>
          <t>H</t>
        </is>
      </c>
      <c r="O43" s="393" t="inlineStr">
        <is>
          <t>D  T</t>
        </is>
      </c>
      <c r="P43" s="389" t="inlineStr">
        <is>
          <t>Ze</t>
        </is>
      </c>
      <c r="Q43" s="394" t="n"/>
    </row>
    <row r="44" ht="9.949999999999999" customFormat="1" customHeight="1" s="356">
      <c r="A44" s="395" t="inlineStr">
        <is>
          <t xml:space="preserve"> </t>
        </is>
      </c>
      <c r="B44" s="396" t="n"/>
      <c r="C44" s="397" t="n"/>
      <c r="D44" s="397" t="n"/>
      <c r="E44" s="398" t="n"/>
      <c r="F44" s="399" t="n"/>
      <c r="G44" s="400" t="n"/>
      <c r="H44" s="401" t="n"/>
      <c r="I44" s="402" t="n"/>
      <c r="J44" s="403" t="inlineStr">
        <is>
          <t>Qs  =</t>
        </is>
      </c>
      <c r="K44" s="404" t="n">
        <v>2</v>
      </c>
      <c r="L44" s="404">
        <f>(D40+E40)*2*G40</f>
        <v/>
      </c>
      <c r="M44" s="404" t="n">
        <v>0.9</v>
      </c>
      <c r="N44" s="404" t="n">
        <v>0.67</v>
      </c>
      <c r="O44" s="381" t="n">
        <v>26</v>
      </c>
      <c r="P44" s="404" t="n">
        <v>1</v>
      </c>
      <c r="Q44" s="383">
        <f>K44*L44*M44*N44*O44*P44</f>
        <v/>
      </c>
    </row>
    <row r="45" ht="9.949999999999999" customFormat="1" customHeight="1" s="356">
      <c r="A45" s="405" t="n"/>
      <c r="B45" s="406" t="n"/>
      <c r="C45" s="397" t="n"/>
      <c r="D45" s="397" t="n"/>
      <c r="E45" s="378" t="n"/>
      <c r="F45" s="256" t="n"/>
      <c r="G45" s="407" t="n"/>
      <c r="H45" s="397" t="n"/>
      <c r="I45" s="397" t="n"/>
      <c r="J45" s="397" t="n"/>
      <c r="K45" s="407" t="n"/>
      <c r="L45" s="408" t="n"/>
      <c r="M45" s="409" t="inlineStr">
        <is>
          <t xml:space="preserve">   TOPLAM ISI KAYBI =</t>
        </is>
      </c>
      <c r="N45" s="409" t="n"/>
      <c r="O45" s="410" t="n"/>
      <c r="P45" s="409" t="n"/>
      <c r="Q45" s="411">
        <f>Q42+Q44</f>
        <v/>
      </c>
    </row>
    <row r="46" ht="10.35" customFormat="1" customHeight="1" s="356">
      <c r="A46" s="359" t="n"/>
      <c r="B46" s="360" t="n"/>
      <c r="C46" s="360" t="n"/>
      <c r="D46" s="360" t="n"/>
      <c r="E46" s="360" t="n"/>
      <c r="F46" s="361" t="inlineStr">
        <is>
          <t>2</t>
        </is>
      </c>
      <c r="G46" s="362" t="inlineStr">
        <is>
          <t>0</t>
        </is>
      </c>
      <c r="H46" s="360" t="inlineStr">
        <is>
          <t>205</t>
        </is>
      </c>
      <c r="I46" s="363" t="inlineStr">
        <is>
          <t>OFİS 5 LVB.WC</t>
        </is>
      </c>
      <c r="J46" s="364" t="n"/>
      <c r="K46" s="360" t="inlineStr">
        <is>
          <t>24ºC</t>
        </is>
      </c>
      <c r="L46" s="360" t="n"/>
      <c r="M46" s="360" t="n"/>
      <c r="N46" s="360" t="n"/>
      <c r="O46" s="360" t="n"/>
      <c r="P46" s="360" t="n"/>
      <c r="Q46" s="365" t="n"/>
    </row>
    <row r="47" ht="9.949999999999999" customFormat="1" customHeight="1" s="356">
      <c r="A47" s="366" t="inlineStr">
        <is>
          <t>DD</t>
        </is>
      </c>
      <c r="B47" s="367" t="inlineStr">
        <is>
          <t>G</t>
        </is>
      </c>
      <c r="C47" s="368" t="n"/>
      <c r="D47" s="369" t="n">
        <v>1.2</v>
      </c>
      <c r="E47" s="369" t="n">
        <v>2.5</v>
      </c>
      <c r="F47" s="370">
        <f>IF(D47=0," ",D47*E47)</f>
        <v/>
      </c>
      <c r="G47" s="371" t="n">
        <v>1</v>
      </c>
      <c r="H47" s="372">
        <f>F49*G49</f>
        <v/>
      </c>
      <c r="I47" s="370">
        <f>IF(F47=" "," ",F47*G47-H47)</f>
        <v/>
      </c>
      <c r="J47" s="369" t="n">
        <v>0.344</v>
      </c>
      <c r="K47" s="371" t="n">
        <v>30</v>
      </c>
      <c r="L47" s="373">
        <f>IF(I47=" "," ",I47*J47*K47)</f>
        <v/>
      </c>
      <c r="M47" s="374" t="n">
        <v>7</v>
      </c>
      <c r="N47" s="371" t="n">
        <v>0</v>
      </c>
      <c r="O47" s="374" t="n">
        <v>-5</v>
      </c>
      <c r="P47" s="370">
        <f>IF(M47=" "," ",(1+(M47+N47+O47)/100))</f>
        <v/>
      </c>
      <c r="Q47" s="375">
        <f>IF(L47=" "," ",L47*P47)</f>
        <v/>
      </c>
    </row>
    <row r="48" ht="9.949999999999999" customFormat="1" customHeight="1" s="412">
      <c r="A48" s="366" t="inlineStr">
        <is>
          <t>DD25</t>
        </is>
      </c>
      <c r="B48" s="367" t="inlineStr">
        <is>
          <t>G</t>
        </is>
      </c>
      <c r="C48" s="368" t="n"/>
      <c r="D48" s="369">
        <f>D47</f>
        <v/>
      </c>
      <c r="E48" s="369" t="n">
        <v>0.5</v>
      </c>
      <c r="F48" s="370">
        <f>IF(D48=0," ",D48*E48)</f>
        <v/>
      </c>
      <c r="G48" s="371" t="n">
        <v>1</v>
      </c>
      <c r="H48" s="372" t="n"/>
      <c r="I48" s="370">
        <f>IF(F48=" "," ",F48*G48-H48)</f>
        <v/>
      </c>
      <c r="J48" s="369" t="n">
        <v>0.387</v>
      </c>
      <c r="K48" s="371" t="n">
        <v>30</v>
      </c>
      <c r="L48" s="373">
        <f>IF(I48=" "," ",I48*J48*K48)</f>
        <v/>
      </c>
      <c r="M48" s="374" t="n">
        <v>7</v>
      </c>
      <c r="N48" s="371" t="n">
        <v>0</v>
      </c>
      <c r="O48" s="374" t="n">
        <v>-5</v>
      </c>
      <c r="P48" s="370">
        <f>IF(M48=" "," ",(1+(M48+N48+O48)/100))</f>
        <v/>
      </c>
      <c r="Q48" s="375">
        <f>IF(L48=" "," ",L48*P48)</f>
        <v/>
      </c>
    </row>
    <row r="49" ht="9.949999999999999" customFormat="1" customHeight="1" s="412">
      <c r="A49" s="366" t="inlineStr">
        <is>
          <t>ÇP</t>
        </is>
      </c>
      <c r="B49" s="367" t="inlineStr">
        <is>
          <t>G</t>
        </is>
      </c>
      <c r="C49" s="368" t="n"/>
      <c r="D49" s="369" t="n">
        <v>0.5</v>
      </c>
      <c r="E49" s="369" t="n">
        <v>0.5</v>
      </c>
      <c r="F49" s="370">
        <f>IF(D49=0," ",D49*E49)</f>
        <v/>
      </c>
      <c r="G49" s="371" t="n">
        <v>1</v>
      </c>
      <c r="H49" s="372" t="n"/>
      <c r="I49" s="370">
        <f>IF(F49=" "," ",F49*G49-H49)</f>
        <v/>
      </c>
      <c r="J49" s="369" t="n">
        <v>1.8</v>
      </c>
      <c r="K49" s="371" t="n">
        <v>30</v>
      </c>
      <c r="L49" s="373">
        <f>IF(I49=" "," ",I49*J49*K49)</f>
        <v/>
      </c>
      <c r="M49" s="374" t="n">
        <v>7</v>
      </c>
      <c r="N49" s="371" t="n">
        <v>0</v>
      </c>
      <c r="O49" s="374" t="n">
        <v>-5</v>
      </c>
      <c r="P49" s="370">
        <f>IF(M49=" "," ",(1+(M49+N49+O49)/100))</f>
        <v/>
      </c>
      <c r="Q49" s="375">
        <f>IF(L49=" "," ",L49*P49)</f>
        <v/>
      </c>
    </row>
    <row r="50" ht="9.949999999999999" customFormat="1" customHeight="1" s="351">
      <c r="A50" s="366" t="inlineStr">
        <is>
          <t>İDA</t>
        </is>
      </c>
      <c r="B50" s="367" t="inlineStr"/>
      <c r="C50" s="368" t="n"/>
      <c r="D50" s="369" t="n">
        <v>1.9</v>
      </c>
      <c r="E50" s="369" t="n">
        <v>3</v>
      </c>
      <c r="F50" s="370">
        <f>IF(D50=0," ",D50*E50)</f>
        <v/>
      </c>
      <c r="G50" s="371" t="n">
        <v>1</v>
      </c>
      <c r="H50" s="372" t="n"/>
      <c r="I50" s="370">
        <f>IF(F50=" "," ",F50*G50-H50)</f>
        <v/>
      </c>
      <c r="J50" s="369" t="n">
        <v>0.375</v>
      </c>
      <c r="K50" s="371" t="n">
        <v>19</v>
      </c>
      <c r="L50" s="373">
        <f>IF(I50=" "," ",I50*J50*K50)</f>
        <v/>
      </c>
      <c r="M50" s="374" t="n">
        <v>7</v>
      </c>
      <c r="N50" s="371" t="n">
        <v>0</v>
      </c>
      <c r="O50" s="374" t="n">
        <v>0</v>
      </c>
      <c r="P50" s="370">
        <f>IF(M50=" "," ",(1+(M50+N50+O50)/100))</f>
        <v/>
      </c>
      <c r="Q50" s="375">
        <f>IF(L50=" "," ",L50*P50)</f>
        <v/>
      </c>
    </row>
    <row r="51" ht="9.949999999999999" customFormat="1" customHeight="1" s="356">
      <c r="A51" s="366" t="inlineStr">
        <is>
          <t>Ta</t>
        </is>
      </c>
      <c r="B51" s="367" t="inlineStr"/>
      <c r="C51" s="368" t="n"/>
      <c r="D51" s="369" t="n">
        <v>2.73</v>
      </c>
      <c r="E51" s="369" t="n">
        <v>1</v>
      </c>
      <c r="F51" s="370">
        <f>IF(D51=0," ",D51*E51)</f>
        <v/>
      </c>
      <c r="G51" s="371" t="n">
        <v>1</v>
      </c>
      <c r="H51" s="372" t="n"/>
      <c r="I51" s="370">
        <f>IF(F51=" "," ",F51*G51-H51)</f>
        <v/>
      </c>
      <c r="J51" s="369" t="n">
        <v>0.266</v>
      </c>
      <c r="K51" s="371" t="n">
        <v>24</v>
      </c>
      <c r="L51" s="373">
        <f>IF(I51=" "," ",I51*J51*K51)</f>
        <v/>
      </c>
      <c r="M51" s="374" t="n">
        <v>7</v>
      </c>
      <c r="N51" s="371" t="n">
        <v>0</v>
      </c>
      <c r="O51" s="374" t="n">
        <v>0</v>
      </c>
      <c r="P51" s="370">
        <f>IF(M51=" "," ",(1+(M51+N51+O51)/100))</f>
        <v/>
      </c>
      <c r="Q51" s="375">
        <f>IF(L51=" "," ",L51*P51)</f>
        <v/>
      </c>
    </row>
    <row r="52" ht="9.949999999999999" customFormat="1" customHeight="1" s="356">
      <c r="A52" s="376" t="n"/>
      <c r="B52" s="377" t="n"/>
      <c r="C52" s="377" t="n"/>
      <c r="D52" s="378" t="n"/>
      <c r="E52" s="378" t="n"/>
      <c r="F52" s="378" t="n"/>
      <c r="G52" s="379" t="n"/>
      <c r="H52" s="378" t="n"/>
      <c r="I52" s="378" t="n"/>
      <c r="J52" s="378" t="n"/>
      <c r="K52" s="379" t="n"/>
      <c r="L52" s="380" t="n"/>
      <c r="M52" s="381" t="n"/>
      <c r="N52" s="381" t="n"/>
      <c r="O52" s="381" t="n"/>
      <c r="P52" s="382" t="n"/>
      <c r="Q52" s="383">
        <f>SUM(Q47:Q51)</f>
        <v/>
      </c>
    </row>
    <row r="53" ht="9.949999999999999" customFormat="1" customHeight="1" s="356">
      <c r="A53" s="384" t="n"/>
      <c r="B53" s="385" t="n"/>
      <c r="C53" s="385" t="n"/>
      <c r="D53" s="386" t="n"/>
      <c r="E53" s="387" t="n"/>
      <c r="F53" s="388" t="n"/>
      <c r="G53" s="389" t="n"/>
      <c r="H53" s="388" t="n"/>
      <c r="I53" s="390" t="n"/>
      <c r="J53" s="391" t="inlineStr">
        <is>
          <t>Qs=</t>
        </is>
      </c>
      <c r="K53" s="390" t="inlineStr">
        <is>
          <t>S a</t>
        </is>
      </c>
      <c r="L53" s="388" t="inlineStr">
        <is>
          <t>L</t>
        </is>
      </c>
      <c r="M53" s="389" t="inlineStr">
        <is>
          <t>R</t>
        </is>
      </c>
      <c r="N53" s="392" t="inlineStr">
        <is>
          <t>H</t>
        </is>
      </c>
      <c r="O53" s="393" t="inlineStr">
        <is>
          <t>D  T</t>
        </is>
      </c>
      <c r="P53" s="389" t="inlineStr">
        <is>
          <t>Ze</t>
        </is>
      </c>
      <c r="Q53" s="394" t="n"/>
    </row>
    <row r="54" ht="9.949999999999999" customFormat="1" customHeight="1" s="356">
      <c r="A54" s="395" t="inlineStr">
        <is>
          <t xml:space="preserve"> </t>
        </is>
      </c>
      <c r="B54" s="396" t="n"/>
      <c r="C54" s="397" t="n"/>
      <c r="D54" s="397" t="n"/>
      <c r="E54" s="398" t="n"/>
      <c r="F54" s="399" t="n"/>
      <c r="G54" s="400" t="n"/>
      <c r="H54" s="401" t="n"/>
      <c r="I54" s="402" t="n"/>
      <c r="J54" s="403" t="inlineStr">
        <is>
          <t>Qs  =</t>
        </is>
      </c>
      <c r="K54" s="404" t="n">
        <v>2</v>
      </c>
      <c r="L54" s="404">
        <f>(D49+E49)*2*G49</f>
        <v/>
      </c>
      <c r="M54" s="404" t="n">
        <v>0.9</v>
      </c>
      <c r="N54" s="404" t="n">
        <v>0.67</v>
      </c>
      <c r="O54" s="381" t="n">
        <v>30</v>
      </c>
      <c r="P54" s="404" t="n">
        <v>1</v>
      </c>
      <c r="Q54" s="383">
        <f>K54*L54*M54*N54*O54*P54</f>
        <v/>
      </c>
    </row>
    <row r="55" ht="9.949999999999999" customFormat="1" customHeight="1" s="356">
      <c r="A55" s="405" t="n"/>
      <c r="B55" s="406" t="n"/>
      <c r="C55" s="397" t="n"/>
      <c r="D55" s="397" t="n"/>
      <c r="E55" s="378" t="n"/>
      <c r="F55" s="256" t="n"/>
      <c r="G55" s="407" t="n"/>
      <c r="H55" s="397" t="n"/>
      <c r="I55" s="397" t="n"/>
      <c r="J55" s="397" t="n"/>
      <c r="K55" s="407" t="n"/>
      <c r="L55" s="408" t="n"/>
      <c r="M55" s="409" t="inlineStr">
        <is>
          <t xml:space="preserve">   TOPLAM ISI KAYBI =</t>
        </is>
      </c>
      <c r="N55" s="409" t="n"/>
      <c r="O55" s="410" t="n"/>
      <c r="P55" s="409" t="n"/>
      <c r="Q55" s="411">
        <f>Q52+Q54</f>
        <v/>
      </c>
    </row>
    <row r="56" ht="10.35" customFormat="1" customHeight="1" s="356">
      <c r="A56" s="359" t="n"/>
      <c r="B56" s="360" t="n"/>
      <c r="C56" s="360" t="n"/>
      <c r="D56" s="360" t="n"/>
      <c r="E56" s="360" t="n"/>
      <c r="F56" s="361" t="inlineStr">
        <is>
          <t>2</t>
        </is>
      </c>
      <c r="G56" s="362" t="inlineStr">
        <is>
          <t>0</t>
        </is>
      </c>
      <c r="H56" s="360" t="inlineStr">
        <is>
          <t>209</t>
        </is>
      </c>
      <c r="I56" s="363" t="inlineStr">
        <is>
          <t>OFİS 5 HOL</t>
        </is>
      </c>
      <c r="J56" s="364" t="n"/>
      <c r="K56" s="360" t="inlineStr">
        <is>
          <t>18ºC</t>
        </is>
      </c>
      <c r="L56" s="360" t="n"/>
      <c r="M56" s="360" t="n"/>
      <c r="N56" s="360" t="n"/>
      <c r="O56" s="360" t="n"/>
      <c r="P56" s="360" t="n"/>
      <c r="Q56" s="365" t="n"/>
    </row>
    <row r="57" ht="9.949999999999999" customFormat="1" customHeight="1" s="356">
      <c r="A57" s="366" t="inlineStr">
        <is>
          <t>İDM</t>
        </is>
      </c>
      <c r="B57" s="367" t="inlineStr"/>
      <c r="C57" s="368" t="n"/>
      <c r="D57" s="369" t="n">
        <v>1.3</v>
      </c>
      <c r="E57" s="369" t="n">
        <v>3</v>
      </c>
      <c r="F57" s="370">
        <f>IF(D57=0," ",D57*E57)</f>
        <v/>
      </c>
      <c r="G57" s="371" t="n">
        <v>1</v>
      </c>
      <c r="H57" s="372">
        <f>F58*G58</f>
        <v/>
      </c>
      <c r="I57" s="370">
        <f>IF(F57=" "," ",F57*G57-H57)</f>
        <v/>
      </c>
      <c r="J57" s="369" t="n">
        <v>0.332</v>
      </c>
      <c r="K57" s="371" t="n">
        <v>8</v>
      </c>
      <c r="L57" s="373">
        <f>IF(I57=" "," ",I57*J57*K57)</f>
        <v/>
      </c>
      <c r="M57" s="374" t="n">
        <v>7</v>
      </c>
      <c r="N57" s="371" t="n">
        <v>0</v>
      </c>
      <c r="O57" s="374" t="n">
        <v>0</v>
      </c>
      <c r="P57" s="370">
        <f>IF(M57=" "," ",(1+(M57+N57+O57)/100))</f>
        <v/>
      </c>
      <c r="Q57" s="375">
        <f>IF(L57=" "," ",L57*P57)</f>
        <v/>
      </c>
    </row>
    <row r="58" ht="9.949999999999999" customFormat="1" customHeight="1" s="356">
      <c r="A58" s="366" t="inlineStr">
        <is>
          <t>DK</t>
        </is>
      </c>
      <c r="B58" s="367" t="inlineStr"/>
      <c r="C58" s="368" t="n"/>
      <c r="D58" s="369" t="n">
        <v>1</v>
      </c>
      <c r="E58" s="369" t="n">
        <v>2.2</v>
      </c>
      <c r="F58" s="370">
        <f>IF(D58=0," ",D58*E58)</f>
        <v/>
      </c>
      <c r="G58" s="371" t="n">
        <v>1</v>
      </c>
      <c r="H58" s="372" t="n"/>
      <c r="I58" s="370">
        <f>IF(F58=" "," ",F58*G58-H58)</f>
        <v/>
      </c>
      <c r="J58" s="369" t="n">
        <v>2</v>
      </c>
      <c r="K58" s="371" t="n">
        <v>8</v>
      </c>
      <c r="L58" s="373">
        <f>IF(I58=" "," ",I58*J58*K58)</f>
        <v/>
      </c>
      <c r="M58" s="374" t="n">
        <v>7</v>
      </c>
      <c r="N58" s="371" t="n">
        <v>0</v>
      </c>
      <c r="O58" s="374" t="n">
        <v>0</v>
      </c>
      <c r="P58" s="370">
        <f>IF(M58=" "," ",(1+(M58+N58+O58)/100))</f>
        <v/>
      </c>
      <c r="Q58" s="375">
        <f>IF(L58=" "," ",L58*P58)</f>
        <v/>
      </c>
    </row>
    <row r="59" ht="9.949999999999999" customFormat="1" customHeight="1" s="356">
      <c r="A59" s="366" t="inlineStr">
        <is>
          <t>Ta</t>
        </is>
      </c>
      <c r="B59" s="367" t="inlineStr"/>
      <c r="C59" s="368" t="n"/>
      <c r="D59" s="369" t="n">
        <v>9.869999999999999</v>
      </c>
      <c r="E59" s="369" t="n">
        <v>1</v>
      </c>
      <c r="F59" s="370">
        <f>IF(D59=0," ",D59*E59)</f>
        <v/>
      </c>
      <c r="G59" s="371" t="n">
        <v>1</v>
      </c>
      <c r="H59" s="372" t="n"/>
      <c r="I59" s="370">
        <f>IF(F59=" "," ",F59*G59-H59)</f>
        <v/>
      </c>
      <c r="J59" s="369" t="n">
        <v>0.266</v>
      </c>
      <c r="K59" s="371" t="n">
        <v>18</v>
      </c>
      <c r="L59" s="373">
        <f>IF(I59=" "," ",I59*J59*K59)</f>
        <v/>
      </c>
      <c r="M59" s="374" t="n">
        <v>7</v>
      </c>
      <c r="N59" s="371" t="n">
        <v>0</v>
      </c>
      <c r="O59" s="374" t="n">
        <v>0</v>
      </c>
      <c r="P59" s="370">
        <f>IF(M59=" "," ",(1+(M59+N59+O59)/100))</f>
        <v/>
      </c>
      <c r="Q59" s="375">
        <f>IF(L59=" "," ",L59*P59)</f>
        <v/>
      </c>
    </row>
    <row r="60" ht="9.949999999999999" customFormat="1" customHeight="1" s="356">
      <c r="A60" s="376" t="n"/>
      <c r="B60" s="377" t="n"/>
      <c r="C60" s="377" t="n"/>
      <c r="D60" s="378" t="n"/>
      <c r="E60" s="378" t="n"/>
      <c r="F60" s="378" t="n"/>
      <c r="G60" s="379" t="n"/>
      <c r="H60" s="378" t="n"/>
      <c r="I60" s="378" t="n"/>
      <c r="J60" s="378" t="n"/>
      <c r="K60" s="379" t="n"/>
      <c r="L60" s="380" t="n"/>
      <c r="M60" s="381" t="n"/>
      <c r="N60" s="381" t="n"/>
      <c r="O60" s="381" t="n"/>
      <c r="P60" s="382" t="n"/>
      <c r="Q60" s="383">
        <f>SUM(Q57:Q59)</f>
        <v/>
      </c>
    </row>
    <row r="61" ht="9.949999999999999" customFormat="1" customHeight="1" s="356">
      <c r="A61" s="384" t="n"/>
      <c r="B61" s="385" t="n"/>
      <c r="C61" s="385" t="n"/>
      <c r="D61" s="386" t="n"/>
      <c r="E61" s="387" t="n"/>
      <c r="F61" s="388" t="n"/>
      <c r="G61" s="389" t="n"/>
      <c r="H61" s="388" t="n"/>
      <c r="I61" s="390" t="n"/>
      <c r="J61" s="391" t="inlineStr">
        <is>
          <t>Qs=</t>
        </is>
      </c>
      <c r="K61" s="390" t="inlineStr">
        <is>
          <t>S a</t>
        </is>
      </c>
      <c r="L61" s="388" t="inlineStr">
        <is>
          <t>L</t>
        </is>
      </c>
      <c r="M61" s="389" t="inlineStr">
        <is>
          <t>R</t>
        </is>
      </c>
      <c r="N61" s="392" t="inlineStr">
        <is>
          <t>H</t>
        </is>
      </c>
      <c r="O61" s="393" t="inlineStr">
        <is>
          <t>D  T</t>
        </is>
      </c>
      <c r="P61" s="389" t="inlineStr">
        <is>
          <t>Ze</t>
        </is>
      </c>
      <c r="Q61" s="394" t="n"/>
    </row>
    <row r="62" ht="9.949999999999999" customFormat="1" customHeight="1" s="356">
      <c r="A62" s="395" t="inlineStr">
        <is>
          <t xml:space="preserve"> </t>
        </is>
      </c>
      <c r="B62" s="424" t="n"/>
      <c r="C62" s="397" t="n"/>
      <c r="D62" s="397" t="n"/>
      <c r="E62" s="398" t="n"/>
      <c r="F62" s="399" t="n"/>
      <c r="G62" s="400" t="n"/>
      <c r="H62" s="401" t="n"/>
      <c r="I62" s="402" t="n"/>
      <c r="J62" s="403" t="inlineStr">
        <is>
          <t>Qs  =</t>
        </is>
      </c>
      <c r="K62" s="404" t="n">
        <v>2</v>
      </c>
      <c r="L62" s="404" t="n">
        <v>0</v>
      </c>
      <c r="M62" s="404" t="n">
        <v>0.9</v>
      </c>
      <c r="N62" s="404" t="n">
        <v>0.67</v>
      </c>
      <c r="O62" s="381" t="n">
        <v>24</v>
      </c>
      <c r="P62" s="404" t="n">
        <v>1</v>
      </c>
      <c r="Q62" s="383">
        <f>K62*L62*M62*N62*O62*P62</f>
        <v/>
      </c>
    </row>
    <row r="63" ht="9.949999999999999" customFormat="1" customHeight="1" s="412">
      <c r="A63" s="405" t="n"/>
      <c r="B63" s="406" t="n"/>
      <c r="C63" s="397" t="n"/>
      <c r="D63" s="397" t="n"/>
      <c r="E63" s="378" t="n"/>
      <c r="F63" s="256" t="n"/>
      <c r="G63" s="407" t="n"/>
      <c r="H63" s="397" t="n"/>
      <c r="I63" s="397" t="n"/>
      <c r="J63" s="397" t="n"/>
      <c r="K63" s="407" t="n"/>
      <c r="L63" s="408" t="n"/>
      <c r="M63" s="409" t="inlineStr">
        <is>
          <t xml:space="preserve">   TOPLAM ISI KAYBI =</t>
        </is>
      </c>
      <c r="N63" s="409" t="n"/>
      <c r="O63" s="410" t="n"/>
      <c r="P63" s="409" t="n"/>
      <c r="Q63" s="411">
        <f>Q60+Q62</f>
        <v/>
      </c>
    </row>
    <row r="64" ht="10.35" customFormat="1" customHeight="1" s="412">
      <c r="A64" s="359" t="n"/>
      <c r="B64" s="360" t="n"/>
      <c r="C64" s="360" t="n"/>
      <c r="D64" s="360" t="n"/>
      <c r="E64" s="360" t="n"/>
      <c r="F64" s="361" t="inlineStr">
        <is>
          <t>2</t>
        </is>
      </c>
      <c r="G64" s="362" t="inlineStr">
        <is>
          <t>0</t>
        </is>
      </c>
      <c r="H64" s="360" t="inlineStr">
        <is>
          <t>211</t>
        </is>
      </c>
      <c r="I64" s="363" t="inlineStr">
        <is>
          <t>OFİS 6 ODA</t>
        </is>
      </c>
      <c r="J64" s="364" t="n"/>
      <c r="K64" s="360" t="inlineStr">
        <is>
          <t>20ºC</t>
        </is>
      </c>
      <c r="L64" s="360" t="n"/>
      <c r="M64" s="360" t="n"/>
      <c r="N64" s="360" t="n"/>
      <c r="O64" s="360" t="n"/>
      <c r="P64" s="360" t="n"/>
      <c r="Q64" s="365" t="n"/>
    </row>
    <row r="65" ht="9.949999999999999" customFormat="1" customHeight="1" s="351">
      <c r="A65" s="366" t="inlineStr">
        <is>
          <t>DD</t>
        </is>
      </c>
      <c r="B65" s="367" t="inlineStr">
        <is>
          <t>K</t>
        </is>
      </c>
      <c r="C65" s="368" t="n"/>
      <c r="D65" s="369" t="n">
        <v>3.2</v>
      </c>
      <c r="E65" s="369" t="n">
        <v>2.5</v>
      </c>
      <c r="F65" s="370">
        <f>IF(D65=0," ",D65*E65)</f>
        <v/>
      </c>
      <c r="G65" s="371" t="n">
        <v>1</v>
      </c>
      <c r="H65" s="372">
        <f>F67*G67</f>
        <v/>
      </c>
      <c r="I65" s="370">
        <f>IF(F65=" "," ",F65*G65-H65)</f>
        <v/>
      </c>
      <c r="J65" s="369" t="n">
        <v>0.344</v>
      </c>
      <c r="K65" s="371" t="n">
        <v>26</v>
      </c>
      <c r="L65" s="373">
        <f>IF(I65=" "," ",I65*J65*K65)</f>
        <v/>
      </c>
      <c r="M65" s="374" t="n">
        <v>7</v>
      </c>
      <c r="N65" s="371" t="n">
        <v>0</v>
      </c>
      <c r="O65" s="374" t="n">
        <v>5</v>
      </c>
      <c r="P65" s="370">
        <f>IF(M65=" "," ",(1+(M65+N65+O65)/100))</f>
        <v/>
      </c>
      <c r="Q65" s="375">
        <f>IF(L65=" "," ",L65*P65)</f>
        <v/>
      </c>
    </row>
    <row r="66" ht="9.949999999999999" customFormat="1" customHeight="1" s="356">
      <c r="A66" s="366" t="inlineStr">
        <is>
          <t>DD25</t>
        </is>
      </c>
      <c r="B66" s="367" t="inlineStr">
        <is>
          <t>K</t>
        </is>
      </c>
      <c r="C66" s="368" t="n"/>
      <c r="D66" s="369">
        <f>D65</f>
        <v/>
      </c>
      <c r="E66" s="369" t="n">
        <v>0.5</v>
      </c>
      <c r="F66" s="370">
        <f>IF(D66=0," ",D66*E66)</f>
        <v/>
      </c>
      <c r="G66" s="371" t="n">
        <v>1</v>
      </c>
      <c r="H66" s="372" t="n"/>
      <c r="I66" s="370">
        <f>IF(F66=" "," ",F66*G66-H66)</f>
        <v/>
      </c>
      <c r="J66" s="369" t="n">
        <v>0.387</v>
      </c>
      <c r="K66" s="371" t="n">
        <v>26</v>
      </c>
      <c r="L66" s="373">
        <f>IF(I66=" "," ",I66*J66*K66)</f>
        <v/>
      </c>
      <c r="M66" s="374" t="n">
        <v>7</v>
      </c>
      <c r="N66" s="371" t="n">
        <v>0</v>
      </c>
      <c r="O66" s="374" t="n">
        <v>5</v>
      </c>
      <c r="P66" s="370">
        <f>IF(M66=" "," ",(1+(M66+N66+O66)/100))</f>
        <v/>
      </c>
      <c r="Q66" s="375">
        <f>IF(L66=" "," ",L66*P66)</f>
        <v/>
      </c>
    </row>
    <row r="67" ht="9.949999999999999" customFormat="1" customHeight="1" s="356">
      <c r="A67" s="366" t="inlineStr">
        <is>
          <t>ÇP</t>
        </is>
      </c>
      <c r="B67" s="367" t="inlineStr">
        <is>
          <t>K</t>
        </is>
      </c>
      <c r="C67" s="368" t="n"/>
      <c r="D67" s="369" t="n">
        <v>2.8</v>
      </c>
      <c r="E67" s="369" t="n">
        <v>2.7</v>
      </c>
      <c r="F67" s="370">
        <f>IF(D67=0," ",D67*E67)</f>
        <v/>
      </c>
      <c r="G67" s="371" t="n">
        <v>1</v>
      </c>
      <c r="H67" s="372" t="n"/>
      <c r="I67" s="370">
        <f>IF(F67=" "," ",F67*G67-H67)</f>
        <v/>
      </c>
      <c r="J67" s="369" t="n">
        <v>1.8</v>
      </c>
      <c r="K67" s="371" t="n">
        <v>26</v>
      </c>
      <c r="L67" s="373">
        <f>IF(I67=" "," ",I67*J67*K67)</f>
        <v/>
      </c>
      <c r="M67" s="374" t="n">
        <v>7</v>
      </c>
      <c r="N67" s="371" t="n">
        <v>0</v>
      </c>
      <c r="O67" s="374" t="n">
        <v>5</v>
      </c>
      <c r="P67" s="370">
        <f>IF(M67=" "," ",(1+(M67+N67+O67)/100))</f>
        <v/>
      </c>
      <c r="Q67" s="375">
        <f>IF(L67=" "," ",L67*P67)</f>
        <v/>
      </c>
    </row>
    <row r="68" ht="9.949999999999999" customFormat="1" customHeight="1" s="356">
      <c r="A68" s="366" t="inlineStr">
        <is>
          <t>Ta</t>
        </is>
      </c>
      <c r="B68" s="367" t="inlineStr"/>
      <c r="C68" s="368" t="n"/>
      <c r="D68" s="369" t="n">
        <v>10.76</v>
      </c>
      <c r="E68" s="369" t="n">
        <v>1</v>
      </c>
      <c r="F68" s="370">
        <f>IF(D68=0," ",D68*E68)</f>
        <v/>
      </c>
      <c r="G68" s="371" t="n">
        <v>1</v>
      </c>
      <c r="H68" s="372" t="n"/>
      <c r="I68" s="370">
        <f>IF(F68=" "," ",F68*G68-H68)</f>
        <v/>
      </c>
      <c r="J68" s="369" t="n">
        <v>0.266</v>
      </c>
      <c r="K68" s="371" t="n">
        <v>20</v>
      </c>
      <c r="L68" s="373">
        <f>IF(I68=" "," ",I68*J68*K68)</f>
        <v/>
      </c>
      <c r="M68" s="374" t="n">
        <v>7</v>
      </c>
      <c r="N68" s="371" t="n">
        <v>0</v>
      </c>
      <c r="O68" s="374" t="n">
        <v>0</v>
      </c>
      <c r="P68" s="370">
        <f>IF(M68=" "," ",(1+(M68+N68+O68)/100))</f>
        <v/>
      </c>
      <c r="Q68" s="375">
        <f>IF(L68=" "," ",L68*P68)</f>
        <v/>
      </c>
    </row>
    <row r="69" ht="9.949999999999999" customFormat="1" customHeight="1" s="356">
      <c r="A69" s="376" t="n"/>
      <c r="B69" s="377" t="n"/>
      <c r="C69" s="377" t="n"/>
      <c r="D69" s="378" t="n"/>
      <c r="E69" s="378" t="n"/>
      <c r="F69" s="378" t="n"/>
      <c r="G69" s="379" t="n"/>
      <c r="H69" s="378" t="n"/>
      <c r="I69" s="378" t="n"/>
      <c r="J69" s="378" t="n"/>
      <c r="K69" s="379" t="n"/>
      <c r="L69" s="380" t="n"/>
      <c r="M69" s="381" t="n"/>
      <c r="N69" s="381" t="n"/>
      <c r="O69" s="381" t="n"/>
      <c r="P69" s="382" t="n"/>
      <c r="Q69" s="383">
        <f>SUM(Q65:Q68)</f>
        <v/>
      </c>
    </row>
    <row r="70" ht="9.949999999999999" customFormat="1" customHeight="1" s="356">
      <c r="A70" s="384" t="n"/>
      <c r="B70" s="385" t="n"/>
      <c r="C70" s="385" t="n"/>
      <c r="D70" s="386" t="n"/>
      <c r="E70" s="387" t="n"/>
      <c r="F70" s="388" t="n"/>
      <c r="G70" s="389" t="n"/>
      <c r="H70" s="388" t="n"/>
      <c r="I70" s="390" t="n"/>
      <c r="J70" s="391" t="inlineStr">
        <is>
          <t>Qs=</t>
        </is>
      </c>
      <c r="K70" s="390" t="inlineStr">
        <is>
          <t>S a</t>
        </is>
      </c>
      <c r="L70" s="388" t="inlineStr">
        <is>
          <t>L</t>
        </is>
      </c>
      <c r="M70" s="389" t="inlineStr">
        <is>
          <t>R</t>
        </is>
      </c>
      <c r="N70" s="392" t="inlineStr">
        <is>
          <t>H</t>
        </is>
      </c>
      <c r="O70" s="393" t="inlineStr">
        <is>
          <t>D  T</t>
        </is>
      </c>
      <c r="P70" s="389" t="inlineStr">
        <is>
          <t>Ze</t>
        </is>
      </c>
      <c r="Q70" s="394" t="n"/>
    </row>
    <row r="71" ht="9.949999999999999" customFormat="1" customHeight="1" s="356">
      <c r="A71" s="395" t="inlineStr">
        <is>
          <t xml:space="preserve"> </t>
        </is>
      </c>
      <c r="B71" s="396" t="n"/>
      <c r="C71" s="397" t="n"/>
      <c r="D71" s="397" t="n"/>
      <c r="E71" s="398" t="n"/>
      <c r="F71" s="399" t="n"/>
      <c r="G71" s="400" t="n"/>
      <c r="H71" s="401" t="n"/>
      <c r="I71" s="402" t="n"/>
      <c r="J71" s="403" t="inlineStr">
        <is>
          <t>Qs  =</t>
        </is>
      </c>
      <c r="K71" s="404" t="n">
        <v>2</v>
      </c>
      <c r="L71" s="404">
        <f>(D67+E67)*2*G67</f>
        <v/>
      </c>
      <c r="M71" s="404" t="n">
        <v>0.9</v>
      </c>
      <c r="N71" s="404" t="n">
        <v>0.67</v>
      </c>
      <c r="O71" s="381" t="n">
        <v>26</v>
      </c>
      <c r="P71" s="404" t="n">
        <v>1</v>
      </c>
      <c r="Q71" s="383">
        <f>K71*L71*M71*N71*O71*P71</f>
        <v/>
      </c>
    </row>
    <row r="72" ht="9.949999999999999" customFormat="1" customHeight="1" s="356">
      <c r="A72" s="405" t="n"/>
      <c r="B72" s="406" t="n"/>
      <c r="C72" s="397" t="n"/>
      <c r="D72" s="397" t="n"/>
      <c r="E72" s="378" t="n"/>
      <c r="F72" s="256" t="n"/>
      <c r="G72" s="407" t="n"/>
      <c r="H72" s="397" t="n"/>
      <c r="I72" s="397" t="n"/>
      <c r="J72" s="397" t="n"/>
      <c r="K72" s="407" t="n"/>
      <c r="L72" s="408" t="n"/>
      <c r="M72" s="409" t="inlineStr">
        <is>
          <t xml:space="preserve">   TOPLAM ISI KAYBI =</t>
        </is>
      </c>
      <c r="N72" s="409" t="n"/>
      <c r="O72" s="410" t="n"/>
      <c r="P72" s="409" t="n"/>
      <c r="Q72" s="411">
        <f>Q69+Q71</f>
        <v/>
      </c>
    </row>
    <row r="73" ht="10.35" customFormat="1" customHeight="1" s="356">
      <c r="A73" s="359" t="n"/>
      <c r="B73" s="360" t="n"/>
      <c r="C73" s="360" t="n"/>
      <c r="D73" s="360" t="n"/>
      <c r="E73" s="360" t="n"/>
      <c r="F73" s="361" t="inlineStr">
        <is>
          <t>2</t>
        </is>
      </c>
      <c r="G73" s="362" t="inlineStr">
        <is>
          <t>0</t>
        </is>
      </c>
      <c r="H73" s="360" t="inlineStr">
        <is>
          <t>212</t>
        </is>
      </c>
      <c r="I73" s="363" t="inlineStr">
        <is>
          <t>OFİS 6 ODA</t>
        </is>
      </c>
      <c r="J73" s="364" t="n"/>
      <c r="K73" s="360" t="inlineStr">
        <is>
          <t>20ºC</t>
        </is>
      </c>
      <c r="L73" s="360" t="n"/>
      <c r="M73" s="360" t="n"/>
      <c r="N73" s="360" t="n"/>
      <c r="O73" s="360" t="n"/>
      <c r="P73" s="360" t="n"/>
      <c r="Q73" s="365" t="n"/>
    </row>
    <row r="74" ht="9.949999999999999" customFormat="1" customHeight="1" s="356">
      <c r="A74" s="366" t="inlineStr">
        <is>
          <t>DD</t>
        </is>
      </c>
      <c r="B74" s="367" t="inlineStr">
        <is>
          <t>K</t>
        </is>
      </c>
      <c r="C74" s="368" t="n"/>
      <c r="D74" s="369" t="n">
        <v>3.1</v>
      </c>
      <c r="E74" s="369" t="n">
        <v>2.5</v>
      </c>
      <c r="F74" s="370">
        <f>IF(D74=0," ",D74*E74)</f>
        <v/>
      </c>
      <c r="G74" s="371" t="n">
        <v>1</v>
      </c>
      <c r="H74" s="372">
        <f>F76*G76</f>
        <v/>
      </c>
      <c r="I74" s="370">
        <f>IF(F74=" "," ",F74*G74-H74)</f>
        <v/>
      </c>
      <c r="J74" s="369" t="n">
        <v>0.344</v>
      </c>
      <c r="K74" s="371" t="n">
        <v>26</v>
      </c>
      <c r="L74" s="373">
        <f>IF(I74=" "," ",I74*J74*K74)</f>
        <v/>
      </c>
      <c r="M74" s="374" t="n">
        <v>7</v>
      </c>
      <c r="N74" s="371" t="n">
        <v>0</v>
      </c>
      <c r="O74" s="374" t="n">
        <v>5</v>
      </c>
      <c r="P74" s="370">
        <f>IF(M74=" "," ",(1+(M74+N74+O74)/100))</f>
        <v/>
      </c>
      <c r="Q74" s="375">
        <f>IF(L74=" "," ",L74*P74)</f>
        <v/>
      </c>
    </row>
    <row r="75" ht="9.949999999999999" customFormat="1" customHeight="1" s="356">
      <c r="A75" s="366" t="inlineStr">
        <is>
          <t>DD25</t>
        </is>
      </c>
      <c r="B75" s="367" t="inlineStr">
        <is>
          <t>K</t>
        </is>
      </c>
      <c r="C75" s="368" t="n"/>
      <c r="D75" s="369">
        <f>D74</f>
        <v/>
      </c>
      <c r="E75" s="369" t="n">
        <v>0.5</v>
      </c>
      <c r="F75" s="370">
        <f>IF(D75=0," ",D75*E75)</f>
        <v/>
      </c>
      <c r="G75" s="371" t="n">
        <v>1</v>
      </c>
      <c r="H75" s="372" t="n"/>
      <c r="I75" s="370">
        <f>IF(F75=" "," ",F75*G75-H75)</f>
        <v/>
      </c>
      <c r="J75" s="369" t="n">
        <v>0.387</v>
      </c>
      <c r="K75" s="371" t="n">
        <v>26</v>
      </c>
      <c r="L75" s="373">
        <f>IF(I75=" "," ",I75*J75*K75)</f>
        <v/>
      </c>
      <c r="M75" s="374" t="n">
        <v>7</v>
      </c>
      <c r="N75" s="371" t="n">
        <v>0</v>
      </c>
      <c r="O75" s="374" t="n">
        <v>5</v>
      </c>
      <c r="P75" s="370">
        <f>IF(M75=" "," ",(1+(M75+N75+O75)/100))</f>
        <v/>
      </c>
      <c r="Q75" s="375">
        <f>IF(L75=" "," ",L75*P75)</f>
        <v/>
      </c>
    </row>
    <row r="76" ht="9.949999999999999" customFormat="1" customHeight="1" s="412">
      <c r="A76" s="366" t="inlineStr">
        <is>
          <t>ÇP</t>
        </is>
      </c>
      <c r="B76" s="367" t="inlineStr">
        <is>
          <t>K</t>
        </is>
      </c>
      <c r="C76" s="368" t="n"/>
      <c r="D76" s="369" t="n">
        <v>2.7</v>
      </c>
      <c r="E76" s="369" t="n">
        <v>2.7</v>
      </c>
      <c r="F76" s="370">
        <f>IF(D76=0," ",D76*E76)</f>
        <v/>
      </c>
      <c r="G76" s="371" t="n">
        <v>1</v>
      </c>
      <c r="H76" s="372" t="n"/>
      <c r="I76" s="370">
        <f>IF(F76=" "," ",F76*G76-H76)</f>
        <v/>
      </c>
      <c r="J76" s="369" t="n">
        <v>1.8</v>
      </c>
      <c r="K76" s="371" t="n">
        <v>26</v>
      </c>
      <c r="L76" s="373">
        <f>IF(I76=" "," ",I76*J76*K76)</f>
        <v/>
      </c>
      <c r="M76" s="374" t="n">
        <v>7</v>
      </c>
      <c r="N76" s="371" t="n">
        <v>0</v>
      </c>
      <c r="O76" s="374" t="n">
        <v>5</v>
      </c>
      <c r="P76" s="370">
        <f>IF(M76=" "," ",(1+(M76+N76+O76)/100))</f>
        <v/>
      </c>
      <c r="Q76" s="375">
        <f>IF(L76=" "," ",L76*P76)</f>
        <v/>
      </c>
    </row>
    <row r="77" ht="9.949999999999999" customFormat="1" customHeight="1" s="412">
      <c r="A77" s="366" t="inlineStr">
        <is>
          <t>Ta</t>
        </is>
      </c>
      <c r="B77" s="367" t="inlineStr"/>
      <c r="C77" s="368" t="n"/>
      <c r="D77" s="369" t="n">
        <v>10.68</v>
      </c>
      <c r="E77" s="369" t="n">
        <v>1</v>
      </c>
      <c r="F77" s="370">
        <f>IF(D77=0," ",D77*E77)</f>
        <v/>
      </c>
      <c r="G77" s="371" t="n">
        <v>1</v>
      </c>
      <c r="H77" s="372" t="n"/>
      <c r="I77" s="370">
        <f>IF(F77=" "," ",F77*G77-H77)</f>
        <v/>
      </c>
      <c r="J77" s="369" t="n">
        <v>0.266</v>
      </c>
      <c r="K77" s="371" t="n">
        <v>20</v>
      </c>
      <c r="L77" s="373">
        <f>IF(I77=" "," ",I77*J77*K77)</f>
        <v/>
      </c>
      <c r="M77" s="374" t="n">
        <v>7</v>
      </c>
      <c r="N77" s="371" t="n">
        <v>0</v>
      </c>
      <c r="O77" s="374" t="n">
        <v>0</v>
      </c>
      <c r="P77" s="370">
        <f>IF(M77=" "," ",(1+(M77+N77+O77)/100))</f>
        <v/>
      </c>
      <c r="Q77" s="375">
        <f>IF(L77=" "," ",L77*P77)</f>
        <v/>
      </c>
    </row>
    <row r="78" ht="9.949999999999999" customFormat="1" customHeight="1" s="351">
      <c r="A78" s="376" t="n"/>
      <c r="B78" s="377" t="n"/>
      <c r="C78" s="377" t="n"/>
      <c r="D78" s="378" t="n"/>
      <c r="E78" s="378" t="n"/>
      <c r="F78" s="378" t="n"/>
      <c r="G78" s="379" t="n"/>
      <c r="H78" s="378" t="n"/>
      <c r="I78" s="378" t="n"/>
      <c r="J78" s="378" t="n"/>
      <c r="K78" s="379" t="n"/>
      <c r="L78" s="380" t="n"/>
      <c r="M78" s="381" t="n"/>
      <c r="N78" s="381" t="n"/>
      <c r="O78" s="381" t="n"/>
      <c r="P78" s="382" t="n"/>
      <c r="Q78" s="383">
        <f>SUM(Q74:Q77)</f>
        <v/>
      </c>
    </row>
    <row r="79" ht="9.949999999999999" customHeight="1" s="244">
      <c r="A79" s="384" t="n"/>
      <c r="B79" s="385" t="n"/>
      <c r="C79" s="385" t="n"/>
      <c r="D79" s="386" t="n"/>
      <c r="E79" s="387" t="n"/>
      <c r="F79" s="388" t="n"/>
      <c r="G79" s="389" t="n"/>
      <c r="H79" s="388" t="n"/>
      <c r="I79" s="390" t="n"/>
      <c r="J79" s="391" t="inlineStr">
        <is>
          <t>Qs=</t>
        </is>
      </c>
      <c r="K79" s="390" t="inlineStr">
        <is>
          <t>S a</t>
        </is>
      </c>
      <c r="L79" s="388" t="inlineStr">
        <is>
          <t>L</t>
        </is>
      </c>
      <c r="M79" s="389" t="inlineStr">
        <is>
          <t>R</t>
        </is>
      </c>
      <c r="N79" s="392" t="inlineStr">
        <is>
          <t>H</t>
        </is>
      </c>
      <c r="O79" s="393" t="inlineStr">
        <is>
          <t>D  T</t>
        </is>
      </c>
      <c r="P79" s="389" t="inlineStr">
        <is>
          <t>Ze</t>
        </is>
      </c>
      <c r="Q79" s="394" t="n"/>
    </row>
    <row r="80" ht="9.949999999999999" customHeight="1" s="244">
      <c r="A80" s="395" t="inlineStr">
        <is>
          <t xml:space="preserve"> </t>
        </is>
      </c>
      <c r="C80" s="397" t="n"/>
      <c r="D80" s="397" t="n"/>
      <c r="E80" s="398" t="n"/>
      <c r="F80" s="399" t="n"/>
      <c r="G80" s="400" t="n"/>
      <c r="H80" s="401" t="n"/>
      <c r="I80" s="402" t="n"/>
      <c r="J80" s="403" t="inlineStr">
        <is>
          <t>Qs  =</t>
        </is>
      </c>
      <c r="K80" s="404" t="n">
        <v>2</v>
      </c>
      <c r="L80" s="404">
        <f>(D76+E76)*2*G76</f>
        <v/>
      </c>
      <c r="M80" s="404" t="n">
        <v>0.9</v>
      </c>
      <c r="N80" s="404" t="n">
        <v>0.67</v>
      </c>
      <c r="O80" s="381" t="n">
        <v>26</v>
      </c>
      <c r="P80" s="404" t="n">
        <v>1</v>
      </c>
      <c r="Q80" s="383">
        <f>K80*L80*M80*N80*O80*P80</f>
        <v/>
      </c>
    </row>
    <row r="81" ht="9.949999999999999" customHeight="1" s="244">
      <c r="A81" s="405" t="n"/>
      <c r="B81" s="406" t="n"/>
      <c r="C81" s="397" t="n"/>
      <c r="D81" s="397" t="n"/>
      <c r="E81" s="378" t="n"/>
      <c r="F81" s="256" t="n"/>
      <c r="G81" s="407" t="n"/>
      <c r="H81" s="397" t="n"/>
      <c r="I81" s="397" t="n"/>
      <c r="J81" s="397" t="n"/>
      <c r="K81" s="407" t="n"/>
      <c r="L81" s="408" t="n"/>
      <c r="M81" s="409" t="inlineStr">
        <is>
          <t xml:space="preserve">   TOPLAM ISI KAYBI =</t>
        </is>
      </c>
      <c r="N81" s="409" t="n"/>
      <c r="O81" s="410" t="n"/>
      <c r="P81" s="409" t="n"/>
      <c r="Q81" s="411">
        <f>Q78+Q80</f>
        <v/>
      </c>
    </row>
    <row r="82" ht="10.35" customHeight="1" s="244">
      <c r="A82" s="359" t="n"/>
      <c r="B82" s="360" t="n"/>
      <c r="C82" s="360" t="n"/>
      <c r="D82" s="360" t="n"/>
      <c r="E82" s="360" t="n"/>
      <c r="F82" s="361" t="inlineStr">
        <is>
          <t>2</t>
        </is>
      </c>
      <c r="G82" s="362" t="inlineStr">
        <is>
          <t>0</t>
        </is>
      </c>
      <c r="H82" s="360" t="inlineStr">
        <is>
          <t>213</t>
        </is>
      </c>
      <c r="I82" s="363" t="inlineStr">
        <is>
          <t>OFİS 6 ODA</t>
        </is>
      </c>
      <c r="J82" s="364" t="n"/>
      <c r="K82" s="360" t="inlineStr">
        <is>
          <t>20ºC</t>
        </is>
      </c>
      <c r="L82" s="360" t="n"/>
      <c r="M82" s="360" t="n"/>
      <c r="N82" s="360" t="n"/>
      <c r="O82" s="360" t="n"/>
      <c r="P82" s="360" t="n"/>
      <c r="Q82" s="365" t="n"/>
    </row>
    <row r="83" ht="9.949999999999999" customHeight="1" s="244">
      <c r="A83" s="366" t="inlineStr">
        <is>
          <t>DD</t>
        </is>
      </c>
      <c r="B83" s="367" t="inlineStr">
        <is>
          <t>K</t>
        </is>
      </c>
      <c r="C83" s="368" t="n"/>
      <c r="D83" s="369" t="n">
        <v>4</v>
      </c>
      <c r="E83" s="369" t="n">
        <v>2.5</v>
      </c>
      <c r="F83" s="370">
        <f>IF(D83=0," ",D83*E83)</f>
        <v/>
      </c>
      <c r="G83" s="371" t="n">
        <v>1</v>
      </c>
      <c r="H83" s="372">
        <f>F85*G85</f>
        <v/>
      </c>
      <c r="I83" s="370">
        <f>IF(F83=" "," ",F83*G83-H83)</f>
        <v/>
      </c>
      <c r="J83" s="369" t="n">
        <v>0.344</v>
      </c>
      <c r="K83" s="371" t="n">
        <v>26</v>
      </c>
      <c r="L83" s="373">
        <f>IF(I83=" "," ",I83*J83*K83)</f>
        <v/>
      </c>
      <c r="M83" s="374" t="n">
        <v>7</v>
      </c>
      <c r="N83" s="371" t="n">
        <v>0</v>
      </c>
      <c r="O83" s="374" t="n">
        <v>5</v>
      </c>
      <c r="P83" s="370">
        <f>IF(M83=" "," ",(1+(M83+N83+O83)/100))</f>
        <v/>
      </c>
      <c r="Q83" s="375">
        <f>IF(L83=" "," ",L83*P83)</f>
        <v/>
      </c>
    </row>
    <row r="84" ht="9.949999999999999" customFormat="1" customHeight="1" s="329">
      <c r="A84" s="366" t="inlineStr">
        <is>
          <t>DD25</t>
        </is>
      </c>
      <c r="B84" s="367" t="inlineStr">
        <is>
          <t>K</t>
        </is>
      </c>
      <c r="C84" s="368" t="n"/>
      <c r="D84" s="369">
        <f>D83</f>
        <v/>
      </c>
      <c r="E84" s="369" t="n">
        <v>0.5</v>
      </c>
      <c r="F84" s="370">
        <f>IF(D84=0," ",D84*E84)</f>
        <v/>
      </c>
      <c r="G84" s="371" t="n">
        <v>1</v>
      </c>
      <c r="H84" s="372" t="n"/>
      <c r="I84" s="370">
        <f>IF(F84=" "," ",F84*G84-H84)</f>
        <v/>
      </c>
      <c r="J84" s="369" t="n">
        <v>0.387</v>
      </c>
      <c r="K84" s="371" t="n">
        <v>26</v>
      </c>
      <c r="L84" s="373">
        <f>IF(I84=" "," ",I84*J84*K84)</f>
        <v/>
      </c>
      <c r="M84" s="374" t="n">
        <v>7</v>
      </c>
      <c r="N84" s="371" t="n">
        <v>0</v>
      </c>
      <c r="O84" s="374" t="n">
        <v>5</v>
      </c>
      <c r="P84" s="370">
        <f>IF(M84=" "," ",(1+(M84+N84+O84)/100))</f>
        <v/>
      </c>
      <c r="Q84" s="375">
        <f>IF(L84=" "," ",L84*P84)</f>
        <v/>
      </c>
    </row>
    <row r="85" ht="9.949999999999999" customFormat="1" customHeight="1" s="339">
      <c r="A85" s="366" t="inlineStr">
        <is>
          <t>ÇP</t>
        </is>
      </c>
      <c r="B85" s="367" t="inlineStr">
        <is>
          <t>K</t>
        </is>
      </c>
      <c r="C85" s="368" t="n"/>
      <c r="D85" s="369" t="n">
        <v>3.6</v>
      </c>
      <c r="E85" s="369" t="n">
        <v>2.7</v>
      </c>
      <c r="F85" s="370">
        <f>IF(D85=0," ",D85*E85)</f>
        <v/>
      </c>
      <c r="G85" s="371" t="n">
        <v>1</v>
      </c>
      <c r="H85" s="372" t="n"/>
      <c r="I85" s="370">
        <f>IF(F85=" "," ",F85*G85-H85)</f>
        <v/>
      </c>
      <c r="J85" s="369" t="n">
        <v>1.8</v>
      </c>
      <c r="K85" s="371" t="n">
        <v>26</v>
      </c>
      <c r="L85" s="373">
        <f>IF(I85=" "," ",I85*J85*K85)</f>
        <v/>
      </c>
      <c r="M85" s="374" t="n">
        <v>7</v>
      </c>
      <c r="N85" s="371" t="n">
        <v>0</v>
      </c>
      <c r="O85" s="374" t="n">
        <v>5</v>
      </c>
      <c r="P85" s="370">
        <f>IF(M85=" "," ",(1+(M85+N85+O85)/100))</f>
        <v/>
      </c>
      <c r="Q85" s="375">
        <f>IF(L85=" "," ",L85*P85)</f>
        <v/>
      </c>
    </row>
    <row r="86" ht="9.949999999999999" customFormat="1" customHeight="1" s="339">
      <c r="A86" s="366" t="inlineStr">
        <is>
          <t>Ta</t>
        </is>
      </c>
      <c r="B86" s="367" t="inlineStr"/>
      <c r="C86" s="368" t="n"/>
      <c r="D86" s="369" t="n">
        <v>13.32</v>
      </c>
      <c r="E86" s="369" t="n">
        <v>1</v>
      </c>
      <c r="F86" s="370">
        <f>IF(D86=0," ",D86*E86)</f>
        <v/>
      </c>
      <c r="G86" s="371" t="n">
        <v>1</v>
      </c>
      <c r="H86" s="372" t="n"/>
      <c r="I86" s="370">
        <f>IF(F86=" "," ",F86*G86-H86)</f>
        <v/>
      </c>
      <c r="J86" s="369" t="n">
        <v>0.266</v>
      </c>
      <c r="K86" s="371" t="n">
        <v>20</v>
      </c>
      <c r="L86" s="373">
        <f>IF(I86=" "," ",I86*J86*K86)</f>
        <v/>
      </c>
      <c r="M86" s="374" t="n">
        <v>7</v>
      </c>
      <c r="N86" s="371" t="n">
        <v>0</v>
      </c>
      <c r="O86" s="374" t="n">
        <v>0</v>
      </c>
      <c r="P86" s="370">
        <f>IF(M86=" "," ",(1+(M86+N86+O86)/100))</f>
        <v/>
      </c>
      <c r="Q86" s="375">
        <f>IF(L86=" "," ",L86*P86)</f>
        <v/>
      </c>
    </row>
    <row r="87" ht="9.949999999999999" customFormat="1" customHeight="1" s="351">
      <c r="A87" s="376" t="n"/>
      <c r="B87" s="377" t="n"/>
      <c r="C87" s="377" t="n"/>
      <c r="D87" s="378" t="n"/>
      <c r="E87" s="378" t="n"/>
      <c r="F87" s="378" t="n"/>
      <c r="G87" s="379" t="n"/>
      <c r="H87" s="378" t="n"/>
      <c r="I87" s="378" t="n"/>
      <c r="J87" s="378" t="n"/>
      <c r="K87" s="379" t="n"/>
      <c r="L87" s="380" t="n"/>
      <c r="M87" s="381" t="n"/>
      <c r="N87" s="381" t="n"/>
      <c r="O87" s="381" t="n"/>
      <c r="P87" s="382" t="n"/>
      <c r="Q87" s="383">
        <f>SUM(Q83:Q86)</f>
        <v/>
      </c>
    </row>
    <row r="88" ht="9.949999999999999" customFormat="1" customHeight="1" s="351">
      <c r="A88" s="384" t="n"/>
      <c r="B88" s="385" t="n"/>
      <c r="C88" s="385" t="n"/>
      <c r="D88" s="386" t="n"/>
      <c r="E88" s="387" t="n"/>
      <c r="F88" s="388" t="n"/>
      <c r="G88" s="389" t="n"/>
      <c r="H88" s="388" t="n"/>
      <c r="I88" s="390" t="n"/>
      <c r="J88" s="391" t="inlineStr">
        <is>
          <t>Qs=</t>
        </is>
      </c>
      <c r="K88" s="390" t="inlineStr">
        <is>
          <t>S a</t>
        </is>
      </c>
      <c r="L88" s="388" t="inlineStr">
        <is>
          <t>L</t>
        </is>
      </c>
      <c r="M88" s="389" t="inlineStr">
        <is>
          <t>R</t>
        </is>
      </c>
      <c r="N88" s="392" t="inlineStr">
        <is>
          <t>H</t>
        </is>
      </c>
      <c r="O88" s="393" t="inlineStr">
        <is>
          <t>D  T</t>
        </is>
      </c>
      <c r="P88" s="389" t="inlineStr">
        <is>
          <t>Ze</t>
        </is>
      </c>
      <c r="Q88" s="394" t="n"/>
    </row>
    <row r="89" ht="9.949999999999999" customFormat="1" customHeight="1" s="356">
      <c r="A89" s="395" t="inlineStr">
        <is>
          <t xml:space="preserve"> </t>
        </is>
      </c>
      <c r="B89" s="346" t="n"/>
      <c r="C89" s="397" t="n"/>
      <c r="D89" s="397" t="n"/>
      <c r="E89" s="398" t="n"/>
      <c r="F89" s="399" t="n"/>
      <c r="G89" s="400" t="n"/>
      <c r="H89" s="401" t="n"/>
      <c r="I89" s="402" t="n"/>
      <c r="J89" s="403" t="inlineStr">
        <is>
          <t>Qs  =</t>
        </is>
      </c>
      <c r="K89" s="404" t="n">
        <v>2</v>
      </c>
      <c r="L89" s="404">
        <f>(D85+E85)*2*G85</f>
        <v/>
      </c>
      <c r="M89" s="404" t="n">
        <v>0.9</v>
      </c>
      <c r="N89" s="404" t="n">
        <v>0.67</v>
      </c>
      <c r="O89" s="381" t="n">
        <v>26</v>
      </c>
      <c r="P89" s="404" t="n">
        <v>1</v>
      </c>
      <c r="Q89" s="383">
        <f>K89*L89*M89*N89*O89*P89</f>
        <v/>
      </c>
    </row>
    <row r="90" ht="9.949999999999999" customFormat="1" customHeight="1" s="356">
      <c r="A90" s="405" t="n"/>
      <c r="B90" s="406" t="n"/>
      <c r="C90" s="397" t="n"/>
      <c r="D90" s="397" t="n"/>
      <c r="E90" s="378" t="n"/>
      <c r="F90" s="256" t="n"/>
      <c r="G90" s="407" t="n"/>
      <c r="H90" s="397" t="n"/>
      <c r="I90" s="397" t="n"/>
      <c r="J90" s="397" t="n"/>
      <c r="K90" s="407" t="n"/>
      <c r="L90" s="408" t="n"/>
      <c r="M90" s="409" t="inlineStr">
        <is>
          <t xml:space="preserve">   TOPLAM ISI KAYBI =</t>
        </is>
      </c>
      <c r="N90" s="409" t="n"/>
      <c r="O90" s="410" t="n"/>
      <c r="P90" s="409" t="n"/>
      <c r="Q90" s="411">
        <f>Q87+Q89</f>
        <v/>
      </c>
    </row>
    <row r="91" ht="10.35" customFormat="1" customHeight="1" s="356">
      <c r="A91" s="359" t="n"/>
      <c r="B91" s="360" t="n"/>
      <c r="C91" s="360" t="n"/>
      <c r="D91" s="360" t="n"/>
      <c r="E91" s="360" t="n"/>
      <c r="F91" s="361" t="inlineStr">
        <is>
          <t>2</t>
        </is>
      </c>
      <c r="G91" s="362" t="inlineStr">
        <is>
          <t>0</t>
        </is>
      </c>
      <c r="H91" s="360" t="inlineStr">
        <is>
          <t>214</t>
        </is>
      </c>
      <c r="I91" s="363" t="inlineStr">
        <is>
          <t>OFİS 6 MUTFAK</t>
        </is>
      </c>
      <c r="J91" s="364" t="n"/>
      <c r="K91" s="360" t="inlineStr">
        <is>
          <t>20ºC</t>
        </is>
      </c>
      <c r="L91" s="360" t="n"/>
      <c r="M91" s="360" t="n"/>
      <c r="N91" s="360" t="n"/>
      <c r="O91" s="360" t="n"/>
      <c r="P91" s="360" t="n"/>
      <c r="Q91" s="365" t="n"/>
    </row>
    <row r="92" ht="9.949999999999999" customFormat="1" customHeight="1" s="356">
      <c r="A92" s="366" t="inlineStr">
        <is>
          <t>İDM</t>
        </is>
      </c>
      <c r="B92" s="367" t="inlineStr"/>
      <c r="C92" s="368" t="n"/>
      <c r="D92" s="369" t="n">
        <v>2.6</v>
      </c>
      <c r="E92" s="369" t="n">
        <v>3</v>
      </c>
      <c r="F92" s="370">
        <f>IF(D92=0," ",D92*E92)</f>
        <v/>
      </c>
      <c r="G92" s="371" t="n">
        <v>1</v>
      </c>
      <c r="H92" s="372" t="n"/>
      <c r="I92" s="370">
        <f>IF(F92=" "," ",F92*G92-H92)</f>
        <v/>
      </c>
      <c r="J92" s="369" t="n">
        <v>0.332</v>
      </c>
      <c r="K92" s="371" t="n">
        <v>10</v>
      </c>
      <c r="L92" s="373">
        <f>IF(I92=" "," ",I92*J92*K92)</f>
        <v/>
      </c>
      <c r="M92" s="374" t="n">
        <v>7</v>
      </c>
      <c r="N92" s="371" t="n">
        <v>0</v>
      </c>
      <c r="O92" s="374" t="n">
        <v>0</v>
      </c>
      <c r="P92" s="370">
        <f>IF(M92=" "," ",(1+(M92+N92+O92)/100))</f>
        <v/>
      </c>
      <c r="Q92" s="375">
        <f>IF(L92=" "," ",L92*P92)</f>
        <v/>
      </c>
    </row>
    <row r="93" ht="9.949999999999999" customFormat="1" customHeight="1" s="356">
      <c r="A93" s="366" t="inlineStr">
        <is>
          <t>Ta</t>
        </is>
      </c>
      <c r="B93" s="367" t="inlineStr"/>
      <c r="C93" s="368" t="n"/>
      <c r="D93" s="369" t="n">
        <v>3.65</v>
      </c>
      <c r="E93" s="369" t="n">
        <v>1</v>
      </c>
      <c r="F93" s="370">
        <f>IF(D93=0," ",D93*E93)</f>
        <v/>
      </c>
      <c r="G93" s="371" t="n">
        <v>1</v>
      </c>
      <c r="H93" s="372" t="n"/>
      <c r="I93" s="370">
        <f>IF(F93=" "," ",F93*G93-H93)</f>
        <v/>
      </c>
      <c r="J93" s="369" t="n">
        <v>0.266</v>
      </c>
      <c r="K93" s="371" t="n">
        <v>20</v>
      </c>
      <c r="L93" s="373">
        <f>IF(I93=" "," ",I93*J93*K93)</f>
        <v/>
      </c>
      <c r="M93" s="374" t="n">
        <v>7</v>
      </c>
      <c r="N93" s="371" t="n">
        <v>0</v>
      </c>
      <c r="O93" s="374" t="n">
        <v>0</v>
      </c>
      <c r="P93" s="370">
        <f>IF(M93=" "," ",(1+(M93+N93+O93)/100))</f>
        <v/>
      </c>
      <c r="Q93" s="375">
        <f>IF(L93=" "," ",L93*P93)</f>
        <v/>
      </c>
    </row>
    <row r="94" ht="9.949999999999999" customFormat="1" customHeight="1" s="356">
      <c r="A94" s="376" t="n"/>
      <c r="B94" s="377" t="n"/>
      <c r="C94" s="377" t="n"/>
      <c r="D94" s="378" t="n"/>
      <c r="E94" s="378" t="n"/>
      <c r="F94" s="378" t="n"/>
      <c r="G94" s="379" t="n"/>
      <c r="H94" s="378" t="n"/>
      <c r="I94" s="378" t="n"/>
      <c r="J94" s="378" t="n"/>
      <c r="K94" s="379" t="n"/>
      <c r="L94" s="380" t="n"/>
      <c r="M94" s="381" t="n"/>
      <c r="N94" s="381" t="n"/>
      <c r="O94" s="381" t="n"/>
      <c r="P94" s="382" t="n"/>
      <c r="Q94" s="383">
        <f>SUM(Q92:Q93)</f>
        <v/>
      </c>
    </row>
    <row r="95" ht="9.949999999999999" customFormat="1" customHeight="1" s="356">
      <c r="A95" s="384" t="n"/>
      <c r="B95" s="385" t="n"/>
      <c r="C95" s="385" t="n"/>
      <c r="D95" s="386" t="n"/>
      <c r="E95" s="387" t="n"/>
      <c r="F95" s="388" t="n"/>
      <c r="G95" s="389" t="n"/>
      <c r="H95" s="388" t="n"/>
      <c r="I95" s="390" t="n"/>
      <c r="J95" s="391" t="inlineStr">
        <is>
          <t>Qs=</t>
        </is>
      </c>
      <c r="K95" s="390" t="inlineStr">
        <is>
          <t>S a</t>
        </is>
      </c>
      <c r="L95" s="388" t="inlineStr">
        <is>
          <t>L</t>
        </is>
      </c>
      <c r="M95" s="389" t="inlineStr">
        <is>
          <t>R</t>
        </is>
      </c>
      <c r="N95" s="392" t="inlineStr">
        <is>
          <t>H</t>
        </is>
      </c>
      <c r="O95" s="393" t="inlineStr">
        <is>
          <t>D  T</t>
        </is>
      </c>
      <c r="P95" s="389" t="inlineStr">
        <is>
          <t>Ze</t>
        </is>
      </c>
      <c r="Q95" s="394" t="n"/>
    </row>
    <row r="96" ht="9.949999999999999" customFormat="1" customHeight="1" s="356">
      <c r="A96" s="395" t="inlineStr">
        <is>
          <t xml:space="preserve"> </t>
        </is>
      </c>
      <c r="B96" s="396" t="n"/>
      <c r="C96" s="397" t="n"/>
      <c r="D96" s="397" t="n"/>
      <c r="E96" s="398" t="n"/>
      <c r="F96" s="399" t="n"/>
      <c r="G96" s="400" t="n"/>
      <c r="H96" s="401" t="n"/>
      <c r="I96" s="402" t="n"/>
      <c r="J96" s="403" t="inlineStr">
        <is>
          <t>Qs  =</t>
        </is>
      </c>
      <c r="K96" s="404" t="n">
        <v>2</v>
      </c>
      <c r="L96" s="404" t="n">
        <v>0</v>
      </c>
      <c r="M96" s="404" t="n">
        <v>0.9</v>
      </c>
      <c r="N96" s="404" t="n">
        <v>0.67</v>
      </c>
      <c r="O96" s="381" t="n">
        <v>26</v>
      </c>
      <c r="P96" s="404" t="n">
        <v>1</v>
      </c>
      <c r="Q96" s="383">
        <f>K96*L96*M96*N96*O96*P96</f>
        <v/>
      </c>
    </row>
    <row r="97" ht="9.949999999999999" customFormat="1" customHeight="1" s="356">
      <c r="A97" s="405" t="n"/>
      <c r="B97" s="406" t="n"/>
      <c r="C97" s="397" t="n"/>
      <c r="D97" s="397" t="n"/>
      <c r="E97" s="378" t="n"/>
      <c r="F97" s="256" t="n"/>
      <c r="G97" s="407" t="n"/>
      <c r="H97" s="397" t="n"/>
      <c r="I97" s="397" t="n"/>
      <c r="J97" s="397" t="n"/>
      <c r="K97" s="407" t="n"/>
      <c r="L97" s="408" t="n"/>
      <c r="M97" s="409" t="inlineStr">
        <is>
          <t xml:space="preserve">   TOPLAM ISI KAYBI =</t>
        </is>
      </c>
      <c r="N97" s="409" t="n"/>
      <c r="O97" s="410" t="n"/>
      <c r="P97" s="409" t="n"/>
      <c r="Q97" s="411">
        <f>Q94+Q96</f>
        <v/>
      </c>
    </row>
    <row r="98" ht="10.35" customFormat="1" customHeight="1" s="356">
      <c r="A98" s="359" t="n"/>
      <c r="B98" s="360" t="n"/>
      <c r="C98" s="360" t="n"/>
      <c r="D98" s="360" t="n"/>
      <c r="E98" s="360" t="n"/>
      <c r="F98" s="361" t="inlineStr">
        <is>
          <t>2</t>
        </is>
      </c>
      <c r="G98" s="362" t="inlineStr">
        <is>
          <t>0</t>
        </is>
      </c>
      <c r="H98" s="360" t="inlineStr">
        <is>
          <t>215</t>
        </is>
      </c>
      <c r="I98" s="363" t="inlineStr">
        <is>
          <t>OFİS 6 LVB.WC</t>
        </is>
      </c>
      <c r="J98" s="364" t="n"/>
      <c r="K98" s="360" t="inlineStr">
        <is>
          <t>24ºC</t>
        </is>
      </c>
      <c r="L98" s="360" t="n"/>
      <c r="M98" s="360" t="n"/>
      <c r="N98" s="360" t="n"/>
      <c r="O98" s="360" t="n"/>
      <c r="P98" s="360" t="n"/>
      <c r="Q98" s="365" t="n"/>
    </row>
    <row r="99" ht="9.949999999999999" customFormat="1" customHeight="1" s="356">
      <c r="A99" s="366" t="inlineStr">
        <is>
          <t>İD</t>
        </is>
      </c>
      <c r="B99" s="367" t="inlineStr"/>
      <c r="C99" s="368" t="n"/>
      <c r="D99" s="369" t="n">
        <v>6.6</v>
      </c>
      <c r="E99" s="369" t="n">
        <v>3</v>
      </c>
      <c r="F99" s="370">
        <f>IF(D99=0," ",D99*E99)</f>
        <v/>
      </c>
      <c r="G99" s="371" t="n">
        <v>1</v>
      </c>
      <c r="H99" s="372" t="n"/>
      <c r="I99" s="370">
        <f>IF(F99=" "," ",F99*G99-H99)</f>
        <v/>
      </c>
      <c r="J99" s="369" t="n">
        <v>1.915</v>
      </c>
      <c r="K99" s="371" t="n">
        <v>4</v>
      </c>
      <c r="L99" s="373">
        <f>IF(I99=" "," ",I99*J99*K99)</f>
        <v/>
      </c>
      <c r="M99" s="374" t="n">
        <v>7</v>
      </c>
      <c r="N99" s="371" t="n">
        <v>0</v>
      </c>
      <c r="O99" s="374" t="n">
        <v>0</v>
      </c>
      <c r="P99" s="370">
        <f>IF(M99=" "," ",(1+(M99+N99+O99)/100))</f>
        <v/>
      </c>
      <c r="Q99" s="375">
        <f>IF(L99=" "," ",L99*P99)</f>
        <v/>
      </c>
    </row>
    <row r="100" ht="9.949999999999999" customFormat="1" customHeight="1" s="356">
      <c r="A100" s="366" t="inlineStr">
        <is>
          <t>Ta</t>
        </is>
      </c>
      <c r="B100" s="367" t="inlineStr"/>
      <c r="C100" s="368" t="n"/>
      <c r="D100" s="369" t="n">
        <v>2.9</v>
      </c>
      <c r="E100" s="369" t="n">
        <v>1</v>
      </c>
      <c r="F100" s="370">
        <f>IF(D100=0," ",D100*E100)</f>
        <v/>
      </c>
      <c r="G100" s="371" t="n">
        <v>1</v>
      </c>
      <c r="H100" s="372" t="n"/>
      <c r="I100" s="370">
        <f>IF(F100=" "," ",F100*G100-H100)</f>
        <v/>
      </c>
      <c r="J100" s="369" t="n">
        <v>0.266</v>
      </c>
      <c r="K100" s="371" t="n">
        <v>24</v>
      </c>
      <c r="L100" s="373">
        <f>IF(I100=" "," ",I100*J100*K100)</f>
        <v/>
      </c>
      <c r="M100" s="374" t="n">
        <v>7</v>
      </c>
      <c r="N100" s="371" t="n">
        <v>0</v>
      </c>
      <c r="O100" s="374" t="n">
        <v>0</v>
      </c>
      <c r="P100" s="370">
        <f>IF(M100=" "," ",(1+(M100+N100+O100)/100))</f>
        <v/>
      </c>
      <c r="Q100" s="375">
        <f>IF(L100=" "," ",L100*P100)</f>
        <v/>
      </c>
    </row>
    <row r="101" ht="9.949999999999999" customFormat="1" customHeight="1" s="356">
      <c r="A101" s="376" t="n"/>
      <c r="B101" s="377" t="n"/>
      <c r="C101" s="377" t="n"/>
      <c r="D101" s="378" t="n"/>
      <c r="E101" s="378" t="n"/>
      <c r="F101" s="378" t="n"/>
      <c r="G101" s="379" t="n"/>
      <c r="H101" s="378" t="n"/>
      <c r="I101" s="378" t="n"/>
      <c r="J101" s="378" t="n"/>
      <c r="K101" s="379" t="n"/>
      <c r="L101" s="380" t="n"/>
      <c r="M101" s="381" t="n"/>
      <c r="N101" s="381" t="n"/>
      <c r="O101" s="381" t="n"/>
      <c r="P101" s="382" t="n"/>
      <c r="Q101" s="383">
        <f>SUM(Q99:Q100)</f>
        <v/>
      </c>
    </row>
    <row r="102" ht="9.949999999999999" customFormat="1" customHeight="1" s="412">
      <c r="A102" s="384" t="n"/>
      <c r="B102" s="385" t="n"/>
      <c r="C102" s="385" t="n"/>
      <c r="D102" s="386" t="n"/>
      <c r="E102" s="387" t="n"/>
      <c r="F102" s="388" t="n"/>
      <c r="G102" s="389" t="n"/>
      <c r="H102" s="388" t="n"/>
      <c r="I102" s="390" t="n"/>
      <c r="J102" s="391" t="inlineStr">
        <is>
          <t>Qs=</t>
        </is>
      </c>
      <c r="K102" s="390" t="inlineStr">
        <is>
          <t>S a</t>
        </is>
      </c>
      <c r="L102" s="388" t="inlineStr">
        <is>
          <t>L</t>
        </is>
      </c>
      <c r="M102" s="389" t="inlineStr">
        <is>
          <t>R</t>
        </is>
      </c>
      <c r="N102" s="392" t="inlineStr">
        <is>
          <t>H</t>
        </is>
      </c>
      <c r="O102" s="393" t="inlineStr">
        <is>
          <t>D  T</t>
        </is>
      </c>
      <c r="P102" s="389" t="inlineStr">
        <is>
          <t>Ze</t>
        </is>
      </c>
      <c r="Q102" s="394" t="n"/>
    </row>
    <row r="103" ht="9.949999999999999" customFormat="1" customHeight="1" s="412">
      <c r="A103" s="395" t="inlineStr">
        <is>
          <t xml:space="preserve"> </t>
        </is>
      </c>
      <c r="C103" s="397" t="n"/>
      <c r="D103" s="397" t="n"/>
      <c r="E103" s="398" t="n"/>
      <c r="F103" s="399" t="n"/>
      <c r="G103" s="400" t="n"/>
      <c r="H103" s="401" t="n"/>
      <c r="I103" s="402" t="n"/>
      <c r="J103" s="403" t="inlineStr">
        <is>
          <t>Qs  =</t>
        </is>
      </c>
      <c r="K103" s="404" t="n">
        <v>2</v>
      </c>
      <c r="L103" s="404" t="n">
        <v>0</v>
      </c>
      <c r="M103" s="404" t="n">
        <v>0.9</v>
      </c>
      <c r="N103" s="404" t="n">
        <v>0.67</v>
      </c>
      <c r="O103" s="381" t="n">
        <v>30</v>
      </c>
      <c r="P103" s="404" t="n">
        <v>1</v>
      </c>
      <c r="Q103" s="383">
        <f>K103*L103*M103*N103*O103*P103</f>
        <v/>
      </c>
    </row>
    <row r="104" ht="9.949999999999999" customFormat="1" customHeight="1" s="351">
      <c r="A104" s="405" t="n"/>
      <c r="B104" s="406" t="n"/>
      <c r="C104" s="397" t="n"/>
      <c r="D104" s="397" t="n"/>
      <c r="E104" s="378" t="n"/>
      <c r="F104" s="256" t="n"/>
      <c r="G104" s="407" t="n"/>
      <c r="H104" s="397" t="n"/>
      <c r="I104" s="397" t="n"/>
      <c r="J104" s="397" t="n"/>
      <c r="K104" s="407" t="n"/>
      <c r="L104" s="408" t="n"/>
      <c r="M104" s="409" t="inlineStr">
        <is>
          <t xml:space="preserve">   TOPLAM ISI KAYBI =</t>
        </is>
      </c>
      <c r="N104" s="409" t="n"/>
      <c r="O104" s="410" t="n"/>
      <c r="P104" s="409" t="n"/>
      <c r="Q104" s="411">
        <f>Q101+Q103</f>
        <v/>
      </c>
    </row>
    <row r="105" ht="10.35" customFormat="1" customHeight="1" s="356">
      <c r="A105" s="359" t="n"/>
      <c r="B105" s="360" t="n"/>
      <c r="C105" s="360" t="n"/>
      <c r="D105" s="360" t="n"/>
      <c r="E105" s="360" t="n"/>
      <c r="F105" s="361" t="inlineStr">
        <is>
          <t>2</t>
        </is>
      </c>
      <c r="G105" s="362" t="inlineStr">
        <is>
          <t>0</t>
        </is>
      </c>
      <c r="H105" s="360" t="inlineStr">
        <is>
          <t>219</t>
        </is>
      </c>
      <c r="I105" s="363" t="inlineStr">
        <is>
          <t>OFİS 6 HOL</t>
        </is>
      </c>
      <c r="J105" s="364" t="n"/>
      <c r="K105" s="360" t="inlineStr">
        <is>
          <t>18ºC</t>
        </is>
      </c>
      <c r="L105" s="360" t="n"/>
      <c r="M105" s="360" t="n"/>
      <c r="N105" s="360" t="n"/>
      <c r="O105" s="360" t="n"/>
      <c r="P105" s="360" t="n"/>
      <c r="Q105" s="365" t="n"/>
    </row>
    <row r="106" ht="9.949999999999999" customFormat="1" customHeight="1" s="356">
      <c r="A106" s="366" t="inlineStr">
        <is>
          <t>İDM</t>
        </is>
      </c>
      <c r="B106" s="367" t="inlineStr"/>
      <c r="C106" s="368" t="n"/>
      <c r="D106" s="369" t="n">
        <v>1.3</v>
      </c>
      <c r="E106" s="369" t="n">
        <v>3</v>
      </c>
      <c r="F106" s="370">
        <f>IF(D106=0," ",D106*E106)</f>
        <v/>
      </c>
      <c r="G106" s="371" t="n">
        <v>1</v>
      </c>
      <c r="H106" s="372">
        <f>F107*G107</f>
        <v/>
      </c>
      <c r="I106" s="370">
        <f>IF(F106=" "," ",F106*G106-H106)</f>
        <v/>
      </c>
      <c r="J106" s="369" t="n">
        <v>0.332</v>
      </c>
      <c r="K106" s="371" t="n">
        <v>8</v>
      </c>
      <c r="L106" s="373">
        <f>IF(I106=" "," ",I106*J106*K106)</f>
        <v/>
      </c>
      <c r="M106" s="374" t="n">
        <v>7</v>
      </c>
      <c r="N106" s="371" t="n">
        <v>0</v>
      </c>
      <c r="O106" s="374" t="n">
        <v>0</v>
      </c>
      <c r="P106" s="370">
        <f>IF(M106=" "," ",(1+(M106+N106+O106)/100))</f>
        <v/>
      </c>
      <c r="Q106" s="375">
        <f>IF(L106=" "," ",L106*P106)</f>
        <v/>
      </c>
    </row>
    <row r="107" ht="9.949999999999999" customFormat="1" customHeight="1" s="356">
      <c r="A107" s="366" t="inlineStr">
        <is>
          <t>DK</t>
        </is>
      </c>
      <c r="B107" s="367" t="inlineStr"/>
      <c r="C107" s="368" t="n"/>
      <c r="D107" s="369" t="n">
        <v>1</v>
      </c>
      <c r="E107" s="369" t="n">
        <v>2.2</v>
      </c>
      <c r="F107" s="370">
        <f>IF(D107=0," ",D107*E107)</f>
        <v/>
      </c>
      <c r="G107" s="371" t="n">
        <v>1</v>
      </c>
      <c r="H107" s="372" t="n"/>
      <c r="I107" s="370">
        <f>IF(F107=" "," ",F107*G107-H107)</f>
        <v/>
      </c>
      <c r="J107" s="369" t="n">
        <v>2</v>
      </c>
      <c r="K107" s="371" t="n">
        <v>8</v>
      </c>
      <c r="L107" s="373">
        <f>IF(I107=" "," ",I107*J107*K107)</f>
        <v/>
      </c>
      <c r="M107" s="374" t="n">
        <v>7</v>
      </c>
      <c r="N107" s="371" t="n">
        <v>0</v>
      </c>
      <c r="O107" s="374" t="n">
        <v>0</v>
      </c>
      <c r="P107" s="370">
        <f>IF(M107=" "," ",(1+(M107+N107+O107)/100))</f>
        <v/>
      </c>
      <c r="Q107" s="375">
        <f>IF(L107=" "," ",L107*P107)</f>
        <v/>
      </c>
    </row>
    <row r="108" ht="9.949999999999999" customFormat="1" customHeight="1" s="356">
      <c r="A108" s="366" t="inlineStr">
        <is>
          <t>Ta</t>
        </is>
      </c>
      <c r="B108" s="367" t="inlineStr"/>
      <c r="C108" s="368" t="n"/>
      <c r="D108" s="369" t="n">
        <v>9</v>
      </c>
      <c r="E108" s="369" t="n">
        <v>1</v>
      </c>
      <c r="F108" s="370">
        <f>IF(D108=0," ",D108*E108)</f>
        <v/>
      </c>
      <c r="G108" s="371" t="n">
        <v>1</v>
      </c>
      <c r="H108" s="372" t="n"/>
      <c r="I108" s="370">
        <f>IF(F108=" "," ",F108*G108-H108)</f>
        <v/>
      </c>
      <c r="J108" s="369" t="n">
        <v>0.266</v>
      </c>
      <c r="K108" s="371" t="n">
        <v>18</v>
      </c>
      <c r="L108" s="373">
        <f>IF(I108=" "," ",I108*J108*K108)</f>
        <v/>
      </c>
      <c r="M108" s="374" t="n">
        <v>7</v>
      </c>
      <c r="N108" s="371" t="n">
        <v>0</v>
      </c>
      <c r="O108" s="374" t="n">
        <v>0</v>
      </c>
      <c r="P108" s="370">
        <f>IF(M108=" "," ",(1+(M108+N108+O108)/100))</f>
        <v/>
      </c>
      <c r="Q108" s="375">
        <f>IF(L108=" "," ",L108*P108)</f>
        <v/>
      </c>
    </row>
    <row r="109" ht="9.949999999999999" customFormat="1" customHeight="1" s="356">
      <c r="A109" s="376" t="n"/>
      <c r="B109" s="377" t="n"/>
      <c r="C109" s="377" t="n"/>
      <c r="D109" s="378" t="n"/>
      <c r="E109" s="378" t="n"/>
      <c r="F109" s="378" t="n"/>
      <c r="G109" s="379" t="n"/>
      <c r="H109" s="378" t="n"/>
      <c r="I109" s="378" t="n"/>
      <c r="J109" s="378" t="n"/>
      <c r="K109" s="379" t="n"/>
      <c r="L109" s="380" t="n"/>
      <c r="M109" s="381" t="n"/>
      <c r="N109" s="381" t="n"/>
      <c r="O109" s="381" t="n"/>
      <c r="P109" s="382" t="n"/>
      <c r="Q109" s="383">
        <f>SUM(Q106:Q108)</f>
        <v/>
      </c>
    </row>
    <row r="110" ht="9.949999999999999" customFormat="1" customHeight="1" s="356">
      <c r="A110" s="384" t="n"/>
      <c r="B110" s="385" t="n"/>
      <c r="C110" s="385" t="n"/>
      <c r="D110" s="386" t="n"/>
      <c r="E110" s="387" t="n"/>
      <c r="F110" s="388" t="n"/>
      <c r="G110" s="389" t="n"/>
      <c r="H110" s="388" t="n"/>
      <c r="I110" s="390" t="n"/>
      <c r="J110" s="391" t="inlineStr">
        <is>
          <t>Qs=</t>
        </is>
      </c>
      <c r="K110" s="390" t="inlineStr">
        <is>
          <t>S a</t>
        </is>
      </c>
      <c r="L110" s="388" t="inlineStr">
        <is>
          <t>L</t>
        </is>
      </c>
      <c r="M110" s="389" t="inlineStr">
        <is>
          <t>R</t>
        </is>
      </c>
      <c r="N110" s="392" t="inlineStr">
        <is>
          <t>H</t>
        </is>
      </c>
      <c r="O110" s="393" t="inlineStr">
        <is>
          <t>D  T</t>
        </is>
      </c>
      <c r="P110" s="389" t="inlineStr">
        <is>
          <t>Ze</t>
        </is>
      </c>
      <c r="Q110" s="394" t="n"/>
    </row>
    <row r="111" ht="9.949999999999999" customFormat="1" customHeight="1" s="356">
      <c r="A111" s="395" t="inlineStr">
        <is>
          <t xml:space="preserve"> </t>
        </is>
      </c>
      <c r="B111" s="396" t="n"/>
      <c r="C111" s="397" t="n"/>
      <c r="D111" s="397" t="n"/>
      <c r="E111" s="398" t="n"/>
      <c r="F111" s="399" t="n"/>
      <c r="G111" s="400" t="n"/>
      <c r="H111" s="401" t="n"/>
      <c r="I111" s="402" t="n"/>
      <c r="J111" s="403" t="inlineStr">
        <is>
          <t>Qs  =</t>
        </is>
      </c>
      <c r="K111" s="404" t="n">
        <v>2</v>
      </c>
      <c r="L111" s="404" t="n">
        <v>0</v>
      </c>
      <c r="M111" s="404" t="n">
        <v>0.9</v>
      </c>
      <c r="N111" s="404" t="n">
        <v>0.67</v>
      </c>
      <c r="O111" s="381" t="n">
        <v>24</v>
      </c>
      <c r="P111" s="404" t="n">
        <v>1</v>
      </c>
      <c r="Q111" s="383">
        <f>K111*L111*M111*N111*O111*P111</f>
        <v/>
      </c>
    </row>
    <row r="112" ht="9.949999999999999" customFormat="1" customHeight="1" s="356">
      <c r="A112" s="405" t="n"/>
      <c r="B112" s="406" t="n"/>
      <c r="C112" s="397" t="n"/>
      <c r="D112" s="397" t="n"/>
      <c r="E112" s="378" t="n"/>
      <c r="F112" s="256" t="n"/>
      <c r="G112" s="407" t="n"/>
      <c r="H112" s="397" t="n"/>
      <c r="I112" s="397" t="n"/>
      <c r="J112" s="397" t="n"/>
      <c r="K112" s="407" t="n"/>
      <c r="L112" s="408" t="n"/>
      <c r="M112" s="409" t="inlineStr">
        <is>
          <t xml:space="preserve">   TOPLAM ISI KAYBI =</t>
        </is>
      </c>
      <c r="N112" s="409" t="n"/>
      <c r="O112" s="410" t="n"/>
      <c r="P112" s="409" t="n"/>
      <c r="Q112" s="411">
        <f>Q109+Q111</f>
        <v/>
      </c>
    </row>
    <row r="113" ht="10.35" customFormat="1" customHeight="1" s="356">
      <c r="A113" s="359" t="n"/>
      <c r="B113" s="360" t="n"/>
      <c r="C113" s="360" t="n"/>
      <c r="D113" s="360" t="n"/>
      <c r="E113" s="360" t="n"/>
      <c r="F113" s="361" t="inlineStr">
        <is>
          <t>2</t>
        </is>
      </c>
      <c r="G113" s="362" t="inlineStr">
        <is>
          <t>0</t>
        </is>
      </c>
      <c r="H113" s="360" t="inlineStr">
        <is>
          <t>221</t>
        </is>
      </c>
      <c r="I113" s="363" t="inlineStr">
        <is>
          <t>OFİS 7 ODA</t>
        </is>
      </c>
      <c r="J113" s="364" t="n"/>
      <c r="K113" s="360" t="inlineStr">
        <is>
          <t>20ºC</t>
        </is>
      </c>
      <c r="L113" s="360" t="n"/>
      <c r="M113" s="360" t="n"/>
      <c r="N113" s="360" t="n"/>
      <c r="O113" s="360" t="n"/>
      <c r="P113" s="360" t="n"/>
      <c r="Q113" s="365" t="n"/>
    </row>
    <row r="114" ht="9.949999999999999" customFormat="1" customHeight="1" s="356">
      <c r="A114" s="366" t="inlineStr">
        <is>
          <t>DD</t>
        </is>
      </c>
      <c r="B114" s="367" t="inlineStr">
        <is>
          <t>K</t>
        </is>
      </c>
      <c r="C114" s="368" t="n"/>
      <c r="D114" s="369" t="n">
        <v>3.9</v>
      </c>
      <c r="E114" s="369" t="n">
        <v>2.5</v>
      </c>
      <c r="F114" s="370">
        <f>IF(D114=0," ",D114*E114)</f>
        <v/>
      </c>
      <c r="G114" s="371" t="n">
        <v>1</v>
      </c>
      <c r="H114" s="372">
        <f>F116*G116</f>
        <v/>
      </c>
      <c r="I114" s="370">
        <f>IF(F114=" "," ",F114*G114-H114)</f>
        <v/>
      </c>
      <c r="J114" s="369" t="n">
        <v>0.344</v>
      </c>
      <c r="K114" s="371" t="n">
        <v>26</v>
      </c>
      <c r="L114" s="373">
        <f>IF(I114=" "," ",I114*J114*K114)</f>
        <v/>
      </c>
      <c r="M114" s="374" t="n">
        <v>7</v>
      </c>
      <c r="N114" s="371" t="n">
        <v>0</v>
      </c>
      <c r="O114" s="374" t="n">
        <v>5</v>
      </c>
      <c r="P114" s="370">
        <f>IF(M114=" "," ",(1+(M114+N114+O114)/100))</f>
        <v/>
      </c>
      <c r="Q114" s="375">
        <f>IF(L114=" "," ",L114*P114)</f>
        <v/>
      </c>
    </row>
    <row r="115" ht="9.949999999999999" customFormat="1" customHeight="1" s="356">
      <c r="A115" s="366" t="inlineStr">
        <is>
          <t>DD25</t>
        </is>
      </c>
      <c r="B115" s="367" t="inlineStr">
        <is>
          <t>K</t>
        </is>
      </c>
      <c r="C115" s="368" t="n"/>
      <c r="D115" s="369">
        <f>D114</f>
        <v/>
      </c>
      <c r="E115" s="369" t="n">
        <v>0.5</v>
      </c>
      <c r="F115" s="370">
        <f>IF(D115=0," ",D115*E115)</f>
        <v/>
      </c>
      <c r="G115" s="371" t="n">
        <v>1</v>
      </c>
      <c r="H115" s="372" t="n"/>
      <c r="I115" s="370">
        <f>IF(F115=" "," ",F115*G115-H115)</f>
        <v/>
      </c>
      <c r="J115" s="369" t="n">
        <v>0.387</v>
      </c>
      <c r="K115" s="371" t="n">
        <v>26</v>
      </c>
      <c r="L115" s="373">
        <f>IF(I115=" "," ",I115*J115*K115)</f>
        <v/>
      </c>
      <c r="M115" s="374" t="n">
        <v>7</v>
      </c>
      <c r="N115" s="371" t="n">
        <v>0</v>
      </c>
      <c r="O115" s="374" t="n">
        <v>5</v>
      </c>
      <c r="P115" s="370">
        <f>IF(M115=" "," ",(1+(M115+N115+O115)/100))</f>
        <v/>
      </c>
      <c r="Q115" s="375">
        <f>IF(L115=" "," ",L115*P115)</f>
        <v/>
      </c>
    </row>
    <row r="116" ht="9.949999999999999" customFormat="1" customHeight="1" s="412">
      <c r="A116" s="366" t="inlineStr">
        <is>
          <t>ÇP</t>
        </is>
      </c>
      <c r="B116" s="367" t="inlineStr">
        <is>
          <t>K</t>
        </is>
      </c>
      <c r="C116" s="368" t="n"/>
      <c r="D116" s="369" t="n">
        <v>3.5</v>
      </c>
      <c r="E116" s="369" t="n">
        <v>2.7</v>
      </c>
      <c r="F116" s="370">
        <f>IF(D116=0," ",D116*E116)</f>
        <v/>
      </c>
      <c r="G116" s="371" t="n">
        <v>1</v>
      </c>
      <c r="H116" s="372" t="n"/>
      <c r="I116" s="370">
        <f>IF(F116=" "," ",F116*G116-H116)</f>
        <v/>
      </c>
      <c r="J116" s="369" t="n">
        <v>1.8</v>
      </c>
      <c r="K116" s="371" t="n">
        <v>26</v>
      </c>
      <c r="L116" s="373">
        <f>IF(I116=" "," ",I116*J116*K116)</f>
        <v/>
      </c>
      <c r="M116" s="374" t="n">
        <v>7</v>
      </c>
      <c r="N116" s="371" t="n">
        <v>0</v>
      </c>
      <c r="O116" s="374" t="n">
        <v>5</v>
      </c>
      <c r="P116" s="370">
        <f>IF(M116=" "," ",(1+(M116+N116+O116)/100))</f>
        <v/>
      </c>
      <c r="Q116" s="375">
        <f>IF(L116=" "," ",L116*P116)</f>
        <v/>
      </c>
    </row>
    <row r="117" ht="9.949999999999999" customFormat="1" customHeight="1" s="412">
      <c r="A117" s="366" t="inlineStr">
        <is>
          <t>Ta</t>
        </is>
      </c>
      <c r="B117" s="367" t="inlineStr"/>
      <c r="C117" s="368" t="n"/>
      <c r="D117" s="369" t="n">
        <v>13.1</v>
      </c>
      <c r="E117" s="369" t="n">
        <v>1</v>
      </c>
      <c r="F117" s="370">
        <f>IF(D117=0," ",D117*E117)</f>
        <v/>
      </c>
      <c r="G117" s="371" t="n">
        <v>1</v>
      </c>
      <c r="H117" s="372" t="n"/>
      <c r="I117" s="370">
        <f>IF(F117=" "," ",F117*G117-H117)</f>
        <v/>
      </c>
      <c r="J117" s="369" t="n">
        <v>0.266</v>
      </c>
      <c r="K117" s="371" t="n">
        <v>20</v>
      </c>
      <c r="L117" s="373">
        <f>IF(I117=" "," ",I117*J117*K117)</f>
        <v/>
      </c>
      <c r="M117" s="374" t="n">
        <v>7</v>
      </c>
      <c r="N117" s="371" t="n">
        <v>0</v>
      </c>
      <c r="O117" s="374" t="n">
        <v>0</v>
      </c>
      <c r="P117" s="370">
        <f>IF(M117=" "," ",(1+(M117+N117+O117)/100))</f>
        <v/>
      </c>
      <c r="Q117" s="375">
        <f>IF(L117=" "," ",L117*P117)</f>
        <v/>
      </c>
    </row>
    <row r="118" ht="9.949999999999999" customFormat="1" customHeight="1" s="351">
      <c r="A118" s="376" t="n"/>
      <c r="B118" s="377" t="n"/>
      <c r="C118" s="377" t="n"/>
      <c r="D118" s="378" t="n"/>
      <c r="E118" s="378" t="n"/>
      <c r="F118" s="378" t="n"/>
      <c r="G118" s="379" t="n"/>
      <c r="H118" s="378" t="n"/>
      <c r="I118" s="378" t="n"/>
      <c r="J118" s="378" t="n"/>
      <c r="K118" s="379" t="n"/>
      <c r="L118" s="380" t="n"/>
      <c r="M118" s="381" t="n"/>
      <c r="N118" s="381" t="n"/>
      <c r="O118" s="381" t="n"/>
      <c r="P118" s="382" t="n"/>
      <c r="Q118" s="383">
        <f>SUM(Q114:Q117)</f>
        <v/>
      </c>
    </row>
    <row r="119" ht="9.949999999999999" customFormat="1" customHeight="1" s="356">
      <c r="A119" s="384" t="n"/>
      <c r="B119" s="385" t="n"/>
      <c r="C119" s="385" t="n"/>
      <c r="D119" s="386" t="n"/>
      <c r="E119" s="387" t="n"/>
      <c r="F119" s="388" t="n"/>
      <c r="G119" s="389" t="n"/>
      <c r="H119" s="388" t="n"/>
      <c r="I119" s="390" t="n"/>
      <c r="J119" s="391" t="inlineStr">
        <is>
          <t>Qs=</t>
        </is>
      </c>
      <c r="K119" s="390" t="inlineStr">
        <is>
          <t>S a</t>
        </is>
      </c>
      <c r="L119" s="388" t="inlineStr">
        <is>
          <t>L</t>
        </is>
      </c>
      <c r="M119" s="389" t="inlineStr">
        <is>
          <t>R</t>
        </is>
      </c>
      <c r="N119" s="392" t="inlineStr">
        <is>
          <t>H</t>
        </is>
      </c>
      <c r="O119" s="393" t="inlineStr">
        <is>
          <t>D  T</t>
        </is>
      </c>
      <c r="P119" s="389" t="inlineStr">
        <is>
          <t>Ze</t>
        </is>
      </c>
      <c r="Q119" s="394" t="n"/>
    </row>
    <row r="120" ht="9.949999999999999" customFormat="1" customHeight="1" s="356">
      <c r="A120" s="395" t="inlineStr">
        <is>
          <t xml:space="preserve"> </t>
        </is>
      </c>
      <c r="B120" s="396" t="n"/>
      <c r="C120" s="397" t="n"/>
      <c r="D120" s="397" t="n"/>
      <c r="E120" s="398" t="n"/>
      <c r="F120" s="399" t="n"/>
      <c r="G120" s="400" t="n"/>
      <c r="H120" s="401" t="n"/>
      <c r="I120" s="402" t="n"/>
      <c r="J120" s="403" t="inlineStr">
        <is>
          <t>Qs  =</t>
        </is>
      </c>
      <c r="K120" s="404" t="n">
        <v>2</v>
      </c>
      <c r="L120" s="404">
        <f>(D116+E116)*2*G116</f>
        <v/>
      </c>
      <c r="M120" s="404" t="n">
        <v>0.9</v>
      </c>
      <c r="N120" s="404" t="n">
        <v>0.67</v>
      </c>
      <c r="O120" s="381" t="n">
        <v>26</v>
      </c>
      <c r="P120" s="404" t="n">
        <v>1</v>
      </c>
      <c r="Q120" s="383">
        <f>K120*L120*M120*N120*O120*P120</f>
        <v/>
      </c>
    </row>
    <row r="121" ht="9.949999999999999" customFormat="1" customHeight="1" s="356">
      <c r="A121" s="405" t="n"/>
      <c r="B121" s="406" t="n"/>
      <c r="C121" s="397" t="n"/>
      <c r="D121" s="397" t="n"/>
      <c r="E121" s="378" t="n"/>
      <c r="F121" s="256" t="n"/>
      <c r="G121" s="407" t="n"/>
      <c r="H121" s="397" t="n"/>
      <c r="I121" s="397" t="n"/>
      <c r="J121" s="397" t="n"/>
      <c r="K121" s="407" t="n"/>
      <c r="L121" s="408" t="n"/>
      <c r="M121" s="409" t="inlineStr">
        <is>
          <t xml:space="preserve">   TOPLAM ISI KAYBI =</t>
        </is>
      </c>
      <c r="N121" s="409" t="n"/>
      <c r="O121" s="410" t="n"/>
      <c r="P121" s="409" t="n"/>
      <c r="Q121" s="411">
        <f>Q118+Q120</f>
        <v/>
      </c>
    </row>
    <row r="122" ht="10.35" customFormat="1" customHeight="1" s="356">
      <c r="A122" s="359" t="n"/>
      <c r="B122" s="360" t="n"/>
      <c r="C122" s="360" t="n"/>
      <c r="D122" s="360" t="n"/>
      <c r="E122" s="360" t="n"/>
      <c r="F122" s="361" t="inlineStr">
        <is>
          <t>2</t>
        </is>
      </c>
      <c r="G122" s="362" t="inlineStr">
        <is>
          <t>0</t>
        </is>
      </c>
      <c r="H122" s="360" t="inlineStr">
        <is>
          <t>222</t>
        </is>
      </c>
      <c r="I122" s="363" t="inlineStr">
        <is>
          <t>OFİS 7 ODA</t>
        </is>
      </c>
      <c r="J122" s="364" t="n"/>
      <c r="K122" s="360" t="inlineStr">
        <is>
          <t>20ºC</t>
        </is>
      </c>
      <c r="L122" s="360" t="n"/>
      <c r="M122" s="360" t="n"/>
      <c r="N122" s="360" t="n"/>
      <c r="O122" s="360" t="n"/>
      <c r="P122" s="360" t="n"/>
      <c r="Q122" s="365" t="n"/>
    </row>
    <row r="123" ht="9.949999999999999" customFormat="1" customHeight="1" s="356">
      <c r="A123" s="366" t="inlineStr">
        <is>
          <t>DD</t>
        </is>
      </c>
      <c r="B123" s="367" t="inlineStr">
        <is>
          <t>K</t>
        </is>
      </c>
      <c r="C123" s="368" t="n"/>
      <c r="D123" s="369" t="n">
        <v>3.3</v>
      </c>
      <c r="E123" s="369" t="n">
        <v>2.5</v>
      </c>
      <c r="F123" s="370">
        <f>IF(D123=0," ",D123*E123)</f>
        <v/>
      </c>
      <c r="G123" s="371" t="n">
        <v>1</v>
      </c>
      <c r="H123" s="372">
        <f>F125*G125</f>
        <v/>
      </c>
      <c r="I123" s="370">
        <f>IF(F123=" "," ",F123*G123-H123)</f>
        <v/>
      </c>
      <c r="J123" s="369" t="n">
        <v>0.344</v>
      </c>
      <c r="K123" s="371" t="n">
        <v>26</v>
      </c>
      <c r="L123" s="373">
        <f>IF(I123=" "," ",I123*J123*K123)</f>
        <v/>
      </c>
      <c r="M123" s="374" t="n">
        <v>7</v>
      </c>
      <c r="N123" s="371" t="n">
        <v>0</v>
      </c>
      <c r="O123" s="374" t="n">
        <v>5</v>
      </c>
      <c r="P123" s="370">
        <f>IF(M123=" "," ",(1+(M123+N123+O123)/100))</f>
        <v/>
      </c>
      <c r="Q123" s="375">
        <f>IF(L123=" "," ",L123*P123)</f>
        <v/>
      </c>
    </row>
    <row r="124" ht="9.949999999999999" customFormat="1" customHeight="1" s="356">
      <c r="A124" s="366" t="inlineStr">
        <is>
          <t>DD25</t>
        </is>
      </c>
      <c r="B124" s="367" t="inlineStr">
        <is>
          <t>K</t>
        </is>
      </c>
      <c r="C124" s="368" t="n"/>
      <c r="D124" s="369">
        <f>D123</f>
        <v/>
      </c>
      <c r="E124" s="369" t="n">
        <v>0.5</v>
      </c>
      <c r="F124" s="370">
        <f>IF(D124=0," ",D124*E124)</f>
        <v/>
      </c>
      <c r="G124" s="371" t="n">
        <v>1</v>
      </c>
      <c r="H124" s="372" t="n"/>
      <c r="I124" s="370">
        <f>IF(F124=" "," ",F124*G124-H124)</f>
        <v/>
      </c>
      <c r="J124" s="369" t="n">
        <v>0.387</v>
      </c>
      <c r="K124" s="371" t="n">
        <v>26</v>
      </c>
      <c r="L124" s="373">
        <f>IF(I124=" "," ",I124*J124*K124)</f>
        <v/>
      </c>
      <c r="M124" s="374" t="n">
        <v>7</v>
      </c>
      <c r="N124" s="371" t="n">
        <v>0</v>
      </c>
      <c r="O124" s="374" t="n">
        <v>5</v>
      </c>
      <c r="P124" s="370">
        <f>IF(M124=" "," ",(1+(M124+N124+O124)/100))</f>
        <v/>
      </c>
      <c r="Q124" s="375">
        <f>IF(L124=" "," ",L124*P124)</f>
        <v/>
      </c>
    </row>
    <row r="125" ht="9.949999999999999" customFormat="1" customHeight="1" s="356">
      <c r="A125" s="366" t="inlineStr">
        <is>
          <t>ÇP</t>
        </is>
      </c>
      <c r="B125" s="367" t="inlineStr">
        <is>
          <t>K</t>
        </is>
      </c>
      <c r="C125" s="368" t="n"/>
      <c r="D125" s="369" t="n">
        <v>2.9</v>
      </c>
      <c r="E125" s="369" t="n">
        <v>2.7</v>
      </c>
      <c r="F125" s="370">
        <f>IF(D125=0," ",D125*E125)</f>
        <v/>
      </c>
      <c r="G125" s="371" t="n">
        <v>1</v>
      </c>
      <c r="H125" s="372" t="n"/>
      <c r="I125" s="370">
        <f>IF(F125=" "," ",F125*G125-H125)</f>
        <v/>
      </c>
      <c r="J125" s="369" t="n">
        <v>1.8</v>
      </c>
      <c r="K125" s="371" t="n">
        <v>26</v>
      </c>
      <c r="L125" s="373">
        <f>IF(I125=" "," ",I125*J125*K125)</f>
        <v/>
      </c>
      <c r="M125" s="374" t="n">
        <v>7</v>
      </c>
      <c r="N125" s="371" t="n">
        <v>0</v>
      </c>
      <c r="O125" s="374" t="n">
        <v>5</v>
      </c>
      <c r="P125" s="370">
        <f>IF(M125=" "," ",(1+(M125+N125+O125)/100))</f>
        <v/>
      </c>
      <c r="Q125" s="375">
        <f>IF(L125=" "," ",L125*P125)</f>
        <v/>
      </c>
    </row>
    <row r="126" ht="9.949999999999999" customFormat="1" customHeight="1" s="356">
      <c r="A126" s="366" t="inlineStr">
        <is>
          <t>Ta</t>
        </is>
      </c>
      <c r="B126" s="367" t="inlineStr"/>
      <c r="C126" s="368" t="n"/>
      <c r="D126" s="369" t="n">
        <v>10.75</v>
      </c>
      <c r="E126" s="369" t="n">
        <v>1</v>
      </c>
      <c r="F126" s="370">
        <f>IF(D126=0," ",D126*E126)</f>
        <v/>
      </c>
      <c r="G126" s="371" t="n">
        <v>1</v>
      </c>
      <c r="H126" s="372" t="n"/>
      <c r="I126" s="370">
        <f>IF(F126=" "," ",F126*G126-H126)</f>
        <v/>
      </c>
      <c r="J126" s="369" t="n">
        <v>0.266</v>
      </c>
      <c r="K126" s="371" t="n">
        <v>20</v>
      </c>
      <c r="L126" s="373">
        <f>IF(I126=" "," ",I126*J126*K126)</f>
        <v/>
      </c>
      <c r="M126" s="374" t="n">
        <v>7</v>
      </c>
      <c r="N126" s="371" t="n">
        <v>0</v>
      </c>
      <c r="O126" s="374" t="n">
        <v>0</v>
      </c>
      <c r="P126" s="370">
        <f>IF(M126=" "," ",(1+(M126+N126+O126)/100))</f>
        <v/>
      </c>
      <c r="Q126" s="375">
        <f>IF(L126=" "," ",L126*P126)</f>
        <v/>
      </c>
    </row>
    <row r="127" ht="9.949999999999999" customFormat="1" customHeight="1" s="356">
      <c r="A127" s="376" t="n"/>
      <c r="B127" s="377" t="n"/>
      <c r="C127" s="377" t="n"/>
      <c r="D127" s="378" t="n"/>
      <c r="E127" s="378" t="n"/>
      <c r="F127" s="378" t="n"/>
      <c r="G127" s="379" t="n"/>
      <c r="H127" s="378" t="n"/>
      <c r="I127" s="378" t="n"/>
      <c r="J127" s="378" t="n"/>
      <c r="K127" s="379" t="n"/>
      <c r="L127" s="380" t="n"/>
      <c r="M127" s="381" t="n"/>
      <c r="N127" s="381" t="n"/>
      <c r="O127" s="381" t="n"/>
      <c r="P127" s="382" t="n"/>
      <c r="Q127" s="383">
        <f>SUM(Q123:Q126)</f>
        <v/>
      </c>
    </row>
    <row r="128" ht="9.949999999999999" customFormat="1" customHeight="1" s="356">
      <c r="A128" s="384" t="n"/>
      <c r="B128" s="385" t="n"/>
      <c r="C128" s="385" t="n"/>
      <c r="D128" s="386" t="n"/>
      <c r="E128" s="387" t="n"/>
      <c r="F128" s="388" t="n"/>
      <c r="G128" s="389" t="n"/>
      <c r="H128" s="388" t="n"/>
      <c r="I128" s="390" t="n"/>
      <c r="J128" s="391" t="inlineStr">
        <is>
          <t>Qs=</t>
        </is>
      </c>
      <c r="K128" s="390" t="inlineStr">
        <is>
          <t>S a</t>
        </is>
      </c>
      <c r="L128" s="388" t="inlineStr">
        <is>
          <t>L</t>
        </is>
      </c>
      <c r="M128" s="389" t="inlineStr">
        <is>
          <t>R</t>
        </is>
      </c>
      <c r="N128" s="392" t="inlineStr">
        <is>
          <t>H</t>
        </is>
      </c>
      <c r="O128" s="393" t="inlineStr">
        <is>
          <t>D  T</t>
        </is>
      </c>
      <c r="P128" s="389" t="inlineStr">
        <is>
          <t>Ze</t>
        </is>
      </c>
      <c r="Q128" s="394" t="n"/>
    </row>
    <row r="129" ht="9.949999999999999" customFormat="1" customHeight="1" s="412">
      <c r="A129" s="395" t="inlineStr">
        <is>
          <t xml:space="preserve"> </t>
        </is>
      </c>
      <c r="B129" s="432" t="n"/>
      <c r="C129" s="397" t="n"/>
      <c r="D129" s="397" t="n"/>
      <c r="E129" s="398" t="n"/>
      <c r="F129" s="399" t="n"/>
      <c r="G129" s="400" t="n"/>
      <c r="H129" s="401" t="n"/>
      <c r="I129" s="402" t="n"/>
      <c r="J129" s="403" t="inlineStr">
        <is>
          <t>Qs  =</t>
        </is>
      </c>
      <c r="K129" s="404" t="n">
        <v>2</v>
      </c>
      <c r="L129" s="404">
        <f>(D125+E125)*2*G125</f>
        <v/>
      </c>
      <c r="M129" s="404" t="n">
        <v>0.9</v>
      </c>
      <c r="N129" s="404" t="n">
        <v>0.67</v>
      </c>
      <c r="O129" s="381" t="n">
        <v>26</v>
      </c>
      <c r="P129" s="404" t="n">
        <v>1</v>
      </c>
      <c r="Q129" s="383">
        <f>K129*L129*M129*N129*O129*P129</f>
        <v/>
      </c>
    </row>
    <row r="130" ht="9.949999999999999" customFormat="1" customHeight="1" s="412">
      <c r="A130" s="405" t="n"/>
      <c r="B130" s="406" t="n"/>
      <c r="C130" s="397" t="n"/>
      <c r="D130" s="397" t="n"/>
      <c r="E130" s="378" t="n"/>
      <c r="F130" s="256" t="n"/>
      <c r="G130" s="407" t="n"/>
      <c r="H130" s="397" t="n"/>
      <c r="I130" s="397" t="n"/>
      <c r="J130" s="397" t="n"/>
      <c r="K130" s="407" t="n"/>
      <c r="L130" s="408" t="n"/>
      <c r="M130" s="409" t="inlineStr">
        <is>
          <t xml:space="preserve">   TOPLAM ISI KAYBI =</t>
        </is>
      </c>
      <c r="N130" s="409" t="n"/>
      <c r="O130" s="410" t="n"/>
      <c r="P130" s="409" t="n"/>
      <c r="Q130" s="411">
        <f>Q127+Q129</f>
        <v/>
      </c>
    </row>
    <row r="131" ht="10.35" customFormat="1" customHeight="1" s="351">
      <c r="A131" s="359" t="n"/>
      <c r="B131" s="360" t="n"/>
      <c r="C131" s="360" t="n"/>
      <c r="D131" s="360" t="n"/>
      <c r="E131" s="360" t="n"/>
      <c r="F131" s="361" t="inlineStr">
        <is>
          <t>2</t>
        </is>
      </c>
      <c r="G131" s="362" t="inlineStr">
        <is>
          <t>0</t>
        </is>
      </c>
      <c r="H131" s="360" t="inlineStr">
        <is>
          <t>223</t>
        </is>
      </c>
      <c r="I131" s="363" t="inlineStr">
        <is>
          <t>OFİS 7 ODA</t>
        </is>
      </c>
      <c r="J131" s="364" t="n"/>
      <c r="K131" s="360" t="inlineStr">
        <is>
          <t>20ºC</t>
        </is>
      </c>
      <c r="L131" s="360" t="n"/>
      <c r="M131" s="360" t="n"/>
      <c r="N131" s="360" t="n"/>
      <c r="O131" s="360" t="n"/>
      <c r="P131" s="360" t="n"/>
      <c r="Q131" s="365" t="n"/>
    </row>
    <row r="132" ht="9.949999999999999" customHeight="1" s="244">
      <c r="A132" s="366" t="inlineStr">
        <is>
          <t>DD</t>
        </is>
      </c>
      <c r="B132" s="367" t="inlineStr">
        <is>
          <t>K</t>
        </is>
      </c>
      <c r="C132" s="368" t="n"/>
      <c r="D132" s="369" t="n">
        <v>3.2</v>
      </c>
      <c r="E132" s="369" t="n">
        <v>2.5</v>
      </c>
      <c r="F132" s="370">
        <f>IF(D132=0," ",D132*E132)</f>
        <v/>
      </c>
      <c r="G132" s="371" t="n">
        <v>1</v>
      </c>
      <c r="H132" s="372">
        <f>F134*G134</f>
        <v/>
      </c>
      <c r="I132" s="370">
        <f>IF(F132=" "," ",F132*G132-H132)</f>
        <v/>
      </c>
      <c r="J132" s="369" t="n">
        <v>0.344</v>
      </c>
      <c r="K132" s="371" t="n">
        <v>26</v>
      </c>
      <c r="L132" s="373">
        <f>IF(I132=" "," ",I132*J132*K132)</f>
        <v/>
      </c>
      <c r="M132" s="374" t="n">
        <v>7</v>
      </c>
      <c r="N132" s="371" t="n">
        <v>0</v>
      </c>
      <c r="O132" s="374" t="n">
        <v>5</v>
      </c>
      <c r="P132" s="370">
        <f>IF(M132=" "," ",(1+(M132+N132+O132)/100))</f>
        <v/>
      </c>
      <c r="Q132" s="375">
        <f>IF(L132=" "," ",L132*P132)</f>
        <v/>
      </c>
    </row>
    <row r="133" ht="9.949999999999999" customHeight="1" s="244">
      <c r="A133" s="366" t="inlineStr">
        <is>
          <t>DD25</t>
        </is>
      </c>
      <c r="B133" s="367" t="inlineStr">
        <is>
          <t>K</t>
        </is>
      </c>
      <c r="C133" s="368" t="n"/>
      <c r="D133" s="369">
        <f>D132</f>
        <v/>
      </c>
      <c r="E133" s="369" t="n">
        <v>0.5</v>
      </c>
      <c r="F133" s="370">
        <f>IF(D133=0," ",D133*E133)</f>
        <v/>
      </c>
      <c r="G133" s="371" t="n">
        <v>1</v>
      </c>
      <c r="H133" s="372" t="n"/>
      <c r="I133" s="370">
        <f>IF(F133=" "," ",F133*G133-H133)</f>
        <v/>
      </c>
      <c r="J133" s="369" t="n">
        <v>0.387</v>
      </c>
      <c r="K133" s="371" t="n">
        <v>26</v>
      </c>
      <c r="L133" s="373">
        <f>IF(I133=" "," ",I133*J133*K133)</f>
        <v/>
      </c>
      <c r="M133" s="374" t="n">
        <v>7</v>
      </c>
      <c r="N133" s="371" t="n">
        <v>0</v>
      </c>
      <c r="O133" s="374" t="n">
        <v>5</v>
      </c>
      <c r="P133" s="370">
        <f>IF(M133=" "," ",(1+(M133+N133+O133)/100))</f>
        <v/>
      </c>
      <c r="Q133" s="375">
        <f>IF(L133=" "," ",L133*P133)</f>
        <v/>
      </c>
    </row>
    <row r="134" ht="9.949999999999999" customHeight="1" s="244">
      <c r="A134" s="366" t="inlineStr">
        <is>
          <t>ÇP</t>
        </is>
      </c>
      <c r="B134" s="367" t="inlineStr">
        <is>
          <t>K</t>
        </is>
      </c>
      <c r="C134" s="368" t="n"/>
      <c r="D134" s="369" t="n">
        <v>2.8</v>
      </c>
      <c r="E134" s="369" t="n">
        <v>2.7</v>
      </c>
      <c r="F134" s="370">
        <f>IF(D134=0," ",D134*E134)</f>
        <v/>
      </c>
      <c r="G134" s="371" t="n">
        <v>1</v>
      </c>
      <c r="H134" s="372" t="n"/>
      <c r="I134" s="370">
        <f>IF(F134=" "," ",F134*G134-H134)</f>
        <v/>
      </c>
      <c r="J134" s="369" t="n">
        <v>1.8</v>
      </c>
      <c r="K134" s="371" t="n">
        <v>26</v>
      </c>
      <c r="L134" s="373">
        <f>IF(I134=" "," ",I134*J134*K134)</f>
        <v/>
      </c>
      <c r="M134" s="374" t="n">
        <v>7</v>
      </c>
      <c r="N134" s="371" t="n">
        <v>0</v>
      </c>
      <c r="O134" s="374" t="n">
        <v>5</v>
      </c>
      <c r="P134" s="370">
        <f>IF(M134=" "," ",(1+(M134+N134+O134)/100))</f>
        <v/>
      </c>
      <c r="Q134" s="375">
        <f>IF(L134=" "," ",L134*P134)</f>
        <v/>
      </c>
    </row>
    <row r="135" ht="9.949999999999999" customHeight="1" s="244">
      <c r="A135" s="366" t="inlineStr">
        <is>
          <t>Ta</t>
        </is>
      </c>
      <c r="B135" s="367" t="inlineStr"/>
      <c r="C135" s="368" t="n"/>
      <c r="D135" s="369" t="n">
        <v>10.77</v>
      </c>
      <c r="E135" s="369" t="n">
        <v>1</v>
      </c>
      <c r="F135" s="370">
        <f>IF(D135=0," ",D135*E135)</f>
        <v/>
      </c>
      <c r="G135" s="371" t="n">
        <v>1</v>
      </c>
      <c r="H135" s="372" t="n"/>
      <c r="I135" s="370">
        <f>IF(F135=" "," ",F135*G135-H135)</f>
        <v/>
      </c>
      <c r="J135" s="369" t="n">
        <v>0.266</v>
      </c>
      <c r="K135" s="371" t="n">
        <v>20</v>
      </c>
      <c r="L135" s="373">
        <f>IF(I135=" "," ",I135*J135*K135)</f>
        <v/>
      </c>
      <c r="M135" s="374" t="n">
        <v>7</v>
      </c>
      <c r="N135" s="371" t="n">
        <v>0</v>
      </c>
      <c r="O135" s="374" t="n">
        <v>0</v>
      </c>
      <c r="P135" s="370">
        <f>IF(M135=" "," ",(1+(M135+N135+O135)/100))</f>
        <v/>
      </c>
      <c r="Q135" s="375">
        <f>IF(L135=" "," ",L135*P135)</f>
        <v/>
      </c>
    </row>
    <row r="136" ht="9.949999999999999" customHeight="1" s="244">
      <c r="A136" s="376" t="n"/>
      <c r="B136" s="377" t="n"/>
      <c r="C136" s="377" t="n"/>
      <c r="D136" s="378" t="n"/>
      <c r="E136" s="378" t="n"/>
      <c r="F136" s="378" t="n"/>
      <c r="G136" s="379" t="n"/>
      <c r="H136" s="378" t="n"/>
      <c r="I136" s="378" t="n"/>
      <c r="J136" s="378" t="n"/>
      <c r="K136" s="379" t="n"/>
      <c r="L136" s="380" t="n"/>
      <c r="M136" s="381" t="n"/>
      <c r="N136" s="381" t="n"/>
      <c r="O136" s="381" t="n"/>
      <c r="P136" s="382" t="n"/>
      <c r="Q136" s="383">
        <f>SUM(Q132:Q135)</f>
        <v/>
      </c>
    </row>
    <row r="137" ht="9.949999999999999" customHeight="1" s="244">
      <c r="A137" s="384" t="n"/>
      <c r="B137" s="385" t="n"/>
      <c r="C137" s="385" t="n"/>
      <c r="D137" s="386" t="n"/>
      <c r="E137" s="387" t="n"/>
      <c r="F137" s="388" t="n"/>
      <c r="G137" s="389" t="n"/>
      <c r="H137" s="388" t="n"/>
      <c r="I137" s="390" t="n"/>
      <c r="J137" s="391" t="inlineStr">
        <is>
          <t>Qs=</t>
        </is>
      </c>
      <c r="K137" s="390" t="inlineStr">
        <is>
          <t>S a</t>
        </is>
      </c>
      <c r="L137" s="388" t="inlineStr">
        <is>
          <t>L</t>
        </is>
      </c>
      <c r="M137" s="389" t="inlineStr">
        <is>
          <t>R</t>
        </is>
      </c>
      <c r="N137" s="392" t="inlineStr">
        <is>
          <t>H</t>
        </is>
      </c>
      <c r="O137" s="393" t="inlineStr">
        <is>
          <t>D  T</t>
        </is>
      </c>
      <c r="P137" s="389" t="inlineStr">
        <is>
          <t>Ze</t>
        </is>
      </c>
      <c r="Q137" s="394" t="n"/>
    </row>
    <row r="138" ht="9.949999999999999" customHeight="1" s="244">
      <c r="A138" s="395" t="inlineStr">
        <is>
          <t xml:space="preserve"> </t>
        </is>
      </c>
      <c r="C138" s="397" t="n"/>
      <c r="D138" s="397" t="n"/>
      <c r="E138" s="398" t="n"/>
      <c r="F138" s="399" t="n"/>
      <c r="G138" s="400" t="n"/>
      <c r="H138" s="401" t="n"/>
      <c r="I138" s="402" t="n"/>
      <c r="J138" s="403" t="inlineStr">
        <is>
          <t>Qs  =</t>
        </is>
      </c>
      <c r="K138" s="404" t="n">
        <v>2</v>
      </c>
      <c r="L138" s="404">
        <f>(D134+E134)*2*G134</f>
        <v/>
      </c>
      <c r="M138" s="404" t="n">
        <v>0.9</v>
      </c>
      <c r="N138" s="404" t="n">
        <v>0.67</v>
      </c>
      <c r="O138" s="381" t="n">
        <v>26</v>
      </c>
      <c r="P138" s="404" t="n">
        <v>1</v>
      </c>
      <c r="Q138" s="383">
        <f>K138*L138*M138*N138*O138*P138</f>
        <v/>
      </c>
    </row>
    <row r="139" ht="9.949999999999999" customHeight="1" s="244">
      <c r="A139" s="405" t="n"/>
      <c r="B139" s="406" t="n"/>
      <c r="C139" s="397" t="n"/>
      <c r="D139" s="397" t="n"/>
      <c r="E139" s="378" t="n"/>
      <c r="F139" s="256" t="n"/>
      <c r="G139" s="407" t="n"/>
      <c r="H139" s="397" t="n"/>
      <c r="I139" s="397" t="n"/>
      <c r="J139" s="397" t="n"/>
      <c r="K139" s="407" t="n"/>
      <c r="L139" s="408" t="n"/>
      <c r="M139" s="409" t="inlineStr">
        <is>
          <t xml:space="preserve">   TOPLAM ISI KAYBI =</t>
        </is>
      </c>
      <c r="N139" s="409" t="n"/>
      <c r="O139" s="410" t="n"/>
      <c r="P139" s="409" t="n"/>
      <c r="Q139" s="411">
        <f>Q136+Q138</f>
        <v/>
      </c>
    </row>
    <row r="140" ht="10.35" customHeight="1" s="244">
      <c r="A140" s="359" t="n"/>
      <c r="B140" s="360" t="n"/>
      <c r="C140" s="360" t="n"/>
      <c r="D140" s="360" t="n"/>
      <c r="E140" s="360" t="n"/>
      <c r="F140" s="361" t="inlineStr">
        <is>
          <t>2</t>
        </is>
      </c>
      <c r="G140" s="362" t="inlineStr">
        <is>
          <t>0</t>
        </is>
      </c>
      <c r="H140" s="360" t="inlineStr">
        <is>
          <t>224</t>
        </is>
      </c>
      <c r="I140" s="363" t="inlineStr">
        <is>
          <t>OFİS 7 MUTFAK</t>
        </is>
      </c>
      <c r="J140" s="364" t="n"/>
      <c r="K140" s="360" t="inlineStr">
        <is>
          <t>20ºC</t>
        </is>
      </c>
      <c r="L140" s="360" t="n"/>
      <c r="M140" s="360" t="n"/>
      <c r="N140" s="360" t="n"/>
      <c r="O140" s="360" t="n"/>
      <c r="P140" s="360" t="n"/>
      <c r="Q140" s="365" t="n"/>
    </row>
    <row r="141" ht="9.949999999999999" customHeight="1" s="244">
      <c r="A141" s="366" t="inlineStr">
        <is>
          <t>İDM</t>
        </is>
      </c>
      <c r="B141" s="367" t="inlineStr"/>
      <c r="C141" s="368" t="n"/>
      <c r="D141" s="369" t="n">
        <v>2.6</v>
      </c>
      <c r="E141" s="369" t="n">
        <v>3</v>
      </c>
      <c r="F141" s="370">
        <f>IF(D141=0," ",D141*E141)</f>
        <v/>
      </c>
      <c r="G141" s="371" t="n">
        <v>1</v>
      </c>
      <c r="H141" s="372" t="n"/>
      <c r="I141" s="370">
        <f>IF(F141=" "," ",F141*G141-H141)</f>
        <v/>
      </c>
      <c r="J141" s="369" t="n">
        <v>0.332</v>
      </c>
      <c r="K141" s="371" t="n">
        <v>10</v>
      </c>
      <c r="L141" s="373">
        <f>IF(I141=" "," ",I141*J141*K141)</f>
        <v/>
      </c>
      <c r="M141" s="374" t="n">
        <v>7</v>
      </c>
      <c r="N141" s="371" t="n">
        <v>0</v>
      </c>
      <c r="O141" s="374" t="n">
        <v>0</v>
      </c>
      <c r="P141" s="370">
        <f>IF(M141=" "," ",(1+(M141+N141+O141)/100))</f>
        <v/>
      </c>
      <c r="Q141" s="375">
        <f>IF(L141=" "," ",L141*P141)</f>
        <v/>
      </c>
    </row>
    <row r="142" ht="9.949999999999999" customHeight="1" s="244">
      <c r="A142" s="366" t="inlineStr">
        <is>
          <t>Ta</t>
        </is>
      </c>
      <c r="B142" s="367" t="inlineStr"/>
      <c r="C142" s="368" t="n"/>
      <c r="D142" s="369" t="n">
        <v>3.97</v>
      </c>
      <c r="E142" s="369" t="n">
        <v>1</v>
      </c>
      <c r="F142" s="370">
        <f>IF(D142=0," ",D142*E142)</f>
        <v/>
      </c>
      <c r="G142" s="371" t="n">
        <v>1</v>
      </c>
      <c r="H142" s="372" t="n"/>
      <c r="I142" s="370">
        <f>IF(F142=" "," ",F142*G142-H142)</f>
        <v/>
      </c>
      <c r="J142" s="369" t="n">
        <v>0.266</v>
      </c>
      <c r="K142" s="371" t="n">
        <v>20</v>
      </c>
      <c r="L142" s="373">
        <f>IF(I142=" "," ",I142*J142*K142)</f>
        <v/>
      </c>
      <c r="M142" s="374" t="n">
        <v>7</v>
      </c>
      <c r="N142" s="371" t="n">
        <v>0</v>
      </c>
      <c r="O142" s="374" t="n">
        <v>0</v>
      </c>
      <c r="P142" s="370">
        <f>IF(M142=" "," ",(1+(M142+N142+O142)/100))</f>
        <v/>
      </c>
      <c r="Q142" s="375">
        <f>IF(L142=" "," ",L142*P142)</f>
        <v/>
      </c>
    </row>
    <row r="143" ht="9.949999999999999" customHeight="1" s="244">
      <c r="A143" s="376" t="n"/>
      <c r="B143" s="377" t="n"/>
      <c r="C143" s="377" t="n"/>
      <c r="D143" s="378" t="n"/>
      <c r="E143" s="378" t="n"/>
      <c r="F143" s="378" t="n"/>
      <c r="G143" s="379" t="n"/>
      <c r="H143" s="378" t="n"/>
      <c r="I143" s="378" t="n"/>
      <c r="J143" s="378" t="n"/>
      <c r="K143" s="379" t="n"/>
      <c r="L143" s="380" t="n"/>
      <c r="M143" s="381" t="n"/>
      <c r="N143" s="381" t="n"/>
      <c r="O143" s="381" t="n"/>
      <c r="P143" s="382" t="n"/>
      <c r="Q143" s="383">
        <f>SUM(Q141:Q142)</f>
        <v/>
      </c>
    </row>
    <row r="144" ht="9.949999999999999" customHeight="1" s="244">
      <c r="A144" s="384" t="n"/>
      <c r="B144" s="385" t="n"/>
      <c r="C144" s="385" t="n"/>
      <c r="D144" s="386" t="n"/>
      <c r="E144" s="387" t="n"/>
      <c r="F144" s="388" t="n"/>
      <c r="G144" s="389" t="n"/>
      <c r="H144" s="388" t="n"/>
      <c r="I144" s="390" t="n"/>
      <c r="J144" s="391" t="inlineStr">
        <is>
          <t>Qs=</t>
        </is>
      </c>
      <c r="K144" s="390" t="inlineStr">
        <is>
          <t>S a</t>
        </is>
      </c>
      <c r="L144" s="388" t="inlineStr">
        <is>
          <t>L</t>
        </is>
      </c>
      <c r="M144" s="389" t="inlineStr">
        <is>
          <t>R</t>
        </is>
      </c>
      <c r="N144" s="392" t="inlineStr">
        <is>
          <t>H</t>
        </is>
      </c>
      <c r="O144" s="393" t="inlineStr">
        <is>
          <t>D  T</t>
        </is>
      </c>
      <c r="P144" s="389" t="inlineStr">
        <is>
          <t>Ze</t>
        </is>
      </c>
      <c r="Q144" s="394" t="n"/>
    </row>
    <row r="145" ht="9.949999999999999" customHeight="1" s="244">
      <c r="A145" s="395" t="inlineStr">
        <is>
          <t xml:space="preserve"> </t>
        </is>
      </c>
      <c r="C145" s="397" t="n"/>
      <c r="D145" s="397" t="n"/>
      <c r="E145" s="398" t="n"/>
      <c r="F145" s="399" t="n"/>
      <c r="G145" s="400" t="n"/>
      <c r="H145" s="401" t="n"/>
      <c r="I145" s="402" t="n"/>
      <c r="J145" s="403" t="inlineStr">
        <is>
          <t>Qs  =</t>
        </is>
      </c>
      <c r="K145" s="404" t="n">
        <v>2</v>
      </c>
      <c r="L145" s="404" t="n">
        <v>0</v>
      </c>
      <c r="M145" s="404" t="n">
        <v>0.9</v>
      </c>
      <c r="N145" s="404" t="n">
        <v>0.67</v>
      </c>
      <c r="O145" s="381" t="n">
        <v>26</v>
      </c>
      <c r="P145" s="404" t="n">
        <v>1</v>
      </c>
      <c r="Q145" s="383">
        <f>K145*L145*M145*N145*O145*P145</f>
        <v/>
      </c>
    </row>
    <row r="146" ht="9.949999999999999" customHeight="1" s="244">
      <c r="A146" s="405" t="n"/>
      <c r="B146" s="406" t="n"/>
      <c r="C146" s="397" t="n"/>
      <c r="D146" s="397" t="n"/>
      <c r="E146" s="378" t="n"/>
      <c r="F146" s="256" t="n"/>
      <c r="G146" s="407" t="n"/>
      <c r="H146" s="397" t="n"/>
      <c r="I146" s="397" t="n"/>
      <c r="J146" s="397" t="n"/>
      <c r="K146" s="407" t="n"/>
      <c r="L146" s="408" t="n"/>
      <c r="M146" s="409" t="inlineStr">
        <is>
          <t xml:space="preserve">   TOPLAM ISI KAYBI =</t>
        </is>
      </c>
      <c r="N146" s="409" t="n"/>
      <c r="O146" s="410" t="n"/>
      <c r="P146" s="409" t="n"/>
      <c r="Q146" s="411">
        <f>Q143+Q145</f>
        <v/>
      </c>
    </row>
    <row r="147" ht="10.35" customHeight="1" s="244">
      <c r="A147" s="359" t="n"/>
      <c r="B147" s="360" t="n"/>
      <c r="C147" s="360" t="n"/>
      <c r="D147" s="360" t="n"/>
      <c r="E147" s="360" t="n"/>
      <c r="F147" s="361" t="inlineStr">
        <is>
          <t>2</t>
        </is>
      </c>
      <c r="G147" s="362" t="inlineStr">
        <is>
          <t>0</t>
        </is>
      </c>
      <c r="H147" s="360" t="inlineStr">
        <is>
          <t>225</t>
        </is>
      </c>
      <c r="I147" s="363" t="inlineStr">
        <is>
          <t>OFİS 7 LVB.WC</t>
        </is>
      </c>
      <c r="J147" s="364" t="n"/>
      <c r="K147" s="360" t="inlineStr">
        <is>
          <t>24ºC</t>
        </is>
      </c>
      <c r="L147" s="360" t="n"/>
      <c r="M147" s="360" t="n"/>
      <c r="N147" s="360" t="n"/>
      <c r="O147" s="360" t="n"/>
      <c r="P147" s="360" t="n"/>
      <c r="Q147" s="365" t="n"/>
    </row>
    <row r="148" ht="9.949999999999999" customHeight="1" s="244">
      <c r="A148" s="366" t="inlineStr">
        <is>
          <t>İD</t>
        </is>
      </c>
      <c r="B148" s="367" t="inlineStr"/>
      <c r="C148" s="368" t="n"/>
      <c r="D148" s="369" t="n">
        <v>6.6</v>
      </c>
      <c r="E148" s="369" t="n">
        <v>3</v>
      </c>
      <c r="F148" s="370">
        <f>IF(D148=0," ",D148*E148)</f>
        <v/>
      </c>
      <c r="G148" s="371" t="n">
        <v>1</v>
      </c>
      <c r="H148" s="372" t="n"/>
      <c r="I148" s="370">
        <f>IF(F148=" "," ",F148*G148-H148)</f>
        <v/>
      </c>
      <c r="J148" s="369" t="n">
        <v>1.915</v>
      </c>
      <c r="K148" s="371" t="n">
        <v>4</v>
      </c>
      <c r="L148" s="373">
        <f>IF(I148=" "," ",I148*J148*K148)</f>
        <v/>
      </c>
      <c r="M148" s="374" t="n">
        <v>7</v>
      </c>
      <c r="N148" s="371" t="n">
        <v>0</v>
      </c>
      <c r="O148" s="374" t="n">
        <v>0</v>
      </c>
      <c r="P148" s="370">
        <f>IF(M148=" "," ",(1+(M148+N148+O148)/100))</f>
        <v/>
      </c>
      <c r="Q148" s="375">
        <f>IF(L148=" "," ",L148*P148)</f>
        <v/>
      </c>
    </row>
    <row r="149" ht="9.949999999999999" customHeight="1" s="244">
      <c r="A149" s="366" t="inlineStr">
        <is>
          <t>Ta</t>
        </is>
      </c>
      <c r="B149" s="367" t="inlineStr"/>
      <c r="C149" s="368" t="n"/>
      <c r="D149" s="369" t="n">
        <v>2.9</v>
      </c>
      <c r="E149" s="369" t="n">
        <v>1</v>
      </c>
      <c r="F149" s="370">
        <f>IF(D149=0," ",D149*E149)</f>
        <v/>
      </c>
      <c r="G149" s="371" t="n">
        <v>1</v>
      </c>
      <c r="H149" s="372" t="n"/>
      <c r="I149" s="370">
        <f>IF(F149=" "," ",F149*G149-H149)</f>
        <v/>
      </c>
      <c r="J149" s="369" t="n">
        <v>0.266</v>
      </c>
      <c r="K149" s="371" t="n">
        <v>24</v>
      </c>
      <c r="L149" s="373">
        <f>IF(I149=" "," ",I149*J149*K149)</f>
        <v/>
      </c>
      <c r="M149" s="374" t="n">
        <v>7</v>
      </c>
      <c r="N149" s="371" t="n">
        <v>0</v>
      </c>
      <c r="O149" s="374" t="n">
        <v>0</v>
      </c>
      <c r="P149" s="370">
        <f>IF(M149=" "," ",(1+(M149+N149+O149)/100))</f>
        <v/>
      </c>
      <c r="Q149" s="375">
        <f>IF(L149=" "," ",L149*P149)</f>
        <v/>
      </c>
    </row>
    <row r="150" ht="9.949999999999999" customHeight="1" s="244">
      <c r="A150" s="376" t="n"/>
      <c r="B150" s="377" t="n"/>
      <c r="C150" s="377" t="n"/>
      <c r="D150" s="378" t="n"/>
      <c r="E150" s="378" t="n"/>
      <c r="F150" s="378" t="n"/>
      <c r="G150" s="379" t="n"/>
      <c r="H150" s="378" t="n"/>
      <c r="I150" s="378" t="n"/>
      <c r="J150" s="378" t="n"/>
      <c r="K150" s="379" t="n"/>
      <c r="L150" s="380" t="n"/>
      <c r="M150" s="381" t="n"/>
      <c r="N150" s="381" t="n"/>
      <c r="O150" s="381" t="n"/>
      <c r="P150" s="382" t="n"/>
      <c r="Q150" s="383">
        <f>SUM(Q148:Q149)</f>
        <v/>
      </c>
    </row>
    <row r="151" ht="9.949999999999999" customHeight="1" s="244">
      <c r="A151" s="384" t="n"/>
      <c r="B151" s="385" t="n"/>
      <c r="C151" s="385" t="n"/>
      <c r="D151" s="386" t="n"/>
      <c r="E151" s="387" t="n"/>
      <c r="F151" s="388" t="n"/>
      <c r="G151" s="389" t="n"/>
      <c r="H151" s="388" t="n"/>
      <c r="I151" s="390" t="n"/>
      <c r="J151" s="391" t="inlineStr">
        <is>
          <t>Qs=</t>
        </is>
      </c>
      <c r="K151" s="390" t="inlineStr">
        <is>
          <t>S a</t>
        </is>
      </c>
      <c r="L151" s="388" t="inlineStr">
        <is>
          <t>L</t>
        </is>
      </c>
      <c r="M151" s="389" t="inlineStr">
        <is>
          <t>R</t>
        </is>
      </c>
      <c r="N151" s="392" t="inlineStr">
        <is>
          <t>H</t>
        </is>
      </c>
      <c r="O151" s="393" t="inlineStr">
        <is>
          <t>D  T</t>
        </is>
      </c>
      <c r="P151" s="389" t="inlineStr">
        <is>
          <t>Ze</t>
        </is>
      </c>
      <c r="Q151" s="394" t="n"/>
    </row>
    <row r="152" ht="9.949999999999999" customHeight="1" s="244">
      <c r="A152" s="395" t="inlineStr">
        <is>
          <t xml:space="preserve"> </t>
        </is>
      </c>
      <c r="C152" s="397" t="n"/>
      <c r="D152" s="397" t="n"/>
      <c r="E152" s="398" t="n"/>
      <c r="F152" s="399" t="n"/>
      <c r="G152" s="400" t="n"/>
      <c r="H152" s="401" t="n"/>
      <c r="I152" s="402" t="n"/>
      <c r="J152" s="403" t="inlineStr">
        <is>
          <t>Qs  =</t>
        </is>
      </c>
      <c r="K152" s="404" t="n">
        <v>2</v>
      </c>
      <c r="L152" s="404" t="n">
        <v>0</v>
      </c>
      <c r="M152" s="404" t="n">
        <v>0.9</v>
      </c>
      <c r="N152" s="404" t="n">
        <v>0.67</v>
      </c>
      <c r="O152" s="381" t="n">
        <v>30</v>
      </c>
      <c r="P152" s="404" t="n">
        <v>1</v>
      </c>
      <c r="Q152" s="383">
        <f>K152*L152*M152*N152*O152*P152</f>
        <v/>
      </c>
    </row>
    <row r="153" ht="9.949999999999999" customHeight="1" s="244">
      <c r="A153" s="405" t="n"/>
      <c r="B153" s="406" t="n"/>
      <c r="C153" s="397" t="n"/>
      <c r="D153" s="397" t="n"/>
      <c r="E153" s="378" t="n"/>
      <c r="F153" s="256" t="n"/>
      <c r="G153" s="407" t="n"/>
      <c r="H153" s="397" t="n"/>
      <c r="I153" s="397" t="n"/>
      <c r="J153" s="397" t="n"/>
      <c r="K153" s="407" t="n"/>
      <c r="L153" s="408" t="n"/>
      <c r="M153" s="409" t="inlineStr">
        <is>
          <t xml:space="preserve">   TOPLAM ISI KAYBI =</t>
        </is>
      </c>
      <c r="N153" s="409" t="n"/>
      <c r="O153" s="410" t="n"/>
      <c r="P153" s="409" t="n"/>
      <c r="Q153" s="411">
        <f>Q150+Q152</f>
        <v/>
      </c>
    </row>
    <row r="154" ht="10.35" customHeight="1" s="244">
      <c r="A154" s="359" t="n"/>
      <c r="B154" s="360" t="n"/>
      <c r="C154" s="360" t="n"/>
      <c r="D154" s="360" t="n"/>
      <c r="E154" s="360" t="n"/>
      <c r="F154" s="361" t="inlineStr">
        <is>
          <t>2</t>
        </is>
      </c>
      <c r="G154" s="362" t="inlineStr">
        <is>
          <t>0</t>
        </is>
      </c>
      <c r="H154" s="360" t="inlineStr">
        <is>
          <t>229</t>
        </is>
      </c>
      <c r="I154" s="363" t="inlineStr">
        <is>
          <t>OFİS 7 HOL</t>
        </is>
      </c>
      <c r="J154" s="364" t="n"/>
      <c r="K154" s="360" t="inlineStr">
        <is>
          <t>18ºC</t>
        </is>
      </c>
      <c r="L154" s="360" t="n"/>
      <c r="M154" s="360" t="n"/>
      <c r="N154" s="360" t="n"/>
      <c r="O154" s="360" t="n"/>
      <c r="P154" s="360" t="n"/>
      <c r="Q154" s="365" t="n"/>
    </row>
    <row r="155" ht="9.949999999999999" customHeight="1" s="244">
      <c r="A155" s="366" t="inlineStr">
        <is>
          <t>İDM</t>
        </is>
      </c>
      <c r="B155" s="367" t="inlineStr"/>
      <c r="C155" s="368" t="n"/>
      <c r="D155" s="369" t="n">
        <v>1.3</v>
      </c>
      <c r="E155" s="369" t="n">
        <v>3</v>
      </c>
      <c r="F155" s="370">
        <f>IF(D155=0," ",D155*E155)</f>
        <v/>
      </c>
      <c r="G155" s="371" t="n">
        <v>1</v>
      </c>
      <c r="H155" s="372">
        <f>F156*G156</f>
        <v/>
      </c>
      <c r="I155" s="370">
        <f>IF(F155=" "," ",F155*G155-H155)</f>
        <v/>
      </c>
      <c r="J155" s="369" t="n">
        <v>0.332</v>
      </c>
      <c r="K155" s="371" t="n">
        <v>8</v>
      </c>
      <c r="L155" s="373">
        <f>IF(I155=" "," ",I155*J155*K155)</f>
        <v/>
      </c>
      <c r="M155" s="374" t="n">
        <v>7</v>
      </c>
      <c r="N155" s="371" t="n">
        <v>0</v>
      </c>
      <c r="O155" s="374" t="n">
        <v>0</v>
      </c>
      <c r="P155" s="370">
        <f>IF(M155=" "," ",(1+(M155+N155+O155)/100))</f>
        <v/>
      </c>
      <c r="Q155" s="375">
        <f>IF(L155=" "," ",L155*P155)</f>
        <v/>
      </c>
    </row>
    <row r="156" ht="9.949999999999999" customHeight="1" s="244">
      <c r="A156" s="366" t="inlineStr">
        <is>
          <t>DK</t>
        </is>
      </c>
      <c r="B156" s="367" t="inlineStr"/>
      <c r="C156" s="368" t="n"/>
      <c r="D156" s="369" t="n">
        <v>1</v>
      </c>
      <c r="E156" s="369" t="n">
        <v>2.2</v>
      </c>
      <c r="F156" s="370">
        <f>IF(D156=0," ",D156*E156)</f>
        <v/>
      </c>
      <c r="G156" s="371" t="n">
        <v>1</v>
      </c>
      <c r="H156" s="372" t="n"/>
      <c r="I156" s="370">
        <f>IF(F156=" "," ",F156*G156-H156)</f>
        <v/>
      </c>
      <c r="J156" s="369" t="n">
        <v>2</v>
      </c>
      <c r="K156" s="371" t="n">
        <v>8</v>
      </c>
      <c r="L156" s="373">
        <f>IF(I156=" "," ",I156*J156*K156)</f>
        <v/>
      </c>
      <c r="M156" s="374" t="n">
        <v>7</v>
      </c>
      <c r="N156" s="371" t="n">
        <v>0</v>
      </c>
      <c r="O156" s="374" t="n">
        <v>0</v>
      </c>
      <c r="P156" s="370">
        <f>IF(M156=" "," ",(1+(M156+N156+O156)/100))</f>
        <v/>
      </c>
      <c r="Q156" s="375">
        <f>IF(L156=" "," ",L156*P156)</f>
        <v/>
      </c>
    </row>
    <row r="157" ht="9.949999999999999" customHeight="1" s="244">
      <c r="A157" s="366" t="inlineStr">
        <is>
          <t>Ta</t>
        </is>
      </c>
      <c r="B157" s="367" t="inlineStr"/>
      <c r="C157" s="368" t="n"/>
      <c r="D157" s="369" t="n">
        <v>9</v>
      </c>
      <c r="E157" s="369" t="n">
        <v>1</v>
      </c>
      <c r="F157" s="370">
        <f>IF(D157=0," ",D157*E157)</f>
        <v/>
      </c>
      <c r="G157" s="371" t="n">
        <v>1</v>
      </c>
      <c r="H157" s="372" t="n"/>
      <c r="I157" s="370">
        <f>IF(F157=" "," ",F157*G157-H157)</f>
        <v/>
      </c>
      <c r="J157" s="369" t="n">
        <v>0.266</v>
      </c>
      <c r="K157" s="371" t="n">
        <v>18</v>
      </c>
      <c r="L157" s="373">
        <f>IF(I157=" "," ",I157*J157*K157)</f>
        <v/>
      </c>
      <c r="M157" s="374" t="n">
        <v>7</v>
      </c>
      <c r="N157" s="371" t="n">
        <v>0</v>
      </c>
      <c r="O157" s="374" t="n">
        <v>0</v>
      </c>
      <c r="P157" s="370">
        <f>IF(M157=" "," ",(1+(M157+N157+O157)/100))</f>
        <v/>
      </c>
      <c r="Q157" s="375">
        <f>IF(L157=" "," ",L157*P157)</f>
        <v/>
      </c>
    </row>
    <row r="158" ht="9.949999999999999" customHeight="1" s="244">
      <c r="A158" s="376" t="n"/>
      <c r="B158" s="377" t="n"/>
      <c r="C158" s="377" t="n"/>
      <c r="D158" s="378" t="n"/>
      <c r="E158" s="378" t="n"/>
      <c r="F158" s="378" t="n"/>
      <c r="G158" s="379" t="n"/>
      <c r="H158" s="378" t="n"/>
      <c r="I158" s="378" t="n"/>
      <c r="J158" s="378" t="n"/>
      <c r="K158" s="379" t="n"/>
      <c r="L158" s="380" t="n"/>
      <c r="M158" s="381" t="n"/>
      <c r="N158" s="381" t="n"/>
      <c r="O158" s="381" t="n"/>
      <c r="P158" s="382" t="n"/>
      <c r="Q158" s="383">
        <f>SUM(Q155:Q157)</f>
        <v/>
      </c>
    </row>
    <row r="159" ht="9.949999999999999" customHeight="1" s="244">
      <c r="A159" s="384" t="n"/>
      <c r="B159" s="385" t="n"/>
      <c r="C159" s="385" t="n"/>
      <c r="D159" s="386" t="n"/>
      <c r="E159" s="387" t="n"/>
      <c r="F159" s="388" t="n"/>
      <c r="G159" s="389" t="n"/>
      <c r="H159" s="388" t="n"/>
      <c r="I159" s="390" t="n"/>
      <c r="J159" s="391" t="inlineStr">
        <is>
          <t>Qs=</t>
        </is>
      </c>
      <c r="K159" s="390" t="inlineStr">
        <is>
          <t>S a</t>
        </is>
      </c>
      <c r="L159" s="388" t="inlineStr">
        <is>
          <t>L</t>
        </is>
      </c>
      <c r="M159" s="389" t="inlineStr">
        <is>
          <t>R</t>
        </is>
      </c>
      <c r="N159" s="392" t="inlineStr">
        <is>
          <t>H</t>
        </is>
      </c>
      <c r="O159" s="393" t="inlineStr">
        <is>
          <t>D  T</t>
        </is>
      </c>
      <c r="P159" s="389" t="inlineStr">
        <is>
          <t>Ze</t>
        </is>
      </c>
      <c r="Q159" s="394" t="n"/>
    </row>
    <row r="160" ht="9.949999999999999" customHeight="1" s="244">
      <c r="A160" s="395" t="inlineStr">
        <is>
          <t xml:space="preserve"> </t>
        </is>
      </c>
      <c r="C160" s="397" t="n"/>
      <c r="D160" s="397" t="n"/>
      <c r="E160" s="398" t="n"/>
      <c r="F160" s="399" t="n"/>
      <c r="G160" s="400" t="n"/>
      <c r="H160" s="401" t="n"/>
      <c r="I160" s="402" t="n"/>
      <c r="J160" s="403" t="inlineStr">
        <is>
          <t>Qs  =</t>
        </is>
      </c>
      <c r="K160" s="404" t="n">
        <v>2</v>
      </c>
      <c r="L160" s="404" t="n">
        <v>0</v>
      </c>
      <c r="M160" s="404" t="n">
        <v>0.9</v>
      </c>
      <c r="N160" s="404" t="n">
        <v>0.67</v>
      </c>
      <c r="O160" s="381" t="n">
        <v>24</v>
      </c>
      <c r="P160" s="404" t="n">
        <v>1</v>
      </c>
      <c r="Q160" s="383">
        <f>K160*L160*M160*N160*O160*P160</f>
        <v/>
      </c>
    </row>
    <row r="161" ht="9.949999999999999" customHeight="1" s="244">
      <c r="A161" s="405" t="n"/>
      <c r="B161" s="406" t="n"/>
      <c r="C161" s="397" t="n"/>
      <c r="D161" s="397" t="n"/>
      <c r="E161" s="378" t="n"/>
      <c r="F161" s="256" t="n"/>
      <c r="G161" s="407" t="n"/>
      <c r="H161" s="397" t="n"/>
      <c r="I161" s="397" t="n"/>
      <c r="J161" s="397" t="n"/>
      <c r="K161" s="407" t="n"/>
      <c r="L161" s="408" t="n"/>
      <c r="M161" s="409" t="inlineStr">
        <is>
          <t xml:space="preserve">   TOPLAM ISI KAYBI =</t>
        </is>
      </c>
      <c r="N161" s="409" t="n"/>
      <c r="O161" s="410" t="n"/>
      <c r="P161" s="409" t="n"/>
      <c r="Q161" s="411">
        <f>Q158+Q160</f>
        <v/>
      </c>
    </row>
    <row r="162" ht="10.35" customHeight="1" s="244">
      <c r="A162" s="359" t="n"/>
      <c r="B162" s="360" t="n"/>
      <c r="C162" s="360" t="n"/>
      <c r="D162" s="360" t="n"/>
      <c r="E162" s="360" t="n"/>
      <c r="F162" s="361" t="inlineStr">
        <is>
          <t>2</t>
        </is>
      </c>
      <c r="G162" s="362" t="inlineStr">
        <is>
          <t>0</t>
        </is>
      </c>
      <c r="H162" s="360" t="inlineStr">
        <is>
          <t>231</t>
        </is>
      </c>
      <c r="I162" s="363" t="inlineStr">
        <is>
          <t>OFİS 8 ODA</t>
        </is>
      </c>
      <c r="J162" s="364" t="n"/>
      <c r="K162" s="360" t="inlineStr">
        <is>
          <t>20ºC</t>
        </is>
      </c>
      <c r="L162" s="360" t="n"/>
      <c r="M162" s="360" t="n"/>
      <c r="N162" s="360" t="n"/>
      <c r="O162" s="360" t="n"/>
      <c r="P162" s="360" t="n"/>
      <c r="Q162" s="365" t="n"/>
    </row>
    <row r="163" ht="9.949999999999999" customHeight="1" s="244">
      <c r="A163" s="366" t="inlineStr">
        <is>
          <t>DD</t>
        </is>
      </c>
      <c r="B163" s="367" t="inlineStr">
        <is>
          <t>K</t>
        </is>
      </c>
      <c r="C163" s="368" t="n"/>
      <c r="D163" s="369" t="n">
        <v>3.8</v>
      </c>
      <c r="E163" s="369" t="n">
        <v>2.5</v>
      </c>
      <c r="F163" s="370">
        <f>IF(D163=0," ",D163*E163)</f>
        <v/>
      </c>
      <c r="G163" s="371" t="n">
        <v>1</v>
      </c>
      <c r="H163" s="372">
        <f>F165*G165</f>
        <v/>
      </c>
      <c r="I163" s="370">
        <f>IF(F163=" "," ",F163*G163-H163)</f>
        <v/>
      </c>
      <c r="J163" s="369" t="n">
        <v>0.344</v>
      </c>
      <c r="K163" s="371" t="n">
        <v>26</v>
      </c>
      <c r="L163" s="373">
        <f>IF(I163=" "," ",I163*J163*K163)</f>
        <v/>
      </c>
      <c r="M163" s="374" t="n">
        <v>7</v>
      </c>
      <c r="N163" s="371" t="n">
        <v>0</v>
      </c>
      <c r="O163" s="374" t="n">
        <v>5</v>
      </c>
      <c r="P163" s="370">
        <f>IF(M163=" "," ",(1+(M163+N163+O163)/100))</f>
        <v/>
      </c>
      <c r="Q163" s="375">
        <f>IF(L163=" "," ",L163*P163)</f>
        <v/>
      </c>
    </row>
    <row r="164" ht="9.949999999999999" customHeight="1" s="244">
      <c r="A164" s="366" t="inlineStr">
        <is>
          <t>DD25</t>
        </is>
      </c>
      <c r="B164" s="367" t="inlineStr">
        <is>
          <t>K</t>
        </is>
      </c>
      <c r="C164" s="368" t="n"/>
      <c r="D164" s="369">
        <f>D163</f>
        <v/>
      </c>
      <c r="E164" s="369" t="n">
        <v>0.5</v>
      </c>
      <c r="F164" s="370">
        <f>IF(D164=0," ",D164*E164)</f>
        <v/>
      </c>
      <c r="G164" s="371" t="n">
        <v>1</v>
      </c>
      <c r="H164" s="372" t="n"/>
      <c r="I164" s="370">
        <f>IF(F164=" "," ",F164*G164-H164)</f>
        <v/>
      </c>
      <c r="J164" s="369" t="n">
        <v>0.387</v>
      </c>
      <c r="K164" s="371" t="n">
        <v>26</v>
      </c>
      <c r="L164" s="373">
        <f>IF(I164=" "," ",I164*J164*K164)</f>
        <v/>
      </c>
      <c r="M164" s="374" t="n">
        <v>7</v>
      </c>
      <c r="N164" s="371" t="n">
        <v>0</v>
      </c>
      <c r="O164" s="374" t="n">
        <v>5</v>
      </c>
      <c r="P164" s="370">
        <f>IF(M164=" "," ",(1+(M164+N164+O164)/100))</f>
        <v/>
      </c>
      <c r="Q164" s="375">
        <f>IF(L164=" "," ",L164*P164)</f>
        <v/>
      </c>
    </row>
    <row r="165" ht="9.949999999999999" customHeight="1" s="244">
      <c r="A165" s="366" t="inlineStr">
        <is>
          <t>ÇP</t>
        </is>
      </c>
      <c r="B165" s="367" t="inlineStr">
        <is>
          <t>K</t>
        </is>
      </c>
      <c r="C165" s="368" t="n"/>
      <c r="D165" s="369" t="n">
        <v>3.4</v>
      </c>
      <c r="E165" s="369" t="n">
        <v>2.7</v>
      </c>
      <c r="F165" s="370">
        <f>IF(D165=0," ",D165*E165)</f>
        <v/>
      </c>
      <c r="G165" s="371" t="n">
        <v>1</v>
      </c>
      <c r="H165" s="372" t="n"/>
      <c r="I165" s="370">
        <f>IF(F165=" "," ",F165*G165-H165)</f>
        <v/>
      </c>
      <c r="J165" s="369" t="n">
        <v>1.8</v>
      </c>
      <c r="K165" s="371" t="n">
        <v>26</v>
      </c>
      <c r="L165" s="373">
        <f>IF(I165=" "," ",I165*J165*K165)</f>
        <v/>
      </c>
      <c r="M165" s="374" t="n">
        <v>7</v>
      </c>
      <c r="N165" s="371" t="n">
        <v>0</v>
      </c>
      <c r="O165" s="374" t="n">
        <v>5</v>
      </c>
      <c r="P165" s="370">
        <f>IF(M165=" "," ",(1+(M165+N165+O165)/100))</f>
        <v/>
      </c>
      <c r="Q165" s="375">
        <f>IF(L165=" "," ",L165*P165)</f>
        <v/>
      </c>
    </row>
    <row r="166" ht="9.949999999999999" customHeight="1" s="244">
      <c r="A166" s="366" t="inlineStr">
        <is>
          <t>İDM</t>
        </is>
      </c>
      <c r="B166" s="367" t="inlineStr"/>
      <c r="C166" s="368" t="n"/>
      <c r="D166" s="369" t="n">
        <v>4.4</v>
      </c>
      <c r="E166" s="369" t="n">
        <v>3</v>
      </c>
      <c r="F166" s="370">
        <f>IF(D166=0," ",D166*E166)</f>
        <v/>
      </c>
      <c r="G166" s="371" t="n">
        <v>1</v>
      </c>
      <c r="H166" s="372" t="n"/>
      <c r="I166" s="370">
        <f>IF(F166=" "," ",F166*G166-H166)</f>
        <v/>
      </c>
      <c r="J166" s="369" t="n">
        <v>0.332</v>
      </c>
      <c r="K166" s="371" t="n">
        <v>5</v>
      </c>
      <c r="L166" s="373">
        <f>IF(I166=" "," ",I166*J166*K166)</f>
        <v/>
      </c>
      <c r="M166" s="374" t="n">
        <v>7</v>
      </c>
      <c r="N166" s="371" t="n">
        <v>0</v>
      </c>
      <c r="O166" s="374" t="n">
        <v>0</v>
      </c>
      <c r="P166" s="370">
        <f>IF(M166=" "," ",(1+(M166+N166+O166)/100))</f>
        <v/>
      </c>
      <c r="Q166" s="375">
        <f>IF(L166=" "," ",L166*P166)</f>
        <v/>
      </c>
    </row>
    <row r="167" ht="9.949999999999999" customHeight="1" s="244">
      <c r="A167" s="366" t="inlineStr">
        <is>
          <t>Ta</t>
        </is>
      </c>
      <c r="B167" s="367" t="inlineStr"/>
      <c r="C167" s="368" t="n"/>
      <c r="D167" s="369" t="n">
        <v>19.19</v>
      </c>
      <c r="E167" s="369" t="n">
        <v>1</v>
      </c>
      <c r="F167" s="370">
        <f>IF(D167=0," ",D167*E167)</f>
        <v/>
      </c>
      <c r="G167" s="371" t="n">
        <v>1</v>
      </c>
      <c r="H167" s="372" t="n"/>
      <c r="I167" s="370">
        <f>IF(F167=" "," ",F167*G167-H167)</f>
        <v/>
      </c>
      <c r="J167" s="369" t="n">
        <v>0.266</v>
      </c>
      <c r="K167" s="371" t="n">
        <v>20</v>
      </c>
      <c r="L167" s="373">
        <f>IF(I167=" "," ",I167*J167*K167)</f>
        <v/>
      </c>
      <c r="M167" s="374" t="n">
        <v>7</v>
      </c>
      <c r="N167" s="371" t="n">
        <v>0</v>
      </c>
      <c r="O167" s="374" t="n">
        <v>0</v>
      </c>
      <c r="P167" s="370">
        <f>IF(M167=" "," ",(1+(M167+N167+O167)/100))</f>
        <v/>
      </c>
      <c r="Q167" s="375">
        <f>IF(L167=" "," ",L167*P167)</f>
        <v/>
      </c>
    </row>
    <row r="168" ht="9.949999999999999" customHeight="1" s="244">
      <c r="A168" s="376" t="n"/>
      <c r="B168" s="377" t="n"/>
      <c r="C168" s="377" t="n"/>
      <c r="D168" s="378" t="n"/>
      <c r="E168" s="378" t="n"/>
      <c r="F168" s="378" t="n"/>
      <c r="G168" s="379" t="n"/>
      <c r="H168" s="378" t="n"/>
      <c r="I168" s="378" t="n"/>
      <c r="J168" s="378" t="n"/>
      <c r="K168" s="379" t="n"/>
      <c r="L168" s="380" t="n"/>
      <c r="M168" s="381" t="n"/>
      <c r="N168" s="381" t="n"/>
      <c r="O168" s="381" t="n"/>
      <c r="P168" s="382" t="n"/>
      <c r="Q168" s="383">
        <f>SUM(Q163:Q167)</f>
        <v/>
      </c>
    </row>
    <row r="169" ht="9.949999999999999" customHeight="1" s="244">
      <c r="A169" s="384" t="n"/>
      <c r="B169" s="385" t="n"/>
      <c r="C169" s="385" t="n"/>
      <c r="D169" s="386" t="n"/>
      <c r="E169" s="387" t="n"/>
      <c r="F169" s="388" t="n"/>
      <c r="G169" s="389" t="n"/>
      <c r="H169" s="388" t="n"/>
      <c r="I169" s="390" t="n"/>
      <c r="J169" s="391" t="inlineStr">
        <is>
          <t>Qs=</t>
        </is>
      </c>
      <c r="K169" s="390" t="inlineStr">
        <is>
          <t>S a</t>
        </is>
      </c>
      <c r="L169" s="388" t="inlineStr">
        <is>
          <t>L</t>
        </is>
      </c>
      <c r="M169" s="389" t="inlineStr">
        <is>
          <t>R</t>
        </is>
      </c>
      <c r="N169" s="392" t="inlineStr">
        <is>
          <t>H</t>
        </is>
      </c>
      <c r="O169" s="393" t="inlineStr">
        <is>
          <t>D  T</t>
        </is>
      </c>
      <c r="P169" s="389" t="inlineStr">
        <is>
          <t>Ze</t>
        </is>
      </c>
      <c r="Q169" s="394" t="n"/>
    </row>
    <row r="170" ht="9.949999999999999" customHeight="1" s="244">
      <c r="A170" s="395" t="inlineStr">
        <is>
          <t xml:space="preserve"> </t>
        </is>
      </c>
      <c r="C170" s="397" t="n"/>
      <c r="D170" s="397" t="n"/>
      <c r="E170" s="398" t="n"/>
      <c r="F170" s="399" t="n"/>
      <c r="G170" s="400" t="n"/>
      <c r="H170" s="401" t="n"/>
      <c r="I170" s="402" t="n"/>
      <c r="J170" s="403" t="inlineStr">
        <is>
          <t>Qs  =</t>
        </is>
      </c>
      <c r="K170" s="404" t="n">
        <v>2</v>
      </c>
      <c r="L170" s="404">
        <f>(D165+E165)*2*G165</f>
        <v/>
      </c>
      <c r="M170" s="404" t="n">
        <v>0.9</v>
      </c>
      <c r="N170" s="404" t="n">
        <v>0.67</v>
      </c>
      <c r="O170" s="381" t="n">
        <v>26</v>
      </c>
      <c r="P170" s="404" t="n">
        <v>1</v>
      </c>
      <c r="Q170" s="383">
        <f>K170*L170*M170*N170*O170*P170</f>
        <v/>
      </c>
    </row>
    <row r="171" ht="9.949999999999999" customHeight="1" s="244">
      <c r="A171" s="405" t="n"/>
      <c r="B171" s="406" t="n"/>
      <c r="C171" s="397" t="n"/>
      <c r="D171" s="397" t="n"/>
      <c r="E171" s="378" t="n"/>
      <c r="F171" s="256" t="n"/>
      <c r="G171" s="407" t="n"/>
      <c r="H171" s="397" t="n"/>
      <c r="I171" s="397" t="n"/>
      <c r="J171" s="397" t="n"/>
      <c r="K171" s="407" t="n"/>
      <c r="L171" s="408" t="n"/>
      <c r="M171" s="409" t="inlineStr">
        <is>
          <t xml:space="preserve">   TOPLAM ISI KAYBI =</t>
        </is>
      </c>
      <c r="N171" s="409" t="n"/>
      <c r="O171" s="410" t="n"/>
      <c r="P171" s="409" t="n"/>
      <c r="Q171" s="411">
        <f>Q168+Q170</f>
        <v/>
      </c>
    </row>
    <row r="172" ht="10.35" customHeight="1" s="244">
      <c r="A172" s="359" t="n"/>
      <c r="B172" s="360" t="n"/>
      <c r="C172" s="360" t="n"/>
      <c r="D172" s="360" t="n"/>
      <c r="E172" s="360" t="n"/>
      <c r="F172" s="361" t="inlineStr">
        <is>
          <t>2</t>
        </is>
      </c>
      <c r="G172" s="362" t="inlineStr">
        <is>
          <t>0</t>
        </is>
      </c>
      <c r="H172" s="360" t="inlineStr">
        <is>
          <t>232</t>
        </is>
      </c>
      <c r="I172" s="363" t="inlineStr">
        <is>
          <t>OFİS 8 ODA</t>
        </is>
      </c>
      <c r="J172" s="364" t="n"/>
      <c r="K172" s="360" t="inlineStr">
        <is>
          <t>20ºC</t>
        </is>
      </c>
      <c r="L172" s="360" t="n"/>
      <c r="M172" s="360" t="n"/>
      <c r="N172" s="360" t="n"/>
      <c r="O172" s="360" t="n"/>
      <c r="P172" s="360" t="n"/>
      <c r="Q172" s="365" t="n"/>
    </row>
    <row r="173" ht="9.949999999999999" customHeight="1" s="244">
      <c r="A173" s="366" t="inlineStr">
        <is>
          <t>DD</t>
        </is>
      </c>
      <c r="B173" s="367" t="inlineStr">
        <is>
          <t>G</t>
        </is>
      </c>
      <c r="C173" s="368" t="n"/>
      <c r="D173" s="369" t="n">
        <v>2.5</v>
      </c>
      <c r="E173" s="369" t="n">
        <v>2.5</v>
      </c>
      <c r="F173" s="370">
        <f>IF(D173=0," ",D173*E173)</f>
        <v/>
      </c>
      <c r="G173" s="371" t="n">
        <v>1</v>
      </c>
      <c r="H173" s="372">
        <f>F175*G175</f>
        <v/>
      </c>
      <c r="I173" s="370">
        <f>IF(F173=" "," ",F173*G173-H173)</f>
        <v/>
      </c>
      <c r="J173" s="369" t="n">
        <v>0.344</v>
      </c>
      <c r="K173" s="371" t="n">
        <v>26</v>
      </c>
      <c r="L173" s="373">
        <f>IF(I173=" "," ",I173*J173*K173)</f>
        <v/>
      </c>
      <c r="M173" s="374" t="n">
        <v>7</v>
      </c>
      <c r="N173" s="371" t="n">
        <v>0</v>
      </c>
      <c r="O173" s="374" t="n">
        <v>-5</v>
      </c>
      <c r="P173" s="370">
        <f>IF(M173=" "," ",(1+(M173+N173+O173)/100))</f>
        <v/>
      </c>
      <c r="Q173" s="375">
        <f>IF(L173=" "," ",L173*P173)</f>
        <v/>
      </c>
    </row>
    <row r="174" ht="9.949999999999999" customHeight="1" s="244">
      <c r="A174" s="366" t="inlineStr">
        <is>
          <t>DD25</t>
        </is>
      </c>
      <c r="B174" s="367" t="inlineStr">
        <is>
          <t>G</t>
        </is>
      </c>
      <c r="C174" s="368" t="n"/>
      <c r="D174" s="369">
        <f>D173</f>
        <v/>
      </c>
      <c r="E174" s="369" t="n">
        <v>0.5</v>
      </c>
      <c r="F174" s="370">
        <f>IF(D174=0," ",D174*E174)</f>
        <v/>
      </c>
      <c r="G174" s="371" t="n">
        <v>1</v>
      </c>
      <c r="H174" s="372" t="n"/>
      <c r="I174" s="370">
        <f>IF(F174=" "," ",F174*G174-H174)</f>
        <v/>
      </c>
      <c r="J174" s="369" t="n">
        <v>0.387</v>
      </c>
      <c r="K174" s="371" t="n">
        <v>26</v>
      </c>
      <c r="L174" s="373">
        <f>IF(I174=" "," ",I174*J174*K174)</f>
        <v/>
      </c>
      <c r="M174" s="374" t="n">
        <v>7</v>
      </c>
      <c r="N174" s="371" t="n">
        <v>0</v>
      </c>
      <c r="O174" s="374" t="n">
        <v>-5</v>
      </c>
      <c r="P174" s="370">
        <f>IF(M174=" "," ",(1+(M174+N174+O174)/100))</f>
        <v/>
      </c>
      <c r="Q174" s="375">
        <f>IF(L174=" "," ",L174*P174)</f>
        <v/>
      </c>
    </row>
    <row r="175" ht="9.949999999999999" customHeight="1" s="244">
      <c r="A175" s="366" t="inlineStr">
        <is>
          <t>ÇP</t>
        </is>
      </c>
      <c r="B175" s="367" t="inlineStr">
        <is>
          <t>G</t>
        </is>
      </c>
      <c r="C175" s="368" t="n"/>
      <c r="D175" s="369" t="n">
        <v>2.45</v>
      </c>
      <c r="E175" s="369" t="n">
        <v>2.7</v>
      </c>
      <c r="F175" s="370">
        <f>IF(D175=0," ",D175*E175)</f>
        <v/>
      </c>
      <c r="G175" s="371" t="n">
        <v>1</v>
      </c>
      <c r="H175" s="372" t="n"/>
      <c r="I175" s="370">
        <f>IF(F175=" "," ",F175*G175-H175)</f>
        <v/>
      </c>
      <c r="J175" s="369" t="n">
        <v>1.8</v>
      </c>
      <c r="K175" s="371" t="n">
        <v>26</v>
      </c>
      <c r="L175" s="373">
        <f>IF(I175=" "," ",I175*J175*K175)</f>
        <v/>
      </c>
      <c r="M175" s="374" t="n">
        <v>7</v>
      </c>
      <c r="N175" s="371" t="n">
        <v>0</v>
      </c>
      <c r="O175" s="374" t="n">
        <v>-5</v>
      </c>
      <c r="P175" s="370">
        <f>IF(M175=" "," ",(1+(M175+N175+O175)/100))</f>
        <v/>
      </c>
      <c r="Q175" s="375">
        <f>IF(L175=" "," ",L175*P175)</f>
        <v/>
      </c>
    </row>
    <row r="176" ht="9.949999999999999" customHeight="1" s="244">
      <c r="A176" s="366" t="inlineStr">
        <is>
          <t>İDM</t>
        </is>
      </c>
      <c r="B176" s="367" t="inlineStr"/>
      <c r="C176" s="368" t="n"/>
      <c r="D176" s="369" t="n">
        <v>3.5</v>
      </c>
      <c r="E176" s="369" t="n">
        <v>3</v>
      </c>
      <c r="F176" s="370">
        <f>IF(D176=0," ",D176*E176)</f>
        <v/>
      </c>
      <c r="G176" s="371" t="n">
        <v>1</v>
      </c>
      <c r="H176" s="372" t="n"/>
      <c r="I176" s="370">
        <f>IF(F176=" "," ",F176*G176-H176)</f>
        <v/>
      </c>
      <c r="J176" s="369" t="n">
        <v>0.332</v>
      </c>
      <c r="K176" s="371" t="n">
        <v>5</v>
      </c>
      <c r="L176" s="373">
        <f>IF(I176=" "," ",I176*J176*K176)</f>
        <v/>
      </c>
      <c r="M176" s="374" t="n">
        <v>7</v>
      </c>
      <c r="N176" s="371" t="n">
        <v>0</v>
      </c>
      <c r="O176" s="374" t="n">
        <v>0</v>
      </c>
      <c r="P176" s="370">
        <f>IF(M176=" "," ",(1+(M176+N176+O176)/100))</f>
        <v/>
      </c>
      <c r="Q176" s="375">
        <f>IF(L176=" "," ",L176*P176)</f>
        <v/>
      </c>
    </row>
    <row r="177" ht="9.949999999999999" customHeight="1" s="244">
      <c r="A177" s="366" t="inlineStr">
        <is>
          <t>Ta</t>
        </is>
      </c>
      <c r="B177" s="367" t="inlineStr"/>
      <c r="C177" s="368" t="n"/>
      <c r="D177" s="369" t="n">
        <v>9.619999999999999</v>
      </c>
      <c r="E177" s="369" t="n">
        <v>1</v>
      </c>
      <c r="F177" s="370">
        <f>IF(D177=0," ",D177*E177)</f>
        <v/>
      </c>
      <c r="G177" s="371" t="n">
        <v>1</v>
      </c>
      <c r="H177" s="372" t="n"/>
      <c r="I177" s="370">
        <f>IF(F177=" "," ",F177*G177-H177)</f>
        <v/>
      </c>
      <c r="J177" s="369" t="n">
        <v>0.266</v>
      </c>
      <c r="K177" s="371" t="n">
        <v>20</v>
      </c>
      <c r="L177" s="373">
        <f>IF(I177=" "," ",I177*J177*K177)</f>
        <v/>
      </c>
      <c r="M177" s="374" t="n">
        <v>7</v>
      </c>
      <c r="N177" s="371" t="n">
        <v>0</v>
      </c>
      <c r="O177" s="374" t="n">
        <v>0</v>
      </c>
      <c r="P177" s="370">
        <f>IF(M177=" "," ",(1+(M177+N177+O177)/100))</f>
        <v/>
      </c>
      <c r="Q177" s="375">
        <f>IF(L177=" "," ",L177*P177)</f>
        <v/>
      </c>
    </row>
    <row r="178" ht="9.949999999999999" customHeight="1" s="244">
      <c r="A178" s="376" t="n"/>
      <c r="B178" s="377" t="n"/>
      <c r="C178" s="377" t="n"/>
      <c r="D178" s="378" t="n"/>
      <c r="E178" s="378" t="n"/>
      <c r="F178" s="378" t="n"/>
      <c r="G178" s="379" t="n"/>
      <c r="H178" s="378" t="n"/>
      <c r="I178" s="378" t="n"/>
      <c r="J178" s="378" t="n"/>
      <c r="K178" s="379" t="n"/>
      <c r="L178" s="380" t="n"/>
      <c r="M178" s="381" t="n"/>
      <c r="N178" s="381" t="n"/>
      <c r="O178" s="381" t="n"/>
      <c r="P178" s="382" t="n"/>
      <c r="Q178" s="383">
        <f>SUM(Q173:Q177)</f>
        <v/>
      </c>
    </row>
    <row r="179" ht="9.949999999999999" customHeight="1" s="244">
      <c r="A179" s="384" t="n"/>
      <c r="B179" s="385" t="n"/>
      <c r="C179" s="385" t="n"/>
      <c r="D179" s="386" t="n"/>
      <c r="E179" s="387" t="n"/>
      <c r="F179" s="388" t="n"/>
      <c r="G179" s="389" t="n"/>
      <c r="H179" s="388" t="n"/>
      <c r="I179" s="390" t="n"/>
      <c r="J179" s="391" t="inlineStr">
        <is>
          <t>Qs=</t>
        </is>
      </c>
      <c r="K179" s="390" t="inlineStr">
        <is>
          <t>S a</t>
        </is>
      </c>
      <c r="L179" s="388" t="inlineStr">
        <is>
          <t>L</t>
        </is>
      </c>
      <c r="M179" s="389" t="inlineStr">
        <is>
          <t>R</t>
        </is>
      </c>
      <c r="N179" s="392" t="inlineStr">
        <is>
          <t>H</t>
        </is>
      </c>
      <c r="O179" s="393" t="inlineStr">
        <is>
          <t>D  T</t>
        </is>
      </c>
      <c r="P179" s="389" t="inlineStr">
        <is>
          <t>Ze</t>
        </is>
      </c>
      <c r="Q179" s="394" t="n"/>
    </row>
    <row r="180" ht="9.949999999999999" customHeight="1" s="244">
      <c r="A180" s="395" t="inlineStr">
        <is>
          <t xml:space="preserve"> </t>
        </is>
      </c>
      <c r="C180" s="397" t="n"/>
      <c r="D180" s="397" t="n"/>
      <c r="E180" s="398" t="n"/>
      <c r="F180" s="399" t="n"/>
      <c r="G180" s="400" t="n"/>
      <c r="H180" s="401" t="n"/>
      <c r="I180" s="402" t="n"/>
      <c r="J180" s="403" t="inlineStr">
        <is>
          <t>Qs  =</t>
        </is>
      </c>
      <c r="K180" s="404" t="n">
        <v>2</v>
      </c>
      <c r="L180" s="404">
        <f>(D175+E175)*2*G175</f>
        <v/>
      </c>
      <c r="M180" s="404" t="n">
        <v>0.9</v>
      </c>
      <c r="N180" s="404" t="n">
        <v>0.67</v>
      </c>
      <c r="O180" s="381" t="n">
        <v>26</v>
      </c>
      <c r="P180" s="404" t="n">
        <v>1</v>
      </c>
      <c r="Q180" s="383">
        <f>K180*L180*M180*N180*O180*P180</f>
        <v/>
      </c>
    </row>
    <row r="181" ht="9.949999999999999" customHeight="1" s="244">
      <c r="A181" s="405" t="n"/>
      <c r="B181" s="406" t="n"/>
      <c r="C181" s="397" t="n"/>
      <c r="D181" s="397" t="n"/>
      <c r="E181" s="378" t="n"/>
      <c r="F181" s="256" t="n"/>
      <c r="G181" s="407" t="n"/>
      <c r="H181" s="397" t="n"/>
      <c r="I181" s="397" t="n"/>
      <c r="J181" s="397" t="n"/>
      <c r="K181" s="407" t="n"/>
      <c r="L181" s="408" t="n"/>
      <c r="M181" s="409" t="inlineStr">
        <is>
          <t xml:space="preserve">   TOPLAM ISI KAYBI =</t>
        </is>
      </c>
      <c r="N181" s="409" t="n"/>
      <c r="O181" s="410" t="n"/>
      <c r="P181" s="409" t="n"/>
      <c r="Q181" s="411">
        <f>Q178+Q180</f>
        <v/>
      </c>
    </row>
    <row r="182" ht="10.35" customHeight="1" s="244">
      <c r="A182" s="359" t="n"/>
      <c r="B182" s="360" t="n"/>
      <c r="C182" s="360" t="n"/>
      <c r="D182" s="360" t="n"/>
      <c r="E182" s="360" t="n"/>
      <c r="F182" s="361" t="inlineStr">
        <is>
          <t>2</t>
        </is>
      </c>
      <c r="G182" s="362" t="inlineStr">
        <is>
          <t>0</t>
        </is>
      </c>
      <c r="H182" s="360" t="inlineStr">
        <is>
          <t>233</t>
        </is>
      </c>
      <c r="I182" s="363" t="inlineStr">
        <is>
          <t>OFİS 8 ODA</t>
        </is>
      </c>
      <c r="J182" s="364" t="n"/>
      <c r="K182" s="360" t="inlineStr">
        <is>
          <t>20ºC</t>
        </is>
      </c>
      <c r="L182" s="360" t="n"/>
      <c r="M182" s="360" t="n"/>
      <c r="N182" s="360" t="n"/>
      <c r="O182" s="360" t="n"/>
      <c r="P182" s="360" t="n"/>
      <c r="Q182" s="365" t="n"/>
    </row>
    <row r="183" ht="9.949999999999999" customHeight="1" s="244">
      <c r="A183" s="366" t="inlineStr">
        <is>
          <t>DD</t>
        </is>
      </c>
      <c r="B183" s="367" t="inlineStr">
        <is>
          <t>G</t>
        </is>
      </c>
      <c r="C183" s="368" t="n"/>
      <c r="D183" s="369" t="n">
        <v>4.45</v>
      </c>
      <c r="E183" s="369" t="n">
        <v>2.5</v>
      </c>
      <c r="F183" s="370">
        <f>IF(D183=0," ",D183*E183)</f>
        <v/>
      </c>
      <c r="G183" s="371" t="n">
        <v>1</v>
      </c>
      <c r="H183" s="372">
        <f>F185*G185</f>
        <v/>
      </c>
      <c r="I183" s="370">
        <f>IF(F183=" "," ",F183*G183-H183)</f>
        <v/>
      </c>
      <c r="J183" s="369" t="n">
        <v>0.344</v>
      </c>
      <c r="K183" s="371" t="n">
        <v>26</v>
      </c>
      <c r="L183" s="373">
        <f>IF(I183=" "," ",I183*J183*K183)</f>
        <v/>
      </c>
      <c r="M183" s="374" t="n">
        <v>7</v>
      </c>
      <c r="N183" s="371" t="n">
        <v>0</v>
      </c>
      <c r="O183" s="374" t="n">
        <v>-5</v>
      </c>
      <c r="P183" s="370">
        <f>IF(M183=" "," ",(1+(M183+N183+O183)/100))</f>
        <v/>
      </c>
      <c r="Q183" s="375">
        <f>IF(L183=" "," ",L183*P183)</f>
        <v/>
      </c>
    </row>
    <row r="184" ht="9.949999999999999" customHeight="1" s="244">
      <c r="A184" s="366" t="inlineStr">
        <is>
          <t>DD25</t>
        </is>
      </c>
      <c r="B184" s="367" t="inlineStr">
        <is>
          <t>G</t>
        </is>
      </c>
      <c r="C184" s="368" t="n"/>
      <c r="D184" s="369">
        <f>D183</f>
        <v/>
      </c>
      <c r="E184" s="369" t="n">
        <v>0.5</v>
      </c>
      <c r="F184" s="370">
        <f>IF(D184=0," ",D184*E184)</f>
        <v/>
      </c>
      <c r="G184" s="371" t="n">
        <v>1</v>
      </c>
      <c r="H184" s="372" t="n"/>
      <c r="I184" s="370">
        <f>IF(F184=" "," ",F184*G184-H184)</f>
        <v/>
      </c>
      <c r="J184" s="369" t="n">
        <v>0.387</v>
      </c>
      <c r="K184" s="371" t="n">
        <v>26</v>
      </c>
      <c r="L184" s="373">
        <f>IF(I184=" "," ",I184*J184*K184)</f>
        <v/>
      </c>
      <c r="M184" s="374" t="n">
        <v>7</v>
      </c>
      <c r="N184" s="371" t="n">
        <v>0</v>
      </c>
      <c r="O184" s="374" t="n">
        <v>-5</v>
      </c>
      <c r="P184" s="370">
        <f>IF(M184=" "," ",(1+(M184+N184+O184)/100))</f>
        <v/>
      </c>
      <c r="Q184" s="375">
        <f>IF(L184=" "," ",L184*P184)</f>
        <v/>
      </c>
    </row>
    <row r="185" ht="9.949999999999999" customHeight="1" s="244">
      <c r="A185" s="366" t="inlineStr">
        <is>
          <t>ÇP</t>
        </is>
      </c>
      <c r="B185" s="367" t="inlineStr">
        <is>
          <t>G</t>
        </is>
      </c>
      <c r="C185" s="368" t="n"/>
      <c r="D185" s="369" t="n">
        <v>3.8</v>
      </c>
      <c r="E185" s="369" t="n">
        <v>2.7</v>
      </c>
      <c r="F185" s="370">
        <f>IF(D185=0," ",D185*E185)</f>
        <v/>
      </c>
      <c r="G185" s="371" t="n">
        <v>1</v>
      </c>
      <c r="H185" s="372" t="n"/>
      <c r="I185" s="370">
        <f>IF(F185=" "," ",F185*G185-H185)</f>
        <v/>
      </c>
      <c r="J185" s="369" t="n">
        <v>1.8</v>
      </c>
      <c r="K185" s="371" t="n">
        <v>26</v>
      </c>
      <c r="L185" s="373">
        <f>IF(I185=" "," ",I185*J185*K185)</f>
        <v/>
      </c>
      <c r="M185" s="374" t="n">
        <v>7</v>
      </c>
      <c r="N185" s="371" t="n">
        <v>0</v>
      </c>
      <c r="O185" s="374" t="n">
        <v>-5</v>
      </c>
      <c r="P185" s="370">
        <f>IF(M185=" "," ",(1+(M185+N185+O185)/100))</f>
        <v/>
      </c>
      <c r="Q185" s="375">
        <f>IF(L185=" "," ",L185*P185)</f>
        <v/>
      </c>
    </row>
    <row r="186" ht="9.949999999999999" customHeight="1" s="244">
      <c r="A186" s="366" t="inlineStr">
        <is>
          <t>Ta</t>
        </is>
      </c>
      <c r="B186" s="367" t="inlineStr"/>
      <c r="C186" s="368" t="n"/>
      <c r="D186" s="369" t="n">
        <v>11.24</v>
      </c>
      <c r="E186" s="369" t="n">
        <v>1</v>
      </c>
      <c r="F186" s="370">
        <f>IF(D186=0," ",D186*E186)</f>
        <v/>
      </c>
      <c r="G186" s="371" t="n">
        <v>1</v>
      </c>
      <c r="H186" s="372" t="n"/>
      <c r="I186" s="370">
        <f>IF(F186=" "," ",F186*G186-H186)</f>
        <v/>
      </c>
      <c r="J186" s="369" t="n">
        <v>0.266</v>
      </c>
      <c r="K186" s="371" t="n">
        <v>20</v>
      </c>
      <c r="L186" s="373">
        <f>IF(I186=" "," ",I186*J186*K186)</f>
        <v/>
      </c>
      <c r="M186" s="374" t="n">
        <v>7</v>
      </c>
      <c r="N186" s="371" t="n">
        <v>0</v>
      </c>
      <c r="O186" s="374" t="n">
        <v>0</v>
      </c>
      <c r="P186" s="370">
        <f>IF(M186=" "," ",(1+(M186+N186+O186)/100))</f>
        <v/>
      </c>
      <c r="Q186" s="375">
        <f>IF(L186=" "," ",L186*P186)</f>
        <v/>
      </c>
    </row>
    <row r="187" ht="9.949999999999999" customHeight="1" s="244">
      <c r="A187" s="376" t="n"/>
      <c r="B187" s="377" t="n"/>
      <c r="C187" s="377" t="n"/>
      <c r="D187" s="378" t="n"/>
      <c r="E187" s="378" t="n"/>
      <c r="F187" s="378" t="n"/>
      <c r="G187" s="379" t="n"/>
      <c r="H187" s="378" t="n"/>
      <c r="I187" s="378" t="n"/>
      <c r="J187" s="378" t="n"/>
      <c r="K187" s="379" t="n"/>
      <c r="L187" s="380" t="n"/>
      <c r="M187" s="381" t="n"/>
      <c r="N187" s="381" t="n"/>
      <c r="O187" s="381" t="n"/>
      <c r="P187" s="382" t="n"/>
      <c r="Q187" s="383">
        <f>SUM(Q183:Q186)</f>
        <v/>
      </c>
    </row>
    <row r="188" ht="9.949999999999999" customHeight="1" s="244">
      <c r="A188" s="384" t="n"/>
      <c r="B188" s="385" t="n"/>
      <c r="C188" s="385" t="n"/>
      <c r="D188" s="386" t="n"/>
      <c r="E188" s="387" t="n"/>
      <c r="F188" s="388" t="n"/>
      <c r="G188" s="389" t="n"/>
      <c r="H188" s="388" t="n"/>
      <c r="I188" s="390" t="n"/>
      <c r="J188" s="391" t="inlineStr">
        <is>
          <t>Qs=</t>
        </is>
      </c>
      <c r="K188" s="390" t="inlineStr">
        <is>
          <t>S a</t>
        </is>
      </c>
      <c r="L188" s="388" t="inlineStr">
        <is>
          <t>L</t>
        </is>
      </c>
      <c r="M188" s="389" t="inlineStr">
        <is>
          <t>R</t>
        </is>
      </c>
      <c r="N188" s="392" t="inlineStr">
        <is>
          <t>H</t>
        </is>
      </c>
      <c r="O188" s="393" t="inlineStr">
        <is>
          <t>D  T</t>
        </is>
      </c>
      <c r="P188" s="389" t="inlineStr">
        <is>
          <t>Ze</t>
        </is>
      </c>
      <c r="Q188" s="394" t="n"/>
    </row>
    <row r="189" ht="9.949999999999999" customHeight="1" s="244">
      <c r="A189" s="395" t="inlineStr">
        <is>
          <t xml:space="preserve"> </t>
        </is>
      </c>
      <c r="C189" s="397" t="n"/>
      <c r="D189" s="397" t="n"/>
      <c r="E189" s="398" t="n"/>
      <c r="F189" s="399" t="n"/>
      <c r="G189" s="400" t="n"/>
      <c r="H189" s="401" t="n"/>
      <c r="I189" s="402" t="n"/>
      <c r="J189" s="403" t="inlineStr">
        <is>
          <t>Qs  =</t>
        </is>
      </c>
      <c r="K189" s="404" t="n">
        <v>2</v>
      </c>
      <c r="L189" s="404">
        <f>(D185+E185)*2*G185</f>
        <v/>
      </c>
      <c r="M189" s="404" t="n">
        <v>0.9</v>
      </c>
      <c r="N189" s="404" t="n">
        <v>0.67</v>
      </c>
      <c r="O189" s="381" t="n">
        <v>26</v>
      </c>
      <c r="P189" s="404" t="n">
        <v>1</v>
      </c>
      <c r="Q189" s="383">
        <f>K189*L189*M189*N189*O189*P189</f>
        <v/>
      </c>
    </row>
    <row r="190" ht="9.949999999999999" customHeight="1" s="244">
      <c r="A190" s="405" t="n"/>
      <c r="B190" s="406" t="n"/>
      <c r="C190" s="397" t="n"/>
      <c r="D190" s="397" t="n"/>
      <c r="E190" s="378" t="n"/>
      <c r="F190" s="256" t="n"/>
      <c r="G190" s="407" t="n"/>
      <c r="H190" s="397" t="n"/>
      <c r="I190" s="397" t="n"/>
      <c r="J190" s="397" t="n"/>
      <c r="K190" s="407" t="n"/>
      <c r="L190" s="408" t="n"/>
      <c r="M190" s="409" t="inlineStr">
        <is>
          <t xml:space="preserve">   TOPLAM ISI KAYBI =</t>
        </is>
      </c>
      <c r="N190" s="409" t="n"/>
      <c r="O190" s="410" t="n"/>
      <c r="P190" s="409" t="n"/>
      <c r="Q190" s="411">
        <f>Q187+Q189</f>
        <v/>
      </c>
    </row>
    <row r="191" ht="10.35" customHeight="1" s="244">
      <c r="A191" s="359" t="n"/>
      <c r="B191" s="360" t="n"/>
      <c r="C191" s="360" t="n"/>
      <c r="D191" s="360" t="n"/>
      <c r="E191" s="360" t="n"/>
      <c r="F191" s="361" t="inlineStr">
        <is>
          <t>2</t>
        </is>
      </c>
      <c r="G191" s="362" t="inlineStr">
        <is>
          <t>0</t>
        </is>
      </c>
      <c r="H191" s="360" t="inlineStr">
        <is>
          <t>234</t>
        </is>
      </c>
      <c r="I191" s="363" t="inlineStr">
        <is>
          <t>OFİS 8 MUTFAK</t>
        </is>
      </c>
      <c r="J191" s="364" t="n"/>
      <c r="K191" s="360" t="inlineStr">
        <is>
          <t>20ºC</t>
        </is>
      </c>
      <c r="L191" s="360" t="n"/>
      <c r="M191" s="360" t="n"/>
      <c r="N191" s="360" t="n"/>
      <c r="O191" s="360" t="n"/>
      <c r="P191" s="360" t="n"/>
      <c r="Q191" s="365" t="n"/>
    </row>
    <row r="192" ht="9.949999999999999" customHeight="1" s="244">
      <c r="A192" s="366" t="inlineStr">
        <is>
          <t>DD</t>
        </is>
      </c>
      <c r="B192" s="367" t="inlineStr">
        <is>
          <t>G</t>
        </is>
      </c>
      <c r="C192" s="368" t="n"/>
      <c r="D192" s="369" t="n">
        <v>0.9</v>
      </c>
      <c r="E192" s="369" t="n">
        <v>2.5</v>
      </c>
      <c r="F192" s="370">
        <f>IF(D192=0," ",D192*E192)</f>
        <v/>
      </c>
      <c r="G192" s="371" t="n">
        <v>1</v>
      </c>
      <c r="H192" s="372">
        <f>F194*G194</f>
        <v/>
      </c>
      <c r="I192" s="370">
        <f>IF(F192=" "," ",F192*G192-H192)</f>
        <v/>
      </c>
      <c r="J192" s="369" t="n">
        <v>0.344</v>
      </c>
      <c r="K192" s="371" t="n">
        <v>26</v>
      </c>
      <c r="L192" s="373">
        <f>IF(I192=" "," ",I192*J192*K192)</f>
        <v/>
      </c>
      <c r="M192" s="374" t="n">
        <v>7</v>
      </c>
      <c r="N192" s="371" t="n">
        <v>0</v>
      </c>
      <c r="O192" s="374" t="n">
        <v>-5</v>
      </c>
      <c r="P192" s="370">
        <f>IF(M192=" "," ",(1+(M192+N192+O192)/100))</f>
        <v/>
      </c>
      <c r="Q192" s="375">
        <f>IF(L192=" "," ",L192*P192)</f>
        <v/>
      </c>
    </row>
    <row r="193" ht="9.949999999999999" customHeight="1" s="244">
      <c r="A193" s="366" t="inlineStr">
        <is>
          <t>DD25</t>
        </is>
      </c>
      <c r="B193" s="367" t="inlineStr">
        <is>
          <t>G</t>
        </is>
      </c>
      <c r="C193" s="368" t="n"/>
      <c r="D193" s="369">
        <f>D192</f>
        <v/>
      </c>
      <c r="E193" s="369" t="n">
        <v>0.5</v>
      </c>
      <c r="F193" s="370">
        <f>IF(D193=0," ",D193*E193)</f>
        <v/>
      </c>
      <c r="G193" s="371" t="n">
        <v>1</v>
      </c>
      <c r="H193" s="372" t="n"/>
      <c r="I193" s="370">
        <f>IF(F193=" "," ",F193*G193-H193)</f>
        <v/>
      </c>
      <c r="J193" s="369" t="n">
        <v>0.387</v>
      </c>
      <c r="K193" s="371" t="n">
        <v>26</v>
      </c>
      <c r="L193" s="373">
        <f>IF(I193=" "," ",I193*J193*K193)</f>
        <v/>
      </c>
      <c r="M193" s="374" t="n">
        <v>7</v>
      </c>
      <c r="N193" s="371" t="n">
        <v>0</v>
      </c>
      <c r="O193" s="374" t="n">
        <v>-5</v>
      </c>
      <c r="P193" s="370">
        <f>IF(M193=" "," ",(1+(M193+N193+O193)/100))</f>
        <v/>
      </c>
      <c r="Q193" s="375">
        <f>IF(L193=" "," ",L193*P193)</f>
        <v/>
      </c>
    </row>
    <row r="194" ht="9.949999999999999" customHeight="1" s="244">
      <c r="A194" s="366" t="inlineStr">
        <is>
          <t>ÇP</t>
        </is>
      </c>
      <c r="B194" s="367" t="inlineStr">
        <is>
          <t>G</t>
        </is>
      </c>
      <c r="C194" s="368" t="n"/>
      <c r="D194" s="369" t="n">
        <v>0.8</v>
      </c>
      <c r="E194" s="369" t="n">
        <v>1.4</v>
      </c>
      <c r="F194" s="370">
        <f>IF(D194=0," ",D194*E194)</f>
        <v/>
      </c>
      <c r="G194" s="371" t="n">
        <v>1</v>
      </c>
      <c r="H194" s="372" t="n"/>
      <c r="I194" s="370">
        <f>IF(F194=" "," ",F194*G194-H194)</f>
        <v/>
      </c>
      <c r="J194" s="369" t="n">
        <v>1.8</v>
      </c>
      <c r="K194" s="371" t="n">
        <v>26</v>
      </c>
      <c r="L194" s="373">
        <f>IF(I194=" "," ",I194*J194*K194)</f>
        <v/>
      </c>
      <c r="M194" s="374" t="n">
        <v>7</v>
      </c>
      <c r="N194" s="371" t="n">
        <v>0</v>
      </c>
      <c r="O194" s="374" t="n">
        <v>-5</v>
      </c>
      <c r="P194" s="370">
        <f>IF(M194=" "," ",(1+(M194+N194+O194)/100))</f>
        <v/>
      </c>
      <c r="Q194" s="375">
        <f>IF(L194=" "," ",L194*P194)</f>
        <v/>
      </c>
    </row>
    <row r="195" ht="9.949999999999999" customHeight="1" s="244">
      <c r="A195" s="366" t="inlineStr">
        <is>
          <t>Ta</t>
        </is>
      </c>
      <c r="B195" s="367" t="inlineStr"/>
      <c r="C195" s="368" t="n"/>
      <c r="D195" s="369" t="n">
        <v>3.83</v>
      </c>
      <c r="E195" s="369" t="n">
        <v>1</v>
      </c>
      <c r="F195" s="370">
        <f>IF(D195=0," ",D195*E195)</f>
        <v/>
      </c>
      <c r="G195" s="371" t="n">
        <v>1</v>
      </c>
      <c r="H195" s="372" t="n"/>
      <c r="I195" s="370">
        <f>IF(F195=" "," ",F195*G195-H195)</f>
        <v/>
      </c>
      <c r="J195" s="369" t="n">
        <v>0.266</v>
      </c>
      <c r="K195" s="371" t="n">
        <v>20</v>
      </c>
      <c r="L195" s="373">
        <f>IF(I195=" "," ",I195*J195*K195)</f>
        <v/>
      </c>
      <c r="M195" s="374" t="n">
        <v>7</v>
      </c>
      <c r="N195" s="371" t="n">
        <v>0</v>
      </c>
      <c r="O195" s="374" t="n">
        <v>0</v>
      </c>
      <c r="P195" s="370">
        <f>IF(M195=" "," ",(1+(M195+N195+O195)/100))</f>
        <v/>
      </c>
      <c r="Q195" s="375">
        <f>IF(L195=" "," ",L195*P195)</f>
        <v/>
      </c>
    </row>
    <row r="196" ht="9.949999999999999" customHeight="1" s="244">
      <c r="A196" s="376" t="n"/>
      <c r="B196" s="377" t="n"/>
      <c r="C196" s="377" t="n"/>
      <c r="D196" s="378" t="n"/>
      <c r="E196" s="378" t="n"/>
      <c r="F196" s="378" t="n"/>
      <c r="G196" s="379" t="n"/>
      <c r="H196" s="378" t="n"/>
      <c r="I196" s="378" t="n"/>
      <c r="J196" s="378" t="n"/>
      <c r="K196" s="379" t="n"/>
      <c r="L196" s="380" t="n"/>
      <c r="M196" s="381" t="n"/>
      <c r="N196" s="381" t="n"/>
      <c r="O196" s="381" t="n"/>
      <c r="P196" s="382" t="n"/>
      <c r="Q196" s="383">
        <f>SUM(Q192:Q195)</f>
        <v/>
      </c>
    </row>
    <row r="197" ht="9.949999999999999" customHeight="1" s="244">
      <c r="A197" s="384" t="n"/>
      <c r="B197" s="385" t="n"/>
      <c r="C197" s="385" t="n"/>
      <c r="D197" s="386" t="n"/>
      <c r="E197" s="387" t="n"/>
      <c r="F197" s="388" t="n"/>
      <c r="G197" s="389" t="n"/>
      <c r="H197" s="388" t="n"/>
      <c r="I197" s="390" t="n"/>
      <c r="J197" s="391" t="inlineStr">
        <is>
          <t>Qs=</t>
        </is>
      </c>
      <c r="K197" s="390" t="inlineStr">
        <is>
          <t>S a</t>
        </is>
      </c>
      <c r="L197" s="388" t="inlineStr">
        <is>
          <t>L</t>
        </is>
      </c>
      <c r="M197" s="389" t="inlineStr">
        <is>
          <t>R</t>
        </is>
      </c>
      <c r="N197" s="392" t="inlineStr">
        <is>
          <t>H</t>
        </is>
      </c>
      <c r="O197" s="393" t="inlineStr">
        <is>
          <t>D  T</t>
        </is>
      </c>
      <c r="P197" s="389" t="inlineStr">
        <is>
          <t>Ze</t>
        </is>
      </c>
      <c r="Q197" s="394" t="n"/>
    </row>
    <row r="198" ht="9.949999999999999" customHeight="1" s="244">
      <c r="A198" s="395" t="inlineStr">
        <is>
          <t xml:space="preserve"> </t>
        </is>
      </c>
      <c r="C198" s="397" t="n"/>
      <c r="D198" s="397" t="n"/>
      <c r="E198" s="398" t="n"/>
      <c r="F198" s="399" t="n"/>
      <c r="G198" s="400" t="n"/>
      <c r="H198" s="401" t="n"/>
      <c r="I198" s="402" t="n"/>
      <c r="J198" s="403" t="inlineStr">
        <is>
          <t>Qs  =</t>
        </is>
      </c>
      <c r="K198" s="404" t="n">
        <v>2</v>
      </c>
      <c r="L198" s="404">
        <f>(D194+E194)*2*G194</f>
        <v/>
      </c>
      <c r="M198" s="404" t="n">
        <v>0.9</v>
      </c>
      <c r="N198" s="404" t="n">
        <v>0.67</v>
      </c>
      <c r="O198" s="381" t="n">
        <v>26</v>
      </c>
      <c r="P198" s="404" t="n">
        <v>1</v>
      </c>
      <c r="Q198" s="383">
        <f>K198*L198*M198*N198*O198*P198</f>
        <v/>
      </c>
    </row>
    <row r="199" ht="9.949999999999999" customHeight="1" s="244">
      <c r="A199" s="405" t="n"/>
      <c r="B199" s="406" t="n"/>
      <c r="C199" s="397" t="n"/>
      <c r="D199" s="397" t="n"/>
      <c r="E199" s="378" t="n"/>
      <c r="F199" s="256" t="n"/>
      <c r="G199" s="407" t="n"/>
      <c r="H199" s="397" t="n"/>
      <c r="I199" s="397" t="n"/>
      <c r="J199" s="397" t="n"/>
      <c r="K199" s="407" t="n"/>
      <c r="L199" s="408" t="n"/>
      <c r="M199" s="409" t="inlineStr">
        <is>
          <t xml:space="preserve">   TOPLAM ISI KAYBI =</t>
        </is>
      </c>
      <c r="N199" s="409" t="n"/>
      <c r="O199" s="410" t="n"/>
      <c r="P199" s="409" t="n"/>
      <c r="Q199" s="411">
        <f>Q196+Q198</f>
        <v/>
      </c>
    </row>
    <row r="200" ht="10.35" customHeight="1" s="244">
      <c r="A200" s="359" t="n"/>
      <c r="B200" s="360" t="n"/>
      <c r="C200" s="360" t="n"/>
      <c r="D200" s="360" t="n"/>
      <c r="E200" s="360" t="n"/>
      <c r="F200" s="361" t="inlineStr">
        <is>
          <t>2</t>
        </is>
      </c>
      <c r="G200" s="362" t="inlineStr">
        <is>
          <t>0</t>
        </is>
      </c>
      <c r="H200" s="360" t="inlineStr">
        <is>
          <t>235</t>
        </is>
      </c>
      <c r="I200" s="363" t="inlineStr">
        <is>
          <t>OFİS 8 LVB.WC</t>
        </is>
      </c>
      <c r="J200" s="364" t="n"/>
      <c r="K200" s="360" t="inlineStr">
        <is>
          <t>24ºC</t>
        </is>
      </c>
      <c r="L200" s="360" t="n"/>
      <c r="M200" s="360" t="n"/>
      <c r="N200" s="360" t="n"/>
      <c r="O200" s="360" t="n"/>
      <c r="P200" s="360" t="n"/>
      <c r="Q200" s="365" t="n"/>
    </row>
    <row r="201" ht="9.949999999999999" customHeight="1" s="244">
      <c r="A201" s="366" t="inlineStr">
        <is>
          <t>DD</t>
        </is>
      </c>
      <c r="B201" s="367" t="inlineStr">
        <is>
          <t>G</t>
        </is>
      </c>
      <c r="C201" s="368" t="n"/>
      <c r="D201" s="369" t="n">
        <v>1.2</v>
      </c>
      <c r="E201" s="369" t="n">
        <v>2.5</v>
      </c>
      <c r="F201" s="370">
        <f>IF(D201=0," ",D201*E201)</f>
        <v/>
      </c>
      <c r="G201" s="371" t="n">
        <v>1</v>
      </c>
      <c r="H201" s="372">
        <f>F203*G203</f>
        <v/>
      </c>
      <c r="I201" s="370">
        <f>IF(F201=" "," ",F201*G201-H201)</f>
        <v/>
      </c>
      <c r="J201" s="369" t="n">
        <v>0.344</v>
      </c>
      <c r="K201" s="371" t="n">
        <v>30</v>
      </c>
      <c r="L201" s="373">
        <f>IF(I201=" "," ",I201*J201*K201)</f>
        <v/>
      </c>
      <c r="M201" s="374" t="n">
        <v>7</v>
      </c>
      <c r="N201" s="371" t="n">
        <v>0</v>
      </c>
      <c r="O201" s="374" t="n">
        <v>-5</v>
      </c>
      <c r="P201" s="370">
        <f>IF(M201=" "," ",(1+(M201+N201+O201)/100))</f>
        <v/>
      </c>
      <c r="Q201" s="375">
        <f>IF(L201=" "," ",L201*P201)</f>
        <v/>
      </c>
    </row>
    <row r="202" ht="9.949999999999999" customHeight="1" s="244">
      <c r="A202" s="366" t="inlineStr">
        <is>
          <t>DD25</t>
        </is>
      </c>
      <c r="B202" s="367" t="inlineStr">
        <is>
          <t>G</t>
        </is>
      </c>
      <c r="C202" s="368" t="n"/>
      <c r="D202" s="369">
        <f>D201</f>
        <v/>
      </c>
      <c r="E202" s="369" t="n">
        <v>0.5</v>
      </c>
      <c r="F202" s="370">
        <f>IF(D202=0," ",D202*E202)</f>
        <v/>
      </c>
      <c r="G202" s="371" t="n">
        <v>1</v>
      </c>
      <c r="H202" s="372" t="n"/>
      <c r="I202" s="370">
        <f>IF(F202=" "," ",F202*G202-H202)</f>
        <v/>
      </c>
      <c r="J202" s="369" t="n">
        <v>0.387</v>
      </c>
      <c r="K202" s="371" t="n">
        <v>30</v>
      </c>
      <c r="L202" s="373">
        <f>IF(I202=" "," ",I202*J202*K202)</f>
        <v/>
      </c>
      <c r="M202" s="374" t="n">
        <v>7</v>
      </c>
      <c r="N202" s="371" t="n">
        <v>0</v>
      </c>
      <c r="O202" s="374" t="n">
        <v>-5</v>
      </c>
      <c r="P202" s="370">
        <f>IF(M202=" "," ",(1+(M202+N202+O202)/100))</f>
        <v/>
      </c>
      <c r="Q202" s="375">
        <f>IF(L202=" "," ",L202*P202)</f>
        <v/>
      </c>
    </row>
    <row r="203" ht="9.949999999999999" customHeight="1" s="244">
      <c r="A203" s="366" t="inlineStr">
        <is>
          <t>ÇP</t>
        </is>
      </c>
      <c r="B203" s="367" t="inlineStr">
        <is>
          <t>G</t>
        </is>
      </c>
      <c r="C203" s="368" t="n"/>
      <c r="D203" s="369" t="n">
        <v>0.5</v>
      </c>
      <c r="E203" s="369" t="n">
        <v>0.5</v>
      </c>
      <c r="F203" s="370">
        <f>IF(D203=0," ",D203*E203)</f>
        <v/>
      </c>
      <c r="G203" s="371" t="n">
        <v>1</v>
      </c>
      <c r="H203" s="372" t="n"/>
      <c r="I203" s="370">
        <f>IF(F203=" "," ",F203*G203-H203)</f>
        <v/>
      </c>
      <c r="J203" s="369" t="n">
        <v>1.8</v>
      </c>
      <c r="K203" s="371" t="n">
        <v>30</v>
      </c>
      <c r="L203" s="373">
        <f>IF(I203=" "," ",I203*J203*K203)</f>
        <v/>
      </c>
      <c r="M203" s="374" t="n">
        <v>7</v>
      </c>
      <c r="N203" s="371" t="n">
        <v>0</v>
      </c>
      <c r="O203" s="374" t="n">
        <v>-5</v>
      </c>
      <c r="P203" s="370">
        <f>IF(M203=" "," ",(1+(M203+N203+O203)/100))</f>
        <v/>
      </c>
      <c r="Q203" s="375">
        <f>IF(L203=" "," ",L203*P203)</f>
        <v/>
      </c>
    </row>
    <row r="204" ht="9.949999999999999" customHeight="1" s="244">
      <c r="A204" s="366" t="inlineStr">
        <is>
          <t>İD</t>
        </is>
      </c>
      <c r="B204" s="367" t="inlineStr"/>
      <c r="C204" s="368" t="n"/>
      <c r="D204" s="369" t="n">
        <v>4</v>
      </c>
      <c r="E204" s="369" t="n">
        <v>3</v>
      </c>
      <c r="F204" s="370">
        <f>IF(D204=0," ",D204*E204)</f>
        <v/>
      </c>
      <c r="G204" s="371" t="n">
        <v>1</v>
      </c>
      <c r="H204" s="372" t="n"/>
      <c r="I204" s="370">
        <f>IF(F204=" "," ",F204*G204-H204)</f>
        <v/>
      </c>
      <c r="J204" s="369" t="n">
        <v>1.915</v>
      </c>
      <c r="K204" s="371" t="n">
        <v>4</v>
      </c>
      <c r="L204" s="373">
        <f>IF(I204=" "," ",I204*J204*K204)</f>
        <v/>
      </c>
      <c r="M204" s="374" t="n">
        <v>7</v>
      </c>
      <c r="N204" s="371" t="n">
        <v>0</v>
      </c>
      <c r="O204" s="374" t="n">
        <v>0</v>
      </c>
      <c r="P204" s="370">
        <f>IF(M204=" "," ",(1+(M204+N204+O204)/100))</f>
        <v/>
      </c>
      <c r="Q204" s="375">
        <f>IF(L204=" "," ",L204*P204)</f>
        <v/>
      </c>
    </row>
    <row r="205" ht="9.949999999999999" customHeight="1" s="244">
      <c r="A205" s="366" t="inlineStr">
        <is>
          <t>Ta</t>
        </is>
      </c>
      <c r="B205" s="367" t="inlineStr"/>
      <c r="C205" s="368" t="n"/>
      <c r="D205" s="369" t="n">
        <v>2.83</v>
      </c>
      <c r="E205" s="369" t="n">
        <v>1</v>
      </c>
      <c r="F205" s="370">
        <f>IF(D205=0," ",D205*E205)</f>
        <v/>
      </c>
      <c r="G205" s="371" t="n">
        <v>1</v>
      </c>
      <c r="H205" s="372" t="n"/>
      <c r="I205" s="370">
        <f>IF(F205=" "," ",F205*G205-H205)</f>
        <v/>
      </c>
      <c r="J205" s="369" t="n">
        <v>0.266</v>
      </c>
      <c r="K205" s="371" t="n">
        <v>24</v>
      </c>
      <c r="L205" s="373">
        <f>IF(I205=" "," ",I205*J205*K205)</f>
        <v/>
      </c>
      <c r="M205" s="374" t="n">
        <v>7</v>
      </c>
      <c r="N205" s="371" t="n">
        <v>0</v>
      </c>
      <c r="O205" s="374" t="n">
        <v>0</v>
      </c>
      <c r="P205" s="370">
        <f>IF(M205=" "," ",(1+(M205+N205+O205)/100))</f>
        <v/>
      </c>
      <c r="Q205" s="375">
        <f>IF(L205=" "," ",L205*P205)</f>
        <v/>
      </c>
    </row>
    <row r="206" ht="9.949999999999999" customHeight="1" s="244">
      <c r="A206" s="376" t="n"/>
      <c r="B206" s="377" t="n"/>
      <c r="C206" s="377" t="n"/>
      <c r="D206" s="378" t="n"/>
      <c r="E206" s="378" t="n"/>
      <c r="F206" s="378" t="n"/>
      <c r="G206" s="379" t="n"/>
      <c r="H206" s="378" t="n"/>
      <c r="I206" s="378" t="n"/>
      <c r="J206" s="378" t="n"/>
      <c r="K206" s="379" t="n"/>
      <c r="L206" s="380" t="n"/>
      <c r="M206" s="381" t="n"/>
      <c r="N206" s="381" t="n"/>
      <c r="O206" s="381" t="n"/>
      <c r="P206" s="382" t="n"/>
      <c r="Q206" s="383">
        <f>SUM(Q201:Q205)</f>
        <v/>
      </c>
    </row>
    <row r="207" ht="9.949999999999999" customHeight="1" s="244">
      <c r="A207" s="384" t="n"/>
      <c r="B207" s="385" t="n"/>
      <c r="C207" s="385" t="n"/>
      <c r="D207" s="386" t="n"/>
      <c r="E207" s="387" t="n"/>
      <c r="F207" s="388" t="n"/>
      <c r="G207" s="389" t="n"/>
      <c r="H207" s="388" t="n"/>
      <c r="I207" s="390" t="n"/>
      <c r="J207" s="391" t="inlineStr">
        <is>
          <t>Qs=</t>
        </is>
      </c>
      <c r="K207" s="390" t="inlineStr">
        <is>
          <t>S a</t>
        </is>
      </c>
      <c r="L207" s="388" t="inlineStr">
        <is>
          <t>L</t>
        </is>
      </c>
      <c r="M207" s="389" t="inlineStr">
        <is>
          <t>R</t>
        </is>
      </c>
      <c r="N207" s="392" t="inlineStr">
        <is>
          <t>H</t>
        </is>
      </c>
      <c r="O207" s="393" t="inlineStr">
        <is>
          <t>D  T</t>
        </is>
      </c>
      <c r="P207" s="389" t="inlineStr">
        <is>
          <t>Ze</t>
        </is>
      </c>
      <c r="Q207" s="394" t="n"/>
    </row>
    <row r="208" ht="9.949999999999999" customHeight="1" s="244">
      <c r="A208" s="395" t="inlineStr">
        <is>
          <t xml:space="preserve"> </t>
        </is>
      </c>
      <c r="C208" s="397" t="n"/>
      <c r="D208" s="397" t="n"/>
      <c r="E208" s="398" t="n"/>
      <c r="F208" s="399" t="n"/>
      <c r="G208" s="400" t="n"/>
      <c r="H208" s="401" t="n"/>
      <c r="I208" s="402" t="n"/>
      <c r="J208" s="403" t="inlineStr">
        <is>
          <t>Qs  =</t>
        </is>
      </c>
      <c r="K208" s="404" t="n">
        <v>2</v>
      </c>
      <c r="L208" s="404">
        <f>(D203+E203)*2*G203</f>
        <v/>
      </c>
      <c r="M208" s="404" t="n">
        <v>0.9</v>
      </c>
      <c r="N208" s="404" t="n">
        <v>0.67</v>
      </c>
      <c r="O208" s="381" t="n">
        <v>30</v>
      </c>
      <c r="P208" s="404" t="n">
        <v>1</v>
      </c>
      <c r="Q208" s="383">
        <f>K208*L208*M208*N208*O208*P208</f>
        <v/>
      </c>
    </row>
    <row r="209" ht="9.949999999999999" customHeight="1" s="244">
      <c r="A209" s="405" t="n"/>
      <c r="B209" s="406" t="n"/>
      <c r="C209" s="397" t="n"/>
      <c r="D209" s="397" t="n"/>
      <c r="E209" s="378" t="n"/>
      <c r="F209" s="256" t="n"/>
      <c r="G209" s="407" t="n"/>
      <c r="H209" s="397" t="n"/>
      <c r="I209" s="397" t="n"/>
      <c r="J209" s="397" t="n"/>
      <c r="K209" s="407" t="n"/>
      <c r="L209" s="408" t="n"/>
      <c r="M209" s="409" t="inlineStr">
        <is>
          <t xml:space="preserve">   TOPLAM ISI KAYBI =</t>
        </is>
      </c>
      <c r="N209" s="409" t="n"/>
      <c r="O209" s="410" t="n"/>
      <c r="P209" s="409" t="n"/>
      <c r="Q209" s="411">
        <f>Q206+Q208</f>
        <v/>
      </c>
    </row>
    <row r="210" ht="10.35" customHeight="1" s="244">
      <c r="A210" s="359" t="n"/>
      <c r="B210" s="360" t="n"/>
      <c r="C210" s="360" t="n"/>
      <c r="D210" s="360" t="n"/>
      <c r="E210" s="360" t="n"/>
      <c r="F210" s="361" t="inlineStr">
        <is>
          <t>2</t>
        </is>
      </c>
      <c r="G210" s="362" t="inlineStr">
        <is>
          <t>0</t>
        </is>
      </c>
      <c r="H210" s="360" t="inlineStr">
        <is>
          <t>239</t>
        </is>
      </c>
      <c r="I210" s="363" t="inlineStr">
        <is>
          <t>OFİS 8 HOL</t>
        </is>
      </c>
      <c r="J210" s="364" t="n"/>
      <c r="K210" s="360" t="inlineStr">
        <is>
          <t>18ºC</t>
        </is>
      </c>
      <c r="L210" s="360" t="n"/>
      <c r="M210" s="360" t="n"/>
      <c r="N210" s="360" t="n"/>
      <c r="O210" s="360" t="n"/>
      <c r="P210" s="360" t="n"/>
      <c r="Q210" s="365" t="n"/>
    </row>
    <row r="211" ht="9.949999999999999" customHeight="1" s="244">
      <c r="A211" s="366" t="inlineStr">
        <is>
          <t>İDM</t>
        </is>
      </c>
      <c r="B211" s="367" t="inlineStr"/>
      <c r="C211" s="368" t="n"/>
      <c r="D211" s="369" t="n">
        <v>1.3</v>
      </c>
      <c r="E211" s="369" t="n">
        <v>3</v>
      </c>
      <c r="F211" s="370">
        <f>IF(D211=0," ",D211*E211)</f>
        <v/>
      </c>
      <c r="G211" s="371" t="n">
        <v>1</v>
      </c>
      <c r="H211" s="372">
        <f>F212*G212</f>
        <v/>
      </c>
      <c r="I211" s="370">
        <f>IF(F211=" "," ",F211*G211-H211)</f>
        <v/>
      </c>
      <c r="J211" s="369" t="n">
        <v>0.332</v>
      </c>
      <c r="K211" s="371" t="n">
        <v>8</v>
      </c>
      <c r="L211" s="373">
        <f>IF(I211=" "," ",I211*J211*K211)</f>
        <v/>
      </c>
      <c r="M211" s="374" t="n">
        <v>7</v>
      </c>
      <c r="N211" s="371" t="n">
        <v>0</v>
      </c>
      <c r="O211" s="374" t="n">
        <v>0</v>
      </c>
      <c r="P211" s="370">
        <f>IF(M211=" "," ",(1+(M211+N211+O211)/100))</f>
        <v/>
      </c>
      <c r="Q211" s="375">
        <f>IF(L211=" "," ",L211*P211)</f>
        <v/>
      </c>
    </row>
    <row r="212" ht="9.949999999999999" customHeight="1" s="244">
      <c r="A212" s="366" t="inlineStr">
        <is>
          <t>DK</t>
        </is>
      </c>
      <c r="B212" s="367" t="inlineStr"/>
      <c r="C212" s="368" t="n"/>
      <c r="D212" s="369" t="n">
        <v>1</v>
      </c>
      <c r="E212" s="369" t="n">
        <v>2.2</v>
      </c>
      <c r="F212" s="370">
        <f>IF(D212=0," ",D212*E212)</f>
        <v/>
      </c>
      <c r="G212" s="371" t="n">
        <v>1</v>
      </c>
      <c r="H212" s="372" t="n"/>
      <c r="I212" s="370">
        <f>IF(F212=" "," ",F212*G212-H212)</f>
        <v/>
      </c>
      <c r="J212" s="369" t="n">
        <v>2</v>
      </c>
      <c r="K212" s="371" t="n">
        <v>8</v>
      </c>
      <c r="L212" s="373">
        <f>IF(I212=" "," ",I212*J212*K212)</f>
        <v/>
      </c>
      <c r="M212" s="374" t="n">
        <v>7</v>
      </c>
      <c r="N212" s="371" t="n">
        <v>0</v>
      </c>
      <c r="O212" s="374" t="n">
        <v>0</v>
      </c>
      <c r="P212" s="370">
        <f>IF(M212=" "," ",(1+(M212+N212+O212)/100))</f>
        <v/>
      </c>
      <c r="Q212" s="375">
        <f>IF(L212=" "," ",L212*P212)</f>
        <v/>
      </c>
    </row>
    <row r="213" ht="9.949999999999999" customHeight="1" s="244">
      <c r="A213" s="366" t="inlineStr">
        <is>
          <t>Ta</t>
        </is>
      </c>
      <c r="B213" s="367" t="inlineStr"/>
      <c r="C213" s="368" t="n"/>
      <c r="D213" s="369" t="n">
        <v>10.07</v>
      </c>
      <c r="E213" s="369" t="n">
        <v>1</v>
      </c>
      <c r="F213" s="370">
        <f>IF(D213=0," ",D213*E213)</f>
        <v/>
      </c>
      <c r="G213" s="371" t="n">
        <v>1</v>
      </c>
      <c r="H213" s="372" t="n"/>
      <c r="I213" s="370">
        <f>IF(F213=" "," ",F213*G213-H213)</f>
        <v/>
      </c>
      <c r="J213" s="369" t="n">
        <v>0.266</v>
      </c>
      <c r="K213" s="371" t="n">
        <v>18</v>
      </c>
      <c r="L213" s="373">
        <f>IF(I213=" "," ",I213*J213*K213)</f>
        <v/>
      </c>
      <c r="M213" s="374" t="n">
        <v>7</v>
      </c>
      <c r="N213" s="371" t="n">
        <v>0</v>
      </c>
      <c r="O213" s="374" t="n">
        <v>0</v>
      </c>
      <c r="P213" s="370">
        <f>IF(M213=" "," ",(1+(M213+N213+O213)/100))</f>
        <v/>
      </c>
      <c r="Q213" s="375">
        <f>IF(L213=" "," ",L213*P213)</f>
        <v/>
      </c>
    </row>
    <row r="214" ht="9.949999999999999" customHeight="1" s="244">
      <c r="A214" s="376" t="n"/>
      <c r="B214" s="377" t="n"/>
      <c r="C214" s="377" t="n"/>
      <c r="D214" s="378" t="n"/>
      <c r="E214" s="378" t="n"/>
      <c r="F214" s="378" t="n"/>
      <c r="G214" s="379" t="n"/>
      <c r="H214" s="378" t="n"/>
      <c r="I214" s="378" t="n"/>
      <c r="J214" s="378" t="n"/>
      <c r="K214" s="379" t="n"/>
      <c r="L214" s="380" t="n"/>
      <c r="M214" s="381" t="n"/>
      <c r="N214" s="381" t="n"/>
      <c r="O214" s="381" t="n"/>
      <c r="P214" s="382" t="n"/>
      <c r="Q214" s="383">
        <f>SUM(Q211:Q213)</f>
        <v/>
      </c>
    </row>
    <row r="215" ht="9.949999999999999" customHeight="1" s="244">
      <c r="A215" s="384" t="n"/>
      <c r="B215" s="385" t="n"/>
      <c r="C215" s="385" t="n"/>
      <c r="D215" s="386" t="n"/>
      <c r="E215" s="387" t="n"/>
      <c r="F215" s="388" t="n"/>
      <c r="G215" s="389" t="n"/>
      <c r="H215" s="388" t="n"/>
      <c r="I215" s="390" t="n"/>
      <c r="J215" s="391" t="inlineStr">
        <is>
          <t>Qs=</t>
        </is>
      </c>
      <c r="K215" s="390" t="inlineStr">
        <is>
          <t>S a</t>
        </is>
      </c>
      <c r="L215" s="388" t="inlineStr">
        <is>
          <t>L</t>
        </is>
      </c>
      <c r="M215" s="389" t="inlineStr">
        <is>
          <t>R</t>
        </is>
      </c>
      <c r="N215" s="392" t="inlineStr">
        <is>
          <t>H</t>
        </is>
      </c>
      <c r="O215" s="393" t="inlineStr">
        <is>
          <t>D  T</t>
        </is>
      </c>
      <c r="P215" s="389" t="inlineStr">
        <is>
          <t>Ze</t>
        </is>
      </c>
      <c r="Q215" s="394" t="n"/>
    </row>
    <row r="216" ht="9.949999999999999" customHeight="1" s="244">
      <c r="A216" s="395" t="inlineStr">
        <is>
          <t xml:space="preserve"> </t>
        </is>
      </c>
      <c r="C216" s="397" t="n"/>
      <c r="D216" s="397" t="n"/>
      <c r="E216" s="398" t="n"/>
      <c r="F216" s="399" t="n"/>
      <c r="G216" s="400" t="n"/>
      <c r="H216" s="401" t="n"/>
      <c r="I216" s="402" t="n"/>
      <c r="J216" s="403" t="inlineStr">
        <is>
          <t>Qs  =</t>
        </is>
      </c>
      <c r="K216" s="404" t="n">
        <v>2</v>
      </c>
      <c r="L216" s="404" t="n">
        <v>0</v>
      </c>
      <c r="M216" s="404" t="n">
        <v>0.9</v>
      </c>
      <c r="N216" s="404" t="n">
        <v>0.67</v>
      </c>
      <c r="O216" s="381" t="n">
        <v>24</v>
      </c>
      <c r="P216" s="404" t="n">
        <v>1</v>
      </c>
      <c r="Q216" s="383">
        <f>K216*L216*M216*N216*O216*P216</f>
        <v/>
      </c>
    </row>
    <row r="217" ht="9.949999999999999" customHeight="1" s="244">
      <c r="A217" s="405" t="n"/>
      <c r="B217" s="406" t="n"/>
      <c r="C217" s="397" t="n"/>
      <c r="D217" s="397" t="n"/>
      <c r="E217" s="378" t="n"/>
      <c r="F217" s="256" t="n"/>
      <c r="G217" s="407" t="n"/>
      <c r="H217" s="397" t="n"/>
      <c r="I217" s="397" t="n"/>
      <c r="J217" s="397" t="n"/>
      <c r="K217" s="407" t="n"/>
      <c r="L217" s="408" t="n"/>
      <c r="M217" s="409" t="inlineStr">
        <is>
          <t xml:space="preserve">   TOPLAM ISI KAYBI =</t>
        </is>
      </c>
      <c r="N217" s="409" t="n"/>
      <c r="O217" s="410" t="n"/>
      <c r="P217" s="409" t="n"/>
      <c r="Q217" s="411">
        <f>Q214+Q216</f>
        <v/>
      </c>
    </row>
  </sheetData>
  <mergeCells count="52">
    <mergeCell ref="I140:J140"/>
    <mergeCell ref="E121:F121"/>
    <mergeCell ref="I105:J105"/>
    <mergeCell ref="E139:F139"/>
    <mergeCell ref="E130:F130"/>
    <mergeCell ref="M3:P3"/>
    <mergeCell ref="E55:F55"/>
    <mergeCell ref="I46:J46"/>
    <mergeCell ref="I154:J154"/>
    <mergeCell ref="E181:F181"/>
    <mergeCell ref="E17:F17"/>
    <mergeCell ref="I210:J210"/>
    <mergeCell ref="I113:J113"/>
    <mergeCell ref="I91:J91"/>
    <mergeCell ref="E171:F171"/>
    <mergeCell ref="E153:F153"/>
    <mergeCell ref="E3:H3"/>
    <mergeCell ref="I200:J200"/>
    <mergeCell ref="E161:F161"/>
    <mergeCell ref="E209:F209"/>
    <mergeCell ref="I147:J147"/>
    <mergeCell ref="E190:F190"/>
    <mergeCell ref="E63:F63"/>
    <mergeCell ref="I37:J37"/>
    <mergeCell ref="I122:J122"/>
    <mergeCell ref="I131:J131"/>
    <mergeCell ref="I28:J28"/>
    <mergeCell ref="I18:J18"/>
    <mergeCell ref="I56:J56"/>
    <mergeCell ref="I162:J162"/>
    <mergeCell ref="E90:F90"/>
    <mergeCell ref="E104:F104"/>
    <mergeCell ref="E27:F27"/>
    <mergeCell ref="E45:F45"/>
    <mergeCell ref="I98:J98"/>
    <mergeCell ref="E36:F36"/>
    <mergeCell ref="I8:J8"/>
    <mergeCell ref="I64:J64"/>
    <mergeCell ref="I82:J82"/>
    <mergeCell ref="I191:J191"/>
    <mergeCell ref="I73:J73"/>
    <mergeCell ref="I182:J182"/>
    <mergeCell ref="I3:L3"/>
    <mergeCell ref="E72:F72"/>
    <mergeCell ref="I172:J172"/>
    <mergeCell ref="A3:D3"/>
    <mergeCell ref="E81:F81"/>
    <mergeCell ref="E112:F112"/>
    <mergeCell ref="E199:F199"/>
    <mergeCell ref="E146:F146"/>
    <mergeCell ref="E97:F97"/>
    <mergeCell ref="E217:F217"/>
  </mergeCells>
  <printOptions horizontalCentered="0" verticalCentered="0" headings="0" gridLines="0" gridLinesSet="1"/>
  <pageMargins left="0.196527777777778" right="0.157638888888889" top="0.315277777777778" bottom="0.315277777777778" header="0.511811023622047" footer="0.511811023622047"/>
  <pageSetup orientation="portrait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P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4625" ySplit="0" topLeftCell="A1" activePane="topLeft" state="split"/>
      <selection pane="topLeft" activeCell="F19" activeCellId="0" sqref="F19"/>
      <selection pane="topRight" activeCell="A1" activeCellId="0" sqref="A1"/>
    </sheetView>
  </sheetViews>
  <sheetFormatPr baseColWidth="8" defaultColWidth="9.13671875" defaultRowHeight="12.75" zeroHeight="0" outlineLevelRow="0"/>
  <cols>
    <col width="5.41" customWidth="1" style="463" min="1" max="1"/>
    <col width="20.99" customWidth="1" style="463" min="2" max="2"/>
    <col width="11.85" customWidth="1" style="463" min="3" max="3"/>
    <col width="10.13" customWidth="1" style="463" min="4" max="4"/>
    <col width="9.99" customWidth="1" style="463" min="5" max="5"/>
    <col width="9.85" customWidth="1" style="463" min="6" max="6"/>
    <col width="16.99" customWidth="1" style="463" min="7" max="7"/>
    <col width="3.28" customWidth="1" style="463" min="8" max="8"/>
    <col width="4.14" customWidth="1" style="463" min="9" max="10"/>
    <col width="3.99" customWidth="1" style="463" min="11" max="11"/>
    <col width="4.14" customWidth="1" style="463" min="12" max="16"/>
    <col width="9.140000000000001" customWidth="1" style="464" min="17" max="21"/>
    <col width="16.7" customWidth="1" style="464" min="22" max="22"/>
    <col width="9.140000000000001" customWidth="1" style="464" min="23" max="257"/>
  </cols>
  <sheetData>
    <row r="1" ht="12.75" customHeight="1" s="244">
      <c r="A1" s="465" t="inlineStr">
        <is>
          <t>ROTAŞ</t>
        </is>
      </c>
      <c r="B1" s="275" t="n"/>
      <c r="C1" s="466" t="inlineStr">
        <is>
          <t>MAHAL VE YERDEN ISITMA BORU BOYU ÇİZELGESİ</t>
        </is>
      </c>
      <c r="D1" s="250" t="n"/>
      <c r="E1" s="250" t="n"/>
      <c r="F1" s="250" t="n"/>
      <c r="G1" s="275" t="n"/>
      <c r="H1" s="466" t="inlineStr">
        <is>
          <t>SAYFA</t>
        </is>
      </c>
      <c r="I1" s="250" t="n"/>
      <c r="J1" s="250" t="n"/>
      <c r="K1" s="250" t="n"/>
      <c r="L1" s="250" t="n"/>
      <c r="M1" s="275" t="n"/>
      <c r="N1" s="466" t="n">
        <v>7</v>
      </c>
      <c r="O1" s="250" t="n"/>
      <c r="P1" s="275" t="n"/>
    </row>
    <row r="2" ht="8.25" customHeight="1" s="244">
      <c r="A2" s="467" t="n"/>
      <c r="B2" s="468" t="n"/>
      <c r="C2" s="467" t="n"/>
      <c r="G2" s="468" t="n"/>
      <c r="H2" s="278" t="n"/>
      <c r="I2" s="256" t="n"/>
      <c r="J2" s="256" t="n"/>
      <c r="K2" s="256" t="n"/>
      <c r="L2" s="256" t="n"/>
      <c r="M2" s="277" t="n"/>
      <c r="N2" s="278" t="n"/>
      <c r="O2" s="256" t="n"/>
      <c r="P2" s="277" t="n"/>
    </row>
    <row r="3" ht="5.25" customHeight="1" s="244">
      <c r="A3" s="467" t="n"/>
      <c r="B3" s="468" t="n"/>
      <c r="C3" s="467" t="n"/>
      <c r="G3" s="468" t="n"/>
      <c r="H3" s="466" t="inlineStr">
        <is>
          <t>TARİH</t>
        </is>
      </c>
      <c r="I3" s="250" t="n"/>
      <c r="J3" s="250" t="n"/>
      <c r="K3" s="250" t="n"/>
      <c r="L3" s="250" t="n"/>
      <c r="M3" s="275" t="n"/>
      <c r="N3" s="469" t="n">
        <v>46307</v>
      </c>
      <c r="O3" s="250" t="n"/>
      <c r="P3" s="275" t="n"/>
    </row>
    <row r="4" ht="15" customHeight="1" s="244">
      <c r="A4" s="278" t="n"/>
      <c r="B4" s="277" t="n"/>
      <c r="C4" s="278" t="n"/>
      <c r="D4" s="256" t="n"/>
      <c r="E4" s="256" t="n"/>
      <c r="F4" s="256" t="n"/>
      <c r="G4" s="277" t="n"/>
      <c r="H4" s="278" t="n"/>
      <c r="I4" s="256" t="n"/>
      <c r="J4" s="256" t="n"/>
      <c r="K4" s="256" t="n"/>
      <c r="L4" s="256" t="n"/>
      <c r="M4" s="277" t="n"/>
      <c r="N4" s="278" t="n"/>
      <c r="O4" s="256" t="n"/>
      <c r="P4" s="277" t="n"/>
    </row>
    <row r="5" ht="13.5" customHeight="1" s="244">
      <c r="A5" s="466" t="inlineStr">
        <is>
          <t>ODANIN</t>
        </is>
      </c>
      <c r="B5" s="260" t="n"/>
      <c r="C5" s="466" t="inlineStr">
        <is>
          <t>RADYATÖRLERİN</t>
        </is>
      </c>
      <c r="D5" s="264" t="n"/>
      <c r="E5" s="264" t="n"/>
      <c r="F5" s="264" t="n"/>
      <c r="G5" s="260" t="n"/>
      <c r="H5" s="466" t="inlineStr">
        <is>
          <t>TEFERRUATIN</t>
        </is>
      </c>
      <c r="I5" s="264" t="n"/>
      <c r="J5" s="264" t="n"/>
      <c r="K5" s="264" t="n"/>
      <c r="L5" s="264" t="n"/>
      <c r="M5" s="264" t="n"/>
      <c r="N5" s="264" t="n"/>
      <c r="O5" s="264" t="n"/>
      <c r="P5" s="260" t="n"/>
    </row>
    <row r="6" ht="12.75" customHeight="1" s="244">
      <c r="A6" s="466" t="inlineStr">
        <is>
          <t>NO</t>
        </is>
      </c>
      <c r="B6" s="466" t="inlineStr">
        <is>
          <t>ADI</t>
        </is>
      </c>
      <c r="C6" s="470" t="inlineStr">
        <is>
          <t>SICAKLIĞI</t>
        </is>
      </c>
      <c r="D6" s="465" t="inlineStr">
        <is>
          <t>ISI
KAYBI</t>
        </is>
      </c>
      <c r="E6" s="465" t="inlineStr">
        <is>
          <t>BİRİM 
VERİMİ</t>
        </is>
      </c>
      <c r="F6" s="466" t="inlineStr">
        <is>
          <t>VERİMİ</t>
        </is>
      </c>
      <c r="G6" s="466" t="inlineStr">
        <is>
          <t>BORU UZUNLUĞU</t>
        </is>
      </c>
      <c r="H6" s="471" t="inlineStr">
        <is>
          <t>GRUP</t>
        </is>
      </c>
      <c r="I6" s="471" t="inlineStr">
        <is>
          <t>KONSOL</t>
        </is>
      </c>
      <c r="J6" s="471" t="inlineStr">
        <is>
          <t>KELEPÇE</t>
        </is>
      </c>
      <c r="K6" s="466" t="inlineStr">
        <is>
          <t>MUSLUK</t>
        </is>
      </c>
      <c r="L6" s="264" t="n"/>
      <c r="M6" s="260" t="n"/>
      <c r="N6" s="466" t="inlineStr">
        <is>
          <t>REKOR</t>
        </is>
      </c>
      <c r="O6" s="264" t="n"/>
      <c r="P6" s="260" t="n"/>
    </row>
    <row r="7" ht="12.75" customHeight="1" s="244">
      <c r="A7" s="472" t="n"/>
      <c r="B7" s="472" t="n"/>
      <c r="C7" s="472" t="n"/>
      <c r="D7" s="472" t="n"/>
      <c r="E7" s="472" t="n"/>
      <c r="F7" s="472" t="n"/>
      <c r="G7" s="472" t="n"/>
      <c r="H7" s="472" t="n"/>
      <c r="I7" s="472" t="n"/>
      <c r="J7" s="472" t="n"/>
      <c r="K7" s="473" t="inlineStr">
        <is>
          <t>1/2"</t>
        </is>
      </c>
      <c r="L7" s="473" t="inlineStr">
        <is>
          <t>3/4"</t>
        </is>
      </c>
      <c r="M7" s="473" t="inlineStr">
        <is>
          <t>1"</t>
        </is>
      </c>
      <c r="N7" s="473" t="inlineStr">
        <is>
          <t>1/2"</t>
        </is>
      </c>
      <c r="O7" s="473" t="inlineStr">
        <is>
          <t>3/4"</t>
        </is>
      </c>
      <c r="P7" s="473" t="inlineStr">
        <is>
          <t>1"</t>
        </is>
      </c>
    </row>
    <row r="8" ht="6" customHeight="1" s="244">
      <c r="A8" s="472" t="n"/>
      <c r="B8" s="472" t="n"/>
      <c r="C8" s="303" t="n"/>
      <c r="D8" s="303" t="n"/>
      <c r="E8" s="303" t="n"/>
      <c r="F8" s="303" t="n"/>
      <c r="G8" s="303" t="n"/>
      <c r="H8" s="472" t="n"/>
      <c r="I8" s="472" t="n"/>
      <c r="J8" s="472" t="n"/>
      <c r="K8" s="472" t="n"/>
      <c r="L8" s="472" t="n"/>
      <c r="M8" s="472" t="n"/>
      <c r="N8" s="472" t="n"/>
      <c r="O8" s="472" t="n"/>
      <c r="P8" s="472" t="n"/>
    </row>
    <row r="9" ht="12.75" customHeight="1" s="244">
      <c r="A9" s="303" t="n"/>
      <c r="B9" s="303" t="n"/>
      <c r="C9" s="474" t="inlineStr">
        <is>
          <t>0c</t>
        </is>
      </c>
      <c r="D9" s="466" t="inlineStr">
        <is>
          <t>W/h</t>
        </is>
      </c>
      <c r="E9" s="466" t="inlineStr">
        <is>
          <t>W/m2K</t>
        </is>
      </c>
      <c r="F9" s="466" t="inlineStr">
        <is>
          <t>W/m2K</t>
        </is>
      </c>
      <c r="G9" s="466" t="inlineStr">
        <is>
          <t>m</t>
        </is>
      </c>
      <c r="H9" s="303" t="n"/>
      <c r="I9" s="303" t="n"/>
      <c r="J9" s="303" t="n"/>
      <c r="K9" s="303" t="n"/>
      <c r="L9" s="303" t="n"/>
      <c r="M9" s="303" t="n"/>
      <c r="N9" s="303" t="n"/>
      <c r="O9" s="303" t="n"/>
      <c r="P9" s="303" t="n"/>
    </row>
    <row r="10" ht="12.75" customHeight="1" s="244">
      <c r="A10" s="475" t="inlineStr">
        <is>
          <t>101</t>
        </is>
      </c>
      <c r="B10" s="476" t="inlineStr">
        <is>
          <t>OFİS 1 ODA</t>
        </is>
      </c>
      <c r="C10" s="477" t="inlineStr">
        <is>
          <t>20</t>
        </is>
      </c>
      <c r="D10" s="478">
        <f>'1 NK'!Q16</f>
        <v/>
      </c>
      <c r="E10" s="479" t="n">
        <v>17.5</v>
      </c>
      <c r="F10" s="478">
        <f>'YERDEN ISITMA'!N10</f>
        <v/>
      </c>
      <c r="G10" s="475" t="n">
        <v>134.68</v>
      </c>
      <c r="H10" s="475" t="n">
        <v>2</v>
      </c>
      <c r="I10" s="475" t="inlineStr">
        <is>
          <t>ZEMİNDEN ISITMA</t>
        </is>
      </c>
      <c r="J10" s="264" t="n"/>
      <c r="K10" s="264" t="n"/>
      <c r="L10" s="264" t="n"/>
      <c r="M10" s="264" t="n"/>
      <c r="N10" s="264" t="n"/>
      <c r="O10" s="264" t="n"/>
      <c r="P10" s="260" t="n"/>
    </row>
    <row r="11" ht="12.75" customHeight="1" s="244">
      <c r="A11" s="475" t="inlineStr">
        <is>
          <t>102</t>
        </is>
      </c>
      <c r="B11" s="476" t="inlineStr">
        <is>
          <t>OFİS 1 ODA</t>
        </is>
      </c>
      <c r="C11" s="477" t="inlineStr">
        <is>
          <t>20</t>
        </is>
      </c>
      <c r="D11" s="478">
        <f>'1 NK'!Q25</f>
        <v/>
      </c>
      <c r="E11" s="479" t="n">
        <v>17.5</v>
      </c>
      <c r="F11" s="478">
        <f>'YERDEN ISITMA'!N11</f>
        <v/>
      </c>
      <c r="G11" s="475" t="n">
        <v>69.88</v>
      </c>
      <c r="H11" s="475" t="n">
        <v>1</v>
      </c>
      <c r="I11" s="475" t="inlineStr">
        <is>
          <t>ZEMİNDEN ISITMA</t>
        </is>
      </c>
      <c r="J11" s="264" t="n"/>
      <c r="K11" s="264" t="n"/>
      <c r="L11" s="264" t="n"/>
      <c r="M11" s="264" t="n"/>
      <c r="N11" s="264" t="n"/>
      <c r="O11" s="264" t="n"/>
      <c r="P11" s="260" t="n"/>
    </row>
    <row r="12" ht="12.75" customHeight="1" s="244">
      <c r="A12" s="475" t="inlineStr">
        <is>
          <t>103</t>
        </is>
      </c>
      <c r="B12" s="476" t="inlineStr">
        <is>
          <t>OFİS 1 ODA</t>
        </is>
      </c>
      <c r="C12" s="477" t="inlineStr">
        <is>
          <t>20</t>
        </is>
      </c>
      <c r="D12" s="478">
        <f>'1 NK'!Q33</f>
        <v/>
      </c>
      <c r="E12" s="479" t="n">
        <v>17.5</v>
      </c>
      <c r="F12" s="478">
        <f>'YERDEN ISITMA'!N12</f>
        <v/>
      </c>
      <c r="G12" s="475" t="n">
        <v>106.9</v>
      </c>
      <c r="H12" s="475" t="n">
        <v>2</v>
      </c>
      <c r="I12" s="475" t="inlineStr">
        <is>
          <t>ZEMİNDEN ISITMA</t>
        </is>
      </c>
      <c r="J12" s="264" t="n"/>
      <c r="K12" s="264" t="n"/>
      <c r="L12" s="264" t="n"/>
      <c r="M12" s="264" t="n"/>
      <c r="N12" s="264" t="n"/>
      <c r="O12" s="264" t="n"/>
      <c r="P12" s="260" t="n"/>
    </row>
    <row r="13" ht="12.75" customHeight="1" s="244">
      <c r="A13" s="475" t="inlineStr">
        <is>
          <t>104</t>
        </is>
      </c>
      <c r="B13" s="476" t="inlineStr">
        <is>
          <t>OFİS 1 MUTFAK</t>
        </is>
      </c>
      <c r="C13" s="477" t="inlineStr">
        <is>
          <t>20</t>
        </is>
      </c>
      <c r="D13" s="478">
        <f>'1 NK'!Q41</f>
        <v/>
      </c>
      <c r="E13" s="479" t="n">
        <v>17.5</v>
      </c>
      <c r="F13" s="478">
        <f>'YERDEN ISITMA'!N13</f>
        <v/>
      </c>
      <c r="G13" s="475" t="n">
        <v>15.18</v>
      </c>
      <c r="H13" s="475" t="n">
        <v>1</v>
      </c>
      <c r="I13" s="475" t="inlineStr">
        <is>
          <t>ZEMİNDEN ISITMA</t>
        </is>
      </c>
      <c r="J13" s="264" t="n"/>
      <c r="K13" s="264" t="n"/>
      <c r="L13" s="264" t="n"/>
      <c r="M13" s="264" t="n"/>
      <c r="N13" s="264" t="n"/>
      <c r="O13" s="264" t="n"/>
      <c r="P13" s="260" t="n"/>
    </row>
    <row r="14" ht="12.75" customHeight="1" s="244">
      <c r="A14" s="475" t="inlineStr">
        <is>
          <t>105</t>
        </is>
      </c>
      <c r="B14" s="476" t="inlineStr">
        <is>
          <t>OFİS 1 LVB.WC</t>
        </is>
      </c>
      <c r="C14" s="477" t="inlineStr">
        <is>
          <t>24</t>
        </is>
      </c>
      <c r="D14" s="478">
        <f>'1 NK'!Q50</f>
        <v/>
      </c>
      <c r="E14" s="479" t="n">
        <v>17.5</v>
      </c>
      <c r="F14" s="478">
        <f>'YERDEN ISITMA'!N14</f>
        <v/>
      </c>
      <c r="G14" s="475" t="n">
        <v>22.84</v>
      </c>
      <c r="H14" s="475" t="n">
        <v>1</v>
      </c>
      <c r="I14" s="475" t="inlineStr">
        <is>
          <t>ZEMİNDEN ISITMA</t>
        </is>
      </c>
      <c r="J14" s="264" t="n"/>
      <c r="K14" s="264" t="n"/>
      <c r="L14" s="264" t="n"/>
      <c r="M14" s="264" t="n"/>
      <c r="N14" s="264" t="n"/>
      <c r="O14" s="264" t="n"/>
      <c r="P14" s="260" t="n"/>
    </row>
    <row r="15" ht="12.75" customHeight="1" s="244">
      <c r="A15" s="475" t="inlineStr">
        <is>
          <t>109</t>
        </is>
      </c>
      <c r="B15" s="476" t="inlineStr">
        <is>
          <t>OFİS 1 HOL</t>
        </is>
      </c>
      <c r="C15" s="477" t="inlineStr">
        <is>
          <t>18</t>
        </is>
      </c>
      <c r="D15" s="478">
        <f>'1 NK'!Q57</f>
        <v/>
      </c>
      <c r="E15" s="479" t="n">
        <v>17.5</v>
      </c>
      <c r="F15" s="478">
        <f>'YERDEN ISITMA'!N15</f>
        <v/>
      </c>
      <c r="G15" s="475" t="n">
        <v>20.45</v>
      </c>
      <c r="H15" s="475" t="n">
        <v>1</v>
      </c>
      <c r="I15" s="475" t="inlineStr">
        <is>
          <t>ZEMİNDEN ISITMA (BAĞLANTI BORULARI)</t>
        </is>
      </c>
      <c r="J15" s="264" t="n"/>
      <c r="K15" s="264" t="n"/>
      <c r="L15" s="264" t="n"/>
      <c r="M15" s="264" t="n"/>
      <c r="N15" s="264" t="n"/>
      <c r="O15" s="264" t="n"/>
      <c r="P15" s="260" t="n"/>
    </row>
    <row r="16" ht="12.75" customHeight="1" s="244">
      <c r="A16" s="475" t="inlineStr">
        <is>
          <t>111</t>
        </is>
      </c>
      <c r="B16" s="476" t="inlineStr">
        <is>
          <t>OFİS 2 ODA</t>
        </is>
      </c>
      <c r="C16" s="477" t="inlineStr">
        <is>
          <t>20</t>
        </is>
      </c>
      <c r="D16" s="478">
        <f>'1 NK'!Q65</f>
        <v/>
      </c>
      <c r="E16" s="479" t="n">
        <v>17.5</v>
      </c>
      <c r="F16" s="478">
        <f>'YERDEN ISITMA'!N16</f>
        <v/>
      </c>
      <c r="G16" s="475" t="n">
        <v>72.68000000000001</v>
      </c>
      <c r="H16" s="475" t="n">
        <v>2</v>
      </c>
      <c r="I16" s="475" t="inlineStr">
        <is>
          <t>ZEMİNDEN ISITMA</t>
        </is>
      </c>
      <c r="J16" s="264" t="n"/>
      <c r="K16" s="264" t="n"/>
      <c r="L16" s="264" t="n"/>
      <c r="M16" s="264" t="n"/>
      <c r="N16" s="264" t="n"/>
      <c r="O16" s="264" t="n"/>
      <c r="P16" s="260" t="n"/>
    </row>
    <row r="17" ht="12.75" customHeight="1" s="244">
      <c r="A17" s="475" t="inlineStr">
        <is>
          <t>112</t>
        </is>
      </c>
      <c r="B17" s="476" t="inlineStr">
        <is>
          <t>OFİS 2 ODA</t>
        </is>
      </c>
      <c r="C17" s="477" t="inlineStr">
        <is>
          <t>20</t>
        </is>
      </c>
      <c r="D17" s="478">
        <f>'1 NK'!Q73</f>
        <v/>
      </c>
      <c r="E17" s="479" t="n">
        <v>17.5</v>
      </c>
      <c r="F17" s="478">
        <f>'YERDEN ISITMA'!N17</f>
        <v/>
      </c>
      <c r="G17" s="475" t="n">
        <v>67.84</v>
      </c>
      <c r="H17" s="475" t="n">
        <v>2</v>
      </c>
      <c r="I17" s="475" t="inlineStr">
        <is>
          <t>ZEMİNDEN ISITMA</t>
        </is>
      </c>
      <c r="J17" s="264" t="n"/>
      <c r="K17" s="264" t="n"/>
      <c r="L17" s="264" t="n"/>
      <c r="M17" s="264" t="n"/>
      <c r="N17" s="264" t="n"/>
      <c r="O17" s="264" t="n"/>
      <c r="P17" s="260" t="n"/>
    </row>
    <row r="18" ht="12.75" customHeight="1" s="244">
      <c r="A18" s="475" t="inlineStr">
        <is>
          <t>113</t>
        </is>
      </c>
      <c r="B18" s="476" t="inlineStr">
        <is>
          <t>OFİS 2 ODA</t>
        </is>
      </c>
      <c r="C18" s="477" t="inlineStr">
        <is>
          <t>20</t>
        </is>
      </c>
      <c r="D18" s="478">
        <f>'1 NK'!Q81</f>
        <v/>
      </c>
      <c r="E18" s="479" t="n">
        <v>17.5</v>
      </c>
      <c r="F18" s="478">
        <f>'YERDEN ISITMA'!N18</f>
        <v/>
      </c>
      <c r="G18" s="475" t="n">
        <v>83.98</v>
      </c>
      <c r="H18" s="475" t="n">
        <v>2</v>
      </c>
      <c r="I18" s="475" t="inlineStr">
        <is>
          <t>ZEMİNDEN ISITMA</t>
        </is>
      </c>
      <c r="J18" s="264" t="n"/>
      <c r="K18" s="264" t="n"/>
      <c r="L18" s="264" t="n"/>
      <c r="M18" s="264" t="n"/>
      <c r="N18" s="264" t="n"/>
      <c r="O18" s="264" t="n"/>
      <c r="P18" s="260" t="n"/>
    </row>
    <row r="19" ht="12.75" customHeight="1" s="244">
      <c r="A19" s="475" t="inlineStr">
        <is>
          <t>114</t>
        </is>
      </c>
      <c r="B19" s="476" t="inlineStr">
        <is>
          <t>OFİS 2 MUTFAK</t>
        </is>
      </c>
      <c r="C19" s="477" t="inlineStr">
        <is>
          <t>20</t>
        </is>
      </c>
      <c r="D19" s="478">
        <f>'1 NK'!Q87</f>
        <v/>
      </c>
      <c r="E19" s="479" t="n">
        <v>17.5</v>
      </c>
      <c r="F19" s="478">
        <f>'YERDEN ISITMA'!N19</f>
        <v/>
      </c>
      <c r="G19" s="475" t="n">
        <v>14.94</v>
      </c>
      <c r="H19" s="475" t="n">
        <v>1</v>
      </c>
      <c r="I19" s="475" t="inlineStr">
        <is>
          <t>ZEMİNDEN ISITMA</t>
        </is>
      </c>
      <c r="J19" s="264" t="n"/>
      <c r="K19" s="264" t="n"/>
      <c r="L19" s="264" t="n"/>
      <c r="M19" s="264" t="n"/>
      <c r="N19" s="264" t="n"/>
      <c r="O19" s="264" t="n"/>
      <c r="P19" s="260" t="n"/>
    </row>
    <row r="20" ht="12.75" customHeight="1" s="244">
      <c r="A20" s="475" t="inlineStr">
        <is>
          <t>115</t>
        </is>
      </c>
      <c r="B20" s="476" t="inlineStr">
        <is>
          <t>OFİS 2 LVB.WC</t>
        </is>
      </c>
      <c r="C20" s="477" t="inlineStr">
        <is>
          <t>24</t>
        </is>
      </c>
      <c r="D20" s="478">
        <f>'1 NK'!Q93</f>
        <v/>
      </c>
      <c r="E20" s="479" t="n">
        <v>17.5</v>
      </c>
      <c r="F20" s="478">
        <f>'YERDEN ISITMA'!N20</f>
        <v/>
      </c>
      <c r="G20" s="475" t="n">
        <v>26.46</v>
      </c>
      <c r="H20" s="475" t="n">
        <v>1</v>
      </c>
      <c r="I20" s="475" t="inlineStr">
        <is>
          <t>ZEMİNDEN ISITMA</t>
        </is>
      </c>
      <c r="J20" s="264" t="n"/>
      <c r="K20" s="264" t="n"/>
      <c r="L20" s="264" t="n"/>
      <c r="M20" s="264" t="n"/>
      <c r="N20" s="264" t="n"/>
      <c r="O20" s="264" t="n"/>
      <c r="P20" s="260" t="n"/>
    </row>
    <row r="21" ht="12.75" customHeight="1" s="244">
      <c r="A21" s="475" t="inlineStr">
        <is>
          <t>119</t>
        </is>
      </c>
      <c r="B21" s="476" t="inlineStr">
        <is>
          <t>OFİS 2 HOL</t>
        </is>
      </c>
      <c r="C21" s="477" t="inlineStr">
        <is>
          <t>18</t>
        </is>
      </c>
      <c r="D21" s="478">
        <f>'1 NK'!Q100</f>
        <v/>
      </c>
      <c r="E21" s="479" t="n">
        <v>17.5</v>
      </c>
      <c r="F21" s="478">
        <f>'YERDEN ISITMA'!N21</f>
        <v/>
      </c>
      <c r="G21" s="475" t="n">
        <v>17.83</v>
      </c>
      <c r="H21" s="475" t="n">
        <v>1</v>
      </c>
      <c r="I21" s="475" t="inlineStr">
        <is>
          <t>ZEMİNDEN ISITMA (BAĞLANTI BORULARI)</t>
        </is>
      </c>
      <c r="J21" s="264" t="n"/>
      <c r="K21" s="264" t="n"/>
      <c r="L21" s="264" t="n"/>
      <c r="M21" s="264" t="n"/>
      <c r="N21" s="264" t="n"/>
      <c r="O21" s="264" t="n"/>
      <c r="P21" s="260" t="n"/>
    </row>
    <row r="22" ht="12.75" customHeight="1" s="244">
      <c r="A22" s="475" t="inlineStr">
        <is>
          <t>121</t>
        </is>
      </c>
      <c r="B22" s="476" t="inlineStr">
        <is>
          <t>OFİS 3 ODA</t>
        </is>
      </c>
      <c r="C22" s="477" t="inlineStr">
        <is>
          <t>20</t>
        </is>
      </c>
      <c r="D22" s="478">
        <f>'1 NK'!Q108</f>
        <v/>
      </c>
      <c r="E22" s="479" t="n">
        <v>17.5</v>
      </c>
      <c r="F22" s="478">
        <f>'YERDEN ISITMA'!N22</f>
        <v/>
      </c>
      <c r="G22" s="475" t="n">
        <v>88.65000000000001</v>
      </c>
      <c r="H22" s="475" t="n">
        <v>2</v>
      </c>
      <c r="I22" s="475" t="inlineStr">
        <is>
          <t>ZEMİNDEN ISITMA</t>
        </is>
      </c>
      <c r="J22" s="264" t="n"/>
      <c r="K22" s="264" t="n"/>
      <c r="L22" s="264" t="n"/>
      <c r="M22" s="264" t="n"/>
      <c r="N22" s="264" t="n"/>
      <c r="O22" s="264" t="n"/>
      <c r="P22" s="260" t="n"/>
    </row>
    <row r="23" ht="12.75" customHeight="1" s="244">
      <c r="A23" s="475" t="inlineStr">
        <is>
          <t>122</t>
        </is>
      </c>
      <c r="B23" s="476" t="inlineStr">
        <is>
          <t>OFİS 3 ODA</t>
        </is>
      </c>
      <c r="C23" s="477" t="inlineStr">
        <is>
          <t>20</t>
        </is>
      </c>
      <c r="D23" s="478">
        <f>'1 NK'!Q116</f>
        <v/>
      </c>
      <c r="E23" s="479" t="n">
        <v>17.5</v>
      </c>
      <c r="F23" s="478">
        <f>'YERDEN ISITMA'!N23</f>
        <v/>
      </c>
      <c r="G23" s="475" t="n">
        <v>66.3</v>
      </c>
      <c r="H23" s="475" t="n">
        <v>2</v>
      </c>
      <c r="I23" s="475" t="inlineStr">
        <is>
          <t>ZEMİNDEN ISITMA</t>
        </is>
      </c>
      <c r="J23" s="264" t="n"/>
      <c r="K23" s="264" t="n"/>
      <c r="L23" s="264" t="n"/>
      <c r="M23" s="264" t="n"/>
      <c r="N23" s="264" t="n"/>
      <c r="O23" s="264" t="n"/>
      <c r="P23" s="260" t="n"/>
    </row>
    <row r="24" ht="12.75" customHeight="1" s="244">
      <c r="A24" s="475" t="inlineStr">
        <is>
          <t>123</t>
        </is>
      </c>
      <c r="B24" s="476" t="inlineStr">
        <is>
          <t>OFİS 3 ODA</t>
        </is>
      </c>
      <c r="C24" s="477" t="inlineStr">
        <is>
          <t>20</t>
        </is>
      </c>
      <c r="D24" s="478">
        <f>'1 NK'!Q124</f>
        <v/>
      </c>
      <c r="E24" s="479" t="n">
        <v>17.5</v>
      </c>
      <c r="F24" s="478">
        <f>'YERDEN ISITMA'!N24</f>
        <v/>
      </c>
      <c r="G24" s="475" t="n">
        <v>65.64</v>
      </c>
      <c r="H24" s="475" t="n">
        <v>2</v>
      </c>
      <c r="I24" s="475" t="inlineStr">
        <is>
          <t>ZEMİNDEN ISITMA</t>
        </is>
      </c>
      <c r="J24" s="264" t="n"/>
      <c r="K24" s="264" t="n"/>
      <c r="L24" s="264" t="n"/>
      <c r="M24" s="264" t="n"/>
      <c r="N24" s="264" t="n"/>
      <c r="O24" s="264" t="n"/>
      <c r="P24" s="260" t="n"/>
    </row>
    <row r="25">
      <c r="A25" s="480" t="inlineStr">
        <is>
          <t>124</t>
        </is>
      </c>
      <c r="B25" s="481" t="inlineStr">
        <is>
          <t>OFİS 3 MUTFAK</t>
        </is>
      </c>
      <c r="C25" s="482" t="inlineStr">
        <is>
          <t>20</t>
        </is>
      </c>
      <c r="D25" s="483">
        <f>'1 NK'!Q130</f>
        <v/>
      </c>
      <c r="E25" s="484" t="n">
        <v>17.5</v>
      </c>
      <c r="F25" s="483">
        <f>'YERDEN ISITMA'!N25</f>
        <v/>
      </c>
      <c r="G25" s="480" t="n">
        <v>13.66</v>
      </c>
      <c r="H25" s="480" t="n">
        <v>1</v>
      </c>
      <c r="I25" s="480" t="inlineStr">
        <is>
          <t>ZEMİNDEN ISITMA</t>
        </is>
      </c>
      <c r="J25" s="264" t="n"/>
      <c r="K25" s="264" t="n"/>
      <c r="L25" s="264" t="n"/>
      <c r="M25" s="264" t="n"/>
      <c r="N25" s="264" t="n"/>
      <c r="O25" s="264" t="n"/>
      <c r="P25" s="260" t="n"/>
    </row>
    <row r="26">
      <c r="A26" s="480" t="inlineStr">
        <is>
          <t>125</t>
        </is>
      </c>
      <c r="B26" s="481" t="inlineStr">
        <is>
          <t>OFİS 3 LVB.WC</t>
        </is>
      </c>
      <c r="C26" s="482" t="inlineStr">
        <is>
          <t>24</t>
        </is>
      </c>
      <c r="D26" s="483">
        <f>'1 NK'!Q136</f>
        <v/>
      </c>
      <c r="E26" s="484" t="n">
        <v>17.5</v>
      </c>
      <c r="F26" s="483">
        <f>'YERDEN ISITMA'!N26</f>
        <v/>
      </c>
      <c r="G26" s="480" t="n">
        <v>24.16</v>
      </c>
      <c r="H26" s="480" t="n">
        <v>1</v>
      </c>
      <c r="I26" s="480" t="inlineStr">
        <is>
          <t>ZEMİNDEN ISITMA</t>
        </is>
      </c>
      <c r="J26" s="264" t="n"/>
      <c r="K26" s="264" t="n"/>
      <c r="L26" s="264" t="n"/>
      <c r="M26" s="264" t="n"/>
      <c r="N26" s="264" t="n"/>
      <c r="O26" s="264" t="n"/>
      <c r="P26" s="260" t="n"/>
    </row>
    <row r="27">
      <c r="A27" s="480" t="inlineStr">
        <is>
          <t>129</t>
        </is>
      </c>
      <c r="B27" s="481" t="inlineStr">
        <is>
          <t>OFİS 3 HOL</t>
        </is>
      </c>
      <c r="C27" s="482" t="inlineStr">
        <is>
          <t>18</t>
        </is>
      </c>
      <c r="D27" s="483">
        <f>'1 NK'!Q143</f>
        <v/>
      </c>
      <c r="E27" s="484" t="n">
        <v>17.5</v>
      </c>
      <c r="F27" s="483">
        <f>'YERDEN ISITMA'!N27</f>
        <v/>
      </c>
      <c r="G27" s="480" t="n">
        <v>14.2</v>
      </c>
      <c r="H27" s="480" t="n">
        <v>1</v>
      </c>
      <c r="I27" s="480" t="inlineStr">
        <is>
          <t>ZEMİNDEN ISITMA (BAĞLANTI BORULARI)</t>
        </is>
      </c>
      <c r="J27" s="264" t="n"/>
      <c r="K27" s="264" t="n"/>
      <c r="L27" s="264" t="n"/>
      <c r="M27" s="264" t="n"/>
      <c r="N27" s="264" t="n"/>
      <c r="O27" s="264" t="n"/>
      <c r="P27" s="260" t="n"/>
    </row>
    <row r="28">
      <c r="A28" s="480" t="inlineStr">
        <is>
          <t>131</t>
        </is>
      </c>
      <c r="B28" s="481" t="inlineStr">
        <is>
          <t>OFİS 4 ODA</t>
        </is>
      </c>
      <c r="C28" s="482" t="inlineStr">
        <is>
          <t>20</t>
        </is>
      </c>
      <c r="D28" s="483">
        <f>'1 NK'!Q152</f>
        <v/>
      </c>
      <c r="E28" s="484" t="n">
        <v>17.5</v>
      </c>
      <c r="F28" s="483">
        <f>'YERDEN ISITMA'!N28</f>
        <v/>
      </c>
      <c r="G28" s="480" t="n">
        <v>123.58</v>
      </c>
      <c r="H28" s="480" t="n">
        <v>2</v>
      </c>
      <c r="I28" s="480" t="inlineStr">
        <is>
          <t>ZEMİNDEN ISITMA</t>
        </is>
      </c>
      <c r="J28" s="264" t="n"/>
      <c r="K28" s="264" t="n"/>
      <c r="L28" s="264" t="n"/>
      <c r="M28" s="264" t="n"/>
      <c r="N28" s="264" t="n"/>
      <c r="O28" s="264" t="n"/>
      <c r="P28" s="260" t="n"/>
    </row>
    <row r="29">
      <c r="A29" s="480" t="inlineStr">
        <is>
          <t>132</t>
        </is>
      </c>
      <c r="B29" s="481" t="inlineStr">
        <is>
          <t>OFİS 4 ODA</t>
        </is>
      </c>
      <c r="C29" s="482" t="inlineStr">
        <is>
          <t>20</t>
        </is>
      </c>
      <c r="D29" s="483">
        <f>'1 NK'!Q161</f>
        <v/>
      </c>
      <c r="E29" s="484" t="n">
        <v>17.5</v>
      </c>
      <c r="F29" s="483">
        <f>'YERDEN ISITMA'!N29</f>
        <v/>
      </c>
      <c r="G29" s="480" t="n">
        <v>69.59999999999999</v>
      </c>
      <c r="H29" s="480" t="n">
        <v>1</v>
      </c>
      <c r="I29" s="480" t="inlineStr">
        <is>
          <t>ZEMİNDEN ISITMA</t>
        </is>
      </c>
      <c r="J29" s="264" t="n"/>
      <c r="K29" s="264" t="n"/>
      <c r="L29" s="264" t="n"/>
      <c r="M29" s="264" t="n"/>
      <c r="N29" s="264" t="n"/>
      <c r="O29" s="264" t="n"/>
      <c r="P29" s="260" t="n"/>
    </row>
    <row r="30">
      <c r="A30" s="480" t="inlineStr">
        <is>
          <t>133</t>
        </is>
      </c>
      <c r="B30" s="481" t="inlineStr">
        <is>
          <t>OFİS 4 ODA</t>
        </is>
      </c>
      <c r="C30" s="482" t="inlineStr">
        <is>
          <t>20</t>
        </is>
      </c>
      <c r="D30" s="483">
        <f>'1 NK'!Q169</f>
        <v/>
      </c>
      <c r="E30" s="484" t="n">
        <v>17.5</v>
      </c>
      <c r="F30" s="483">
        <f>'YERDEN ISITMA'!N30</f>
        <v/>
      </c>
      <c r="G30" s="480" t="n">
        <v>104.23</v>
      </c>
      <c r="H30" s="480" t="n">
        <v>2</v>
      </c>
      <c r="I30" s="480" t="inlineStr">
        <is>
          <t>ZEMİNDEN ISITMA</t>
        </is>
      </c>
      <c r="J30" s="264" t="n"/>
      <c r="K30" s="264" t="n"/>
      <c r="L30" s="264" t="n"/>
      <c r="M30" s="264" t="n"/>
      <c r="N30" s="264" t="n"/>
      <c r="O30" s="264" t="n"/>
      <c r="P30" s="260" t="n"/>
    </row>
    <row r="31">
      <c r="A31" s="480" t="inlineStr">
        <is>
          <t>134</t>
        </is>
      </c>
      <c r="B31" s="481" t="inlineStr">
        <is>
          <t>OFİS 4 MUTFAK</t>
        </is>
      </c>
      <c r="C31" s="482" t="inlineStr">
        <is>
          <t>20</t>
        </is>
      </c>
      <c r="D31" s="483">
        <f>'1 NK'!Q177</f>
        <v/>
      </c>
      <c r="E31" s="484" t="n">
        <v>17.5</v>
      </c>
      <c r="F31" s="483">
        <f>'YERDEN ISITMA'!N31</f>
        <v/>
      </c>
      <c r="G31" s="480" t="n">
        <v>15.22</v>
      </c>
      <c r="H31" s="480" t="n">
        <v>1</v>
      </c>
      <c r="I31" s="480" t="inlineStr">
        <is>
          <t>ZEMİNDEN ISITMA</t>
        </is>
      </c>
      <c r="J31" s="264" t="n"/>
      <c r="K31" s="264" t="n"/>
      <c r="L31" s="264" t="n"/>
      <c r="M31" s="264" t="n"/>
      <c r="N31" s="264" t="n"/>
      <c r="O31" s="264" t="n"/>
      <c r="P31" s="260" t="n"/>
    </row>
    <row r="32">
      <c r="A32" s="480" t="inlineStr">
        <is>
          <t>135</t>
        </is>
      </c>
      <c r="B32" s="481" t="inlineStr">
        <is>
          <t>OFİS 4 LVB.WC</t>
        </is>
      </c>
      <c r="C32" s="482" t="inlineStr">
        <is>
          <t>24</t>
        </is>
      </c>
      <c r="D32" s="483">
        <f>'1 NK'!Q186</f>
        <v/>
      </c>
      <c r="E32" s="484" t="n">
        <v>17.5</v>
      </c>
      <c r="F32" s="483">
        <f>'YERDEN ISITMA'!N32</f>
        <v/>
      </c>
      <c r="G32" s="480" t="n">
        <v>27.22</v>
      </c>
      <c r="H32" s="480" t="n">
        <v>1</v>
      </c>
      <c r="I32" s="480" t="inlineStr">
        <is>
          <t>ZEMİNDEN ISITMA</t>
        </is>
      </c>
      <c r="J32" s="264" t="n"/>
      <c r="K32" s="264" t="n"/>
      <c r="L32" s="264" t="n"/>
      <c r="M32" s="264" t="n"/>
      <c r="N32" s="264" t="n"/>
      <c r="O32" s="264" t="n"/>
      <c r="P32" s="260" t="n"/>
    </row>
    <row r="33">
      <c r="A33" s="480" t="inlineStr">
        <is>
          <t>139</t>
        </is>
      </c>
      <c r="B33" s="481" t="inlineStr">
        <is>
          <t>OFİS 4 HOL</t>
        </is>
      </c>
      <c r="C33" s="482" t="inlineStr">
        <is>
          <t>18</t>
        </is>
      </c>
      <c r="D33" s="483">
        <f>'1 NK'!Q193</f>
        <v/>
      </c>
      <c r="E33" s="484" t="n">
        <v>17.5</v>
      </c>
      <c r="F33" s="483">
        <f>'YERDEN ISITMA'!N33</f>
        <v/>
      </c>
      <c r="G33" s="480" t="n">
        <v>16.09</v>
      </c>
      <c r="H33" s="480" t="n">
        <v>1</v>
      </c>
      <c r="I33" s="480" t="inlineStr">
        <is>
          <t>ZEMİNDEN ISITMA (BAĞLANTI BORULARI)</t>
        </is>
      </c>
      <c r="J33" s="264" t="n"/>
      <c r="K33" s="264" t="n"/>
      <c r="L33" s="264" t="n"/>
      <c r="M33" s="264" t="n"/>
      <c r="N33" s="264" t="n"/>
      <c r="O33" s="264" t="n"/>
      <c r="P33" s="260" t="n"/>
    </row>
    <row r="34">
      <c r="A34" s="480" t="n"/>
      <c r="B34" s="480" t="n"/>
      <c r="C34" s="482" t="n"/>
      <c r="D34" s="483" t="n"/>
      <c r="E34" s="485" t="inlineStr">
        <is>
          <t>TOPLAM =</t>
        </is>
      </c>
      <c r="F34" s="486">
        <f>SUM(F10:F33)</f>
        <v/>
      </c>
      <c r="G34" s="480" t="inlineStr">
        <is>
          <t>watt</t>
        </is>
      </c>
      <c r="H34" s="480" t="n"/>
      <c r="I34" s="480" t="n"/>
      <c r="J34" s="480" t="n"/>
      <c r="K34" s="480" t="n"/>
      <c r="L34" s="480" t="n"/>
      <c r="M34" s="480" t="n"/>
      <c r="N34" s="480" t="n"/>
      <c r="O34" s="480" t="n"/>
      <c r="P34" s="480" t="n"/>
    </row>
    <row r="35">
      <c r="A35" s="480" t="inlineStr">
        <is>
          <t>201</t>
        </is>
      </c>
      <c r="B35" s="481" t="inlineStr">
        <is>
          <t>OFİS 5 ODA</t>
        </is>
      </c>
      <c r="C35" s="482" t="inlineStr">
        <is>
          <t>20</t>
        </is>
      </c>
      <c r="D35" s="483">
        <f>'2 NK'!Q17</f>
        <v/>
      </c>
      <c r="E35" s="484" t="n">
        <v>17.5</v>
      </c>
      <c r="F35" s="483">
        <f>'YERDEN ISITMA'!N35</f>
        <v/>
      </c>
      <c r="G35" s="480" t="n">
        <v>134.68</v>
      </c>
      <c r="H35" s="480" t="n">
        <v>2</v>
      </c>
      <c r="I35" s="480" t="inlineStr">
        <is>
          <t>ZEMİNDEN ISITMA</t>
        </is>
      </c>
      <c r="J35" s="264" t="n"/>
      <c r="K35" s="264" t="n"/>
      <c r="L35" s="264" t="n"/>
      <c r="M35" s="264" t="n"/>
      <c r="N35" s="264" t="n"/>
      <c r="O35" s="264" t="n"/>
      <c r="P35" s="260" t="n"/>
    </row>
    <row r="36">
      <c r="A36" s="480" t="inlineStr">
        <is>
          <t>202</t>
        </is>
      </c>
      <c r="B36" s="481" t="inlineStr">
        <is>
          <t>OFİS 5 ODA</t>
        </is>
      </c>
      <c r="C36" s="482" t="inlineStr">
        <is>
          <t>20</t>
        </is>
      </c>
      <c r="D36" s="483">
        <f>'2 NK'!Q27</f>
        <v/>
      </c>
      <c r="E36" s="484" t="n">
        <v>17.5</v>
      </c>
      <c r="F36" s="483">
        <f>'YERDEN ISITMA'!N36</f>
        <v/>
      </c>
      <c r="G36" s="480" t="n">
        <v>69.88</v>
      </c>
      <c r="H36" s="480" t="n">
        <v>1</v>
      </c>
      <c r="I36" s="480" t="inlineStr">
        <is>
          <t>ZEMİNDEN ISITMA</t>
        </is>
      </c>
      <c r="J36" s="264" t="n"/>
      <c r="K36" s="264" t="n"/>
      <c r="L36" s="264" t="n"/>
      <c r="M36" s="264" t="n"/>
      <c r="N36" s="264" t="n"/>
      <c r="O36" s="264" t="n"/>
      <c r="P36" s="260" t="n"/>
    </row>
    <row r="37">
      <c r="A37" s="480" t="inlineStr">
        <is>
          <t>203</t>
        </is>
      </c>
      <c r="B37" s="481" t="inlineStr">
        <is>
          <t>OFİS 5 ODA</t>
        </is>
      </c>
      <c r="C37" s="482" t="inlineStr">
        <is>
          <t>20</t>
        </is>
      </c>
      <c r="D37" s="483">
        <f>'2 NK'!Q36</f>
        <v/>
      </c>
      <c r="E37" s="484" t="n">
        <v>17.5</v>
      </c>
      <c r="F37" s="483">
        <f>'YERDEN ISITMA'!N37</f>
        <v/>
      </c>
      <c r="G37" s="480" t="n">
        <v>106.9</v>
      </c>
      <c r="H37" s="480" t="n">
        <v>2</v>
      </c>
      <c r="I37" s="480" t="inlineStr">
        <is>
          <t>ZEMİNDEN ISITMA</t>
        </is>
      </c>
      <c r="J37" s="264" t="n"/>
      <c r="K37" s="264" t="n"/>
      <c r="L37" s="264" t="n"/>
      <c r="M37" s="264" t="n"/>
      <c r="N37" s="264" t="n"/>
      <c r="O37" s="264" t="n"/>
      <c r="P37" s="260" t="n"/>
    </row>
    <row r="38">
      <c r="A38" s="480" t="inlineStr">
        <is>
          <t>204</t>
        </is>
      </c>
      <c r="B38" s="481" t="inlineStr">
        <is>
          <t>OFİS 5 MUTFAK</t>
        </is>
      </c>
      <c r="C38" s="482" t="inlineStr">
        <is>
          <t>20</t>
        </is>
      </c>
      <c r="D38" s="483">
        <f>'2 NK'!Q45</f>
        <v/>
      </c>
      <c r="E38" s="484" t="n">
        <v>17.5</v>
      </c>
      <c r="F38" s="483">
        <f>'YERDEN ISITMA'!N38</f>
        <v/>
      </c>
      <c r="G38" s="480" t="n">
        <v>15.18</v>
      </c>
      <c r="H38" s="480" t="n">
        <v>1</v>
      </c>
      <c r="I38" s="480" t="inlineStr">
        <is>
          <t>ZEMİNDEN ISITMA</t>
        </is>
      </c>
      <c r="J38" s="264" t="n"/>
      <c r="K38" s="264" t="n"/>
      <c r="L38" s="264" t="n"/>
      <c r="M38" s="264" t="n"/>
      <c r="N38" s="264" t="n"/>
      <c r="O38" s="264" t="n"/>
      <c r="P38" s="260" t="n"/>
    </row>
    <row r="39">
      <c r="A39" s="480" t="inlineStr">
        <is>
          <t>205</t>
        </is>
      </c>
      <c r="B39" s="481" t="inlineStr">
        <is>
          <t>OFİS 5 LVB.WC</t>
        </is>
      </c>
      <c r="C39" s="482" t="inlineStr">
        <is>
          <t>24</t>
        </is>
      </c>
      <c r="D39" s="483">
        <f>'2 NK'!Q55</f>
        <v/>
      </c>
      <c r="E39" s="484" t="n">
        <v>17.5</v>
      </c>
      <c r="F39" s="483">
        <f>'YERDEN ISITMA'!N39</f>
        <v/>
      </c>
      <c r="G39" s="480" t="n">
        <v>22.84</v>
      </c>
      <c r="H39" s="480" t="n">
        <v>1</v>
      </c>
      <c r="I39" s="480" t="inlineStr">
        <is>
          <t>ZEMİNDEN ISITMA</t>
        </is>
      </c>
      <c r="J39" s="264" t="n"/>
      <c r="K39" s="264" t="n"/>
      <c r="L39" s="264" t="n"/>
      <c r="M39" s="264" t="n"/>
      <c r="N39" s="264" t="n"/>
      <c r="O39" s="264" t="n"/>
      <c r="P39" s="260" t="n"/>
    </row>
    <row r="40">
      <c r="A40" s="480" t="inlineStr">
        <is>
          <t>209</t>
        </is>
      </c>
      <c r="B40" s="481" t="inlineStr">
        <is>
          <t>OFİS 5 HOL</t>
        </is>
      </c>
      <c r="C40" s="482" t="inlineStr">
        <is>
          <t>18</t>
        </is>
      </c>
      <c r="D40" s="483">
        <f>'2 NK'!Q63</f>
        <v/>
      </c>
      <c r="E40" s="484" t="n">
        <v>17.5</v>
      </c>
      <c r="F40" s="483">
        <f>'YERDEN ISITMA'!N40</f>
        <v/>
      </c>
      <c r="G40" s="480" t="n">
        <v>20.45</v>
      </c>
      <c r="H40" s="480" t="n">
        <v>1</v>
      </c>
      <c r="I40" s="480" t="inlineStr">
        <is>
          <t>ZEMİNDEN ISITMA (BAĞLANTI BORULARI)</t>
        </is>
      </c>
      <c r="J40" s="264" t="n"/>
      <c r="K40" s="264" t="n"/>
      <c r="L40" s="264" t="n"/>
      <c r="M40" s="264" t="n"/>
      <c r="N40" s="264" t="n"/>
      <c r="O40" s="264" t="n"/>
      <c r="P40" s="260" t="n"/>
    </row>
    <row r="41">
      <c r="A41" s="480" t="inlineStr">
        <is>
          <t>211</t>
        </is>
      </c>
      <c r="B41" s="481" t="inlineStr">
        <is>
          <t>OFİS 6 ODA</t>
        </is>
      </c>
      <c r="C41" s="482" t="inlineStr">
        <is>
          <t>20</t>
        </is>
      </c>
      <c r="D41" s="483">
        <f>'2 NK'!Q72</f>
        <v/>
      </c>
      <c r="E41" s="484" t="n">
        <v>17.5</v>
      </c>
      <c r="F41" s="483">
        <f>'YERDEN ISITMA'!N41</f>
        <v/>
      </c>
      <c r="G41" s="480" t="n">
        <v>72.68000000000001</v>
      </c>
      <c r="H41" s="480" t="n">
        <v>2</v>
      </c>
      <c r="I41" s="480" t="inlineStr">
        <is>
          <t>ZEMİNDEN ISITMA</t>
        </is>
      </c>
      <c r="J41" s="264" t="n"/>
      <c r="K41" s="264" t="n"/>
      <c r="L41" s="264" t="n"/>
      <c r="M41" s="264" t="n"/>
      <c r="N41" s="264" t="n"/>
      <c r="O41" s="264" t="n"/>
      <c r="P41" s="260" t="n"/>
    </row>
    <row r="42">
      <c r="A42" s="480" t="inlineStr">
        <is>
          <t>212</t>
        </is>
      </c>
      <c r="B42" s="481" t="inlineStr">
        <is>
          <t>OFİS 6 ODA</t>
        </is>
      </c>
      <c r="C42" s="482" t="inlineStr">
        <is>
          <t>20</t>
        </is>
      </c>
      <c r="D42" s="483">
        <f>'2 NK'!Q81</f>
        <v/>
      </c>
      <c r="E42" s="484" t="n">
        <v>17.5</v>
      </c>
      <c r="F42" s="483">
        <f>'YERDEN ISITMA'!N42</f>
        <v/>
      </c>
      <c r="G42" s="480" t="n">
        <v>67.84</v>
      </c>
      <c r="H42" s="480" t="n">
        <v>2</v>
      </c>
      <c r="I42" s="480" t="inlineStr">
        <is>
          <t>ZEMİNDEN ISITMA</t>
        </is>
      </c>
      <c r="J42" s="264" t="n"/>
      <c r="K42" s="264" t="n"/>
      <c r="L42" s="264" t="n"/>
      <c r="M42" s="264" t="n"/>
      <c r="N42" s="264" t="n"/>
      <c r="O42" s="264" t="n"/>
      <c r="P42" s="260" t="n"/>
    </row>
    <row r="43">
      <c r="A43" s="480" t="inlineStr">
        <is>
          <t>213</t>
        </is>
      </c>
      <c r="B43" s="481" t="inlineStr">
        <is>
          <t>OFİS 6 ODA</t>
        </is>
      </c>
      <c r="C43" s="482" t="inlineStr">
        <is>
          <t>20</t>
        </is>
      </c>
      <c r="D43" s="483">
        <f>'2 NK'!Q90</f>
        <v/>
      </c>
      <c r="E43" s="484" t="n">
        <v>17.5</v>
      </c>
      <c r="F43" s="483">
        <f>'YERDEN ISITMA'!N43</f>
        <v/>
      </c>
      <c r="G43" s="480" t="n">
        <v>83.98</v>
      </c>
      <c r="H43" s="480" t="n">
        <v>2</v>
      </c>
      <c r="I43" s="480" t="inlineStr">
        <is>
          <t>ZEMİNDEN ISITMA</t>
        </is>
      </c>
      <c r="J43" s="264" t="n"/>
      <c r="K43" s="264" t="n"/>
      <c r="L43" s="264" t="n"/>
      <c r="M43" s="264" t="n"/>
      <c r="N43" s="264" t="n"/>
      <c r="O43" s="264" t="n"/>
      <c r="P43" s="260" t="n"/>
    </row>
    <row r="44">
      <c r="A44" s="480" t="inlineStr">
        <is>
          <t>214</t>
        </is>
      </c>
      <c r="B44" s="481" t="inlineStr">
        <is>
          <t>OFİS 6 MUTFAK</t>
        </is>
      </c>
      <c r="C44" s="482" t="inlineStr">
        <is>
          <t>20</t>
        </is>
      </c>
      <c r="D44" s="483">
        <f>'2 NK'!Q97</f>
        <v/>
      </c>
      <c r="E44" s="484" t="n">
        <v>17.5</v>
      </c>
      <c r="F44" s="483">
        <f>'YERDEN ISITMA'!N44</f>
        <v/>
      </c>
      <c r="G44" s="480" t="n">
        <v>14.94</v>
      </c>
      <c r="H44" s="480" t="n">
        <v>1</v>
      </c>
      <c r="I44" s="480" t="inlineStr">
        <is>
          <t>ZEMİNDEN ISITMA</t>
        </is>
      </c>
      <c r="J44" s="264" t="n"/>
      <c r="K44" s="264" t="n"/>
      <c r="L44" s="264" t="n"/>
      <c r="M44" s="264" t="n"/>
      <c r="N44" s="264" t="n"/>
      <c r="O44" s="264" t="n"/>
      <c r="P44" s="260" t="n"/>
    </row>
    <row r="45">
      <c r="A45" s="480" t="inlineStr">
        <is>
          <t>215</t>
        </is>
      </c>
      <c r="B45" s="481" t="inlineStr">
        <is>
          <t>OFİS 6 LVB.WC</t>
        </is>
      </c>
      <c r="C45" s="482" t="inlineStr">
        <is>
          <t>24</t>
        </is>
      </c>
      <c r="D45" s="483">
        <f>'2 NK'!Q104</f>
        <v/>
      </c>
      <c r="E45" s="484" t="n">
        <v>17.5</v>
      </c>
      <c r="F45" s="483">
        <f>'YERDEN ISITMA'!N45</f>
        <v/>
      </c>
      <c r="G45" s="480" t="n">
        <v>26.46</v>
      </c>
      <c r="H45" s="480" t="n">
        <v>1</v>
      </c>
      <c r="I45" s="480" t="inlineStr">
        <is>
          <t>ZEMİNDEN ISITMA</t>
        </is>
      </c>
      <c r="J45" s="264" t="n"/>
      <c r="K45" s="264" t="n"/>
      <c r="L45" s="264" t="n"/>
      <c r="M45" s="264" t="n"/>
      <c r="N45" s="264" t="n"/>
      <c r="O45" s="264" t="n"/>
      <c r="P45" s="260" t="n"/>
    </row>
    <row r="46">
      <c r="A46" s="480" t="inlineStr">
        <is>
          <t>219</t>
        </is>
      </c>
      <c r="B46" s="481" t="inlineStr">
        <is>
          <t>OFİS 6 HOL</t>
        </is>
      </c>
      <c r="C46" s="482" t="inlineStr">
        <is>
          <t>18</t>
        </is>
      </c>
      <c r="D46" s="483">
        <f>'2 NK'!Q112</f>
        <v/>
      </c>
      <c r="E46" s="484" t="n">
        <v>17.5</v>
      </c>
      <c r="F46" s="483">
        <f>'YERDEN ISITMA'!N46</f>
        <v/>
      </c>
      <c r="G46" s="480" t="n">
        <v>17.83</v>
      </c>
      <c r="H46" s="480" t="n">
        <v>1</v>
      </c>
      <c r="I46" s="480" t="inlineStr">
        <is>
          <t>ZEMİNDEN ISITMA (BAĞLANTI BORULARI)</t>
        </is>
      </c>
      <c r="J46" s="264" t="n"/>
      <c r="K46" s="264" t="n"/>
      <c r="L46" s="264" t="n"/>
      <c r="M46" s="264" t="n"/>
      <c r="N46" s="264" t="n"/>
      <c r="O46" s="264" t="n"/>
      <c r="P46" s="260" t="n"/>
    </row>
    <row r="47">
      <c r="A47" s="480" t="inlineStr">
        <is>
          <t>221</t>
        </is>
      </c>
      <c r="B47" s="481" t="inlineStr">
        <is>
          <t>OFİS 7 ODA</t>
        </is>
      </c>
      <c r="C47" s="482" t="inlineStr">
        <is>
          <t>20</t>
        </is>
      </c>
      <c r="D47" s="483">
        <f>'2 NK'!Q121</f>
        <v/>
      </c>
      <c r="E47" s="484" t="n">
        <v>17.5</v>
      </c>
      <c r="F47" s="483">
        <f>'YERDEN ISITMA'!N47</f>
        <v/>
      </c>
      <c r="G47" s="480" t="n">
        <v>88.65000000000001</v>
      </c>
      <c r="H47" s="480" t="n">
        <v>2</v>
      </c>
      <c r="I47" s="480" t="inlineStr">
        <is>
          <t>ZEMİNDEN ISITMA</t>
        </is>
      </c>
      <c r="J47" s="264" t="n"/>
      <c r="K47" s="264" t="n"/>
      <c r="L47" s="264" t="n"/>
      <c r="M47" s="264" t="n"/>
      <c r="N47" s="264" t="n"/>
      <c r="O47" s="264" t="n"/>
      <c r="P47" s="260" t="n"/>
    </row>
    <row r="48">
      <c r="A48" s="480" t="inlineStr">
        <is>
          <t>222</t>
        </is>
      </c>
      <c r="B48" s="481" t="inlineStr">
        <is>
          <t>OFİS 7 ODA</t>
        </is>
      </c>
      <c r="C48" s="482" t="inlineStr">
        <is>
          <t>20</t>
        </is>
      </c>
      <c r="D48" s="483">
        <f>'2 NK'!Q130</f>
        <v/>
      </c>
      <c r="E48" s="484" t="n">
        <v>17.5</v>
      </c>
      <c r="F48" s="483">
        <f>'YERDEN ISITMA'!N48</f>
        <v/>
      </c>
      <c r="G48" s="480" t="n">
        <v>66.3</v>
      </c>
      <c r="H48" s="480" t="n">
        <v>2</v>
      </c>
      <c r="I48" s="480" t="inlineStr">
        <is>
          <t>ZEMİNDEN ISITMA</t>
        </is>
      </c>
      <c r="J48" s="264" t="n"/>
      <c r="K48" s="264" t="n"/>
      <c r="L48" s="264" t="n"/>
      <c r="M48" s="264" t="n"/>
      <c r="N48" s="264" t="n"/>
      <c r="O48" s="264" t="n"/>
      <c r="P48" s="260" t="n"/>
    </row>
    <row r="49">
      <c r="A49" s="480" t="inlineStr">
        <is>
          <t>223</t>
        </is>
      </c>
      <c r="B49" s="481" t="inlineStr">
        <is>
          <t>OFİS 7 ODA</t>
        </is>
      </c>
      <c r="C49" s="482" t="inlineStr">
        <is>
          <t>20</t>
        </is>
      </c>
      <c r="D49" s="483">
        <f>'2 NK'!Q139</f>
        <v/>
      </c>
      <c r="E49" s="484" t="n">
        <v>17.5</v>
      </c>
      <c r="F49" s="483">
        <f>'YERDEN ISITMA'!N49</f>
        <v/>
      </c>
      <c r="G49" s="480" t="n">
        <v>65.64</v>
      </c>
      <c r="H49" s="480" t="n">
        <v>2</v>
      </c>
      <c r="I49" s="480" t="inlineStr">
        <is>
          <t>ZEMİNDEN ISITMA</t>
        </is>
      </c>
      <c r="J49" s="264" t="n"/>
      <c r="K49" s="264" t="n"/>
      <c r="L49" s="264" t="n"/>
      <c r="M49" s="264" t="n"/>
      <c r="N49" s="264" t="n"/>
      <c r="O49" s="264" t="n"/>
      <c r="P49" s="260" t="n"/>
    </row>
    <row r="50">
      <c r="A50" s="480" t="inlineStr">
        <is>
          <t>224</t>
        </is>
      </c>
      <c r="B50" s="481" t="inlineStr">
        <is>
          <t>OFİS 7 MUTFAK</t>
        </is>
      </c>
      <c r="C50" s="482" t="inlineStr">
        <is>
          <t>20</t>
        </is>
      </c>
      <c r="D50" s="483">
        <f>'2 NK'!Q146</f>
        <v/>
      </c>
      <c r="E50" s="484" t="n">
        <v>17.5</v>
      </c>
      <c r="F50" s="483">
        <f>'YERDEN ISITMA'!N50</f>
        <v/>
      </c>
      <c r="G50" s="480" t="n">
        <v>13.66</v>
      </c>
      <c r="H50" s="480" t="n">
        <v>1</v>
      </c>
      <c r="I50" s="480" t="inlineStr">
        <is>
          <t>ZEMİNDEN ISITMA</t>
        </is>
      </c>
      <c r="J50" s="264" t="n"/>
      <c r="K50" s="264" t="n"/>
      <c r="L50" s="264" t="n"/>
      <c r="M50" s="264" t="n"/>
      <c r="N50" s="264" t="n"/>
      <c r="O50" s="264" t="n"/>
      <c r="P50" s="260" t="n"/>
    </row>
    <row r="51">
      <c r="A51" s="480" t="inlineStr">
        <is>
          <t>225</t>
        </is>
      </c>
      <c r="B51" s="481" t="inlineStr">
        <is>
          <t>OFİS 7 LVB.WC</t>
        </is>
      </c>
      <c r="C51" s="482" t="inlineStr">
        <is>
          <t>24</t>
        </is>
      </c>
      <c r="D51" s="483">
        <f>'2 NK'!Q153</f>
        <v/>
      </c>
      <c r="E51" s="484" t="n">
        <v>17.5</v>
      </c>
      <c r="F51" s="483">
        <f>'YERDEN ISITMA'!N51</f>
        <v/>
      </c>
      <c r="G51" s="480" t="n">
        <v>24.16</v>
      </c>
      <c r="H51" s="480" t="n">
        <v>1</v>
      </c>
      <c r="I51" s="480" t="inlineStr">
        <is>
          <t>ZEMİNDEN ISITMA</t>
        </is>
      </c>
      <c r="J51" s="264" t="n"/>
      <c r="K51" s="264" t="n"/>
      <c r="L51" s="264" t="n"/>
      <c r="M51" s="264" t="n"/>
      <c r="N51" s="264" t="n"/>
      <c r="O51" s="264" t="n"/>
      <c r="P51" s="260" t="n"/>
    </row>
    <row r="52">
      <c r="A52" s="480" t="inlineStr">
        <is>
          <t>229</t>
        </is>
      </c>
      <c r="B52" s="481" t="inlineStr">
        <is>
          <t>OFİS 7 HOL</t>
        </is>
      </c>
      <c r="C52" s="482" t="inlineStr">
        <is>
          <t>18</t>
        </is>
      </c>
      <c r="D52" s="483">
        <f>'2 NK'!Q161</f>
        <v/>
      </c>
      <c r="E52" s="484" t="n">
        <v>17.5</v>
      </c>
      <c r="F52" s="483">
        <f>'YERDEN ISITMA'!N52</f>
        <v/>
      </c>
      <c r="G52" s="480" t="n">
        <v>14.2</v>
      </c>
      <c r="H52" s="480" t="n">
        <v>1</v>
      </c>
      <c r="I52" s="480" t="inlineStr">
        <is>
          <t>ZEMİNDEN ISITMA (BAĞLANTI BORULARI)</t>
        </is>
      </c>
      <c r="J52" s="264" t="n"/>
      <c r="K52" s="264" t="n"/>
      <c r="L52" s="264" t="n"/>
      <c r="M52" s="264" t="n"/>
      <c r="N52" s="264" t="n"/>
      <c r="O52" s="264" t="n"/>
      <c r="P52" s="260" t="n"/>
    </row>
    <row r="53">
      <c r="A53" s="480" t="inlineStr">
        <is>
          <t>231</t>
        </is>
      </c>
      <c r="B53" s="481" t="inlineStr">
        <is>
          <t>OFİS 8 ODA</t>
        </is>
      </c>
      <c r="C53" s="482" t="inlineStr">
        <is>
          <t>20</t>
        </is>
      </c>
      <c r="D53" s="483">
        <f>'2 NK'!Q171</f>
        <v/>
      </c>
      <c r="E53" s="484" t="n">
        <v>17.5</v>
      </c>
      <c r="F53" s="483">
        <f>'YERDEN ISITMA'!N53</f>
        <v/>
      </c>
      <c r="G53" s="480" t="n">
        <v>123.58</v>
      </c>
      <c r="H53" s="480" t="n">
        <v>2</v>
      </c>
      <c r="I53" s="480" t="inlineStr">
        <is>
          <t>ZEMİNDEN ISITMA</t>
        </is>
      </c>
      <c r="J53" s="264" t="n"/>
      <c r="K53" s="264" t="n"/>
      <c r="L53" s="264" t="n"/>
      <c r="M53" s="264" t="n"/>
      <c r="N53" s="264" t="n"/>
      <c r="O53" s="264" t="n"/>
      <c r="P53" s="260" t="n"/>
    </row>
    <row r="54">
      <c r="A54" s="480" t="inlineStr">
        <is>
          <t>232</t>
        </is>
      </c>
      <c r="B54" s="481" t="inlineStr">
        <is>
          <t>OFİS 8 ODA</t>
        </is>
      </c>
      <c r="C54" s="482" t="inlineStr">
        <is>
          <t>20</t>
        </is>
      </c>
      <c r="D54" s="483">
        <f>'2 NK'!Q181</f>
        <v/>
      </c>
      <c r="E54" s="484" t="n">
        <v>17.5</v>
      </c>
      <c r="F54" s="483">
        <f>'YERDEN ISITMA'!N54</f>
        <v/>
      </c>
      <c r="G54" s="480" t="n">
        <v>69.59999999999999</v>
      </c>
      <c r="H54" s="480" t="n">
        <v>1</v>
      </c>
      <c r="I54" s="480" t="inlineStr">
        <is>
          <t>ZEMİNDEN ISITMA</t>
        </is>
      </c>
      <c r="J54" s="264" t="n"/>
      <c r="K54" s="264" t="n"/>
      <c r="L54" s="264" t="n"/>
      <c r="M54" s="264" t="n"/>
      <c r="N54" s="264" t="n"/>
      <c r="O54" s="264" t="n"/>
      <c r="P54" s="260" t="n"/>
    </row>
    <row r="55">
      <c r="A55" s="480" t="inlineStr">
        <is>
          <t>233</t>
        </is>
      </c>
      <c r="B55" s="481" t="inlineStr">
        <is>
          <t>OFİS 8 ODA</t>
        </is>
      </c>
      <c r="C55" s="482" t="inlineStr">
        <is>
          <t>20</t>
        </is>
      </c>
      <c r="D55" s="483">
        <f>'2 NK'!Q190</f>
        <v/>
      </c>
      <c r="E55" s="484" t="n">
        <v>17.5</v>
      </c>
      <c r="F55" s="483">
        <f>'YERDEN ISITMA'!N55</f>
        <v/>
      </c>
      <c r="G55" s="480" t="n">
        <v>104.23</v>
      </c>
      <c r="H55" s="480" t="n">
        <v>2</v>
      </c>
      <c r="I55" s="480" t="inlineStr">
        <is>
          <t>ZEMİNDEN ISITMA</t>
        </is>
      </c>
      <c r="J55" s="264" t="n"/>
      <c r="K55" s="264" t="n"/>
      <c r="L55" s="264" t="n"/>
      <c r="M55" s="264" t="n"/>
      <c r="N55" s="264" t="n"/>
      <c r="O55" s="264" t="n"/>
      <c r="P55" s="260" t="n"/>
    </row>
    <row r="56">
      <c r="A56" s="480" t="inlineStr">
        <is>
          <t>234</t>
        </is>
      </c>
      <c r="B56" s="481" t="inlineStr">
        <is>
          <t>OFİS 8 MUTFAK</t>
        </is>
      </c>
      <c r="C56" s="482" t="inlineStr">
        <is>
          <t>20</t>
        </is>
      </c>
      <c r="D56" s="483">
        <f>'2 NK'!Q199</f>
        <v/>
      </c>
      <c r="E56" s="484" t="n">
        <v>17.5</v>
      </c>
      <c r="F56" s="483">
        <f>'YERDEN ISITMA'!N56</f>
        <v/>
      </c>
      <c r="G56" s="480" t="n">
        <v>15.22</v>
      </c>
      <c r="H56" s="480" t="n">
        <v>1</v>
      </c>
      <c r="I56" s="480" t="inlineStr">
        <is>
          <t>ZEMİNDEN ISITMA</t>
        </is>
      </c>
      <c r="J56" s="264" t="n"/>
      <c r="K56" s="264" t="n"/>
      <c r="L56" s="264" t="n"/>
      <c r="M56" s="264" t="n"/>
      <c r="N56" s="264" t="n"/>
      <c r="O56" s="264" t="n"/>
      <c r="P56" s="260" t="n"/>
    </row>
    <row r="57">
      <c r="A57" s="480" t="inlineStr">
        <is>
          <t>235</t>
        </is>
      </c>
      <c r="B57" s="481" t="inlineStr">
        <is>
          <t>OFİS 8 LVB.WC</t>
        </is>
      </c>
      <c r="C57" s="482" t="inlineStr">
        <is>
          <t>24</t>
        </is>
      </c>
      <c r="D57" s="483">
        <f>'2 NK'!Q209</f>
        <v/>
      </c>
      <c r="E57" s="484" t="n">
        <v>17.5</v>
      </c>
      <c r="F57" s="483">
        <f>'YERDEN ISITMA'!N57</f>
        <v/>
      </c>
      <c r="G57" s="480" t="n">
        <v>27.22</v>
      </c>
      <c r="H57" s="480" t="n">
        <v>1</v>
      </c>
      <c r="I57" s="480" t="inlineStr">
        <is>
          <t>ZEMİNDEN ISITMA</t>
        </is>
      </c>
      <c r="J57" s="264" t="n"/>
      <c r="K57" s="264" t="n"/>
      <c r="L57" s="264" t="n"/>
      <c r="M57" s="264" t="n"/>
      <c r="N57" s="264" t="n"/>
      <c r="O57" s="264" t="n"/>
      <c r="P57" s="260" t="n"/>
    </row>
    <row r="58">
      <c r="A58" s="480" t="inlineStr">
        <is>
          <t>239</t>
        </is>
      </c>
      <c r="B58" s="481" t="inlineStr">
        <is>
          <t>OFİS 8 HOL</t>
        </is>
      </c>
      <c r="C58" s="482" t="inlineStr">
        <is>
          <t>18</t>
        </is>
      </c>
      <c r="D58" s="483">
        <f>'2 NK'!Q217</f>
        <v/>
      </c>
      <c r="E58" s="484" t="n">
        <v>17.5</v>
      </c>
      <c r="F58" s="483">
        <f>'YERDEN ISITMA'!N58</f>
        <v/>
      </c>
      <c r="G58" s="480" t="n">
        <v>16.09</v>
      </c>
      <c r="H58" s="480" t="n">
        <v>1</v>
      </c>
      <c r="I58" s="480" t="inlineStr">
        <is>
          <t>ZEMİNDEN ISITMA (BAĞLANTI BORULARI)</t>
        </is>
      </c>
      <c r="J58" s="264" t="n"/>
      <c r="K58" s="264" t="n"/>
      <c r="L58" s="264" t="n"/>
      <c r="M58" s="264" t="n"/>
      <c r="N58" s="264" t="n"/>
      <c r="O58" s="264" t="n"/>
      <c r="P58" s="260" t="n"/>
    </row>
    <row r="59">
      <c r="A59" s="480" t="n"/>
      <c r="B59" s="480" t="n"/>
      <c r="C59" s="482" t="n"/>
      <c r="D59" s="483" t="n"/>
      <c r="E59" s="485" t="inlineStr">
        <is>
          <t>TOPLAM =</t>
        </is>
      </c>
      <c r="F59" s="486">
        <f>SUM(F35:F58)</f>
        <v/>
      </c>
      <c r="G59" s="480" t="inlineStr">
        <is>
          <t>watt</t>
        </is>
      </c>
      <c r="H59" s="480" t="n"/>
      <c r="I59" s="480" t="n"/>
      <c r="J59" s="480" t="n"/>
      <c r="K59" s="480" t="n"/>
      <c r="L59" s="480" t="n"/>
      <c r="M59" s="480" t="n"/>
      <c r="N59" s="480" t="n"/>
      <c r="O59" s="480" t="n"/>
      <c r="P59" s="480" t="n"/>
    </row>
    <row r="60"/>
  </sheetData>
  <mergeCells count="75">
    <mergeCell ref="I30:P30"/>
    <mergeCell ref="I15:P15"/>
    <mergeCell ref="P7:P9"/>
    <mergeCell ref="I11:P11"/>
    <mergeCell ref="C5:G5"/>
    <mergeCell ref="I46:P46"/>
    <mergeCell ref="I49:P49"/>
    <mergeCell ref="H6:H9"/>
    <mergeCell ref="I36:P36"/>
    <mergeCell ref="J6:J9"/>
    <mergeCell ref="I27:P27"/>
    <mergeCell ref="I45:P45"/>
    <mergeCell ref="I26:P26"/>
    <mergeCell ref="I57:P57"/>
    <mergeCell ref="H1:M2"/>
    <mergeCell ref="K7:K9"/>
    <mergeCell ref="I54:P54"/>
    <mergeCell ref="O7:O9"/>
    <mergeCell ref="A6:A9"/>
    <mergeCell ref="I25:P25"/>
    <mergeCell ref="I16:P16"/>
    <mergeCell ref="I41:P41"/>
    <mergeCell ref="I32:P32"/>
    <mergeCell ref="I47:P47"/>
    <mergeCell ref="I22:P22"/>
    <mergeCell ref="I28:P28"/>
    <mergeCell ref="C6:C8"/>
    <mergeCell ref="D6:D8"/>
    <mergeCell ref="N7:N9"/>
    <mergeCell ref="N6:P6"/>
    <mergeCell ref="F6:F8"/>
    <mergeCell ref="N3:P4"/>
    <mergeCell ref="I37:P37"/>
    <mergeCell ref="I53:P53"/>
    <mergeCell ref="I43:P43"/>
    <mergeCell ref="I18:P18"/>
    <mergeCell ref="I12:P12"/>
    <mergeCell ref="I56:P56"/>
    <mergeCell ref="I58:P58"/>
    <mergeCell ref="I21:P21"/>
    <mergeCell ref="K6:M6"/>
    <mergeCell ref="L7:L9"/>
    <mergeCell ref="I13:P13"/>
    <mergeCell ref="H5:P5"/>
    <mergeCell ref="A5:B5"/>
    <mergeCell ref="I33:P33"/>
    <mergeCell ref="B6:B9"/>
    <mergeCell ref="I55:P55"/>
    <mergeCell ref="I24:P24"/>
    <mergeCell ref="I42:P42"/>
    <mergeCell ref="I14:P14"/>
    <mergeCell ref="I52:P52"/>
    <mergeCell ref="I23:P23"/>
    <mergeCell ref="I17:P17"/>
    <mergeCell ref="I39:P39"/>
    <mergeCell ref="E6:E8"/>
    <mergeCell ref="I48:P48"/>
    <mergeCell ref="I35:P35"/>
    <mergeCell ref="I51:P51"/>
    <mergeCell ref="I20:P20"/>
    <mergeCell ref="N1:P2"/>
    <mergeCell ref="I38:P38"/>
    <mergeCell ref="I44:P44"/>
    <mergeCell ref="I29:P29"/>
    <mergeCell ref="M7:M9"/>
    <mergeCell ref="A1:B4"/>
    <mergeCell ref="I19:P19"/>
    <mergeCell ref="I50:P50"/>
    <mergeCell ref="G6:G8"/>
    <mergeCell ref="C1:G4"/>
    <mergeCell ref="I6:I9"/>
    <mergeCell ref="I10:P10"/>
    <mergeCell ref="H3:M4"/>
    <mergeCell ref="I40:P40"/>
    <mergeCell ref="I31:P31"/>
  </mergeCells>
  <conditionalFormatting sqref="F10 F12:F14 F16:F20 F23">
    <cfRule type="cellIs" rank="0" priority="2" equalAverage="0" operator="lessThan" aboveAverage="0" dxfId="0" text="" percent="0" bottom="0">
      <formula>D10</formula>
    </cfRule>
  </conditionalFormatting>
  <conditionalFormatting sqref="G10 G12 G16 G18">
    <cfRule type="cellIs" rank="0" priority="3" equalAverage="0" operator="greaterThan" aboveAverage="0" dxfId="1" text="" percent="0" bottom="0">
      <formula>D10*1.4</formula>
    </cfRule>
  </conditionalFormatting>
  <conditionalFormatting sqref="F15">
    <cfRule type="cellIs" rank="0" priority="4" equalAverage="0" operator="lessThan" aboveAverage="0" dxfId="0" text="" percent="0" bottom="0">
      <formula>D15</formula>
    </cfRule>
  </conditionalFormatting>
  <conditionalFormatting sqref="G15">
    <cfRule type="cellIs" rank="0" priority="5" equalAverage="0" operator="greaterThan" aboveAverage="0" dxfId="1" text="" percent="0" bottom="0">
      <formula>D15*1.4</formula>
    </cfRule>
  </conditionalFormatting>
  <conditionalFormatting sqref="F24">
    <cfRule type="cellIs" rank="0" priority="6" equalAverage="0" operator="lessThan" aboveAverage="0" dxfId="0" text="" percent="0" bottom="0">
      <formula>D24</formula>
    </cfRule>
  </conditionalFormatting>
  <conditionalFormatting sqref="G24">
    <cfRule type="cellIs" rank="0" priority="7" equalAverage="0" operator="greaterThan" aboveAverage="0" dxfId="1" text="" percent="0" bottom="0">
      <formula>D24*1.4</formula>
    </cfRule>
  </conditionalFormatting>
  <conditionalFormatting sqref="G19">
    <cfRule type="cellIs" rank="0" priority="8" equalAverage="0" operator="greaterThan" aboveAverage="0" dxfId="1" text="" percent="0" bottom="0">
      <formula>D19*1.4</formula>
    </cfRule>
  </conditionalFormatting>
  <conditionalFormatting sqref="G23">
    <cfRule type="cellIs" rank="0" priority="9" equalAverage="0" operator="greaterThan" aboveAverage="0" dxfId="1" text="" percent="0" bottom="0">
      <formula>D23*1.4</formula>
    </cfRule>
  </conditionalFormatting>
  <conditionalFormatting sqref="G20">
    <cfRule type="cellIs" rank="0" priority="10" equalAverage="0" operator="greaterThan" aboveAverage="0" dxfId="1" text="" percent="0" bottom="0">
      <formula>D20*1.4</formula>
    </cfRule>
  </conditionalFormatting>
  <conditionalFormatting sqref="G13">
    <cfRule type="cellIs" rank="0" priority="11" equalAverage="0" operator="greaterThan" aboveAverage="0" dxfId="1" text="" percent="0" bottom="0">
      <formula>D13*1.4</formula>
    </cfRule>
  </conditionalFormatting>
  <conditionalFormatting sqref="G14">
    <cfRule type="cellIs" rank="0" priority="12" equalAverage="0" operator="greaterThan" aboveAverage="0" dxfId="1" text="" percent="0" bottom="0">
      <formula>D14*1.4</formula>
    </cfRule>
  </conditionalFormatting>
  <conditionalFormatting sqref="G17">
    <cfRule type="cellIs" rank="0" priority="13" equalAverage="0" operator="greaterThan" aboveAverage="0" dxfId="1" text="" percent="0" bottom="0">
      <formula>D17*1.4</formula>
    </cfRule>
  </conditionalFormatting>
  <conditionalFormatting sqref="F11">
    <cfRule type="cellIs" rank="0" priority="14" equalAverage="0" operator="lessThan" aboveAverage="0" dxfId="0" text="" percent="0" bottom="0">
      <formula>D11</formula>
    </cfRule>
  </conditionalFormatting>
  <conditionalFormatting sqref="G11">
    <cfRule type="cellIs" rank="0" priority="15" equalAverage="0" operator="greaterThan" aboveAverage="0" dxfId="1" text="" percent="0" bottom="0">
      <formula>D11*1.4</formula>
    </cfRule>
  </conditionalFormatting>
  <conditionalFormatting sqref="F21:F22">
    <cfRule type="cellIs" rank="0" priority="16" equalAverage="0" operator="lessThan" aboveAverage="0" dxfId="0" text="" percent="0" bottom="0">
      <formula>D21</formula>
    </cfRule>
  </conditionalFormatting>
  <conditionalFormatting sqref="G21:G22">
    <cfRule type="cellIs" rank="0" priority="17" equalAverage="0" operator="greaterThan" aboveAverage="0" dxfId="1" text="" percent="0" bottom="0">
      <formula>D21*1.4</formula>
    </cfRule>
  </conditionalFormatting>
  <printOptions horizontalCentered="0" verticalCentered="0" headings="0" gridLines="0" gridLinesSet="1"/>
  <pageMargins left="0.25" right="0.25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U60"/>
  <sheetViews>
    <sheetView showFormulas="0" showGridLines="1" showRowColHeaders="1" showZeros="1" rightToLeft="0" tabSelected="0" showOutlineSymbols="1" defaultGridColor="1" view="normal" topLeftCell="A10" colorId="64" zoomScale="115" zoomScaleNormal="115" zoomScalePageLayoutView="100" workbookViewId="0">
      <selection pane="topLeft" activeCell="D23" activeCellId="0" sqref="D23"/>
    </sheetView>
  </sheetViews>
  <sheetFormatPr baseColWidth="8" defaultColWidth="9.0546875" defaultRowHeight="12.75" zeroHeight="0" outlineLevelRow="0"/>
  <cols>
    <col width="7.56" customWidth="1" style="243" min="1" max="1"/>
    <col width="16.42" customWidth="1" style="243" min="2" max="2"/>
    <col width="7.56" customWidth="1" style="243" min="3" max="3"/>
    <col width="8.41" customWidth="1" style="487" min="4" max="4"/>
    <col width="7.42" customWidth="1" style="243" min="5" max="5"/>
    <col width="7.7" customWidth="1" style="243" min="9" max="9"/>
    <col width="11.7" customWidth="1" style="243" min="12" max="12"/>
    <col width="12.28" customWidth="1" style="243" min="13" max="13"/>
    <col width="7.56" customWidth="1" style="243" min="14" max="14"/>
  </cols>
  <sheetData>
    <row r="1" ht="12.75" customHeight="1" s="244">
      <c r="A1" s="488" t="inlineStr">
        <is>
          <t>ROTAŞ</t>
        </is>
      </c>
      <c r="B1" s="275" t="n"/>
      <c r="C1" s="489" t="inlineStr">
        <is>
          <t>ZEMİNDEN ISITMA MODÜLASYON HESABI</t>
        </is>
      </c>
      <c r="D1" s="250" t="n"/>
      <c r="E1" s="250" t="n"/>
      <c r="F1" s="250" t="n"/>
      <c r="G1" s="275" t="n"/>
      <c r="H1" s="466" t="inlineStr">
        <is>
          <t>SAYFA</t>
        </is>
      </c>
      <c r="I1" s="250" t="n"/>
      <c r="J1" s="250" t="n"/>
      <c r="K1" s="275" t="n"/>
      <c r="L1" s="466" t="n">
        <v>8</v>
      </c>
      <c r="M1" s="250" t="n"/>
      <c r="N1" s="275" t="n"/>
      <c r="O1" s="490" t="n"/>
      <c r="P1" s="490" t="n"/>
    </row>
    <row r="2" ht="12.75" customHeight="1" s="244">
      <c r="A2" s="467" t="n"/>
      <c r="B2" s="468" t="n"/>
      <c r="C2" s="467" t="n"/>
      <c r="G2" s="468" t="n"/>
      <c r="H2" s="278" t="n"/>
      <c r="I2" s="256" t="n"/>
      <c r="J2" s="256" t="n"/>
      <c r="K2" s="277" t="n"/>
      <c r="L2" s="278" t="n"/>
      <c r="M2" s="256" t="n"/>
      <c r="N2" s="277" t="n"/>
      <c r="O2" s="490" t="n"/>
      <c r="P2" s="490" t="n"/>
    </row>
    <row r="3" ht="14.25" customHeight="1" s="244">
      <c r="A3" s="467" t="n"/>
      <c r="B3" s="468" t="n"/>
      <c r="C3" s="467" t="n"/>
      <c r="G3" s="468" t="n"/>
      <c r="H3" s="489" t="inlineStr">
        <is>
          <t>TARİH</t>
        </is>
      </c>
      <c r="I3" s="250" t="n"/>
      <c r="J3" s="250" t="n"/>
      <c r="K3" s="275" t="n"/>
      <c r="L3" s="469">
        <f>kapak!G41</f>
        <v/>
      </c>
      <c r="M3" s="250" t="n"/>
      <c r="N3" s="275" t="n"/>
      <c r="O3" s="490" t="n"/>
      <c r="P3" s="490" t="n"/>
      <c r="Q3" s="491" t="n"/>
      <c r="R3" s="491" t="n"/>
      <c r="S3" s="491" t="n"/>
      <c r="T3" s="491" t="n"/>
      <c r="U3" s="491" t="n"/>
      <c r="V3" s="491" t="n"/>
      <c r="W3" s="491" t="n"/>
      <c r="X3" s="491" t="n"/>
      <c r="Y3" s="491" t="n"/>
      <c r="Z3" s="491" t="n"/>
      <c r="AA3" s="491" t="n"/>
      <c r="AB3" s="491" t="n"/>
      <c r="AC3" s="491" t="n"/>
      <c r="AD3" s="491" t="n"/>
      <c r="AE3" s="491" t="n"/>
      <c r="AF3" s="491" t="n"/>
      <c r="AG3" s="491" t="n"/>
      <c r="AH3" s="491" t="n"/>
      <c r="AI3" s="491" t="n"/>
      <c r="AJ3" s="491" t="n"/>
      <c r="AK3" s="491" t="n"/>
      <c r="AL3" s="491" t="n"/>
      <c r="AM3" s="491" t="n"/>
      <c r="AN3" s="491" t="n"/>
      <c r="AO3" s="491" t="n"/>
      <c r="AP3" s="491" t="n"/>
      <c r="AQ3" s="491" t="n"/>
      <c r="AR3" s="491" t="n"/>
      <c r="AS3" s="491" t="n"/>
      <c r="AT3" s="491" t="n"/>
      <c r="AU3" s="491" t="n"/>
      <c r="AV3" s="491" t="n"/>
      <c r="AW3" s="491" t="n"/>
      <c r="AX3" s="491" t="n"/>
      <c r="AY3" s="491" t="n"/>
      <c r="AZ3" s="491" t="n"/>
      <c r="BA3" s="491" t="n"/>
      <c r="BB3" s="491" t="n"/>
      <c r="BC3" s="491" t="n"/>
      <c r="BD3" s="491" t="n"/>
      <c r="BE3" s="491" t="n"/>
      <c r="BF3" s="491" t="n"/>
      <c r="BG3" s="491" t="n"/>
      <c r="BH3" s="491" t="n"/>
      <c r="BI3" s="491" t="n"/>
      <c r="BJ3" s="491" t="n"/>
      <c r="BK3" s="491" t="n"/>
      <c r="BL3" s="491" t="n"/>
      <c r="BM3" s="491" t="n"/>
      <c r="BN3" s="491" t="n"/>
      <c r="BO3" s="491" t="n"/>
      <c r="BP3" s="491" t="n"/>
      <c r="BQ3" s="491" t="n"/>
      <c r="BR3" s="491" t="n"/>
      <c r="BS3" s="491" t="n"/>
      <c r="BT3" s="491" t="n"/>
      <c r="BU3" s="491" t="n"/>
      <c r="BV3" s="491" t="n"/>
      <c r="BW3" s="491" t="n"/>
      <c r="BX3" s="491" t="n"/>
      <c r="BY3" s="491" t="n"/>
      <c r="BZ3" s="491" t="n"/>
      <c r="CA3" s="491" t="n"/>
      <c r="CB3" s="491" t="n"/>
      <c r="CC3" s="491" t="n"/>
      <c r="CD3" s="491" t="n"/>
      <c r="CE3" s="491" t="n"/>
      <c r="CF3" s="491" t="n"/>
      <c r="CG3" s="491" t="n"/>
      <c r="CH3" s="491" t="n"/>
      <c r="CI3" s="491" t="n"/>
      <c r="CJ3" s="491" t="n"/>
      <c r="CK3" s="491" t="n"/>
      <c r="CL3" s="491" t="n"/>
      <c r="CM3" s="491" t="n"/>
      <c r="CN3" s="491" t="n"/>
      <c r="CO3" s="491" t="n"/>
      <c r="CP3" s="491" t="n"/>
      <c r="CQ3" s="491" t="n"/>
      <c r="CR3" s="491" t="n"/>
      <c r="CS3" s="491" t="n"/>
      <c r="CT3" s="491" t="n"/>
      <c r="CU3" s="491" t="n"/>
      <c r="CV3" s="491" t="n"/>
      <c r="CW3" s="491" t="n"/>
      <c r="CX3" s="491" t="n"/>
      <c r="CY3" s="491" t="n"/>
      <c r="CZ3" s="491" t="n"/>
      <c r="DA3" s="491" t="n"/>
      <c r="DB3" s="491" t="n"/>
      <c r="DC3" s="491" t="n"/>
      <c r="DD3" s="491" t="n"/>
      <c r="DE3" s="491" t="n"/>
      <c r="DF3" s="491" t="n"/>
      <c r="DG3" s="491" t="n"/>
      <c r="DH3" s="491" t="n"/>
      <c r="DI3" s="491" t="n"/>
      <c r="DJ3" s="491" t="n"/>
      <c r="DK3" s="491" t="n"/>
      <c r="DL3" s="491" t="n"/>
      <c r="DM3" s="491" t="n"/>
      <c r="DN3" s="491" t="n"/>
      <c r="DO3" s="491" t="n"/>
      <c r="DP3" s="491" t="n"/>
      <c r="DQ3" s="491" t="n"/>
      <c r="DR3" s="491" t="n"/>
      <c r="DS3" s="491" t="n"/>
      <c r="DT3" s="491" t="n"/>
      <c r="DU3" s="491" t="n"/>
      <c r="DV3" s="491" t="n"/>
      <c r="DW3" s="491" t="n"/>
      <c r="DX3" s="491" t="n"/>
      <c r="DY3" s="491" t="n"/>
      <c r="DZ3" s="491" t="n"/>
      <c r="EA3" s="491" t="n"/>
      <c r="EB3" s="491" t="n"/>
      <c r="EC3" s="491" t="n"/>
      <c r="ED3" s="491" t="n"/>
      <c r="EE3" s="491" t="n"/>
      <c r="EF3" s="491" t="n"/>
      <c r="EG3" s="491" t="n"/>
      <c r="EH3" s="491" t="n"/>
      <c r="EI3" s="491" t="n"/>
      <c r="EJ3" s="491" t="n"/>
      <c r="EK3" s="491" t="n"/>
      <c r="EL3" s="491" t="n"/>
      <c r="EM3" s="491" t="n"/>
      <c r="EN3" s="491" t="n"/>
      <c r="EO3" s="491" t="n"/>
      <c r="EP3" s="491" t="n"/>
      <c r="EQ3" s="491" t="n"/>
      <c r="ER3" s="491" t="n"/>
      <c r="ES3" s="491" t="n"/>
      <c r="ET3" s="491" t="n"/>
      <c r="EU3" s="491" t="n"/>
      <c r="EV3" s="491" t="n"/>
      <c r="EW3" s="491" t="n"/>
      <c r="EX3" s="491" t="n"/>
      <c r="EY3" s="491" t="n"/>
      <c r="EZ3" s="491" t="n"/>
      <c r="FA3" s="491" t="n"/>
      <c r="FB3" s="491" t="n"/>
      <c r="FC3" s="491" t="n"/>
      <c r="FD3" s="491" t="n"/>
      <c r="FE3" s="491" t="n"/>
      <c r="FF3" s="491" t="n"/>
      <c r="FG3" s="491" t="n"/>
      <c r="FH3" s="491" t="n"/>
      <c r="FI3" s="491" t="n"/>
      <c r="FJ3" s="491" t="n"/>
      <c r="FK3" s="491" t="n"/>
      <c r="FL3" s="491" t="n"/>
      <c r="FM3" s="491" t="n"/>
      <c r="FN3" s="491" t="n"/>
      <c r="FO3" s="491" t="n"/>
      <c r="FP3" s="491" t="n"/>
      <c r="FQ3" s="491" t="n"/>
      <c r="FR3" s="491" t="n"/>
      <c r="FS3" s="491" t="n"/>
      <c r="FT3" s="491" t="n"/>
      <c r="FU3" s="491" t="n"/>
      <c r="FV3" s="491" t="n"/>
      <c r="FW3" s="491" t="n"/>
      <c r="FX3" s="491" t="n"/>
      <c r="FY3" s="491" t="n"/>
      <c r="FZ3" s="491" t="n"/>
      <c r="GA3" s="491" t="n"/>
      <c r="GB3" s="491" t="n"/>
      <c r="GC3" s="491" t="n"/>
      <c r="GD3" s="491" t="n"/>
      <c r="GE3" s="491" t="n"/>
      <c r="GF3" s="491" t="n"/>
      <c r="GG3" s="491" t="n"/>
      <c r="GH3" s="491" t="n"/>
      <c r="GI3" s="491" t="n"/>
      <c r="GJ3" s="491" t="n"/>
      <c r="GK3" s="491" t="n"/>
      <c r="GL3" s="491" t="n"/>
      <c r="GM3" s="491" t="n"/>
      <c r="GN3" s="491" t="n"/>
      <c r="GO3" s="491" t="n"/>
      <c r="GP3" s="491" t="n"/>
      <c r="GQ3" s="491" t="n"/>
      <c r="GR3" s="491" t="n"/>
      <c r="GS3" s="491" t="n"/>
      <c r="GT3" s="491" t="n"/>
      <c r="GU3" s="491" t="n"/>
      <c r="GV3" s="491" t="n"/>
      <c r="GW3" s="491" t="n"/>
      <c r="GX3" s="491" t="n"/>
      <c r="GY3" s="491" t="n"/>
      <c r="GZ3" s="491" t="n"/>
      <c r="HA3" s="491" t="n"/>
      <c r="HB3" s="491" t="n"/>
      <c r="HC3" s="491" t="n"/>
      <c r="HD3" s="491" t="n"/>
      <c r="HE3" s="491" t="n"/>
      <c r="HF3" s="491" t="n"/>
      <c r="HG3" s="491" t="n"/>
      <c r="HH3" s="491" t="n"/>
      <c r="HI3" s="491" t="n"/>
      <c r="HJ3" s="491" t="n"/>
      <c r="HK3" s="491" t="n"/>
      <c r="HL3" s="491" t="n"/>
      <c r="HM3" s="491" t="n"/>
      <c r="HN3" s="491" t="n"/>
      <c r="HO3" s="491" t="n"/>
      <c r="HP3" s="491" t="n"/>
      <c r="HQ3" s="491" t="n"/>
      <c r="HR3" s="491" t="n"/>
      <c r="HS3" s="491" t="n"/>
      <c r="HT3" s="491" t="n"/>
      <c r="HU3" s="491" t="n"/>
      <c r="HV3" s="491" t="n"/>
      <c r="HW3" s="491" t="n"/>
      <c r="HX3" s="491" t="n"/>
      <c r="HY3" s="491" t="n"/>
      <c r="HZ3" s="491" t="n"/>
      <c r="IA3" s="491" t="n"/>
      <c r="IB3" s="491" t="n"/>
      <c r="IC3" s="491" t="n"/>
      <c r="ID3" s="491" t="n"/>
      <c r="IE3" s="491" t="n"/>
      <c r="IF3" s="491" t="n"/>
      <c r="IG3" s="491" t="n"/>
      <c r="IH3" s="491" t="n"/>
      <c r="II3" s="491" t="n"/>
      <c r="IJ3" s="491" t="n"/>
      <c r="IK3" s="491" t="n"/>
      <c r="IL3" s="491" t="n"/>
      <c r="IM3" s="491" t="n"/>
      <c r="IN3" s="491" t="n"/>
      <c r="IO3" s="491" t="n"/>
      <c r="IP3" s="491" t="n"/>
      <c r="IQ3" s="491" t="n"/>
      <c r="IR3" s="491" t="n"/>
      <c r="IS3" s="491" t="n"/>
      <c r="IT3" s="491" t="n"/>
      <c r="IU3" s="491" t="n"/>
    </row>
    <row r="4" ht="14.25" customHeight="1" s="244">
      <c r="A4" s="467" t="n"/>
      <c r="B4" s="468" t="n"/>
      <c r="C4" s="467" t="n"/>
      <c r="G4" s="468" t="n"/>
      <c r="H4" s="467" t="n"/>
      <c r="K4" s="468" t="n"/>
      <c r="L4" s="278" t="n"/>
      <c r="M4" s="256" t="n"/>
      <c r="N4" s="277" t="n"/>
      <c r="O4" s="490" t="n"/>
      <c r="P4" s="490" t="n"/>
      <c r="Q4" s="491" t="n"/>
      <c r="R4" s="491" t="n"/>
      <c r="S4" s="491" t="n"/>
      <c r="T4" s="491" t="n"/>
      <c r="U4" s="491" t="n"/>
      <c r="V4" s="491" t="n"/>
      <c r="W4" s="491" t="n"/>
      <c r="X4" s="491" t="n"/>
      <c r="Y4" s="491" t="n"/>
      <c r="Z4" s="491" t="n"/>
      <c r="AA4" s="491" t="n"/>
      <c r="AB4" s="491" t="n"/>
      <c r="AC4" s="491" t="n"/>
      <c r="AD4" s="491" t="n"/>
      <c r="AE4" s="491" t="n"/>
      <c r="AF4" s="491" t="n"/>
      <c r="AG4" s="491" t="n"/>
      <c r="AH4" s="491" t="n"/>
      <c r="AI4" s="491" t="n"/>
      <c r="AJ4" s="491" t="n"/>
      <c r="AK4" s="491" t="n"/>
      <c r="AL4" s="491" t="n"/>
      <c r="AM4" s="491" t="n"/>
      <c r="AN4" s="491" t="n"/>
      <c r="AO4" s="491" t="n"/>
      <c r="AP4" s="491" t="n"/>
      <c r="AQ4" s="491" t="n"/>
      <c r="AR4" s="491" t="n"/>
      <c r="AS4" s="491" t="n"/>
      <c r="AT4" s="491" t="n"/>
      <c r="AU4" s="491" t="n"/>
      <c r="AV4" s="491" t="n"/>
      <c r="AW4" s="491" t="n"/>
      <c r="AX4" s="491" t="n"/>
      <c r="AY4" s="491" t="n"/>
      <c r="AZ4" s="491" t="n"/>
      <c r="BA4" s="491" t="n"/>
      <c r="BB4" s="491" t="n"/>
      <c r="BC4" s="491" t="n"/>
      <c r="BD4" s="491" t="n"/>
      <c r="BE4" s="491" t="n"/>
      <c r="BF4" s="491" t="n"/>
      <c r="BG4" s="491" t="n"/>
      <c r="BH4" s="491" t="n"/>
      <c r="BI4" s="491" t="n"/>
      <c r="BJ4" s="491" t="n"/>
      <c r="BK4" s="491" t="n"/>
      <c r="BL4" s="491" t="n"/>
      <c r="BM4" s="491" t="n"/>
      <c r="BN4" s="491" t="n"/>
      <c r="BO4" s="491" t="n"/>
      <c r="BP4" s="491" t="n"/>
      <c r="BQ4" s="491" t="n"/>
      <c r="BR4" s="491" t="n"/>
      <c r="BS4" s="491" t="n"/>
      <c r="BT4" s="491" t="n"/>
      <c r="BU4" s="491" t="n"/>
      <c r="BV4" s="491" t="n"/>
      <c r="BW4" s="491" t="n"/>
      <c r="BX4" s="491" t="n"/>
      <c r="BY4" s="491" t="n"/>
      <c r="BZ4" s="491" t="n"/>
      <c r="CA4" s="491" t="n"/>
      <c r="CB4" s="491" t="n"/>
      <c r="CC4" s="491" t="n"/>
      <c r="CD4" s="491" t="n"/>
      <c r="CE4" s="491" t="n"/>
      <c r="CF4" s="491" t="n"/>
      <c r="CG4" s="491" t="n"/>
      <c r="CH4" s="491" t="n"/>
      <c r="CI4" s="491" t="n"/>
      <c r="CJ4" s="491" t="n"/>
      <c r="CK4" s="491" t="n"/>
      <c r="CL4" s="491" t="n"/>
      <c r="CM4" s="491" t="n"/>
      <c r="CN4" s="491" t="n"/>
      <c r="CO4" s="491" t="n"/>
      <c r="CP4" s="491" t="n"/>
      <c r="CQ4" s="491" t="n"/>
      <c r="CR4" s="491" t="n"/>
      <c r="CS4" s="491" t="n"/>
      <c r="CT4" s="491" t="n"/>
      <c r="CU4" s="491" t="n"/>
      <c r="CV4" s="491" t="n"/>
      <c r="CW4" s="491" t="n"/>
      <c r="CX4" s="491" t="n"/>
      <c r="CY4" s="491" t="n"/>
      <c r="CZ4" s="491" t="n"/>
      <c r="DA4" s="491" t="n"/>
      <c r="DB4" s="491" t="n"/>
      <c r="DC4" s="491" t="n"/>
      <c r="DD4" s="491" t="n"/>
      <c r="DE4" s="491" t="n"/>
      <c r="DF4" s="491" t="n"/>
      <c r="DG4" s="491" t="n"/>
      <c r="DH4" s="491" t="n"/>
      <c r="DI4" s="491" t="n"/>
      <c r="DJ4" s="491" t="n"/>
      <c r="DK4" s="491" t="n"/>
      <c r="DL4" s="491" t="n"/>
      <c r="DM4" s="491" t="n"/>
      <c r="DN4" s="491" t="n"/>
      <c r="DO4" s="491" t="n"/>
      <c r="DP4" s="491" t="n"/>
      <c r="DQ4" s="491" t="n"/>
      <c r="DR4" s="491" t="n"/>
      <c r="DS4" s="491" t="n"/>
      <c r="DT4" s="491" t="n"/>
      <c r="DU4" s="491" t="n"/>
      <c r="DV4" s="491" t="n"/>
      <c r="DW4" s="491" t="n"/>
      <c r="DX4" s="491" t="n"/>
      <c r="DY4" s="491" t="n"/>
      <c r="DZ4" s="491" t="n"/>
      <c r="EA4" s="491" t="n"/>
      <c r="EB4" s="491" t="n"/>
      <c r="EC4" s="491" t="n"/>
      <c r="ED4" s="491" t="n"/>
      <c r="EE4" s="491" t="n"/>
      <c r="EF4" s="491" t="n"/>
      <c r="EG4" s="491" t="n"/>
      <c r="EH4" s="491" t="n"/>
      <c r="EI4" s="491" t="n"/>
      <c r="EJ4" s="491" t="n"/>
      <c r="EK4" s="491" t="n"/>
      <c r="EL4" s="491" t="n"/>
      <c r="EM4" s="491" t="n"/>
      <c r="EN4" s="491" t="n"/>
      <c r="EO4" s="491" t="n"/>
      <c r="EP4" s="491" t="n"/>
      <c r="EQ4" s="491" t="n"/>
      <c r="ER4" s="491" t="n"/>
      <c r="ES4" s="491" t="n"/>
      <c r="ET4" s="491" t="n"/>
      <c r="EU4" s="491" t="n"/>
      <c r="EV4" s="491" t="n"/>
      <c r="EW4" s="491" t="n"/>
      <c r="EX4" s="491" t="n"/>
      <c r="EY4" s="491" t="n"/>
      <c r="EZ4" s="491" t="n"/>
      <c r="FA4" s="491" t="n"/>
      <c r="FB4" s="491" t="n"/>
      <c r="FC4" s="491" t="n"/>
      <c r="FD4" s="491" t="n"/>
      <c r="FE4" s="491" t="n"/>
      <c r="FF4" s="491" t="n"/>
      <c r="FG4" s="491" t="n"/>
      <c r="FH4" s="491" t="n"/>
      <c r="FI4" s="491" t="n"/>
      <c r="FJ4" s="491" t="n"/>
      <c r="FK4" s="491" t="n"/>
      <c r="FL4" s="491" t="n"/>
      <c r="FM4" s="491" t="n"/>
      <c r="FN4" s="491" t="n"/>
      <c r="FO4" s="491" t="n"/>
      <c r="FP4" s="491" t="n"/>
      <c r="FQ4" s="491" t="n"/>
      <c r="FR4" s="491" t="n"/>
      <c r="FS4" s="491" t="n"/>
      <c r="FT4" s="491" t="n"/>
      <c r="FU4" s="491" t="n"/>
      <c r="FV4" s="491" t="n"/>
      <c r="FW4" s="491" t="n"/>
      <c r="FX4" s="491" t="n"/>
      <c r="FY4" s="491" t="n"/>
      <c r="FZ4" s="491" t="n"/>
      <c r="GA4" s="491" t="n"/>
      <c r="GB4" s="491" t="n"/>
      <c r="GC4" s="491" t="n"/>
      <c r="GD4" s="491" t="n"/>
      <c r="GE4" s="491" t="n"/>
      <c r="GF4" s="491" t="n"/>
      <c r="GG4" s="491" t="n"/>
      <c r="GH4" s="491" t="n"/>
      <c r="GI4" s="491" t="n"/>
      <c r="GJ4" s="491" t="n"/>
      <c r="GK4" s="491" t="n"/>
      <c r="GL4" s="491" t="n"/>
      <c r="GM4" s="491" t="n"/>
      <c r="GN4" s="491" t="n"/>
      <c r="GO4" s="491" t="n"/>
      <c r="GP4" s="491" t="n"/>
      <c r="GQ4" s="491" t="n"/>
      <c r="GR4" s="491" t="n"/>
      <c r="GS4" s="491" t="n"/>
      <c r="GT4" s="491" t="n"/>
      <c r="GU4" s="491" t="n"/>
      <c r="GV4" s="491" t="n"/>
      <c r="GW4" s="491" t="n"/>
      <c r="GX4" s="491" t="n"/>
      <c r="GY4" s="491" t="n"/>
      <c r="GZ4" s="491" t="n"/>
      <c r="HA4" s="491" t="n"/>
      <c r="HB4" s="491" t="n"/>
      <c r="HC4" s="491" t="n"/>
      <c r="HD4" s="491" t="n"/>
      <c r="HE4" s="491" t="n"/>
      <c r="HF4" s="491" t="n"/>
      <c r="HG4" s="491" t="n"/>
      <c r="HH4" s="491" t="n"/>
      <c r="HI4" s="491" t="n"/>
      <c r="HJ4" s="491" t="n"/>
      <c r="HK4" s="491" t="n"/>
      <c r="HL4" s="491" t="n"/>
      <c r="HM4" s="491" t="n"/>
      <c r="HN4" s="491" t="n"/>
      <c r="HO4" s="491" t="n"/>
      <c r="HP4" s="491" t="n"/>
      <c r="HQ4" s="491" t="n"/>
      <c r="HR4" s="491" t="n"/>
      <c r="HS4" s="491" t="n"/>
      <c r="HT4" s="491" t="n"/>
      <c r="HU4" s="491" t="n"/>
      <c r="HV4" s="491" t="n"/>
      <c r="HW4" s="491" t="n"/>
      <c r="HX4" s="491" t="n"/>
      <c r="HY4" s="491" t="n"/>
      <c r="HZ4" s="491" t="n"/>
      <c r="IA4" s="491" t="n"/>
      <c r="IB4" s="491" t="n"/>
      <c r="IC4" s="491" t="n"/>
      <c r="ID4" s="491" t="n"/>
      <c r="IE4" s="491" t="n"/>
      <c r="IF4" s="491" t="n"/>
      <c r="IG4" s="491" t="n"/>
      <c r="IH4" s="491" t="n"/>
      <c r="II4" s="491" t="n"/>
      <c r="IJ4" s="491" t="n"/>
      <c r="IK4" s="491" t="n"/>
      <c r="IL4" s="491" t="n"/>
      <c r="IM4" s="491" t="n"/>
      <c r="IN4" s="491" t="n"/>
      <c r="IO4" s="491" t="n"/>
      <c r="IP4" s="491" t="n"/>
      <c r="IQ4" s="491" t="n"/>
      <c r="IR4" s="491" t="n"/>
      <c r="IS4" s="491" t="n"/>
      <c r="IT4" s="491" t="n"/>
      <c r="IU4" s="491" t="n"/>
    </row>
    <row r="5" ht="14.25" customHeight="1" s="244">
      <c r="A5" s="492" t="inlineStr">
        <is>
          <t>PROJE ADI :</t>
        </is>
      </c>
      <c r="B5" s="264" t="n"/>
      <c r="C5" s="264" t="n"/>
      <c r="D5" s="264" t="n"/>
      <c r="E5" s="264" t="n"/>
      <c r="F5" s="264" t="n"/>
      <c r="G5" s="260" t="n"/>
      <c r="H5" s="492">
        <f>kapak!C31</f>
        <v/>
      </c>
      <c r="I5" s="264" t="n"/>
      <c r="J5" s="264" t="n"/>
      <c r="K5" s="264" t="n"/>
      <c r="L5" s="264" t="n"/>
      <c r="M5" s="264" t="n"/>
      <c r="N5" s="260" t="n"/>
      <c r="O5" s="491" t="n"/>
      <c r="P5" s="493" t="n"/>
      <c r="Q5" s="491" t="n"/>
      <c r="R5" s="491" t="n"/>
      <c r="S5" s="491" t="n"/>
      <c r="T5" s="491" t="n"/>
      <c r="U5" s="491" t="n"/>
      <c r="V5" s="491" t="n"/>
      <c r="W5" s="491" t="n"/>
      <c r="X5" s="491" t="n"/>
      <c r="Y5" s="491" t="n"/>
      <c r="Z5" s="491" t="n"/>
      <c r="AA5" s="491" t="n"/>
      <c r="AB5" s="491" t="n"/>
      <c r="AC5" s="491" t="n"/>
      <c r="AD5" s="491" t="n"/>
      <c r="AE5" s="491" t="n"/>
      <c r="AF5" s="491" t="n"/>
      <c r="AG5" s="491" t="n"/>
      <c r="AH5" s="491" t="n"/>
      <c r="AI5" s="491" t="n"/>
      <c r="AJ5" s="491" t="n"/>
      <c r="AK5" s="491" t="n"/>
      <c r="AL5" s="491" t="n"/>
      <c r="AM5" s="491" t="n"/>
      <c r="AN5" s="491" t="n"/>
      <c r="AO5" s="491" t="n"/>
      <c r="AP5" s="491" t="n"/>
      <c r="AQ5" s="491" t="n"/>
      <c r="AR5" s="491" t="n"/>
      <c r="AS5" s="491" t="n"/>
      <c r="AT5" s="491" t="n"/>
      <c r="AU5" s="491" t="n"/>
      <c r="AV5" s="491" t="n"/>
      <c r="AW5" s="491" t="n"/>
      <c r="AX5" s="491" t="n"/>
      <c r="AY5" s="491" t="n"/>
      <c r="AZ5" s="491" t="n"/>
      <c r="BA5" s="491" t="n"/>
      <c r="BB5" s="491" t="n"/>
      <c r="BC5" s="491" t="n"/>
      <c r="BD5" s="491" t="n"/>
      <c r="BE5" s="491" t="n"/>
      <c r="BF5" s="491" t="n"/>
      <c r="BG5" s="491" t="n"/>
      <c r="BH5" s="491" t="n"/>
      <c r="BI5" s="491" t="n"/>
      <c r="BJ5" s="491" t="n"/>
      <c r="BK5" s="491" t="n"/>
      <c r="BL5" s="491" t="n"/>
      <c r="BM5" s="491" t="n"/>
      <c r="BN5" s="491" t="n"/>
      <c r="BO5" s="491" t="n"/>
      <c r="BP5" s="491" t="n"/>
      <c r="BQ5" s="491" t="n"/>
      <c r="BR5" s="491" t="n"/>
      <c r="BS5" s="491" t="n"/>
      <c r="BT5" s="491" t="n"/>
      <c r="BU5" s="491" t="n"/>
      <c r="BV5" s="491" t="n"/>
      <c r="BW5" s="491" t="n"/>
      <c r="BX5" s="491" t="n"/>
      <c r="BY5" s="491" t="n"/>
      <c r="BZ5" s="491" t="n"/>
      <c r="CA5" s="491" t="n"/>
      <c r="CB5" s="491" t="n"/>
      <c r="CC5" s="491" t="n"/>
      <c r="CD5" s="491" t="n"/>
      <c r="CE5" s="491" t="n"/>
      <c r="CF5" s="491" t="n"/>
      <c r="CG5" s="491" t="n"/>
      <c r="CH5" s="491" t="n"/>
      <c r="CI5" s="491" t="n"/>
      <c r="CJ5" s="491" t="n"/>
      <c r="CK5" s="491" t="n"/>
      <c r="CL5" s="491" t="n"/>
      <c r="CM5" s="491" t="n"/>
      <c r="CN5" s="491" t="n"/>
      <c r="CO5" s="491" t="n"/>
      <c r="CP5" s="491" t="n"/>
      <c r="CQ5" s="491" t="n"/>
      <c r="CR5" s="491" t="n"/>
      <c r="CS5" s="491" t="n"/>
      <c r="CT5" s="491" t="n"/>
      <c r="CU5" s="491" t="n"/>
      <c r="CV5" s="491" t="n"/>
      <c r="CW5" s="491" t="n"/>
      <c r="CX5" s="491" t="n"/>
      <c r="CY5" s="491" t="n"/>
      <c r="CZ5" s="491" t="n"/>
      <c r="DA5" s="491" t="n"/>
      <c r="DB5" s="491" t="n"/>
      <c r="DC5" s="491" t="n"/>
      <c r="DD5" s="491" t="n"/>
      <c r="DE5" s="491" t="n"/>
      <c r="DF5" s="491" t="n"/>
      <c r="DG5" s="491" t="n"/>
      <c r="DH5" s="491" t="n"/>
      <c r="DI5" s="491" t="n"/>
      <c r="DJ5" s="491" t="n"/>
      <c r="DK5" s="491" t="n"/>
      <c r="DL5" s="491" t="n"/>
      <c r="DM5" s="491" t="n"/>
      <c r="DN5" s="491" t="n"/>
      <c r="DO5" s="491" t="n"/>
      <c r="DP5" s="491" t="n"/>
      <c r="DQ5" s="491" t="n"/>
      <c r="DR5" s="491" t="n"/>
      <c r="DS5" s="491" t="n"/>
      <c r="DT5" s="491" t="n"/>
      <c r="DU5" s="491" t="n"/>
      <c r="DV5" s="491" t="n"/>
      <c r="DW5" s="491" t="n"/>
      <c r="DX5" s="491" t="n"/>
      <c r="DY5" s="491" t="n"/>
      <c r="DZ5" s="491" t="n"/>
      <c r="EA5" s="491" t="n"/>
      <c r="EB5" s="491" t="n"/>
      <c r="EC5" s="491" t="n"/>
      <c r="ED5" s="491" t="n"/>
      <c r="EE5" s="491" t="n"/>
      <c r="EF5" s="491" t="n"/>
      <c r="EG5" s="491" t="n"/>
      <c r="EH5" s="491" t="n"/>
      <c r="EI5" s="491" t="n"/>
      <c r="EJ5" s="491" t="n"/>
      <c r="EK5" s="491" t="n"/>
      <c r="EL5" s="491" t="n"/>
      <c r="EM5" s="491" t="n"/>
      <c r="EN5" s="491" t="n"/>
      <c r="EO5" s="491" t="n"/>
      <c r="EP5" s="491" t="n"/>
      <c r="EQ5" s="491" t="n"/>
      <c r="ER5" s="491" t="n"/>
      <c r="ES5" s="491" t="n"/>
      <c r="ET5" s="491" t="n"/>
      <c r="EU5" s="491" t="n"/>
      <c r="EV5" s="491" t="n"/>
      <c r="EW5" s="491" t="n"/>
      <c r="EX5" s="491" t="n"/>
      <c r="EY5" s="491" t="n"/>
      <c r="EZ5" s="491" t="n"/>
      <c r="FA5" s="491" t="n"/>
      <c r="FB5" s="491" t="n"/>
      <c r="FC5" s="491" t="n"/>
      <c r="FD5" s="491" t="n"/>
      <c r="FE5" s="491" t="n"/>
      <c r="FF5" s="491" t="n"/>
      <c r="FG5" s="491" t="n"/>
      <c r="FH5" s="491" t="n"/>
      <c r="FI5" s="491" t="n"/>
      <c r="FJ5" s="491" t="n"/>
      <c r="FK5" s="491" t="n"/>
      <c r="FL5" s="491" t="n"/>
      <c r="FM5" s="491" t="n"/>
      <c r="FN5" s="491" t="n"/>
      <c r="FO5" s="491" t="n"/>
      <c r="FP5" s="491" t="n"/>
      <c r="FQ5" s="491" t="n"/>
      <c r="FR5" s="491" t="n"/>
      <c r="FS5" s="491" t="n"/>
      <c r="FT5" s="491" t="n"/>
      <c r="FU5" s="491" t="n"/>
      <c r="FV5" s="491" t="n"/>
      <c r="FW5" s="491" t="n"/>
      <c r="FX5" s="491" t="n"/>
      <c r="FY5" s="491" t="n"/>
      <c r="FZ5" s="491" t="n"/>
      <c r="GA5" s="491" t="n"/>
      <c r="GB5" s="491" t="n"/>
      <c r="GC5" s="491" t="n"/>
      <c r="GD5" s="491" t="n"/>
      <c r="GE5" s="491" t="n"/>
      <c r="GF5" s="491" t="n"/>
      <c r="GG5" s="491" t="n"/>
      <c r="GH5" s="491" t="n"/>
      <c r="GI5" s="491" t="n"/>
      <c r="GJ5" s="491" t="n"/>
      <c r="GK5" s="491" t="n"/>
      <c r="GL5" s="491" t="n"/>
      <c r="GM5" s="491" t="n"/>
      <c r="GN5" s="491" t="n"/>
      <c r="GO5" s="491" t="n"/>
      <c r="GP5" s="491" t="n"/>
      <c r="GQ5" s="491" t="n"/>
      <c r="GR5" s="491" t="n"/>
      <c r="GS5" s="491" t="n"/>
      <c r="GT5" s="491" t="n"/>
      <c r="GU5" s="491" t="n"/>
      <c r="GV5" s="491" t="n"/>
      <c r="GW5" s="491" t="n"/>
      <c r="GX5" s="491" t="n"/>
      <c r="GY5" s="491" t="n"/>
      <c r="GZ5" s="491" t="n"/>
      <c r="HA5" s="491" t="n"/>
      <c r="HB5" s="491" t="n"/>
      <c r="HC5" s="491" t="n"/>
      <c r="HD5" s="491" t="n"/>
      <c r="HE5" s="491" t="n"/>
      <c r="HF5" s="491" t="n"/>
      <c r="HG5" s="491" t="n"/>
      <c r="HH5" s="491" t="n"/>
      <c r="HI5" s="491" t="n"/>
      <c r="HJ5" s="491" t="n"/>
      <c r="HK5" s="491" t="n"/>
      <c r="HL5" s="491" t="n"/>
      <c r="HM5" s="491" t="n"/>
      <c r="HN5" s="491" t="n"/>
      <c r="HO5" s="491" t="n"/>
      <c r="HP5" s="491" t="n"/>
      <c r="HQ5" s="491" t="n"/>
      <c r="HR5" s="491" t="n"/>
      <c r="HS5" s="491" t="n"/>
      <c r="HT5" s="491" t="n"/>
      <c r="HU5" s="491" t="n"/>
      <c r="HV5" s="491" t="n"/>
      <c r="HW5" s="491" t="n"/>
      <c r="HX5" s="491" t="n"/>
      <c r="HY5" s="491" t="n"/>
      <c r="HZ5" s="491" t="n"/>
      <c r="IA5" s="491" t="n"/>
      <c r="IB5" s="491" t="n"/>
      <c r="IC5" s="491" t="n"/>
      <c r="ID5" s="491" t="n"/>
      <c r="IE5" s="491" t="n"/>
      <c r="IF5" s="491" t="n"/>
      <c r="IG5" s="491" t="n"/>
      <c r="IH5" s="491" t="n"/>
      <c r="II5" s="491" t="n"/>
      <c r="IJ5" s="491" t="n"/>
      <c r="IK5" s="491" t="n"/>
      <c r="IL5" s="491" t="n"/>
      <c r="IM5" s="491" t="n"/>
      <c r="IN5" s="491" t="n"/>
      <c r="IO5" s="491" t="n"/>
      <c r="IP5" s="491" t="n"/>
      <c r="IQ5" s="491" t="n"/>
      <c r="IR5" s="491" t="n"/>
      <c r="IS5" s="491" t="n"/>
      <c r="IT5" s="491" t="n"/>
      <c r="IU5" s="491" t="n"/>
    </row>
    <row r="6" ht="14.25" customHeight="1" s="244">
      <c r="A6" s="492" t="inlineStr">
        <is>
          <t>HESAPLARI YAPAN MAKİNA MÜHENDİSİ :</t>
        </is>
      </c>
      <c r="B6" s="264" t="n"/>
      <c r="C6" s="264" t="n"/>
      <c r="D6" s="264" t="n"/>
      <c r="E6" s="264" t="n"/>
      <c r="F6" s="264" t="n"/>
      <c r="G6" s="260" t="n"/>
      <c r="H6" s="492" t="inlineStr">
        <is>
          <t>BAYRAM GENÇ</t>
        </is>
      </c>
      <c r="I6" s="264" t="n"/>
      <c r="J6" s="264" t="n"/>
      <c r="K6" s="264" t="n"/>
      <c r="L6" s="264" t="n"/>
      <c r="M6" s="264" t="n"/>
      <c r="N6" s="260" t="n"/>
    </row>
    <row r="8" ht="127.5" customHeight="1" s="244">
      <c r="A8" s="494" t="inlineStr">
        <is>
          <t>MAHAL NO</t>
        </is>
      </c>
      <c r="B8" s="494" t="inlineStr">
        <is>
          <t>MAHAL ADI</t>
        </is>
      </c>
      <c r="C8" s="494" t="inlineStr">
        <is>
          <t>MAHAL SICAKLIĞI</t>
        </is>
      </c>
      <c r="D8" s="495" t="inlineStr">
        <is>
          <t>Mahal ısı ihtiyacı Q</t>
        </is>
      </c>
      <c r="E8" s="494" t="inlineStr">
        <is>
          <t>MAHAL ALANI A</t>
        </is>
      </c>
      <c r="F8" s="494" t="inlineStr">
        <is>
          <t>1 m2 ' DEKİ TOPLAM ISI YÜKÜ Q/A</t>
        </is>
      </c>
      <c r="G8" s="494" t="inlineStr">
        <is>
          <t>MODÜL</t>
        </is>
      </c>
      <c r="H8" s="494" t="inlineStr">
        <is>
          <t>m2</t>
        </is>
      </c>
      <c r="I8" s="494" t="inlineStr">
        <is>
          <t>STANDART MODÜL</t>
        </is>
      </c>
      <c r="J8" s="494" t="inlineStr">
        <is>
          <t>BORU BOYU</t>
        </is>
      </c>
      <c r="K8" s="494" t="inlineStr">
        <is>
          <t>KOLLEKTÖR ADETİ</t>
        </is>
      </c>
      <c r="L8" s="494" t="inlineStr">
        <is>
          <t>TOPLAM OLMASI GEREKEN KOLLEKTÖR ADETİ</t>
        </is>
      </c>
      <c r="M8" s="494" t="inlineStr">
        <is>
          <t>BİRİM VERİM</t>
        </is>
      </c>
      <c r="N8" s="494" t="inlineStr">
        <is>
          <t>TOPLAM VERİM</t>
        </is>
      </c>
      <c r="O8" s="496" t="n"/>
      <c r="P8" s="496" t="n"/>
      <c r="Q8" s="496" t="n"/>
      <c r="R8" s="496" t="n"/>
      <c r="S8" s="496" t="n"/>
      <c r="T8" s="496" t="n"/>
      <c r="U8" s="496" t="n"/>
      <c r="V8" s="496" t="n"/>
      <c r="W8" s="496" t="n"/>
      <c r="X8" s="496" t="n"/>
      <c r="Y8" s="496" t="n"/>
      <c r="Z8" s="496" t="n"/>
      <c r="AA8" s="496" t="n"/>
      <c r="AB8" s="496" t="n"/>
      <c r="AC8" s="496" t="n"/>
      <c r="AD8" s="496" t="n"/>
      <c r="AE8" s="496" t="n"/>
      <c r="AF8" s="496" t="n"/>
      <c r="AG8" s="496" t="n"/>
      <c r="AH8" s="496" t="n"/>
      <c r="AI8" s="496" t="n"/>
      <c r="AJ8" s="496" t="n"/>
      <c r="AK8" s="496" t="n"/>
      <c r="AL8" s="496" t="n"/>
      <c r="AM8" s="496" t="n"/>
      <c r="AN8" s="496" t="n"/>
      <c r="AO8" s="496" t="n"/>
      <c r="AP8" s="496" t="n"/>
      <c r="AQ8" s="496" t="n"/>
      <c r="AR8" s="496" t="n"/>
      <c r="AS8" s="496" t="n"/>
      <c r="AT8" s="496" t="n"/>
      <c r="AU8" s="496" t="n"/>
      <c r="AV8" s="496" t="n"/>
      <c r="AW8" s="496" t="n"/>
      <c r="AX8" s="496" t="n"/>
      <c r="AY8" s="496" t="n"/>
      <c r="AZ8" s="496" t="n"/>
      <c r="BA8" s="496" t="n"/>
      <c r="BB8" s="496" t="n"/>
      <c r="BC8" s="496" t="n"/>
      <c r="BD8" s="496" t="n"/>
      <c r="BE8" s="496" t="n"/>
      <c r="BF8" s="496" t="n"/>
      <c r="BG8" s="496" t="n"/>
      <c r="BH8" s="496" t="n"/>
      <c r="BI8" s="496" t="n"/>
      <c r="BJ8" s="496" t="n"/>
      <c r="BK8" s="496" t="n"/>
      <c r="BL8" s="496" t="n"/>
      <c r="BM8" s="496" t="n"/>
      <c r="BN8" s="496" t="n"/>
      <c r="BO8" s="496" t="n"/>
      <c r="BP8" s="496" t="n"/>
      <c r="BQ8" s="496" t="n"/>
      <c r="BR8" s="496" t="n"/>
      <c r="BS8" s="496" t="n"/>
      <c r="BT8" s="496" t="n"/>
      <c r="BU8" s="496" t="n"/>
      <c r="BV8" s="496" t="n"/>
      <c r="BW8" s="496" t="n"/>
      <c r="BX8" s="496" t="n"/>
      <c r="BY8" s="496" t="n"/>
      <c r="BZ8" s="496" t="n"/>
      <c r="CA8" s="496" t="n"/>
      <c r="CB8" s="496" t="n"/>
      <c r="CC8" s="496" t="n"/>
      <c r="CD8" s="496" t="n"/>
      <c r="CE8" s="496" t="n"/>
      <c r="CF8" s="496" t="n"/>
      <c r="CG8" s="496" t="n"/>
      <c r="CH8" s="496" t="n"/>
      <c r="CI8" s="496" t="n"/>
      <c r="CJ8" s="496" t="n"/>
      <c r="CK8" s="496" t="n"/>
      <c r="CL8" s="496" t="n"/>
      <c r="CM8" s="496" t="n"/>
      <c r="CN8" s="496" t="n"/>
      <c r="CO8" s="496" t="n"/>
      <c r="CP8" s="496" t="n"/>
      <c r="CQ8" s="496" t="n"/>
      <c r="CR8" s="496" t="n"/>
      <c r="CS8" s="496" t="n"/>
      <c r="CT8" s="496" t="n"/>
      <c r="CU8" s="496" t="n"/>
      <c r="CV8" s="496" t="n"/>
      <c r="CW8" s="496" t="n"/>
      <c r="CX8" s="496" t="n"/>
      <c r="CY8" s="496" t="n"/>
      <c r="CZ8" s="496" t="n"/>
      <c r="DA8" s="496" t="n"/>
      <c r="DB8" s="496" t="n"/>
      <c r="DC8" s="496" t="n"/>
      <c r="DD8" s="496" t="n"/>
      <c r="DE8" s="496" t="n"/>
      <c r="DF8" s="496" t="n"/>
      <c r="DG8" s="496" t="n"/>
      <c r="DH8" s="496" t="n"/>
      <c r="DI8" s="496" t="n"/>
      <c r="DJ8" s="496" t="n"/>
      <c r="DK8" s="496" t="n"/>
      <c r="DL8" s="496" t="n"/>
      <c r="DM8" s="496" t="n"/>
      <c r="DN8" s="496" t="n"/>
      <c r="DO8" s="496" t="n"/>
      <c r="DP8" s="496" t="n"/>
      <c r="DQ8" s="496" t="n"/>
      <c r="DR8" s="496" t="n"/>
      <c r="DS8" s="496" t="n"/>
      <c r="DT8" s="496" t="n"/>
      <c r="DU8" s="496" t="n"/>
      <c r="DV8" s="496" t="n"/>
      <c r="DW8" s="496" t="n"/>
      <c r="DX8" s="496" t="n"/>
      <c r="DY8" s="496" t="n"/>
      <c r="DZ8" s="496" t="n"/>
      <c r="EA8" s="496" t="n"/>
      <c r="EB8" s="496" t="n"/>
      <c r="EC8" s="496" t="n"/>
      <c r="ED8" s="496" t="n"/>
      <c r="EE8" s="496" t="n"/>
      <c r="EF8" s="496" t="n"/>
      <c r="EG8" s="496" t="n"/>
      <c r="EH8" s="496" t="n"/>
      <c r="EI8" s="496" t="n"/>
      <c r="EJ8" s="496" t="n"/>
      <c r="EK8" s="496" t="n"/>
      <c r="EL8" s="496" t="n"/>
      <c r="EM8" s="496" t="n"/>
      <c r="EN8" s="496" t="n"/>
      <c r="EO8" s="496" t="n"/>
      <c r="EP8" s="496" t="n"/>
      <c r="EQ8" s="496" t="n"/>
      <c r="ER8" s="496" t="n"/>
      <c r="ES8" s="496" t="n"/>
      <c r="ET8" s="496" t="n"/>
      <c r="EU8" s="496" t="n"/>
      <c r="EV8" s="496" t="n"/>
      <c r="EW8" s="496" t="n"/>
      <c r="EX8" s="496" t="n"/>
      <c r="EY8" s="496" t="n"/>
      <c r="EZ8" s="496" t="n"/>
      <c r="FA8" s="496" t="n"/>
      <c r="FB8" s="496" t="n"/>
      <c r="FC8" s="496" t="n"/>
      <c r="FD8" s="496" t="n"/>
      <c r="FE8" s="496" t="n"/>
      <c r="FF8" s="496" t="n"/>
      <c r="FG8" s="496" t="n"/>
      <c r="FH8" s="496" t="n"/>
      <c r="FI8" s="496" t="n"/>
      <c r="FJ8" s="496" t="n"/>
      <c r="FK8" s="496" t="n"/>
      <c r="FL8" s="496" t="n"/>
      <c r="FM8" s="496" t="n"/>
      <c r="FN8" s="496" t="n"/>
      <c r="FO8" s="496" t="n"/>
      <c r="FP8" s="496" t="n"/>
      <c r="FQ8" s="496" t="n"/>
      <c r="FR8" s="496" t="n"/>
      <c r="FS8" s="496" t="n"/>
      <c r="FT8" s="496" t="n"/>
      <c r="FU8" s="496" t="n"/>
      <c r="FV8" s="496" t="n"/>
      <c r="FW8" s="496" t="n"/>
      <c r="FX8" s="496" t="n"/>
      <c r="FY8" s="496" t="n"/>
      <c r="FZ8" s="496" t="n"/>
      <c r="GA8" s="496" t="n"/>
      <c r="GB8" s="496" t="n"/>
      <c r="GC8" s="496" t="n"/>
      <c r="GD8" s="496" t="n"/>
      <c r="GE8" s="496" t="n"/>
      <c r="GF8" s="496" t="n"/>
      <c r="GG8" s="496" t="n"/>
      <c r="GH8" s="496" t="n"/>
      <c r="GI8" s="496" t="n"/>
      <c r="GJ8" s="496" t="n"/>
      <c r="GK8" s="496" t="n"/>
      <c r="GL8" s="496" t="n"/>
      <c r="GM8" s="496" t="n"/>
      <c r="GN8" s="496" t="n"/>
      <c r="GO8" s="496" t="n"/>
      <c r="GP8" s="496" t="n"/>
      <c r="GQ8" s="496" t="n"/>
      <c r="GR8" s="496" t="n"/>
      <c r="GS8" s="496" t="n"/>
      <c r="GT8" s="496" t="n"/>
      <c r="GU8" s="496" t="n"/>
      <c r="GV8" s="496" t="n"/>
      <c r="GW8" s="496" t="n"/>
      <c r="GX8" s="496" t="n"/>
      <c r="GY8" s="496" t="n"/>
      <c r="GZ8" s="496" t="n"/>
      <c r="HA8" s="496" t="n"/>
      <c r="HB8" s="496" t="n"/>
      <c r="HC8" s="496" t="n"/>
      <c r="HD8" s="496" t="n"/>
      <c r="HE8" s="496" t="n"/>
      <c r="HF8" s="496" t="n"/>
      <c r="HG8" s="496" t="n"/>
      <c r="HH8" s="496" t="n"/>
      <c r="HI8" s="496" t="n"/>
      <c r="HJ8" s="496" t="n"/>
      <c r="HK8" s="496" t="n"/>
      <c r="HL8" s="496" t="n"/>
      <c r="HM8" s="496" t="n"/>
      <c r="HN8" s="496" t="n"/>
      <c r="HO8" s="496" t="n"/>
      <c r="HP8" s="496" t="n"/>
      <c r="HQ8" s="496" t="n"/>
      <c r="HR8" s="496" t="n"/>
      <c r="HS8" s="496" t="n"/>
      <c r="HT8" s="496" t="n"/>
      <c r="HU8" s="496" t="n"/>
      <c r="HV8" s="496" t="n"/>
      <c r="HW8" s="496" t="n"/>
      <c r="HX8" s="496" t="n"/>
      <c r="HY8" s="496" t="n"/>
      <c r="HZ8" s="496" t="n"/>
      <c r="IA8" s="496" t="n"/>
      <c r="IB8" s="496" t="n"/>
      <c r="IC8" s="496" t="n"/>
      <c r="ID8" s="496" t="n"/>
      <c r="IE8" s="496" t="n"/>
      <c r="IF8" s="496" t="n"/>
      <c r="IG8" s="496" t="n"/>
      <c r="IH8" s="496" t="n"/>
      <c r="II8" s="496" t="n"/>
      <c r="IJ8" s="496" t="n"/>
      <c r="IK8" s="496" t="n"/>
      <c r="IL8" s="496" t="n"/>
      <c r="IM8" s="496" t="n"/>
      <c r="IN8" s="496" t="n"/>
      <c r="IO8" s="496" t="n"/>
      <c r="IP8" s="496" t="n"/>
      <c r="IQ8" s="496" t="n"/>
      <c r="IR8" s="496" t="n"/>
      <c r="IS8" s="496" t="n"/>
      <c r="IT8" s="496" t="n"/>
      <c r="IU8" s="496" t="n"/>
    </row>
    <row r="9" ht="12.75" customHeight="1" s="244">
      <c r="A9" s="497" t="n"/>
      <c r="B9" s="498" t="n"/>
      <c r="C9" s="498" t="inlineStr">
        <is>
          <t>C0</t>
        </is>
      </c>
      <c r="D9" s="499" t="inlineStr">
        <is>
          <t>watt/h</t>
        </is>
      </c>
      <c r="E9" s="497" t="inlineStr">
        <is>
          <t>m2</t>
        </is>
      </c>
      <c r="F9" s="500" t="inlineStr">
        <is>
          <t>watt/m2h</t>
        </is>
      </c>
      <c r="G9" s="500" t="inlineStr">
        <is>
          <t>watt/m2h</t>
        </is>
      </c>
      <c r="H9" s="497" t="inlineStr">
        <is>
          <t>m2</t>
        </is>
      </c>
      <c r="I9" s="497" t="n"/>
      <c r="J9" s="497" t="inlineStr">
        <is>
          <t>m</t>
        </is>
      </c>
      <c r="K9" s="497" t="inlineStr">
        <is>
          <t>Ad.</t>
        </is>
      </c>
      <c r="L9" s="497" t="inlineStr">
        <is>
          <t>Ad.</t>
        </is>
      </c>
      <c r="M9" s="497" t="inlineStr">
        <is>
          <t>m</t>
        </is>
      </c>
      <c r="N9" s="498" t="inlineStr">
        <is>
          <t>Watt</t>
        </is>
      </c>
      <c r="O9" s="501" t="n"/>
      <c r="P9" s="501" t="n"/>
      <c r="Q9" s="502" t="n"/>
      <c r="R9" s="502" t="n"/>
      <c r="S9" s="502" t="n"/>
      <c r="T9" s="502" t="n"/>
      <c r="U9" s="502" t="n"/>
      <c r="V9" s="502" t="n"/>
      <c r="W9" s="502" t="n"/>
      <c r="X9" s="502" t="n"/>
      <c r="Y9" s="502" t="n"/>
      <c r="Z9" s="502" t="n"/>
      <c r="AA9" s="502" t="n"/>
      <c r="AB9" s="502" t="n"/>
      <c r="AC9" s="502" t="n"/>
      <c r="AD9" s="502" t="n"/>
      <c r="AE9" s="502" t="n"/>
      <c r="AF9" s="502" t="n"/>
      <c r="AG9" s="502" t="n"/>
      <c r="AH9" s="502" t="n"/>
      <c r="AI9" s="502" t="n"/>
      <c r="AJ9" s="502" t="n"/>
      <c r="AK9" s="502" t="n"/>
      <c r="AL9" s="502" t="n"/>
      <c r="AM9" s="502" t="n"/>
      <c r="AN9" s="502" t="n"/>
      <c r="AO9" s="502" t="n"/>
      <c r="AP9" s="502" t="n"/>
      <c r="AQ9" s="502" t="n"/>
      <c r="AR9" s="502" t="n"/>
      <c r="AS9" s="502" t="n"/>
      <c r="AT9" s="502" t="n"/>
      <c r="AU9" s="502" t="n"/>
      <c r="AV9" s="502" t="n"/>
      <c r="AW9" s="502" t="n"/>
      <c r="AX9" s="502" t="n"/>
      <c r="AY9" s="502" t="n"/>
      <c r="AZ9" s="502" t="n"/>
      <c r="BA9" s="502" t="n"/>
      <c r="BB9" s="502" t="n"/>
      <c r="BC9" s="502" t="n"/>
      <c r="BD9" s="502" t="n"/>
      <c r="BE9" s="502" t="n"/>
      <c r="BF9" s="502" t="n"/>
      <c r="BG9" s="502" t="n"/>
      <c r="BH9" s="502" t="n"/>
      <c r="BI9" s="502" t="n"/>
      <c r="BJ9" s="502" t="n"/>
      <c r="BK9" s="502" t="n"/>
      <c r="BL9" s="502" t="n"/>
      <c r="BM9" s="502" t="n"/>
      <c r="BN9" s="502" t="n"/>
      <c r="BO9" s="502" t="n"/>
      <c r="BP9" s="502" t="n"/>
      <c r="BQ9" s="502" t="n"/>
      <c r="BR9" s="502" t="n"/>
      <c r="BS9" s="502" t="n"/>
      <c r="BT9" s="502" t="n"/>
      <c r="BU9" s="502" t="n"/>
      <c r="BV9" s="502" t="n"/>
      <c r="BW9" s="502" t="n"/>
      <c r="BX9" s="502" t="n"/>
      <c r="BY9" s="502" t="n"/>
      <c r="BZ9" s="502" t="n"/>
      <c r="CA9" s="502" t="n"/>
      <c r="CB9" s="502" t="n"/>
      <c r="CC9" s="502" t="n"/>
      <c r="CD9" s="502" t="n"/>
      <c r="CE9" s="502" t="n"/>
      <c r="CF9" s="502" t="n"/>
      <c r="CG9" s="502" t="n"/>
      <c r="CH9" s="502" t="n"/>
      <c r="CI9" s="502" t="n"/>
      <c r="CJ9" s="502" t="n"/>
      <c r="CK9" s="502" t="n"/>
      <c r="CL9" s="502" t="n"/>
      <c r="CM9" s="502" t="n"/>
      <c r="CN9" s="502" t="n"/>
      <c r="CO9" s="502" t="n"/>
      <c r="CP9" s="502" t="n"/>
      <c r="CQ9" s="502" t="n"/>
      <c r="CR9" s="502" t="n"/>
      <c r="CS9" s="502" t="n"/>
      <c r="CT9" s="502" t="n"/>
      <c r="CU9" s="502" t="n"/>
      <c r="CV9" s="502" t="n"/>
      <c r="CW9" s="502" t="n"/>
      <c r="CX9" s="502" t="n"/>
      <c r="CY9" s="502" t="n"/>
      <c r="CZ9" s="502" t="n"/>
      <c r="DA9" s="502" t="n"/>
      <c r="DB9" s="502" t="n"/>
      <c r="DC9" s="502" t="n"/>
      <c r="DD9" s="502" t="n"/>
      <c r="DE9" s="502" t="n"/>
      <c r="DF9" s="502" t="n"/>
      <c r="DG9" s="502" t="n"/>
      <c r="DH9" s="502" t="n"/>
      <c r="DI9" s="502" t="n"/>
      <c r="DJ9" s="502" t="n"/>
      <c r="DK9" s="502" t="n"/>
      <c r="DL9" s="502" t="n"/>
      <c r="DM9" s="502" t="n"/>
      <c r="DN9" s="502" t="n"/>
      <c r="DO9" s="502" t="n"/>
      <c r="DP9" s="502" t="n"/>
      <c r="DQ9" s="502" t="n"/>
      <c r="DR9" s="502" t="n"/>
      <c r="DS9" s="502" t="n"/>
      <c r="DT9" s="502" t="n"/>
      <c r="DU9" s="502" t="n"/>
      <c r="DV9" s="502" t="n"/>
      <c r="DW9" s="502" t="n"/>
      <c r="DX9" s="502" t="n"/>
      <c r="DY9" s="502" t="n"/>
      <c r="DZ9" s="502" t="n"/>
      <c r="EA9" s="502" t="n"/>
      <c r="EB9" s="502" t="n"/>
      <c r="EC9" s="502" t="n"/>
      <c r="ED9" s="502" t="n"/>
      <c r="EE9" s="502" t="n"/>
      <c r="EF9" s="502" t="n"/>
      <c r="EG9" s="502" t="n"/>
      <c r="EH9" s="502" t="n"/>
      <c r="EI9" s="502" t="n"/>
      <c r="EJ9" s="502" t="n"/>
      <c r="EK9" s="502" t="n"/>
      <c r="EL9" s="502" t="n"/>
      <c r="EM9" s="502" t="n"/>
      <c r="EN9" s="502" t="n"/>
      <c r="EO9" s="502" t="n"/>
      <c r="EP9" s="502" t="n"/>
      <c r="EQ9" s="502" t="n"/>
      <c r="ER9" s="502" t="n"/>
      <c r="ES9" s="502" t="n"/>
      <c r="ET9" s="502" t="n"/>
      <c r="EU9" s="502" t="n"/>
      <c r="EV9" s="502" t="n"/>
      <c r="EW9" s="502" t="n"/>
      <c r="EX9" s="502" t="n"/>
      <c r="EY9" s="502" t="n"/>
      <c r="EZ9" s="502" t="n"/>
      <c r="FA9" s="502" t="n"/>
      <c r="FB9" s="502" t="n"/>
      <c r="FC9" s="502" t="n"/>
      <c r="FD9" s="502" t="n"/>
      <c r="FE9" s="502" t="n"/>
      <c r="FF9" s="502" t="n"/>
      <c r="FG9" s="502" t="n"/>
      <c r="FH9" s="502" t="n"/>
      <c r="FI9" s="502" t="n"/>
      <c r="FJ9" s="502" t="n"/>
      <c r="FK9" s="502" t="n"/>
      <c r="FL9" s="502" t="n"/>
      <c r="FM9" s="502" t="n"/>
      <c r="FN9" s="502" t="n"/>
      <c r="FO9" s="502" t="n"/>
      <c r="FP9" s="502" t="n"/>
      <c r="FQ9" s="502" t="n"/>
      <c r="FR9" s="502" t="n"/>
      <c r="FS9" s="502" t="n"/>
      <c r="FT9" s="502" t="n"/>
      <c r="FU9" s="502" t="n"/>
      <c r="FV9" s="502" t="n"/>
      <c r="FW9" s="502" t="n"/>
      <c r="FX9" s="502" t="n"/>
      <c r="FY9" s="502" t="n"/>
      <c r="FZ9" s="502" t="n"/>
      <c r="GA9" s="502" t="n"/>
      <c r="GB9" s="502" t="n"/>
      <c r="GC9" s="502" t="n"/>
      <c r="GD9" s="502" t="n"/>
      <c r="GE9" s="502" t="n"/>
      <c r="GF9" s="502" t="n"/>
      <c r="GG9" s="502" t="n"/>
      <c r="GH9" s="502" t="n"/>
      <c r="GI9" s="502" t="n"/>
      <c r="GJ9" s="502" t="n"/>
      <c r="GK9" s="502" t="n"/>
      <c r="GL9" s="502" t="n"/>
      <c r="GM9" s="502" t="n"/>
      <c r="GN9" s="502" t="n"/>
      <c r="GO9" s="502" t="n"/>
      <c r="GP9" s="502" t="n"/>
      <c r="GQ9" s="502" t="n"/>
      <c r="GR9" s="502" t="n"/>
      <c r="GS9" s="502" t="n"/>
      <c r="GT9" s="502" t="n"/>
      <c r="GU9" s="502" t="n"/>
      <c r="GV9" s="502" t="n"/>
      <c r="GW9" s="502" t="n"/>
      <c r="GX9" s="502" t="n"/>
      <c r="GY9" s="502" t="n"/>
      <c r="GZ9" s="502" t="n"/>
      <c r="HA9" s="502" t="n"/>
      <c r="HB9" s="502" t="n"/>
      <c r="HC9" s="502" t="n"/>
      <c r="HD9" s="502" t="n"/>
      <c r="HE9" s="502" t="n"/>
      <c r="HF9" s="502" t="n"/>
      <c r="HG9" s="502" t="n"/>
      <c r="HH9" s="502" t="n"/>
      <c r="HI9" s="502" t="n"/>
      <c r="HJ9" s="502" t="n"/>
      <c r="HK9" s="502" t="n"/>
      <c r="HL9" s="502" t="n"/>
      <c r="HM9" s="502" t="n"/>
      <c r="HN9" s="502" t="n"/>
      <c r="HO9" s="502" t="n"/>
      <c r="HP9" s="502" t="n"/>
      <c r="HQ9" s="502" t="n"/>
      <c r="HR9" s="502" t="n"/>
      <c r="HS9" s="502" t="n"/>
      <c r="HT9" s="502" t="n"/>
      <c r="HU9" s="502" t="n"/>
      <c r="HV9" s="502" t="n"/>
      <c r="HW9" s="502" t="n"/>
      <c r="HX9" s="502" t="n"/>
      <c r="HY9" s="502" t="n"/>
      <c r="HZ9" s="502" t="n"/>
      <c r="IA9" s="502" t="n"/>
      <c r="IB9" s="502" t="n"/>
      <c r="IC9" s="502" t="n"/>
      <c r="ID9" s="502" t="n"/>
      <c r="IE9" s="502" t="n"/>
      <c r="IF9" s="502" t="n"/>
      <c r="IG9" s="502" t="n"/>
      <c r="IH9" s="502" t="n"/>
      <c r="II9" s="502" t="n"/>
      <c r="IJ9" s="502" t="n"/>
      <c r="IK9" s="502" t="n"/>
      <c r="IL9" s="502" t="n"/>
      <c r="IM9" s="502" t="n"/>
      <c r="IN9" s="502" t="n"/>
      <c r="IO9" s="502" t="n"/>
      <c r="IP9" s="502" t="n"/>
      <c r="IQ9" s="502" t="n"/>
      <c r="IR9" s="502" t="n"/>
      <c r="IS9" s="502" t="n"/>
      <c r="IT9" s="502" t="n"/>
      <c r="IU9" s="502" t="n"/>
    </row>
    <row r="10" ht="12.75" customHeight="1" s="244">
      <c r="A10" s="503">
        <f>'PETEK LİST'!A10</f>
        <v/>
      </c>
      <c r="B10" s="504">
        <f>'PETEK LİST'!B10</f>
        <v/>
      </c>
      <c r="C10" s="505">
        <f>'PETEK LİST'!C10</f>
        <v/>
      </c>
      <c r="D10" s="478">
        <f>'PETEK LİST'!D10</f>
        <v/>
      </c>
      <c r="E10" s="506" t="n">
        <v>19.54</v>
      </c>
      <c r="F10" s="507">
        <f>D10/E10</f>
        <v/>
      </c>
      <c r="G10" s="507">
        <f>76.263-0.539*F10</f>
        <v/>
      </c>
      <c r="H10" s="507">
        <f>D10/G10</f>
        <v/>
      </c>
      <c r="I10" s="503" t="n">
        <v>15</v>
      </c>
      <c r="J10" s="475">
        <f>'PETEK LİST'!G10</f>
        <v/>
      </c>
      <c r="K10" s="507">
        <f>J10/80</f>
        <v/>
      </c>
      <c r="L10" s="503" t="n">
        <v>2</v>
      </c>
      <c r="M10" s="503" t="n">
        <v>17.5</v>
      </c>
      <c r="N10" s="508">
        <f>J10*M10</f>
        <v/>
      </c>
    </row>
    <row r="11" ht="12.75" customHeight="1" s="244">
      <c r="A11" s="503">
        <f>'PETEK LİST'!A11</f>
        <v/>
      </c>
      <c r="B11" s="504">
        <f>'PETEK LİST'!B11</f>
        <v/>
      </c>
      <c r="C11" s="505">
        <f>'PETEK LİST'!C11</f>
        <v/>
      </c>
      <c r="D11" s="478">
        <f>'PETEK LİST'!D11</f>
        <v/>
      </c>
      <c r="E11" s="506" t="n">
        <v>10.1</v>
      </c>
      <c r="F11" s="507">
        <f>D11/E11</f>
        <v/>
      </c>
      <c r="G11" s="507">
        <f>76.263-0.539*F11</f>
        <v/>
      </c>
      <c r="H11" s="507">
        <f>D11/G11</f>
        <v/>
      </c>
      <c r="I11" s="503" t="n">
        <v>15</v>
      </c>
      <c r="J11" s="475">
        <f>'PETEK LİST'!G11</f>
        <v/>
      </c>
      <c r="K11" s="507">
        <f>J11/80</f>
        <v/>
      </c>
      <c r="L11" s="503" t="n">
        <v>1</v>
      </c>
      <c r="M11" s="503" t="n">
        <v>17.5</v>
      </c>
      <c r="N11" s="508">
        <f>J11*M11</f>
        <v/>
      </c>
    </row>
    <row r="12" ht="12.75" customHeight="1" s="244">
      <c r="A12" s="503">
        <f>'PETEK LİST'!A12</f>
        <v/>
      </c>
      <c r="B12" s="504">
        <f>'PETEK LİST'!B12</f>
        <v/>
      </c>
      <c r="C12" s="505">
        <f>'PETEK LİST'!C12</f>
        <v/>
      </c>
      <c r="D12" s="478">
        <f>'PETEK LİST'!D12</f>
        <v/>
      </c>
      <c r="E12" s="506" t="n">
        <v>10.96</v>
      </c>
      <c r="F12" s="507">
        <f>D12/E12</f>
        <v/>
      </c>
      <c r="G12" s="507">
        <f>76.263-0.539*F12</f>
        <v/>
      </c>
      <c r="H12" s="507">
        <f>D12/G12</f>
        <v/>
      </c>
      <c r="I12" s="503" t="n">
        <v>10</v>
      </c>
      <c r="J12" s="475">
        <f>'PETEK LİST'!G12</f>
        <v/>
      </c>
      <c r="K12" s="507">
        <f>J12/80</f>
        <v/>
      </c>
      <c r="L12" s="503" t="n">
        <v>2</v>
      </c>
      <c r="M12" s="503" t="n">
        <v>17.5</v>
      </c>
      <c r="N12" s="508">
        <f>J12*M12</f>
        <v/>
      </c>
    </row>
    <row r="13" ht="12.75" customHeight="1" s="244">
      <c r="A13" s="503">
        <f>'PETEK LİST'!A13</f>
        <v/>
      </c>
      <c r="B13" s="504">
        <f>'PETEK LİST'!B13</f>
        <v/>
      </c>
      <c r="C13" s="505">
        <f>'PETEK LİST'!C13</f>
        <v/>
      </c>
      <c r="D13" s="478">
        <f>'PETEK LİST'!D13</f>
        <v/>
      </c>
      <c r="E13" s="506" t="n">
        <v>3.83</v>
      </c>
      <c r="F13" s="507">
        <f>D13/E13</f>
        <v/>
      </c>
      <c r="G13" s="507">
        <f>76.263-0.539*F13</f>
        <v/>
      </c>
      <c r="H13" s="507">
        <f>D13/G13</f>
        <v/>
      </c>
      <c r="I13" s="503" t="n">
        <v>15</v>
      </c>
      <c r="J13" s="475">
        <f>'PETEK LİST'!G13</f>
        <v/>
      </c>
      <c r="K13" s="507">
        <f>J13/80</f>
        <v/>
      </c>
      <c r="L13" s="503" t="n">
        <v>1</v>
      </c>
      <c r="M13" s="503" t="n">
        <v>17.5</v>
      </c>
      <c r="N13" s="508">
        <f>J13*M13</f>
        <v/>
      </c>
    </row>
    <row r="14" ht="12.75" customHeight="1" s="244">
      <c r="A14" s="503">
        <f>'PETEK LİST'!A14</f>
        <v/>
      </c>
      <c r="B14" s="504">
        <f>'PETEK LİST'!B14</f>
        <v/>
      </c>
      <c r="C14" s="505">
        <f>'PETEK LİST'!C14</f>
        <v/>
      </c>
      <c r="D14" s="478">
        <f>'PETEK LİST'!D14</f>
        <v/>
      </c>
      <c r="E14" s="506" t="n">
        <v>2.73</v>
      </c>
      <c r="F14" s="507">
        <f>D14/E14</f>
        <v/>
      </c>
      <c r="G14" s="507">
        <f>76.263-0.539*F14</f>
        <v/>
      </c>
      <c r="H14" s="507">
        <f>D14/G14</f>
        <v/>
      </c>
      <c r="I14" s="503" t="n">
        <v>10</v>
      </c>
      <c r="J14" s="475">
        <f>'PETEK LİST'!G14</f>
        <v/>
      </c>
      <c r="K14" s="507">
        <f>J14/80</f>
        <v/>
      </c>
      <c r="L14" s="503" t="n">
        <v>1</v>
      </c>
      <c r="M14" s="503" t="n">
        <v>17.5</v>
      </c>
      <c r="N14" s="508">
        <f>J14*M14</f>
        <v/>
      </c>
    </row>
    <row r="15" ht="12.75" customHeight="1" s="244">
      <c r="A15" s="503">
        <f>'PETEK LİST'!A15</f>
        <v/>
      </c>
      <c r="B15" s="504">
        <f>'PETEK LİST'!B15</f>
        <v/>
      </c>
      <c r="C15" s="505">
        <f>'PETEK LİST'!C15</f>
        <v/>
      </c>
      <c r="D15" s="483">
        <f>'PETEK LİST'!D15</f>
        <v/>
      </c>
      <c r="E15" s="506" t="n">
        <v>9.869999999999999</v>
      </c>
      <c r="F15" s="507">
        <f>D15/E15</f>
        <v/>
      </c>
      <c r="G15" s="507">
        <f>76.263-0.539*F15</f>
        <v/>
      </c>
      <c r="H15" s="507">
        <f>D15/G15</f>
        <v/>
      </c>
      <c r="I15" s="503" t="n">
        <v>15</v>
      </c>
      <c r="J15" s="475">
        <f>'PETEK LİST'!G15</f>
        <v/>
      </c>
      <c r="K15" s="507">
        <f>J15/80</f>
        <v/>
      </c>
      <c r="L15" s="503" t="n">
        <v>1</v>
      </c>
      <c r="M15" s="503" t="n">
        <v>17.5</v>
      </c>
      <c r="N15" s="508">
        <f>J15*M15</f>
        <v/>
      </c>
    </row>
    <row r="16" ht="12.75" customHeight="1" s="244">
      <c r="A16" s="509">
        <f>'PETEK LİST'!A16</f>
        <v/>
      </c>
      <c r="B16" s="510">
        <f>'PETEK LİST'!B16</f>
        <v/>
      </c>
      <c r="C16" s="511">
        <f>'PETEK LİST'!C16</f>
        <v/>
      </c>
      <c r="D16" s="478">
        <f>'PETEK LİST'!D16</f>
        <v/>
      </c>
      <c r="E16" s="506" t="n">
        <v>10.76</v>
      </c>
      <c r="F16" s="507">
        <f>D16/E16</f>
        <v/>
      </c>
      <c r="G16" s="507">
        <f>76.263-0.539*F16</f>
        <v/>
      </c>
      <c r="H16" s="507">
        <f>D16/G16</f>
        <v/>
      </c>
      <c r="I16" s="503" t="n">
        <v>15</v>
      </c>
      <c r="J16" s="475">
        <f>'PETEK LİST'!G16</f>
        <v/>
      </c>
      <c r="K16" s="507">
        <f>J16/80</f>
        <v/>
      </c>
      <c r="L16" s="503" t="n">
        <v>2</v>
      </c>
      <c r="M16" s="503" t="n">
        <v>17.5</v>
      </c>
      <c r="N16" s="508">
        <f>J16*M16</f>
        <v/>
      </c>
    </row>
    <row r="17" ht="12.75" customHeight="1" s="244">
      <c r="A17" s="509">
        <f>'PETEK LİST'!A17</f>
        <v/>
      </c>
      <c r="B17" s="510">
        <f>'PETEK LİST'!B17</f>
        <v/>
      </c>
      <c r="C17" s="511">
        <f>'PETEK LİST'!C17</f>
        <v/>
      </c>
      <c r="D17" s="478">
        <f>'PETEK LİST'!D17</f>
        <v/>
      </c>
      <c r="E17" s="506" t="n">
        <v>10.68</v>
      </c>
      <c r="F17" s="507">
        <f>D17/E17</f>
        <v/>
      </c>
      <c r="G17" s="507">
        <f>76.263-0.539*F17</f>
        <v/>
      </c>
      <c r="H17" s="507">
        <f>D17/G17</f>
        <v/>
      </c>
      <c r="I17" s="503" t="n">
        <v>15</v>
      </c>
      <c r="J17" s="475">
        <f>'PETEK LİST'!G17</f>
        <v/>
      </c>
      <c r="K17" s="507">
        <f>J17/80</f>
        <v/>
      </c>
      <c r="L17" s="503" t="n">
        <v>2</v>
      </c>
      <c r="M17" s="503" t="n">
        <v>17.5</v>
      </c>
      <c r="N17" s="508">
        <f>J17*M17</f>
        <v/>
      </c>
    </row>
    <row r="18" ht="12.75" customHeight="1" s="244">
      <c r="A18" s="509">
        <f>'PETEK LİST'!A18</f>
        <v/>
      </c>
      <c r="B18" s="510">
        <f>'PETEK LİST'!B18</f>
        <v/>
      </c>
      <c r="C18" s="511">
        <f>'PETEK LİST'!C18</f>
        <v/>
      </c>
      <c r="D18" s="478">
        <f>'PETEK LİST'!D18</f>
        <v/>
      </c>
      <c r="E18" s="506" t="n">
        <v>13.32</v>
      </c>
      <c r="F18" s="507">
        <f>D18/E18</f>
        <v/>
      </c>
      <c r="G18" s="507">
        <f>76.263-0.539*F18</f>
        <v/>
      </c>
      <c r="H18" s="507">
        <f>D18/G18</f>
        <v/>
      </c>
      <c r="I18" s="503" t="n">
        <v>15</v>
      </c>
      <c r="J18" s="475">
        <f>'PETEK LİST'!G18</f>
        <v/>
      </c>
      <c r="K18" s="507">
        <f>J18/80</f>
        <v/>
      </c>
      <c r="L18" s="503" t="n">
        <v>2</v>
      </c>
      <c r="M18" s="503" t="n">
        <v>17.5</v>
      </c>
      <c r="N18" s="508">
        <f>J18*M18</f>
        <v/>
      </c>
    </row>
    <row r="19" ht="12.75" customHeight="1" s="244">
      <c r="A19" s="509">
        <f>'PETEK LİST'!A19</f>
        <v/>
      </c>
      <c r="B19" s="510">
        <f>'PETEK LİST'!B19</f>
        <v/>
      </c>
      <c r="C19" s="511">
        <f>'PETEK LİST'!C19</f>
        <v/>
      </c>
      <c r="D19" s="478">
        <f>'PETEK LİST'!D19</f>
        <v/>
      </c>
      <c r="E19" s="506" t="n">
        <v>3.65</v>
      </c>
      <c r="F19" s="507">
        <f>D19/E19</f>
        <v/>
      </c>
      <c r="G19" s="507">
        <f>76.263-0.539*F19</f>
        <v/>
      </c>
      <c r="H19" s="507">
        <f>D19/G19</f>
        <v/>
      </c>
      <c r="I19" s="503" t="n">
        <v>15</v>
      </c>
      <c r="J19" s="475">
        <f>'PETEK LİST'!G19</f>
        <v/>
      </c>
      <c r="K19" s="507">
        <f>J19/80</f>
        <v/>
      </c>
      <c r="L19" s="503" t="n">
        <v>1</v>
      </c>
      <c r="M19" s="503" t="n">
        <v>17.5</v>
      </c>
      <c r="N19" s="508">
        <f>J19*M19</f>
        <v/>
      </c>
    </row>
    <row r="20" ht="12.75" customHeight="1" s="244">
      <c r="A20" s="509">
        <f>'PETEK LİST'!A20</f>
        <v/>
      </c>
      <c r="B20" s="510">
        <f>'PETEK LİST'!B20</f>
        <v/>
      </c>
      <c r="C20" s="511">
        <f>'PETEK LİST'!C20</f>
        <v/>
      </c>
      <c r="D20" s="478">
        <f>'PETEK LİST'!D20</f>
        <v/>
      </c>
      <c r="E20" s="506" t="n">
        <v>2.9</v>
      </c>
      <c r="F20" s="507">
        <f>D20/E20</f>
        <v/>
      </c>
      <c r="G20" s="507">
        <f>76.263-0.539*F20</f>
        <v/>
      </c>
      <c r="H20" s="507">
        <f>D20/G20</f>
        <v/>
      </c>
      <c r="I20" s="503" t="n">
        <v>10</v>
      </c>
      <c r="J20" s="475">
        <f>'PETEK LİST'!G20</f>
        <v/>
      </c>
      <c r="K20" s="507">
        <f>J20/80</f>
        <v/>
      </c>
      <c r="L20" s="503" t="n">
        <v>1</v>
      </c>
      <c r="M20" s="503" t="n">
        <v>17.5</v>
      </c>
      <c r="N20" s="508">
        <f>J20*M20</f>
        <v/>
      </c>
    </row>
    <row r="21" ht="12.75" customHeight="1" s="244">
      <c r="A21" s="509">
        <f>'PETEK LİST'!A21</f>
        <v/>
      </c>
      <c r="B21" s="510">
        <f>'PETEK LİST'!B21</f>
        <v/>
      </c>
      <c r="C21" s="511">
        <f>'PETEK LİST'!C21</f>
        <v/>
      </c>
      <c r="D21" s="478">
        <f>'PETEK LİST'!D21</f>
        <v/>
      </c>
      <c r="E21" s="506" t="n">
        <v>9</v>
      </c>
      <c r="F21" s="507">
        <f>D21/E21</f>
        <v/>
      </c>
      <c r="G21" s="507">
        <f>76.263-0.539*F21</f>
        <v/>
      </c>
      <c r="H21" s="507">
        <f>D21/G21</f>
        <v/>
      </c>
      <c r="I21" s="503" t="n">
        <v>15</v>
      </c>
      <c r="J21" s="475">
        <f>'PETEK LİST'!G21</f>
        <v/>
      </c>
      <c r="K21" s="507">
        <f>J21/80</f>
        <v/>
      </c>
      <c r="L21" s="503" t="n">
        <v>1</v>
      </c>
      <c r="M21" s="503" t="n">
        <v>17.5</v>
      </c>
      <c r="N21" s="508">
        <f>J21*M21</f>
        <v/>
      </c>
    </row>
    <row r="22" ht="12.75" customHeight="1" s="244">
      <c r="A22" s="509">
        <f>'PETEK LİST'!A22</f>
        <v/>
      </c>
      <c r="B22" s="510">
        <f>'PETEK LİST'!B22</f>
        <v/>
      </c>
      <c r="C22" s="511">
        <f>'PETEK LİST'!C22</f>
        <v/>
      </c>
      <c r="D22" s="478">
        <f>'PETEK LİST'!D22</f>
        <v/>
      </c>
      <c r="E22" s="506" t="n">
        <v>13.1</v>
      </c>
      <c r="F22" s="507">
        <f>D22/E22</f>
        <v/>
      </c>
      <c r="G22" s="507">
        <f>76.263-0.539*F22</f>
        <v/>
      </c>
      <c r="H22" s="507">
        <f>D22/G22</f>
        <v/>
      </c>
      <c r="I22" s="503" t="n">
        <v>15</v>
      </c>
      <c r="J22" s="475">
        <f>'PETEK LİST'!G22</f>
        <v/>
      </c>
      <c r="K22" s="507">
        <f>J22/80</f>
        <v/>
      </c>
      <c r="L22" s="503" t="n">
        <v>2</v>
      </c>
      <c r="M22" s="503" t="n">
        <v>17.5</v>
      </c>
      <c r="N22" s="508">
        <f>J22*M22</f>
        <v/>
      </c>
    </row>
    <row r="23" ht="12.75" customHeight="1" s="244">
      <c r="A23" s="509">
        <f>'PETEK LİST'!A23</f>
        <v/>
      </c>
      <c r="B23" s="510">
        <f>'PETEK LİST'!B23</f>
        <v/>
      </c>
      <c r="C23" s="511">
        <f>'PETEK LİST'!C23</f>
        <v/>
      </c>
      <c r="D23" s="478">
        <f>'PETEK LİST'!D23</f>
        <v/>
      </c>
      <c r="E23" s="506" t="n">
        <v>10.75</v>
      </c>
      <c r="F23" s="507">
        <f>D23/E23</f>
        <v/>
      </c>
      <c r="G23" s="507">
        <f>76.263-0.539*F23</f>
        <v/>
      </c>
      <c r="H23" s="507">
        <f>D23/G23</f>
        <v/>
      </c>
      <c r="I23" s="503" t="n">
        <v>15</v>
      </c>
      <c r="J23" s="475">
        <f>'PETEK LİST'!G23</f>
        <v/>
      </c>
      <c r="K23" s="507">
        <f>J23/80</f>
        <v/>
      </c>
      <c r="L23" s="503" t="n">
        <v>2</v>
      </c>
      <c r="M23" s="503" t="n">
        <v>17.5</v>
      </c>
      <c r="N23" s="508">
        <f>J23*M23</f>
        <v/>
      </c>
    </row>
    <row r="24">
      <c r="A24" s="503">
        <f>'PETEK LİST'!A24</f>
        <v/>
      </c>
      <c r="B24" s="504">
        <f>'PETEK LİST'!B24</f>
        <v/>
      </c>
      <c r="C24" s="505">
        <f>'PETEK LİST'!C24</f>
        <v/>
      </c>
      <c r="D24" s="483">
        <f>'PETEK LİST'!D24</f>
        <v/>
      </c>
      <c r="E24" s="506" t="n">
        <v>10.77</v>
      </c>
      <c r="F24" s="507">
        <f>D24/E24</f>
        <v/>
      </c>
      <c r="G24" s="507">
        <f>76.263-0.539*F24</f>
        <v/>
      </c>
      <c r="H24" s="507">
        <f>D24/G24</f>
        <v/>
      </c>
      <c r="I24" s="503" t="n">
        <v>15</v>
      </c>
      <c r="J24" s="480">
        <f>'PETEK LİST'!G24</f>
        <v/>
      </c>
      <c r="K24" s="507">
        <f>J24/80</f>
        <v/>
      </c>
      <c r="L24" s="503" t="n">
        <v>2</v>
      </c>
      <c r="M24" s="503" t="n">
        <v>17.5</v>
      </c>
      <c r="N24" s="508">
        <f>J24*M24</f>
        <v/>
      </c>
    </row>
    <row r="25">
      <c r="A25" s="503">
        <f>'PETEK LİST'!A25</f>
        <v/>
      </c>
      <c r="B25" s="504">
        <f>'PETEK LİST'!B25</f>
        <v/>
      </c>
      <c r="C25" s="505">
        <f>'PETEK LİST'!C25</f>
        <v/>
      </c>
      <c r="D25" s="483">
        <f>'PETEK LİST'!D25</f>
        <v/>
      </c>
      <c r="E25" s="506" t="n">
        <v>3.97</v>
      </c>
      <c r="F25" s="507">
        <f>D25/E25</f>
        <v/>
      </c>
      <c r="G25" s="507">
        <f>76.263-0.539*F25</f>
        <v/>
      </c>
      <c r="H25" s="507">
        <f>D25/G25</f>
        <v/>
      </c>
      <c r="I25" s="503" t="n">
        <v>15</v>
      </c>
      <c r="J25" s="480">
        <f>'PETEK LİST'!G25</f>
        <v/>
      </c>
      <c r="K25" s="507">
        <f>J25/80</f>
        <v/>
      </c>
      <c r="L25" s="503" t="n">
        <v>1</v>
      </c>
      <c r="M25" s="503" t="n">
        <v>17.5</v>
      </c>
      <c r="N25" s="508">
        <f>J25*M25</f>
        <v/>
      </c>
    </row>
    <row r="26">
      <c r="A26" s="503">
        <f>'PETEK LİST'!A26</f>
        <v/>
      </c>
      <c r="B26" s="504">
        <f>'PETEK LİST'!B26</f>
        <v/>
      </c>
      <c r="C26" s="505">
        <f>'PETEK LİST'!C26</f>
        <v/>
      </c>
      <c r="D26" s="483">
        <f>'PETEK LİST'!D26</f>
        <v/>
      </c>
      <c r="E26" s="506" t="n">
        <v>2.9</v>
      </c>
      <c r="F26" s="507">
        <f>D26/E26</f>
        <v/>
      </c>
      <c r="G26" s="507">
        <f>76.263-0.539*F26</f>
        <v/>
      </c>
      <c r="H26" s="507">
        <f>D26/G26</f>
        <v/>
      </c>
      <c r="I26" s="503" t="n">
        <v>10</v>
      </c>
      <c r="J26" s="480">
        <f>'PETEK LİST'!G26</f>
        <v/>
      </c>
      <c r="K26" s="507">
        <f>J26/80</f>
        <v/>
      </c>
      <c r="L26" s="503" t="n">
        <v>1</v>
      </c>
      <c r="M26" s="503" t="n">
        <v>17.5</v>
      </c>
      <c r="N26" s="508">
        <f>J26*M26</f>
        <v/>
      </c>
    </row>
    <row r="27">
      <c r="A27" s="503">
        <f>'PETEK LİST'!A27</f>
        <v/>
      </c>
      <c r="B27" s="504">
        <f>'PETEK LİST'!B27</f>
        <v/>
      </c>
      <c r="C27" s="505">
        <f>'PETEK LİST'!C27</f>
        <v/>
      </c>
      <c r="D27" s="483">
        <f>'PETEK LİST'!D27</f>
        <v/>
      </c>
      <c r="E27" s="506" t="n">
        <v>9</v>
      </c>
      <c r="F27" s="507">
        <f>D27/E27</f>
        <v/>
      </c>
      <c r="G27" s="507">
        <f>76.263-0.539*F27</f>
        <v/>
      </c>
      <c r="H27" s="507">
        <f>D27/G27</f>
        <v/>
      </c>
      <c r="I27" s="503" t="n">
        <v>15</v>
      </c>
      <c r="J27" s="480">
        <f>'PETEK LİST'!G27</f>
        <v/>
      </c>
      <c r="K27" s="507">
        <f>J27/80</f>
        <v/>
      </c>
      <c r="L27" s="503" t="n">
        <v>1</v>
      </c>
      <c r="M27" s="503" t="n">
        <v>17.5</v>
      </c>
      <c r="N27" s="508">
        <f>J27*M27</f>
        <v/>
      </c>
    </row>
    <row r="28">
      <c r="A28" s="503">
        <f>'PETEK LİST'!A28</f>
        <v/>
      </c>
      <c r="B28" s="504">
        <f>'PETEK LİST'!B28</f>
        <v/>
      </c>
      <c r="C28" s="505">
        <f>'PETEK LİST'!C28</f>
        <v/>
      </c>
      <c r="D28" s="483">
        <f>'PETEK LİST'!D28</f>
        <v/>
      </c>
      <c r="E28" s="506" t="n">
        <v>19.19</v>
      </c>
      <c r="F28" s="507">
        <f>D28/E28</f>
        <v/>
      </c>
      <c r="G28" s="507">
        <f>76.263-0.539*F28</f>
        <v/>
      </c>
      <c r="H28" s="507">
        <f>D28/G28</f>
        <v/>
      </c>
      <c r="I28" s="503" t="n">
        <v>15</v>
      </c>
      <c r="J28" s="480">
        <f>'PETEK LİST'!G28</f>
        <v/>
      </c>
      <c r="K28" s="507">
        <f>J28/80</f>
        <v/>
      </c>
      <c r="L28" s="503" t="n">
        <v>2</v>
      </c>
      <c r="M28" s="503" t="n">
        <v>17.5</v>
      </c>
      <c r="N28" s="508">
        <f>J28*M28</f>
        <v/>
      </c>
    </row>
    <row r="29">
      <c r="A29" s="503">
        <f>'PETEK LİST'!A29</f>
        <v/>
      </c>
      <c r="B29" s="504">
        <f>'PETEK LİST'!B29</f>
        <v/>
      </c>
      <c r="C29" s="505">
        <f>'PETEK LİST'!C29</f>
        <v/>
      </c>
      <c r="D29" s="483">
        <f>'PETEK LİST'!D29</f>
        <v/>
      </c>
      <c r="E29" s="506" t="n">
        <v>9.619999999999999</v>
      </c>
      <c r="F29" s="507">
        <f>D29/E29</f>
        <v/>
      </c>
      <c r="G29" s="507">
        <f>76.263-0.539*F29</f>
        <v/>
      </c>
      <c r="H29" s="507">
        <f>D29/G29</f>
        <v/>
      </c>
      <c r="I29" s="503" t="n">
        <v>15</v>
      </c>
      <c r="J29" s="480">
        <f>'PETEK LİST'!G29</f>
        <v/>
      </c>
      <c r="K29" s="507">
        <f>J29/80</f>
        <v/>
      </c>
      <c r="L29" s="503" t="n">
        <v>1</v>
      </c>
      <c r="M29" s="503" t="n">
        <v>17.5</v>
      </c>
      <c r="N29" s="508">
        <f>J29*M29</f>
        <v/>
      </c>
    </row>
    <row r="30">
      <c r="A30" s="503">
        <f>'PETEK LİST'!A30</f>
        <v/>
      </c>
      <c r="B30" s="504">
        <f>'PETEK LİST'!B30</f>
        <v/>
      </c>
      <c r="C30" s="505">
        <f>'PETEK LİST'!C30</f>
        <v/>
      </c>
      <c r="D30" s="483">
        <f>'PETEK LİST'!D30</f>
        <v/>
      </c>
      <c r="E30" s="506" t="n">
        <v>11.24</v>
      </c>
      <c r="F30" s="507">
        <f>D30/E30</f>
        <v/>
      </c>
      <c r="G30" s="507">
        <f>76.263-0.539*F30</f>
        <v/>
      </c>
      <c r="H30" s="507">
        <f>D30/G30</f>
        <v/>
      </c>
      <c r="I30" s="503" t="n">
        <v>10</v>
      </c>
      <c r="J30" s="480">
        <f>'PETEK LİST'!G30</f>
        <v/>
      </c>
      <c r="K30" s="507">
        <f>J30/80</f>
        <v/>
      </c>
      <c r="L30" s="503" t="n">
        <v>2</v>
      </c>
      <c r="M30" s="503" t="n">
        <v>17.5</v>
      </c>
      <c r="N30" s="508">
        <f>J30*M30</f>
        <v/>
      </c>
    </row>
    <row r="31">
      <c r="A31" s="503">
        <f>'PETEK LİST'!A31</f>
        <v/>
      </c>
      <c r="B31" s="504">
        <f>'PETEK LİST'!B31</f>
        <v/>
      </c>
      <c r="C31" s="505">
        <f>'PETEK LİST'!C31</f>
        <v/>
      </c>
      <c r="D31" s="483">
        <f>'PETEK LİST'!D31</f>
        <v/>
      </c>
      <c r="E31" s="506" t="n">
        <v>3.83</v>
      </c>
      <c r="F31" s="507">
        <f>D31/E31</f>
        <v/>
      </c>
      <c r="G31" s="507">
        <f>76.263-0.539*F31</f>
        <v/>
      </c>
      <c r="H31" s="507">
        <f>D31/G31</f>
        <v/>
      </c>
      <c r="I31" s="503" t="n">
        <v>15</v>
      </c>
      <c r="J31" s="480">
        <f>'PETEK LİST'!G31</f>
        <v/>
      </c>
      <c r="K31" s="507">
        <f>J31/80</f>
        <v/>
      </c>
      <c r="L31" s="503" t="n">
        <v>1</v>
      </c>
      <c r="M31" s="503" t="n">
        <v>17.5</v>
      </c>
      <c r="N31" s="508">
        <f>J31*M31</f>
        <v/>
      </c>
    </row>
    <row r="32">
      <c r="A32" s="503">
        <f>'PETEK LİST'!A32</f>
        <v/>
      </c>
      <c r="B32" s="504">
        <f>'PETEK LİST'!B32</f>
        <v/>
      </c>
      <c r="C32" s="505">
        <f>'PETEK LİST'!C32</f>
        <v/>
      </c>
      <c r="D32" s="483">
        <f>'PETEK LİST'!D32</f>
        <v/>
      </c>
      <c r="E32" s="506" t="n">
        <v>2.83</v>
      </c>
      <c r="F32" s="507">
        <f>D32/E32</f>
        <v/>
      </c>
      <c r="G32" s="507">
        <f>76.263-0.539*F32</f>
        <v/>
      </c>
      <c r="H32" s="507">
        <f>D32/G32</f>
        <v/>
      </c>
      <c r="I32" s="503" t="n">
        <v>10</v>
      </c>
      <c r="J32" s="480">
        <f>'PETEK LİST'!G32</f>
        <v/>
      </c>
      <c r="K32" s="507">
        <f>J32/80</f>
        <v/>
      </c>
      <c r="L32" s="503" t="n">
        <v>1</v>
      </c>
      <c r="M32" s="503" t="n">
        <v>17.5</v>
      </c>
      <c r="N32" s="508">
        <f>J32*M32</f>
        <v/>
      </c>
    </row>
    <row r="33">
      <c r="A33" s="503">
        <f>'PETEK LİST'!A33</f>
        <v/>
      </c>
      <c r="B33" s="504">
        <f>'PETEK LİST'!B33</f>
        <v/>
      </c>
      <c r="C33" s="505">
        <f>'PETEK LİST'!C33</f>
        <v/>
      </c>
      <c r="D33" s="483">
        <f>'PETEK LİST'!D33</f>
        <v/>
      </c>
      <c r="E33" s="506" t="n">
        <v>10.07</v>
      </c>
      <c r="F33" s="507">
        <f>D33/E33</f>
        <v/>
      </c>
      <c r="G33" s="507">
        <f>76.263-0.539*F33</f>
        <v/>
      </c>
      <c r="H33" s="507">
        <f>D33/G33</f>
        <v/>
      </c>
      <c r="I33" s="503" t="n">
        <v>15</v>
      </c>
      <c r="J33" s="480">
        <f>'PETEK LİST'!G33</f>
        <v/>
      </c>
      <c r="K33" s="507">
        <f>J33/80</f>
        <v/>
      </c>
      <c r="L33" s="503" t="n">
        <v>1</v>
      </c>
      <c r="M33" s="503" t="n">
        <v>17.5</v>
      </c>
      <c r="N33" s="508">
        <f>J33*M33</f>
        <v/>
      </c>
    </row>
    <row r="34"/>
    <row r="35">
      <c r="A35" s="503">
        <f>'PETEK LİST'!A35</f>
        <v/>
      </c>
      <c r="B35" s="504">
        <f>'PETEK LİST'!B35</f>
        <v/>
      </c>
      <c r="C35" s="505">
        <f>'PETEK LİST'!C35</f>
        <v/>
      </c>
      <c r="D35" s="483">
        <f>'PETEK LİST'!D35</f>
        <v/>
      </c>
      <c r="E35" s="506" t="n">
        <v>19.54</v>
      </c>
      <c r="F35" s="507">
        <f>D35/E35</f>
        <v/>
      </c>
      <c r="G35" s="507">
        <f>76.263-0.539*F35</f>
        <v/>
      </c>
      <c r="H35" s="507">
        <f>D35/G35</f>
        <v/>
      </c>
      <c r="I35" s="503" t="n">
        <v>15</v>
      </c>
      <c r="J35" s="480">
        <f>'PETEK LİST'!G35</f>
        <v/>
      </c>
      <c r="K35" s="507">
        <f>J35/80</f>
        <v/>
      </c>
      <c r="L35" s="503" t="n">
        <v>2</v>
      </c>
      <c r="M35" s="503" t="n">
        <v>17.5</v>
      </c>
      <c r="N35" s="508">
        <f>J35*M35</f>
        <v/>
      </c>
    </row>
    <row r="36">
      <c r="A36" s="503">
        <f>'PETEK LİST'!A36</f>
        <v/>
      </c>
      <c r="B36" s="504">
        <f>'PETEK LİST'!B36</f>
        <v/>
      </c>
      <c r="C36" s="505">
        <f>'PETEK LİST'!C36</f>
        <v/>
      </c>
      <c r="D36" s="483">
        <f>'PETEK LİST'!D36</f>
        <v/>
      </c>
      <c r="E36" s="506" t="n">
        <v>10.1</v>
      </c>
      <c r="F36" s="507">
        <f>D36/E36</f>
        <v/>
      </c>
      <c r="G36" s="507">
        <f>76.263-0.539*F36</f>
        <v/>
      </c>
      <c r="H36" s="507">
        <f>D36/G36</f>
        <v/>
      </c>
      <c r="I36" s="503" t="n">
        <v>15</v>
      </c>
      <c r="J36" s="480">
        <f>'PETEK LİST'!G36</f>
        <v/>
      </c>
      <c r="K36" s="507">
        <f>J36/80</f>
        <v/>
      </c>
      <c r="L36" s="503" t="n">
        <v>1</v>
      </c>
      <c r="M36" s="503" t="n">
        <v>17.5</v>
      </c>
      <c r="N36" s="508">
        <f>J36*M36</f>
        <v/>
      </c>
    </row>
    <row r="37">
      <c r="A37" s="503">
        <f>'PETEK LİST'!A37</f>
        <v/>
      </c>
      <c r="B37" s="504">
        <f>'PETEK LİST'!B37</f>
        <v/>
      </c>
      <c r="C37" s="505">
        <f>'PETEK LİST'!C37</f>
        <v/>
      </c>
      <c r="D37" s="483">
        <f>'PETEK LİST'!D37</f>
        <v/>
      </c>
      <c r="E37" s="506" t="n">
        <v>10.96</v>
      </c>
      <c r="F37" s="507">
        <f>D37/E37</f>
        <v/>
      </c>
      <c r="G37" s="507">
        <f>76.263-0.539*F37</f>
        <v/>
      </c>
      <c r="H37" s="507">
        <f>D37/G37</f>
        <v/>
      </c>
      <c r="I37" s="503" t="n">
        <v>10</v>
      </c>
      <c r="J37" s="480">
        <f>'PETEK LİST'!G37</f>
        <v/>
      </c>
      <c r="K37" s="507">
        <f>J37/80</f>
        <v/>
      </c>
      <c r="L37" s="503" t="n">
        <v>2</v>
      </c>
      <c r="M37" s="503" t="n">
        <v>17.5</v>
      </c>
      <c r="N37" s="508">
        <f>J37*M37</f>
        <v/>
      </c>
    </row>
    <row r="38">
      <c r="A38" s="503">
        <f>'PETEK LİST'!A38</f>
        <v/>
      </c>
      <c r="B38" s="504">
        <f>'PETEK LİST'!B38</f>
        <v/>
      </c>
      <c r="C38" s="505">
        <f>'PETEK LİST'!C38</f>
        <v/>
      </c>
      <c r="D38" s="483">
        <f>'PETEK LİST'!D38</f>
        <v/>
      </c>
      <c r="E38" s="506" t="n">
        <v>3.83</v>
      </c>
      <c r="F38" s="507">
        <f>D38/E38</f>
        <v/>
      </c>
      <c r="G38" s="507">
        <f>76.263-0.539*F38</f>
        <v/>
      </c>
      <c r="H38" s="507">
        <f>D38/G38</f>
        <v/>
      </c>
      <c r="I38" s="503" t="n">
        <v>15</v>
      </c>
      <c r="J38" s="480">
        <f>'PETEK LİST'!G38</f>
        <v/>
      </c>
      <c r="K38" s="507">
        <f>J38/80</f>
        <v/>
      </c>
      <c r="L38" s="503" t="n">
        <v>1</v>
      </c>
      <c r="M38" s="503" t="n">
        <v>17.5</v>
      </c>
      <c r="N38" s="508">
        <f>J38*M38</f>
        <v/>
      </c>
    </row>
    <row r="39">
      <c r="A39" s="503">
        <f>'PETEK LİST'!A39</f>
        <v/>
      </c>
      <c r="B39" s="504">
        <f>'PETEK LİST'!B39</f>
        <v/>
      </c>
      <c r="C39" s="505">
        <f>'PETEK LİST'!C39</f>
        <v/>
      </c>
      <c r="D39" s="483">
        <f>'PETEK LİST'!D39</f>
        <v/>
      </c>
      <c r="E39" s="506" t="n">
        <v>2.73</v>
      </c>
      <c r="F39" s="507">
        <f>D39/E39</f>
        <v/>
      </c>
      <c r="G39" s="507">
        <f>76.263-0.539*F39</f>
        <v/>
      </c>
      <c r="H39" s="507">
        <f>D39/G39</f>
        <v/>
      </c>
      <c r="I39" s="503" t="n">
        <v>10</v>
      </c>
      <c r="J39" s="480">
        <f>'PETEK LİST'!G39</f>
        <v/>
      </c>
      <c r="K39" s="507">
        <f>J39/80</f>
        <v/>
      </c>
      <c r="L39" s="503" t="n">
        <v>1</v>
      </c>
      <c r="M39" s="503" t="n">
        <v>17.5</v>
      </c>
      <c r="N39" s="508">
        <f>J39*M39</f>
        <v/>
      </c>
    </row>
    <row r="40">
      <c r="A40" s="503">
        <f>'PETEK LİST'!A40</f>
        <v/>
      </c>
      <c r="B40" s="504">
        <f>'PETEK LİST'!B40</f>
        <v/>
      </c>
      <c r="C40" s="505">
        <f>'PETEK LİST'!C40</f>
        <v/>
      </c>
      <c r="D40" s="483">
        <f>'PETEK LİST'!D40</f>
        <v/>
      </c>
      <c r="E40" s="506" t="n">
        <v>9.869999999999999</v>
      </c>
      <c r="F40" s="507">
        <f>D40/E40</f>
        <v/>
      </c>
      <c r="G40" s="507">
        <f>76.263-0.539*F40</f>
        <v/>
      </c>
      <c r="H40" s="507">
        <f>D40/G40</f>
        <v/>
      </c>
      <c r="I40" s="503" t="n">
        <v>15</v>
      </c>
      <c r="J40" s="480">
        <f>'PETEK LİST'!G40</f>
        <v/>
      </c>
      <c r="K40" s="507">
        <f>J40/80</f>
        <v/>
      </c>
      <c r="L40" s="503" t="n">
        <v>1</v>
      </c>
      <c r="M40" s="503" t="n">
        <v>17.5</v>
      </c>
      <c r="N40" s="508">
        <f>J40*M40</f>
        <v/>
      </c>
    </row>
    <row r="41">
      <c r="A41" s="503">
        <f>'PETEK LİST'!A41</f>
        <v/>
      </c>
      <c r="B41" s="504">
        <f>'PETEK LİST'!B41</f>
        <v/>
      </c>
      <c r="C41" s="505">
        <f>'PETEK LİST'!C41</f>
        <v/>
      </c>
      <c r="D41" s="483">
        <f>'PETEK LİST'!D41</f>
        <v/>
      </c>
      <c r="E41" s="506" t="n">
        <v>10.76</v>
      </c>
      <c r="F41" s="507">
        <f>D41/E41</f>
        <v/>
      </c>
      <c r="G41" s="507">
        <f>76.263-0.539*F41</f>
        <v/>
      </c>
      <c r="H41" s="507">
        <f>D41/G41</f>
        <v/>
      </c>
      <c r="I41" s="503" t="n">
        <v>15</v>
      </c>
      <c r="J41" s="480">
        <f>'PETEK LİST'!G41</f>
        <v/>
      </c>
      <c r="K41" s="507">
        <f>J41/80</f>
        <v/>
      </c>
      <c r="L41" s="503" t="n">
        <v>2</v>
      </c>
      <c r="M41" s="503" t="n">
        <v>17.5</v>
      </c>
      <c r="N41" s="508">
        <f>J41*M41</f>
        <v/>
      </c>
    </row>
    <row r="42">
      <c r="A42" s="503">
        <f>'PETEK LİST'!A42</f>
        <v/>
      </c>
      <c r="B42" s="504">
        <f>'PETEK LİST'!B42</f>
        <v/>
      </c>
      <c r="C42" s="505">
        <f>'PETEK LİST'!C42</f>
        <v/>
      </c>
      <c r="D42" s="483">
        <f>'PETEK LİST'!D42</f>
        <v/>
      </c>
      <c r="E42" s="506" t="n">
        <v>10.68</v>
      </c>
      <c r="F42" s="507">
        <f>D42/E42</f>
        <v/>
      </c>
      <c r="G42" s="507">
        <f>76.263-0.539*F42</f>
        <v/>
      </c>
      <c r="H42" s="507">
        <f>D42/G42</f>
        <v/>
      </c>
      <c r="I42" s="503" t="n">
        <v>15</v>
      </c>
      <c r="J42" s="480">
        <f>'PETEK LİST'!G42</f>
        <v/>
      </c>
      <c r="K42" s="507">
        <f>J42/80</f>
        <v/>
      </c>
      <c r="L42" s="503" t="n">
        <v>2</v>
      </c>
      <c r="M42" s="503" t="n">
        <v>17.5</v>
      </c>
      <c r="N42" s="508">
        <f>J42*M42</f>
        <v/>
      </c>
    </row>
    <row r="43">
      <c r="A43" s="503">
        <f>'PETEK LİST'!A43</f>
        <v/>
      </c>
      <c r="B43" s="504">
        <f>'PETEK LİST'!B43</f>
        <v/>
      </c>
      <c r="C43" s="505">
        <f>'PETEK LİST'!C43</f>
        <v/>
      </c>
      <c r="D43" s="483">
        <f>'PETEK LİST'!D43</f>
        <v/>
      </c>
      <c r="E43" s="506" t="n">
        <v>13.32</v>
      </c>
      <c r="F43" s="507">
        <f>D43/E43</f>
        <v/>
      </c>
      <c r="G43" s="507">
        <f>76.263-0.539*F43</f>
        <v/>
      </c>
      <c r="H43" s="507">
        <f>D43/G43</f>
        <v/>
      </c>
      <c r="I43" s="503" t="n">
        <v>15</v>
      </c>
      <c r="J43" s="480">
        <f>'PETEK LİST'!G43</f>
        <v/>
      </c>
      <c r="K43" s="507">
        <f>J43/80</f>
        <v/>
      </c>
      <c r="L43" s="503" t="n">
        <v>2</v>
      </c>
      <c r="M43" s="503" t="n">
        <v>17.5</v>
      </c>
      <c r="N43" s="508">
        <f>J43*M43</f>
        <v/>
      </c>
    </row>
    <row r="44">
      <c r="A44" s="503">
        <f>'PETEK LİST'!A44</f>
        <v/>
      </c>
      <c r="B44" s="504">
        <f>'PETEK LİST'!B44</f>
        <v/>
      </c>
      <c r="C44" s="505">
        <f>'PETEK LİST'!C44</f>
        <v/>
      </c>
      <c r="D44" s="483">
        <f>'PETEK LİST'!D44</f>
        <v/>
      </c>
      <c r="E44" s="506" t="n">
        <v>3.65</v>
      </c>
      <c r="F44" s="507">
        <f>D44/E44</f>
        <v/>
      </c>
      <c r="G44" s="507">
        <f>76.263-0.539*F44</f>
        <v/>
      </c>
      <c r="H44" s="507">
        <f>D44/G44</f>
        <v/>
      </c>
      <c r="I44" s="503" t="n">
        <v>15</v>
      </c>
      <c r="J44" s="480">
        <f>'PETEK LİST'!G44</f>
        <v/>
      </c>
      <c r="K44" s="507">
        <f>J44/80</f>
        <v/>
      </c>
      <c r="L44" s="503" t="n">
        <v>1</v>
      </c>
      <c r="M44" s="503" t="n">
        <v>17.5</v>
      </c>
      <c r="N44" s="508">
        <f>J44*M44</f>
        <v/>
      </c>
    </row>
    <row r="45">
      <c r="A45" s="503">
        <f>'PETEK LİST'!A45</f>
        <v/>
      </c>
      <c r="B45" s="504">
        <f>'PETEK LİST'!B45</f>
        <v/>
      </c>
      <c r="C45" s="505">
        <f>'PETEK LİST'!C45</f>
        <v/>
      </c>
      <c r="D45" s="483">
        <f>'PETEK LİST'!D45</f>
        <v/>
      </c>
      <c r="E45" s="506" t="n">
        <v>2.9</v>
      </c>
      <c r="F45" s="507">
        <f>D45/E45</f>
        <v/>
      </c>
      <c r="G45" s="507">
        <f>76.263-0.539*F45</f>
        <v/>
      </c>
      <c r="H45" s="507">
        <f>D45/G45</f>
        <v/>
      </c>
      <c r="I45" s="503" t="n">
        <v>10</v>
      </c>
      <c r="J45" s="480">
        <f>'PETEK LİST'!G45</f>
        <v/>
      </c>
      <c r="K45" s="507">
        <f>J45/80</f>
        <v/>
      </c>
      <c r="L45" s="503" t="n">
        <v>1</v>
      </c>
      <c r="M45" s="503" t="n">
        <v>17.5</v>
      </c>
      <c r="N45" s="508">
        <f>J45*M45</f>
        <v/>
      </c>
    </row>
    <row r="46">
      <c r="A46" s="503">
        <f>'PETEK LİST'!A46</f>
        <v/>
      </c>
      <c r="B46" s="504">
        <f>'PETEK LİST'!B46</f>
        <v/>
      </c>
      <c r="C46" s="505">
        <f>'PETEK LİST'!C46</f>
        <v/>
      </c>
      <c r="D46" s="483">
        <f>'PETEK LİST'!D46</f>
        <v/>
      </c>
      <c r="E46" s="506" t="n">
        <v>9</v>
      </c>
      <c r="F46" s="507">
        <f>D46/E46</f>
        <v/>
      </c>
      <c r="G46" s="507">
        <f>76.263-0.539*F46</f>
        <v/>
      </c>
      <c r="H46" s="507">
        <f>D46/G46</f>
        <v/>
      </c>
      <c r="I46" s="503" t="n">
        <v>15</v>
      </c>
      <c r="J46" s="480">
        <f>'PETEK LİST'!G46</f>
        <v/>
      </c>
      <c r="K46" s="507">
        <f>J46/80</f>
        <v/>
      </c>
      <c r="L46" s="503" t="n">
        <v>1</v>
      </c>
      <c r="M46" s="503" t="n">
        <v>17.5</v>
      </c>
      <c r="N46" s="508">
        <f>J46*M46</f>
        <v/>
      </c>
    </row>
    <row r="47">
      <c r="A47" s="503">
        <f>'PETEK LİST'!A47</f>
        <v/>
      </c>
      <c r="B47" s="504">
        <f>'PETEK LİST'!B47</f>
        <v/>
      </c>
      <c r="C47" s="505">
        <f>'PETEK LİST'!C47</f>
        <v/>
      </c>
      <c r="D47" s="483">
        <f>'PETEK LİST'!D47</f>
        <v/>
      </c>
      <c r="E47" s="506" t="n">
        <v>13.1</v>
      </c>
      <c r="F47" s="507">
        <f>D47/E47</f>
        <v/>
      </c>
      <c r="G47" s="507">
        <f>76.263-0.539*F47</f>
        <v/>
      </c>
      <c r="H47" s="507">
        <f>D47/G47</f>
        <v/>
      </c>
      <c r="I47" s="503" t="n">
        <v>15</v>
      </c>
      <c r="J47" s="480">
        <f>'PETEK LİST'!G47</f>
        <v/>
      </c>
      <c r="K47" s="507">
        <f>J47/80</f>
        <v/>
      </c>
      <c r="L47" s="503" t="n">
        <v>2</v>
      </c>
      <c r="M47" s="503" t="n">
        <v>17.5</v>
      </c>
      <c r="N47" s="508">
        <f>J47*M47</f>
        <v/>
      </c>
    </row>
    <row r="48">
      <c r="A48" s="503">
        <f>'PETEK LİST'!A48</f>
        <v/>
      </c>
      <c r="B48" s="504">
        <f>'PETEK LİST'!B48</f>
        <v/>
      </c>
      <c r="C48" s="505">
        <f>'PETEK LİST'!C48</f>
        <v/>
      </c>
      <c r="D48" s="483">
        <f>'PETEK LİST'!D48</f>
        <v/>
      </c>
      <c r="E48" s="506" t="n">
        <v>10.75</v>
      </c>
      <c r="F48" s="507">
        <f>D48/E48</f>
        <v/>
      </c>
      <c r="G48" s="507">
        <f>76.263-0.539*F48</f>
        <v/>
      </c>
      <c r="H48" s="507">
        <f>D48/G48</f>
        <v/>
      </c>
      <c r="I48" s="503" t="n">
        <v>15</v>
      </c>
      <c r="J48" s="480">
        <f>'PETEK LİST'!G48</f>
        <v/>
      </c>
      <c r="K48" s="507">
        <f>J48/80</f>
        <v/>
      </c>
      <c r="L48" s="503" t="n">
        <v>2</v>
      </c>
      <c r="M48" s="503" t="n">
        <v>17.5</v>
      </c>
      <c r="N48" s="508">
        <f>J48*M48</f>
        <v/>
      </c>
    </row>
    <row r="49">
      <c r="A49" s="503">
        <f>'PETEK LİST'!A49</f>
        <v/>
      </c>
      <c r="B49" s="504">
        <f>'PETEK LİST'!B49</f>
        <v/>
      </c>
      <c r="C49" s="505">
        <f>'PETEK LİST'!C49</f>
        <v/>
      </c>
      <c r="D49" s="483">
        <f>'PETEK LİST'!D49</f>
        <v/>
      </c>
      <c r="E49" s="506" t="n">
        <v>10.77</v>
      </c>
      <c r="F49" s="507">
        <f>D49/E49</f>
        <v/>
      </c>
      <c r="G49" s="507">
        <f>76.263-0.539*F49</f>
        <v/>
      </c>
      <c r="H49" s="507">
        <f>D49/G49</f>
        <v/>
      </c>
      <c r="I49" s="503" t="n">
        <v>15</v>
      </c>
      <c r="J49" s="480">
        <f>'PETEK LİST'!G49</f>
        <v/>
      </c>
      <c r="K49" s="507">
        <f>J49/80</f>
        <v/>
      </c>
      <c r="L49" s="503" t="n">
        <v>2</v>
      </c>
      <c r="M49" s="503" t="n">
        <v>17.5</v>
      </c>
      <c r="N49" s="508">
        <f>J49*M49</f>
        <v/>
      </c>
    </row>
    <row r="50">
      <c r="A50" s="503">
        <f>'PETEK LİST'!A50</f>
        <v/>
      </c>
      <c r="B50" s="504">
        <f>'PETEK LİST'!B50</f>
        <v/>
      </c>
      <c r="C50" s="505">
        <f>'PETEK LİST'!C50</f>
        <v/>
      </c>
      <c r="D50" s="483">
        <f>'PETEK LİST'!D50</f>
        <v/>
      </c>
      <c r="E50" s="506" t="n">
        <v>3.97</v>
      </c>
      <c r="F50" s="507">
        <f>D50/E50</f>
        <v/>
      </c>
      <c r="G50" s="507">
        <f>76.263-0.539*F50</f>
        <v/>
      </c>
      <c r="H50" s="507">
        <f>D50/G50</f>
        <v/>
      </c>
      <c r="I50" s="503" t="n">
        <v>15</v>
      </c>
      <c r="J50" s="480">
        <f>'PETEK LİST'!G50</f>
        <v/>
      </c>
      <c r="K50" s="507">
        <f>J50/80</f>
        <v/>
      </c>
      <c r="L50" s="503" t="n">
        <v>1</v>
      </c>
      <c r="M50" s="503" t="n">
        <v>17.5</v>
      </c>
      <c r="N50" s="508">
        <f>J50*M50</f>
        <v/>
      </c>
    </row>
    <row r="51">
      <c r="A51" s="503">
        <f>'PETEK LİST'!A51</f>
        <v/>
      </c>
      <c r="B51" s="504">
        <f>'PETEK LİST'!B51</f>
        <v/>
      </c>
      <c r="C51" s="505">
        <f>'PETEK LİST'!C51</f>
        <v/>
      </c>
      <c r="D51" s="483">
        <f>'PETEK LİST'!D51</f>
        <v/>
      </c>
      <c r="E51" s="506" t="n">
        <v>2.9</v>
      </c>
      <c r="F51" s="507">
        <f>D51/E51</f>
        <v/>
      </c>
      <c r="G51" s="507">
        <f>76.263-0.539*F51</f>
        <v/>
      </c>
      <c r="H51" s="507">
        <f>D51/G51</f>
        <v/>
      </c>
      <c r="I51" s="503" t="n">
        <v>10</v>
      </c>
      <c r="J51" s="480">
        <f>'PETEK LİST'!G51</f>
        <v/>
      </c>
      <c r="K51" s="507">
        <f>J51/80</f>
        <v/>
      </c>
      <c r="L51" s="503" t="n">
        <v>1</v>
      </c>
      <c r="M51" s="503" t="n">
        <v>17.5</v>
      </c>
      <c r="N51" s="508">
        <f>J51*M51</f>
        <v/>
      </c>
    </row>
    <row r="52">
      <c r="A52" s="503">
        <f>'PETEK LİST'!A52</f>
        <v/>
      </c>
      <c r="B52" s="504">
        <f>'PETEK LİST'!B52</f>
        <v/>
      </c>
      <c r="C52" s="505">
        <f>'PETEK LİST'!C52</f>
        <v/>
      </c>
      <c r="D52" s="483">
        <f>'PETEK LİST'!D52</f>
        <v/>
      </c>
      <c r="E52" s="506" t="n">
        <v>9</v>
      </c>
      <c r="F52" s="507">
        <f>D52/E52</f>
        <v/>
      </c>
      <c r="G52" s="507">
        <f>76.263-0.539*F52</f>
        <v/>
      </c>
      <c r="H52" s="507">
        <f>D52/G52</f>
        <v/>
      </c>
      <c r="I52" s="503" t="n">
        <v>15</v>
      </c>
      <c r="J52" s="480">
        <f>'PETEK LİST'!G52</f>
        <v/>
      </c>
      <c r="K52" s="507">
        <f>J52/80</f>
        <v/>
      </c>
      <c r="L52" s="503" t="n">
        <v>1</v>
      </c>
      <c r="M52" s="503" t="n">
        <v>17.5</v>
      </c>
      <c r="N52" s="508">
        <f>J52*M52</f>
        <v/>
      </c>
    </row>
    <row r="53">
      <c r="A53" s="503">
        <f>'PETEK LİST'!A53</f>
        <v/>
      </c>
      <c r="B53" s="504">
        <f>'PETEK LİST'!B53</f>
        <v/>
      </c>
      <c r="C53" s="505">
        <f>'PETEK LİST'!C53</f>
        <v/>
      </c>
      <c r="D53" s="483">
        <f>'PETEK LİST'!D53</f>
        <v/>
      </c>
      <c r="E53" s="506" t="n">
        <v>19.19</v>
      </c>
      <c r="F53" s="507">
        <f>D53/E53</f>
        <v/>
      </c>
      <c r="G53" s="507">
        <f>76.263-0.539*F53</f>
        <v/>
      </c>
      <c r="H53" s="507">
        <f>D53/G53</f>
        <v/>
      </c>
      <c r="I53" s="503" t="n">
        <v>15</v>
      </c>
      <c r="J53" s="480">
        <f>'PETEK LİST'!G53</f>
        <v/>
      </c>
      <c r="K53" s="507">
        <f>J53/80</f>
        <v/>
      </c>
      <c r="L53" s="503" t="n">
        <v>2</v>
      </c>
      <c r="M53" s="503" t="n">
        <v>17.5</v>
      </c>
      <c r="N53" s="508">
        <f>J53*M53</f>
        <v/>
      </c>
    </row>
    <row r="54">
      <c r="A54" s="503">
        <f>'PETEK LİST'!A54</f>
        <v/>
      </c>
      <c r="B54" s="504">
        <f>'PETEK LİST'!B54</f>
        <v/>
      </c>
      <c r="C54" s="505">
        <f>'PETEK LİST'!C54</f>
        <v/>
      </c>
      <c r="D54" s="483">
        <f>'PETEK LİST'!D54</f>
        <v/>
      </c>
      <c r="E54" s="506" t="n">
        <v>9.619999999999999</v>
      </c>
      <c r="F54" s="507">
        <f>D54/E54</f>
        <v/>
      </c>
      <c r="G54" s="507">
        <f>76.263-0.539*F54</f>
        <v/>
      </c>
      <c r="H54" s="507">
        <f>D54/G54</f>
        <v/>
      </c>
      <c r="I54" s="503" t="n">
        <v>15</v>
      </c>
      <c r="J54" s="480">
        <f>'PETEK LİST'!G54</f>
        <v/>
      </c>
      <c r="K54" s="507">
        <f>J54/80</f>
        <v/>
      </c>
      <c r="L54" s="503" t="n">
        <v>1</v>
      </c>
      <c r="M54" s="503" t="n">
        <v>17.5</v>
      </c>
      <c r="N54" s="508">
        <f>J54*M54</f>
        <v/>
      </c>
    </row>
    <row r="55">
      <c r="A55" s="503">
        <f>'PETEK LİST'!A55</f>
        <v/>
      </c>
      <c r="B55" s="504">
        <f>'PETEK LİST'!B55</f>
        <v/>
      </c>
      <c r="C55" s="505">
        <f>'PETEK LİST'!C55</f>
        <v/>
      </c>
      <c r="D55" s="483">
        <f>'PETEK LİST'!D55</f>
        <v/>
      </c>
      <c r="E55" s="506" t="n">
        <v>11.24</v>
      </c>
      <c r="F55" s="507">
        <f>D55/E55</f>
        <v/>
      </c>
      <c r="G55" s="507">
        <f>76.263-0.539*F55</f>
        <v/>
      </c>
      <c r="H55" s="507">
        <f>D55/G55</f>
        <v/>
      </c>
      <c r="I55" s="503" t="n">
        <v>10</v>
      </c>
      <c r="J55" s="480">
        <f>'PETEK LİST'!G55</f>
        <v/>
      </c>
      <c r="K55" s="507">
        <f>J55/80</f>
        <v/>
      </c>
      <c r="L55" s="503" t="n">
        <v>2</v>
      </c>
      <c r="M55" s="503" t="n">
        <v>17.5</v>
      </c>
      <c r="N55" s="508">
        <f>J55*M55</f>
        <v/>
      </c>
    </row>
    <row r="56">
      <c r="A56" s="503">
        <f>'PETEK LİST'!A56</f>
        <v/>
      </c>
      <c r="B56" s="504">
        <f>'PETEK LİST'!B56</f>
        <v/>
      </c>
      <c r="C56" s="505">
        <f>'PETEK LİST'!C56</f>
        <v/>
      </c>
      <c r="D56" s="483">
        <f>'PETEK LİST'!D56</f>
        <v/>
      </c>
      <c r="E56" s="506" t="n">
        <v>3.83</v>
      </c>
      <c r="F56" s="507">
        <f>D56/E56</f>
        <v/>
      </c>
      <c r="G56" s="507">
        <f>76.263-0.539*F56</f>
        <v/>
      </c>
      <c r="H56" s="507">
        <f>D56/G56</f>
        <v/>
      </c>
      <c r="I56" s="503" t="n">
        <v>15</v>
      </c>
      <c r="J56" s="480">
        <f>'PETEK LİST'!G56</f>
        <v/>
      </c>
      <c r="K56" s="507">
        <f>J56/80</f>
        <v/>
      </c>
      <c r="L56" s="503" t="n">
        <v>1</v>
      </c>
      <c r="M56" s="503" t="n">
        <v>17.5</v>
      </c>
      <c r="N56" s="508">
        <f>J56*M56</f>
        <v/>
      </c>
    </row>
    <row r="57">
      <c r="A57" s="503">
        <f>'PETEK LİST'!A57</f>
        <v/>
      </c>
      <c r="B57" s="504">
        <f>'PETEK LİST'!B57</f>
        <v/>
      </c>
      <c r="C57" s="505">
        <f>'PETEK LİST'!C57</f>
        <v/>
      </c>
      <c r="D57" s="483">
        <f>'PETEK LİST'!D57</f>
        <v/>
      </c>
      <c r="E57" s="506" t="n">
        <v>2.83</v>
      </c>
      <c r="F57" s="507">
        <f>D57/E57</f>
        <v/>
      </c>
      <c r="G57" s="507">
        <f>76.263-0.539*F57</f>
        <v/>
      </c>
      <c r="H57" s="507">
        <f>D57/G57</f>
        <v/>
      </c>
      <c r="I57" s="503" t="n">
        <v>10</v>
      </c>
      <c r="J57" s="480">
        <f>'PETEK LİST'!G57</f>
        <v/>
      </c>
      <c r="K57" s="507">
        <f>J57/80</f>
        <v/>
      </c>
      <c r="L57" s="503" t="n">
        <v>1</v>
      </c>
      <c r="M57" s="503" t="n">
        <v>17.5</v>
      </c>
      <c r="N57" s="508">
        <f>J57*M57</f>
        <v/>
      </c>
    </row>
    <row r="58">
      <c r="A58" s="503">
        <f>'PETEK LİST'!A58</f>
        <v/>
      </c>
      <c r="B58" s="504">
        <f>'PETEK LİST'!B58</f>
        <v/>
      </c>
      <c r="C58" s="505">
        <f>'PETEK LİST'!C58</f>
        <v/>
      </c>
      <c r="D58" s="483">
        <f>'PETEK LİST'!D58</f>
        <v/>
      </c>
      <c r="E58" s="506" t="n">
        <v>10.07</v>
      </c>
      <c r="F58" s="507">
        <f>D58/E58</f>
        <v/>
      </c>
      <c r="G58" s="507">
        <f>76.263-0.539*F58</f>
        <v/>
      </c>
      <c r="H58" s="507">
        <f>D58/G58</f>
        <v/>
      </c>
      <c r="I58" s="503" t="n">
        <v>15</v>
      </c>
      <c r="J58" s="480">
        <f>'PETEK LİST'!G58</f>
        <v/>
      </c>
      <c r="K58" s="507">
        <f>J58/80</f>
        <v/>
      </c>
      <c r="L58" s="503" t="n">
        <v>1</v>
      </c>
      <c r="M58" s="503" t="n">
        <v>17.5</v>
      </c>
      <c r="N58" s="508">
        <f>J58*M58</f>
        <v/>
      </c>
    </row>
    <row r="59"/>
    <row r="60"/>
  </sheetData>
  <mergeCells count="10">
    <mergeCell ref="H5:N5"/>
    <mergeCell ref="L1:N2"/>
    <mergeCell ref="A6:G6"/>
    <mergeCell ref="H3:K4"/>
    <mergeCell ref="A1:B4"/>
    <mergeCell ref="C1:G4"/>
    <mergeCell ref="H6:N6"/>
    <mergeCell ref="H1:K2"/>
    <mergeCell ref="L3:N4"/>
    <mergeCell ref="A5:G5"/>
  </mergeCells>
  <conditionalFormatting sqref="J12">
    <cfRule type="cellIs" rank="0" priority="2" equalAverage="0" operator="greaterThan" aboveAverage="0" dxfId="1" text="" percent="0" bottom="0">
      <formula>G12*1.4</formula>
    </cfRule>
  </conditionalFormatting>
  <conditionalFormatting sqref="J13">
    <cfRule type="cellIs" rank="0" priority="3" equalAverage="0" operator="greaterThan" aboveAverage="0" dxfId="1" text="" percent="0" bottom="0">
      <formula>G13*1.4</formula>
    </cfRule>
  </conditionalFormatting>
  <conditionalFormatting sqref="J14:J15">
    <cfRule type="cellIs" rank="0" priority="4" equalAverage="0" operator="greaterThan" aboveAverage="0" dxfId="1" text="" percent="0" bottom="0">
      <formula>G14*1.4</formula>
    </cfRule>
  </conditionalFormatting>
  <conditionalFormatting sqref="J16:J17 J19">
    <cfRule type="cellIs" rank="0" priority="5" equalAverage="0" operator="greaterThan" aboveAverage="0" dxfId="1" text="" percent="0" bottom="0">
      <formula>G16*1.4</formula>
    </cfRule>
  </conditionalFormatting>
  <conditionalFormatting sqref="J20">
    <cfRule type="cellIs" rank="0" priority="6" equalAverage="0" operator="greaterThan" aboveAverage="0" dxfId="1" text="" percent="0" bottom="0">
      <formula>G20*1.4</formula>
    </cfRule>
  </conditionalFormatting>
  <conditionalFormatting sqref="J23">
    <cfRule type="cellIs" rank="0" priority="7" equalAverage="0" operator="greaterThan" aboveAverage="0" dxfId="1" text="" percent="0" bottom="0">
      <formula>G23*1.4</formula>
    </cfRule>
  </conditionalFormatting>
  <conditionalFormatting sqref="J21">
    <cfRule type="cellIs" rank="0" priority="8" equalAverage="0" operator="greaterThan" aboveAverage="0" dxfId="1" text="" percent="0" bottom="0">
      <formula>G21*1.4</formula>
    </cfRule>
  </conditionalFormatting>
  <conditionalFormatting sqref="J18">
    <cfRule type="cellIs" rank="0" priority="9" equalAverage="0" operator="greaterThan" aboveAverage="0" dxfId="1" text="" percent="0" bottom="0">
      <formula>G18*1.4</formula>
    </cfRule>
  </conditionalFormatting>
  <conditionalFormatting sqref="J11">
    <cfRule type="cellIs" rank="0" priority="10" equalAverage="0" operator="greaterThan" aboveAverage="0" dxfId="1" text="" percent="0" bottom="0">
      <formula>G11*1.4</formula>
    </cfRule>
  </conditionalFormatting>
  <conditionalFormatting sqref="J10">
    <cfRule type="cellIs" rank="0" priority="11" equalAverage="0" operator="greaterThan" aboveAverage="0" dxfId="1" text="" percent="0" bottom="0">
      <formula>G10*1.4</formula>
    </cfRule>
  </conditionalFormatting>
  <conditionalFormatting sqref="J22">
    <cfRule type="cellIs" rank="0" priority="12" equalAverage="0" operator="greaterThan" aboveAverage="0" dxfId="1" text="" percent="0" bottom="0">
      <formula>G22*1.4</formula>
    </cfRule>
  </conditionalFormatting>
  <printOptions horizontalCentered="0" verticalCentered="0" headings="0" gridLines="0" gridLinesSet="1"/>
  <pageMargins left="0.25" right="0.25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BH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19" activeCellId="0" sqref="I19"/>
    </sheetView>
  </sheetViews>
  <sheetFormatPr baseColWidth="8" defaultColWidth="9.0546875" defaultRowHeight="12.75" zeroHeight="0" outlineLevelRow="0"/>
  <cols>
    <col width="4.14" customWidth="1" style="243" min="1" max="1"/>
    <col width="9.699999999999999" customWidth="1" style="243" min="2" max="2"/>
    <col width="34.71" customWidth="1" style="243" min="3" max="3"/>
    <col width="25.13" customWidth="1" style="266" min="4" max="4"/>
    <col width="6.41" customWidth="1" style="512" min="5" max="5"/>
    <col width="6.56" customWidth="1" style="512" min="6" max="6"/>
    <col width="6.41" customWidth="1" style="512" min="7" max="7"/>
    <col width="11.13" customWidth="1" style="243" min="8" max="8"/>
    <col width="5.28" customWidth="1" style="243" min="9" max="13"/>
    <col width="8.140000000000001" customWidth="1" style="243" min="14" max="14"/>
    <col width="5.28" customWidth="1" style="243" min="15" max="16"/>
    <col width="6.7" customWidth="1" style="243" min="17" max="21"/>
    <col width="7.99" customWidth="1" style="243" min="22" max="25"/>
    <col width="6.85" customWidth="1" style="243" min="26" max="26"/>
  </cols>
  <sheetData>
    <row r="1" ht="12.75" customHeight="1" s="244">
      <c r="A1" s="513" t="inlineStr">
        <is>
          <t>YERDEN ISITMA HESABI</t>
        </is>
      </c>
      <c r="B1" s="264" t="n"/>
      <c r="C1" s="264" t="n"/>
      <c r="D1" s="264" t="n"/>
      <c r="E1" s="264" t="n"/>
      <c r="F1" s="264" t="n"/>
      <c r="G1" s="264" t="n"/>
      <c r="H1" s="264" t="n"/>
      <c r="I1" s="264" t="n"/>
      <c r="J1" s="514" t="n"/>
      <c r="K1" s="514" t="n"/>
      <c r="L1" s="514" t="n"/>
      <c r="M1" s="514" t="n"/>
      <c r="N1" s="514" t="n"/>
      <c r="O1" s="514" t="n"/>
      <c r="P1" s="514" t="n"/>
      <c r="Q1" s="514" t="n"/>
      <c r="R1" s="514" t="n"/>
      <c r="S1" s="514" t="n"/>
      <c r="T1" s="514" t="n"/>
      <c r="U1" s="514" t="n"/>
    </row>
    <row r="2" ht="12.75" customFormat="1" customHeight="1" s="464">
      <c r="A2" s="515" t="inlineStr">
        <is>
          <t>1. KAT (OFİS 1 - OFİS 4)</t>
        </is>
      </c>
      <c r="B2" s="468" t="n"/>
      <c r="C2" s="516" t="inlineStr">
        <is>
          <t>DÖŞEMEDEN ISITMA HESAP ÖZETİ</t>
        </is>
      </c>
      <c r="D2" s="517" t="inlineStr">
        <is>
          <t>Ts.g  = 50 °C</t>
        </is>
      </c>
      <c r="E2" s="518" t="inlineStr">
        <is>
          <t>TOPLAM ISI KAYBI = 11449 W</t>
        </is>
      </c>
      <c r="F2" s="264" t="n"/>
      <c r="G2" s="264" t="n"/>
      <c r="H2" s="264" t="n"/>
      <c r="I2" s="260" t="n"/>
      <c r="J2" s="519" t="n"/>
      <c r="K2" s="519" t="n"/>
      <c r="L2" s="519" t="n"/>
      <c r="M2" s="519" t="n"/>
      <c r="N2" s="519" t="n"/>
      <c r="O2" s="519" t="n"/>
      <c r="P2" s="519" t="n"/>
      <c r="Q2" s="519" t="n"/>
      <c r="R2" s="519" t="n"/>
      <c r="S2" s="519" t="n"/>
      <c r="T2" s="519" t="n"/>
      <c r="U2" s="519" t="n"/>
    </row>
    <row r="3" ht="8.25" customFormat="1" customHeight="1" s="464">
      <c r="A3" s="467" t="n"/>
      <c r="B3" s="468" t="n"/>
      <c r="C3" s="472" t="n"/>
      <c r="D3" s="520" t="inlineStr">
        <is>
          <t>Isıtma Çevrim Sayısı : 30</t>
        </is>
      </c>
      <c r="E3" s="518" t="inlineStr">
        <is>
          <t>MAX. BASINÇ KAYBI = 2741 Pa</t>
        </is>
      </c>
      <c r="F3" s="250" t="n"/>
      <c r="G3" s="250" t="n"/>
      <c r="H3" s="250" t="n"/>
      <c r="I3" s="275" t="n"/>
      <c r="J3" s="519" t="n"/>
      <c r="K3" s="519" t="n"/>
      <c r="L3" s="519" t="n"/>
      <c r="M3" s="519" t="n"/>
      <c r="N3" s="519" t="n"/>
      <c r="O3" s="519" t="n"/>
      <c r="P3" s="519" t="n"/>
      <c r="Q3" s="519" t="n"/>
      <c r="R3" s="519" t="n"/>
      <c r="S3" s="519" t="n"/>
      <c r="T3" s="519" t="n"/>
      <c r="U3" s="519" t="n"/>
    </row>
    <row r="4" ht="5.25" customFormat="1" customHeight="1" s="464">
      <c r="A4" s="467" t="n"/>
      <c r="B4" s="468" t="n"/>
      <c r="C4" s="472" t="n"/>
      <c r="D4" s="303" t="n"/>
      <c r="E4" s="278" t="n"/>
      <c r="F4" s="256" t="n"/>
      <c r="G4" s="256" t="n"/>
      <c r="H4" s="256" t="n"/>
      <c r="I4" s="277" t="n"/>
      <c r="J4" s="519" t="n"/>
      <c r="K4" s="519" t="n"/>
      <c r="L4" s="519" t="n"/>
      <c r="M4" s="519" t="n"/>
      <c r="N4" s="519" t="n"/>
      <c r="O4" s="519" t="n"/>
      <c r="P4" s="519" t="n"/>
      <c r="Q4" s="519" t="n"/>
      <c r="R4" s="519" t="n"/>
      <c r="S4" s="519" t="n"/>
      <c r="T4" s="519" t="n"/>
      <c r="U4" s="519" t="n"/>
    </row>
    <row r="5" ht="15" customFormat="1" customHeight="1" s="464">
      <c r="A5" s="278" t="n"/>
      <c r="B5" s="277" t="n"/>
      <c r="C5" s="303" t="n"/>
      <c r="D5" s="466" t="inlineStr">
        <is>
          <t>Mak. Müh. Bayram GENÇ</t>
        </is>
      </c>
      <c r="E5" s="264" t="n"/>
      <c r="F5" s="264" t="n"/>
      <c r="G5" s="264" t="n"/>
      <c r="H5" s="264" t="n"/>
      <c r="I5" s="260" t="n"/>
      <c r="J5" s="521" t="n"/>
      <c r="K5" s="521" t="n"/>
      <c r="L5" s="521" t="n"/>
      <c r="M5" s="521" t="n"/>
      <c r="N5" s="521" t="n"/>
      <c r="O5" s="521" t="n"/>
      <c r="P5" s="521" t="n"/>
      <c r="Q5" s="490" t="n"/>
      <c r="R5" s="490" t="n"/>
      <c r="S5" s="490" t="n"/>
      <c r="T5" s="490" t="n"/>
      <c r="U5" s="490" t="n"/>
    </row>
    <row r="6" ht="12" customHeight="1" s="244">
      <c r="A6" s="522" t="n"/>
      <c r="B6" s="522" t="n"/>
      <c r="C6" s="522" t="n"/>
      <c r="D6" s="522" t="n"/>
      <c r="E6" s="523" t="n"/>
      <c r="F6" s="523" t="n"/>
      <c r="G6" s="523" t="n"/>
      <c r="H6" s="243" t="n"/>
      <c r="I6" s="243" t="n"/>
      <c r="J6" s="243" t="n"/>
      <c r="K6" s="243" t="n"/>
      <c r="L6" s="243" t="n"/>
      <c r="M6" s="243" t="n"/>
      <c r="N6" s="243" t="n"/>
      <c r="O6" s="243" t="n"/>
      <c r="P6" s="243" t="n"/>
      <c r="Q6" s="243" t="n"/>
      <c r="R6" s="243" t="n"/>
      <c r="S6" s="243" t="n"/>
      <c r="T6" s="243" t="n"/>
      <c r="U6" s="243" t="n"/>
    </row>
    <row r="7" ht="12" customHeight="1" s="244">
      <c r="A7" s="261" t="n"/>
      <c r="B7" s="524" t="n"/>
      <c r="C7" s="525" t="n"/>
      <c r="D7" s="524" t="n"/>
      <c r="E7" s="526" t="n"/>
      <c r="F7" s="527" t="inlineStr">
        <is>
          <t>P2</t>
        </is>
      </c>
      <c r="G7" s="527" t="inlineStr">
        <is>
          <t>P3</t>
        </is>
      </c>
      <c r="H7" s="527" t="inlineStr">
        <is>
          <t>P1</t>
        </is>
      </c>
      <c r="I7" s="527" t="inlineStr">
        <is>
          <t>P4</t>
        </is>
      </c>
      <c r="J7" s="527" t="inlineStr">
        <is>
          <t>P5</t>
        </is>
      </c>
      <c r="K7" s="527" t="inlineStr">
        <is>
          <t>P6</t>
        </is>
      </c>
      <c r="L7" s="527" t="inlineStr">
        <is>
          <t>P7</t>
        </is>
      </c>
      <c r="M7" s="527" t="inlineStr">
        <is>
          <t>P2</t>
        </is>
      </c>
      <c r="N7" s="527" t="inlineStr">
        <is>
          <t>P3</t>
        </is>
      </c>
      <c r="O7" s="527" t="inlineStr">
        <is>
          <t>P4</t>
        </is>
      </c>
      <c r="P7" s="527" t="inlineStr">
        <is>
          <t>P5</t>
        </is>
      </c>
      <c r="Q7" s="527" t="inlineStr">
        <is>
          <t>P6</t>
        </is>
      </c>
      <c r="R7" s="527" t="inlineStr">
        <is>
          <t>P7</t>
        </is>
      </c>
      <c r="S7" s="527" t="inlineStr">
        <is>
          <t>P8</t>
        </is>
      </c>
      <c r="T7" s="527" t="inlineStr">
        <is>
          <t>P1</t>
        </is>
      </c>
      <c r="U7" s="527" t="inlineStr">
        <is>
          <t>P2</t>
        </is>
      </c>
      <c r="V7" s="527" t="inlineStr">
        <is>
          <t>P3</t>
        </is>
      </c>
      <c r="W7" s="527" t="inlineStr">
        <is>
          <t>P4</t>
        </is>
      </c>
      <c r="X7" s="527" t="inlineStr">
        <is>
          <t>P5</t>
        </is>
      </c>
      <c r="Y7" s="527" t="inlineStr">
        <is>
          <t>P6</t>
        </is>
      </c>
      <c r="Z7" s="527" t="inlineStr">
        <is>
          <t>P7</t>
        </is>
      </c>
      <c r="AA7" s="527" t="inlineStr">
        <is>
          <t>P1</t>
        </is>
      </c>
      <c r="AB7" s="527" t="inlineStr">
        <is>
          <t>P8</t>
        </is>
      </c>
      <c r="AC7" s="527" t="inlineStr">
        <is>
          <t>P5</t>
        </is>
      </c>
      <c r="AD7" s="527" t="inlineStr">
        <is>
          <t>P6</t>
        </is>
      </c>
      <c r="AE7" s="527" t="inlineStr">
        <is>
          <t>P7</t>
        </is>
      </c>
      <c r="AF7" s="527" t="inlineStr">
        <is>
          <t>P3</t>
        </is>
      </c>
      <c r="AG7" s="527" t="inlineStr">
        <is>
          <t>P4</t>
        </is>
      </c>
      <c r="AH7" s="527" t="inlineStr">
        <is>
          <t>P2</t>
        </is>
      </c>
      <c r="AI7" s="527" t="inlineStr">
        <is>
          <t>P1</t>
        </is>
      </c>
    </row>
    <row r="8" ht="12" customHeight="1" s="244">
      <c r="A8" s="261" t="n"/>
      <c r="B8" s="524" t="n"/>
      <c r="C8" s="525" t="n"/>
      <c r="D8" s="524" t="n"/>
      <c r="E8" s="526" t="n"/>
      <c r="F8" s="528" t="inlineStr">
        <is>
          <t>Z101</t>
        </is>
      </c>
      <c r="G8" s="528" t="inlineStr">
        <is>
          <t>Z101</t>
        </is>
      </c>
      <c r="H8" s="528" t="inlineStr">
        <is>
          <t>Z102</t>
        </is>
      </c>
      <c r="I8" s="528" t="inlineStr">
        <is>
          <t>Z103</t>
        </is>
      </c>
      <c r="J8" s="528" t="inlineStr">
        <is>
          <t>Z103</t>
        </is>
      </c>
      <c r="K8" s="528" t="inlineStr">
        <is>
          <t>Z104</t>
        </is>
      </c>
      <c r="L8" s="528" t="inlineStr">
        <is>
          <t>Z105</t>
        </is>
      </c>
      <c r="M8" s="528" t="inlineStr">
        <is>
          <t>Z111</t>
        </is>
      </c>
      <c r="N8" s="528" t="inlineStr">
        <is>
          <t>Z111</t>
        </is>
      </c>
      <c r="O8" s="528" t="inlineStr">
        <is>
          <t>Z112</t>
        </is>
      </c>
      <c r="P8" s="528" t="inlineStr">
        <is>
          <t>Z112</t>
        </is>
      </c>
      <c r="Q8" s="528" t="inlineStr">
        <is>
          <t>Z113</t>
        </is>
      </c>
      <c r="R8" s="528" t="inlineStr">
        <is>
          <t>Z113</t>
        </is>
      </c>
      <c r="S8" s="528" t="inlineStr">
        <is>
          <t>Z114</t>
        </is>
      </c>
      <c r="T8" s="528" t="inlineStr">
        <is>
          <t>Z115</t>
        </is>
      </c>
      <c r="U8" s="528" t="inlineStr">
        <is>
          <t>Z121</t>
        </is>
      </c>
      <c r="V8" s="528" t="inlineStr">
        <is>
          <t>Z121</t>
        </is>
      </c>
      <c r="W8" s="528" t="inlineStr">
        <is>
          <t>Z122</t>
        </is>
      </c>
      <c r="X8" s="528" t="inlineStr">
        <is>
          <t>Z122</t>
        </is>
      </c>
      <c r="Y8" s="528" t="inlineStr">
        <is>
          <t>Z123</t>
        </is>
      </c>
      <c r="Z8" s="528" t="inlineStr">
        <is>
          <t>Z123</t>
        </is>
      </c>
      <c r="AA8" s="528" t="inlineStr">
        <is>
          <t>Z124</t>
        </is>
      </c>
      <c r="AB8" s="528" t="inlineStr">
        <is>
          <t>Z125</t>
        </is>
      </c>
      <c r="AC8" s="528" t="inlineStr">
        <is>
          <t>Z131</t>
        </is>
      </c>
      <c r="AD8" s="528" t="inlineStr">
        <is>
          <t>Z131</t>
        </is>
      </c>
      <c r="AE8" s="528" t="inlineStr">
        <is>
          <t>Z132</t>
        </is>
      </c>
      <c r="AF8" s="528" t="inlineStr">
        <is>
          <t>Z133</t>
        </is>
      </c>
      <c r="AG8" s="528" t="inlineStr">
        <is>
          <t>Z133</t>
        </is>
      </c>
      <c r="AH8" s="528" t="inlineStr">
        <is>
          <t>Z134</t>
        </is>
      </c>
      <c r="AI8" s="528" t="inlineStr">
        <is>
          <t>Z135</t>
        </is>
      </c>
    </row>
    <row r="9" ht="30" customHeight="1" s="244">
      <c r="A9" s="261" t="n"/>
      <c r="B9" s="282" t="n"/>
      <c r="C9" s="529" t="n"/>
      <c r="D9" s="261" t="n"/>
      <c r="E9" s="259" t="n"/>
      <c r="F9" s="530" t="inlineStr">
        <is>
          <t>ODA</t>
        </is>
      </c>
      <c r="G9" s="530" t="inlineStr">
        <is>
          <t>ODA</t>
        </is>
      </c>
      <c r="H9" s="530" t="inlineStr">
        <is>
          <t>ODA</t>
        </is>
      </c>
      <c r="I9" s="530" t="inlineStr">
        <is>
          <t>ODA</t>
        </is>
      </c>
      <c r="J9" s="530" t="inlineStr">
        <is>
          <t>ODA</t>
        </is>
      </c>
      <c r="K9" s="530" t="inlineStr">
        <is>
          <t>MUTFAK</t>
        </is>
      </c>
      <c r="L9" s="530" t="inlineStr">
        <is>
          <t>LVB.WC</t>
        </is>
      </c>
      <c r="M9" s="530" t="inlineStr">
        <is>
          <t>ODA</t>
        </is>
      </c>
      <c r="N9" s="530" t="inlineStr">
        <is>
          <t>ODA</t>
        </is>
      </c>
      <c r="O9" s="530" t="inlineStr">
        <is>
          <t>ODA</t>
        </is>
      </c>
      <c r="P9" s="530" t="inlineStr">
        <is>
          <t>ODA</t>
        </is>
      </c>
      <c r="Q9" s="530" t="inlineStr">
        <is>
          <t>ODA</t>
        </is>
      </c>
      <c r="R9" s="530" t="inlineStr">
        <is>
          <t>ODA</t>
        </is>
      </c>
      <c r="S9" s="530" t="inlineStr">
        <is>
          <t>MUTFAK</t>
        </is>
      </c>
      <c r="T9" s="530" t="inlineStr">
        <is>
          <t>LVB.WC</t>
        </is>
      </c>
      <c r="U9" s="530" t="inlineStr">
        <is>
          <t>ODA</t>
        </is>
      </c>
      <c r="V9" s="530" t="inlineStr">
        <is>
          <t>ODA</t>
        </is>
      </c>
      <c r="W9" s="530" t="inlineStr">
        <is>
          <t>ODA</t>
        </is>
      </c>
      <c r="X9" s="530" t="inlineStr">
        <is>
          <t>ODA</t>
        </is>
      </c>
      <c r="Y9" s="530" t="inlineStr">
        <is>
          <t>ODA</t>
        </is>
      </c>
      <c r="Z9" s="530" t="inlineStr">
        <is>
          <t>ODA</t>
        </is>
      </c>
      <c r="AA9" s="530" t="inlineStr">
        <is>
          <t>MUTFAK</t>
        </is>
      </c>
      <c r="AB9" s="530" t="inlineStr">
        <is>
          <t>LVB.WC</t>
        </is>
      </c>
      <c r="AC9" s="530" t="inlineStr">
        <is>
          <t>ODA</t>
        </is>
      </c>
      <c r="AD9" s="530" t="inlineStr">
        <is>
          <t>ODA</t>
        </is>
      </c>
      <c r="AE9" s="530" t="inlineStr">
        <is>
          <t>ODA</t>
        </is>
      </c>
      <c r="AF9" s="530" t="inlineStr">
        <is>
          <t>ODA</t>
        </is>
      </c>
      <c r="AG9" s="530" t="inlineStr">
        <is>
          <t>ODA</t>
        </is>
      </c>
      <c r="AH9" s="530" t="inlineStr">
        <is>
          <t>MUTFAK</t>
        </is>
      </c>
      <c r="AI9" s="530" t="inlineStr">
        <is>
          <t>LVB.WC</t>
        </is>
      </c>
    </row>
    <row r="10" ht="12" customHeight="1" s="244">
      <c r="A10" s="261" t="n"/>
      <c r="B10" s="282" t="n"/>
      <c r="C10" s="529" t="n"/>
      <c r="D10" s="261" t="n"/>
      <c r="E10" s="259" t="n"/>
      <c r="F10" s="531" t="n">
        <v>20</v>
      </c>
      <c r="G10" s="531" t="n">
        <v>20</v>
      </c>
      <c r="H10" s="531" t="n">
        <v>20</v>
      </c>
      <c r="I10" s="531" t="n">
        <v>20</v>
      </c>
      <c r="J10" s="531" t="n">
        <v>20</v>
      </c>
      <c r="K10" s="531" t="n">
        <v>20</v>
      </c>
      <c r="L10" s="531" t="n">
        <v>24</v>
      </c>
      <c r="M10" s="531" t="n">
        <v>20</v>
      </c>
      <c r="N10" s="531" t="n">
        <v>20</v>
      </c>
      <c r="O10" s="531" t="n">
        <v>20</v>
      </c>
      <c r="P10" s="531" t="n">
        <v>20</v>
      </c>
      <c r="Q10" s="531" t="n">
        <v>20</v>
      </c>
      <c r="R10" s="531" t="n">
        <v>20</v>
      </c>
      <c r="S10" s="531" t="n">
        <v>20</v>
      </c>
      <c r="T10" s="531" t="n">
        <v>24</v>
      </c>
      <c r="U10" s="531" t="n">
        <v>20</v>
      </c>
      <c r="V10" s="531" t="n">
        <v>20</v>
      </c>
      <c r="W10" s="531" t="n">
        <v>20</v>
      </c>
      <c r="X10" s="531" t="n">
        <v>20</v>
      </c>
      <c r="Y10" s="531" t="n">
        <v>20</v>
      </c>
      <c r="Z10" s="531" t="n">
        <v>20</v>
      </c>
      <c r="AA10" s="531" t="n">
        <v>20</v>
      </c>
      <c r="AB10" s="531" t="n">
        <v>24</v>
      </c>
      <c r="AC10" s="531" t="n">
        <v>20</v>
      </c>
      <c r="AD10" s="531" t="n">
        <v>20</v>
      </c>
      <c r="AE10" s="531" t="n">
        <v>20</v>
      </c>
      <c r="AF10" s="531" t="n">
        <v>20</v>
      </c>
      <c r="AG10" s="531" t="n">
        <v>20</v>
      </c>
      <c r="AH10" s="531" t="n">
        <v>20</v>
      </c>
      <c r="AI10" s="531" t="n">
        <v>24</v>
      </c>
    </row>
    <row r="11" ht="12" customHeight="1" s="244">
      <c r="A11" s="261" t="n"/>
      <c r="B11" s="282" t="n"/>
      <c r="C11" s="529" t="n"/>
      <c r="D11" s="261" t="n"/>
      <c r="E11" s="259" t="n"/>
      <c r="F11" s="531" t="n">
        <v>20</v>
      </c>
      <c r="G11" s="531" t="n">
        <v>20</v>
      </c>
      <c r="H11" s="531" t="n">
        <v>20</v>
      </c>
      <c r="I11" s="531" t="n">
        <v>20</v>
      </c>
      <c r="J11" s="531" t="n">
        <v>20</v>
      </c>
      <c r="K11" s="531" t="n">
        <v>20</v>
      </c>
      <c r="L11" s="531" t="n">
        <v>20</v>
      </c>
      <c r="M11" s="531" t="n">
        <v>20</v>
      </c>
      <c r="N11" s="531" t="n">
        <v>20</v>
      </c>
      <c r="O11" s="531" t="n">
        <v>20</v>
      </c>
      <c r="P11" s="531" t="n">
        <v>20</v>
      </c>
      <c r="Q11" s="531" t="n">
        <v>20</v>
      </c>
      <c r="R11" s="531" t="n">
        <v>20</v>
      </c>
      <c r="S11" s="531" t="n">
        <v>20</v>
      </c>
      <c r="T11" s="531" t="n">
        <v>20</v>
      </c>
      <c r="U11" s="531" t="n">
        <v>20</v>
      </c>
      <c r="V11" s="531" t="n">
        <v>20</v>
      </c>
      <c r="W11" s="531" t="n">
        <v>20</v>
      </c>
      <c r="X11" s="531" t="n">
        <v>20</v>
      </c>
      <c r="Y11" s="531" t="n">
        <v>20</v>
      </c>
      <c r="Z11" s="531" t="n">
        <v>20</v>
      </c>
      <c r="AA11" s="531" t="n">
        <v>20</v>
      </c>
      <c r="AB11" s="531" t="n">
        <v>20</v>
      </c>
      <c r="AC11" s="531" t="n">
        <v>20</v>
      </c>
      <c r="AD11" s="531" t="n">
        <v>20</v>
      </c>
      <c r="AE11" s="531" t="n">
        <v>20</v>
      </c>
      <c r="AF11" s="531" t="n">
        <v>20</v>
      </c>
      <c r="AG11" s="531" t="n">
        <v>20</v>
      </c>
      <c r="AH11" s="531" t="n">
        <v>20</v>
      </c>
      <c r="AI11" s="531" t="n">
        <v>20</v>
      </c>
    </row>
    <row r="12" ht="12" customHeight="1" s="244">
      <c r="A12" s="261" t="n"/>
      <c r="B12" s="282" t="n"/>
      <c r="C12" s="529" t="n"/>
      <c r="D12" s="261" t="n"/>
      <c r="E12" s="259" t="n"/>
      <c r="F12" s="532" t="n">
        <v>8.56</v>
      </c>
      <c r="G12" s="532" t="n">
        <v>8.56</v>
      </c>
      <c r="H12" s="532" t="n">
        <v>8.9</v>
      </c>
      <c r="I12" s="532" t="n">
        <v>4.93</v>
      </c>
      <c r="J12" s="532" t="n">
        <v>4.93</v>
      </c>
      <c r="K12" s="532" t="n">
        <v>2.06</v>
      </c>
      <c r="L12" s="532" t="n">
        <v>2.28</v>
      </c>
      <c r="M12" s="532" t="n">
        <v>4.58</v>
      </c>
      <c r="N12" s="532" t="n">
        <v>4.58</v>
      </c>
      <c r="O12" s="532" t="n">
        <v>4.51</v>
      </c>
      <c r="P12" s="532" t="n">
        <v>4.51</v>
      </c>
      <c r="Q12" s="532" t="n">
        <v>5.77</v>
      </c>
      <c r="R12" s="532" t="n">
        <v>5.77</v>
      </c>
      <c r="S12" s="532" t="n">
        <v>1.52</v>
      </c>
      <c r="T12" s="532" t="n">
        <v>2.19</v>
      </c>
      <c r="U12" s="532" t="n">
        <v>5.57</v>
      </c>
      <c r="V12" s="532" t="n">
        <v>5.57</v>
      </c>
      <c r="W12" s="532" t="n">
        <v>4.69</v>
      </c>
      <c r="X12" s="532" t="n">
        <v>4.69</v>
      </c>
      <c r="Y12" s="532" t="n">
        <v>4.61</v>
      </c>
      <c r="Z12" s="532" t="n">
        <v>4.61</v>
      </c>
      <c r="AA12" s="532" t="n">
        <v>1.46</v>
      </c>
      <c r="AB12" s="532" t="n">
        <v>2.19</v>
      </c>
      <c r="AC12" s="532" t="n">
        <v>8.380000000000001</v>
      </c>
      <c r="AD12" s="532" t="n">
        <v>8.380000000000001</v>
      </c>
      <c r="AE12" s="532" t="n">
        <v>8.9</v>
      </c>
      <c r="AF12" s="532" t="n">
        <v>4.96</v>
      </c>
      <c r="AG12" s="532" t="n">
        <v>4.96</v>
      </c>
      <c r="AH12" s="532" t="n">
        <v>2.06</v>
      </c>
      <c r="AI12" s="532" t="n">
        <v>2.36</v>
      </c>
    </row>
    <row r="13" ht="12" customHeight="1" s="244">
      <c r="A13" s="261" t="n"/>
      <c r="B13" s="282" t="n"/>
      <c r="C13" s="529" t="n"/>
      <c r="D13" s="261" t="n"/>
      <c r="E13" s="259" t="n"/>
      <c r="F13" s="533" t="n">
        <v>478</v>
      </c>
      <c r="G13" s="533" t="n">
        <v>478</v>
      </c>
      <c r="H13" s="533" t="n">
        <v>639.7</v>
      </c>
      <c r="I13" s="533" t="n">
        <v>502.6</v>
      </c>
      <c r="J13" s="533" t="n">
        <v>502.6</v>
      </c>
      <c r="K13" s="533" t="n">
        <v>210.5</v>
      </c>
      <c r="L13" s="533" t="n">
        <v>179.2</v>
      </c>
      <c r="M13" s="533" t="n">
        <v>389.8</v>
      </c>
      <c r="N13" s="533" t="n">
        <v>389.8</v>
      </c>
      <c r="O13" s="533" t="n">
        <v>379.2</v>
      </c>
      <c r="P13" s="533" t="n">
        <v>379.2</v>
      </c>
      <c r="Q13" s="533" t="n">
        <v>475</v>
      </c>
      <c r="R13" s="533" t="n">
        <v>475</v>
      </c>
      <c r="S13" s="533" t="n">
        <v>32.3</v>
      </c>
      <c r="T13" s="533" t="n">
        <v>189.3</v>
      </c>
      <c r="U13" s="533" t="n">
        <v>464.3</v>
      </c>
      <c r="V13" s="533" t="n">
        <v>464.3</v>
      </c>
      <c r="W13" s="533" t="n">
        <v>400.5</v>
      </c>
      <c r="X13" s="533" t="n">
        <v>400.5</v>
      </c>
      <c r="Y13" s="533" t="n">
        <v>389.8</v>
      </c>
      <c r="Z13" s="533" t="n">
        <v>389.8</v>
      </c>
      <c r="AA13" s="533" t="n">
        <v>32.3</v>
      </c>
      <c r="AB13" s="533" t="n">
        <v>189.3</v>
      </c>
      <c r="AC13" s="533" t="n">
        <v>467.4</v>
      </c>
      <c r="AD13" s="533" t="n">
        <v>467.4</v>
      </c>
      <c r="AE13" s="533" t="n">
        <v>681.4</v>
      </c>
      <c r="AF13" s="533" t="n">
        <v>474.2</v>
      </c>
      <c r="AG13" s="533" t="n">
        <v>474.2</v>
      </c>
      <c r="AH13" s="533" t="n">
        <v>210.5</v>
      </c>
      <c r="AI13" s="533" t="n">
        <v>243.2</v>
      </c>
    </row>
    <row r="14" ht="12" customHeight="1" s="244">
      <c r="A14" s="261" t="n"/>
      <c r="B14" s="282" t="n"/>
      <c r="C14" s="529" t="n"/>
      <c r="D14" s="261" t="n"/>
      <c r="E14" s="259" t="n"/>
      <c r="F14" s="534">
        <f>F13/F12</f>
        <v/>
      </c>
      <c r="G14" s="534">
        <f>G13/G12</f>
        <v/>
      </c>
      <c r="H14" s="534">
        <f>H13/H12</f>
        <v/>
      </c>
      <c r="I14" s="534">
        <f>I13/I12</f>
        <v/>
      </c>
      <c r="J14" s="534">
        <f>J13/J12</f>
        <v/>
      </c>
      <c r="K14" s="534">
        <f>K13/K12</f>
        <v/>
      </c>
      <c r="L14" s="534">
        <f>L13/L12</f>
        <v/>
      </c>
      <c r="M14" s="534">
        <f>M13/M12</f>
        <v/>
      </c>
      <c r="N14" s="534">
        <f>N13/N12</f>
        <v/>
      </c>
      <c r="O14" s="534">
        <f>O13/O12</f>
        <v/>
      </c>
      <c r="P14" s="534">
        <f>P13/P12</f>
        <v/>
      </c>
      <c r="Q14" s="534">
        <f>Q13/Q12</f>
        <v/>
      </c>
      <c r="R14" s="534">
        <f>R13/R12</f>
        <v/>
      </c>
      <c r="S14" s="534">
        <f>S13/S12</f>
        <v/>
      </c>
      <c r="T14" s="534">
        <f>T13/T12</f>
        <v/>
      </c>
      <c r="U14" s="534">
        <f>U13/U12</f>
        <v/>
      </c>
      <c r="V14" s="534">
        <f>V13/V12</f>
        <v/>
      </c>
      <c r="W14" s="534">
        <f>W13/W12</f>
        <v/>
      </c>
      <c r="X14" s="534">
        <f>X13/X12</f>
        <v/>
      </c>
      <c r="Y14" s="534">
        <f>Y13/Y12</f>
        <v/>
      </c>
      <c r="Z14" s="534">
        <f>Z13/Z12</f>
        <v/>
      </c>
      <c r="AA14" s="534">
        <f>AA13/AA12</f>
        <v/>
      </c>
      <c r="AB14" s="534">
        <f>AB13/AB12</f>
        <v/>
      </c>
      <c r="AC14" s="534">
        <f>AC13/AC12</f>
        <v/>
      </c>
      <c r="AD14" s="534">
        <f>AD13/AD12</f>
        <v/>
      </c>
      <c r="AE14" s="534">
        <f>AE13/AE12</f>
        <v/>
      </c>
      <c r="AF14" s="534">
        <f>AF13/AF12</f>
        <v/>
      </c>
      <c r="AG14" s="534">
        <f>AG13/AG12</f>
        <v/>
      </c>
      <c r="AH14" s="534">
        <f>AH13/AH12</f>
        <v/>
      </c>
      <c r="AI14" s="534">
        <f>AI13/AI12</f>
        <v/>
      </c>
    </row>
    <row r="15" ht="12" customHeight="1" s="244">
      <c r="A15" s="261" t="n"/>
      <c r="B15" s="282" t="n"/>
      <c r="C15" s="529" t="n"/>
      <c r="D15" s="261" t="n"/>
      <c r="E15" s="259" t="n"/>
      <c r="F15" s="531" t="n">
        <v>0.012</v>
      </c>
      <c r="G15" s="531" t="n">
        <v>0.012</v>
      </c>
      <c r="H15" s="531" t="n">
        <v>0.012</v>
      </c>
      <c r="I15" s="531" t="n">
        <v>0.012</v>
      </c>
      <c r="J15" s="531" t="n">
        <v>0.012</v>
      </c>
      <c r="K15" s="531" t="n">
        <v>0.012</v>
      </c>
      <c r="L15" s="531" t="n">
        <v>0.012</v>
      </c>
      <c r="M15" s="531" t="n">
        <v>0.012</v>
      </c>
      <c r="N15" s="531" t="n">
        <v>0.012</v>
      </c>
      <c r="O15" s="531" t="n">
        <v>0.012</v>
      </c>
      <c r="P15" s="531" t="n">
        <v>0.012</v>
      </c>
      <c r="Q15" s="531" t="n">
        <v>0.012</v>
      </c>
      <c r="R15" s="531" t="n">
        <v>0.012</v>
      </c>
      <c r="S15" s="531" t="n">
        <v>0.012</v>
      </c>
      <c r="T15" s="531" t="n">
        <v>0.012</v>
      </c>
      <c r="U15" s="531" t="n">
        <v>0.012</v>
      </c>
      <c r="V15" s="531" t="n">
        <v>0.012</v>
      </c>
      <c r="W15" s="531" t="n">
        <v>0.012</v>
      </c>
      <c r="X15" s="531" t="n">
        <v>0.012</v>
      </c>
      <c r="Y15" s="531" t="n">
        <v>0.012</v>
      </c>
      <c r="Z15" s="531" t="n">
        <v>0.012</v>
      </c>
      <c r="AA15" s="531" t="n">
        <v>0.012</v>
      </c>
      <c r="AB15" s="531" t="n">
        <v>0.012</v>
      </c>
      <c r="AC15" s="531" t="n">
        <v>0.012</v>
      </c>
      <c r="AD15" s="531" t="n">
        <v>0.012</v>
      </c>
      <c r="AE15" s="531" t="n">
        <v>0.012</v>
      </c>
      <c r="AF15" s="531" t="n">
        <v>0.012</v>
      </c>
      <c r="AG15" s="531" t="n">
        <v>0.012</v>
      </c>
      <c r="AH15" s="531" t="n">
        <v>0.012</v>
      </c>
      <c r="AI15" s="531" t="n">
        <v>0.012</v>
      </c>
    </row>
    <row r="16" ht="12" customHeight="1" s="244">
      <c r="A16" s="261" t="n"/>
      <c r="B16" s="282" t="n"/>
      <c r="C16" s="529" t="n"/>
      <c r="D16" s="261" t="n"/>
      <c r="E16" s="259" t="n"/>
      <c r="F16" s="532" t="n">
        <v>1</v>
      </c>
      <c r="G16" s="532" t="n">
        <v>1</v>
      </c>
      <c r="H16" s="532" t="n">
        <v>1</v>
      </c>
      <c r="I16" s="532" t="n">
        <v>1</v>
      </c>
      <c r="J16" s="532" t="n">
        <v>1</v>
      </c>
      <c r="K16" s="532" t="n">
        <v>1</v>
      </c>
      <c r="L16" s="532" t="n">
        <v>1</v>
      </c>
      <c r="M16" s="532" t="n">
        <v>1</v>
      </c>
      <c r="N16" s="532" t="n">
        <v>1</v>
      </c>
      <c r="O16" s="532" t="n">
        <v>1</v>
      </c>
      <c r="P16" s="532" t="n">
        <v>1</v>
      </c>
      <c r="Q16" s="532" t="n">
        <v>1</v>
      </c>
      <c r="R16" s="532" t="n">
        <v>1</v>
      </c>
      <c r="S16" s="532" t="n">
        <v>1</v>
      </c>
      <c r="T16" s="532" t="n">
        <v>1</v>
      </c>
      <c r="U16" s="532" t="n">
        <v>1</v>
      </c>
      <c r="V16" s="532" t="n">
        <v>1</v>
      </c>
      <c r="W16" s="532" t="n">
        <v>1</v>
      </c>
      <c r="X16" s="532" t="n">
        <v>1</v>
      </c>
      <c r="Y16" s="532" t="n">
        <v>1</v>
      </c>
      <c r="Z16" s="532" t="n">
        <v>1</v>
      </c>
      <c r="AA16" s="532" t="n">
        <v>1</v>
      </c>
      <c r="AB16" s="532" t="n">
        <v>1</v>
      </c>
      <c r="AC16" s="532" t="n">
        <v>1</v>
      </c>
      <c r="AD16" s="532" t="n">
        <v>1</v>
      </c>
      <c r="AE16" s="532" t="n">
        <v>1</v>
      </c>
      <c r="AF16" s="532" t="n">
        <v>1</v>
      </c>
      <c r="AG16" s="532" t="n">
        <v>1</v>
      </c>
      <c r="AH16" s="532" t="n">
        <v>1</v>
      </c>
      <c r="AI16" s="532" t="n">
        <v>1</v>
      </c>
    </row>
    <row r="17" ht="12" customHeight="1" s="244">
      <c r="A17" s="261" t="n"/>
      <c r="B17" s="282" t="n"/>
      <c r="C17" s="529" t="n"/>
      <c r="D17" s="261" t="n"/>
      <c r="E17" s="259" t="n"/>
      <c r="F17" s="531">
        <f>F12</f>
        <v/>
      </c>
      <c r="G17" s="531">
        <f>G12</f>
        <v/>
      </c>
      <c r="H17" s="531">
        <f>H12</f>
        <v/>
      </c>
      <c r="I17" s="531">
        <f>I12</f>
        <v/>
      </c>
      <c r="J17" s="531">
        <f>J12</f>
        <v/>
      </c>
      <c r="K17" s="531">
        <f>K12</f>
        <v/>
      </c>
      <c r="L17" s="531">
        <f>L12</f>
        <v/>
      </c>
      <c r="M17" s="531">
        <f>M12</f>
        <v/>
      </c>
      <c r="N17" s="531">
        <f>N12</f>
        <v/>
      </c>
      <c r="O17" s="531">
        <f>O12</f>
        <v/>
      </c>
      <c r="P17" s="531">
        <f>P12</f>
        <v/>
      </c>
      <c r="Q17" s="531">
        <f>Q12</f>
        <v/>
      </c>
      <c r="R17" s="531">
        <f>R12</f>
        <v/>
      </c>
      <c r="S17" s="531">
        <f>S12</f>
        <v/>
      </c>
      <c r="T17" s="531">
        <f>T12</f>
        <v/>
      </c>
      <c r="U17" s="531">
        <f>U12</f>
        <v/>
      </c>
      <c r="V17" s="531">
        <f>V12</f>
        <v/>
      </c>
      <c r="W17" s="531">
        <f>W12</f>
        <v/>
      </c>
      <c r="X17" s="531">
        <f>X12</f>
        <v/>
      </c>
      <c r="Y17" s="531">
        <f>Y12</f>
        <v/>
      </c>
      <c r="Z17" s="531">
        <f>Z12</f>
        <v/>
      </c>
      <c r="AA17" s="531">
        <f>AA12</f>
        <v/>
      </c>
      <c r="AB17" s="531">
        <f>AB12</f>
        <v/>
      </c>
      <c r="AC17" s="531">
        <f>AC12</f>
        <v/>
      </c>
      <c r="AD17" s="531">
        <f>AD12</f>
        <v/>
      </c>
      <c r="AE17" s="531">
        <f>AE12</f>
        <v/>
      </c>
      <c r="AF17" s="531">
        <f>AF12</f>
        <v/>
      </c>
      <c r="AG17" s="531">
        <f>AG12</f>
        <v/>
      </c>
      <c r="AH17" s="531">
        <f>AH12</f>
        <v/>
      </c>
      <c r="AI17" s="531">
        <f>AI12</f>
        <v/>
      </c>
    </row>
    <row r="18" ht="16.5" customHeight="1" s="244">
      <c r="A18" s="261" t="n"/>
      <c r="B18" s="282" t="n"/>
      <c r="C18" s="529" t="n"/>
      <c r="D18" s="261" t="n"/>
      <c r="E18" s="259" t="n"/>
      <c r="F18" s="535">
        <f>F13/F17</f>
        <v/>
      </c>
      <c r="G18" s="535">
        <f>G13/G17</f>
        <v/>
      </c>
      <c r="H18" s="535">
        <f>H13/H17</f>
        <v/>
      </c>
      <c r="I18" s="535">
        <f>I13/I17</f>
        <v/>
      </c>
      <c r="J18" s="535">
        <f>J13/J17</f>
        <v/>
      </c>
      <c r="K18" s="535">
        <f>K13/K17</f>
        <v/>
      </c>
      <c r="L18" s="535">
        <f>L13/L17</f>
        <v/>
      </c>
      <c r="M18" s="535">
        <f>M13/M17</f>
        <v/>
      </c>
      <c r="N18" s="535">
        <f>N13/N17</f>
        <v/>
      </c>
      <c r="O18" s="535">
        <f>O13/O17</f>
        <v/>
      </c>
      <c r="P18" s="535">
        <f>P13/P17</f>
        <v/>
      </c>
      <c r="Q18" s="535">
        <f>Q13/Q17</f>
        <v/>
      </c>
      <c r="R18" s="535">
        <f>R13/R17</f>
        <v/>
      </c>
      <c r="S18" s="535">
        <f>S13/S17</f>
        <v/>
      </c>
      <c r="T18" s="535">
        <f>T13/T17</f>
        <v/>
      </c>
      <c r="U18" s="535">
        <f>U13/U17</f>
        <v/>
      </c>
      <c r="V18" s="535">
        <f>V13/V17</f>
        <v/>
      </c>
      <c r="W18" s="535">
        <f>W13/W17</f>
        <v/>
      </c>
      <c r="X18" s="535">
        <f>X13/X17</f>
        <v/>
      </c>
      <c r="Y18" s="535">
        <f>Y13/Y17</f>
        <v/>
      </c>
      <c r="Z18" s="535">
        <f>Z13/Z17</f>
        <v/>
      </c>
      <c r="AA18" s="535">
        <f>AA13/AA17</f>
        <v/>
      </c>
      <c r="AB18" s="535">
        <f>AB13/AB17</f>
        <v/>
      </c>
      <c r="AC18" s="535">
        <f>AC13/AC17</f>
        <v/>
      </c>
      <c r="AD18" s="535">
        <f>AD13/AD17</f>
        <v/>
      </c>
      <c r="AE18" s="535">
        <f>AE13/AE17</f>
        <v/>
      </c>
      <c r="AF18" s="535">
        <f>AF13/AF17</f>
        <v/>
      </c>
      <c r="AG18" s="535">
        <f>AG13/AG17</f>
        <v/>
      </c>
      <c r="AH18" s="535">
        <f>AH13/AH17</f>
        <v/>
      </c>
      <c r="AI18" s="535">
        <f>AI13/AI17</f>
        <v/>
      </c>
    </row>
    <row r="19" ht="19.5" customHeight="1" s="244">
      <c r="A19" s="261" t="n"/>
      <c r="B19" s="282" t="n"/>
      <c r="C19" s="529" t="n"/>
      <c r="D19" s="261" t="n"/>
      <c r="E19" s="259" t="n"/>
      <c r="F19" s="535">
        <f>F10+(F14/8.92)^0.91</f>
        <v/>
      </c>
      <c r="G19" s="535">
        <f>G10+(G14/8.92)^0.91</f>
        <v/>
      </c>
      <c r="H19" s="535">
        <f>H10+(H14/8.92)^0.91</f>
        <v/>
      </c>
      <c r="I19" s="535">
        <f>I10+(I14/8.92)^0.91</f>
        <v/>
      </c>
      <c r="J19" s="535">
        <f>J10+(J14/8.92)^0.91</f>
        <v/>
      </c>
      <c r="K19" s="535">
        <f>K10+(K14/8.92)^0.91</f>
        <v/>
      </c>
      <c r="L19" s="535">
        <f>L10+(L14/8.92)^0.91</f>
        <v/>
      </c>
      <c r="M19" s="535">
        <f>M10+(M14/8.92)^0.91</f>
        <v/>
      </c>
      <c r="N19" s="535">
        <f>N10+(N14/8.92)^0.91</f>
        <v/>
      </c>
      <c r="O19" s="535">
        <f>O10+(O14/8.92)^0.91</f>
        <v/>
      </c>
      <c r="P19" s="535">
        <f>P10+(P14/8.92)^0.91</f>
        <v/>
      </c>
      <c r="Q19" s="535">
        <f>Q10+(Q14/8.92)^0.91</f>
        <v/>
      </c>
      <c r="R19" s="535">
        <f>R10+(R14/8.92)^0.91</f>
        <v/>
      </c>
      <c r="S19" s="535">
        <f>S10+(S14/8.92)^0.91</f>
        <v/>
      </c>
      <c r="T19" s="535">
        <f>T10+(T14/8.92)^0.91</f>
        <v/>
      </c>
      <c r="U19" s="535">
        <f>U10+(U14/8.92)^0.91</f>
        <v/>
      </c>
      <c r="V19" s="535">
        <f>V10+(V14/8.92)^0.91</f>
        <v/>
      </c>
      <c r="W19" s="535">
        <f>W10+(W14/8.92)^0.91</f>
        <v/>
      </c>
      <c r="X19" s="535">
        <f>X10+(X14/8.92)^0.91</f>
        <v/>
      </c>
      <c r="Y19" s="535">
        <f>Y10+(Y14/8.92)^0.91</f>
        <v/>
      </c>
      <c r="Z19" s="535">
        <f>Z10+(Z14/8.92)^0.91</f>
        <v/>
      </c>
      <c r="AA19" s="535">
        <f>AA10+(AA14/8.92)^0.91</f>
        <v/>
      </c>
      <c r="AB19" s="535">
        <f>AB10+(AB14/8.92)^0.91</f>
        <v/>
      </c>
      <c r="AC19" s="535">
        <f>AC10+(AC14/8.92)^0.91</f>
        <v/>
      </c>
      <c r="AD19" s="535">
        <f>AD10+(AD14/8.92)^0.91</f>
        <v/>
      </c>
      <c r="AE19" s="535">
        <f>AE10+(AE14/8.92)^0.91</f>
        <v/>
      </c>
      <c r="AF19" s="535">
        <f>AF10+(AF14/8.92)^0.91</f>
        <v/>
      </c>
      <c r="AG19" s="535">
        <f>AG10+(AG14/8.92)^0.91</f>
        <v/>
      </c>
      <c r="AH19" s="535">
        <f>AH10+(AH14/8.92)^0.91</f>
        <v/>
      </c>
      <c r="AI19" s="535">
        <f>AI10+(AI14/8.92)^0.91</f>
        <v/>
      </c>
    </row>
    <row r="20" ht="12" customHeight="1" s="244">
      <c r="A20" s="261" t="n"/>
      <c r="B20" s="282" t="n"/>
      <c r="C20" s="529" t="n"/>
      <c r="D20" s="261" t="n"/>
      <c r="E20" s="259" t="n"/>
      <c r="F20" s="531" t="n">
        <v>45</v>
      </c>
      <c r="G20" s="531" t="n">
        <v>45</v>
      </c>
      <c r="H20" s="531" t="n">
        <v>45</v>
      </c>
      <c r="I20" s="531" t="n">
        <v>45</v>
      </c>
      <c r="J20" s="531" t="n">
        <v>45</v>
      </c>
      <c r="K20" s="531" t="n">
        <v>45</v>
      </c>
      <c r="L20" s="531" t="n">
        <v>45</v>
      </c>
      <c r="M20" s="531" t="n">
        <v>45</v>
      </c>
      <c r="N20" s="531" t="n">
        <v>45</v>
      </c>
      <c r="O20" s="531" t="n">
        <v>45</v>
      </c>
      <c r="P20" s="531" t="n">
        <v>45</v>
      </c>
      <c r="Q20" s="531" t="n">
        <v>45</v>
      </c>
      <c r="R20" s="531" t="n">
        <v>45</v>
      </c>
      <c r="S20" s="531" t="n">
        <v>45</v>
      </c>
      <c r="T20" s="531" t="n">
        <v>45</v>
      </c>
      <c r="U20" s="531" t="n">
        <v>45</v>
      </c>
      <c r="V20" s="531" t="n">
        <v>45</v>
      </c>
      <c r="W20" s="531" t="n">
        <v>45</v>
      </c>
      <c r="X20" s="531" t="n">
        <v>45</v>
      </c>
      <c r="Y20" s="531" t="n">
        <v>45</v>
      </c>
      <c r="Z20" s="531" t="n">
        <v>45</v>
      </c>
      <c r="AA20" s="531" t="n">
        <v>45</v>
      </c>
      <c r="AB20" s="531" t="n">
        <v>45</v>
      </c>
      <c r="AC20" s="531" t="n">
        <v>45</v>
      </c>
      <c r="AD20" s="531" t="n">
        <v>45</v>
      </c>
      <c r="AE20" s="531" t="n">
        <v>45</v>
      </c>
      <c r="AF20" s="531" t="n">
        <v>45</v>
      </c>
      <c r="AG20" s="531" t="n">
        <v>45</v>
      </c>
      <c r="AH20" s="531" t="n">
        <v>45</v>
      </c>
      <c r="AI20" s="531" t="n">
        <v>45</v>
      </c>
    </row>
    <row r="21" ht="12" customHeight="1" s="244">
      <c r="A21" s="261" t="n"/>
      <c r="B21" s="536" t="n"/>
      <c r="C21" s="529" t="n"/>
      <c r="D21" s="261" t="n"/>
      <c r="E21" s="259" t="n"/>
      <c r="F21" s="531">
        <f>F20-F10</f>
        <v/>
      </c>
      <c r="G21" s="531">
        <f>G20-G10</f>
        <v/>
      </c>
      <c r="H21" s="531">
        <f>H20-H10</f>
        <v/>
      </c>
      <c r="I21" s="531">
        <f>I20-I10</f>
        <v/>
      </c>
      <c r="J21" s="531">
        <f>J20-J10</f>
        <v/>
      </c>
      <c r="K21" s="531">
        <f>K20-K10</f>
        <v/>
      </c>
      <c r="L21" s="531">
        <f>L20-L10</f>
        <v/>
      </c>
      <c r="M21" s="531">
        <f>M20-M10</f>
        <v/>
      </c>
      <c r="N21" s="531">
        <f>N20-N10</f>
        <v/>
      </c>
      <c r="O21" s="531">
        <f>O20-O10</f>
        <v/>
      </c>
      <c r="P21" s="531">
        <f>P20-P10</f>
        <v/>
      </c>
      <c r="Q21" s="531">
        <f>Q20-Q10</f>
        <v/>
      </c>
      <c r="R21" s="531">
        <f>R20-R10</f>
        <v/>
      </c>
      <c r="S21" s="531">
        <f>S20-S10</f>
        <v/>
      </c>
      <c r="T21" s="531">
        <f>T20-T10</f>
        <v/>
      </c>
      <c r="U21" s="531">
        <f>U20-U10</f>
        <v/>
      </c>
      <c r="V21" s="531">
        <f>V20-V10</f>
        <v/>
      </c>
      <c r="W21" s="531">
        <f>W20-W10</f>
        <v/>
      </c>
      <c r="X21" s="531">
        <f>X20-X10</f>
        <v/>
      </c>
      <c r="Y21" s="531">
        <f>Y20-Y10</f>
        <v/>
      </c>
      <c r="Z21" s="531">
        <f>Z20-Z10</f>
        <v/>
      </c>
      <c r="AA21" s="531">
        <f>AA20-AA10</f>
        <v/>
      </c>
      <c r="AB21" s="531">
        <f>AB20-AB10</f>
        <v/>
      </c>
      <c r="AC21" s="531">
        <f>AC20-AC10</f>
        <v/>
      </c>
      <c r="AD21" s="531">
        <f>AD20-AD10</f>
        <v/>
      </c>
      <c r="AE21" s="531">
        <f>AE20-AE10</f>
        <v/>
      </c>
      <c r="AF21" s="531">
        <f>AF20-AF10</f>
        <v/>
      </c>
      <c r="AG21" s="531">
        <f>AG20-AG10</f>
        <v/>
      </c>
      <c r="AH21" s="531">
        <f>AH20-AH10</f>
        <v/>
      </c>
      <c r="AI21" s="531">
        <f>AI20-AI10</f>
        <v/>
      </c>
    </row>
    <row r="22" ht="12" customHeight="1" s="244">
      <c r="A22" s="261" t="n"/>
      <c r="B22" s="537" t="n"/>
      <c r="C22" s="529" t="n"/>
      <c r="D22" s="261" t="n"/>
      <c r="E22" s="259" t="n"/>
      <c r="F22" s="531" t="n">
        <v>15</v>
      </c>
      <c r="G22" s="531" t="n">
        <v>15</v>
      </c>
      <c r="H22" s="531" t="n">
        <v>15</v>
      </c>
      <c r="I22" s="531" t="n">
        <v>10</v>
      </c>
      <c r="J22" s="531" t="n">
        <v>10</v>
      </c>
      <c r="K22" s="531" t="n">
        <v>15</v>
      </c>
      <c r="L22" s="531" t="n">
        <v>10</v>
      </c>
      <c r="M22" s="531" t="n">
        <v>15</v>
      </c>
      <c r="N22" s="531" t="n">
        <v>15</v>
      </c>
      <c r="O22" s="531" t="n">
        <v>15</v>
      </c>
      <c r="P22" s="531" t="n">
        <v>15</v>
      </c>
      <c r="Q22" s="531" t="n">
        <v>15</v>
      </c>
      <c r="R22" s="531" t="n">
        <v>15</v>
      </c>
      <c r="S22" s="531" t="n">
        <v>15</v>
      </c>
      <c r="T22" s="531" t="n">
        <v>10</v>
      </c>
      <c r="U22" s="531" t="n">
        <v>15</v>
      </c>
      <c r="V22" s="531" t="n">
        <v>15</v>
      </c>
      <c r="W22" s="531" t="n">
        <v>15</v>
      </c>
      <c r="X22" s="531" t="n">
        <v>15</v>
      </c>
      <c r="Y22" s="531" t="n">
        <v>15</v>
      </c>
      <c r="Z22" s="531" t="n">
        <v>15</v>
      </c>
      <c r="AA22" s="531" t="n">
        <v>15</v>
      </c>
      <c r="AB22" s="531" t="n">
        <v>10</v>
      </c>
      <c r="AC22" s="531" t="n">
        <v>15</v>
      </c>
      <c r="AD22" s="531" t="n">
        <v>15</v>
      </c>
      <c r="AE22" s="531" t="n">
        <v>15</v>
      </c>
      <c r="AF22" s="531" t="n">
        <v>10</v>
      </c>
      <c r="AG22" s="531" t="n">
        <v>10</v>
      </c>
      <c r="AH22" s="531" t="n">
        <v>15</v>
      </c>
      <c r="AI22" s="531" t="n">
        <v>10</v>
      </c>
    </row>
    <row r="23" ht="12" customHeight="1" s="244">
      <c r="A23" s="261" t="n"/>
      <c r="B23" s="537" t="n"/>
      <c r="C23" s="529" t="n"/>
      <c r="D23" s="261" t="n"/>
      <c r="E23" s="259" t="n"/>
      <c r="F23" s="538" t="n">
        <v>40</v>
      </c>
      <c r="G23" s="538" t="n">
        <v>40</v>
      </c>
      <c r="H23" s="538" t="n">
        <v>40</v>
      </c>
      <c r="I23" s="538" t="n">
        <v>40</v>
      </c>
      <c r="J23" s="538" t="n">
        <v>40</v>
      </c>
      <c r="K23" s="538" t="n">
        <v>40</v>
      </c>
      <c r="L23" s="538" t="n">
        <v>40</v>
      </c>
      <c r="M23" s="538" t="n">
        <v>40</v>
      </c>
      <c r="N23" s="538" t="n">
        <v>40</v>
      </c>
      <c r="O23" s="538" t="n">
        <v>40</v>
      </c>
      <c r="P23" s="538" t="n">
        <v>40</v>
      </c>
      <c r="Q23" s="538" t="n">
        <v>40</v>
      </c>
      <c r="R23" s="538" t="n">
        <v>40</v>
      </c>
      <c r="S23" s="538" t="n">
        <v>40</v>
      </c>
      <c r="T23" s="538" t="n">
        <v>40</v>
      </c>
      <c r="U23" s="538" t="n">
        <v>40</v>
      </c>
      <c r="V23" s="538" t="n">
        <v>40</v>
      </c>
      <c r="W23" s="538" t="n">
        <v>40</v>
      </c>
      <c r="X23" s="538" t="n">
        <v>40</v>
      </c>
      <c r="Y23" s="538" t="n">
        <v>40</v>
      </c>
      <c r="Z23" s="538" t="n">
        <v>40</v>
      </c>
      <c r="AA23" s="538" t="n">
        <v>40</v>
      </c>
      <c r="AB23" s="538" t="n">
        <v>40</v>
      </c>
      <c r="AC23" s="538" t="n">
        <v>40</v>
      </c>
      <c r="AD23" s="538" t="n">
        <v>40</v>
      </c>
      <c r="AE23" s="538" t="n">
        <v>40</v>
      </c>
      <c r="AF23" s="538" t="n">
        <v>40</v>
      </c>
      <c r="AG23" s="538" t="n">
        <v>40</v>
      </c>
      <c r="AH23" s="538" t="n">
        <v>40</v>
      </c>
      <c r="AI23" s="538" t="n">
        <v>40</v>
      </c>
    </row>
    <row r="24" ht="12" customHeight="1" s="244">
      <c r="A24" s="261" t="n"/>
      <c r="B24" s="536" t="n"/>
      <c r="C24" s="529" t="n"/>
      <c r="D24" s="261" t="n"/>
      <c r="E24" s="259" t="n"/>
      <c r="F24" s="531">
        <f>F23-F10</f>
        <v/>
      </c>
      <c r="G24" s="531">
        <f>G23-G10</f>
        <v/>
      </c>
      <c r="H24" s="531">
        <f>H23-H10</f>
        <v/>
      </c>
      <c r="I24" s="531">
        <f>I23-I10</f>
        <v/>
      </c>
      <c r="J24" s="531">
        <f>J23-J10</f>
        <v/>
      </c>
      <c r="K24" s="531">
        <f>K23-K10</f>
        <v/>
      </c>
      <c r="L24" s="531">
        <f>L23-L10</f>
        <v/>
      </c>
      <c r="M24" s="531">
        <f>M23-M10</f>
        <v/>
      </c>
      <c r="N24" s="531">
        <f>N23-N10</f>
        <v/>
      </c>
      <c r="O24" s="531">
        <f>O23-O10</f>
        <v/>
      </c>
      <c r="P24" s="531">
        <f>P23-P10</f>
        <v/>
      </c>
      <c r="Q24" s="531">
        <f>Q23-Q10</f>
        <v/>
      </c>
      <c r="R24" s="531">
        <f>R23-R10</f>
        <v/>
      </c>
      <c r="S24" s="531">
        <f>S23-S10</f>
        <v/>
      </c>
      <c r="T24" s="531">
        <f>T23-T10</f>
        <v/>
      </c>
      <c r="U24" s="531">
        <f>U23-U10</f>
        <v/>
      </c>
      <c r="V24" s="531">
        <f>V23-V10</f>
        <v/>
      </c>
      <c r="W24" s="531">
        <f>W23-W10</f>
        <v/>
      </c>
      <c r="X24" s="531">
        <f>X23-X10</f>
        <v/>
      </c>
      <c r="Y24" s="531">
        <f>Y23-Y10</f>
        <v/>
      </c>
      <c r="Z24" s="531">
        <f>Z23-Z10</f>
        <v/>
      </c>
      <c r="AA24" s="531">
        <f>AA23-AA10</f>
        <v/>
      </c>
      <c r="AB24" s="531">
        <f>AB23-AB10</f>
        <v/>
      </c>
      <c r="AC24" s="531">
        <f>AC23-AC10</f>
        <v/>
      </c>
      <c r="AD24" s="531">
        <f>AD23-AD10</f>
        <v/>
      </c>
      <c r="AE24" s="531">
        <f>AE23-AE10</f>
        <v/>
      </c>
      <c r="AF24" s="531">
        <f>AF23-AF10</f>
        <v/>
      </c>
      <c r="AG24" s="531">
        <f>AG23-AG10</f>
        <v/>
      </c>
      <c r="AH24" s="531">
        <f>AH23-AH10</f>
        <v/>
      </c>
      <c r="AI24" s="531">
        <f>AI23-AI10</f>
        <v/>
      </c>
    </row>
    <row r="25" ht="12" customHeight="1" s="244">
      <c r="A25" s="261" t="n"/>
      <c r="B25" s="536" t="n"/>
      <c r="C25" s="529" t="n"/>
      <c r="D25" s="261" t="n"/>
      <c r="E25" s="259" t="n"/>
      <c r="F25" s="531">
        <f>2*(F21-F24)</f>
        <v/>
      </c>
      <c r="G25" s="531">
        <f>2*(G21-G24)</f>
        <v/>
      </c>
      <c r="H25" s="531">
        <f>2*(H21-H24)</f>
        <v/>
      </c>
      <c r="I25" s="531">
        <f>2*(I21-I24)</f>
        <v/>
      </c>
      <c r="J25" s="531">
        <f>2*(J21-J24)</f>
        <v/>
      </c>
      <c r="K25" s="531">
        <f>2*(K21-K24)</f>
        <v/>
      </c>
      <c r="L25" s="531">
        <f>2*(L21-L24)</f>
        <v/>
      </c>
      <c r="M25" s="531">
        <f>2*(M21-M24)</f>
        <v/>
      </c>
      <c r="N25" s="531">
        <f>2*(N21-N24)</f>
        <v/>
      </c>
      <c r="O25" s="531">
        <f>2*(O21-O24)</f>
        <v/>
      </c>
      <c r="P25" s="531">
        <f>2*(P21-P24)</f>
        <v/>
      </c>
      <c r="Q25" s="531">
        <f>2*(Q21-Q24)</f>
        <v/>
      </c>
      <c r="R25" s="531">
        <f>2*(R21-R24)</f>
        <v/>
      </c>
      <c r="S25" s="531">
        <f>2*(S21-S24)</f>
        <v/>
      </c>
      <c r="T25" s="531">
        <f>2*(T21-T24)</f>
        <v/>
      </c>
      <c r="U25" s="531">
        <f>2*(U21-U24)</f>
        <v/>
      </c>
      <c r="V25" s="531">
        <f>2*(V21-V24)</f>
        <v/>
      </c>
      <c r="W25" s="531">
        <f>2*(W21-W24)</f>
        <v/>
      </c>
      <c r="X25" s="531">
        <f>2*(X21-X24)</f>
        <v/>
      </c>
      <c r="Y25" s="531">
        <f>2*(Y21-Y24)</f>
        <v/>
      </c>
      <c r="Z25" s="531">
        <f>2*(Z21-Z24)</f>
        <v/>
      </c>
      <c r="AA25" s="531">
        <f>2*(AA21-AA24)</f>
        <v/>
      </c>
      <c r="AB25" s="531">
        <f>2*(AB21-AB24)</f>
        <v/>
      </c>
      <c r="AC25" s="531">
        <f>2*(AC21-AC24)</f>
        <v/>
      </c>
      <c r="AD25" s="531">
        <f>2*(AD21-AD24)</f>
        <v/>
      </c>
      <c r="AE25" s="531">
        <f>2*(AE21-AE24)</f>
        <v/>
      </c>
      <c r="AF25" s="531">
        <f>2*(AF21-AF24)</f>
        <v/>
      </c>
      <c r="AG25" s="531">
        <f>2*(AG21-AG24)</f>
        <v/>
      </c>
      <c r="AH25" s="531">
        <f>2*(AH21-AH24)</f>
        <v/>
      </c>
      <c r="AI25" s="531">
        <f>2*(AI21-AI24)</f>
        <v/>
      </c>
    </row>
    <row r="26" ht="12" customHeight="1" s="244">
      <c r="A26" s="261" t="n"/>
      <c r="B26" s="537" t="n"/>
      <c r="C26" s="529" t="n"/>
      <c r="D26" s="539" t="n"/>
      <c r="E26" s="259" t="n"/>
      <c r="F26" s="535">
        <f>0.2*F14</f>
        <v/>
      </c>
      <c r="G26" s="535">
        <f>0.2*G14</f>
        <v/>
      </c>
      <c r="H26" s="535">
        <f>0.2*H14</f>
        <v/>
      </c>
      <c r="I26" s="535">
        <f>0.2*I14</f>
        <v/>
      </c>
      <c r="J26" s="535">
        <f>0.2*J14</f>
        <v/>
      </c>
      <c r="K26" s="535">
        <f>0.2*K14</f>
        <v/>
      </c>
      <c r="L26" s="535">
        <f>0.2*L14</f>
        <v/>
      </c>
      <c r="M26" s="535">
        <f>0.2*M14</f>
        <v/>
      </c>
      <c r="N26" s="535">
        <f>0.2*N14</f>
        <v/>
      </c>
      <c r="O26" s="535">
        <f>0.2*O14</f>
        <v/>
      </c>
      <c r="P26" s="535">
        <f>0.2*P14</f>
        <v/>
      </c>
      <c r="Q26" s="535">
        <f>0.2*Q14</f>
        <v/>
      </c>
      <c r="R26" s="535">
        <f>0.2*R14</f>
        <v/>
      </c>
      <c r="S26" s="535">
        <f>0.2*S14</f>
        <v/>
      </c>
      <c r="T26" s="535">
        <f>0.2*T14</f>
        <v/>
      </c>
      <c r="U26" s="535">
        <f>0.2*U14</f>
        <v/>
      </c>
      <c r="V26" s="535">
        <f>0.2*V14</f>
        <v/>
      </c>
      <c r="W26" s="535">
        <f>0.2*W14</f>
        <v/>
      </c>
      <c r="X26" s="535">
        <f>0.2*X14</f>
        <v/>
      </c>
      <c r="Y26" s="535">
        <f>0.2*Y14</f>
        <v/>
      </c>
      <c r="Z26" s="535">
        <f>0.2*Z14</f>
        <v/>
      </c>
      <c r="AA26" s="535">
        <f>0.2*AA14</f>
        <v/>
      </c>
      <c r="AB26" s="535">
        <f>0.2*AB14</f>
        <v/>
      </c>
      <c r="AC26" s="535">
        <f>0.2*AC14</f>
        <v/>
      </c>
      <c r="AD26" s="535">
        <f>0.2*AD14</f>
        <v/>
      </c>
      <c r="AE26" s="535">
        <f>0.2*AE14</f>
        <v/>
      </c>
      <c r="AF26" s="535">
        <f>0.2*AF14</f>
        <v/>
      </c>
      <c r="AG26" s="535">
        <f>0.2*AG14</f>
        <v/>
      </c>
      <c r="AH26" s="535">
        <f>0.2*AH14</f>
        <v/>
      </c>
      <c r="AI26" s="535">
        <f>0.2*AI14</f>
        <v/>
      </c>
    </row>
    <row r="27" ht="12" customHeight="1" s="244">
      <c r="A27" s="261" t="n"/>
      <c r="B27" s="537" t="n"/>
      <c r="C27" s="529" t="n"/>
      <c r="D27" s="261" t="n"/>
      <c r="E27" s="259" t="n"/>
      <c r="F27" s="540">
        <f>F17*(F14+F26)</f>
        <v/>
      </c>
      <c r="G27" s="540">
        <f>G17*(G14+G26)</f>
        <v/>
      </c>
      <c r="H27" s="540">
        <f>H17*(H14+H26)</f>
        <v/>
      </c>
      <c r="I27" s="540">
        <f>I17*(I14+I26)</f>
        <v/>
      </c>
      <c r="J27" s="540">
        <f>J17*(J14+J26)</f>
        <v/>
      </c>
      <c r="K27" s="540">
        <f>K17*(K14+K26)</f>
        <v/>
      </c>
      <c r="L27" s="540">
        <f>L17*(L14+L26)</f>
        <v/>
      </c>
      <c r="M27" s="540">
        <f>M17*(M14+M26)</f>
        <v/>
      </c>
      <c r="N27" s="540">
        <f>N17*(N14+N26)</f>
        <v/>
      </c>
      <c r="O27" s="540">
        <f>O17*(O14+O26)</f>
        <v/>
      </c>
      <c r="P27" s="540">
        <f>P17*(P14+P26)</f>
        <v/>
      </c>
      <c r="Q27" s="540">
        <f>Q17*(Q14+Q26)</f>
        <v/>
      </c>
      <c r="R27" s="540">
        <f>R17*(R14+R26)</f>
        <v/>
      </c>
      <c r="S27" s="540">
        <f>S17*(S14+S26)</f>
        <v/>
      </c>
      <c r="T27" s="540">
        <f>T17*(T14+T26)</f>
        <v/>
      </c>
      <c r="U27" s="540">
        <f>U17*(U14+U26)</f>
        <v/>
      </c>
      <c r="V27" s="540">
        <f>V17*(V14+V26)</f>
        <v/>
      </c>
      <c r="W27" s="540">
        <f>W17*(W14+W26)</f>
        <v/>
      </c>
      <c r="X27" s="540">
        <f>X17*(X14+X26)</f>
        <v/>
      </c>
      <c r="Y27" s="540">
        <f>Y17*(Y14+Y26)</f>
        <v/>
      </c>
      <c r="Z27" s="540">
        <f>Z17*(Z14+Z26)</f>
        <v/>
      </c>
      <c r="AA27" s="540">
        <f>AA17*(AA14+AA26)</f>
        <v/>
      </c>
      <c r="AB27" s="540">
        <f>AB17*(AB14+AB26)</f>
        <v/>
      </c>
      <c r="AC27" s="540">
        <f>AC17*(AC14+AC26)</f>
        <v/>
      </c>
      <c r="AD27" s="540">
        <f>AD17*(AD14+AD26)</f>
        <v/>
      </c>
      <c r="AE27" s="540">
        <f>AE17*(AE14+AE26)</f>
        <v/>
      </c>
      <c r="AF27" s="540">
        <f>AF17*(AF14+AF26)</f>
        <v/>
      </c>
      <c r="AG27" s="540">
        <f>AG17*(AG14+AG26)</f>
        <v/>
      </c>
      <c r="AH27" s="540">
        <f>AH17*(AH14+AH26)</f>
        <v/>
      </c>
      <c r="AI27" s="540">
        <f>AI17*(AI14+AI26)</f>
        <v/>
      </c>
    </row>
    <row r="28" ht="12" customHeight="1" s="244">
      <c r="A28" s="261" t="n"/>
      <c r="B28" s="537" t="n"/>
      <c r="C28" s="529" t="inlineStr">
        <is>
          <t>SICAK SU DEBİSİ</t>
        </is>
      </c>
      <c r="D28" s="261" t="inlineStr">
        <is>
          <t>q/(1,163.ΔTs)</t>
        </is>
      </c>
      <c r="E28" s="259" t="n"/>
      <c r="F28" s="541">
        <f>F27/(1.163*F25)</f>
        <v/>
      </c>
      <c r="G28" s="541">
        <f>G27/(1.163*G25)</f>
        <v/>
      </c>
      <c r="H28" s="541">
        <f>H27/(1.163*H25)</f>
        <v/>
      </c>
      <c r="I28" s="541">
        <f>I27/(1.163*I25)</f>
        <v/>
      </c>
      <c r="J28" s="541">
        <f>J27/(1.163*J25)</f>
        <v/>
      </c>
      <c r="K28" s="541">
        <f>K27/(1.163*K25)</f>
        <v/>
      </c>
      <c r="L28" s="541">
        <f>L27/(1.163*L25)</f>
        <v/>
      </c>
      <c r="M28" s="541">
        <f>M27/(1.163*M25)</f>
        <v/>
      </c>
      <c r="N28" s="541">
        <f>N27/(1.163*N25)</f>
        <v/>
      </c>
      <c r="O28" s="541">
        <f>O27/(1.163*O25)</f>
        <v/>
      </c>
      <c r="P28" s="541">
        <f>P27/(1.163*P25)</f>
        <v/>
      </c>
      <c r="Q28" s="541">
        <f>Q27/(1.163*Q25)</f>
        <v/>
      </c>
      <c r="R28" s="541">
        <f>R27/(1.163*R25)</f>
        <v/>
      </c>
      <c r="S28" s="541">
        <f>S27/(1.163*S25)</f>
        <v/>
      </c>
      <c r="T28" s="541">
        <f>T27/(1.163*T25)</f>
        <v/>
      </c>
      <c r="U28" s="541">
        <f>U27/(1.163*U25)</f>
        <v/>
      </c>
      <c r="V28" s="541">
        <f>V27/(1.163*V25)</f>
        <v/>
      </c>
      <c r="W28" s="541">
        <f>W27/(1.163*W25)</f>
        <v/>
      </c>
      <c r="X28" s="541">
        <f>X27/(1.163*X25)</f>
        <v/>
      </c>
      <c r="Y28" s="541">
        <f>Y27/(1.163*Y25)</f>
        <v/>
      </c>
      <c r="Z28" s="541">
        <f>Z27/(1.163*Z25)</f>
        <v/>
      </c>
      <c r="AA28" s="541">
        <f>AA27/(1.163*AA25)</f>
        <v/>
      </c>
      <c r="AB28" s="541">
        <f>AB27/(1.163*AB25)</f>
        <v/>
      </c>
      <c r="AC28" s="541">
        <f>AC27/(1.163*AC25)</f>
        <v/>
      </c>
      <c r="AD28" s="541">
        <f>AD27/(1.163*AD25)</f>
        <v/>
      </c>
      <c r="AE28" s="541">
        <f>AE27/(1.163*AE25)</f>
        <v/>
      </c>
      <c r="AF28" s="541">
        <f>AF27/(1.163*AF25)</f>
        <v/>
      </c>
      <c r="AG28" s="541">
        <f>AG27/(1.163*AG25)</f>
        <v/>
      </c>
      <c r="AH28" s="541">
        <f>AH27/(1.163*AH25)</f>
        <v/>
      </c>
      <c r="AI28" s="541">
        <f>AI27/(1.163*AI25)</f>
        <v/>
      </c>
    </row>
    <row r="29" ht="12" customHeight="1" s="244">
      <c r="A29" s="261" t="n"/>
      <c r="B29" s="537" t="n"/>
      <c r="C29" s="529" t="n"/>
      <c r="D29" s="261" t="n"/>
      <c r="E29" s="259" t="n"/>
      <c r="F29" s="542">
        <f>F17/(F22*0.01)</f>
        <v/>
      </c>
      <c r="G29" s="542">
        <f>G17/(G22*0.01)</f>
        <v/>
      </c>
      <c r="H29" s="542">
        <f>H17/(H22*0.01)</f>
        <v/>
      </c>
      <c r="I29" s="542">
        <f>I17/(I22*0.01)</f>
        <v/>
      </c>
      <c r="J29" s="542">
        <f>J17/(J22*0.01)</f>
        <v/>
      </c>
      <c r="K29" s="542">
        <f>K17/(K22*0.01)</f>
        <v/>
      </c>
      <c r="L29" s="542">
        <f>L17/(L22*0.01)</f>
        <v/>
      </c>
      <c r="M29" s="542">
        <f>M17/(M22*0.01)</f>
        <v/>
      </c>
      <c r="N29" s="542">
        <f>N17/(N22*0.01)</f>
        <v/>
      </c>
      <c r="O29" s="542">
        <f>O17/(O22*0.01)</f>
        <v/>
      </c>
      <c r="P29" s="542">
        <f>P17/(P22*0.01)</f>
        <v/>
      </c>
      <c r="Q29" s="542">
        <f>Q17/(Q22*0.01)</f>
        <v/>
      </c>
      <c r="R29" s="542">
        <f>R17/(R22*0.01)</f>
        <v/>
      </c>
      <c r="S29" s="542">
        <f>S17/(S22*0.01)</f>
        <v/>
      </c>
      <c r="T29" s="542">
        <f>T17/(T22*0.01)</f>
        <v/>
      </c>
      <c r="U29" s="542">
        <f>U17/(U22*0.01)</f>
        <v/>
      </c>
      <c r="V29" s="542">
        <f>V17/(V22*0.01)</f>
        <v/>
      </c>
      <c r="W29" s="542">
        <f>W17/(W22*0.01)</f>
        <v/>
      </c>
      <c r="X29" s="542">
        <f>X17/(X22*0.01)</f>
        <v/>
      </c>
      <c r="Y29" s="542">
        <f>Y17/(Y22*0.01)</f>
        <v/>
      </c>
      <c r="Z29" s="542">
        <f>Z17/(Z22*0.01)</f>
        <v/>
      </c>
      <c r="AA29" s="542">
        <f>AA17/(AA22*0.01)</f>
        <v/>
      </c>
      <c r="AB29" s="542">
        <f>AB17/(AB22*0.01)</f>
        <v/>
      </c>
      <c r="AC29" s="542">
        <f>AC17/(AC22*0.01)</f>
        <v/>
      </c>
      <c r="AD29" s="542">
        <f>AD17/(AD22*0.01)</f>
        <v/>
      </c>
      <c r="AE29" s="542">
        <f>AE17/(AE22*0.01)</f>
        <v/>
      </c>
      <c r="AF29" s="542">
        <f>AF17/(AF22*0.01)</f>
        <v/>
      </c>
      <c r="AG29" s="542">
        <f>AG17/(AG22*0.01)</f>
        <v/>
      </c>
      <c r="AH29" s="542">
        <f>AH17/(AH22*0.01)</f>
        <v/>
      </c>
      <c r="AI29" s="542">
        <f>AI17/(AI22*0.01)</f>
        <v/>
      </c>
    </row>
    <row r="30" ht="12" customHeight="1" s="244">
      <c r="A30" s="261" t="n"/>
      <c r="B30" s="537" t="n"/>
      <c r="C30" s="529" t="inlineStr">
        <is>
          <t>BAĞLANTI BORULARI</t>
        </is>
      </c>
      <c r="D30" s="261" t="inlineStr">
        <is>
          <t>Kat Planından (çizimden ölçülen)</t>
        </is>
      </c>
      <c r="E30" s="259" t="n"/>
      <c r="F30" s="543" t="n">
        <v>8.58</v>
      </c>
      <c r="G30" s="543" t="n">
        <v>12</v>
      </c>
      <c r="H30" s="543" t="n">
        <v>10.58</v>
      </c>
      <c r="I30" s="543" t="n">
        <v>1.96</v>
      </c>
      <c r="J30" s="543" t="n">
        <v>6.38</v>
      </c>
      <c r="K30" s="543" t="n">
        <v>1.42</v>
      </c>
      <c r="L30" s="543" t="n">
        <v>0</v>
      </c>
      <c r="M30" s="543" t="n">
        <v>4.11</v>
      </c>
      <c r="N30" s="543" t="n">
        <v>7.51</v>
      </c>
      <c r="O30" s="543" t="n">
        <v>3.71</v>
      </c>
      <c r="P30" s="543" t="n">
        <v>4.03</v>
      </c>
      <c r="Q30" s="543" t="n">
        <v>1.52</v>
      </c>
      <c r="R30" s="543" t="n">
        <v>5.46</v>
      </c>
      <c r="S30" s="543" t="n">
        <v>4.8</v>
      </c>
      <c r="T30" s="543" t="n">
        <v>4.51</v>
      </c>
      <c r="U30" s="543" t="n">
        <v>4.96</v>
      </c>
      <c r="V30" s="543" t="n">
        <v>9.390000000000001</v>
      </c>
      <c r="W30" s="543" t="n">
        <v>1.8</v>
      </c>
      <c r="X30" s="543" t="n">
        <v>1.9</v>
      </c>
      <c r="Y30" s="543" t="n">
        <v>0.5600000000000001</v>
      </c>
      <c r="Z30" s="543" t="n">
        <v>3.64</v>
      </c>
      <c r="AA30" s="543" t="n">
        <v>3.94</v>
      </c>
      <c r="AB30" s="543" t="n">
        <v>2.21</v>
      </c>
      <c r="AC30" s="543" t="n">
        <v>5.18</v>
      </c>
      <c r="AD30" s="543" t="n">
        <v>6.64</v>
      </c>
      <c r="AE30" s="543" t="n">
        <v>10.3</v>
      </c>
      <c r="AF30" s="543" t="n">
        <v>0.43</v>
      </c>
      <c r="AG30" s="543" t="n">
        <v>4.56</v>
      </c>
      <c r="AH30" s="543" t="n">
        <v>1.46</v>
      </c>
      <c r="AI30" s="543" t="n">
        <v>3.6</v>
      </c>
    </row>
    <row r="31" ht="12" customHeight="1" s="244">
      <c r="A31" s="261" t="n"/>
      <c r="B31" s="537" t="n"/>
      <c r="C31" s="529" t="inlineStr">
        <is>
          <t>TOPLAM BORU UZUNLUĞU</t>
        </is>
      </c>
      <c r="D31" s="261" t="inlineStr">
        <is>
          <t>Lç + Lb (çizimden ölçülen toplam)</t>
        </is>
      </c>
      <c r="E31" s="259" t="n"/>
      <c r="F31" s="531">
        <f>F29+F30</f>
        <v/>
      </c>
      <c r="G31" s="531">
        <f>G29+G30</f>
        <v/>
      </c>
      <c r="H31" s="531">
        <f>H29+H30</f>
        <v/>
      </c>
      <c r="I31" s="531">
        <f>I29+I30</f>
        <v/>
      </c>
      <c r="J31" s="531">
        <f>J29+J30</f>
        <v/>
      </c>
      <c r="K31" s="531">
        <f>K29+K30</f>
        <v/>
      </c>
      <c r="L31" s="531">
        <f>L29+L30</f>
        <v/>
      </c>
      <c r="M31" s="531">
        <f>M29+M30</f>
        <v/>
      </c>
      <c r="N31" s="531">
        <f>N29+N30</f>
        <v/>
      </c>
      <c r="O31" s="531">
        <f>O29+O30</f>
        <v/>
      </c>
      <c r="P31" s="531">
        <f>P29+P30</f>
        <v/>
      </c>
      <c r="Q31" s="531">
        <f>Q29+Q30</f>
        <v/>
      </c>
      <c r="R31" s="531">
        <f>R29+R30</f>
        <v/>
      </c>
      <c r="S31" s="531">
        <f>S29+S30</f>
        <v/>
      </c>
      <c r="T31" s="531">
        <f>T29+T30</f>
        <v/>
      </c>
      <c r="U31" s="531">
        <f>U29+U30</f>
        <v/>
      </c>
      <c r="V31" s="531">
        <f>V29+V30</f>
        <v/>
      </c>
      <c r="W31" s="531">
        <f>W29+W30</f>
        <v/>
      </c>
      <c r="X31" s="531">
        <f>X29+X30</f>
        <v/>
      </c>
      <c r="Y31" s="531">
        <f>Y29+Y30</f>
        <v/>
      </c>
      <c r="Z31" s="531">
        <f>Z29+Z30</f>
        <v/>
      </c>
      <c r="AA31" s="531">
        <f>AA29+AA30</f>
        <v/>
      </c>
      <c r="AB31" s="531">
        <f>AB29+AB30</f>
        <v/>
      </c>
      <c r="AC31" s="531">
        <f>AC29+AC30</f>
        <v/>
      </c>
      <c r="AD31" s="531">
        <f>AD29+AD30</f>
        <v/>
      </c>
      <c r="AE31" s="531">
        <f>AE29+AE30</f>
        <v/>
      </c>
      <c r="AF31" s="531">
        <f>AF29+AF30</f>
        <v/>
      </c>
      <c r="AG31" s="531">
        <f>AG29+AG30</f>
        <v/>
      </c>
      <c r="AH31" s="531">
        <f>AH29+AH30</f>
        <v/>
      </c>
      <c r="AI31" s="531">
        <f>AI29+AI30</f>
        <v/>
      </c>
    </row>
    <row r="32" ht="12" customHeight="1" s="244">
      <c r="A32" s="261" t="n"/>
      <c r="B32" s="536" t="n"/>
      <c r="C32" s="529" t="inlineStr">
        <is>
          <t>DÜZ BORU BASINÇ KAYBI (5)</t>
        </is>
      </c>
      <c r="D32" s="261" t="inlineStr">
        <is>
          <t>R.L (PEX 16x2,0, Blasius)</t>
        </is>
      </c>
      <c r="E32" s="259" t="n"/>
      <c r="F32" s="542" t="n">
        <v>883</v>
      </c>
      <c r="G32" s="542" t="n">
        <v>929</v>
      </c>
      <c r="H32" s="542" t="n">
        <v>2346</v>
      </c>
      <c r="I32" s="542" t="n">
        <v>725</v>
      </c>
      <c r="J32" s="542" t="n">
        <v>788</v>
      </c>
      <c r="K32" s="542" t="n">
        <v>90</v>
      </c>
      <c r="L32" s="542" t="n">
        <v>115</v>
      </c>
      <c r="M32" s="542" t="n">
        <v>380</v>
      </c>
      <c r="N32" s="542" t="n">
        <v>418</v>
      </c>
      <c r="O32" s="542" t="n">
        <v>360</v>
      </c>
      <c r="P32" s="542" t="n">
        <v>364</v>
      </c>
      <c r="Q32" s="542" t="n">
        <v>535</v>
      </c>
      <c r="R32" s="542" t="n">
        <v>588</v>
      </c>
      <c r="S32" s="542" t="n">
        <v>14</v>
      </c>
      <c r="T32" s="542" t="n">
        <v>141</v>
      </c>
      <c r="U32" s="542" t="n">
        <v>551</v>
      </c>
      <c r="V32" s="542" t="n">
        <v>608</v>
      </c>
      <c r="W32" s="542" t="n">
        <v>373</v>
      </c>
      <c r="X32" s="542" t="n">
        <v>374</v>
      </c>
      <c r="Y32" s="542" t="n">
        <v>343</v>
      </c>
      <c r="Z32" s="542" t="n">
        <v>377</v>
      </c>
      <c r="AA32" s="542" t="n">
        <v>12</v>
      </c>
      <c r="AB32" s="542" t="n">
        <v>129</v>
      </c>
      <c r="AC32" s="542" t="n">
        <v>804</v>
      </c>
      <c r="AD32" s="542" t="n">
        <v>823</v>
      </c>
      <c r="AE32" s="542" t="n">
        <v>2610</v>
      </c>
      <c r="AF32" s="542" t="n">
        <v>668</v>
      </c>
      <c r="AG32" s="542" t="n">
        <v>723</v>
      </c>
      <c r="AH32" s="542" t="n">
        <v>90</v>
      </c>
      <c r="AI32" s="542" t="n">
        <v>186</v>
      </c>
    </row>
    <row r="33" ht="12" customHeight="1" s="244">
      <c r="A33" s="261" t="n"/>
      <c r="B33" s="536" t="n"/>
      <c r="C33" s="529" t="n"/>
      <c r="D33" s="261" t="n"/>
      <c r="E33" s="259" t="n"/>
      <c r="F33" s="531">
        <f>F32*0.05</f>
        <v/>
      </c>
      <c r="G33" s="531">
        <f>G32*0.05</f>
        <v/>
      </c>
      <c r="H33" s="531">
        <f>H32*0.05</f>
        <v/>
      </c>
      <c r="I33" s="531">
        <f>I32*0.05</f>
        <v/>
      </c>
      <c r="J33" s="531">
        <f>J32*0.05</f>
        <v/>
      </c>
      <c r="K33" s="531">
        <f>K32*0.05</f>
        <v/>
      </c>
      <c r="L33" s="531">
        <f>L32*0.05</f>
        <v/>
      </c>
      <c r="M33" s="531">
        <f>M32*0.05</f>
        <v/>
      </c>
      <c r="N33" s="531">
        <f>N32*0.05</f>
        <v/>
      </c>
      <c r="O33" s="531">
        <f>O32*0.05</f>
        <v/>
      </c>
      <c r="P33" s="531">
        <f>P32*0.05</f>
        <v/>
      </c>
      <c r="Q33" s="531">
        <f>Q32*0.05</f>
        <v/>
      </c>
      <c r="R33" s="531">
        <f>R32*0.05</f>
        <v/>
      </c>
      <c r="S33" s="531">
        <f>S32*0.05</f>
        <v/>
      </c>
      <c r="T33" s="531">
        <f>T32*0.05</f>
        <v/>
      </c>
      <c r="U33" s="531">
        <f>U32*0.05</f>
        <v/>
      </c>
      <c r="V33" s="531">
        <f>V32*0.05</f>
        <v/>
      </c>
      <c r="W33" s="531">
        <f>W32*0.05</f>
        <v/>
      </c>
      <c r="X33" s="531">
        <f>X32*0.05</f>
        <v/>
      </c>
      <c r="Y33" s="531">
        <f>Y32*0.05</f>
        <v/>
      </c>
      <c r="Z33" s="531">
        <f>Z32*0.05</f>
        <v/>
      </c>
      <c r="AA33" s="531">
        <f>AA32*0.05</f>
        <v/>
      </c>
      <c r="AB33" s="531">
        <f>AB32*0.05</f>
        <v/>
      </c>
      <c r="AC33" s="531">
        <f>AC32*0.05</f>
        <v/>
      </c>
      <c r="AD33" s="531">
        <f>AD32*0.05</f>
        <v/>
      </c>
      <c r="AE33" s="531">
        <f>AE32*0.05</f>
        <v/>
      </c>
      <c r="AF33" s="531">
        <f>AF32*0.05</f>
        <v/>
      </c>
      <c r="AG33" s="531">
        <f>AG32*0.05</f>
        <v/>
      </c>
      <c r="AH33" s="531">
        <f>AH32*0.05</f>
        <v/>
      </c>
      <c r="AI33" s="531">
        <f>AI32*0.05</f>
        <v/>
      </c>
    </row>
    <row r="34" ht="12" customHeight="1" s="244">
      <c r="A34" s="261" t="n"/>
      <c r="B34" s="536" t="n"/>
      <c r="C34" s="529" t="n"/>
      <c r="D34" s="261" t="n"/>
      <c r="E34" s="259" t="n"/>
      <c r="F34" s="531">
        <f>F32+F33</f>
        <v/>
      </c>
      <c r="G34" s="531">
        <f>G32+G33</f>
        <v/>
      </c>
      <c r="H34" s="531">
        <f>H32+H33</f>
        <v/>
      </c>
      <c r="I34" s="531">
        <f>I32+I33</f>
        <v/>
      </c>
      <c r="J34" s="531">
        <f>J32+J33</f>
        <v/>
      </c>
      <c r="K34" s="531">
        <f>K32+K33</f>
        <v/>
      </c>
      <c r="L34" s="531">
        <f>L32+L33</f>
        <v/>
      </c>
      <c r="M34" s="531">
        <f>M32+M33</f>
        <v/>
      </c>
      <c r="N34" s="531">
        <f>N32+N33</f>
        <v/>
      </c>
      <c r="O34" s="531">
        <f>O32+O33</f>
        <v/>
      </c>
      <c r="P34" s="531">
        <f>P32+P33</f>
        <v/>
      </c>
      <c r="Q34" s="531">
        <f>Q32+Q33</f>
        <v/>
      </c>
      <c r="R34" s="531">
        <f>R32+R33</f>
        <v/>
      </c>
      <c r="S34" s="531">
        <f>S32+S33</f>
        <v/>
      </c>
      <c r="T34" s="531">
        <f>T32+T33</f>
        <v/>
      </c>
      <c r="U34" s="531">
        <f>U32+U33</f>
        <v/>
      </c>
      <c r="V34" s="531">
        <f>V32+V33</f>
        <v/>
      </c>
      <c r="W34" s="531">
        <f>W32+W33</f>
        <v/>
      </c>
      <c r="X34" s="531">
        <f>X32+X33</f>
        <v/>
      </c>
      <c r="Y34" s="531">
        <f>Y32+Y33</f>
        <v/>
      </c>
      <c r="Z34" s="531">
        <f>Z32+Z33</f>
        <v/>
      </c>
      <c r="AA34" s="531">
        <f>AA32+AA33</f>
        <v/>
      </c>
      <c r="AB34" s="531">
        <f>AB32+AB33</f>
        <v/>
      </c>
      <c r="AC34" s="531">
        <f>AC32+AC33</f>
        <v/>
      </c>
      <c r="AD34" s="531">
        <f>AD32+AD33</f>
        <v/>
      </c>
      <c r="AE34" s="531">
        <f>AE32+AE33</f>
        <v/>
      </c>
      <c r="AF34" s="531">
        <f>AF32+AF33</f>
        <v/>
      </c>
      <c r="AG34" s="531">
        <f>AG32+AG33</f>
        <v/>
      </c>
      <c r="AH34" s="531">
        <f>AH32+AH33</f>
        <v/>
      </c>
      <c r="AI34" s="531">
        <f>AI32+AI33</f>
        <v/>
      </c>
    </row>
    <row r="35" ht="12" customHeight="1" s="244">
      <c r="A35" s="261" t="n"/>
      <c r="B35" s="536" t="n"/>
      <c r="C35" s="282" t="n"/>
      <c r="D35" s="261" t="n"/>
      <c r="E35" s="259" t="n"/>
      <c r="F35" s="544">
        <f>MAX(F34:AI34)-F34</f>
        <v/>
      </c>
      <c r="G35" s="544">
        <f>MAX(F34:AI34)-G34</f>
        <v/>
      </c>
      <c r="H35" s="544">
        <f>MAX(F34:AI34)-H34</f>
        <v/>
      </c>
      <c r="I35" s="544">
        <f>MAX(F34:AI34)-I34</f>
        <v/>
      </c>
      <c r="J35" s="544">
        <f>MAX(F34:AI34)-J34</f>
        <v/>
      </c>
      <c r="K35" s="544">
        <f>MAX(F34:AI34)-K34</f>
        <v/>
      </c>
      <c r="L35" s="544">
        <f>MAX(F34:AI34)-L34</f>
        <v/>
      </c>
      <c r="M35" s="544">
        <f>MAX(F34:AI34)-M34</f>
        <v/>
      </c>
      <c r="N35" s="544">
        <f>MAX(F34:AI34)-N34</f>
        <v/>
      </c>
      <c r="O35" s="544">
        <f>MAX(F34:AI34)-O34</f>
        <v/>
      </c>
      <c r="P35" s="544">
        <f>MAX(F34:AI34)-P34</f>
        <v/>
      </c>
      <c r="Q35" s="544">
        <f>MAX(F34:AI34)-Q34</f>
        <v/>
      </c>
      <c r="R35" s="544">
        <f>MAX(F34:AI34)-R34</f>
        <v/>
      </c>
      <c r="S35" s="544">
        <f>MAX(F34:AI34)-S34</f>
        <v/>
      </c>
      <c r="T35" s="544">
        <f>MAX(F34:AI34)-T34</f>
        <v/>
      </c>
      <c r="U35" s="544">
        <f>MAX(F34:AI34)-U34</f>
        <v/>
      </c>
      <c r="V35" s="544">
        <f>MAX(F34:AI34)-V34</f>
        <v/>
      </c>
      <c r="W35" s="544">
        <f>MAX(F34:AI34)-W34</f>
        <v/>
      </c>
      <c r="X35" s="544">
        <f>MAX(F34:AI34)-X34</f>
        <v/>
      </c>
      <c r="Y35" s="544">
        <f>MAX(F34:AI34)-Y34</f>
        <v/>
      </c>
      <c r="Z35" s="544">
        <f>MAX(F34:AI34)-Z34</f>
        <v/>
      </c>
      <c r="AA35" s="544">
        <f>MAX(F34:AI34)-AA34</f>
        <v/>
      </c>
      <c r="AB35" s="544">
        <f>MAX(F34:AI34)-AB34</f>
        <v/>
      </c>
      <c r="AC35" s="544">
        <f>MAX(F34:AI34)-AC34</f>
        <v/>
      </c>
      <c r="AD35" s="544">
        <f>MAX(F34:AI34)-AD34</f>
        <v/>
      </c>
      <c r="AE35" s="544">
        <f>MAX(F34:AI34)-AE34</f>
        <v/>
      </c>
      <c r="AF35" s="544">
        <f>MAX(F34:AI34)-AF34</f>
        <v/>
      </c>
      <c r="AG35" s="544">
        <f>MAX(F34:AI34)-AG34</f>
        <v/>
      </c>
      <c r="AH35" s="544">
        <f>MAX(F34:AI34)-AH34</f>
        <v/>
      </c>
      <c r="AI35" s="544">
        <f>MAX(F34:AI34)-AI34</f>
        <v/>
      </c>
    </row>
    <row r="36" ht="18" customHeight="1" s="244">
      <c r="D36" s="266" t="inlineStr">
        <is>
          <t>Δpmax = 9828 Pa</t>
        </is>
      </c>
      <c r="H36" s="243" t="n"/>
    </row>
    <row r="37" ht="18" customHeight="1" s="244">
      <c r="H37" s="243" t="n"/>
    </row>
    <row r="38" ht="12.75" customHeight="1" s="244">
      <c r="H38" s="243" t="n"/>
    </row>
    <row r="39" ht="12.75" customHeight="1" s="244">
      <c r="H39" s="545" t="n"/>
      <c r="I39" s="545" t="n"/>
      <c r="J39" s="545" t="n"/>
      <c r="K39" s="545" t="n"/>
      <c r="L39" s="545" t="n"/>
      <c r="M39" s="545" t="n"/>
      <c r="N39" s="545" t="n"/>
      <c r="O39" s="545" t="n"/>
      <c r="P39" s="545" t="n"/>
    </row>
    <row r="40" ht="12.75" customHeight="1" s="244">
      <c r="A40" s="546" t="inlineStr">
        <is>
          <t xml:space="preserve"> (1)</t>
        </is>
      </c>
      <c r="B40" s="243" t="inlineStr">
        <is>
          <t>Şek. 19.7.1 den seçilmiştir.</t>
        </is>
      </c>
      <c r="H40" s="545" t="n"/>
      <c r="I40" s="545" t="n"/>
      <c r="J40" s="545" t="n"/>
      <c r="K40" s="545" t="n"/>
      <c r="L40" s="545" t="n"/>
      <c r="M40" s="545" t="n"/>
      <c r="N40" s="545" t="n"/>
      <c r="O40" s="545" t="n"/>
      <c r="P40" s="545" t="n"/>
    </row>
    <row r="41" ht="12.75" customHeight="1" s="244">
      <c r="A41" s="546" t="inlineStr">
        <is>
          <t xml:space="preserve"> (2)</t>
        </is>
      </c>
      <c r="B41" s="243" t="inlineStr">
        <is>
          <t>Kombi gidiş suyu sıcaklığı 45 °C, dönüş 35 °C (ortalama 40 °C) seçilmiştir.</t>
        </is>
      </c>
      <c r="H41" s="545" t="n"/>
      <c r="I41" s="545" t="n"/>
      <c r="J41" s="545" t="n"/>
      <c r="K41" s="545" t="n"/>
      <c r="L41" s="545" t="n"/>
      <c r="M41" s="545" t="n"/>
      <c r="N41" s="545" t="n"/>
      <c r="O41" s="545" t="n"/>
      <c r="P41" s="545" t="n"/>
    </row>
    <row r="42" ht="12.75" customHeight="1" s="244">
      <c r="A42" s="546" t="inlineStr">
        <is>
          <t xml:space="preserve"> (3)</t>
        </is>
      </c>
      <c r="B42" s="243" t="inlineStr">
        <is>
          <t>Ortalama su sıcaklığı 45/35 °C rejimine göre 40 °C alınmıştır.</t>
        </is>
      </c>
    </row>
    <row r="43" ht="12.75" customHeight="1" s="244">
      <c r="A43" s="546" t="inlineStr">
        <is>
          <t xml:space="preserve"> (4)</t>
        </is>
      </c>
      <c r="B43" s="243" t="inlineStr">
        <is>
          <t>Alta geçen ısı 0,2 q" olarak alınmıştır (1. katın altı klimalı dükkân, 2. katın altı ısıtılan ofis).</t>
        </is>
      </c>
    </row>
    <row r="44" ht="12.75" customHeight="1" s="244">
      <c r="A44" s="546" t="inlineStr">
        <is>
          <t xml:space="preserve"> (5)</t>
        </is>
      </c>
      <c r="B44" s="243" t="inlineStr">
        <is>
          <t>R (Pa/m): PEX 16x2,0 (iç çap 12 mm), Blasius bağıntısı ile hesaplanmıştır.</t>
        </is>
      </c>
    </row>
    <row r="45" ht="12.75" customHeight="1" s="244">
      <c r="A45" s="546" t="inlineStr">
        <is>
          <t xml:space="preserve"> (6)</t>
        </is>
      </c>
      <c r="B45" s="243" t="inlineStr">
        <is>
          <t>kollektörden sonraki özel basınç kayıpları, düz boru kayıpları yanında çok küçük olduğundan düz boru basınç kaybının % 5 i kabul edilmiştir.</t>
        </is>
      </c>
    </row>
    <row r="46" ht="12.75" customHeight="1" s="244">
      <c r="A46" s="546" t="inlineStr">
        <is>
          <t xml:space="preserve"> (7)</t>
        </is>
      </c>
      <c r="B46" s="243" t="inlineStr">
        <is>
          <t>Isıtma devrelerinin basıncı kollektördeki debimetreli reglaj vanası ile ayarlanmalıdır.</t>
        </is>
      </c>
    </row>
    <row r="47" ht="12.75" customHeight="1" s="244">
      <c r="A47" s="547" t="n"/>
    </row>
  </sheetData>
  <mergeCells count="7">
    <mergeCell ref="E3:I4"/>
    <mergeCell ref="A2:B5"/>
    <mergeCell ref="D5:I5"/>
    <mergeCell ref="E2:I2"/>
    <mergeCell ref="C2:C5"/>
    <mergeCell ref="A1:I1"/>
    <mergeCell ref="D3:D4"/>
  </mergeCells>
  <printOptions horizontalCentered="0" verticalCentered="0" headings="0" gridLines="0" gridLinesSet="1"/>
  <pageMargins left="0" right="0" top="0" bottom="0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BH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5" activeCellId="0" sqref="D5:J5"/>
    </sheetView>
  </sheetViews>
  <sheetFormatPr baseColWidth="8" defaultColWidth="9.0546875" defaultRowHeight="12.75" zeroHeight="0" outlineLevelRow="0"/>
  <cols>
    <col width="4.14" customWidth="1" style="243" min="1" max="1"/>
    <col width="9.699999999999999" customWidth="1" style="243" min="2" max="2"/>
    <col width="34.71" customWidth="1" style="243" min="3" max="3"/>
    <col width="25.13" customWidth="1" style="266" min="4" max="4"/>
    <col width="6.41" customWidth="1" style="512" min="5" max="5"/>
    <col hidden="1" width="7.56" customWidth="1" style="243" min="6" max="6"/>
    <col hidden="1" width="7.7" customWidth="1" style="243" min="7" max="8"/>
    <col hidden="1" width="6.28" customWidth="1" style="243" min="9" max="14"/>
    <col width="6.99" customWidth="1" style="243" min="15" max="15"/>
    <col width="6.28" customWidth="1" style="243" min="16" max="16"/>
    <col width="6.85" customWidth="1" style="243" min="17" max="24"/>
    <col hidden="1" width="9.06" customWidth="1" style="243" min="25" max="25"/>
    <col hidden="1" width="7.56" customWidth="1" style="243" min="26" max="27"/>
    <col hidden="1" width="8.85" customWidth="1" style="243" min="28" max="28"/>
    <col hidden="1" width="9.140000000000001" customWidth="1" style="243" min="29" max="30"/>
    <col hidden="1" width="9.06" customWidth="1" style="243" min="31" max="40"/>
  </cols>
  <sheetData>
    <row r="1" ht="12.75" customHeight="1" s="244">
      <c r="A1" s="513" t="inlineStr">
        <is>
          <t>YERDEN ISITMA HESABI</t>
        </is>
      </c>
      <c r="B1" s="264" t="n"/>
      <c r="C1" s="264" t="n"/>
      <c r="D1" s="264" t="n"/>
      <c r="E1" s="264" t="n"/>
      <c r="F1" s="264" t="n"/>
      <c r="G1" s="264" t="n"/>
      <c r="H1" s="264" t="n"/>
      <c r="I1" s="264" t="n"/>
      <c r="J1" s="264" t="n"/>
      <c r="K1" s="264" t="n"/>
      <c r="L1" s="264" t="n"/>
      <c r="M1" s="264" t="n"/>
      <c r="N1" s="264" t="n"/>
      <c r="O1" s="264" t="n"/>
      <c r="P1" s="548" t="n"/>
      <c r="Q1" s="549" t="n"/>
      <c r="R1" s="549" t="n"/>
      <c r="S1" s="549" t="n"/>
      <c r="T1" s="549" t="n"/>
      <c r="U1" s="549" t="n"/>
      <c r="V1" s="549" t="n"/>
      <c r="W1" s="549" t="n"/>
      <c r="X1" s="550" t="n"/>
      <c r="Y1" s="550" t="n"/>
    </row>
    <row r="2" ht="12.75" customFormat="1" customHeight="1" s="464">
      <c r="A2" s="515" t="inlineStr">
        <is>
          <t>2. KAT (OFİS 5 - OFİS 8)</t>
        </is>
      </c>
      <c r="B2" s="468" t="n"/>
      <c r="C2" s="516" t="inlineStr">
        <is>
          <t>DÖŞEMEDEN ISITMA HESAP ÖZETİ</t>
        </is>
      </c>
      <c r="D2" s="517" t="inlineStr">
        <is>
          <t>Ts.g  = 50 °C</t>
        </is>
      </c>
      <c r="E2" s="518" t="inlineStr">
        <is>
          <t>TOPLAM ISI KAYBI = 12770 W</t>
        </is>
      </c>
      <c r="F2" s="264" t="n"/>
      <c r="G2" s="264" t="n"/>
      <c r="H2" s="264" t="n"/>
      <c r="I2" s="264" t="n"/>
      <c r="J2" s="264" t="n"/>
      <c r="K2" s="264" t="n"/>
      <c r="L2" s="264" t="n"/>
      <c r="M2" s="264" t="n"/>
      <c r="N2" s="264" t="n"/>
      <c r="O2" s="264" t="n"/>
      <c r="P2" s="264" t="n"/>
      <c r="Q2" s="264" t="n"/>
      <c r="R2" s="264" t="n"/>
      <c r="S2" s="264" t="n"/>
      <c r="T2" s="264" t="n"/>
      <c r="U2" s="264" t="n"/>
      <c r="V2" s="264" t="n"/>
      <c r="W2" s="264" t="n"/>
      <c r="X2" s="264" t="n"/>
      <c r="Y2" s="260" t="n"/>
      <c r="Z2" s="490" t="n"/>
      <c r="AA2" s="490" t="n"/>
      <c r="AB2" s="490" t="n"/>
      <c r="AC2" s="490" t="n"/>
    </row>
    <row r="3" ht="8.25" customFormat="1" customHeight="1" s="464">
      <c r="A3" s="467" t="n"/>
      <c r="B3" s="468" t="n"/>
      <c r="C3" s="472" t="n"/>
      <c r="D3" s="520" t="inlineStr">
        <is>
          <t>Isıtma Çevrim Sayısı : 30</t>
        </is>
      </c>
      <c r="E3" s="518" t="inlineStr">
        <is>
          <t>MAX. BASINÇ KAYBI = 3262 Pa</t>
        </is>
      </c>
      <c r="F3" s="250" t="n"/>
      <c r="G3" s="250" t="n"/>
      <c r="H3" s="250" t="n"/>
      <c r="I3" s="250" t="n"/>
      <c r="J3" s="250" t="n"/>
      <c r="K3" s="250" t="n"/>
      <c r="L3" s="250" t="n"/>
      <c r="M3" s="250" t="n"/>
      <c r="N3" s="250" t="n"/>
      <c r="O3" s="250" t="n"/>
      <c r="P3" s="250" t="n"/>
      <c r="Q3" s="250" t="n"/>
      <c r="R3" s="250" t="n"/>
      <c r="S3" s="250" t="n"/>
      <c r="T3" s="250" t="n"/>
      <c r="U3" s="250" t="n"/>
      <c r="V3" s="250" t="n"/>
      <c r="W3" s="250" t="n"/>
      <c r="X3" s="250" t="n"/>
      <c r="Y3" s="275" t="n"/>
      <c r="Z3" s="490" t="n"/>
      <c r="AA3" s="490" t="n"/>
      <c r="AB3" s="490" t="n"/>
      <c r="AC3" s="490" t="n"/>
    </row>
    <row r="4" ht="5.25" customFormat="1" customHeight="1" s="464">
      <c r="A4" s="467" t="n"/>
      <c r="B4" s="468" t="n"/>
      <c r="C4" s="472" t="n"/>
      <c r="D4" s="303" t="n"/>
      <c r="E4" s="278" t="n"/>
      <c r="F4" s="256" t="n"/>
      <c r="G4" s="256" t="n"/>
      <c r="H4" s="256" t="n"/>
      <c r="I4" s="256" t="n"/>
      <c r="J4" s="256" t="n"/>
      <c r="K4" s="256" t="n"/>
      <c r="L4" s="256" t="n"/>
      <c r="M4" s="256" t="n"/>
      <c r="N4" s="256" t="n"/>
      <c r="O4" s="256" t="n"/>
      <c r="P4" s="256" t="n"/>
      <c r="Q4" s="256" t="n"/>
      <c r="R4" s="256" t="n"/>
      <c r="S4" s="256" t="n"/>
      <c r="T4" s="256" t="n"/>
      <c r="U4" s="256" t="n"/>
      <c r="V4" s="256" t="n"/>
      <c r="W4" s="256" t="n"/>
      <c r="X4" s="256" t="n"/>
      <c r="Y4" s="277" t="n"/>
      <c r="Z4" s="490" t="n"/>
      <c r="AA4" s="490" t="n"/>
      <c r="AB4" s="490" t="n"/>
      <c r="AC4" s="490" t="n"/>
    </row>
    <row r="5" ht="15" customFormat="1" customHeight="1" s="464">
      <c r="A5" s="278" t="n"/>
      <c r="B5" s="277" t="n"/>
      <c r="C5" s="303" t="n"/>
      <c r="D5" s="466" t="inlineStr">
        <is>
          <t>Mak. Müh. Bayram GENÇ</t>
        </is>
      </c>
      <c r="E5" s="264" t="n"/>
      <c r="F5" s="264" t="n"/>
      <c r="G5" s="264" t="n"/>
      <c r="H5" s="264" t="n"/>
      <c r="I5" s="264" t="n"/>
      <c r="J5" s="260" t="n"/>
      <c r="K5" s="466" t="n"/>
      <c r="L5" s="466" t="n"/>
      <c r="M5" s="551" t="n"/>
      <c r="N5" s="551" t="n"/>
      <c r="O5" s="552" t="n"/>
      <c r="P5" s="552" t="n"/>
      <c r="Q5" s="552" t="n"/>
      <c r="R5" s="552" t="n"/>
      <c r="S5" s="552" t="n"/>
      <c r="T5" s="552" t="n"/>
      <c r="U5" s="552" t="n"/>
      <c r="V5" s="552" t="n"/>
      <c r="W5" s="552" t="n"/>
      <c r="X5" s="553" t="n"/>
      <c r="Y5" s="553" t="n"/>
      <c r="Z5" s="490" t="n"/>
      <c r="AA5" s="490" t="n"/>
      <c r="AB5" s="490" t="n"/>
      <c r="AC5" s="490" t="n"/>
    </row>
    <row r="6" ht="12" customHeight="1" s="244">
      <c r="A6" s="522" t="n"/>
      <c r="B6" s="522" t="n"/>
      <c r="C6" s="522" t="n"/>
      <c r="D6" s="522" t="n"/>
      <c r="E6" s="523" t="n"/>
      <c r="F6" s="243" t="n"/>
      <c r="G6" s="243" t="n"/>
      <c r="H6" s="243" t="n"/>
      <c r="I6" s="243" t="n"/>
      <c r="J6" s="243" t="n"/>
      <c r="K6" s="243" t="n"/>
      <c r="L6" s="243" t="n"/>
      <c r="M6" s="243" t="n"/>
      <c r="N6" s="243" t="n"/>
      <c r="O6" s="243" t="n"/>
      <c r="P6" s="243" t="n"/>
    </row>
    <row r="7" ht="12" customHeight="1" s="244">
      <c r="A7" s="261" t="n"/>
      <c r="B7" s="524" t="n"/>
      <c r="C7" s="525" t="n"/>
      <c r="D7" s="524" t="n"/>
      <c r="E7" s="526" t="n"/>
      <c r="F7" s="527" t="inlineStr">
        <is>
          <t>P2</t>
        </is>
      </c>
      <c r="G7" s="527" t="inlineStr">
        <is>
          <t>P3</t>
        </is>
      </c>
      <c r="H7" s="527" t="inlineStr">
        <is>
          <t>P1</t>
        </is>
      </c>
      <c r="I7" s="527" t="inlineStr">
        <is>
          <t>P4</t>
        </is>
      </c>
      <c r="J7" s="527" t="inlineStr">
        <is>
          <t>P5</t>
        </is>
      </c>
      <c r="K7" s="527" t="inlineStr">
        <is>
          <t>P6</t>
        </is>
      </c>
      <c r="L7" s="527" t="inlineStr">
        <is>
          <t>P7</t>
        </is>
      </c>
      <c r="M7" s="527" t="inlineStr">
        <is>
          <t>P2</t>
        </is>
      </c>
      <c r="N7" s="527" t="inlineStr">
        <is>
          <t>P3</t>
        </is>
      </c>
      <c r="O7" s="527" t="inlineStr">
        <is>
          <t>P4</t>
        </is>
      </c>
      <c r="P7" s="527" t="inlineStr">
        <is>
          <t>P5</t>
        </is>
      </c>
      <c r="Q7" s="527" t="inlineStr">
        <is>
          <t>P6</t>
        </is>
      </c>
      <c r="R7" s="527" t="inlineStr">
        <is>
          <t>P7</t>
        </is>
      </c>
      <c r="S7" s="527" t="inlineStr">
        <is>
          <t>P8</t>
        </is>
      </c>
      <c r="T7" s="527" t="inlineStr">
        <is>
          <t>P1</t>
        </is>
      </c>
      <c r="U7" s="527" t="inlineStr">
        <is>
          <t>P2</t>
        </is>
      </c>
      <c r="V7" s="527" t="inlineStr">
        <is>
          <t>P3</t>
        </is>
      </c>
      <c r="W7" s="527" t="inlineStr">
        <is>
          <t>P4</t>
        </is>
      </c>
      <c r="X7" s="527" t="inlineStr">
        <is>
          <t>P5</t>
        </is>
      </c>
      <c r="Y7" s="527" t="inlineStr">
        <is>
          <t>P6</t>
        </is>
      </c>
      <c r="Z7" s="527" t="inlineStr">
        <is>
          <t>P7</t>
        </is>
      </c>
      <c r="AA7" s="527" t="inlineStr">
        <is>
          <t>P1</t>
        </is>
      </c>
      <c r="AB7" s="527" t="inlineStr">
        <is>
          <t>P8</t>
        </is>
      </c>
      <c r="AC7" s="527" t="inlineStr">
        <is>
          <t>P5</t>
        </is>
      </c>
      <c r="AD7" s="527" t="inlineStr">
        <is>
          <t>P6</t>
        </is>
      </c>
      <c r="AE7" s="527" t="inlineStr">
        <is>
          <t>P7</t>
        </is>
      </c>
      <c r="AF7" s="527" t="inlineStr">
        <is>
          <t>P3</t>
        </is>
      </c>
      <c r="AG7" s="527" t="inlineStr">
        <is>
          <t>P4</t>
        </is>
      </c>
      <c r="AH7" s="527" t="inlineStr">
        <is>
          <t>P2</t>
        </is>
      </c>
      <c r="AI7" s="527" t="inlineStr">
        <is>
          <t>P1</t>
        </is>
      </c>
      <c r="AJ7" s="526" t="n"/>
      <c r="AK7" s="526" t="n"/>
      <c r="AL7" s="526" t="n"/>
      <c r="AM7" s="526" t="n"/>
      <c r="AN7" s="526" t="n"/>
      <c r="AO7" s="526" t="n"/>
      <c r="AP7" s="526" t="n"/>
      <c r="AQ7" s="526" t="n"/>
      <c r="AR7" s="526" t="n"/>
      <c r="AS7" s="526" t="n"/>
      <c r="AT7" s="526" t="n"/>
      <c r="AU7" s="526" t="n"/>
      <c r="AV7" s="526" t="n"/>
      <c r="AW7" s="526" t="n"/>
    </row>
    <row r="8" ht="12" customHeight="1" s="244">
      <c r="A8" s="261" t="n"/>
      <c r="B8" s="524" t="n"/>
      <c r="C8" s="525" t="n"/>
      <c r="D8" s="524" t="n"/>
      <c r="E8" s="526" t="n"/>
      <c r="F8" s="527" t="inlineStr">
        <is>
          <t>Z201</t>
        </is>
      </c>
      <c r="G8" s="527" t="inlineStr">
        <is>
          <t>Z201</t>
        </is>
      </c>
      <c r="H8" s="527" t="inlineStr">
        <is>
          <t>Z202</t>
        </is>
      </c>
      <c r="I8" s="527" t="inlineStr">
        <is>
          <t>Z203</t>
        </is>
      </c>
      <c r="J8" s="527" t="inlineStr">
        <is>
          <t>Z203</t>
        </is>
      </c>
      <c r="K8" s="527" t="inlineStr">
        <is>
          <t>Z204</t>
        </is>
      </c>
      <c r="L8" s="527" t="inlineStr">
        <is>
          <t>Z205</t>
        </is>
      </c>
      <c r="M8" s="527" t="inlineStr">
        <is>
          <t>Z211</t>
        </is>
      </c>
      <c r="N8" s="527" t="inlineStr">
        <is>
          <t>Z211</t>
        </is>
      </c>
      <c r="O8" s="527" t="inlineStr">
        <is>
          <t>Z212</t>
        </is>
      </c>
      <c r="P8" s="527" t="inlineStr">
        <is>
          <t>Z212</t>
        </is>
      </c>
      <c r="Q8" s="527" t="inlineStr">
        <is>
          <t>Z213</t>
        </is>
      </c>
      <c r="R8" s="527" t="inlineStr">
        <is>
          <t>Z213</t>
        </is>
      </c>
      <c r="S8" s="527" t="inlineStr">
        <is>
          <t>Z214</t>
        </is>
      </c>
      <c r="T8" s="527" t="inlineStr">
        <is>
          <t>Z215</t>
        </is>
      </c>
      <c r="U8" s="527" t="inlineStr">
        <is>
          <t>Z221</t>
        </is>
      </c>
      <c r="V8" s="527" t="inlineStr">
        <is>
          <t>Z221</t>
        </is>
      </c>
      <c r="W8" s="527" t="inlineStr">
        <is>
          <t>Z222</t>
        </is>
      </c>
      <c r="X8" s="527" t="inlineStr">
        <is>
          <t>Z222</t>
        </is>
      </c>
      <c r="Y8" s="527" t="inlineStr">
        <is>
          <t>Z223</t>
        </is>
      </c>
      <c r="Z8" s="527" t="inlineStr">
        <is>
          <t>Z223</t>
        </is>
      </c>
      <c r="AA8" s="527" t="inlineStr">
        <is>
          <t>Z224</t>
        </is>
      </c>
      <c r="AB8" s="527" t="inlineStr">
        <is>
          <t>Z225</t>
        </is>
      </c>
      <c r="AC8" s="527" t="inlineStr">
        <is>
          <t>Z231</t>
        </is>
      </c>
      <c r="AD8" s="527" t="inlineStr">
        <is>
          <t>Z231</t>
        </is>
      </c>
      <c r="AE8" s="527" t="inlineStr">
        <is>
          <t>Z232</t>
        </is>
      </c>
      <c r="AF8" s="527" t="inlineStr">
        <is>
          <t>Z233</t>
        </is>
      </c>
      <c r="AG8" s="527" t="inlineStr">
        <is>
          <t>Z233</t>
        </is>
      </c>
      <c r="AH8" s="527" t="inlineStr">
        <is>
          <t>Z234</t>
        </is>
      </c>
      <c r="AI8" s="527" t="inlineStr">
        <is>
          <t>Z235</t>
        </is>
      </c>
      <c r="AJ8" s="526" t="n"/>
      <c r="AK8" s="526" t="n"/>
      <c r="AL8" s="526" t="n"/>
      <c r="AM8" s="526" t="n"/>
      <c r="AN8" s="526" t="n"/>
      <c r="AO8" s="526" t="n"/>
      <c r="AP8" s="526" t="n"/>
      <c r="AQ8" s="526" t="n"/>
      <c r="AR8" s="554" t="n"/>
      <c r="AS8" s="526" t="n"/>
      <c r="AT8" s="526" t="n"/>
      <c r="AU8" s="526" t="n"/>
      <c r="AV8" s="526" t="n"/>
      <c r="AW8" s="554" t="n"/>
    </row>
    <row r="9" ht="30" customHeight="1" s="244">
      <c r="A9" s="261" t="n"/>
      <c r="B9" s="282" t="n"/>
      <c r="C9" s="529" t="n"/>
      <c r="D9" s="261" t="n"/>
      <c r="E9" s="259" t="n"/>
      <c r="F9" s="555" t="inlineStr">
        <is>
          <t>ODA</t>
        </is>
      </c>
      <c r="G9" s="555" t="inlineStr">
        <is>
          <t>ODA</t>
        </is>
      </c>
      <c r="H9" s="555" t="inlineStr">
        <is>
          <t>ODA</t>
        </is>
      </c>
      <c r="I9" s="555" t="inlineStr">
        <is>
          <t>ODA</t>
        </is>
      </c>
      <c r="J9" s="555" t="inlineStr">
        <is>
          <t>ODA</t>
        </is>
      </c>
      <c r="K9" s="555" t="inlineStr">
        <is>
          <t>MUTFAK</t>
        </is>
      </c>
      <c r="L9" s="555" t="inlineStr">
        <is>
          <t>LVB.WC</t>
        </is>
      </c>
      <c r="M9" s="555" t="inlineStr">
        <is>
          <t>ODA</t>
        </is>
      </c>
      <c r="N9" s="555" t="inlineStr">
        <is>
          <t>ODA</t>
        </is>
      </c>
      <c r="O9" s="555" t="inlineStr">
        <is>
          <t>ODA</t>
        </is>
      </c>
      <c r="P9" s="555" t="inlineStr">
        <is>
          <t>ODA</t>
        </is>
      </c>
      <c r="Q9" s="555" t="inlineStr">
        <is>
          <t>ODA</t>
        </is>
      </c>
      <c r="R9" s="555" t="inlineStr">
        <is>
          <t>ODA</t>
        </is>
      </c>
      <c r="S9" s="555" t="inlineStr">
        <is>
          <t>MUTFAK</t>
        </is>
      </c>
      <c r="T9" s="555" t="inlineStr">
        <is>
          <t>LVB.WC</t>
        </is>
      </c>
      <c r="U9" s="555" t="inlineStr">
        <is>
          <t>ODA</t>
        </is>
      </c>
      <c r="V9" s="555" t="inlineStr">
        <is>
          <t>ODA</t>
        </is>
      </c>
      <c r="W9" s="555" t="inlineStr">
        <is>
          <t>ODA</t>
        </is>
      </c>
      <c r="X9" s="555" t="inlineStr">
        <is>
          <t>ODA</t>
        </is>
      </c>
      <c r="Y9" s="555" t="inlineStr">
        <is>
          <t>ODA</t>
        </is>
      </c>
      <c r="Z9" s="555" t="inlineStr">
        <is>
          <t>ODA</t>
        </is>
      </c>
      <c r="AA9" s="555" t="inlineStr">
        <is>
          <t>MUTFAK</t>
        </is>
      </c>
      <c r="AB9" s="555" t="inlineStr">
        <is>
          <t>LVB.WC</t>
        </is>
      </c>
      <c r="AC9" s="555" t="inlineStr">
        <is>
          <t>ODA</t>
        </is>
      </c>
      <c r="AD9" s="555" t="inlineStr">
        <is>
          <t>ODA</t>
        </is>
      </c>
      <c r="AE9" s="555" t="inlineStr">
        <is>
          <t>ODA</t>
        </is>
      </c>
      <c r="AF9" s="555" t="inlineStr">
        <is>
          <t>ODA</t>
        </is>
      </c>
      <c r="AG9" s="555" t="inlineStr">
        <is>
          <t>ODA</t>
        </is>
      </c>
      <c r="AH9" s="555" t="inlineStr">
        <is>
          <t>MUTFAK</t>
        </is>
      </c>
      <c r="AI9" s="555" t="inlineStr">
        <is>
          <t>LVB.WC</t>
        </is>
      </c>
      <c r="AJ9" s="526" t="n"/>
      <c r="AK9" s="526" t="n"/>
      <c r="AL9" s="526" t="n"/>
      <c r="AM9" s="526" t="n"/>
      <c r="AN9" s="526" t="n"/>
      <c r="AO9" s="556" t="n"/>
      <c r="AP9" s="556" t="n"/>
      <c r="AQ9" s="556" t="n"/>
      <c r="AR9" s="557" t="n"/>
      <c r="AS9" s="557" t="n"/>
      <c r="AT9" s="556" t="n"/>
      <c r="AU9" s="556" t="n"/>
      <c r="AV9" s="556" t="n"/>
      <c r="AW9" s="556" t="n"/>
    </row>
    <row r="10" ht="12" customHeight="1" s="244">
      <c r="A10" s="261" t="n"/>
      <c r="B10" s="282" t="n"/>
      <c r="C10" s="529" t="n"/>
      <c r="D10" s="261" t="n"/>
      <c r="E10" s="259" t="n"/>
      <c r="F10" s="531" t="n">
        <v>20</v>
      </c>
      <c r="G10" s="531" t="n">
        <v>20</v>
      </c>
      <c r="H10" s="531" t="n">
        <v>20</v>
      </c>
      <c r="I10" s="531" t="n">
        <v>20</v>
      </c>
      <c r="J10" s="531" t="n">
        <v>20</v>
      </c>
      <c r="K10" s="531" t="n">
        <v>20</v>
      </c>
      <c r="L10" s="531" t="n">
        <v>24</v>
      </c>
      <c r="M10" s="531" t="n">
        <v>20</v>
      </c>
      <c r="N10" s="531" t="n">
        <v>20</v>
      </c>
      <c r="O10" s="531" t="n">
        <v>20</v>
      </c>
      <c r="P10" s="531" t="n">
        <v>20</v>
      </c>
      <c r="Q10" s="531" t="n">
        <v>20</v>
      </c>
      <c r="R10" s="531" t="n">
        <v>20</v>
      </c>
      <c r="S10" s="531" t="n">
        <v>20</v>
      </c>
      <c r="T10" s="531" t="n">
        <v>24</v>
      </c>
      <c r="U10" s="531" t="n">
        <v>20</v>
      </c>
      <c r="V10" s="531" t="n">
        <v>20</v>
      </c>
      <c r="W10" s="531" t="n">
        <v>20</v>
      </c>
      <c r="X10" s="531" t="n">
        <v>20</v>
      </c>
      <c r="Y10" s="531" t="n">
        <v>20</v>
      </c>
      <c r="Z10" s="531" t="n">
        <v>20</v>
      </c>
      <c r="AA10" s="531" t="n">
        <v>20</v>
      </c>
      <c r="AB10" s="531" t="n">
        <v>24</v>
      </c>
      <c r="AC10" s="531" t="n">
        <v>20</v>
      </c>
      <c r="AD10" s="531" t="n">
        <v>20</v>
      </c>
      <c r="AE10" s="531" t="n">
        <v>20</v>
      </c>
      <c r="AF10" s="531" t="n">
        <v>20</v>
      </c>
      <c r="AG10" s="531" t="n">
        <v>20</v>
      </c>
      <c r="AH10" s="531" t="n">
        <v>20</v>
      </c>
      <c r="AI10" s="531" t="n">
        <v>24</v>
      </c>
      <c r="AJ10" s="259" t="n"/>
      <c r="AK10" s="259" t="n"/>
      <c r="AL10" s="259" t="n"/>
      <c r="AM10" s="259" t="n"/>
      <c r="AN10" s="259" t="n"/>
      <c r="AO10" s="259" t="n"/>
      <c r="AP10" s="259" t="n"/>
      <c r="AQ10" s="259" t="n"/>
      <c r="AR10" s="259" t="n"/>
      <c r="AS10" s="259" t="n"/>
      <c r="AT10" s="259" t="n"/>
      <c r="AU10" s="259" t="n"/>
      <c r="AV10" s="259" t="n"/>
      <c r="AW10" s="259" t="n"/>
    </row>
    <row r="11" ht="12" customHeight="1" s="244">
      <c r="A11" s="261" t="n"/>
      <c r="B11" s="282" t="n"/>
      <c r="C11" s="529" t="n"/>
      <c r="D11" s="261" t="n"/>
      <c r="E11" s="259" t="n"/>
      <c r="F11" s="531" t="n">
        <v>20</v>
      </c>
      <c r="G11" s="531" t="n">
        <v>20</v>
      </c>
      <c r="H11" s="531" t="n">
        <v>20</v>
      </c>
      <c r="I11" s="531" t="n">
        <v>20</v>
      </c>
      <c r="J11" s="531" t="n">
        <v>20</v>
      </c>
      <c r="K11" s="531" t="n">
        <v>20</v>
      </c>
      <c r="L11" s="531" t="n">
        <v>24</v>
      </c>
      <c r="M11" s="531" t="n">
        <v>20</v>
      </c>
      <c r="N11" s="531" t="n">
        <v>20</v>
      </c>
      <c r="O11" s="531" t="n">
        <v>20</v>
      </c>
      <c r="P11" s="531" t="n">
        <v>20</v>
      </c>
      <c r="Q11" s="531" t="n">
        <v>20</v>
      </c>
      <c r="R11" s="531" t="n">
        <v>20</v>
      </c>
      <c r="S11" s="531" t="n">
        <v>20</v>
      </c>
      <c r="T11" s="531" t="n">
        <v>24</v>
      </c>
      <c r="U11" s="531" t="n">
        <v>20</v>
      </c>
      <c r="V11" s="531" t="n">
        <v>20</v>
      </c>
      <c r="W11" s="531" t="n">
        <v>20</v>
      </c>
      <c r="X11" s="531" t="n">
        <v>20</v>
      </c>
      <c r="Y11" s="531" t="n">
        <v>20</v>
      </c>
      <c r="Z11" s="531" t="n">
        <v>20</v>
      </c>
      <c r="AA11" s="531" t="n">
        <v>20</v>
      </c>
      <c r="AB11" s="531" t="n">
        <v>24</v>
      </c>
      <c r="AC11" s="531" t="n">
        <v>20</v>
      </c>
      <c r="AD11" s="531" t="n">
        <v>20</v>
      </c>
      <c r="AE11" s="531" t="n">
        <v>20</v>
      </c>
      <c r="AF11" s="531" t="n">
        <v>20</v>
      </c>
      <c r="AG11" s="531" t="n">
        <v>20</v>
      </c>
      <c r="AH11" s="531" t="n">
        <v>20</v>
      </c>
      <c r="AI11" s="531" t="n">
        <v>24</v>
      </c>
      <c r="AJ11" s="259" t="n"/>
      <c r="AK11" s="259" t="n"/>
      <c r="AL11" s="259" t="n"/>
      <c r="AM11" s="259" t="n"/>
      <c r="AN11" s="259" t="n"/>
      <c r="AO11" s="259" t="n"/>
      <c r="AP11" s="259" t="n"/>
      <c r="AQ11" s="259" t="n"/>
      <c r="AR11" s="259" t="n"/>
      <c r="AS11" s="259" t="n"/>
      <c r="AT11" s="259" t="n"/>
      <c r="AU11" s="259" t="n"/>
      <c r="AV11" s="259" t="n"/>
      <c r="AW11" s="259" t="n"/>
    </row>
    <row r="12" ht="12" customHeight="1" s="244">
      <c r="A12" s="261" t="n"/>
      <c r="B12" s="282" t="n"/>
      <c r="C12" s="529" t="n"/>
      <c r="D12" s="261" t="n"/>
      <c r="E12" s="259" t="n"/>
      <c r="F12" s="532" t="n">
        <v>8.56</v>
      </c>
      <c r="G12" s="532" t="n">
        <v>8.56</v>
      </c>
      <c r="H12" s="532" t="n">
        <v>8.9</v>
      </c>
      <c r="I12" s="532" t="n">
        <v>4.93</v>
      </c>
      <c r="J12" s="532" t="n">
        <v>4.93</v>
      </c>
      <c r="K12" s="532" t="n">
        <v>2.06</v>
      </c>
      <c r="L12" s="532" t="n">
        <v>2.28</v>
      </c>
      <c r="M12" s="532" t="n">
        <v>4.58</v>
      </c>
      <c r="N12" s="532" t="n">
        <v>4.58</v>
      </c>
      <c r="O12" s="532" t="n">
        <v>4.51</v>
      </c>
      <c r="P12" s="532" t="n">
        <v>4.51</v>
      </c>
      <c r="Q12" s="532" t="n">
        <v>5.77</v>
      </c>
      <c r="R12" s="532" t="n">
        <v>5.77</v>
      </c>
      <c r="S12" s="532" t="n">
        <v>1.52</v>
      </c>
      <c r="T12" s="532" t="n">
        <v>2.19</v>
      </c>
      <c r="U12" s="532" t="n">
        <v>5.57</v>
      </c>
      <c r="V12" s="532" t="n">
        <v>5.57</v>
      </c>
      <c r="W12" s="532" t="n">
        <v>4.69</v>
      </c>
      <c r="X12" s="532" t="n">
        <v>4.69</v>
      </c>
      <c r="Y12" s="532" t="n">
        <v>4.61</v>
      </c>
      <c r="Z12" s="532" t="n">
        <v>4.61</v>
      </c>
      <c r="AA12" s="532" t="n">
        <v>1.46</v>
      </c>
      <c r="AB12" s="532" t="n">
        <v>2.19</v>
      </c>
      <c r="AC12" s="532" t="n">
        <v>8.380000000000001</v>
      </c>
      <c r="AD12" s="532" t="n">
        <v>8.380000000000001</v>
      </c>
      <c r="AE12" s="532" t="n">
        <v>8.9</v>
      </c>
      <c r="AF12" s="532" t="n">
        <v>4.96</v>
      </c>
      <c r="AG12" s="532" t="n">
        <v>4.96</v>
      </c>
      <c r="AH12" s="532" t="n">
        <v>2.06</v>
      </c>
      <c r="AI12" s="532" t="n">
        <v>2.36</v>
      </c>
      <c r="AJ12" s="558" t="n"/>
      <c r="AK12" s="559" t="n"/>
      <c r="AL12" s="559" t="n"/>
      <c r="AM12" s="559" t="n"/>
      <c r="AN12" s="558" t="n"/>
      <c r="AO12" s="558" t="n"/>
      <c r="AP12" s="558" t="n"/>
      <c r="AQ12" s="558" t="n"/>
      <c r="AR12" s="558" t="n"/>
      <c r="AS12" s="558" t="n"/>
      <c r="AT12" s="558" t="n"/>
      <c r="AU12" s="558" t="n"/>
      <c r="AV12" s="558" t="n"/>
      <c r="AW12" s="558" t="n"/>
    </row>
    <row r="13" ht="12" customHeight="1" s="244">
      <c r="A13" s="261" t="n"/>
      <c r="B13" s="282" t="n"/>
      <c r="C13" s="529" t="n"/>
      <c r="D13" s="261" t="n"/>
      <c r="E13" s="259" t="n"/>
      <c r="F13" s="533" t="n">
        <v>550.3</v>
      </c>
      <c r="G13" s="533" t="n">
        <v>550.3</v>
      </c>
      <c r="H13" s="533" t="n">
        <v>714.4</v>
      </c>
      <c r="I13" s="533" t="n">
        <v>543.2</v>
      </c>
      <c r="J13" s="533" t="n">
        <v>543.2</v>
      </c>
      <c r="K13" s="533" t="n">
        <v>238.8</v>
      </c>
      <c r="L13" s="533" t="n">
        <v>202.5</v>
      </c>
      <c r="M13" s="533" t="n">
        <v>429.6</v>
      </c>
      <c r="N13" s="533" t="n">
        <v>429.6</v>
      </c>
      <c r="O13" s="533" t="n">
        <v>418.7</v>
      </c>
      <c r="P13" s="533" t="n">
        <v>418.7</v>
      </c>
      <c r="Q13" s="533" t="n">
        <v>524.3</v>
      </c>
      <c r="R13" s="533" t="n">
        <v>524.3</v>
      </c>
      <c r="S13" s="533" t="n">
        <v>59.3</v>
      </c>
      <c r="T13" s="533" t="n">
        <v>214.1</v>
      </c>
      <c r="U13" s="533" t="n">
        <v>512.8</v>
      </c>
      <c r="V13" s="533" t="n">
        <v>512.8</v>
      </c>
      <c r="W13" s="533" t="n">
        <v>440.2</v>
      </c>
      <c r="X13" s="533" t="n">
        <v>440.2</v>
      </c>
      <c r="Y13" s="533" t="n">
        <v>429.7</v>
      </c>
      <c r="Z13" s="533" t="n">
        <v>429.7</v>
      </c>
      <c r="AA13" s="533" t="n">
        <v>61.7</v>
      </c>
      <c r="AB13" s="533" t="n">
        <v>214.1</v>
      </c>
      <c r="AC13" s="533" t="n">
        <v>538.4</v>
      </c>
      <c r="AD13" s="533" t="n">
        <v>538.4</v>
      </c>
      <c r="AE13" s="533" t="n">
        <v>752.6</v>
      </c>
      <c r="AF13" s="533" t="n">
        <v>515.8</v>
      </c>
      <c r="AG13" s="533" t="n">
        <v>515.8</v>
      </c>
      <c r="AH13" s="533" t="n">
        <v>238.8</v>
      </c>
      <c r="AI13" s="533" t="n">
        <v>267.4</v>
      </c>
      <c r="AJ13" s="560" t="n"/>
      <c r="AK13" s="560" t="n"/>
      <c r="AL13" s="560" t="n"/>
      <c r="AM13" s="560" t="n"/>
      <c r="AN13" s="560" t="n"/>
      <c r="AO13" s="560" t="n"/>
      <c r="AP13" s="560" t="n"/>
      <c r="AQ13" s="560" t="n"/>
      <c r="AR13" s="560" t="n"/>
      <c r="AS13" s="560" t="n"/>
      <c r="AT13" s="560" t="n"/>
      <c r="AU13" s="560" t="n"/>
      <c r="AV13" s="560" t="n"/>
      <c r="AW13" s="560" t="n"/>
    </row>
    <row r="14" ht="12" customHeight="1" s="244">
      <c r="A14" s="261" t="n"/>
      <c r="B14" s="282" t="n"/>
      <c r="C14" s="529" t="n"/>
      <c r="D14" s="261" t="n"/>
      <c r="E14" s="259" t="n"/>
      <c r="F14" s="534">
        <f>F13/F12</f>
        <v/>
      </c>
      <c r="G14" s="534">
        <f>G13/G12</f>
        <v/>
      </c>
      <c r="H14" s="534">
        <f>H13/H12</f>
        <v/>
      </c>
      <c r="I14" s="534">
        <f>I13/I12</f>
        <v/>
      </c>
      <c r="J14" s="534">
        <f>J13/J12</f>
        <v/>
      </c>
      <c r="K14" s="534">
        <f>K13/K12</f>
        <v/>
      </c>
      <c r="L14" s="534">
        <f>L13/L12</f>
        <v/>
      </c>
      <c r="M14" s="534">
        <f>M13/M12</f>
        <v/>
      </c>
      <c r="N14" s="534">
        <f>N13/N12</f>
        <v/>
      </c>
      <c r="O14" s="534">
        <f>O13/O12</f>
        <v/>
      </c>
      <c r="P14" s="534">
        <f>P13/P12</f>
        <v/>
      </c>
      <c r="Q14" s="534">
        <f>Q13/Q12</f>
        <v/>
      </c>
      <c r="R14" s="534">
        <f>R13/R12</f>
        <v/>
      </c>
      <c r="S14" s="534">
        <f>S13/S12</f>
        <v/>
      </c>
      <c r="T14" s="534">
        <f>T13/T12</f>
        <v/>
      </c>
      <c r="U14" s="534">
        <f>U13/U12</f>
        <v/>
      </c>
      <c r="V14" s="534">
        <f>V13/V12</f>
        <v/>
      </c>
      <c r="W14" s="534">
        <f>W13/W12</f>
        <v/>
      </c>
      <c r="X14" s="534">
        <f>X13/X12</f>
        <v/>
      </c>
      <c r="Y14" s="534">
        <f>Y13/Y12</f>
        <v/>
      </c>
      <c r="Z14" s="534">
        <f>Z13/Z12</f>
        <v/>
      </c>
      <c r="AA14" s="534">
        <f>AA13/AA12</f>
        <v/>
      </c>
      <c r="AB14" s="534">
        <f>AB13/AB12</f>
        <v/>
      </c>
      <c r="AC14" s="534">
        <f>AC13/AC12</f>
        <v/>
      </c>
      <c r="AD14" s="534">
        <f>AD13/AD12</f>
        <v/>
      </c>
      <c r="AE14" s="534">
        <f>AE13/AE12</f>
        <v/>
      </c>
      <c r="AF14" s="534">
        <f>AF13/AF12</f>
        <v/>
      </c>
      <c r="AG14" s="534">
        <f>AG13/AG12</f>
        <v/>
      </c>
      <c r="AH14" s="534">
        <f>AH13/AH12</f>
        <v/>
      </c>
      <c r="AI14" s="534">
        <f>AI13/AI12</f>
        <v/>
      </c>
      <c r="AJ14" s="561" t="n"/>
      <c r="AK14" s="561" t="n"/>
      <c r="AL14" s="561" t="n"/>
      <c r="AM14" s="561" t="n"/>
      <c r="AN14" s="561" t="n"/>
      <c r="AO14" s="561" t="n"/>
      <c r="AP14" s="561" t="n"/>
      <c r="AQ14" s="561" t="n"/>
      <c r="AR14" s="561" t="n"/>
      <c r="AS14" s="561" t="n"/>
      <c r="AT14" s="561" t="n"/>
      <c r="AU14" s="561" t="n"/>
      <c r="AV14" s="561" t="n"/>
      <c r="AW14" s="561" t="n"/>
    </row>
    <row r="15" ht="12" customHeight="1" s="244">
      <c r="A15" s="261" t="n"/>
      <c r="B15" s="282" t="n"/>
      <c r="C15" s="529" t="n"/>
      <c r="D15" s="261" t="n"/>
      <c r="E15" s="259" t="n"/>
      <c r="F15" s="531" t="n">
        <v>0.012</v>
      </c>
      <c r="G15" s="531" t="n">
        <v>0.012</v>
      </c>
      <c r="H15" s="531" t="n">
        <v>0.012</v>
      </c>
      <c r="I15" s="531" t="n">
        <v>0.012</v>
      </c>
      <c r="J15" s="531" t="n">
        <v>0.012</v>
      </c>
      <c r="K15" s="531" t="n">
        <v>0.012</v>
      </c>
      <c r="L15" s="531" t="n">
        <v>0.012</v>
      </c>
      <c r="M15" s="531" t="n">
        <v>0.012</v>
      </c>
      <c r="N15" s="531" t="n">
        <v>0.012</v>
      </c>
      <c r="O15" s="531" t="n">
        <v>0.012</v>
      </c>
      <c r="P15" s="531" t="n">
        <v>0.012</v>
      </c>
      <c r="Q15" s="531" t="n">
        <v>0.012</v>
      </c>
      <c r="R15" s="531" t="n">
        <v>0.012</v>
      </c>
      <c r="S15" s="531" t="n">
        <v>0.012</v>
      </c>
      <c r="T15" s="531" t="n">
        <v>0.012</v>
      </c>
      <c r="U15" s="531" t="n">
        <v>0.012</v>
      </c>
      <c r="V15" s="531" t="n">
        <v>0.012</v>
      </c>
      <c r="W15" s="531" t="n">
        <v>0.012</v>
      </c>
      <c r="X15" s="531" t="n">
        <v>0.012</v>
      </c>
      <c r="Y15" s="531" t="n">
        <v>0.012</v>
      </c>
      <c r="Z15" s="531" t="n">
        <v>0.012</v>
      </c>
      <c r="AA15" s="531" t="n">
        <v>0.012</v>
      </c>
      <c r="AB15" s="531" t="n">
        <v>0.012</v>
      </c>
      <c r="AC15" s="531" t="n">
        <v>0.012</v>
      </c>
      <c r="AD15" s="531" t="n">
        <v>0.012</v>
      </c>
      <c r="AE15" s="531" t="n">
        <v>0.012</v>
      </c>
      <c r="AF15" s="531" t="n">
        <v>0.012</v>
      </c>
      <c r="AG15" s="531" t="n">
        <v>0.012</v>
      </c>
      <c r="AH15" s="531" t="n">
        <v>0.012</v>
      </c>
      <c r="AI15" s="531" t="n">
        <v>0.012</v>
      </c>
      <c r="AJ15" s="259" t="n"/>
      <c r="AK15" s="259" t="n"/>
      <c r="AL15" s="259" t="n"/>
      <c r="AM15" s="259" t="n"/>
      <c r="AN15" s="259" t="n"/>
      <c r="AO15" s="259" t="n"/>
      <c r="AP15" s="259" t="n"/>
      <c r="AQ15" s="259" t="n"/>
      <c r="AR15" s="259" t="n"/>
      <c r="AS15" s="259" t="n"/>
      <c r="AT15" s="259" t="n"/>
      <c r="AU15" s="259" t="n"/>
      <c r="AV15" s="259" t="n"/>
      <c r="AW15" s="259" t="n"/>
    </row>
    <row r="16" ht="12" customHeight="1" s="244">
      <c r="A16" s="261" t="n"/>
      <c r="B16" s="282" t="n"/>
      <c r="C16" s="529" t="n"/>
      <c r="D16" s="261" t="n"/>
      <c r="E16" s="259" t="n"/>
      <c r="F16" s="532" t="n">
        <v>1</v>
      </c>
      <c r="G16" s="532" t="n">
        <v>1</v>
      </c>
      <c r="H16" s="532" t="n">
        <v>1</v>
      </c>
      <c r="I16" s="532" t="n">
        <v>1</v>
      </c>
      <c r="J16" s="532" t="n">
        <v>1</v>
      </c>
      <c r="K16" s="532" t="n">
        <v>1</v>
      </c>
      <c r="L16" s="532" t="n">
        <v>1</v>
      </c>
      <c r="M16" s="532" t="n">
        <v>1</v>
      </c>
      <c r="N16" s="532" t="n">
        <v>1</v>
      </c>
      <c r="O16" s="532" t="n">
        <v>1</v>
      </c>
      <c r="P16" s="532" t="n">
        <v>1</v>
      </c>
      <c r="Q16" s="532" t="n">
        <v>1</v>
      </c>
      <c r="R16" s="532" t="n">
        <v>1</v>
      </c>
      <c r="S16" s="532" t="n">
        <v>1</v>
      </c>
      <c r="T16" s="532" t="n">
        <v>1</v>
      </c>
      <c r="U16" s="532" t="n">
        <v>1</v>
      </c>
      <c r="V16" s="532" t="n">
        <v>1</v>
      </c>
      <c r="W16" s="532" t="n">
        <v>1</v>
      </c>
      <c r="X16" s="532" t="n">
        <v>1</v>
      </c>
      <c r="Y16" s="532" t="n">
        <v>1</v>
      </c>
      <c r="Z16" s="532" t="n">
        <v>1</v>
      </c>
      <c r="AA16" s="532" t="n">
        <v>1</v>
      </c>
      <c r="AB16" s="532" t="n">
        <v>1</v>
      </c>
      <c r="AC16" s="532" t="n">
        <v>1</v>
      </c>
      <c r="AD16" s="532" t="n">
        <v>1</v>
      </c>
      <c r="AE16" s="532" t="n">
        <v>1</v>
      </c>
      <c r="AF16" s="532" t="n">
        <v>1</v>
      </c>
      <c r="AG16" s="532" t="n">
        <v>1</v>
      </c>
      <c r="AH16" s="532" t="n">
        <v>1</v>
      </c>
      <c r="AI16" s="532" t="n">
        <v>1</v>
      </c>
      <c r="AJ16" s="558" t="n"/>
      <c r="AK16" s="558" t="n"/>
      <c r="AL16" s="558" t="n"/>
      <c r="AM16" s="558" t="n"/>
      <c r="AN16" s="558" t="n"/>
      <c r="AO16" s="558" t="n"/>
      <c r="AP16" s="558" t="n"/>
      <c r="AQ16" s="558" t="n"/>
      <c r="AR16" s="558" t="n"/>
      <c r="AS16" s="558" t="n"/>
      <c r="AT16" s="558" t="n"/>
      <c r="AU16" s="558" t="n"/>
      <c r="AV16" s="558" t="n"/>
      <c r="AW16" s="558" t="n"/>
    </row>
    <row r="17" ht="12" customHeight="1" s="244">
      <c r="A17" s="261" t="n"/>
      <c r="B17" s="282" t="n"/>
      <c r="C17" s="529" t="n"/>
      <c r="D17" s="261" t="n"/>
      <c r="E17" s="259" t="n"/>
      <c r="F17" s="531">
        <f>F12</f>
        <v/>
      </c>
      <c r="G17" s="531">
        <f>G12</f>
        <v/>
      </c>
      <c r="H17" s="531">
        <f>H12</f>
        <v/>
      </c>
      <c r="I17" s="531">
        <f>I12</f>
        <v/>
      </c>
      <c r="J17" s="531">
        <f>J12</f>
        <v/>
      </c>
      <c r="K17" s="531">
        <f>K12</f>
        <v/>
      </c>
      <c r="L17" s="531">
        <f>L12</f>
        <v/>
      </c>
      <c r="M17" s="531">
        <f>M12</f>
        <v/>
      </c>
      <c r="N17" s="531">
        <f>N12</f>
        <v/>
      </c>
      <c r="O17" s="531">
        <f>O12</f>
        <v/>
      </c>
      <c r="P17" s="531">
        <f>P12</f>
        <v/>
      </c>
      <c r="Q17" s="531">
        <f>Q12</f>
        <v/>
      </c>
      <c r="R17" s="531">
        <f>R12</f>
        <v/>
      </c>
      <c r="S17" s="531">
        <f>S12</f>
        <v/>
      </c>
      <c r="T17" s="531">
        <f>T12</f>
        <v/>
      </c>
      <c r="U17" s="531">
        <f>U12</f>
        <v/>
      </c>
      <c r="V17" s="531">
        <f>V12</f>
        <v/>
      </c>
      <c r="W17" s="531">
        <f>W12</f>
        <v/>
      </c>
      <c r="X17" s="531">
        <f>X12</f>
        <v/>
      </c>
      <c r="Y17" s="531">
        <f>Y12</f>
        <v/>
      </c>
      <c r="Z17" s="531">
        <f>Z12</f>
        <v/>
      </c>
      <c r="AA17" s="531">
        <f>AA12</f>
        <v/>
      </c>
      <c r="AB17" s="531">
        <f>AB12</f>
        <v/>
      </c>
      <c r="AC17" s="531">
        <f>AC12</f>
        <v/>
      </c>
      <c r="AD17" s="531">
        <f>AD12</f>
        <v/>
      </c>
      <c r="AE17" s="531">
        <f>AE12</f>
        <v/>
      </c>
      <c r="AF17" s="531">
        <f>AF12</f>
        <v/>
      </c>
      <c r="AG17" s="531">
        <f>AG12</f>
        <v/>
      </c>
      <c r="AH17" s="531">
        <f>AH12</f>
        <v/>
      </c>
      <c r="AI17" s="531">
        <f>AI12</f>
        <v/>
      </c>
      <c r="AJ17" s="259" t="n"/>
      <c r="AK17" s="259" t="n"/>
      <c r="AL17" s="259" t="n"/>
      <c r="AM17" s="259" t="n"/>
      <c r="AN17" s="259" t="n"/>
      <c r="AO17" s="259" t="n"/>
      <c r="AP17" s="259" t="n"/>
      <c r="AQ17" s="259" t="n"/>
      <c r="AR17" s="259" t="n"/>
      <c r="AS17" s="259" t="n"/>
      <c r="AT17" s="259" t="n"/>
      <c r="AU17" s="259" t="n"/>
      <c r="AV17" s="259" t="n"/>
      <c r="AW17" s="259" t="n"/>
    </row>
    <row r="18" ht="16.5" customHeight="1" s="244">
      <c r="A18" s="261" t="n"/>
      <c r="B18" s="282" t="n"/>
      <c r="C18" s="529" t="n"/>
      <c r="D18" s="261" t="n"/>
      <c r="E18" s="259" t="n"/>
      <c r="F18" s="535">
        <f>F13/F17</f>
        <v/>
      </c>
      <c r="G18" s="535">
        <f>G13/G17</f>
        <v/>
      </c>
      <c r="H18" s="535">
        <f>H13/H17</f>
        <v/>
      </c>
      <c r="I18" s="535">
        <f>I13/I17</f>
        <v/>
      </c>
      <c r="J18" s="535">
        <f>J13/J17</f>
        <v/>
      </c>
      <c r="K18" s="535">
        <f>K13/K17</f>
        <v/>
      </c>
      <c r="L18" s="535">
        <f>L13/L17</f>
        <v/>
      </c>
      <c r="M18" s="535">
        <f>M13/M17</f>
        <v/>
      </c>
      <c r="N18" s="535">
        <f>N13/N17</f>
        <v/>
      </c>
      <c r="O18" s="535">
        <f>O13/O17</f>
        <v/>
      </c>
      <c r="P18" s="535">
        <f>P13/P17</f>
        <v/>
      </c>
      <c r="Q18" s="535">
        <f>Q13/Q17</f>
        <v/>
      </c>
      <c r="R18" s="535">
        <f>R13/R17</f>
        <v/>
      </c>
      <c r="S18" s="535">
        <f>S13/S17</f>
        <v/>
      </c>
      <c r="T18" s="535">
        <f>T13/T17</f>
        <v/>
      </c>
      <c r="U18" s="535">
        <f>U13/U17</f>
        <v/>
      </c>
      <c r="V18" s="535">
        <f>V13/V17</f>
        <v/>
      </c>
      <c r="W18" s="535">
        <f>W13/W17</f>
        <v/>
      </c>
      <c r="X18" s="535">
        <f>X13/X17</f>
        <v/>
      </c>
      <c r="Y18" s="535">
        <f>Y13/Y17</f>
        <v/>
      </c>
      <c r="Z18" s="535">
        <f>Z13/Z17</f>
        <v/>
      </c>
      <c r="AA18" s="535">
        <f>AA13/AA17</f>
        <v/>
      </c>
      <c r="AB18" s="535">
        <f>AB13/AB17</f>
        <v/>
      </c>
      <c r="AC18" s="535">
        <f>AC13/AC17</f>
        <v/>
      </c>
      <c r="AD18" s="535">
        <f>AD13/AD17</f>
        <v/>
      </c>
      <c r="AE18" s="535">
        <f>AE13/AE17</f>
        <v/>
      </c>
      <c r="AF18" s="535">
        <f>AF13/AF17</f>
        <v/>
      </c>
      <c r="AG18" s="535">
        <f>AG13/AG17</f>
        <v/>
      </c>
      <c r="AH18" s="535">
        <f>AH13/AH17</f>
        <v/>
      </c>
      <c r="AI18" s="535">
        <f>AI13/AI17</f>
        <v/>
      </c>
      <c r="AJ18" s="562" t="n"/>
      <c r="AK18" s="562" t="n"/>
      <c r="AL18" s="562" t="n"/>
      <c r="AM18" s="562" t="n"/>
      <c r="AN18" s="562" t="n"/>
      <c r="AO18" s="562" t="n"/>
      <c r="AP18" s="562" t="n"/>
      <c r="AQ18" s="562" t="n"/>
      <c r="AR18" s="562" t="n"/>
      <c r="AS18" s="562" t="n"/>
      <c r="AT18" s="562" t="n"/>
      <c r="AU18" s="562" t="n"/>
      <c r="AV18" s="562" t="n"/>
      <c r="AW18" s="562" t="n"/>
    </row>
    <row r="19" ht="19.5" customHeight="1" s="244">
      <c r="A19" s="261" t="n"/>
      <c r="B19" s="282" t="n"/>
      <c r="C19" s="529" t="n"/>
      <c r="D19" s="261" t="n"/>
      <c r="E19" s="259" t="n"/>
      <c r="F19" s="535">
        <f>F10+(F14/8.92)^0.91</f>
        <v/>
      </c>
      <c r="G19" s="535">
        <f>G10+(G14/8.92)^0.91</f>
        <v/>
      </c>
      <c r="H19" s="535">
        <f>H10+(H14/8.92)^0.91</f>
        <v/>
      </c>
      <c r="I19" s="535">
        <f>I10+(I14/8.92)^0.91</f>
        <v/>
      </c>
      <c r="J19" s="535">
        <f>J10+(J14/8.92)^0.91</f>
        <v/>
      </c>
      <c r="K19" s="535">
        <f>K10+(K14/8.92)^0.91</f>
        <v/>
      </c>
      <c r="L19" s="535">
        <f>L10+(L14/8.92)^0.91</f>
        <v/>
      </c>
      <c r="M19" s="535">
        <f>M10+(M14/8.92)^0.91</f>
        <v/>
      </c>
      <c r="N19" s="535">
        <f>N10+(N14/8.92)^0.91</f>
        <v/>
      </c>
      <c r="O19" s="535">
        <f>O10+(O14/8.92)^0.91</f>
        <v/>
      </c>
      <c r="P19" s="535">
        <f>P10+(P14/8.92)^0.91</f>
        <v/>
      </c>
      <c r="Q19" s="535">
        <f>Q10+(Q14/8.92)^0.91</f>
        <v/>
      </c>
      <c r="R19" s="535">
        <f>R10+(R14/8.92)^0.91</f>
        <v/>
      </c>
      <c r="S19" s="535">
        <f>S10+(S14/8.92)^0.91</f>
        <v/>
      </c>
      <c r="T19" s="535">
        <f>T10+(T14/8.92)^0.91</f>
        <v/>
      </c>
      <c r="U19" s="535">
        <f>U10+(U14/8.92)^0.91</f>
        <v/>
      </c>
      <c r="V19" s="535">
        <f>V10+(V14/8.92)^0.91</f>
        <v/>
      </c>
      <c r="W19" s="535">
        <f>W10+(W14/8.92)^0.91</f>
        <v/>
      </c>
      <c r="X19" s="535">
        <f>X10+(X14/8.92)^0.91</f>
        <v/>
      </c>
      <c r="Y19" s="535">
        <f>Y10+(Y14/8.92)^0.91</f>
        <v/>
      </c>
      <c r="Z19" s="535">
        <f>Z10+(Z14/8.92)^0.91</f>
        <v/>
      </c>
      <c r="AA19" s="535">
        <f>AA10+(AA14/8.92)^0.91</f>
        <v/>
      </c>
      <c r="AB19" s="535">
        <f>AB10+(AB14/8.92)^0.91</f>
        <v/>
      </c>
      <c r="AC19" s="535">
        <f>AC10+(AC14/8.92)^0.91</f>
        <v/>
      </c>
      <c r="AD19" s="535">
        <f>AD10+(AD14/8.92)^0.91</f>
        <v/>
      </c>
      <c r="AE19" s="535">
        <f>AE10+(AE14/8.92)^0.91</f>
        <v/>
      </c>
      <c r="AF19" s="535">
        <f>AF10+(AF14/8.92)^0.91</f>
        <v/>
      </c>
      <c r="AG19" s="535">
        <f>AG10+(AG14/8.92)^0.91</f>
        <v/>
      </c>
      <c r="AH19" s="535">
        <f>AH10+(AH14/8.92)^0.91</f>
        <v/>
      </c>
      <c r="AI19" s="535">
        <f>AI10+(AI14/8.92)^0.91</f>
        <v/>
      </c>
      <c r="AJ19" s="562" t="n"/>
      <c r="AK19" s="562" t="n"/>
      <c r="AL19" s="562" t="n"/>
      <c r="AM19" s="562" t="n"/>
      <c r="AN19" s="562" t="n"/>
      <c r="AO19" s="562" t="n"/>
      <c r="AP19" s="562" t="n"/>
      <c r="AQ19" s="562" t="n"/>
      <c r="AR19" s="562" t="n"/>
      <c r="AS19" s="562" t="n"/>
      <c r="AT19" s="562" t="n"/>
      <c r="AU19" s="562" t="n"/>
      <c r="AV19" s="562" t="n"/>
      <c r="AW19" s="562" t="n"/>
    </row>
    <row r="20" ht="12" customHeight="1" s="244">
      <c r="A20" s="261" t="n"/>
      <c r="B20" s="282" t="n"/>
      <c r="C20" s="529" t="n"/>
      <c r="D20" s="261" t="n"/>
      <c r="E20" s="259" t="n"/>
      <c r="F20" s="531" t="n">
        <v>45</v>
      </c>
      <c r="G20" s="531" t="n">
        <v>45</v>
      </c>
      <c r="H20" s="531" t="n">
        <v>45</v>
      </c>
      <c r="I20" s="531" t="n">
        <v>45</v>
      </c>
      <c r="J20" s="531" t="n">
        <v>45</v>
      </c>
      <c r="K20" s="531" t="n">
        <v>45</v>
      </c>
      <c r="L20" s="531" t="n">
        <v>45</v>
      </c>
      <c r="M20" s="531" t="n">
        <v>45</v>
      </c>
      <c r="N20" s="531" t="n">
        <v>45</v>
      </c>
      <c r="O20" s="531" t="n">
        <v>45</v>
      </c>
      <c r="P20" s="531" t="n">
        <v>45</v>
      </c>
      <c r="Q20" s="531" t="n">
        <v>45</v>
      </c>
      <c r="R20" s="531" t="n">
        <v>45</v>
      </c>
      <c r="S20" s="531" t="n">
        <v>45</v>
      </c>
      <c r="T20" s="531" t="n">
        <v>45</v>
      </c>
      <c r="U20" s="531" t="n">
        <v>45</v>
      </c>
      <c r="V20" s="531" t="n">
        <v>45</v>
      </c>
      <c r="W20" s="531" t="n">
        <v>45</v>
      </c>
      <c r="X20" s="531" t="n">
        <v>45</v>
      </c>
      <c r="Y20" s="531" t="n">
        <v>45</v>
      </c>
      <c r="Z20" s="531" t="n">
        <v>45</v>
      </c>
      <c r="AA20" s="531" t="n">
        <v>45</v>
      </c>
      <c r="AB20" s="531" t="n">
        <v>45</v>
      </c>
      <c r="AC20" s="531" t="n">
        <v>45</v>
      </c>
      <c r="AD20" s="531" t="n">
        <v>45</v>
      </c>
      <c r="AE20" s="531" t="n">
        <v>45</v>
      </c>
      <c r="AF20" s="531" t="n">
        <v>45</v>
      </c>
      <c r="AG20" s="531" t="n">
        <v>45</v>
      </c>
      <c r="AH20" s="531" t="n">
        <v>45</v>
      </c>
      <c r="AI20" s="531" t="n">
        <v>45</v>
      </c>
      <c r="AJ20" s="259" t="n"/>
      <c r="AK20" s="259" t="n"/>
      <c r="AL20" s="259" t="n"/>
      <c r="AM20" s="259" t="n"/>
      <c r="AN20" s="259" t="n"/>
      <c r="AO20" s="259" t="n"/>
      <c r="AP20" s="259" t="n"/>
      <c r="AQ20" s="259" t="n"/>
      <c r="AR20" s="259" t="n"/>
      <c r="AS20" s="259" t="n"/>
      <c r="AT20" s="259" t="n"/>
      <c r="AU20" s="259" t="n"/>
      <c r="AV20" s="259" t="n"/>
      <c r="AW20" s="259" t="n"/>
    </row>
    <row r="21" ht="12" customHeight="1" s="244">
      <c r="A21" s="261" t="n"/>
      <c r="B21" s="536" t="n"/>
      <c r="C21" s="529" t="n"/>
      <c r="D21" s="261" t="n"/>
      <c r="E21" s="259" t="n"/>
      <c r="F21" s="531">
        <f>F20-F10</f>
        <v/>
      </c>
      <c r="G21" s="531">
        <f>G20-G10</f>
        <v/>
      </c>
      <c r="H21" s="531">
        <f>H20-H10</f>
        <v/>
      </c>
      <c r="I21" s="531">
        <f>I20-I10</f>
        <v/>
      </c>
      <c r="J21" s="531">
        <f>J20-J10</f>
        <v/>
      </c>
      <c r="K21" s="531">
        <f>K20-K10</f>
        <v/>
      </c>
      <c r="L21" s="531">
        <f>L20-L10</f>
        <v/>
      </c>
      <c r="M21" s="531">
        <f>M20-M10</f>
        <v/>
      </c>
      <c r="N21" s="531">
        <f>N20-N10</f>
        <v/>
      </c>
      <c r="O21" s="531">
        <f>O20-O10</f>
        <v/>
      </c>
      <c r="P21" s="531">
        <f>P20-P10</f>
        <v/>
      </c>
      <c r="Q21" s="531">
        <f>Q20-Q10</f>
        <v/>
      </c>
      <c r="R21" s="531">
        <f>R20-R10</f>
        <v/>
      </c>
      <c r="S21" s="531">
        <f>S20-S10</f>
        <v/>
      </c>
      <c r="T21" s="531">
        <f>T20-T10</f>
        <v/>
      </c>
      <c r="U21" s="531">
        <f>U20-U10</f>
        <v/>
      </c>
      <c r="V21" s="531">
        <f>V20-V10</f>
        <v/>
      </c>
      <c r="W21" s="531">
        <f>W20-W10</f>
        <v/>
      </c>
      <c r="X21" s="531">
        <f>X20-X10</f>
        <v/>
      </c>
      <c r="Y21" s="531">
        <f>Y20-Y10</f>
        <v/>
      </c>
      <c r="Z21" s="531">
        <f>Z20-Z10</f>
        <v/>
      </c>
      <c r="AA21" s="531">
        <f>AA20-AA10</f>
        <v/>
      </c>
      <c r="AB21" s="531">
        <f>AB20-AB10</f>
        <v/>
      </c>
      <c r="AC21" s="531">
        <f>AC20-AC10</f>
        <v/>
      </c>
      <c r="AD21" s="531">
        <f>AD20-AD10</f>
        <v/>
      </c>
      <c r="AE21" s="531">
        <f>AE20-AE10</f>
        <v/>
      </c>
      <c r="AF21" s="531">
        <f>AF20-AF10</f>
        <v/>
      </c>
      <c r="AG21" s="531">
        <f>AG20-AG10</f>
        <v/>
      </c>
      <c r="AH21" s="531">
        <f>AH20-AH10</f>
        <v/>
      </c>
      <c r="AI21" s="531">
        <f>AI20-AI10</f>
        <v/>
      </c>
      <c r="AJ21" s="259" t="n"/>
      <c r="AK21" s="259" t="n"/>
      <c r="AL21" s="259" t="n"/>
      <c r="AM21" s="259" t="n"/>
      <c r="AN21" s="259" t="n"/>
      <c r="AO21" s="259" t="n"/>
      <c r="AP21" s="259" t="n"/>
      <c r="AQ21" s="259" t="n"/>
      <c r="AR21" s="259" t="n"/>
      <c r="AS21" s="259" t="n"/>
      <c r="AT21" s="259" t="n"/>
      <c r="AU21" s="259" t="n"/>
      <c r="AV21" s="259" t="n"/>
      <c r="AW21" s="259" t="n"/>
    </row>
    <row r="22" ht="12" customHeight="1" s="244">
      <c r="A22" s="261" t="n"/>
      <c r="B22" s="537" t="n"/>
      <c r="C22" s="529" t="n"/>
      <c r="D22" s="261" t="n"/>
      <c r="E22" s="259" t="n"/>
      <c r="F22" s="531" t="n">
        <v>15</v>
      </c>
      <c r="G22" s="531" t="n">
        <v>15</v>
      </c>
      <c r="H22" s="531" t="n">
        <v>15</v>
      </c>
      <c r="I22" s="531" t="n">
        <v>10</v>
      </c>
      <c r="J22" s="531" t="n">
        <v>10</v>
      </c>
      <c r="K22" s="531" t="n">
        <v>15</v>
      </c>
      <c r="L22" s="531" t="n">
        <v>10</v>
      </c>
      <c r="M22" s="531" t="n">
        <v>15</v>
      </c>
      <c r="N22" s="531" t="n">
        <v>15</v>
      </c>
      <c r="O22" s="531" t="n">
        <v>15</v>
      </c>
      <c r="P22" s="531" t="n">
        <v>15</v>
      </c>
      <c r="Q22" s="531" t="n">
        <v>15</v>
      </c>
      <c r="R22" s="531" t="n">
        <v>15</v>
      </c>
      <c r="S22" s="531" t="n">
        <v>15</v>
      </c>
      <c r="T22" s="531" t="n">
        <v>10</v>
      </c>
      <c r="U22" s="531" t="n">
        <v>15</v>
      </c>
      <c r="V22" s="531" t="n">
        <v>15</v>
      </c>
      <c r="W22" s="531" t="n">
        <v>15</v>
      </c>
      <c r="X22" s="531" t="n">
        <v>15</v>
      </c>
      <c r="Y22" s="531" t="n">
        <v>15</v>
      </c>
      <c r="Z22" s="531" t="n">
        <v>15</v>
      </c>
      <c r="AA22" s="531" t="n">
        <v>15</v>
      </c>
      <c r="AB22" s="531" t="n">
        <v>10</v>
      </c>
      <c r="AC22" s="531" t="n">
        <v>15</v>
      </c>
      <c r="AD22" s="531" t="n">
        <v>15</v>
      </c>
      <c r="AE22" s="531" t="n">
        <v>15</v>
      </c>
      <c r="AF22" s="531" t="n">
        <v>10</v>
      </c>
      <c r="AG22" s="531" t="n">
        <v>10</v>
      </c>
      <c r="AH22" s="531" t="n">
        <v>15</v>
      </c>
      <c r="AI22" s="531" t="n">
        <v>10</v>
      </c>
      <c r="AJ22" s="259" t="n"/>
      <c r="AK22" s="259" t="n"/>
      <c r="AL22" s="259" t="n"/>
      <c r="AM22" s="259" t="n"/>
      <c r="AN22" s="259" t="n"/>
      <c r="AO22" s="259" t="n"/>
      <c r="AP22" s="259" t="n"/>
      <c r="AQ22" s="259" t="n"/>
      <c r="AR22" s="259" t="n"/>
      <c r="AS22" s="259" t="n"/>
      <c r="AT22" s="259" t="n"/>
      <c r="AU22" s="259" t="n"/>
      <c r="AV22" s="259" t="n"/>
      <c r="AW22" s="259" t="n"/>
    </row>
    <row r="23" ht="12" customHeight="1" s="244">
      <c r="A23" s="261" t="n"/>
      <c r="B23" s="537" t="n"/>
      <c r="C23" s="529" t="n"/>
      <c r="D23" s="261" t="n"/>
      <c r="E23" s="259" t="n"/>
      <c r="F23" s="538" t="n">
        <v>40</v>
      </c>
      <c r="G23" s="538" t="n">
        <v>40</v>
      </c>
      <c r="H23" s="538" t="n">
        <v>40</v>
      </c>
      <c r="I23" s="538" t="n">
        <v>40</v>
      </c>
      <c r="J23" s="538" t="n">
        <v>40</v>
      </c>
      <c r="K23" s="538" t="n">
        <v>40</v>
      </c>
      <c r="L23" s="538" t="n">
        <v>40</v>
      </c>
      <c r="M23" s="538" t="n">
        <v>40</v>
      </c>
      <c r="N23" s="538" t="n">
        <v>40</v>
      </c>
      <c r="O23" s="538" t="n">
        <v>40</v>
      </c>
      <c r="P23" s="538" t="n">
        <v>40</v>
      </c>
      <c r="Q23" s="538" t="n">
        <v>40</v>
      </c>
      <c r="R23" s="538" t="n">
        <v>40</v>
      </c>
      <c r="S23" s="538" t="n">
        <v>40</v>
      </c>
      <c r="T23" s="538" t="n">
        <v>40</v>
      </c>
      <c r="U23" s="538" t="n">
        <v>40</v>
      </c>
      <c r="V23" s="538" t="n">
        <v>40</v>
      </c>
      <c r="W23" s="538" t="n">
        <v>40</v>
      </c>
      <c r="X23" s="538" t="n">
        <v>40</v>
      </c>
      <c r="Y23" s="538" t="n">
        <v>40</v>
      </c>
      <c r="Z23" s="538" t="n">
        <v>40</v>
      </c>
      <c r="AA23" s="538" t="n">
        <v>40</v>
      </c>
      <c r="AB23" s="538" t="n">
        <v>40</v>
      </c>
      <c r="AC23" s="538" t="n">
        <v>40</v>
      </c>
      <c r="AD23" s="538" t="n">
        <v>40</v>
      </c>
      <c r="AE23" s="538" t="n">
        <v>40</v>
      </c>
      <c r="AF23" s="538" t="n">
        <v>40</v>
      </c>
      <c r="AG23" s="538" t="n">
        <v>40</v>
      </c>
      <c r="AH23" s="538" t="n">
        <v>40</v>
      </c>
      <c r="AI23" s="538" t="n">
        <v>40</v>
      </c>
      <c r="AJ23" s="563" t="n"/>
      <c r="AK23" s="563" t="n"/>
      <c r="AL23" s="563" t="n"/>
      <c r="AM23" s="563" t="n"/>
      <c r="AN23" s="563" t="n"/>
      <c r="AO23" s="563" t="n"/>
      <c r="AP23" s="563" t="n"/>
      <c r="AQ23" s="563" t="n"/>
      <c r="AR23" s="563" t="n"/>
      <c r="AS23" s="563" t="n"/>
      <c r="AT23" s="563" t="n"/>
      <c r="AU23" s="563" t="n"/>
      <c r="AV23" s="563" t="n"/>
      <c r="AW23" s="563" t="n"/>
    </row>
    <row r="24" ht="12" customHeight="1" s="244">
      <c r="A24" s="261" t="n"/>
      <c r="B24" s="536" t="n"/>
      <c r="C24" s="529" t="n"/>
      <c r="D24" s="261" t="n"/>
      <c r="E24" s="259" t="n"/>
      <c r="F24" s="531">
        <f>F23-F10</f>
        <v/>
      </c>
      <c r="G24" s="531">
        <f>G23-G10</f>
        <v/>
      </c>
      <c r="H24" s="531">
        <f>H23-H10</f>
        <v/>
      </c>
      <c r="I24" s="531">
        <f>I23-I10</f>
        <v/>
      </c>
      <c r="J24" s="531">
        <f>J23-J10</f>
        <v/>
      </c>
      <c r="K24" s="531">
        <f>K23-K10</f>
        <v/>
      </c>
      <c r="L24" s="531">
        <f>L23-L10</f>
        <v/>
      </c>
      <c r="M24" s="531">
        <f>M23-M10</f>
        <v/>
      </c>
      <c r="N24" s="531">
        <f>N23-N10</f>
        <v/>
      </c>
      <c r="O24" s="531">
        <f>O23-O10</f>
        <v/>
      </c>
      <c r="P24" s="531">
        <f>P23-P10</f>
        <v/>
      </c>
      <c r="Q24" s="531">
        <f>Q23-Q10</f>
        <v/>
      </c>
      <c r="R24" s="531">
        <f>R23-R10</f>
        <v/>
      </c>
      <c r="S24" s="531">
        <f>S23-S10</f>
        <v/>
      </c>
      <c r="T24" s="531">
        <f>T23-T10</f>
        <v/>
      </c>
      <c r="U24" s="531">
        <f>U23-U10</f>
        <v/>
      </c>
      <c r="V24" s="531">
        <f>V23-V10</f>
        <v/>
      </c>
      <c r="W24" s="531">
        <f>W23-W10</f>
        <v/>
      </c>
      <c r="X24" s="531">
        <f>X23-X10</f>
        <v/>
      </c>
      <c r="Y24" s="531">
        <f>Y23-Y10</f>
        <v/>
      </c>
      <c r="Z24" s="531">
        <f>Z23-Z10</f>
        <v/>
      </c>
      <c r="AA24" s="531">
        <f>AA23-AA10</f>
        <v/>
      </c>
      <c r="AB24" s="531">
        <f>AB23-AB10</f>
        <v/>
      </c>
      <c r="AC24" s="531">
        <f>AC23-AC10</f>
        <v/>
      </c>
      <c r="AD24" s="531">
        <f>AD23-AD10</f>
        <v/>
      </c>
      <c r="AE24" s="531">
        <f>AE23-AE10</f>
        <v/>
      </c>
      <c r="AF24" s="531">
        <f>AF23-AF10</f>
        <v/>
      </c>
      <c r="AG24" s="531">
        <f>AG23-AG10</f>
        <v/>
      </c>
      <c r="AH24" s="531">
        <f>AH23-AH10</f>
        <v/>
      </c>
      <c r="AI24" s="531">
        <f>AI23-AI10</f>
        <v/>
      </c>
      <c r="AJ24" s="259" t="n"/>
      <c r="AK24" s="259" t="n"/>
      <c r="AL24" s="259" t="n"/>
      <c r="AM24" s="259" t="n"/>
      <c r="AN24" s="259" t="n"/>
      <c r="AO24" s="259" t="n"/>
      <c r="AP24" s="259" t="n"/>
      <c r="AQ24" s="259" t="n"/>
      <c r="AR24" s="259" t="n"/>
      <c r="AS24" s="259" t="n"/>
      <c r="AT24" s="259" t="n"/>
      <c r="AU24" s="259" t="n"/>
      <c r="AV24" s="259" t="n"/>
      <c r="AW24" s="259" t="n"/>
    </row>
    <row r="25" ht="12" customHeight="1" s="244">
      <c r="A25" s="261" t="n"/>
      <c r="B25" s="536" t="n"/>
      <c r="C25" s="529" t="n"/>
      <c r="D25" s="261" t="n"/>
      <c r="E25" s="259" t="n"/>
      <c r="F25" s="531">
        <f>2*(F21-F24)</f>
        <v/>
      </c>
      <c r="G25" s="531">
        <f>2*(G21-G24)</f>
        <v/>
      </c>
      <c r="H25" s="531">
        <f>2*(H21-H24)</f>
        <v/>
      </c>
      <c r="I25" s="531">
        <f>2*(I21-I24)</f>
        <v/>
      </c>
      <c r="J25" s="531">
        <f>2*(J21-J24)</f>
        <v/>
      </c>
      <c r="K25" s="531">
        <f>2*(K21-K24)</f>
        <v/>
      </c>
      <c r="L25" s="531">
        <f>2*(L21-L24)</f>
        <v/>
      </c>
      <c r="M25" s="531">
        <f>2*(M21-M24)</f>
        <v/>
      </c>
      <c r="N25" s="531">
        <f>2*(N21-N24)</f>
        <v/>
      </c>
      <c r="O25" s="531">
        <f>2*(O21-O24)</f>
        <v/>
      </c>
      <c r="P25" s="531">
        <f>2*(P21-P24)</f>
        <v/>
      </c>
      <c r="Q25" s="531">
        <f>2*(Q21-Q24)</f>
        <v/>
      </c>
      <c r="R25" s="531">
        <f>2*(R21-R24)</f>
        <v/>
      </c>
      <c r="S25" s="531">
        <f>2*(S21-S24)</f>
        <v/>
      </c>
      <c r="T25" s="531">
        <f>2*(T21-T24)</f>
        <v/>
      </c>
      <c r="U25" s="531">
        <f>2*(U21-U24)</f>
        <v/>
      </c>
      <c r="V25" s="531">
        <f>2*(V21-V24)</f>
        <v/>
      </c>
      <c r="W25" s="531">
        <f>2*(W21-W24)</f>
        <v/>
      </c>
      <c r="X25" s="531">
        <f>2*(X21-X24)</f>
        <v/>
      </c>
      <c r="Y25" s="531">
        <f>2*(Y21-Y24)</f>
        <v/>
      </c>
      <c r="Z25" s="531">
        <f>2*(Z21-Z24)</f>
        <v/>
      </c>
      <c r="AA25" s="531">
        <f>2*(AA21-AA24)</f>
        <v/>
      </c>
      <c r="AB25" s="531">
        <f>2*(AB21-AB24)</f>
        <v/>
      </c>
      <c r="AC25" s="531">
        <f>2*(AC21-AC24)</f>
        <v/>
      </c>
      <c r="AD25" s="531">
        <f>2*(AD21-AD24)</f>
        <v/>
      </c>
      <c r="AE25" s="531">
        <f>2*(AE21-AE24)</f>
        <v/>
      </c>
      <c r="AF25" s="531">
        <f>2*(AF21-AF24)</f>
        <v/>
      </c>
      <c r="AG25" s="531">
        <f>2*(AG21-AG24)</f>
        <v/>
      </c>
      <c r="AH25" s="531">
        <f>2*(AH21-AH24)</f>
        <v/>
      </c>
      <c r="AI25" s="531">
        <f>2*(AI21-AI24)</f>
        <v/>
      </c>
      <c r="AJ25" s="259" t="n"/>
      <c r="AK25" s="259" t="n"/>
      <c r="AL25" s="259" t="n"/>
      <c r="AM25" s="259" t="n"/>
      <c r="AN25" s="259" t="n"/>
      <c r="AO25" s="259" t="n"/>
      <c r="AP25" s="259" t="n"/>
      <c r="AQ25" s="259" t="n"/>
      <c r="AR25" s="259" t="n"/>
      <c r="AS25" s="259" t="n"/>
      <c r="AT25" s="259" t="n"/>
      <c r="AU25" s="259" t="n"/>
      <c r="AV25" s="259" t="n"/>
      <c r="AW25" s="259" t="n"/>
    </row>
    <row r="26" ht="12" customHeight="1" s="244">
      <c r="A26" s="261" t="n"/>
      <c r="B26" s="537" t="n"/>
      <c r="C26" s="529" t="n"/>
      <c r="D26" s="539" t="n"/>
      <c r="E26" s="259" t="n"/>
      <c r="F26" s="535">
        <f>0.2*F14</f>
        <v/>
      </c>
      <c r="G26" s="535">
        <f>0.2*G14</f>
        <v/>
      </c>
      <c r="H26" s="535">
        <f>0.2*H14</f>
        <v/>
      </c>
      <c r="I26" s="535">
        <f>0.2*I14</f>
        <v/>
      </c>
      <c r="J26" s="535">
        <f>0.2*J14</f>
        <v/>
      </c>
      <c r="K26" s="535">
        <f>0.2*K14</f>
        <v/>
      </c>
      <c r="L26" s="535">
        <f>0.2*L14</f>
        <v/>
      </c>
      <c r="M26" s="535">
        <f>0.2*M14</f>
        <v/>
      </c>
      <c r="N26" s="535">
        <f>0.2*N14</f>
        <v/>
      </c>
      <c r="O26" s="535">
        <f>0.2*O14</f>
        <v/>
      </c>
      <c r="P26" s="535">
        <f>0.2*P14</f>
        <v/>
      </c>
      <c r="Q26" s="535">
        <f>0.2*Q14</f>
        <v/>
      </c>
      <c r="R26" s="535">
        <f>0.2*R14</f>
        <v/>
      </c>
      <c r="S26" s="535">
        <f>0.2*S14</f>
        <v/>
      </c>
      <c r="T26" s="535">
        <f>0.2*T14</f>
        <v/>
      </c>
      <c r="U26" s="535">
        <f>0.2*U14</f>
        <v/>
      </c>
      <c r="V26" s="535">
        <f>0.2*V14</f>
        <v/>
      </c>
      <c r="W26" s="535">
        <f>0.2*W14</f>
        <v/>
      </c>
      <c r="X26" s="535">
        <f>0.2*X14</f>
        <v/>
      </c>
      <c r="Y26" s="535">
        <f>0.2*Y14</f>
        <v/>
      </c>
      <c r="Z26" s="535">
        <f>0.2*Z14</f>
        <v/>
      </c>
      <c r="AA26" s="535">
        <f>0.2*AA14</f>
        <v/>
      </c>
      <c r="AB26" s="535">
        <f>0.2*AB14</f>
        <v/>
      </c>
      <c r="AC26" s="535">
        <f>0.2*AC14</f>
        <v/>
      </c>
      <c r="AD26" s="535">
        <f>0.2*AD14</f>
        <v/>
      </c>
      <c r="AE26" s="535">
        <f>0.2*AE14</f>
        <v/>
      </c>
      <c r="AF26" s="535">
        <f>0.2*AF14</f>
        <v/>
      </c>
      <c r="AG26" s="535">
        <f>0.2*AG14</f>
        <v/>
      </c>
      <c r="AH26" s="535">
        <f>0.2*AH14</f>
        <v/>
      </c>
      <c r="AI26" s="535">
        <f>0.2*AI14</f>
        <v/>
      </c>
      <c r="AJ26" s="562" t="n"/>
      <c r="AK26" s="562" t="n"/>
      <c r="AL26" s="562" t="n"/>
      <c r="AM26" s="562" t="n"/>
      <c r="AN26" s="562" t="n"/>
      <c r="AO26" s="562" t="n"/>
      <c r="AP26" s="562" t="n"/>
      <c r="AQ26" s="562" t="n"/>
      <c r="AR26" s="562" t="n"/>
      <c r="AS26" s="562" t="n"/>
      <c r="AT26" s="562" t="n"/>
      <c r="AU26" s="562" t="n"/>
      <c r="AV26" s="562" t="n"/>
      <c r="AW26" s="562" t="n"/>
    </row>
    <row r="27" ht="12" customHeight="1" s="244">
      <c r="A27" s="261" t="n"/>
      <c r="B27" s="537" t="n"/>
      <c r="C27" s="529" t="n"/>
      <c r="D27" s="261" t="n"/>
      <c r="E27" s="259" t="n"/>
      <c r="F27" s="540">
        <f>F17*(F14+F26)</f>
        <v/>
      </c>
      <c r="G27" s="540">
        <f>G17*(G14+G26)</f>
        <v/>
      </c>
      <c r="H27" s="540">
        <f>H17*(H14+H26)</f>
        <v/>
      </c>
      <c r="I27" s="540">
        <f>I17*(I14+I26)</f>
        <v/>
      </c>
      <c r="J27" s="540">
        <f>J17*(J14+J26)</f>
        <v/>
      </c>
      <c r="K27" s="540">
        <f>K17*(K14+K26)</f>
        <v/>
      </c>
      <c r="L27" s="540">
        <f>L17*(L14+L26)</f>
        <v/>
      </c>
      <c r="M27" s="540">
        <f>M17*(M14+M26)</f>
        <v/>
      </c>
      <c r="N27" s="540">
        <f>N17*(N14+N26)</f>
        <v/>
      </c>
      <c r="O27" s="540">
        <f>O17*(O14+O26)</f>
        <v/>
      </c>
      <c r="P27" s="540">
        <f>P17*(P14+P26)</f>
        <v/>
      </c>
      <c r="Q27" s="540">
        <f>Q17*(Q14+Q26)</f>
        <v/>
      </c>
      <c r="R27" s="540">
        <f>R17*(R14+R26)</f>
        <v/>
      </c>
      <c r="S27" s="540">
        <f>S17*(S14+S26)</f>
        <v/>
      </c>
      <c r="T27" s="540">
        <f>T17*(T14+T26)</f>
        <v/>
      </c>
      <c r="U27" s="540">
        <f>U17*(U14+U26)</f>
        <v/>
      </c>
      <c r="V27" s="540">
        <f>V17*(V14+V26)</f>
        <v/>
      </c>
      <c r="W27" s="540">
        <f>W17*(W14+W26)</f>
        <v/>
      </c>
      <c r="X27" s="540">
        <f>X17*(X14+X26)</f>
        <v/>
      </c>
      <c r="Y27" s="540">
        <f>Y17*(Y14+Y26)</f>
        <v/>
      </c>
      <c r="Z27" s="540">
        <f>Z17*(Z14+Z26)</f>
        <v/>
      </c>
      <c r="AA27" s="540">
        <f>AA17*(AA14+AA26)</f>
        <v/>
      </c>
      <c r="AB27" s="540">
        <f>AB17*(AB14+AB26)</f>
        <v/>
      </c>
      <c r="AC27" s="540">
        <f>AC17*(AC14+AC26)</f>
        <v/>
      </c>
      <c r="AD27" s="540">
        <f>AD17*(AD14+AD26)</f>
        <v/>
      </c>
      <c r="AE27" s="540">
        <f>AE17*(AE14+AE26)</f>
        <v/>
      </c>
      <c r="AF27" s="540">
        <f>AF17*(AF14+AF26)</f>
        <v/>
      </c>
      <c r="AG27" s="540">
        <f>AG17*(AG14+AG26)</f>
        <v/>
      </c>
      <c r="AH27" s="540">
        <f>AH17*(AH14+AH26)</f>
        <v/>
      </c>
      <c r="AI27" s="540">
        <f>AI17*(AI14+AI26)</f>
        <v/>
      </c>
      <c r="AJ27" s="564" t="n"/>
      <c r="AK27" s="564" t="n"/>
      <c r="AL27" s="564" t="n"/>
      <c r="AM27" s="564" t="n"/>
      <c r="AN27" s="564" t="n"/>
      <c r="AO27" s="564" t="n"/>
      <c r="AP27" s="564" t="n"/>
      <c r="AQ27" s="564" t="n"/>
      <c r="AR27" s="564" t="n"/>
      <c r="AS27" s="564" t="n"/>
      <c r="AT27" s="564" t="n"/>
      <c r="AU27" s="564" t="n"/>
      <c r="AV27" s="564" t="n"/>
      <c r="AW27" s="564" t="n"/>
    </row>
    <row r="28" ht="12" customHeight="1" s="244">
      <c r="A28" s="261" t="n"/>
      <c r="B28" s="537" t="n"/>
      <c r="C28" s="529" t="inlineStr">
        <is>
          <t>SICAK SU DEBİSİ</t>
        </is>
      </c>
      <c r="D28" s="261" t="inlineStr">
        <is>
          <t>q/(1,163.ΔTs)</t>
        </is>
      </c>
      <c r="E28" s="259" t="n"/>
      <c r="F28" s="541">
        <f>F27/(1.163*F25)</f>
        <v/>
      </c>
      <c r="G28" s="541">
        <f>G27/(1.163*G25)</f>
        <v/>
      </c>
      <c r="H28" s="541">
        <f>H27/(1.163*H25)</f>
        <v/>
      </c>
      <c r="I28" s="541">
        <f>I27/(1.163*I25)</f>
        <v/>
      </c>
      <c r="J28" s="541">
        <f>J27/(1.163*J25)</f>
        <v/>
      </c>
      <c r="K28" s="541">
        <f>K27/(1.163*K25)</f>
        <v/>
      </c>
      <c r="L28" s="541">
        <f>L27/(1.163*L25)</f>
        <v/>
      </c>
      <c r="M28" s="541">
        <f>M27/(1.163*M25)</f>
        <v/>
      </c>
      <c r="N28" s="541">
        <f>N27/(1.163*N25)</f>
        <v/>
      </c>
      <c r="O28" s="541">
        <f>O27/(1.163*O25)</f>
        <v/>
      </c>
      <c r="P28" s="541">
        <f>P27/(1.163*P25)</f>
        <v/>
      </c>
      <c r="Q28" s="541">
        <f>Q27/(1.163*Q25)</f>
        <v/>
      </c>
      <c r="R28" s="541">
        <f>R27/(1.163*R25)</f>
        <v/>
      </c>
      <c r="S28" s="541">
        <f>S27/(1.163*S25)</f>
        <v/>
      </c>
      <c r="T28" s="541">
        <f>T27/(1.163*T25)</f>
        <v/>
      </c>
      <c r="U28" s="541">
        <f>U27/(1.163*U25)</f>
        <v/>
      </c>
      <c r="V28" s="541">
        <f>V27/(1.163*V25)</f>
        <v/>
      </c>
      <c r="W28" s="541">
        <f>W27/(1.163*W25)</f>
        <v/>
      </c>
      <c r="X28" s="541">
        <f>X27/(1.163*X25)</f>
        <v/>
      </c>
      <c r="Y28" s="541">
        <f>Y27/(1.163*Y25)</f>
        <v/>
      </c>
      <c r="Z28" s="541">
        <f>Z27/(1.163*Z25)</f>
        <v/>
      </c>
      <c r="AA28" s="541">
        <f>AA27/(1.163*AA25)</f>
        <v/>
      </c>
      <c r="AB28" s="541">
        <f>AB27/(1.163*AB25)</f>
        <v/>
      </c>
      <c r="AC28" s="541">
        <f>AC27/(1.163*AC25)</f>
        <v/>
      </c>
      <c r="AD28" s="541">
        <f>AD27/(1.163*AD25)</f>
        <v/>
      </c>
      <c r="AE28" s="541">
        <f>AE27/(1.163*AE25)</f>
        <v/>
      </c>
      <c r="AF28" s="541">
        <f>AF27/(1.163*AF25)</f>
        <v/>
      </c>
      <c r="AG28" s="541">
        <f>AG27/(1.163*AG25)</f>
        <v/>
      </c>
      <c r="AH28" s="541">
        <f>AH27/(1.163*AH25)</f>
        <v/>
      </c>
      <c r="AI28" s="541">
        <f>AI27/(1.163*AI25)</f>
        <v/>
      </c>
      <c r="AJ28" s="565" t="n"/>
      <c r="AK28" s="565" t="n"/>
      <c r="AL28" s="565" t="n"/>
      <c r="AM28" s="565" t="n"/>
      <c r="AN28" s="565" t="n"/>
      <c r="AO28" s="565" t="n"/>
      <c r="AP28" s="565" t="n"/>
      <c r="AQ28" s="565" t="n"/>
      <c r="AR28" s="565" t="n"/>
      <c r="AS28" s="565" t="n"/>
      <c r="AT28" s="565" t="n"/>
      <c r="AU28" s="565" t="n"/>
      <c r="AV28" s="565" t="n"/>
      <c r="AW28" s="565" t="n"/>
    </row>
    <row r="29" ht="12" customHeight="1" s="244">
      <c r="A29" s="261" t="n"/>
      <c r="B29" s="537" t="n"/>
      <c r="C29" s="529" t="n"/>
      <c r="D29" s="261" t="n"/>
      <c r="E29" s="259" t="n"/>
      <c r="F29" s="542">
        <f>F17/(F22*0.01)</f>
        <v/>
      </c>
      <c r="G29" s="542">
        <f>G17/(G22*0.01)</f>
        <v/>
      </c>
      <c r="H29" s="542">
        <f>H17/(H22*0.01)</f>
        <v/>
      </c>
      <c r="I29" s="542">
        <f>I17/(I22*0.01)</f>
        <v/>
      </c>
      <c r="J29" s="542">
        <f>J17/(J22*0.01)</f>
        <v/>
      </c>
      <c r="K29" s="542">
        <f>K17/(K22*0.01)</f>
        <v/>
      </c>
      <c r="L29" s="542">
        <f>L17/(L22*0.01)</f>
        <v/>
      </c>
      <c r="M29" s="542">
        <f>M17/(M22*0.01)</f>
        <v/>
      </c>
      <c r="N29" s="542">
        <f>N17/(N22*0.01)</f>
        <v/>
      </c>
      <c r="O29" s="542">
        <f>O17/(O22*0.01)</f>
        <v/>
      </c>
      <c r="P29" s="542">
        <f>P17/(P22*0.01)</f>
        <v/>
      </c>
      <c r="Q29" s="542">
        <f>Q17/(Q22*0.01)</f>
        <v/>
      </c>
      <c r="R29" s="542">
        <f>R17/(R22*0.01)</f>
        <v/>
      </c>
      <c r="S29" s="542">
        <f>S17/(S22*0.01)</f>
        <v/>
      </c>
      <c r="T29" s="542">
        <f>T17/(T22*0.01)</f>
        <v/>
      </c>
      <c r="U29" s="542">
        <f>U17/(U22*0.01)</f>
        <v/>
      </c>
      <c r="V29" s="542">
        <f>V17/(V22*0.01)</f>
        <v/>
      </c>
      <c r="W29" s="542">
        <f>W17/(W22*0.01)</f>
        <v/>
      </c>
      <c r="X29" s="542">
        <f>X17/(X22*0.01)</f>
        <v/>
      </c>
      <c r="Y29" s="542">
        <f>Y17/(Y22*0.01)</f>
        <v/>
      </c>
      <c r="Z29" s="542">
        <f>Z17/(Z22*0.01)</f>
        <v/>
      </c>
      <c r="AA29" s="542">
        <f>AA17/(AA22*0.01)</f>
        <v/>
      </c>
      <c r="AB29" s="542">
        <f>AB17/(AB22*0.01)</f>
        <v/>
      </c>
      <c r="AC29" s="542">
        <f>AC17/(AC22*0.01)</f>
        <v/>
      </c>
      <c r="AD29" s="542">
        <f>AD17/(AD22*0.01)</f>
        <v/>
      </c>
      <c r="AE29" s="542">
        <f>AE17/(AE22*0.01)</f>
        <v/>
      </c>
      <c r="AF29" s="542">
        <f>AF17/(AF22*0.01)</f>
        <v/>
      </c>
      <c r="AG29" s="542">
        <f>AG17/(AG22*0.01)</f>
        <v/>
      </c>
      <c r="AH29" s="542">
        <f>AH17/(AH22*0.01)</f>
        <v/>
      </c>
      <c r="AI29" s="542">
        <f>AI17/(AI22*0.01)</f>
        <v/>
      </c>
      <c r="AJ29" s="566" t="n"/>
      <c r="AK29" s="566" t="n"/>
      <c r="AL29" s="566" t="n"/>
      <c r="AM29" s="566" t="n"/>
      <c r="AN29" s="566" t="n"/>
      <c r="AO29" s="566" t="n"/>
      <c r="AP29" s="566" t="n"/>
      <c r="AQ29" s="566" t="n"/>
      <c r="AR29" s="566" t="n"/>
      <c r="AS29" s="566" t="n"/>
      <c r="AT29" s="566" t="n"/>
      <c r="AU29" s="566" t="n"/>
      <c r="AV29" s="566" t="n"/>
      <c r="AW29" s="566" t="n"/>
    </row>
    <row r="30" ht="12" customHeight="1" s="244">
      <c r="A30" s="261" t="n"/>
      <c r="B30" s="537" t="n"/>
      <c r="C30" s="529" t="inlineStr">
        <is>
          <t>BAĞLANTI BORULARI</t>
        </is>
      </c>
      <c r="D30" s="261" t="inlineStr">
        <is>
          <t>Kat Planından (çizimden ölçülen)</t>
        </is>
      </c>
      <c r="E30" s="259" t="n"/>
      <c r="F30" s="567" t="n">
        <v>8.58</v>
      </c>
      <c r="G30" s="567" t="n">
        <v>12</v>
      </c>
      <c r="H30" s="567" t="n">
        <v>10.58</v>
      </c>
      <c r="I30" s="567" t="n">
        <v>1.96</v>
      </c>
      <c r="J30" s="567" t="n">
        <v>6.38</v>
      </c>
      <c r="K30" s="567" t="n">
        <v>1.42</v>
      </c>
      <c r="L30" s="567" t="n">
        <v>0</v>
      </c>
      <c r="M30" s="567" t="n">
        <v>4.11</v>
      </c>
      <c r="N30" s="567" t="n">
        <v>7.51</v>
      </c>
      <c r="O30" s="567" t="n">
        <v>3.71</v>
      </c>
      <c r="P30" s="567" t="n">
        <v>4.03</v>
      </c>
      <c r="Q30" s="567" t="n">
        <v>1.52</v>
      </c>
      <c r="R30" s="567" t="n">
        <v>5.46</v>
      </c>
      <c r="S30" s="567" t="n">
        <v>4.8</v>
      </c>
      <c r="T30" s="567" t="n">
        <v>4.51</v>
      </c>
      <c r="U30" s="567" t="n">
        <v>4.96</v>
      </c>
      <c r="V30" s="567" t="n">
        <v>9.390000000000001</v>
      </c>
      <c r="W30" s="567" t="n">
        <v>1.8</v>
      </c>
      <c r="X30" s="567" t="n">
        <v>1.9</v>
      </c>
      <c r="Y30" s="567" t="n">
        <v>0.5600000000000001</v>
      </c>
      <c r="Z30" s="567" t="n">
        <v>3.64</v>
      </c>
      <c r="AA30" s="567" t="n">
        <v>3.94</v>
      </c>
      <c r="AB30" s="567" t="n">
        <v>2.21</v>
      </c>
      <c r="AC30" s="567" t="n">
        <v>5.18</v>
      </c>
      <c r="AD30" s="567" t="n">
        <v>6.64</v>
      </c>
      <c r="AE30" s="567" t="n">
        <v>10.3</v>
      </c>
      <c r="AF30" s="567" t="n">
        <v>0.43</v>
      </c>
      <c r="AG30" s="567" t="n">
        <v>4.56</v>
      </c>
      <c r="AH30" s="567" t="n">
        <v>1.46</v>
      </c>
      <c r="AI30" s="567" t="n">
        <v>3.6</v>
      </c>
      <c r="AO30" s="568" t="n"/>
      <c r="AP30" s="568" t="n"/>
      <c r="AQ30" s="568" t="n"/>
      <c r="AR30" s="568" t="n"/>
      <c r="AS30" s="568" t="n"/>
      <c r="AT30" s="568" t="n"/>
      <c r="AU30" s="568" t="n"/>
      <c r="AV30" s="568" t="n"/>
      <c r="AW30" s="568" t="n"/>
    </row>
    <row r="31" ht="12" customHeight="1" s="244">
      <c r="A31" s="261" t="n"/>
      <c r="B31" s="537" t="n"/>
      <c r="C31" s="529" t="inlineStr">
        <is>
          <t>TOPLAM BORU UZUNLUĞU</t>
        </is>
      </c>
      <c r="D31" s="261" t="inlineStr">
        <is>
          <t>Lç + Lb (çizimden ölçülen toplam)</t>
        </is>
      </c>
      <c r="E31" s="259" t="n"/>
      <c r="F31" s="531">
        <f>F29+F30</f>
        <v/>
      </c>
      <c r="G31" s="531">
        <f>G29+G30</f>
        <v/>
      </c>
      <c r="H31" s="531">
        <f>H29+H30</f>
        <v/>
      </c>
      <c r="I31" s="531">
        <f>I29+I30</f>
        <v/>
      </c>
      <c r="J31" s="531">
        <f>J29+J30</f>
        <v/>
      </c>
      <c r="K31" s="531">
        <f>K29+K30</f>
        <v/>
      </c>
      <c r="L31" s="531">
        <f>L29+L30</f>
        <v/>
      </c>
      <c r="M31" s="531">
        <f>M29+M30</f>
        <v/>
      </c>
      <c r="N31" s="531">
        <f>N29+N30</f>
        <v/>
      </c>
      <c r="O31" s="531">
        <f>O29+O30</f>
        <v/>
      </c>
      <c r="P31" s="531">
        <f>P29+P30</f>
        <v/>
      </c>
      <c r="Q31" s="531">
        <f>Q29+Q30</f>
        <v/>
      </c>
      <c r="R31" s="531">
        <f>R29+R30</f>
        <v/>
      </c>
      <c r="S31" s="531">
        <f>S29+S30</f>
        <v/>
      </c>
      <c r="T31" s="531">
        <f>T29+T30</f>
        <v/>
      </c>
      <c r="U31" s="531">
        <f>U29+U30</f>
        <v/>
      </c>
      <c r="V31" s="531">
        <f>V29+V30</f>
        <v/>
      </c>
      <c r="W31" s="531">
        <f>W29+W30</f>
        <v/>
      </c>
      <c r="X31" s="531">
        <f>X29+X30</f>
        <v/>
      </c>
      <c r="Y31" s="531">
        <f>Y29+Y30</f>
        <v/>
      </c>
      <c r="Z31" s="531">
        <f>Z29+Z30</f>
        <v/>
      </c>
      <c r="AA31" s="531">
        <f>AA29+AA30</f>
        <v/>
      </c>
      <c r="AB31" s="531">
        <f>AB29+AB30</f>
        <v/>
      </c>
      <c r="AC31" s="531">
        <f>AC29+AC30</f>
        <v/>
      </c>
      <c r="AD31" s="531">
        <f>AD29+AD30</f>
        <v/>
      </c>
      <c r="AE31" s="531">
        <f>AE29+AE30</f>
        <v/>
      </c>
      <c r="AF31" s="531">
        <f>AF29+AF30</f>
        <v/>
      </c>
      <c r="AG31" s="531">
        <f>AG29+AG30</f>
        <v/>
      </c>
      <c r="AH31" s="531">
        <f>AH29+AH30</f>
        <v/>
      </c>
      <c r="AI31" s="531">
        <f>AI29+AI30</f>
        <v/>
      </c>
      <c r="AJ31" s="259" t="n"/>
      <c r="AK31" s="259" t="n"/>
      <c r="AL31" s="259" t="n"/>
      <c r="AM31" s="259" t="n"/>
      <c r="AN31" s="259" t="n"/>
      <c r="AO31" s="259" t="n"/>
      <c r="AP31" s="259" t="n"/>
      <c r="AQ31" s="259" t="n"/>
      <c r="AR31" s="259" t="n"/>
      <c r="AS31" s="259" t="n"/>
      <c r="AT31" s="259" t="n"/>
      <c r="AU31" s="259" t="n"/>
      <c r="AV31" s="259" t="n"/>
      <c r="AW31" s="259" t="n"/>
    </row>
    <row r="32" ht="12" customHeight="1" s="244">
      <c r="A32" s="261" t="n"/>
      <c r="B32" s="536" t="n"/>
      <c r="C32" s="529" t="inlineStr">
        <is>
          <t>DÜZ BORU BASINÇ KAYBI (5)</t>
        </is>
      </c>
      <c r="D32" s="261" t="inlineStr">
        <is>
          <t>R.L (PEX 16x2,0, Blasius)</t>
        </is>
      </c>
      <c r="E32" s="259" t="n"/>
      <c r="F32" s="542" t="n">
        <v>1694</v>
      </c>
      <c r="G32" s="542" t="n">
        <v>1782</v>
      </c>
      <c r="H32" s="542" t="n">
        <v>2847</v>
      </c>
      <c r="I32" s="542" t="n">
        <v>1292</v>
      </c>
      <c r="J32" s="542" t="n">
        <v>1404</v>
      </c>
      <c r="K32" s="542" t="n">
        <v>102</v>
      </c>
      <c r="L32" s="542" t="n">
        <v>130</v>
      </c>
      <c r="M32" s="542" t="n">
        <v>419</v>
      </c>
      <c r="N32" s="542" t="n">
        <v>460</v>
      </c>
      <c r="O32" s="542" t="n">
        <v>398</v>
      </c>
      <c r="P32" s="542" t="n">
        <v>402</v>
      </c>
      <c r="Q32" s="542" t="n">
        <v>591</v>
      </c>
      <c r="R32" s="542" t="n">
        <v>649</v>
      </c>
      <c r="S32" s="542" t="n">
        <v>25</v>
      </c>
      <c r="T32" s="542" t="n">
        <v>160</v>
      </c>
      <c r="U32" s="542" t="n">
        <v>608</v>
      </c>
      <c r="V32" s="542" t="n">
        <v>672</v>
      </c>
      <c r="W32" s="542" t="n">
        <v>410</v>
      </c>
      <c r="X32" s="542" t="n">
        <v>412</v>
      </c>
      <c r="Y32" s="542" t="n">
        <v>378</v>
      </c>
      <c r="Z32" s="542" t="n">
        <v>416</v>
      </c>
      <c r="AA32" s="542" t="n">
        <v>24</v>
      </c>
      <c r="AB32" s="542" t="n">
        <v>146</v>
      </c>
      <c r="AC32" s="542" t="n">
        <v>926</v>
      </c>
      <c r="AD32" s="542" t="n">
        <v>948</v>
      </c>
      <c r="AE32" s="542" t="n">
        <v>3106</v>
      </c>
      <c r="AF32" s="542" t="n">
        <v>727</v>
      </c>
      <c r="AG32" s="542" t="n">
        <v>787</v>
      </c>
      <c r="AH32" s="542" t="n">
        <v>102</v>
      </c>
      <c r="AI32" s="542" t="n">
        <v>205</v>
      </c>
      <c r="AJ32" s="566" t="n"/>
      <c r="AK32" s="566" t="n"/>
      <c r="AL32" s="566" t="n"/>
      <c r="AM32" s="566" t="n"/>
      <c r="AN32" s="566" t="n"/>
      <c r="AO32" s="566" t="n"/>
      <c r="AP32" s="566" t="n"/>
      <c r="AQ32" s="566" t="n"/>
      <c r="AR32" s="566" t="n"/>
      <c r="AS32" s="566" t="n"/>
      <c r="AT32" s="566" t="n"/>
      <c r="AU32" s="566" t="n"/>
      <c r="AV32" s="566" t="n"/>
      <c r="AW32" s="566" t="n"/>
    </row>
    <row r="33" ht="12" customHeight="1" s="244">
      <c r="A33" s="261" t="n"/>
      <c r="B33" s="536" t="n"/>
      <c r="C33" s="529" t="n"/>
      <c r="D33" s="261" t="n"/>
      <c r="E33" s="259" t="n"/>
      <c r="F33" s="531">
        <f>F32*0.05</f>
        <v/>
      </c>
      <c r="G33" s="531">
        <f>G32*0.05</f>
        <v/>
      </c>
      <c r="H33" s="531">
        <f>H32*0.05</f>
        <v/>
      </c>
      <c r="I33" s="531">
        <f>I32*0.05</f>
        <v/>
      </c>
      <c r="J33" s="531">
        <f>J32*0.05</f>
        <v/>
      </c>
      <c r="K33" s="531">
        <f>K32*0.05</f>
        <v/>
      </c>
      <c r="L33" s="531">
        <f>L32*0.05</f>
        <v/>
      </c>
      <c r="M33" s="531">
        <f>M32*0.05</f>
        <v/>
      </c>
      <c r="N33" s="531">
        <f>N32*0.05</f>
        <v/>
      </c>
      <c r="O33" s="531">
        <f>O32*0.05</f>
        <v/>
      </c>
      <c r="P33" s="531">
        <f>P32*0.05</f>
        <v/>
      </c>
      <c r="Q33" s="531">
        <f>Q32*0.05</f>
        <v/>
      </c>
      <c r="R33" s="531">
        <f>R32*0.05</f>
        <v/>
      </c>
      <c r="S33" s="531">
        <f>S32*0.05</f>
        <v/>
      </c>
      <c r="T33" s="531">
        <f>T32*0.05</f>
        <v/>
      </c>
      <c r="U33" s="531">
        <f>U32*0.05</f>
        <v/>
      </c>
      <c r="V33" s="531">
        <f>V32*0.05</f>
        <v/>
      </c>
      <c r="W33" s="531">
        <f>W32*0.05</f>
        <v/>
      </c>
      <c r="X33" s="531">
        <f>X32*0.05</f>
        <v/>
      </c>
      <c r="Y33" s="531">
        <f>Y32*0.05</f>
        <v/>
      </c>
      <c r="Z33" s="531">
        <f>Z32*0.05</f>
        <v/>
      </c>
      <c r="AA33" s="531">
        <f>AA32*0.05</f>
        <v/>
      </c>
      <c r="AB33" s="531">
        <f>AB32*0.05</f>
        <v/>
      </c>
      <c r="AC33" s="531">
        <f>AC32*0.05</f>
        <v/>
      </c>
      <c r="AD33" s="531">
        <f>AD32*0.05</f>
        <v/>
      </c>
      <c r="AE33" s="531">
        <f>AE32*0.05</f>
        <v/>
      </c>
      <c r="AF33" s="531">
        <f>AF32*0.05</f>
        <v/>
      </c>
      <c r="AG33" s="531">
        <f>AG32*0.05</f>
        <v/>
      </c>
      <c r="AH33" s="531">
        <f>AH32*0.05</f>
        <v/>
      </c>
      <c r="AI33" s="531">
        <f>AI32*0.05</f>
        <v/>
      </c>
      <c r="AJ33" s="259" t="n"/>
      <c r="AK33" s="259" t="n"/>
      <c r="AL33" s="259" t="n"/>
      <c r="AM33" s="259" t="n"/>
      <c r="AN33" s="259" t="n"/>
      <c r="AO33" s="259" t="n"/>
      <c r="AP33" s="259" t="n"/>
      <c r="AQ33" s="259" t="n"/>
      <c r="AR33" s="259" t="n"/>
      <c r="AS33" s="259" t="n"/>
      <c r="AT33" s="259" t="n"/>
      <c r="AU33" s="259" t="n"/>
      <c r="AV33" s="259" t="n"/>
      <c r="AW33" s="259" t="n"/>
    </row>
    <row r="34" ht="12" customHeight="1" s="244">
      <c r="A34" s="261" t="n"/>
      <c r="B34" s="536" t="n"/>
      <c r="C34" s="529" t="n"/>
      <c r="D34" s="261" t="n"/>
      <c r="E34" s="259" t="n"/>
      <c r="F34" s="531">
        <f>F32+F33</f>
        <v/>
      </c>
      <c r="G34" s="531">
        <f>G32+G33</f>
        <v/>
      </c>
      <c r="H34" s="531">
        <f>H32+H33</f>
        <v/>
      </c>
      <c r="I34" s="531">
        <f>I32+I33</f>
        <v/>
      </c>
      <c r="J34" s="531">
        <f>J32+J33</f>
        <v/>
      </c>
      <c r="K34" s="531">
        <f>K32+K33</f>
        <v/>
      </c>
      <c r="L34" s="531">
        <f>L32+L33</f>
        <v/>
      </c>
      <c r="M34" s="531">
        <f>M32+M33</f>
        <v/>
      </c>
      <c r="N34" s="531">
        <f>N32+N33</f>
        <v/>
      </c>
      <c r="O34" s="531">
        <f>O32+O33</f>
        <v/>
      </c>
      <c r="P34" s="531">
        <f>P32+P33</f>
        <v/>
      </c>
      <c r="Q34" s="531">
        <f>Q32+Q33</f>
        <v/>
      </c>
      <c r="R34" s="531">
        <f>R32+R33</f>
        <v/>
      </c>
      <c r="S34" s="531">
        <f>S32+S33</f>
        <v/>
      </c>
      <c r="T34" s="531">
        <f>T32+T33</f>
        <v/>
      </c>
      <c r="U34" s="531">
        <f>U32+U33</f>
        <v/>
      </c>
      <c r="V34" s="531">
        <f>V32+V33</f>
        <v/>
      </c>
      <c r="W34" s="531">
        <f>W32+W33</f>
        <v/>
      </c>
      <c r="X34" s="531">
        <f>X32+X33</f>
        <v/>
      </c>
      <c r="Y34" s="531">
        <f>Y32+Y33</f>
        <v/>
      </c>
      <c r="Z34" s="531">
        <f>Z32+Z33</f>
        <v/>
      </c>
      <c r="AA34" s="531">
        <f>AA32+AA33</f>
        <v/>
      </c>
      <c r="AB34" s="531">
        <f>AB32+AB33</f>
        <v/>
      </c>
      <c r="AC34" s="531">
        <f>AC32+AC33</f>
        <v/>
      </c>
      <c r="AD34" s="531">
        <f>AD32+AD33</f>
        <v/>
      </c>
      <c r="AE34" s="531">
        <f>AE32+AE33</f>
        <v/>
      </c>
      <c r="AF34" s="531">
        <f>AF32+AF33</f>
        <v/>
      </c>
      <c r="AG34" s="531">
        <f>AG32+AG33</f>
        <v/>
      </c>
      <c r="AH34" s="531">
        <f>AH32+AH33</f>
        <v/>
      </c>
      <c r="AI34" s="531">
        <f>AI32+AI33</f>
        <v/>
      </c>
      <c r="AJ34" s="259" t="n"/>
      <c r="AK34" s="259" t="n"/>
      <c r="AL34" s="259" t="n"/>
      <c r="AM34" s="259" t="n"/>
      <c r="AN34" s="259" t="n"/>
      <c r="AO34" s="259" t="n"/>
      <c r="AP34" s="259" t="n"/>
      <c r="AQ34" s="259" t="n"/>
      <c r="AR34" s="259" t="n"/>
      <c r="AS34" s="259" t="n"/>
      <c r="AT34" s="259" t="n"/>
      <c r="AU34" s="259" t="n"/>
      <c r="AV34" s="259" t="n"/>
      <c r="AW34" s="259" t="n"/>
    </row>
    <row r="35" ht="12" customHeight="1" s="244">
      <c r="A35" s="261" t="n"/>
      <c r="B35" s="536" t="n"/>
      <c r="C35" s="282" t="n"/>
      <c r="D35" s="261" t="n"/>
      <c r="E35" s="259" t="n"/>
      <c r="F35" s="544">
        <f>MAX(F34:AI34)-F34</f>
        <v/>
      </c>
      <c r="G35" s="544">
        <f>MAX(F34:AI34)-G34</f>
        <v/>
      </c>
      <c r="H35" s="544">
        <f>MAX(F34:AI34)-H34</f>
        <v/>
      </c>
      <c r="I35" s="544">
        <f>MAX(F34:AI34)-I34</f>
        <v/>
      </c>
      <c r="J35" s="544">
        <f>MAX(F34:AI34)-J34</f>
        <v/>
      </c>
      <c r="K35" s="544">
        <f>MAX(F34:AI34)-K34</f>
        <v/>
      </c>
      <c r="L35" s="544">
        <f>MAX(F34:AI34)-L34</f>
        <v/>
      </c>
      <c r="M35" s="544">
        <f>MAX(F34:AI34)-M34</f>
        <v/>
      </c>
      <c r="N35" s="544">
        <f>MAX(F34:AI34)-N34</f>
        <v/>
      </c>
      <c r="O35" s="544">
        <f>MAX(F34:AI34)-O34</f>
        <v/>
      </c>
      <c r="P35" s="544">
        <f>MAX(F34:AI34)-P34</f>
        <v/>
      </c>
      <c r="Q35" s="544">
        <f>MAX(F34:AI34)-Q34</f>
        <v/>
      </c>
      <c r="R35" s="544">
        <f>MAX(F34:AI34)-R34</f>
        <v/>
      </c>
      <c r="S35" s="544">
        <f>MAX(F34:AI34)-S34</f>
        <v/>
      </c>
      <c r="T35" s="544">
        <f>MAX(F34:AI34)-T34</f>
        <v/>
      </c>
      <c r="U35" s="544">
        <f>MAX(F34:AI34)-U34</f>
        <v/>
      </c>
      <c r="V35" s="544">
        <f>MAX(F34:AI34)-V34</f>
        <v/>
      </c>
      <c r="W35" s="544">
        <f>MAX(F34:AI34)-W34</f>
        <v/>
      </c>
      <c r="X35" s="544">
        <f>MAX(F34:AI34)-X34</f>
        <v/>
      </c>
      <c r="Y35" s="544">
        <f>MAX(F34:AI34)-Y34</f>
        <v/>
      </c>
      <c r="Z35" s="544">
        <f>MAX(F34:AI34)-Z34</f>
        <v/>
      </c>
      <c r="AA35" s="544">
        <f>MAX(F34:AI34)-AA34</f>
        <v/>
      </c>
      <c r="AB35" s="544">
        <f>MAX(F34:AI34)-AB34</f>
        <v/>
      </c>
      <c r="AC35" s="544">
        <f>MAX(F34:AI34)-AC34</f>
        <v/>
      </c>
      <c r="AD35" s="544">
        <f>MAX(F34:AI34)-AD34</f>
        <v/>
      </c>
      <c r="AE35" s="544">
        <f>MAX(F34:AI34)-AE34</f>
        <v/>
      </c>
      <c r="AF35" s="544">
        <f>MAX(F34:AI34)-AF34</f>
        <v/>
      </c>
      <c r="AG35" s="544">
        <f>MAX(F34:AI34)-AG34</f>
        <v/>
      </c>
      <c r="AH35" s="544">
        <f>MAX(F34:AI34)-AH34</f>
        <v/>
      </c>
      <c r="AI35" s="544">
        <f>MAX(F34:AI34)-AI34</f>
        <v/>
      </c>
      <c r="AJ35" s="569" t="n"/>
      <c r="AK35" s="569" t="n"/>
      <c r="AL35" s="569" t="n"/>
      <c r="AM35" s="569" t="n"/>
      <c r="AN35" s="569" t="n"/>
      <c r="AO35" s="569" t="n"/>
      <c r="AP35" s="569" t="n"/>
      <c r="AQ35" s="569" t="n"/>
      <c r="AR35" s="569" t="n"/>
      <c r="AS35" s="569" t="n"/>
      <c r="AT35" s="569" t="n"/>
      <c r="AU35" s="569" t="n"/>
      <c r="AV35" s="569" t="n"/>
      <c r="AW35" s="569" t="n"/>
    </row>
    <row r="36" ht="18" customHeight="1" s="244">
      <c r="D36" s="266" t="inlineStr">
        <is>
          <t>Δpmax = 9828 Pa</t>
        </is>
      </c>
      <c r="F36" s="243" t="inlineStr">
        <is>
          <t>BASINÇ AYARLI KOLLEKTÖRDEN HERBİR</t>
        </is>
      </c>
    </row>
    <row r="37" ht="18" customHeight="1" s="244">
      <c r="F37" s="243" t="inlineStr">
        <is>
          <t>HATTA GİDEN BASINÇ BU BASINÇ DEĞERLERİNE</t>
        </is>
      </c>
    </row>
    <row r="38" ht="12.75" customHeight="1" s="244">
      <c r="F38" s="243" t="inlineStr">
        <is>
          <t>GÖRE AYARLANMALIDIR….</t>
        </is>
      </c>
    </row>
    <row r="39" ht="12.75" customHeight="1" s="244">
      <c r="F39" s="545" t="inlineStr">
        <is>
          <t>Δpö</t>
        </is>
      </c>
      <c r="G39" s="545" t="inlineStr">
        <is>
          <t>EK VI-14i Tablosundan q değeri m³/h çevrilir DN10 borusu için</t>
        </is>
      </c>
      <c r="H39" s="545" t="n"/>
      <c r="I39" s="545" t="n"/>
    </row>
    <row r="40" ht="12.75" customHeight="1" s="244">
      <c r="A40" s="546" t="inlineStr">
        <is>
          <t xml:space="preserve"> (1)</t>
        </is>
      </c>
      <c r="B40" s="243" t="inlineStr">
        <is>
          <t>Şek. 19.7.1 den seçilmiştir.</t>
        </is>
      </c>
      <c r="F40" s="545" t="n"/>
      <c r="G40" s="545" t="inlineStr">
        <is>
          <t>R (Pa/m) 1metre borudaki basın. Kaybı bulunur..</t>
        </is>
      </c>
      <c r="H40" s="545" t="n"/>
      <c r="I40" s="545" t="n"/>
    </row>
    <row r="41" ht="12.75" customHeight="1" s="244">
      <c r="A41" s="546" t="inlineStr">
        <is>
          <t xml:space="preserve"> (2)</t>
        </is>
      </c>
      <c r="B41" s="243" t="inlineStr">
        <is>
          <t>Kombi gidiş suyu sıcaklığı 45 °C, dönüş 35 °C (ortalama 40 °C) seçilmiştir.</t>
        </is>
      </c>
      <c r="F41" s="545" t="n"/>
      <c r="G41" s="545" t="inlineStr">
        <is>
          <t xml:space="preserve">toplam boru boyu ile çarpımından Δpö (Pa) bulunur.  </t>
        </is>
      </c>
      <c r="H41" s="545" t="n"/>
      <c r="I41" s="545" t="n"/>
    </row>
    <row r="42" ht="12.75" customHeight="1" s="244">
      <c r="A42" s="546" t="inlineStr">
        <is>
          <t xml:space="preserve"> (3)</t>
        </is>
      </c>
      <c r="B42" s="243" t="inlineStr">
        <is>
          <t>Ortalama su sıcaklığı 45/35 °C rejimine göre 40 °C alınmıştır.</t>
        </is>
      </c>
    </row>
    <row r="43" ht="12.75" customHeight="1" s="244">
      <c r="A43" s="546" t="inlineStr">
        <is>
          <t xml:space="preserve"> (4)</t>
        </is>
      </c>
      <c r="B43" s="243" t="inlineStr">
        <is>
          <t>Alta geçen ısı 0,2 q" olarak alınmıştır (1. katın altı klimalı dükkân, 2. katın altı ısıtılan ofis).</t>
        </is>
      </c>
    </row>
    <row r="44" ht="12.75" customHeight="1" s="244">
      <c r="A44" s="546" t="inlineStr">
        <is>
          <t xml:space="preserve"> (5)</t>
        </is>
      </c>
      <c r="B44" s="243" t="inlineStr">
        <is>
          <t>R (Pa/m): PEX 16x2,0 (iç çap 12 mm), Blasius bağıntısı ile hesaplanmıştır.</t>
        </is>
      </c>
    </row>
    <row r="45" ht="12.75" customHeight="1" s="244">
      <c r="A45" s="546" t="inlineStr">
        <is>
          <t xml:space="preserve"> (6)</t>
        </is>
      </c>
      <c r="B45" s="243" t="inlineStr">
        <is>
          <t>kollektörden sonraki özel basınç kayıpları, düz boru kayıpları yanında çok küçük olduğundan düz boru basınç kaybının % 5 i kabul edilmiştir.</t>
        </is>
      </c>
    </row>
    <row r="46" ht="12.75" customHeight="1" s="244">
      <c r="A46" s="546" t="inlineStr">
        <is>
          <t xml:space="preserve"> (7)</t>
        </is>
      </c>
      <c r="B46" s="243" t="inlineStr">
        <is>
          <t>Isıtma devrelerinin basıncı kollektördeki debimetreli reglaj vanası ile ayarlanmalıdır.</t>
        </is>
      </c>
    </row>
    <row r="47" ht="12.75" customHeight="1" s="244">
      <c r="A47" s="547" t="n"/>
    </row>
  </sheetData>
  <mergeCells count="7">
    <mergeCell ref="E3:Y4"/>
    <mergeCell ref="A2:B5"/>
    <mergeCell ref="E2:Y2"/>
    <mergeCell ref="C2:C5"/>
    <mergeCell ref="A1:O1"/>
    <mergeCell ref="D3:D4"/>
    <mergeCell ref="D5:J5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68"/>
  <sheetViews>
    <sheetView workbookViewId="0">
      <selection activeCell="A1" sqref="A1"/>
    </sheetView>
  </sheetViews>
  <sheetFormatPr baseColWidth="8" defaultRowHeight="15"/>
  <cols>
    <col width="24" customWidth="1" style="244" min="1" max="1"/>
    <col width="8" customWidth="1" style="244" min="2" max="2"/>
    <col width="12" customWidth="1" style="244" min="3" max="3"/>
    <col width="14" customWidth="1" style="244" min="4" max="4"/>
    <col width="14" customWidth="1" style="244" min="5" max="5"/>
    <col width="14" customWidth="1" style="244" min="6" max="6"/>
    <col width="30" customWidth="1" style="244" min="7" max="7"/>
  </cols>
  <sheetData>
    <row r="1">
      <c r="A1" s="570" t="inlineStr">
        <is>
          <t>DUVAR TİPİ SPLİT KLİMA ISI KAZANCI HESABI VE CİHAZ SEÇİMİ</t>
        </is>
      </c>
    </row>
    <row r="2">
      <c r="A2" s="571" t="inlineStr">
        <is>
          <t>Yöntem: CLTD / SHGF basit yöntem (TS 2164 - ASHRAE esaslı).  Dış 34 °C KT / 24 °C YT (Sakarya), iç 26 °C %50</t>
        </is>
      </c>
    </row>
    <row r="3">
      <c r="A3" s="572" t="inlineStr">
        <is>
          <t>PROJE : EMİNE TUNCE'YE AİT İŞ YERİ (SERDİVAN YAZLIK MAH. 5799 PARSEL)</t>
        </is>
      </c>
    </row>
    <row r="4">
      <c r="A4" s="572" t="inlineStr">
        <is>
          <t>ROTAŞ MÜHENDİSLİK - Mak. Müh. Bayram GENÇ</t>
        </is>
      </c>
    </row>
    <row r="6">
      <c r="A6" s="573" t="inlineStr">
        <is>
          <t>SABİTLER</t>
        </is>
      </c>
      <c r="B6" s="574" t="n"/>
      <c r="C6" s="574" t="n"/>
      <c r="D6" s="574" t="n"/>
      <c r="E6" s="574" t="n"/>
      <c r="F6" s="574" t="n"/>
      <c r="G6" s="575" t="n"/>
    </row>
    <row r="7">
      <c r="A7" s="576" t="inlineStr">
        <is>
          <t>Dış duvar U (W/m²K)</t>
        </is>
      </c>
      <c r="D7" s="577" t="n">
        <v>0.4</v>
      </c>
    </row>
    <row r="8">
      <c r="A8" s="576" t="inlineStr">
        <is>
          <t>Cam U (W/m²K)</t>
        </is>
      </c>
      <c r="D8" s="577" t="n">
        <v>1.8</v>
      </c>
    </row>
    <row r="9">
      <c r="A9" s="576" t="inlineStr">
        <is>
          <t>Cam gölgeleme katsayısı SC</t>
        </is>
      </c>
      <c r="D9" s="577" t="n">
        <v>0.55</v>
      </c>
    </row>
    <row r="10">
      <c r="A10" s="576" t="inlineStr">
        <is>
          <t>Cam soğutma yük faktörü CLF</t>
        </is>
      </c>
      <c r="D10" s="577" t="n">
        <v>0.8</v>
      </c>
    </row>
    <row r="11">
      <c r="A11" s="576" t="inlineStr">
        <is>
          <t>Dış kuru termometre (°C)</t>
        </is>
      </c>
      <c r="D11" s="577" t="n">
        <v>34</v>
      </c>
    </row>
    <row r="12">
      <c r="A12" s="576" t="inlineStr">
        <is>
          <t>İç sıcaklık (°C)</t>
        </is>
      </c>
      <c r="D12" s="577" t="n">
        <v>26</v>
      </c>
    </row>
    <row r="13">
      <c r="A13" s="576" t="inlineStr">
        <is>
          <t>Dış mutlak nem (kg/kg)</t>
        </is>
      </c>
      <c r="D13" s="577" t="n">
        <v>0.01472469675316702</v>
      </c>
    </row>
    <row r="14">
      <c r="A14" s="576" t="inlineStr">
        <is>
          <t>İç mutlak nem (kg/kg)</t>
        </is>
      </c>
      <c r="D14" s="577" t="n">
        <v>0.01053515721774504</v>
      </c>
    </row>
    <row r="15">
      <c r="A15" s="576" t="inlineStr">
        <is>
          <t>m² / kişi</t>
        </is>
      </c>
      <c r="D15" s="577" t="n">
        <v>8</v>
      </c>
    </row>
    <row r="16">
      <c r="A16" s="576" t="inlineStr">
        <is>
          <t>Kişi duyulur (W)</t>
        </is>
      </c>
      <c r="D16" s="577" t="n">
        <v>75</v>
      </c>
    </row>
    <row r="17">
      <c r="A17" s="576" t="inlineStr">
        <is>
          <t>Kişi gizli (W)</t>
        </is>
      </c>
      <c r="D17" s="577" t="n">
        <v>55</v>
      </c>
    </row>
    <row r="18">
      <c r="A18" s="576" t="inlineStr">
        <is>
          <t>Aydınlatma (W/m²)</t>
        </is>
      </c>
      <c r="D18" s="577" t="n">
        <v>12</v>
      </c>
    </row>
    <row r="19">
      <c r="A19" s="576" t="inlineStr">
        <is>
          <t>Cihaz (W/m²)</t>
        </is>
      </c>
      <c r="D19" s="577" t="n">
        <v>8</v>
      </c>
    </row>
    <row r="20">
      <c r="A20" s="576" t="inlineStr">
        <is>
          <t>Taze hava (l/s.kişi)</t>
        </is>
      </c>
      <c r="D20" s="577" t="n">
        <v>8</v>
      </c>
    </row>
    <row r="21">
      <c r="A21" s="576" t="inlineStr">
        <is>
          <t>Emniyet katsayısı</t>
        </is>
      </c>
      <c r="D21" s="577" t="n">
        <v>1.1</v>
      </c>
    </row>
    <row r="23">
      <c r="A23" s="573" t="inlineStr">
        <is>
          <t>YÖNLERE GÖRE CLTD (K) / MAKS. GÜNEŞ KAZANCI (W/m²)</t>
        </is>
      </c>
      <c r="B23" s="574" t="n"/>
      <c r="C23" s="574" t="n"/>
      <c r="D23" s="574" t="n"/>
      <c r="E23" s="574" t="n"/>
      <c r="F23" s="574" t="n"/>
      <c r="G23" s="575" t="n"/>
    </row>
    <row r="24">
      <c r="A24" s="573" t="inlineStr">
        <is>
          <t>YÖN</t>
        </is>
      </c>
      <c r="B24" s="573" t="inlineStr">
        <is>
          <t>CLTD</t>
        </is>
      </c>
      <c r="C24" s="573" t="inlineStr">
        <is>
          <t>SHG</t>
        </is>
      </c>
    </row>
    <row r="25">
      <c r="A25" s="577" t="inlineStr">
        <is>
          <t>KUZEY</t>
        </is>
      </c>
      <c r="B25" s="577" t="n">
        <v>6</v>
      </c>
      <c r="C25" s="577" t="n">
        <v>75</v>
      </c>
    </row>
    <row r="26">
      <c r="A26" s="577" t="inlineStr">
        <is>
          <t>DOĞU</t>
        </is>
      </c>
      <c r="B26" s="577" t="n">
        <v>13</v>
      </c>
      <c r="C26" s="577" t="n">
        <v>420</v>
      </c>
    </row>
    <row r="27">
      <c r="A27" s="577" t="inlineStr">
        <is>
          <t>GÜNEY</t>
        </is>
      </c>
      <c r="B27" s="577" t="n">
        <v>10</v>
      </c>
      <c r="C27" s="577" t="n">
        <v>150</v>
      </c>
    </row>
    <row r="28">
      <c r="A28" s="577" t="inlineStr">
        <is>
          <t>BATI</t>
        </is>
      </c>
      <c r="B28" s="577" t="n">
        <v>15</v>
      </c>
      <c r="C28" s="577" t="n">
        <v>450</v>
      </c>
    </row>
    <row r="30">
      <c r="A30" s="573" t="inlineStr">
        <is>
          <t>DÜKKÂN-1   (A = 100.38 m²)</t>
        </is>
      </c>
    </row>
    <row r="31">
      <c r="A31" s="573" t="inlineStr">
        <is>
          <t>KALEM</t>
        </is>
      </c>
      <c r="B31" s="573" t="inlineStr">
        <is>
          <t>YÖN</t>
        </is>
      </c>
      <c r="C31" s="573" t="inlineStr">
        <is>
          <t>ALAN / ADET</t>
        </is>
      </c>
      <c r="D31" s="573" t="inlineStr">
        <is>
          <t>U / KATSAYI</t>
        </is>
      </c>
      <c r="E31" s="573" t="inlineStr">
        <is>
          <t>ΔT / CLTD / q</t>
        </is>
      </c>
      <c r="F31" s="573" t="inlineStr">
        <is>
          <t>Q (W)</t>
        </is>
      </c>
      <c r="G31" s="573" t="inlineStr">
        <is>
          <t>AÇIKLAMA</t>
        </is>
      </c>
    </row>
    <row r="32">
      <c r="A32" s="576" t="inlineStr">
        <is>
          <t>Alan (m²)</t>
        </is>
      </c>
      <c r="C32" s="577" t="n">
        <v>100.38</v>
      </c>
    </row>
    <row r="33">
      <c r="A33" s="576" t="inlineStr">
        <is>
          <t>Kişi sayısı</t>
        </is>
      </c>
      <c r="C33" s="577">
        <f>ROUNDUP(C32/$D$15,0)</f>
        <v/>
      </c>
    </row>
    <row r="34">
      <c r="A34" s="576" t="inlineStr">
        <is>
          <t>Duvar iletim</t>
        </is>
      </c>
      <c r="B34" s="577" t="inlineStr">
        <is>
          <t>K</t>
        </is>
      </c>
      <c r="C34" s="578">
        <f>12.9*4.5-36.0</f>
        <v/>
      </c>
      <c r="D34" s="577">
        <f>$D$7</f>
        <v/>
      </c>
      <c r="E34" s="577">
        <f>$B$25</f>
        <v/>
      </c>
      <c r="F34" s="579">
        <f>C34*D34*E34</f>
        <v/>
      </c>
      <c r="G34" s="576" t="inlineStr">
        <is>
          <t>L=12.90 m, H=4.50 m</t>
        </is>
      </c>
    </row>
    <row r="35">
      <c r="A35" s="576" t="inlineStr">
        <is>
          <t>Cam iletim</t>
        </is>
      </c>
      <c r="B35" s="577" t="inlineStr">
        <is>
          <t>K</t>
        </is>
      </c>
      <c r="C35" s="578" t="n">
        <v>36</v>
      </c>
      <c r="D35" s="577">
        <f>$D$8</f>
        <v/>
      </c>
      <c r="E35" s="577">
        <f>$D$11-$D$12</f>
        <v/>
      </c>
      <c r="F35" s="579">
        <f>C35*D35*E35</f>
        <v/>
      </c>
      <c r="G35" s="576" t="inlineStr">
        <is>
          <t>12x3x1</t>
        </is>
      </c>
    </row>
    <row r="36">
      <c r="A36" s="576" t="inlineStr">
        <is>
          <t>Cam güneş</t>
        </is>
      </c>
      <c r="B36" s="577" t="inlineStr">
        <is>
          <t>K</t>
        </is>
      </c>
      <c r="C36" s="578" t="n">
        <v>36</v>
      </c>
      <c r="D36" s="578">
        <f>$D$9*$D$10</f>
        <v/>
      </c>
      <c r="E36" s="577">
        <f>$C$25</f>
        <v/>
      </c>
      <c r="F36" s="579">
        <f>C36*D36*E36</f>
        <v/>
      </c>
      <c r="G36" s="576" t="inlineStr">
        <is>
          <t>SC x CLF x SHG</t>
        </is>
      </c>
    </row>
    <row r="37">
      <c r="A37" s="576" t="inlineStr">
        <is>
          <t>Duvar iletim</t>
        </is>
      </c>
      <c r="B37" s="577" t="inlineStr">
        <is>
          <t>G</t>
        </is>
      </c>
      <c r="C37" s="578">
        <f>13.4*4.5-0</f>
        <v/>
      </c>
      <c r="D37" s="577">
        <f>$D$7</f>
        <v/>
      </c>
      <c r="E37" s="577">
        <f>$B$27</f>
        <v/>
      </c>
      <c r="F37" s="579">
        <f>C37*D37*E37</f>
        <v/>
      </c>
      <c r="G37" s="576" t="inlineStr">
        <is>
          <t>L=13.40 m, H=4.50 m</t>
        </is>
      </c>
    </row>
    <row r="38">
      <c r="A38" s="576" t="inlineStr">
        <is>
          <t>İnsan duyulur</t>
        </is>
      </c>
      <c r="C38" s="580">
        <f>C33</f>
        <v/>
      </c>
      <c r="D38" s="577" t="n">
        <v>1</v>
      </c>
      <c r="E38" s="577">
        <f>$D$16</f>
        <v/>
      </c>
      <c r="F38" s="579">
        <f>C38*D38*E38</f>
        <v/>
      </c>
      <c r="G38" s="576" t="inlineStr">
        <is>
          <t>kişi x W</t>
        </is>
      </c>
    </row>
    <row r="39">
      <c r="A39" s="576" t="inlineStr">
        <is>
          <t>Aydınlatma</t>
        </is>
      </c>
      <c r="C39" s="580">
        <f>C32</f>
        <v/>
      </c>
      <c r="D39" s="577" t="n">
        <v>1</v>
      </c>
      <c r="E39" s="577">
        <f>$D$18</f>
        <v/>
      </c>
      <c r="F39" s="579">
        <f>C39*D39*E39</f>
        <v/>
      </c>
      <c r="G39" s="576" t="inlineStr">
        <is>
          <t>m² x W/m²</t>
        </is>
      </c>
    </row>
    <row r="40">
      <c r="A40" s="576" t="inlineStr">
        <is>
          <t>Cihaz / ekipman</t>
        </is>
      </c>
      <c r="C40" s="580">
        <f>C32</f>
        <v/>
      </c>
      <c r="D40" s="577" t="n">
        <v>1</v>
      </c>
      <c r="E40" s="577">
        <f>$D$19</f>
        <v/>
      </c>
      <c r="F40" s="579">
        <f>C40*D40*E40</f>
        <v/>
      </c>
      <c r="G40" s="576" t="inlineStr">
        <is>
          <t>m² x W/m²</t>
        </is>
      </c>
    </row>
    <row r="41">
      <c r="A41" s="576" t="inlineStr">
        <is>
          <t>Taze hava duyulur</t>
        </is>
      </c>
      <c r="C41" s="580">
        <f>C33*$D$20/1000</f>
        <v/>
      </c>
      <c r="D41" s="577" t="n">
        <v>1207.2</v>
      </c>
      <c r="E41" s="577">
        <f>$D$11-$D$12</f>
        <v/>
      </c>
      <c r="F41" s="579">
        <f>C41*D41*E41</f>
        <v/>
      </c>
      <c r="G41" s="576" t="inlineStr">
        <is>
          <t>V(m³/s) x ρcp x ΔT</t>
        </is>
      </c>
    </row>
    <row r="42">
      <c r="A42" s="581" t="inlineStr">
        <is>
          <t>DUYULUR TOPLAM</t>
        </is>
      </c>
      <c r="F42" s="582">
        <f>SUM(F34:F41)</f>
        <v/>
      </c>
    </row>
    <row r="43">
      <c r="A43" s="576" t="inlineStr">
        <is>
          <t>İnsan gizli</t>
        </is>
      </c>
      <c r="C43" s="577">
        <f>C33</f>
        <v/>
      </c>
      <c r="D43" s="577" t="n">
        <v>1</v>
      </c>
      <c r="E43" s="577">
        <f>$D$17</f>
        <v/>
      </c>
      <c r="F43" s="579">
        <f>C43*D43*E43</f>
        <v/>
      </c>
    </row>
    <row r="44">
      <c r="A44" s="576" t="inlineStr">
        <is>
          <t>Taze hava gizli</t>
        </is>
      </c>
      <c r="C44" s="580">
        <f>C33*$D$20/1000</f>
        <v/>
      </c>
      <c r="D44" s="577" t="n">
        <v>3001200</v>
      </c>
      <c r="E44" s="583">
        <f>$D$13-$D$14</f>
        <v/>
      </c>
      <c r="F44" s="579">
        <f>C44*D44*E44</f>
        <v/>
      </c>
      <c r="G44" s="576" t="inlineStr">
        <is>
          <t>V x ρ x hfg x Δw</t>
        </is>
      </c>
    </row>
    <row r="45">
      <c r="A45" s="581" t="inlineStr">
        <is>
          <t>GİZLİ TOPLAM</t>
        </is>
      </c>
      <c r="F45" s="582">
        <f>SUM(F43:F44)</f>
        <v/>
      </c>
    </row>
    <row r="46">
      <c r="A46" s="573" t="inlineStr">
        <is>
          <t>TOPLAM ISI KAZANCI (x emniyet)</t>
        </is>
      </c>
      <c r="F46" s="584">
        <f>(F42+F45)*$D$21</f>
        <v/>
      </c>
      <c r="G46" s="576">
        <f>TEXT(F46/1000,"0.00")&amp;" kW  =  "&amp;TEXT(F46*3.412,"0")&amp;" BTU/h"</f>
        <v/>
      </c>
    </row>
    <row r="47">
      <c r="A47" s="581" t="inlineStr">
        <is>
          <t>ISI KAYBI (TS 825, -6 °C)</t>
        </is>
      </c>
      <c r="F47" s="582" t="n">
        <v>4292.4</v>
      </c>
      <c r="G47" s="576" t="inlineStr">
        <is>
          <t>ZEMİN sayfası ile aynı yöntem</t>
        </is>
      </c>
    </row>
    <row r="48">
      <c r="A48" s="573" t="inlineStr">
        <is>
          <t>SEÇİLEN CİHAZ</t>
        </is>
      </c>
      <c r="C48" s="577" t="n">
        <v>2</v>
      </c>
      <c r="D48" s="577" t="inlineStr">
        <is>
          <t>adet x</t>
        </is>
      </c>
      <c r="E48" s="577" t="n">
        <v>18000</v>
      </c>
      <c r="F48" s="579">
        <f>C48*5.28*1000</f>
        <v/>
      </c>
      <c r="G48" s="576">
        <f>IF(AND(F48&gt;=F46,F48*1.1&gt;=F47),"UYGUN - inverter duvar tipi split (soğutma/ısıtma)","KONTROL")</f>
        <v/>
      </c>
    </row>
    <row r="50">
      <c r="A50" s="573" t="inlineStr">
        <is>
          <t>DÜKKÂN-2   (A = 105.71 m²)</t>
        </is>
      </c>
    </row>
    <row r="51">
      <c r="A51" s="573" t="inlineStr">
        <is>
          <t>KALEM</t>
        </is>
      </c>
      <c r="B51" s="573" t="inlineStr">
        <is>
          <t>YÖN</t>
        </is>
      </c>
      <c r="C51" s="573" t="inlineStr">
        <is>
          <t>ALAN / ADET</t>
        </is>
      </c>
      <c r="D51" s="573" t="inlineStr">
        <is>
          <t>U / KATSAYI</t>
        </is>
      </c>
      <c r="E51" s="573" t="inlineStr">
        <is>
          <t>ΔT / CLTD / q</t>
        </is>
      </c>
      <c r="F51" s="573" t="inlineStr">
        <is>
          <t>Q (W)</t>
        </is>
      </c>
      <c r="G51" s="573" t="inlineStr">
        <is>
          <t>AÇIKLAMA</t>
        </is>
      </c>
    </row>
    <row r="52">
      <c r="A52" s="576" t="inlineStr">
        <is>
          <t>Alan (m²)</t>
        </is>
      </c>
      <c r="C52" s="577" t="n">
        <v>105.71</v>
      </c>
    </row>
    <row r="53">
      <c r="A53" s="576" t="inlineStr">
        <is>
          <t>Kişi sayısı</t>
        </is>
      </c>
      <c r="C53" s="577">
        <f>ROUNDUP(C52/$D$15,0)</f>
        <v/>
      </c>
    </row>
    <row r="54">
      <c r="A54" s="576" t="inlineStr">
        <is>
          <t>Duvar iletim</t>
        </is>
      </c>
      <c r="B54" s="577" t="inlineStr">
        <is>
          <t>K</t>
        </is>
      </c>
      <c r="C54" s="578">
        <f>15.0*4.5-42.0</f>
        <v/>
      </c>
      <c r="D54" s="577">
        <f>$D$7</f>
        <v/>
      </c>
      <c r="E54" s="577">
        <f>$B$25</f>
        <v/>
      </c>
      <c r="F54" s="579">
        <f>C54*D54*E54</f>
        <v/>
      </c>
      <c r="G54" s="576" t="inlineStr">
        <is>
          <t>L=15.00 m, H=4.50 m</t>
        </is>
      </c>
    </row>
    <row r="55">
      <c r="A55" s="576" t="inlineStr">
        <is>
          <t>Cam iletim</t>
        </is>
      </c>
      <c r="B55" s="577" t="inlineStr">
        <is>
          <t>K</t>
        </is>
      </c>
      <c r="C55" s="578" t="n">
        <v>42</v>
      </c>
      <c r="D55" s="577">
        <f>$D$8</f>
        <v/>
      </c>
      <c r="E55" s="577">
        <f>$D$11-$D$12</f>
        <v/>
      </c>
      <c r="F55" s="579">
        <f>C55*D55*E55</f>
        <v/>
      </c>
      <c r="G55" s="576" t="inlineStr">
        <is>
          <t>14x3x1</t>
        </is>
      </c>
    </row>
    <row r="56">
      <c r="A56" s="576" t="inlineStr">
        <is>
          <t>Cam güneş</t>
        </is>
      </c>
      <c r="B56" s="577" t="inlineStr">
        <is>
          <t>K</t>
        </is>
      </c>
      <c r="C56" s="578" t="n">
        <v>42</v>
      </c>
      <c r="D56" s="578">
        <f>$D$9*$D$10</f>
        <v/>
      </c>
      <c r="E56" s="577">
        <f>$C$25</f>
        <v/>
      </c>
      <c r="F56" s="579">
        <f>C56*D56*E56</f>
        <v/>
      </c>
      <c r="G56" s="576" t="inlineStr">
        <is>
          <t>SC x CLF x SHG</t>
        </is>
      </c>
    </row>
    <row r="57">
      <c r="A57" s="576" t="inlineStr">
        <is>
          <t>Duvar iletim</t>
        </is>
      </c>
      <c r="B57" s="577" t="inlineStr">
        <is>
          <t>G</t>
        </is>
      </c>
      <c r="C57" s="578">
        <f>10.5*4.5-0</f>
        <v/>
      </c>
      <c r="D57" s="577">
        <f>$D$7</f>
        <v/>
      </c>
      <c r="E57" s="577">
        <f>$B$27</f>
        <v/>
      </c>
      <c r="F57" s="579">
        <f>C57*D57*E57</f>
        <v/>
      </c>
      <c r="G57" s="576" t="inlineStr">
        <is>
          <t>L=10.50 m, H=4.50 m</t>
        </is>
      </c>
    </row>
    <row r="58">
      <c r="A58" s="576" t="inlineStr">
        <is>
          <t>İnsan duyulur</t>
        </is>
      </c>
      <c r="C58" s="580">
        <f>C53</f>
        <v/>
      </c>
      <c r="D58" s="577" t="n">
        <v>1</v>
      </c>
      <c r="E58" s="577">
        <f>$D$16</f>
        <v/>
      </c>
      <c r="F58" s="579">
        <f>C58*D58*E58</f>
        <v/>
      </c>
      <c r="G58" s="576" t="inlineStr">
        <is>
          <t>kişi x W</t>
        </is>
      </c>
    </row>
    <row r="59">
      <c r="A59" s="576" t="inlineStr">
        <is>
          <t>Aydınlatma</t>
        </is>
      </c>
      <c r="C59" s="580">
        <f>C52</f>
        <v/>
      </c>
      <c r="D59" s="577" t="n">
        <v>1</v>
      </c>
      <c r="E59" s="577">
        <f>$D$18</f>
        <v/>
      </c>
      <c r="F59" s="579">
        <f>C59*D59*E59</f>
        <v/>
      </c>
      <c r="G59" s="576" t="inlineStr">
        <is>
          <t>m² x W/m²</t>
        </is>
      </c>
    </row>
    <row r="60">
      <c r="A60" s="576" t="inlineStr">
        <is>
          <t>Cihaz / ekipman</t>
        </is>
      </c>
      <c r="C60" s="580">
        <f>C52</f>
        <v/>
      </c>
      <c r="D60" s="577" t="n">
        <v>1</v>
      </c>
      <c r="E60" s="577">
        <f>$D$19</f>
        <v/>
      </c>
      <c r="F60" s="579">
        <f>C60*D60*E60</f>
        <v/>
      </c>
      <c r="G60" s="576" t="inlineStr">
        <is>
          <t>m² x W/m²</t>
        </is>
      </c>
    </row>
    <row r="61">
      <c r="A61" s="576" t="inlineStr">
        <is>
          <t>Taze hava duyulur</t>
        </is>
      </c>
      <c r="C61" s="580">
        <f>C53*$D$20/1000</f>
        <v/>
      </c>
      <c r="D61" s="577" t="n">
        <v>1207.2</v>
      </c>
      <c r="E61" s="577">
        <f>$D$11-$D$12</f>
        <v/>
      </c>
      <c r="F61" s="579">
        <f>C61*D61*E61</f>
        <v/>
      </c>
      <c r="G61" s="576" t="inlineStr">
        <is>
          <t>V(m³/s) x ρcp x ΔT</t>
        </is>
      </c>
    </row>
    <row r="62">
      <c r="A62" s="581" t="inlineStr">
        <is>
          <t>DUYULUR TOPLAM</t>
        </is>
      </c>
      <c r="F62" s="582">
        <f>SUM(F54:F61)</f>
        <v/>
      </c>
    </row>
    <row r="63">
      <c r="A63" s="576" t="inlineStr">
        <is>
          <t>İnsan gizli</t>
        </is>
      </c>
      <c r="C63" s="577">
        <f>C53</f>
        <v/>
      </c>
      <c r="D63" s="577" t="n">
        <v>1</v>
      </c>
      <c r="E63" s="577">
        <f>$D$17</f>
        <v/>
      </c>
      <c r="F63" s="579">
        <f>C63*D63*E63</f>
        <v/>
      </c>
    </row>
    <row r="64">
      <c r="A64" s="576" t="inlineStr">
        <is>
          <t>Taze hava gizli</t>
        </is>
      </c>
      <c r="C64" s="580">
        <f>C53*$D$20/1000</f>
        <v/>
      </c>
      <c r="D64" s="577" t="n">
        <v>3001200</v>
      </c>
      <c r="E64" s="583">
        <f>$D$13-$D$14</f>
        <v/>
      </c>
      <c r="F64" s="579">
        <f>C64*D64*E64</f>
        <v/>
      </c>
      <c r="G64" s="576" t="inlineStr">
        <is>
          <t>V x ρ x hfg x Δw</t>
        </is>
      </c>
    </row>
    <row r="65">
      <c r="A65" s="581" t="inlineStr">
        <is>
          <t>GİZLİ TOPLAM</t>
        </is>
      </c>
      <c r="F65" s="582">
        <f>SUM(F63:F64)</f>
        <v/>
      </c>
    </row>
    <row r="66">
      <c r="A66" s="573" t="inlineStr">
        <is>
          <t>TOPLAM ISI KAZANCI (x emniyet)</t>
        </is>
      </c>
      <c r="F66" s="584">
        <f>(F62+F65)*$D$21</f>
        <v/>
      </c>
      <c r="G66" s="576">
        <f>TEXT(F66/1000,"0.00")&amp;" kW  =  "&amp;TEXT(F66*3.412,"0")&amp;" BTU/h"</f>
        <v/>
      </c>
    </row>
    <row r="67">
      <c r="A67" s="581" t="inlineStr">
        <is>
          <t>ISI KAYBI (TS 825, -6 °C)</t>
        </is>
      </c>
      <c r="F67" s="582" t="n">
        <v>4671.3</v>
      </c>
      <c r="G67" s="576" t="inlineStr">
        <is>
          <t>ZEMİN sayfası ile aynı yöntem</t>
        </is>
      </c>
    </row>
    <row r="68">
      <c r="A68" s="573" t="inlineStr">
        <is>
          <t>SEÇİLEN CİHAZ</t>
        </is>
      </c>
      <c r="C68" s="577" t="n">
        <v>2</v>
      </c>
      <c r="D68" s="577" t="inlineStr">
        <is>
          <t>adet x</t>
        </is>
      </c>
      <c r="E68" s="577" t="n">
        <v>18000</v>
      </c>
      <c r="F68" s="579">
        <f>C68*5.28*1000</f>
        <v/>
      </c>
      <c r="G68" s="576">
        <f>IF(AND(F68&gt;=F66,F68*1.1&gt;=F67),"UYGUN - inverter duvar tipi split (soğutma/ısıtma)","KONTROL")</f>
        <v/>
      </c>
    </row>
  </sheetData>
  <mergeCells count="23">
    <mergeCell ref="A4:G4"/>
    <mergeCell ref="A18:C18"/>
    <mergeCell ref="A21:C21"/>
    <mergeCell ref="A12:C12"/>
    <mergeCell ref="A8:C8"/>
    <mergeCell ref="A14:C14"/>
    <mergeCell ref="A17:C17"/>
    <mergeCell ref="A30:G30"/>
    <mergeCell ref="A20:C20"/>
    <mergeCell ref="A10:C10"/>
    <mergeCell ref="A13:C13"/>
    <mergeCell ref="A1:G1"/>
    <mergeCell ref="A19:C19"/>
    <mergeCell ref="A6:G6"/>
    <mergeCell ref="A9:C9"/>
    <mergeCell ref="A15:C15"/>
    <mergeCell ref="A11:C11"/>
    <mergeCell ref="A3:G3"/>
    <mergeCell ref="A50:G50"/>
    <mergeCell ref="A2:G2"/>
    <mergeCell ref="A7:C7"/>
    <mergeCell ref="A16:C16"/>
    <mergeCell ref="A23:G23"/>
  </mergeCells>
  <pageMargins left="0.75" right="0.75" top="1" bottom="1" header="0.5" footer="0.5"/>
  <pageSetup orientation="portrait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selection activeCell="A1" sqref="A1"/>
    </sheetView>
  </sheetViews>
  <sheetFormatPr baseColWidth="8" defaultRowHeight="15"/>
  <cols>
    <col width="46" customWidth="1" style="244" min="1" max="1"/>
    <col width="14" customWidth="1" style="244" min="2" max="2"/>
    <col width="10" customWidth="1" style="244" min="3" max="3"/>
    <col width="30" customWidth="1" style="244" min="4" max="4"/>
  </cols>
  <sheetData>
    <row r="1">
      <c r="A1" s="570" t="inlineStr">
        <is>
          <t>YAĞMUR SUYU İNİŞ BORUSU ÇAP HESABI</t>
        </is>
      </c>
    </row>
    <row r="2">
      <c r="A2" s="571" t="inlineStr">
        <is>
          <t>ROTAŞ yöntemi: S = P x 0,75 ; A = S / f ; D = 1,13 x √A</t>
        </is>
      </c>
    </row>
    <row r="3">
      <c r="A3" s="572" t="inlineStr">
        <is>
          <t>PROJE : EMİNE TUNCE'YE AİT İŞ YERİ (SERDİVAN YAZLIK MAH. 5799 PARSEL)</t>
        </is>
      </c>
    </row>
    <row r="4">
      <c r="A4" s="572" t="inlineStr">
        <is>
          <t>ROTAŞ MÜHENDİSLİK - Mak. Müh. Bayram GENÇ</t>
        </is>
      </c>
    </row>
    <row r="6">
      <c r="A6" s="576" t="inlineStr">
        <is>
          <t>P = Çatı (+ balkon) yatay izdüşüm alanı</t>
        </is>
      </c>
      <c r="B6" s="578" t="n">
        <v>301.57</v>
      </c>
      <c r="C6" s="577" t="inlineStr">
        <is>
          <t>m²</t>
        </is>
      </c>
    </row>
    <row r="7">
      <c r="A7" s="576" t="inlineStr">
        <is>
          <t>S = P x 0,75 / 1</t>
        </is>
      </c>
      <c r="B7" s="578">
        <f>B6*0.75</f>
        <v/>
      </c>
      <c r="C7" s="577" t="inlineStr">
        <is>
          <t>cm²</t>
        </is>
      </c>
    </row>
    <row r="8">
      <c r="A8" s="576" t="inlineStr">
        <is>
          <t>f = Yağmur iniş borusu adedi</t>
        </is>
      </c>
      <c r="B8" s="578" t="n">
        <v>4</v>
      </c>
      <c r="C8" s="577" t="inlineStr">
        <is>
          <t>adet</t>
        </is>
      </c>
    </row>
    <row r="9">
      <c r="A9" s="576" t="inlineStr">
        <is>
          <t>A = S / f</t>
        </is>
      </c>
      <c r="B9" s="578">
        <f>B7/B8</f>
        <v/>
      </c>
      <c r="C9" s="577" t="inlineStr">
        <is>
          <t>cm²</t>
        </is>
      </c>
    </row>
    <row r="10">
      <c r="A10" s="576" t="inlineStr">
        <is>
          <t>D = 1,13 x √A</t>
        </is>
      </c>
      <c r="B10" s="578">
        <f>1.13*SQRT(B9)</f>
        <v/>
      </c>
      <c r="C10" s="577" t="inlineStr">
        <is>
          <t>cm</t>
        </is>
      </c>
    </row>
    <row r="11">
      <c r="A11" s="576" t="inlineStr">
        <is>
          <t>SEÇİLEN BORU</t>
        </is>
      </c>
      <c r="B11" s="578">
        <f>IF(B10&lt;=7,"Ø70 YETERLİDİR - PROJEDE Ø100 KULLANILMIŞTIR","Ø100 UYGUNDUR")</f>
        <v/>
      </c>
      <c r="C11" s="577" t="inlineStr"/>
    </row>
    <row r="13">
      <c r="A13" s="572" t="inlineStr">
        <is>
          <t>Not: Yağmur suları pis su hattına bağlanmayacak, yağmur suyu kanalına verilecektir.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  <pageSetup orientation="portrait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workbookViewId="0">
      <selection activeCell="A1" sqref="A1"/>
    </sheetView>
  </sheetViews>
  <sheetFormatPr baseColWidth="8" defaultRowHeight="15"/>
  <cols>
    <col width="18" customWidth="1" style="244" min="1" max="1"/>
    <col width="10" customWidth="1" style="244" min="2" max="2"/>
    <col width="10" customWidth="1" style="244" min="3" max="3"/>
    <col width="11" customWidth="1" style="244" min="4" max="4"/>
    <col width="9" customWidth="1" style="244" min="5" max="5"/>
    <col width="12" customWidth="1" style="244" min="6" max="6"/>
    <col width="12" customWidth="1" style="244" min="7" max="7"/>
    <col width="11" customWidth="1" style="244" min="8" max="8"/>
    <col width="8" customWidth="1" style="244" min="9" max="9"/>
    <col width="11" customWidth="1" style="244" min="10" max="10"/>
    <col width="9" customWidth="1" style="244" min="11" max="11"/>
    <col width="14" customWidth="1" style="244" min="12" max="12"/>
  </cols>
  <sheetData>
    <row r="1">
      <c r="A1" s="570" t="inlineStr">
        <is>
          <t>KOMBİ POMPASI, GENLEŞME TANKI VE PEX KANGAL KONTROLÜ</t>
        </is>
      </c>
    </row>
    <row r="2">
      <c r="A2" s="571" t="inlineStr">
        <is>
          <t>Pompa: H = Δp(en uzun devre, Churchill, yerel kayıp x1,3) + kollektör 5 kPa ;  Genleşme: Vmin = (P2+1,013)/(P2-P1) x (0,01 V + ΔV) , 10→50 °C</t>
        </is>
      </c>
    </row>
    <row r="3">
      <c r="A3" s="572" t="inlineStr">
        <is>
          <t>PROJE : EMİNE TUNCE'YE AİT İŞ YERİ (SERDİVAN YAZLIK MAH. 5799 PARSEL)</t>
        </is>
      </c>
    </row>
    <row r="4">
      <c r="A4" s="572" t="inlineStr">
        <is>
          <t>ROTAŞ MÜHENDİSLİK - Mak. Müh. Bayram GENÇ</t>
        </is>
      </c>
    </row>
    <row r="6">
      <c r="A6" s="573" t="inlineStr">
        <is>
          <t>DAİRE</t>
        </is>
      </c>
      <c r="B6" s="573" t="inlineStr">
        <is>
          <t>YÜK (W)</t>
        </is>
      </c>
      <c r="C6" s="573" t="inlineStr">
        <is>
          <t>DEBİ (l/h)</t>
        </is>
      </c>
      <c r="D6" s="573" t="inlineStr">
        <is>
          <t>Δp maks (kPa)</t>
        </is>
      </c>
      <c r="E6" s="573" t="inlineStr">
        <is>
          <t>H (kPa)</t>
        </is>
      </c>
      <c r="F6" s="573" t="inlineStr">
        <is>
          <t>Kombi pompası (kPa)</t>
        </is>
      </c>
      <c r="G6" s="573" t="inlineStr">
        <is>
          <t>POMPA</t>
        </is>
      </c>
      <c r="H6" s="573" t="inlineStr">
        <is>
          <t>Sistem suyu (l)</t>
        </is>
      </c>
      <c r="I6" s="573" t="inlineStr">
        <is>
          <t>ΔV (l)</t>
        </is>
      </c>
      <c r="J6" s="573" t="inlineStr">
        <is>
          <t>P1 / P2 (bar)</t>
        </is>
      </c>
      <c r="K6" s="573" t="inlineStr">
        <is>
          <t>Vmin (l)</t>
        </is>
      </c>
      <c r="L6" s="573" t="inlineStr">
        <is>
          <t>TANK (kombi 8 l)</t>
        </is>
      </c>
    </row>
    <row r="7">
      <c r="A7" s="577" t="inlineStr">
        <is>
          <t>1 NK OFİS 1</t>
        </is>
      </c>
      <c r="B7" s="577" t="n">
        <v>2991</v>
      </c>
      <c r="C7" s="577" t="n">
        <v>257</v>
      </c>
      <c r="D7" s="578" t="n">
        <v>2.34</v>
      </c>
      <c r="E7" s="578">
        <f>D7+5</f>
        <v/>
      </c>
      <c r="F7" s="577" t="n">
        <v>25</v>
      </c>
      <c r="G7" s="577">
        <f>IF(E7&lt;=F7,"UYGUN","POMPA GRUBU")</f>
        <v/>
      </c>
      <c r="H7" s="577" t="n">
        <v>44.5</v>
      </c>
      <c r="I7" s="578" t="n">
        <v>0.53</v>
      </c>
      <c r="J7" s="577" t="inlineStr">
        <is>
          <t>0.5 / 2.5</t>
        </is>
      </c>
      <c r="K7" s="578">
        <f>(2.5+1.013)/(2.5-0.5)*(0.01*H7+I7)</f>
        <v/>
      </c>
      <c r="L7" s="577">
        <f>IF(K7&lt;=8,"YETERLİ","İLAVE TANK")</f>
        <v/>
      </c>
    </row>
    <row r="8">
      <c r="A8" s="577" t="inlineStr">
        <is>
          <t>1 NK OFİS 2</t>
        </is>
      </c>
      <c r="B8" s="577" t="n">
        <v>2710</v>
      </c>
      <c r="C8" s="577" t="n">
        <v>233</v>
      </c>
      <c r="D8" s="578" t="n">
        <v>0.83</v>
      </c>
      <c r="E8" s="578">
        <f>D8+5</f>
        <v/>
      </c>
      <c r="F8" s="577" t="n">
        <v>25</v>
      </c>
      <c r="G8" s="577">
        <f>IF(E8&lt;=F8,"UYGUN","POMPA GRUBU")</f>
        <v/>
      </c>
      <c r="H8" s="577" t="n">
        <v>35.1</v>
      </c>
      <c r="I8" s="578" t="n">
        <v>0.41</v>
      </c>
      <c r="J8" s="577" t="inlineStr">
        <is>
          <t>0.5 / 2.5</t>
        </is>
      </c>
      <c r="K8" s="578">
        <f>(2.5+1.013)/(2.5-0.5)*(0.01*H8+I8)</f>
        <v/>
      </c>
      <c r="L8" s="577">
        <f>IF(K8&lt;=8,"YETERLİ","İLAVE TANK")</f>
        <v/>
      </c>
    </row>
    <row r="9">
      <c r="A9" s="577" t="inlineStr">
        <is>
          <t>1 NK OFİS 3</t>
        </is>
      </c>
      <c r="B9" s="577" t="n">
        <v>2731</v>
      </c>
      <c r="C9" s="577" t="n">
        <v>235</v>
      </c>
      <c r="D9" s="578" t="n">
        <v>0.86</v>
      </c>
      <c r="E9" s="578">
        <f>D9+5</f>
        <v/>
      </c>
      <c r="F9" s="577" t="n">
        <v>25</v>
      </c>
      <c r="G9" s="577">
        <f>IF(E9&lt;=F9,"UYGUN","POMPA GRUBU")</f>
        <v/>
      </c>
      <c r="H9" s="577" t="n">
        <v>34.2</v>
      </c>
      <c r="I9" s="578" t="n">
        <v>0.4</v>
      </c>
      <c r="J9" s="577" t="inlineStr">
        <is>
          <t>0.5 / 2.5</t>
        </is>
      </c>
      <c r="K9" s="578">
        <f>(2.5+1.013)/(2.5-0.5)*(0.01*H9+I9)</f>
        <v/>
      </c>
      <c r="L9" s="577">
        <f>IF(K9&lt;=8,"YETERLİ","İLAVE TANK")</f>
        <v/>
      </c>
    </row>
    <row r="10">
      <c r="A10" s="577" t="inlineStr">
        <is>
          <t>1 NK OFİS 4</t>
        </is>
      </c>
      <c r="B10" s="577" t="n">
        <v>3018</v>
      </c>
      <c r="C10" s="577" t="n">
        <v>260</v>
      </c>
      <c r="D10" s="578" t="n">
        <v>2.94</v>
      </c>
      <c r="E10" s="578">
        <f>D10+5</f>
        <v/>
      </c>
      <c r="F10" s="577" t="n">
        <v>25</v>
      </c>
      <c r="G10" s="577">
        <f>IF(E10&lt;=F10,"UYGUN","POMPA GRUBU")</f>
        <v/>
      </c>
      <c r="H10" s="577" t="n">
        <v>43.4</v>
      </c>
      <c r="I10" s="578" t="n">
        <v>0.51</v>
      </c>
      <c r="J10" s="577" t="inlineStr">
        <is>
          <t>0.5 / 2.5</t>
        </is>
      </c>
      <c r="K10" s="578">
        <f>(2.5+1.013)/(2.5-0.5)*(0.01*H10+I10)</f>
        <v/>
      </c>
      <c r="L10" s="577">
        <f>IF(K10&lt;=8,"YETERLİ","İLAVE TANK")</f>
        <v/>
      </c>
    </row>
    <row r="11">
      <c r="A11" s="577" t="inlineStr">
        <is>
          <t>2 NK OFİS 5</t>
        </is>
      </c>
      <c r="B11" s="577" t="n">
        <v>3343</v>
      </c>
      <c r="C11" s="577" t="n">
        <v>287</v>
      </c>
      <c r="D11" s="578" t="n">
        <v>3.47</v>
      </c>
      <c r="E11" s="578">
        <f>D11+5</f>
        <v/>
      </c>
      <c r="F11" s="577" t="n">
        <v>25</v>
      </c>
      <c r="G11" s="577">
        <f>IF(E11&lt;=F11,"UYGUN","POMPA GRUBU")</f>
        <v/>
      </c>
      <c r="H11" s="577" t="n">
        <v>44.5</v>
      </c>
      <c r="I11" s="578" t="n">
        <v>0.53</v>
      </c>
      <c r="J11" s="577" t="inlineStr">
        <is>
          <t>0.5 / 2.5</t>
        </is>
      </c>
      <c r="K11" s="578">
        <f>(2.5+1.013)/(2.5-0.5)*(0.01*H11+I11)</f>
        <v/>
      </c>
      <c r="L11" s="577">
        <f>IF(K11&lt;=8,"YETERLİ","İLAVE TANK")</f>
        <v/>
      </c>
    </row>
    <row r="12">
      <c r="A12" s="577" t="inlineStr">
        <is>
          <t>2 NK OFİS 6</t>
        </is>
      </c>
      <c r="B12" s="577" t="n">
        <v>3019</v>
      </c>
      <c r="C12" s="577" t="n">
        <v>260</v>
      </c>
      <c r="D12" s="578" t="n">
        <v>0.92</v>
      </c>
      <c r="E12" s="578">
        <f>D12+5</f>
        <v/>
      </c>
      <c r="F12" s="577" t="n">
        <v>25</v>
      </c>
      <c r="G12" s="577">
        <f>IF(E12&lt;=F12,"UYGUN","POMPA GRUBU")</f>
        <v/>
      </c>
      <c r="H12" s="577" t="n">
        <v>35.1</v>
      </c>
      <c r="I12" s="578" t="n">
        <v>0.41</v>
      </c>
      <c r="J12" s="577" t="inlineStr">
        <is>
          <t>0.5 / 2.5</t>
        </is>
      </c>
      <c r="K12" s="578">
        <f>(2.5+1.013)/(2.5-0.5)*(0.01*H12+I12)</f>
        <v/>
      </c>
      <c r="L12" s="577">
        <f>IF(K12&lt;=8,"YETERLİ","İLAVE TANK")</f>
        <v/>
      </c>
    </row>
    <row r="13">
      <c r="A13" s="577" t="inlineStr">
        <is>
          <t>2 NK OFİS 7</t>
        </is>
      </c>
      <c r="B13" s="577" t="n">
        <v>3041</v>
      </c>
      <c r="C13" s="577" t="n">
        <v>261</v>
      </c>
      <c r="D13" s="578" t="n">
        <v>0.95</v>
      </c>
      <c r="E13" s="578">
        <f>D13+5</f>
        <v/>
      </c>
      <c r="F13" s="577" t="n">
        <v>25</v>
      </c>
      <c r="G13" s="577">
        <f>IF(E13&lt;=F13,"UYGUN","POMPA GRUBU")</f>
        <v/>
      </c>
      <c r="H13" s="577" t="n">
        <v>34.2</v>
      </c>
      <c r="I13" s="578" t="n">
        <v>0.4</v>
      </c>
      <c r="J13" s="577" t="inlineStr">
        <is>
          <t>0.5 / 2.5</t>
        </is>
      </c>
      <c r="K13" s="578">
        <f>(2.5+1.013)/(2.5-0.5)*(0.01*H13+I13)</f>
        <v/>
      </c>
      <c r="L13" s="577">
        <f>IF(K13&lt;=8,"YETERLİ","İLAVE TANK")</f>
        <v/>
      </c>
    </row>
    <row r="14">
      <c r="A14" s="577" t="inlineStr">
        <is>
          <t>2 NK OFİS 8</t>
        </is>
      </c>
      <c r="B14" s="577" t="n">
        <v>3367</v>
      </c>
      <c r="C14" s="577" t="n">
        <v>290</v>
      </c>
      <c r="D14" s="578" t="n">
        <v>4.03</v>
      </c>
      <c r="E14" s="578">
        <f>D14+5</f>
        <v/>
      </c>
      <c r="F14" s="577" t="n">
        <v>25</v>
      </c>
      <c r="G14" s="577">
        <f>IF(E14&lt;=F14,"UYGUN","POMPA GRUBU")</f>
        <v/>
      </c>
      <c r="H14" s="577" t="n">
        <v>43.4</v>
      </c>
      <c r="I14" s="578" t="n">
        <v>0.51</v>
      </c>
      <c r="J14" s="577" t="inlineStr">
        <is>
          <t>0.5 / 2.5</t>
        </is>
      </c>
      <c r="K14" s="578">
        <f>(2.5+1.013)/(2.5-0.5)*(0.01*H14+I14)</f>
        <v/>
      </c>
      <c r="L14" s="577">
        <f>IF(K14&lt;=8,"YETERLİ","İLAVE TANK")</f>
        <v/>
      </c>
    </row>
    <row r="16">
      <c r="A16" s="585" t="inlineStr">
        <is>
          <t>PEX 16x2,0 KANGAL METRAJI (devre ortasında ek yapılmaz)</t>
        </is>
      </c>
    </row>
    <row r="17">
      <c r="A17" s="573" t="inlineStr">
        <is>
          <t>DAİRE</t>
        </is>
      </c>
      <c r="B17" s="573" t="inlineStr">
        <is>
          <t>TOPLAM (m)</t>
        </is>
      </c>
      <c r="C17" s="573" t="inlineStr">
        <is>
          <t>200 m kangal</t>
        </is>
      </c>
      <c r="D17" s="573" t="inlineStr">
        <is>
          <t>500 m kangal</t>
        </is>
      </c>
    </row>
    <row r="18">
      <c r="A18" s="577" t="inlineStr">
        <is>
          <t>1 NK OFİS 1</t>
        </is>
      </c>
      <c r="B18" s="577" t="n">
        <v>349.5</v>
      </c>
      <c r="C18" s="577" t="n">
        <v>2</v>
      </c>
      <c r="D18" s="577" t="n">
        <v>0</v>
      </c>
    </row>
    <row r="19">
      <c r="A19" s="577" t="inlineStr">
        <is>
          <t>1 NK OFİS 2</t>
        </is>
      </c>
      <c r="B19" s="577" t="n">
        <v>265.9</v>
      </c>
      <c r="C19" s="577" t="n">
        <v>2</v>
      </c>
      <c r="D19" s="577" t="n">
        <v>0</v>
      </c>
    </row>
    <row r="20">
      <c r="A20" s="577" t="inlineStr">
        <is>
          <t>1 NK OFİS 3</t>
        </is>
      </c>
      <c r="B20" s="577" t="n">
        <v>258.4</v>
      </c>
      <c r="C20" s="577" t="n">
        <v>2</v>
      </c>
      <c r="D20" s="577" t="n">
        <v>0</v>
      </c>
    </row>
    <row r="21">
      <c r="A21" s="577" t="inlineStr">
        <is>
          <t>1 NK OFİS 4</t>
        </is>
      </c>
      <c r="B21" s="577" t="n">
        <v>339.9</v>
      </c>
      <c r="C21" s="577" t="n">
        <v>2</v>
      </c>
      <c r="D21" s="577" t="n">
        <v>0</v>
      </c>
    </row>
    <row r="22">
      <c r="A22" s="577" t="inlineStr">
        <is>
          <t>2 NK OFİS 5</t>
        </is>
      </c>
      <c r="B22" s="577" t="n">
        <v>349.5</v>
      </c>
      <c r="C22" s="577" t="n">
        <v>2</v>
      </c>
      <c r="D22" s="577" t="n">
        <v>0</v>
      </c>
    </row>
    <row r="23">
      <c r="A23" s="577" t="inlineStr">
        <is>
          <t>2 NK OFİS 6</t>
        </is>
      </c>
      <c r="B23" s="577" t="n">
        <v>265.9</v>
      </c>
      <c r="C23" s="577" t="n">
        <v>2</v>
      </c>
      <c r="D23" s="577" t="n">
        <v>0</v>
      </c>
    </row>
    <row r="24">
      <c r="A24" s="577" t="inlineStr">
        <is>
          <t>2 NK OFİS 7</t>
        </is>
      </c>
      <c r="B24" s="577" t="n">
        <v>258.4</v>
      </c>
      <c r="C24" s="577" t="n">
        <v>2</v>
      </c>
      <c r="D24" s="577" t="n">
        <v>0</v>
      </c>
    </row>
    <row r="25">
      <c r="A25" s="577" t="inlineStr">
        <is>
          <t>2 NK OFİS 8</t>
        </is>
      </c>
      <c r="B25" s="577" t="n">
        <v>339.9</v>
      </c>
      <c r="C25" s="577" t="n">
        <v>2</v>
      </c>
      <c r="D25" s="577" t="n">
        <v>0</v>
      </c>
    </row>
    <row r="27">
      <c r="A27" s="572" t="inlineStr">
        <is>
          <t>Kombi pompasının kullanılabilir basma yüksekliği (25 kPa) seçilen kombinin kataloğundan teyit edilecektir.</t>
        </is>
      </c>
    </row>
    <row r="28">
      <c r="A28" s="572" t="inlineStr">
        <is>
          <t>Kombi içi genleşme tankı 8 l, emniyet ventili 3 bar, ilk dolum basıncı 1,0-1,5 bar alınmıştır.</t>
        </is>
      </c>
    </row>
    <row r="29">
      <c r="A29" s="572" t="inlineStr">
        <is>
          <t>Devre debileri kollektördeki debimetreli reglaj vanaları ile ayarlanacaktır.</t>
        </is>
      </c>
    </row>
  </sheetData>
  <mergeCells count="4">
    <mergeCell ref="A3:L3"/>
    <mergeCell ref="A2:L2"/>
    <mergeCell ref="A1:L1"/>
    <mergeCell ref="A4:L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SILA</dc:creator>
  <dc:language xmlns:dc="http://purl.org/dc/elements/1.1/">en-US</dc:language>
  <dcterms:created xmlns:dcterms="http://purl.org/dc/terms/" xmlns:xsi="http://www.w3.org/2001/XMLSchema-instance" xsi:type="dcterms:W3CDTF">2003-04-27T12:58:31Z</dcterms:created>
  <dcterms:modified xmlns:dcterms="http://purl.org/dc/terms/" xmlns:xsi="http://www.w3.org/2001/XMLSchema-instance" xsi:type="dcterms:W3CDTF">2026-10-12T07:57:26Z</dcterms:modified>
  <cp:lastModifiedBy>Can Özkaya</cp:lastModifiedBy>
  <cp:revision>0</cp:revision>
  <cp:lastPrinted>2022-06-03T11:29:57Z</cp:lastPrinted>
</cp:coreProperties>
</file>