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SAYIMLAR" sheetId="1" state="visible" r:id="rId3"/>
    <sheet name="MAHALLER" sheetId="2" state="visible" r:id="rId4"/>
    <sheet name="KS HESABI" sheetId="3" state="visible" r:id="rId5"/>
    <sheet name="FAN HESABI" sheetId="4" state="visible" r:id="rId6"/>
    <sheet name="CİHAZ LİSTESİ" sheetId="5" state="visible" r:id="rId7"/>
    <sheet name="ELEKTRİK YÜKLERİ" sheetId="6" state="visible" r:id="rId8"/>
    <sheet name="KONTROL" sheetId="7" state="visible" r:id="rId9"/>
  </sheets>
  <definedNames>
    <definedName function="false" hidden="false" name="cam_oran" vbProcedure="false">VARSAYIMLAR!$B$51</definedName>
    <definedName function="false" hidden="false" name="COP" vbProcedure="false">VARSAYIMLAR!$B$40</definedName>
    <definedName function="false" hidden="false" name="cos_du" vbProcedure="false">VARSAYIMLAR!$B$43</definedName>
    <definedName function="false" hidden="false" name="cos_ks" vbProcedure="false">VARSAYIMLAR!$B$42</definedName>
    <definedName function="false" hidden="false" name="cp" vbProcedure="false">VARSAYIMLAR!$B$16</definedName>
    <definedName function="false" hidden="false" name="dp_br" vbProcedure="false">VARSAYIMLAR!$B$33</definedName>
    <definedName function="false" hidden="false" name="dp_do" vbProcedure="false">'FAN HESABI'!$C$23</definedName>
    <definedName function="false" hidden="false" name="dp_me" vbProcedure="false">VARSAYIMLAR!$B$32</definedName>
    <definedName function="false" hidden="false" name="dp_mu" vbProcedure="false">VARSAYIMLAR!$B$31</definedName>
    <definedName function="false" hidden="false" name="dp_uf" vbProcedure="false">'FAN HESABI'!$B$23</definedName>
    <definedName function="false" hidden="false" name="dp_yd" vbProcedure="false">VARSAYIMLAR!$B$34</definedName>
    <definedName function="false" hidden="false" name="dus" vbProcedure="false">VARSAYIMLAR!$B$22</definedName>
    <definedName function="false" hidden="false" name="EER" vbProcedure="false">VARSAYIMLAR!$B$39</definedName>
    <definedName function="false" hidden="false" name="emn" vbProcedure="false">VARSAYIMLAR!$B$21</definedName>
    <definedName function="false" hidden="false" name="eps" vbProcedure="false">VARSAYIMLAR!$B$18</definedName>
    <definedName function="false" hidden="false" name="esp_do" vbProcedure="false">'FAN HESABI'!$C$22</definedName>
    <definedName function="false" hidden="false" name="esp_uf" vbProcedure="false">'FAN HESABI'!$B$22</definedName>
    <definedName function="false" hidden="false" name="eta_fan" vbProcedure="false">VARSAYIMLAR!$B$25</definedName>
    <definedName function="false" hidden="false" name="f_zemin" vbProcedure="false">VARSAYIMLAR!$B$49</definedName>
    <definedName function="false" hidden="false" name="hfg" vbProcedure="false">VARSAYIMLAR!$B$17</definedName>
    <definedName function="false" hidden="false" name="k_motor" vbProcedure="false">VARSAYIMLAR!$B$26</definedName>
    <definedName function="false" hidden="false" name="k_sig" vbProcedure="false">VARSAYIMLAR!$B$44</definedName>
    <definedName function="false" hidden="false" name="L_kr" vbProcedure="false">VARSAYIMLAR!$B$27</definedName>
    <definedName function="false" hidden="false" name="n_fan" vbProcedure="false">VARSAYIMLAR!$B$24</definedName>
    <definedName function="false" hidden="false" name="n_siz" vbProcedure="false">VARSAYIMLAR!$B$52</definedName>
    <definedName function="false" hidden="false" name="Patm" vbProcedure="false">VARSAYIMLAR!$B$12</definedName>
    <definedName function="false" hidden="false" name="Pa_do" vbProcedure="false">'FAN HESABI'!$C$28</definedName>
    <definedName function="false" hidden="false" name="Pa_uf" vbProcedure="false">'FAN HESABI'!$B$28</definedName>
    <definedName function="false" hidden="false" name="Pk_do" vbProcedure="false">'FAN HESABI'!$C$31</definedName>
    <definedName function="false" hidden="false" name="Pk_uf" vbProcedure="false">'FAN HESABI'!$B$31</definedName>
    <definedName function="false" hidden="false" name="Pm_do" vbProcedure="false">'FAN HESABI'!$C$30</definedName>
    <definedName function="false" hidden="false" name="Pm_uf" vbProcedure="false">'FAN HESABI'!$B$30</definedName>
    <definedName function="false" hidden="false" name="P_ddc" vbProcedure="false">VARSAYIMLAR!$B$37</definedName>
    <definedName function="false" hidden="false" name="P_dmp" vbProcedure="false">VARSAYIMLAR!$B$36</definedName>
    <definedName function="false" hidden="false" name="P_fan" vbProcedure="false">'FAN HESABI'!$B$34</definedName>
    <definedName function="false" hidden="false" name="qf_fan" vbProcedure="false">'FAN HESABI'!$B$27</definedName>
    <definedName function="false" hidden="false" name="q_alan" vbProcedure="false">VARSAYIMLAR!$B$20</definedName>
    <definedName function="false" hidden="false" name="q_kisi" vbProcedure="false">VARSAYIMLAR!$B$19</definedName>
    <definedName function="false" hidden="false" name="rho" vbProcedure="false">VARSAYIMLAR!$B$15</definedName>
    <definedName function="false" hidden="false" name="RH_kis" vbProcedure="false">VARSAYIMLAR!$B$10</definedName>
    <definedName function="false" hidden="false" name="RH_yaz" vbProcedure="false">VARSAYIMLAR!$B$8</definedName>
    <definedName function="false" hidden="false" name="R_ort" vbProcedure="false">VARSAYIMLAR!$B$28</definedName>
    <definedName function="false" hidden="false" name="sfk_do" vbProcedure="false">'FAN HESABI'!$C$33</definedName>
    <definedName function="false" hidden="false" name="sfk_uf" vbProcedure="false">'FAN HESABI'!$B$33</definedName>
    <definedName function="false" hidden="false" name="sfp_do" vbProcedure="false">'FAN HESABI'!$C$32</definedName>
    <definedName function="false" hidden="false" name="sfp_uf" vbProcedure="false">'FAN HESABI'!$B$32</definedName>
    <definedName function="false" hidden="false" name="TIP_TABLO" vbProcedure="false">VARSAYIMLAR!$A$56:$D$58</definedName>
    <definedName function="false" hidden="false" name="Ti_kis" vbProcedure="false">VARSAYIMLAR!$B$11</definedName>
    <definedName function="false" hidden="false" name="Ti_yaz" vbProcedure="false">VARSAYIMLAR!$B$7</definedName>
    <definedName function="false" hidden="false" name="To_kis" vbProcedure="false">VARSAYIMLAR!$B$9</definedName>
    <definedName function="false" hidden="false" name="To_yaz" vbProcedure="false">VARSAYIMLAR!$B$5</definedName>
    <definedName function="false" hidden="false" name="Twb_yaz" vbProcedure="false">VARSAYIMLAR!$B$6</definedName>
    <definedName function="false" hidden="false" name="U_cam" vbProcedure="false">VARSAYIMLAR!$B$50</definedName>
    <definedName function="false" hidden="false" name="U_cati" vbProcedure="false">VARSAYIMLAR!$B$46</definedName>
    <definedName function="false" hidden="false" name="U_duvar" vbProcedure="false">VARSAYIMLAR!$B$47</definedName>
    <definedName function="false" hidden="false" name="U_v" vbProcedure="false">VARSAYIMLAR!$B$41</definedName>
    <definedName function="false" hidden="false" name="U_zemin" vbProcedure="false">VARSAYIMLAR!$B$48</definedName>
    <definedName function="false" hidden="false" name="v_ana" vbProcedure="false">VARSAYIMLAR!$B$35</definedName>
    <definedName function="false" hidden="false" name="V_ks" vbProcedure="false">VARSAYIMLAR!$B$14</definedName>
    <definedName function="false" hidden="false" name="z_do" vbProcedure="false">VARSAYIMLAR!$B$30</definedName>
    <definedName function="false" hidden="false" name="z_uf" vbProcedure="false">VARSAYIMLAR!$B$29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<sst xmlns="http://schemas.openxmlformats.org/spreadsheetml/2006/main" count="569" uniqueCount="384">
  <si>
    <t xml:space="preserve">ISI KAZANCI (m³ YÖNTEMİ) VE KLİMA SANTRALİ HESABI — VARSAYIMLAR</t>
  </si>
  <si>
    <t xml:space="preserve">Sarı hücreler değiştirilebilir girdilerdir (mavi yazı). Diğer sayfalar bu değerlere formülle bağlıdır.</t>
  </si>
  <si>
    <t xml:space="preserve">TASARIM ŞARTLARI</t>
  </si>
  <si>
    <t xml:space="preserve">Yaz dış hava kuru termometre</t>
  </si>
  <si>
    <t xml:space="preserve">°C</t>
  </si>
  <si>
    <t xml:space="preserve">Adapazarı yaz tasarım değeri (tesisat kütüphanesi, KK listesi)</t>
  </si>
  <si>
    <t xml:space="preserve">Yaz dış hava yaş termometre</t>
  </si>
  <si>
    <t xml:space="preserve">Adapazarı</t>
  </si>
  <si>
    <t xml:space="preserve">Yaz iç hava sıcaklığı</t>
  </si>
  <si>
    <t xml:space="preserve">market / ticari alan</t>
  </si>
  <si>
    <t xml:space="preserve">Yaz iç bağıl nem</t>
  </si>
  <si>
    <t xml:space="preserve">-</t>
  </si>
  <si>
    <t xml:space="preserve">Kış dış hava sıcaklığı</t>
  </si>
  <si>
    <t xml:space="preserve">Sakarya / Adapazarı kış tasarım (TS 2164)</t>
  </si>
  <si>
    <t xml:space="preserve">Kış dış bağıl nem</t>
  </si>
  <si>
    <t xml:space="preserve">Kış iç hava sıcaklığı</t>
  </si>
  <si>
    <t xml:space="preserve">Atmosfer basıncı</t>
  </si>
  <si>
    <t xml:space="preserve">kPa</t>
  </si>
  <si>
    <t xml:space="preserve">deniz seviyesine yakın (Adapazarı ≈ 30 m)</t>
  </si>
  <si>
    <t xml:space="preserve">KLİMA SANTRALİ</t>
  </si>
  <si>
    <t xml:space="preserve">Santral hava debisi (her biri)</t>
  </si>
  <si>
    <t xml:space="preserve">m³/h</t>
  </si>
  <si>
    <t xml:space="preserve">kullanıcının havalandırma projesindeki değer (KS-1…KS-4)</t>
  </si>
  <si>
    <t xml:space="preserve">Hava yoğunluğu</t>
  </si>
  <si>
    <t xml:space="preserve">kg/m³</t>
  </si>
  <si>
    <t xml:space="preserve">Havanın özgül ısısı</t>
  </si>
  <si>
    <t xml:space="preserve">kJ/kg·K</t>
  </si>
  <si>
    <t xml:space="preserve">Buharlaşma ısısı (0 °C)</t>
  </si>
  <si>
    <t xml:space="preserve">kJ/kg</t>
  </si>
  <si>
    <t xml:space="preserve">Plakalı ısı geri kazanım duyulur verimi</t>
  </si>
  <si>
    <t xml:space="preserve">ErP 2018 (EU 1253/2014) en az %73</t>
  </si>
  <si>
    <t xml:space="preserve">Kişi başı taze hava</t>
  </si>
  <si>
    <t xml:space="preserve">l/s·kişi</t>
  </si>
  <si>
    <t xml:space="preserve">TS EN 16798-1 Kategori II</t>
  </si>
  <si>
    <t xml:space="preserve">Alan başı taze hava</t>
  </si>
  <si>
    <t xml:space="preserve">l/s·m²</t>
  </si>
  <si>
    <t xml:space="preserve">TS EN 16798-1 az kirletici bina</t>
  </si>
  <si>
    <t xml:space="preserve">Batarya emniyet payı</t>
  </si>
  <si>
    <t xml:space="preserve">seçim = hesap × emniyet</t>
  </si>
  <si>
    <t xml:space="preserve">Dış ünite ısıtma kapasitesi düşümü (−3 °C)</t>
  </si>
  <si>
    <t xml:space="preserve">ısı pompası −3 °C dış havada nominal ısıtmanın ~%80’i</t>
  </si>
  <si>
    <t xml:space="preserve">FANLAR (EC PLUG FAN DUVARI)</t>
  </si>
  <si>
    <t xml:space="preserve">Bölme başına fan adedi (fan duvarı)</t>
  </si>
  <si>
    <t xml:space="preserve">adet</t>
  </si>
  <si>
    <t xml:space="preserve">2 × 2 dizi; bir fan arızasında %75 debi sürer</t>
  </si>
  <si>
    <t xml:space="preserve">Fan sistem verimi (çark + EC motor + sürücü)</t>
  </si>
  <si>
    <t xml:space="preserve">EC plug fan, tasarım noktası (ihtiyatlı)</t>
  </si>
  <si>
    <t xml:space="preserve">Motor seçim payı</t>
  </si>
  <si>
    <t xml:space="preserve">emilen güç × pay → bir üst standart motor gücü</t>
  </si>
  <si>
    <t xml:space="preserve">Kritik hat uzunluğu (santral → en uzak menfez)</t>
  </si>
  <si>
    <t xml:space="preserve">m</t>
  </si>
  <si>
    <t xml:space="preserve">planda KS çıkışı → ana kanal → branşman sonu</t>
  </si>
  <si>
    <t xml:space="preserve">Ortalama sürtünme kaybı</t>
  </si>
  <si>
    <t xml:space="preserve">Pa/m</t>
  </si>
  <si>
    <t xml:space="preserve">galvaniz kanal, 3–6 m/s</t>
  </si>
  <si>
    <t xml:space="preserve">Üfleme hattı yerel kayıp katsayıları toplamı Σζ</t>
  </si>
  <si>
    <t xml:space="preserve">dirsekler, T, redüksiyonlar</t>
  </si>
  <si>
    <t xml:space="preserve">Dönüş hattı yerel kayıp katsayıları toplamı Σζ</t>
  </si>
  <si>
    <t xml:space="preserve">Üfleme menfezi basınç kaybı</t>
  </si>
  <si>
    <t xml:space="preserve">Pa</t>
  </si>
  <si>
    <t xml:space="preserve">kanal altı yuvarlak menfez + ayar damperi</t>
  </si>
  <si>
    <t xml:space="preserve">Emiş menfezi basınç kaybı</t>
  </si>
  <si>
    <t xml:space="preserve">Brandi (esnek bağlantı)</t>
  </si>
  <si>
    <t xml:space="preserve">Yangın damperi</t>
  </si>
  <si>
    <t xml:space="preserve">yangın bölmesi geçişlerinde</t>
  </si>
  <si>
    <t xml:space="preserve">Ana kanal hızı (1600×1200, 39.900 m³/h)</t>
  </si>
  <si>
    <t xml:space="preserve">m/s</t>
  </si>
  <si>
    <t xml:space="preserve">KANAL HIZ KONTROL tablosu</t>
  </si>
  <si>
    <t xml:space="preserve">Damper motoru (taze, egzoz, karışım, by-pass)</t>
  </si>
  <si>
    <t xml:space="preserve">kW</t>
  </si>
  <si>
    <t xml:space="preserve">adet başına, 24 V</t>
  </si>
  <si>
    <t xml:space="preserve">Santral kontrol (DDC) panosu</t>
  </si>
  <si>
    <t xml:space="preserve">santral başına</t>
  </si>
  <si>
    <t xml:space="preserve">ELEKTRİK</t>
  </si>
  <si>
    <t xml:space="preserve">Dış ünite soğutma verimi EER (35 °C dış hava)</t>
  </si>
  <si>
    <t xml:space="preserve">hava kaynaklı DX ısı pompası (varsayım, üretici değeriyle değiştir)</t>
  </si>
  <si>
    <t xml:space="preserve">Dış ünite ısıtma verimi COP (−3 °C dış hava)</t>
  </si>
  <si>
    <t xml:space="preserve">varsayım, üretici değeriyle değiştir</t>
  </si>
  <si>
    <t xml:space="preserve">Besleme gerilimi (3 faz)</t>
  </si>
  <si>
    <t xml:space="preserve">V</t>
  </si>
  <si>
    <t xml:space="preserve">3~ 50 Hz</t>
  </si>
  <si>
    <t xml:space="preserve">Güç faktörü — EC fanlı santral</t>
  </si>
  <si>
    <t xml:space="preserve">Güç faktörü — inverter dış ünite</t>
  </si>
  <si>
    <t xml:space="preserve">Sigorta seçim katsayısı</t>
  </si>
  <si>
    <t xml:space="preserve">In ≥ 1,25 × I</t>
  </si>
  <si>
    <t xml:space="preserve">KABUK (ISI KAYBI)</t>
  </si>
  <si>
    <t xml:space="preserve">Çatı U değeri</t>
  </si>
  <si>
    <t xml:space="preserve">W/m²K</t>
  </si>
  <si>
    <t xml:space="preserve">mimari İZOLASYON DEĞERLERİ notu (çatı ≤0,20)</t>
  </si>
  <si>
    <t xml:space="preserve">Cephe U değeri</t>
  </si>
  <si>
    <t xml:space="preserve">mimari İZOLASYON DEĞERLERİ notu (cephe ≤0,25)</t>
  </si>
  <si>
    <t xml:space="preserve">Zemin U değeri</t>
  </si>
  <si>
    <t xml:space="preserve">mimari notu (zemin 0,30–0,35)</t>
  </si>
  <si>
    <t xml:space="preserve">Zemin sıcaklık düzeltme katsayısı</t>
  </si>
  <si>
    <t xml:space="preserve">toprağa oturan döşeme</t>
  </si>
  <si>
    <t xml:space="preserve">Cam U değeri (işyeri vitrini)</t>
  </si>
  <si>
    <t xml:space="preserve">varsayım — mimari doğrama bilgisi yok</t>
  </si>
  <si>
    <t xml:space="preserve">İşyeri cephesinde cam oranı</t>
  </si>
  <si>
    <t xml:space="preserve">varsayım</t>
  </si>
  <si>
    <t xml:space="preserve">Sızıntı hava değişimi</t>
  </si>
  <si>
    <t xml:space="preserve">1/h</t>
  </si>
  <si>
    <t xml:space="preserve">kapı açılmaları dahil (varsayım)</t>
  </si>
  <si>
    <t xml:space="preserve">MAHAL TİPİ KATSAYILARI</t>
  </si>
  <si>
    <t xml:space="preserve">Mahal tipi</t>
  </si>
  <si>
    <t xml:space="preserve">Birim ısı kazancı (W/m³)</t>
  </si>
  <si>
    <t xml:space="preserve">Duyulur oran SHR</t>
  </si>
  <si>
    <t xml:space="preserve">Kişi yoğunluğu (kişi/m²)</t>
  </si>
  <si>
    <t xml:space="preserve">Eşdeğer (W/m²)</t>
  </si>
  <si>
    <t xml:space="preserve">Açıklama</t>
  </si>
  <si>
    <t xml:space="preserve">MARKET</t>
  </si>
  <si>
    <t xml:space="preserve">h = 6,00 m (kesitte tavan / makas altı +6.00)</t>
  </si>
  <si>
    <t xml:space="preserve">KORİDOR</t>
  </si>
  <si>
    <t xml:space="preserve">h = 4,50 m (1. kat / teras döşemesi +4.50)</t>
  </si>
  <si>
    <t xml:space="preserve">İŞYERİ</t>
  </si>
  <si>
    <t xml:space="preserve">h = 4,50 m, vitrin cepheli</t>
  </si>
  <si>
    <t xml:space="preserve">Birim ısı kazancı (m³ yöntemi): mahal hacmi × W/m³. Katsayı; insan, aydınlatma, cihaz, çatı/cephe güneş ve iletim yüklerinin hacme bölünmüş değeridir (bkz. KONTROL sayfası). Taze hava yükü klima santrali bataryasında ayrıca hesaplanır.</t>
  </si>
  <si>
    <t xml:space="preserve">MAHAL HACİMLERİ, ISI KAZANCI (m³ YÖNTEMİ) VE ISI KAYBI</t>
  </si>
  <si>
    <t xml:space="preserve">Alanlar temiz mimarinin A-AREA mahal sınırlarından ölçülmüştür; market satış alanı ve koridor KS hizmet bantlarına bölünmüştür. Kanal dalı giren işyerleri ilgili KS’ye bağlanmıştır.</t>
  </si>
  <si>
    <t xml:space="preserve">KS</t>
  </si>
  <si>
    <t xml:space="preserve">Mahal kodu</t>
  </si>
  <si>
    <t xml:space="preserve">Mahal adı</t>
  </si>
  <si>
    <t xml:space="preserve">Tip</t>
  </si>
  <si>
    <t xml:space="preserve">Alan (m²)</t>
  </si>
  <si>
    <t xml:space="preserve">Yükseklik (m)</t>
  </si>
  <si>
    <t xml:space="preserve">Hacim (m³)</t>
  </si>
  <si>
    <t xml:space="preserve">Isı kazancı (W)</t>
  </si>
  <si>
    <t xml:space="preserve">Duyulur (W)</t>
  </si>
  <si>
    <t xml:space="preserve">Gizli (W)</t>
  </si>
  <si>
    <t xml:space="preserve">Kişi</t>
  </si>
  <si>
    <t xml:space="preserve">Taze hava (m³/h)</t>
  </si>
  <si>
    <t xml:space="preserve">Çatı alanı (m²)</t>
  </si>
  <si>
    <t xml:space="preserve">Dış cephe boyu (m)</t>
  </si>
  <si>
    <t xml:space="preserve">Vitrin boyu (m)</t>
  </si>
  <si>
    <t xml:space="preserve">Cephe (duvar) alanı (m²)</t>
  </si>
  <si>
    <t xml:space="preserve">Cam alanı (m²)</t>
  </si>
  <si>
    <t xml:space="preserve">ΔT kış (K)</t>
  </si>
  <si>
    <t xml:space="preserve">Çatı kaybı (W)</t>
  </si>
  <si>
    <t xml:space="preserve">Cephe kaybı (W)</t>
  </si>
  <si>
    <t xml:space="preserve">Cam kaybı (W)</t>
  </si>
  <si>
    <t xml:space="preserve">Zemin kaybı (W)</t>
  </si>
  <si>
    <t xml:space="preserve">Sızıntı kaybı (W)</t>
  </si>
  <si>
    <t xml:space="preserve">Toplam ısı kaybı (W)</t>
  </si>
  <si>
    <t xml:space="preserve">KS-1</t>
  </si>
  <si>
    <t xml:space="preserve">A-Z-13</t>
  </si>
  <si>
    <t xml:space="preserve">MARKET SATIŞ ALANI</t>
  </si>
  <si>
    <t xml:space="preserve">A-Z-02</t>
  </si>
  <si>
    <t xml:space="preserve">A-Z-05</t>
  </si>
  <si>
    <t xml:space="preserve">KS-2</t>
  </si>
  <si>
    <t xml:space="preserve">A-Z-06</t>
  </si>
  <si>
    <t xml:space="preserve">KS-3</t>
  </si>
  <si>
    <t xml:space="preserve">A-Z-09</t>
  </si>
  <si>
    <t xml:space="preserve">KS-4</t>
  </si>
  <si>
    <t xml:space="preserve">A-Z-11</t>
  </si>
  <si>
    <t xml:space="preserve">TOPLAM</t>
  </si>
  <si>
    <t xml:space="preserve">Isı kazancı = Hacim × birim ısı kazancı (m³ yöntemi). Kayıp: Q = U·A·ΔT; sızıntı Q = n·V·ρ·cp·ΔT.</t>
  </si>
  <si>
    <t xml:space="preserve">ISI GERİ KAZANIMLI KLİMA SANTRALİ — DX SOĞUTMA VE ISITMA BATARYASI HESABI</t>
  </si>
  <si>
    <t xml:space="preserve">Akış: taze hava → plakalı ısı geri kazanım → karışım (dönüş havası) → F7 filtre → DX soğutma bataryası → DX ısıtma bataryası → üfleme fanı. Psikrometri: pws = 0,61094·e^(17,625·T/(T+243,04)) kPa (Magnus).</t>
  </si>
  <si>
    <t xml:space="preserve">BÜYÜKLÜK</t>
  </si>
  <si>
    <t xml:space="preserve">BİRİM</t>
  </si>
  <si>
    <t xml:space="preserve">AÇIKLAMA</t>
  </si>
  <si>
    <t xml:space="preserve">— ODA YÜKLERİ (MAHALLER sayfasından) —</t>
  </si>
  <si>
    <t xml:space="preserve">Hizmet edilen hacim</t>
  </si>
  <si>
    <t xml:space="preserve">m³</t>
  </si>
  <si>
    <t xml:space="preserve">Σ mahal hacmi</t>
  </si>
  <si>
    <t xml:space="preserve">Hizmet edilen alan</t>
  </si>
  <si>
    <t xml:space="preserve">m²</t>
  </si>
  <si>
    <t xml:space="preserve">Oda ısı kazancı (m³ yöntemi)</t>
  </si>
  <si>
    <t xml:space="preserve">Σ hacim × W/m³</t>
  </si>
  <si>
    <t xml:space="preserve">Oda duyulur ısı kazancı</t>
  </si>
  <si>
    <t xml:space="preserve">Oda gizli ısı kazancı</t>
  </si>
  <si>
    <t xml:space="preserve">Oda ısı kaybı (kış)</t>
  </si>
  <si>
    <t xml:space="preserve">iletim + zemin + sızıntı (iç kazanç düşülmedi)</t>
  </si>
  <si>
    <t xml:space="preserve">Taze hava ihtiyacı (TS EN 16798-1)</t>
  </si>
  <si>
    <t xml:space="preserve">kişi × 7 l/s + alan × 0,7 l/s</t>
  </si>
  <si>
    <t xml:space="preserve">— SANTRAL HAVASI —</t>
  </si>
  <si>
    <t xml:space="preserve">Kişi sayısı (tasarım)</t>
  </si>
  <si>
    <t xml:space="preserve">kişi</t>
  </si>
  <si>
    <t xml:space="preserve">taze hava hesabında kullanılan</t>
  </si>
  <si>
    <t xml:space="preserve">Üfleme debisi</t>
  </si>
  <si>
    <t xml:space="preserve">kullanıcı projesi</t>
  </si>
  <si>
    <t xml:space="preserve">Kütlesel debi</t>
  </si>
  <si>
    <t xml:space="preserve">kg/s</t>
  </si>
  <si>
    <t xml:space="preserve">Taze hava debisi (seçilen)</t>
  </si>
  <si>
    <t xml:space="preserve">500’e yukarı yuvarlanmış</t>
  </si>
  <si>
    <t xml:space="preserve">Taze hava oranı</t>
  </si>
  <si>
    <t xml:space="preserve">kalan kısım dönüş (karışım) havası</t>
  </si>
  <si>
    <t xml:space="preserve">Egzoz debisi</t>
  </si>
  <si>
    <t xml:space="preserve">dengeli işletme</t>
  </si>
  <si>
    <t xml:space="preserve">Fan ısısı ile sıcaklık artışı</t>
  </si>
  <si>
    <t xml:space="preserve">K</t>
  </si>
  <si>
    <t xml:space="preserve">fan bataryadan sonra</t>
  </si>
  <si>
    <t xml:space="preserve">— YAZ (SOĞUTMA) —</t>
  </si>
  <si>
    <t xml:space="preserve">Dış hava nem oranı (35/25)</t>
  </si>
  <si>
    <t xml:space="preserve">kg/kg</t>
  </si>
  <si>
    <t xml:space="preserve">yaş termometreden</t>
  </si>
  <si>
    <t xml:space="preserve">İç hava nem oranı (26 °C / %50)</t>
  </si>
  <si>
    <t xml:space="preserve">Isı geri kazanım sonrası taze hava sıcaklığı</t>
  </si>
  <si>
    <t xml:space="preserve">duyulur geri kazanım (nem değişmez)</t>
  </si>
  <si>
    <t xml:space="preserve">Karışım havası sıcaklığı</t>
  </si>
  <si>
    <t xml:space="preserve">Karışım havası nem oranı</t>
  </si>
  <si>
    <t xml:space="preserve">Karışım havası entalpisi</t>
  </si>
  <si>
    <t xml:space="preserve">Gerekli üfleme sıcaklığı</t>
  </si>
  <si>
    <t xml:space="preserve">oda duyulur yükünü karşılayan</t>
  </si>
  <si>
    <t xml:space="preserve">Gerekli üfleme nem oranı</t>
  </si>
  <si>
    <t xml:space="preserve">oda gizli yükünü karşılayan</t>
  </si>
  <si>
    <t xml:space="preserve">Batarya çıkış sıcaklığı</t>
  </si>
  <si>
    <t xml:space="preserve">fan ısısı düşülmüş</t>
  </si>
  <si>
    <t xml:space="preserve">Batarya çıkış bağıl nemi</t>
  </si>
  <si>
    <t xml:space="preserve">%</t>
  </si>
  <si>
    <t xml:space="preserve">≤ %95 olmalı (DX batarya ile sağlanabilir)</t>
  </si>
  <si>
    <t xml:space="preserve">Batarya çıkış entalpisi</t>
  </si>
  <si>
    <t xml:space="preserve">DX SOĞUTMA BATARYASI KAPASİTESİ (hesap)</t>
  </si>
  <si>
    <t xml:space="preserve">Q = ṁ·(h_karışım − h_çıkış)</t>
  </si>
  <si>
    <t xml:space="preserve">  bunun duyulur kısmı</t>
  </si>
  <si>
    <t xml:space="preserve">  bunun gizli kısmı (yoğuşma)</t>
  </si>
  <si>
    <t xml:space="preserve">Yoğuşma suyu</t>
  </si>
  <si>
    <t xml:space="preserve">l/h</t>
  </si>
  <si>
    <t xml:space="preserve">drenaj (sifonlu) hesabı için</t>
  </si>
  <si>
    <t xml:space="preserve">DX SOĞUTMA BATARYASI SEÇİM KAPASİTESİ</t>
  </si>
  <si>
    <t xml:space="preserve">emniyet payı ile, 5 kW’a yuvarlanmış</t>
  </si>
  <si>
    <t xml:space="preserve">— KIŞ (ISITMA) —</t>
  </si>
  <si>
    <t xml:space="preserve">plakada donma koruması (by-pass) yapılacak</t>
  </si>
  <si>
    <t xml:space="preserve">oda ısı kaybını karşılayan</t>
  </si>
  <si>
    <t xml:space="preserve">DX ISITMA BATARYASI KAPASİTESİ (hesap)</t>
  </si>
  <si>
    <t xml:space="preserve">Q = ṁ·cp·ΔT</t>
  </si>
  <si>
    <t xml:space="preserve">Sabah ön ısıtma kontrolü (%100 dönüş, 15 °C → üfleme 20 °C + kayıp)</t>
  </si>
  <si>
    <t xml:space="preserve">iç kazançsız ilk devreye alma</t>
  </si>
  <si>
    <t xml:space="preserve">DX ISITMA BATARYASI SEÇİM KAPASİTESİ</t>
  </si>
  <si>
    <t xml:space="preserve">büyük olan × emniyet</t>
  </si>
  <si>
    <t xml:space="preserve">— DIŞ ÜNİTE (ISI POMPASI, DX) —</t>
  </si>
  <si>
    <t xml:space="preserve">Dış ünite toplam soğutma kapasitesi (en az)</t>
  </si>
  <si>
    <t xml:space="preserve">Dış ünite toplam ısıtma kapasitesi (−3 °C dış hava, en az)</t>
  </si>
  <si>
    <t xml:space="preserve">Gerekli nominal ısıtma kapasitesi</t>
  </si>
  <si>
    <t xml:space="preserve">−3 °C kapasite düşümü ile</t>
  </si>
  <si>
    <t xml:space="preserve">Dış ünite adedi</t>
  </si>
  <si>
    <t xml:space="preserve">her santrale 2 modül (yedekli kısmi yük)</t>
  </si>
  <si>
    <t xml:space="preserve">Modül başına soğutma kapasitesi (en az)</t>
  </si>
  <si>
    <t xml:space="preserve">Modül başına nominal ısıtma kapasitesi (en az)</t>
  </si>
  <si>
    <t xml:space="preserve">— KONTROL —</t>
  </si>
  <si>
    <t xml:space="preserve">Havalandırma projesindeki santral kapasitesi</t>
  </si>
  <si>
    <t xml:space="preserve">kullanıcı çiziminde "Q= 200kW"</t>
  </si>
  <si>
    <t xml:space="preserve">Soğutma seçim kapasitesi / proje değeri</t>
  </si>
  <si>
    <t xml:space="preserve">&gt;1 ise projedeki 200 kW yetersiz</t>
  </si>
  <si>
    <t xml:space="preserve">TOPLAM SOĞUTMA SEÇİM (4 santral)</t>
  </si>
  <si>
    <t xml:space="preserve">TOPLAM ISITMA SEÇİM (4 santral)</t>
  </si>
  <si>
    <t xml:space="preserve">TOPLAM ODA ISI KAZANCI (m³ yöntemi)</t>
  </si>
  <si>
    <t xml:space="preserve">KLİMA SANTRALİ FAN HESABI — ÜFLEME VE DÖNÜŞ/EGZOZ FAN DUVARLARI (EC PLUG FAN)</t>
  </si>
  <si>
    <t xml:space="preserve">Fan toplam basıncı = santral iç kayıpları + dış statik basınç (kanal). Emilen güç P = V·Δp/η. Dört santral aynı fan seçimiyle donatılır (debi 40.000 m³/h). Tüm değerler ELEKTRİK gücüdür (kW).</t>
  </si>
  <si>
    <t xml:space="preserve">ÜFLEME FANI</t>
  </si>
  <si>
    <t xml:space="preserve">DÖNÜŞ / EGZOZ FANI</t>
  </si>
  <si>
    <t xml:space="preserve">— SANTRAL İÇ BASINÇ KAYIPLARI (Pa) —</t>
  </si>
  <si>
    <t xml:space="preserve">Taze hava panjuru + damperi  |  Dönüş damperi</t>
  </si>
  <si>
    <t xml:space="preserve">sol: üfleme bölmesi  |  sağ: dönüş bölmesi</t>
  </si>
  <si>
    <t xml:space="preserve">G4 panel filtre (tasarım = ilk+son / 2)  |  G4 panel filtre (tasarım)</t>
  </si>
  <si>
    <t xml:space="preserve">Plakalı ısı geri kazanım eşanjörü (kuru)  |  Susturucu</t>
  </si>
  <si>
    <t xml:space="preserve">Karışım bölmesi  |  Karışım bölmesi</t>
  </si>
  <si>
    <t xml:space="preserve">F7 torba filtre (tasarım)  |  Plakalı ısı geri kazanım eşanjörü (kuru)</t>
  </si>
  <si>
    <t xml:space="preserve">DX soğutma bataryası (ıslak) + damla tutucu  |  Egzoz damperi + panjur</t>
  </si>
  <si>
    <t xml:space="preserve">DX ısıtma bataryası  |  Gövde, giriş/çıkış kayıpları</t>
  </si>
  <si>
    <t xml:space="preserve">Susturucu</t>
  </si>
  <si>
    <t xml:space="preserve">Gövde, giriş/çıkış kayıpları</t>
  </si>
  <si>
    <t xml:space="preserve">Santral iç kayıpları toplamı</t>
  </si>
  <si>
    <t xml:space="preserve">— DIŞ STATİK BASINÇ (KANAL) —</t>
  </si>
  <si>
    <t xml:space="preserve">Ana kanal dinamik basıncı</t>
  </si>
  <si>
    <t xml:space="preserve">Pa — Pd = ρ·v²/2</t>
  </si>
  <si>
    <t xml:space="preserve">Sürtünme kaybı (L × R)</t>
  </si>
  <si>
    <t xml:space="preserve">Yerel kayıplar (Σζ × Pd)</t>
  </si>
  <si>
    <t xml:space="preserve">Menfez + brandi + yangın damperi</t>
  </si>
  <si>
    <t xml:space="preserve">Dış statik basınç (hesap)</t>
  </si>
  <si>
    <t xml:space="preserve">Dış statik basınç (seçim, 50 Pa’a yuvarlanmış)</t>
  </si>
  <si>
    <t xml:space="preserve">FAN TOPLAM BASINCI</t>
  </si>
  <si>
    <t xml:space="preserve">Pa — santral iç + dış statik</t>
  </si>
  <si>
    <t xml:space="preserve">— FAN SEÇİMİ —</t>
  </si>
  <si>
    <t xml:space="preserve">Toplam hava debisi</t>
  </si>
  <si>
    <t xml:space="preserve">m³/h — kullanıcı projesi</t>
  </si>
  <si>
    <t xml:space="preserve">Fan adedi (fan duvarı)</t>
  </si>
  <si>
    <t xml:space="preserve">Fan başına debi</t>
  </si>
  <si>
    <t xml:space="preserve">Toplam emilen elektrik gücü</t>
  </si>
  <si>
    <t xml:space="preserve">kW — P = V·Δp / η</t>
  </si>
  <si>
    <t xml:space="preserve">Fan başına emilen elektrik gücü</t>
  </si>
  <si>
    <t xml:space="preserve">Fan başına EC motor gücü (seçim)</t>
  </si>
  <si>
    <t xml:space="preserve">kW — bir üst standart güç</t>
  </si>
  <si>
    <t xml:space="preserve">Kurulu elektrik gücü (fan duvarı)</t>
  </si>
  <si>
    <t xml:space="preserve">kW — elektrik yükü tablosuna</t>
  </si>
  <si>
    <t xml:space="preserve">Özgül fan gücü SFP</t>
  </si>
  <si>
    <t xml:space="preserve">W/(m³/s) — TS EN 16798-3</t>
  </si>
  <si>
    <t xml:space="preserve">SFP sınıfı</t>
  </si>
  <si>
    <t xml:space="preserve">- — SFP1 ≤500, SFP2 ≤750, SFP3 ≤1250, SFP4 ≤2000, SFP5 ≤3000</t>
  </si>
  <si>
    <t xml:space="preserve">Fan ısısı (hava akımına geçen)</t>
  </si>
  <si>
    <t xml:space="preserve">kW — üfleme fanı ısısı soğutma bataryasına eklenir</t>
  </si>
  <si>
    <t xml:space="preserve">CİHAZ LİSTESİ</t>
  </si>
  <si>
    <t xml:space="preserve">NO</t>
  </si>
  <si>
    <t xml:space="preserve">CİHAZ</t>
  </si>
  <si>
    <t xml:space="preserve">ÖZELLİK</t>
  </si>
  <si>
    <t xml:space="preserve">ISI GERİ KAZANIMLI KLİMA SANTRALİ</t>
  </si>
  <si>
    <t xml:space="preserve">Üfleme / dönüş hava debisi</t>
  </si>
  <si>
    <t xml:space="preserve">(yan yana iki bölmeli, dış ortam tipi)</t>
  </si>
  <si>
    <t xml:space="preserve">Taze hava / egzoz debisi</t>
  </si>
  <si>
    <t xml:space="preserve">DX soğutma bataryası ISIL kapasitesi</t>
  </si>
  <si>
    <t xml:space="preserve">kW ısıl</t>
  </si>
  <si>
    <t xml:space="preserve">DX ısıtma bataryası ISIL kapasitesi</t>
  </si>
  <si>
    <t xml:space="preserve">Üfleme fan duvarı: adet × debi</t>
  </si>
  <si>
    <t xml:space="preserve">Üfleme fanı toplam basınç / dış statik basınç</t>
  </si>
  <si>
    <t xml:space="preserve">Üfleme fanı EC motor (fan başına)</t>
  </si>
  <si>
    <t xml:space="preserve">kW elektrik</t>
  </si>
  <si>
    <t xml:space="preserve">Dönüş/egzoz fan duvarı: adet × debi</t>
  </si>
  <si>
    <t xml:space="preserve">Dönüş fanı toplam basınç / dış statik basınç</t>
  </si>
  <si>
    <t xml:space="preserve">Dönüş fanı EC motor (fan başına)</t>
  </si>
  <si>
    <t xml:space="preserve">Özgül fan gücü SFP (üfleme / dönüş)</t>
  </si>
  <si>
    <t xml:space="preserve">Filtre (taze hava / dönüş / üfleme)</t>
  </si>
  <si>
    <t xml:space="preserve">G4 / G4 / F7</t>
  </si>
  <si>
    <t xml:space="preserve">Dış ölçü (U × G × Y) yaklaşık</t>
  </si>
  <si>
    <t xml:space="preserve">830×545×220</t>
  </si>
  <si>
    <t xml:space="preserve">cm</t>
  </si>
  <si>
    <t xml:space="preserve">DÜ</t>
  </si>
  <si>
    <t xml:space="preserve">DX DIŞ ÜNİTE (HAVA KAYNAKLI ISI POMPASI)</t>
  </si>
  <si>
    <t xml:space="preserve">Adet (santral başına)</t>
  </si>
  <si>
    <t xml:space="preserve">Modül soğutma ISIL kapasitesi (en az)</t>
  </si>
  <si>
    <t xml:space="preserve">Modül nominal ısıtma ISIL kapasitesi (en az)</t>
  </si>
  <si>
    <t xml:space="preserve">Dış ölçü (U × G × Y) yaklaşık, modül başına</t>
  </si>
  <si>
    <t xml:space="preserve">240×110×190</t>
  </si>
  <si>
    <t xml:space="preserve">Dış ünite ölçüleri ve adet üretici seçimine göre kesinleşecektir; ölçüler yerleşim için yaklaşık verilmiştir. Ünite ölçüleri çizimdeki kesit ve yerleşim paftasıyla aynıdır.</t>
  </si>
  <si>
    <t xml:space="preserve">ISITMA-SOĞUTMA VE HAVALANDIRMA CİHAZLARI ELEKTRİK YÜKÜ TABLOSU</t>
  </si>
  <si>
    <t xml:space="preserve">Bu tabloda YALNIZ ELEKTRİK GÜÇLERİ vardır; ısıtma/soğutma (ısıl) kapasiteleri bu tabloda yer almaz. Numaralar planda cihaz yanındaki daire içindeki numaralardır; alt satırlar (1.1, 1.2 …) cihazın içindeki elektrik tüketicileridir. İletken kesiti ve pano seçimi elektrik projesinde yapılacaktır.</t>
  </si>
  <si>
    <t xml:space="preserve">CİHAZ KODU</t>
  </si>
  <si>
    <t xml:space="preserve">CİHAZ / ELEKTRİK TÜKETİCİSİ</t>
  </si>
  <si>
    <t xml:space="preserve">ADET</t>
  </si>
  <si>
    <t xml:space="preserve">BİRİM ELEKTRİK GÜCÜ (kW)</t>
  </si>
  <si>
    <t xml:space="preserve">KURULU ELEKTRİK GÜCÜ (kW)</t>
  </si>
  <si>
    <t xml:space="preserve">GERİLİM (V)</t>
  </si>
  <si>
    <t xml:space="preserve">cos φ</t>
  </si>
  <si>
    <t xml:space="preserve">AKIM (A)</t>
  </si>
  <si>
    <t xml:space="preserve">SİGORTA (A)</t>
  </si>
  <si>
    <t xml:space="preserve">ISI GERİ KAZANIMLI KLİMA SANTRALİ — SANTRAL PANOSU BESLEMESİ (TOPLAM)</t>
  </si>
  <si>
    <t xml:space="preserve">1.1</t>
  </si>
  <si>
    <t xml:space="preserve">Üfleme fanı — EC plug fan (fan duvarı; akım/sigorta fan başına)</t>
  </si>
  <si>
    <t xml:space="preserve">1.2</t>
  </si>
  <si>
    <t xml:space="preserve">Dönüş/egzoz fanı — EC plug fan (fan duvarı; akım/sigorta fan başına)</t>
  </si>
  <si>
    <t xml:space="preserve">1.3</t>
  </si>
  <si>
    <t xml:space="preserve">Damper motorları — taze hava, egzoz, karışım, by-pass (230/24 V trafo, panodan)</t>
  </si>
  <si>
    <t xml:space="preserve">1.4</t>
  </si>
  <si>
    <t xml:space="preserve">Santral kontrol (DDC) panosu (230 V)</t>
  </si>
  <si>
    <t xml:space="preserve">DÜ-1.1</t>
  </si>
  <si>
    <t xml:space="preserve">DX DIŞ ÜNİTE (ISI POMPASI) — kompresör + kondenser fanları</t>
  </si>
  <si>
    <t xml:space="preserve">DÜ-1.2</t>
  </si>
  <si>
    <t xml:space="preserve">4.1</t>
  </si>
  <si>
    <t xml:space="preserve">4.2</t>
  </si>
  <si>
    <t xml:space="preserve">4.3</t>
  </si>
  <si>
    <t xml:space="preserve">4.4</t>
  </si>
  <si>
    <t xml:space="preserve">DÜ-2.1</t>
  </si>
  <si>
    <t xml:space="preserve">DÜ-2.2</t>
  </si>
  <si>
    <t xml:space="preserve">7.1</t>
  </si>
  <si>
    <t xml:space="preserve">7.2</t>
  </si>
  <si>
    <t xml:space="preserve">7.3</t>
  </si>
  <si>
    <t xml:space="preserve">7.4</t>
  </si>
  <si>
    <t xml:space="preserve">DÜ-3.1</t>
  </si>
  <si>
    <t xml:space="preserve">DÜ-3.2</t>
  </si>
  <si>
    <t xml:space="preserve">10.1</t>
  </si>
  <si>
    <t xml:space="preserve">10.2</t>
  </si>
  <si>
    <t xml:space="preserve">10.3</t>
  </si>
  <si>
    <t xml:space="preserve">10.4</t>
  </si>
  <si>
    <t xml:space="preserve">DÜ-4.1</t>
  </si>
  <si>
    <t xml:space="preserve">DÜ-4.2</t>
  </si>
  <si>
    <t xml:space="preserve">TOPLAM KURULU ELEKTRİK GÜCÜ</t>
  </si>
  <si>
    <t xml:space="preserve">Dış ünite elektrik gücü = max(soğutma kapasitesi / EER ; ısıtma kapasitesi(−3 °C) / COP); üretici seçiminde katalog elektrik gücü yazılacaktır.</t>
  </si>
  <si>
    <t xml:space="preserve">KONTROL — MARKET BİRİM ISI KAZANCININ BİLEŞENLERLE DOĞRULANMASI (m² başına)</t>
  </si>
  <si>
    <t xml:space="preserve">BİLEŞEN</t>
  </si>
  <si>
    <t xml:space="preserve">DEĞER</t>
  </si>
  <si>
    <t xml:space="preserve">W/m²</t>
  </si>
  <si>
    <t xml:space="preserve">KAYNAK / VARSAYIM</t>
  </si>
  <si>
    <t xml:space="preserve">İnsan (duyulur + gizli 130 W/kişi)</t>
  </si>
  <si>
    <t xml:space="preserve">kişi/m²</t>
  </si>
  <si>
    <t xml:space="preserve">ASHRAE: alışveriş, ayakta yürüyen kişi</t>
  </si>
  <si>
    <t xml:space="preserve">Aydınlatma</t>
  </si>
  <si>
    <t xml:space="preserve">LED market aydınlatması (varsayım)</t>
  </si>
  <si>
    <t xml:space="preserve">Cihaz (kasa, ekran, açık soğutucu dolap artığı)</t>
  </si>
  <si>
    <t xml:space="preserve">Çatı güneş + iletim (U × eşdeğer ΔT 25 K)</t>
  </si>
  <si>
    <t xml:space="preserve">mimari çatı U değeri</t>
  </si>
  <si>
    <t xml:space="preserve">Cephe ve kapı açılmaları payı</t>
  </si>
  <si>
    <t xml:space="preserve">BİLEŞENLERLE TOPLAM</t>
  </si>
  <si>
    <t xml:space="preserve">m³ yöntemi (12 W/m³ × 6,00 m)</t>
  </si>
  <si>
    <t xml:space="preserve">VARSAYIMLAR sayfası</t>
  </si>
  <si>
    <t xml:space="preserve">m³ yönteminin bileşen toplamına oranı</t>
  </si>
  <si>
    <t xml:space="preserve">&gt;1 → m³ yöntemi emniyetli tarafta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</si>
</sst>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##"/>
    <numFmt numFmtId="166" formatCode="0.000"/>
    <numFmt numFmtId="167" formatCode="0.0"/>
    <numFmt numFmtId="168" formatCode="0.00"/>
    <numFmt numFmtId="169" formatCode="#,##0.0"/>
    <numFmt numFmtId="170" formatCode="#,##0"/>
    <numFmt numFmtId="171" formatCode="0.00000"/>
    <numFmt numFmtId="172" formatCode="0.0%"/>
    <numFmt numFmtId="173" formatCode="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35</v>
      </c>
      <c r="C5" s="4" t="s">
        <v>4</v>
      </c>
      <c r="D5" s="6" t="s">
        <v>5</v>
      </c>
    </row>
    <row r="6" customFormat="false" ht="15" hidden="false" customHeight="false" outlineLevel="0" collapsed="false">
      <c r="A6" s="4" t="s">
        <v>6</v>
      </c>
      <c r="B6" s="5" t="n">
        <v>25</v>
      </c>
      <c r="C6" s="4" t="s">
        <v>4</v>
      </c>
      <c r="D6" s="6" t="s">
        <v>7</v>
      </c>
    </row>
    <row r="7" customFormat="false" ht="15" hidden="false" customHeight="false" outlineLevel="0" collapsed="false">
      <c r="A7" s="4" t="s">
        <v>8</v>
      </c>
      <c r="B7" s="5" t="n">
        <v>26</v>
      </c>
      <c r="C7" s="4" t="s">
        <v>4</v>
      </c>
      <c r="D7" s="6" t="s">
        <v>9</v>
      </c>
    </row>
    <row r="8" customFormat="false" ht="15" hidden="false" customHeight="false" outlineLevel="0" collapsed="false">
      <c r="A8" s="4" t="s">
        <v>10</v>
      </c>
      <c r="B8" s="7" t="n">
        <v>0.5</v>
      </c>
      <c r="C8" s="4" t="s">
        <v>11</v>
      </c>
      <c r="D8" s="6"/>
    </row>
    <row r="9" customFormat="false" ht="15" hidden="false" customHeight="false" outlineLevel="0" collapsed="false">
      <c r="A9" s="4" t="s">
        <v>12</v>
      </c>
      <c r="B9" s="5" t="n">
        <v>-3</v>
      </c>
      <c r="C9" s="4" t="s">
        <v>4</v>
      </c>
      <c r="D9" s="6" t="s">
        <v>13</v>
      </c>
    </row>
    <row r="10" customFormat="false" ht="15" hidden="false" customHeight="false" outlineLevel="0" collapsed="false">
      <c r="A10" s="4" t="s">
        <v>14</v>
      </c>
      <c r="B10" s="7" t="n">
        <v>0.9</v>
      </c>
      <c r="C10" s="4" t="s">
        <v>11</v>
      </c>
      <c r="D10" s="6"/>
    </row>
    <row r="11" customFormat="false" ht="15" hidden="false" customHeight="false" outlineLevel="0" collapsed="false">
      <c r="A11" s="4" t="s">
        <v>15</v>
      </c>
      <c r="B11" s="5" t="n">
        <v>20</v>
      </c>
      <c r="C11" s="4" t="s">
        <v>4</v>
      </c>
      <c r="D11" s="6"/>
    </row>
    <row r="12" customFormat="false" ht="15" hidden="false" customHeight="false" outlineLevel="0" collapsed="false">
      <c r="A12" s="4" t="s">
        <v>16</v>
      </c>
      <c r="B12" s="5" t="n">
        <v>101.325</v>
      </c>
      <c r="C12" s="4" t="s">
        <v>17</v>
      </c>
      <c r="D12" s="6" t="s">
        <v>18</v>
      </c>
    </row>
    <row r="13" customFormat="false" ht="15" hidden="false" customHeight="false" outlineLevel="0" collapsed="false">
      <c r="A13" s="3" t="s">
        <v>19</v>
      </c>
      <c r="B13" s="3"/>
      <c r="C13" s="3"/>
      <c r="D13" s="3"/>
    </row>
    <row r="14" customFormat="false" ht="15" hidden="false" customHeight="false" outlineLevel="0" collapsed="false">
      <c r="A14" s="4" t="s">
        <v>20</v>
      </c>
      <c r="B14" s="5" t="n">
        <v>40000</v>
      </c>
      <c r="C14" s="4" t="s">
        <v>21</v>
      </c>
      <c r="D14" s="6" t="s">
        <v>22</v>
      </c>
    </row>
    <row r="15" customFormat="false" ht="15" hidden="false" customHeight="false" outlineLevel="0" collapsed="false">
      <c r="A15" s="4" t="s">
        <v>23</v>
      </c>
      <c r="B15" s="7" t="n">
        <v>1.2</v>
      </c>
      <c r="C15" s="4" t="s">
        <v>24</v>
      </c>
      <c r="D15" s="6"/>
    </row>
    <row r="16" customFormat="false" ht="15" hidden="false" customHeight="false" outlineLevel="0" collapsed="false">
      <c r="A16" s="4" t="s">
        <v>25</v>
      </c>
      <c r="B16" s="7" t="n">
        <v>1.006</v>
      </c>
      <c r="C16" s="4" t="s">
        <v>26</v>
      </c>
      <c r="D16" s="6"/>
    </row>
    <row r="17" customFormat="false" ht="15" hidden="false" customHeight="false" outlineLevel="0" collapsed="false">
      <c r="A17" s="4" t="s">
        <v>27</v>
      </c>
      <c r="B17" s="5" t="n">
        <v>2501</v>
      </c>
      <c r="C17" s="4" t="s">
        <v>28</v>
      </c>
      <c r="D17" s="6"/>
    </row>
    <row r="18" customFormat="false" ht="15" hidden="false" customHeight="false" outlineLevel="0" collapsed="false">
      <c r="A18" s="4" t="s">
        <v>29</v>
      </c>
      <c r="B18" s="7" t="n">
        <v>0.75</v>
      </c>
      <c r="C18" s="4" t="s">
        <v>11</v>
      </c>
      <c r="D18" s="6" t="s">
        <v>30</v>
      </c>
    </row>
    <row r="19" customFormat="false" ht="15" hidden="false" customHeight="false" outlineLevel="0" collapsed="false">
      <c r="A19" s="4" t="s">
        <v>31</v>
      </c>
      <c r="B19" s="7" t="n">
        <v>7</v>
      </c>
      <c r="C19" s="4" t="s">
        <v>32</v>
      </c>
      <c r="D19" s="6" t="s">
        <v>33</v>
      </c>
    </row>
    <row r="20" customFormat="false" ht="15" hidden="false" customHeight="false" outlineLevel="0" collapsed="false">
      <c r="A20" s="4" t="s">
        <v>34</v>
      </c>
      <c r="B20" s="7" t="n">
        <v>0.7</v>
      </c>
      <c r="C20" s="4" t="s">
        <v>35</v>
      </c>
      <c r="D20" s="6" t="s">
        <v>36</v>
      </c>
    </row>
    <row r="21" customFormat="false" ht="15" hidden="false" customHeight="false" outlineLevel="0" collapsed="false">
      <c r="A21" s="4" t="s">
        <v>37</v>
      </c>
      <c r="B21" s="7" t="n">
        <v>1.1</v>
      </c>
      <c r="C21" s="4" t="s">
        <v>11</v>
      </c>
      <c r="D21" s="6" t="s">
        <v>38</v>
      </c>
    </row>
    <row r="22" customFormat="false" ht="15" hidden="false" customHeight="false" outlineLevel="0" collapsed="false">
      <c r="A22" s="4" t="s">
        <v>39</v>
      </c>
      <c r="B22" s="7" t="n">
        <v>0.8</v>
      </c>
      <c r="C22" s="4" t="s">
        <v>11</v>
      </c>
      <c r="D22" s="6" t="s">
        <v>40</v>
      </c>
    </row>
    <row r="23" customFormat="false" ht="15" hidden="false" customHeight="false" outlineLevel="0" collapsed="false">
      <c r="A23" s="3" t="s">
        <v>41</v>
      </c>
      <c r="B23" s="3"/>
      <c r="C23" s="3"/>
      <c r="D23" s="3"/>
    </row>
    <row r="24" customFormat="false" ht="15" hidden="false" customHeight="false" outlineLevel="0" collapsed="false">
      <c r="A24" s="4" t="s">
        <v>42</v>
      </c>
      <c r="B24" s="5" t="n">
        <v>4</v>
      </c>
      <c r="C24" s="4" t="s">
        <v>43</v>
      </c>
      <c r="D24" s="6" t="s">
        <v>44</v>
      </c>
    </row>
    <row r="25" customFormat="false" ht="15" hidden="false" customHeight="false" outlineLevel="0" collapsed="false">
      <c r="A25" s="4" t="s">
        <v>45</v>
      </c>
      <c r="B25" s="7" t="n">
        <v>0.62</v>
      </c>
      <c r="C25" s="4" t="s">
        <v>11</v>
      </c>
      <c r="D25" s="6" t="s">
        <v>46</v>
      </c>
    </row>
    <row r="26" customFormat="false" ht="15" hidden="false" customHeight="false" outlineLevel="0" collapsed="false">
      <c r="A26" s="4" t="s">
        <v>47</v>
      </c>
      <c r="B26" s="7" t="n">
        <v>1.15</v>
      </c>
      <c r="C26" s="4" t="s">
        <v>11</v>
      </c>
      <c r="D26" s="6" t="s">
        <v>48</v>
      </c>
    </row>
    <row r="27" customFormat="false" ht="15" hidden="false" customHeight="false" outlineLevel="0" collapsed="false">
      <c r="A27" s="4" t="s">
        <v>49</v>
      </c>
      <c r="B27" s="5" t="n">
        <v>75</v>
      </c>
      <c r="C27" s="4" t="s">
        <v>50</v>
      </c>
      <c r="D27" s="6" t="s">
        <v>51</v>
      </c>
    </row>
    <row r="28" customFormat="false" ht="15" hidden="false" customHeight="false" outlineLevel="0" collapsed="false">
      <c r="A28" s="4" t="s">
        <v>52</v>
      </c>
      <c r="B28" s="7" t="n">
        <v>0.6</v>
      </c>
      <c r="C28" s="4" t="s">
        <v>53</v>
      </c>
      <c r="D28" s="6" t="s">
        <v>54</v>
      </c>
    </row>
    <row r="29" customFormat="false" ht="15" hidden="false" customHeight="false" outlineLevel="0" collapsed="false">
      <c r="A29" s="4" t="s">
        <v>55</v>
      </c>
      <c r="B29" s="7" t="n">
        <v>6</v>
      </c>
      <c r="C29" s="4" t="s">
        <v>11</v>
      </c>
      <c r="D29" s="6" t="s">
        <v>56</v>
      </c>
    </row>
    <row r="30" customFormat="false" ht="15" hidden="false" customHeight="false" outlineLevel="0" collapsed="false">
      <c r="A30" s="4" t="s">
        <v>57</v>
      </c>
      <c r="B30" s="7" t="n">
        <v>5</v>
      </c>
      <c r="C30" s="4" t="s">
        <v>11</v>
      </c>
      <c r="D30" s="6"/>
    </row>
    <row r="31" customFormat="false" ht="15" hidden="false" customHeight="false" outlineLevel="0" collapsed="false">
      <c r="A31" s="4" t="s">
        <v>58</v>
      </c>
      <c r="B31" s="5" t="n">
        <v>40</v>
      </c>
      <c r="C31" s="4" t="s">
        <v>59</v>
      </c>
      <c r="D31" s="6" t="s">
        <v>60</v>
      </c>
    </row>
    <row r="32" customFormat="false" ht="15" hidden="false" customHeight="false" outlineLevel="0" collapsed="false">
      <c r="A32" s="4" t="s">
        <v>61</v>
      </c>
      <c r="B32" s="5" t="n">
        <v>30</v>
      </c>
      <c r="C32" s="4" t="s">
        <v>59</v>
      </c>
      <c r="D32" s="6"/>
    </row>
    <row r="33" customFormat="false" ht="15" hidden="false" customHeight="false" outlineLevel="0" collapsed="false">
      <c r="A33" s="4" t="s">
        <v>62</v>
      </c>
      <c r="B33" s="5" t="n">
        <v>10</v>
      </c>
      <c r="C33" s="4" t="s">
        <v>59</v>
      </c>
      <c r="D33" s="6"/>
    </row>
    <row r="34" customFormat="false" ht="15" hidden="false" customHeight="false" outlineLevel="0" collapsed="false">
      <c r="A34" s="4" t="s">
        <v>63</v>
      </c>
      <c r="B34" s="5" t="n">
        <v>20</v>
      </c>
      <c r="C34" s="4" t="s">
        <v>59</v>
      </c>
      <c r="D34" s="6" t="s">
        <v>64</v>
      </c>
    </row>
    <row r="35" customFormat="false" ht="15" hidden="false" customHeight="false" outlineLevel="0" collapsed="false">
      <c r="A35" s="4" t="s">
        <v>65</v>
      </c>
      <c r="B35" s="7" t="n">
        <v>5.77</v>
      </c>
      <c r="C35" s="4" t="s">
        <v>66</v>
      </c>
      <c r="D35" s="6" t="s">
        <v>67</v>
      </c>
    </row>
    <row r="36" customFormat="false" ht="15" hidden="false" customHeight="false" outlineLevel="0" collapsed="false">
      <c r="A36" s="4" t="s">
        <v>68</v>
      </c>
      <c r="B36" s="7" t="n">
        <v>0.01</v>
      </c>
      <c r="C36" s="4" t="s">
        <v>69</v>
      </c>
      <c r="D36" s="6" t="s">
        <v>70</v>
      </c>
    </row>
    <row r="37" customFormat="false" ht="15" hidden="false" customHeight="false" outlineLevel="0" collapsed="false">
      <c r="A37" s="4" t="s">
        <v>71</v>
      </c>
      <c r="B37" s="7" t="n">
        <v>0.3</v>
      </c>
      <c r="C37" s="4" t="s">
        <v>69</v>
      </c>
      <c r="D37" s="6" t="s">
        <v>72</v>
      </c>
    </row>
    <row r="38" customFormat="false" ht="15" hidden="false" customHeight="false" outlineLevel="0" collapsed="false">
      <c r="A38" s="3" t="s">
        <v>73</v>
      </c>
      <c r="B38" s="3"/>
      <c r="C38" s="3"/>
      <c r="D38" s="3"/>
    </row>
    <row r="39" customFormat="false" ht="15" hidden="false" customHeight="false" outlineLevel="0" collapsed="false">
      <c r="A39" s="4" t="s">
        <v>74</v>
      </c>
      <c r="B39" s="7" t="n">
        <v>3</v>
      </c>
      <c r="C39" s="4" t="s">
        <v>11</v>
      </c>
      <c r="D39" s="6" t="s">
        <v>75</v>
      </c>
    </row>
    <row r="40" customFormat="false" ht="15" hidden="false" customHeight="false" outlineLevel="0" collapsed="false">
      <c r="A40" s="4" t="s">
        <v>76</v>
      </c>
      <c r="B40" s="7" t="n">
        <v>2.6</v>
      </c>
      <c r="C40" s="4" t="s">
        <v>11</v>
      </c>
      <c r="D40" s="6" t="s">
        <v>77</v>
      </c>
    </row>
    <row r="41" customFormat="false" ht="15" hidden="false" customHeight="false" outlineLevel="0" collapsed="false">
      <c r="A41" s="4" t="s">
        <v>78</v>
      </c>
      <c r="B41" s="5" t="n">
        <v>400</v>
      </c>
      <c r="C41" s="4" t="s">
        <v>79</v>
      </c>
      <c r="D41" s="6" t="s">
        <v>80</v>
      </c>
    </row>
    <row r="42" customFormat="false" ht="15" hidden="false" customHeight="false" outlineLevel="0" collapsed="false">
      <c r="A42" s="4" t="s">
        <v>81</v>
      </c>
      <c r="B42" s="7" t="n">
        <v>0.95</v>
      </c>
      <c r="C42" s="4" t="s">
        <v>11</v>
      </c>
      <c r="D42" s="6"/>
    </row>
    <row r="43" customFormat="false" ht="15" hidden="false" customHeight="false" outlineLevel="0" collapsed="false">
      <c r="A43" s="4" t="s">
        <v>82</v>
      </c>
      <c r="B43" s="7" t="n">
        <v>0.92</v>
      </c>
      <c r="C43" s="4" t="s">
        <v>11</v>
      </c>
      <c r="D43" s="6"/>
    </row>
    <row r="44" customFormat="false" ht="15" hidden="false" customHeight="false" outlineLevel="0" collapsed="false">
      <c r="A44" s="4" t="s">
        <v>83</v>
      </c>
      <c r="B44" s="7" t="n">
        <v>1.25</v>
      </c>
      <c r="C44" s="4" t="s">
        <v>11</v>
      </c>
      <c r="D44" s="6" t="s">
        <v>84</v>
      </c>
    </row>
    <row r="45" customFormat="false" ht="15" hidden="false" customHeight="false" outlineLevel="0" collapsed="false">
      <c r="A45" s="3" t="s">
        <v>85</v>
      </c>
      <c r="B45" s="3"/>
      <c r="C45" s="3"/>
      <c r="D45" s="3"/>
    </row>
    <row r="46" customFormat="false" ht="15" hidden="false" customHeight="false" outlineLevel="0" collapsed="false">
      <c r="A46" s="4" t="s">
        <v>86</v>
      </c>
      <c r="B46" s="7" t="n">
        <v>0.2</v>
      </c>
      <c r="C46" s="4" t="s">
        <v>87</v>
      </c>
      <c r="D46" s="6" t="s">
        <v>88</v>
      </c>
    </row>
    <row r="47" customFormat="false" ht="15" hidden="false" customHeight="false" outlineLevel="0" collapsed="false">
      <c r="A47" s="4" t="s">
        <v>89</v>
      </c>
      <c r="B47" s="7" t="n">
        <v>0.25</v>
      </c>
      <c r="C47" s="4" t="s">
        <v>87</v>
      </c>
      <c r="D47" s="6" t="s">
        <v>90</v>
      </c>
    </row>
    <row r="48" customFormat="false" ht="15" hidden="false" customHeight="false" outlineLevel="0" collapsed="false">
      <c r="A48" s="4" t="s">
        <v>91</v>
      </c>
      <c r="B48" s="7" t="n">
        <v>0.35</v>
      </c>
      <c r="C48" s="4" t="s">
        <v>87</v>
      </c>
      <c r="D48" s="6" t="s">
        <v>92</v>
      </c>
    </row>
    <row r="49" customFormat="false" ht="15" hidden="false" customHeight="false" outlineLevel="0" collapsed="false">
      <c r="A49" s="4" t="s">
        <v>93</v>
      </c>
      <c r="B49" s="7" t="n">
        <v>0.5</v>
      </c>
      <c r="C49" s="4" t="s">
        <v>11</v>
      </c>
      <c r="D49" s="6" t="s">
        <v>94</v>
      </c>
    </row>
    <row r="50" customFormat="false" ht="15" hidden="false" customHeight="false" outlineLevel="0" collapsed="false">
      <c r="A50" s="4" t="s">
        <v>95</v>
      </c>
      <c r="B50" s="7" t="n">
        <v>1.8</v>
      </c>
      <c r="C50" s="4" t="s">
        <v>87</v>
      </c>
      <c r="D50" s="6" t="s">
        <v>96</v>
      </c>
    </row>
    <row r="51" customFormat="false" ht="15" hidden="false" customHeight="false" outlineLevel="0" collapsed="false">
      <c r="A51" s="4" t="s">
        <v>97</v>
      </c>
      <c r="B51" s="7" t="n">
        <v>0.5</v>
      </c>
      <c r="C51" s="4" t="s">
        <v>11</v>
      </c>
      <c r="D51" s="6" t="s">
        <v>98</v>
      </c>
    </row>
    <row r="52" customFormat="false" ht="15" hidden="false" customHeight="false" outlineLevel="0" collapsed="false">
      <c r="A52" s="4" t="s">
        <v>99</v>
      </c>
      <c r="B52" s="7" t="n">
        <v>0.3</v>
      </c>
      <c r="C52" s="4" t="s">
        <v>100</v>
      </c>
      <c r="D52" s="6" t="s">
        <v>101</v>
      </c>
    </row>
    <row r="54" customFormat="false" ht="15" hidden="false" customHeight="false" outlineLevel="0" collapsed="false">
      <c r="A54" s="3" t="s">
        <v>102</v>
      </c>
    </row>
    <row r="55" customFormat="false" ht="15" hidden="false" customHeight="false" outlineLevel="0" collapsed="false">
      <c r="A55" s="8" t="s">
        <v>103</v>
      </c>
      <c r="B55" s="8" t="s">
        <v>104</v>
      </c>
      <c r="C55" s="8" t="s">
        <v>105</v>
      </c>
      <c r="D55" s="8" t="s">
        <v>106</v>
      </c>
      <c r="E55" s="8" t="s">
        <v>107</v>
      </c>
      <c r="F55" s="8" t="s">
        <v>108</v>
      </c>
    </row>
    <row r="56" customFormat="false" ht="15" hidden="false" customHeight="false" outlineLevel="0" collapsed="false">
      <c r="A56" s="9" t="s">
        <v>109</v>
      </c>
      <c r="B56" s="10" t="n">
        <v>12</v>
      </c>
      <c r="C56" s="11" t="n">
        <v>0.8</v>
      </c>
      <c r="D56" s="11" t="n">
        <v>0.15</v>
      </c>
      <c r="E56" s="12" t="n">
        <f aca="false">B56*6</f>
        <v>72</v>
      </c>
      <c r="F56" s="13" t="s">
        <v>110</v>
      </c>
    </row>
    <row r="57" customFormat="false" ht="15" hidden="false" customHeight="false" outlineLevel="0" collapsed="false">
      <c r="A57" s="9" t="s">
        <v>111</v>
      </c>
      <c r="B57" s="10" t="n">
        <v>15</v>
      </c>
      <c r="C57" s="11" t="n">
        <v>0.85</v>
      </c>
      <c r="D57" s="11" t="n">
        <v>0.05</v>
      </c>
      <c r="E57" s="12" t="n">
        <f aca="false">B57*4.5</f>
        <v>67.5</v>
      </c>
      <c r="F57" s="13" t="s">
        <v>112</v>
      </c>
    </row>
    <row r="58" customFormat="false" ht="15" hidden="false" customHeight="false" outlineLevel="0" collapsed="false">
      <c r="A58" s="9" t="s">
        <v>113</v>
      </c>
      <c r="B58" s="10" t="n">
        <v>20</v>
      </c>
      <c r="C58" s="11" t="n">
        <v>0.85</v>
      </c>
      <c r="D58" s="11" t="n">
        <v>0.15</v>
      </c>
      <c r="E58" s="12" t="n">
        <f aca="false">B58*4.5</f>
        <v>90</v>
      </c>
      <c r="F58" s="13" t="s">
        <v>114</v>
      </c>
    </row>
    <row r="60" customFormat="false" ht="15" hidden="false" customHeight="false" outlineLevel="0" collapsed="false">
      <c r="A60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2"/>
    <col collapsed="false" customWidth="true" hidden="false" outlineLevel="0" max="25" min="4" style="0" width="13"/>
  </cols>
  <sheetData>
    <row r="1" customFormat="false" ht="16.1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48" hidden="false" customHeight="true" outlineLevel="0" collapsed="false">
      <c r="A4" s="14" t="s">
        <v>118</v>
      </c>
      <c r="B4" s="14" t="s">
        <v>119</v>
      </c>
      <c r="C4" s="14" t="s">
        <v>120</v>
      </c>
      <c r="D4" s="14" t="s">
        <v>121</v>
      </c>
      <c r="E4" s="14" t="s">
        <v>122</v>
      </c>
      <c r="F4" s="14" t="s">
        <v>123</v>
      </c>
      <c r="G4" s="14" t="s">
        <v>124</v>
      </c>
      <c r="H4" s="14" t="s">
        <v>104</v>
      </c>
      <c r="I4" s="14" t="s">
        <v>125</v>
      </c>
      <c r="J4" s="14" t="s">
        <v>126</v>
      </c>
      <c r="K4" s="14" t="s">
        <v>127</v>
      </c>
      <c r="L4" s="14" t="s">
        <v>128</v>
      </c>
      <c r="M4" s="14" t="s">
        <v>129</v>
      </c>
      <c r="N4" s="14" t="s">
        <v>130</v>
      </c>
      <c r="O4" s="14" t="s">
        <v>131</v>
      </c>
      <c r="P4" s="14" t="s">
        <v>132</v>
      </c>
      <c r="Q4" s="14" t="s">
        <v>133</v>
      </c>
      <c r="R4" s="14" t="s">
        <v>134</v>
      </c>
      <c r="S4" s="14" t="s">
        <v>135</v>
      </c>
      <c r="T4" s="14" t="s">
        <v>136</v>
      </c>
      <c r="U4" s="14" t="s">
        <v>137</v>
      </c>
      <c r="V4" s="14" t="s">
        <v>138</v>
      </c>
      <c r="W4" s="14" t="s">
        <v>139</v>
      </c>
      <c r="X4" s="14" t="s">
        <v>140</v>
      </c>
      <c r="Y4" s="14" t="s">
        <v>141</v>
      </c>
    </row>
    <row r="5" customFormat="false" ht="15" hidden="false" customHeight="false" outlineLevel="0" collapsed="false">
      <c r="A5" s="15" t="s">
        <v>142</v>
      </c>
      <c r="B5" s="16" t="s">
        <v>143</v>
      </c>
      <c r="C5" s="4" t="s">
        <v>144</v>
      </c>
      <c r="D5" s="16" t="s">
        <v>109</v>
      </c>
      <c r="E5" s="17" t="n">
        <v>1750.3</v>
      </c>
      <c r="F5" s="18" t="n">
        <v>6</v>
      </c>
      <c r="G5" s="19" t="n">
        <f aca="false">E5*F5</f>
        <v>10501.8</v>
      </c>
      <c r="H5" s="20" t="n">
        <f aca="false">VLOOKUP(D5,TIP_TABLO,2,FALSE())</f>
        <v>12</v>
      </c>
      <c r="I5" s="19" t="n">
        <f aca="false">G5*H5</f>
        <v>126021.6</v>
      </c>
      <c r="J5" s="19" t="n">
        <f aca="false">I5*VLOOKUP(D5,TIP_TABLO,3,FALSE())</f>
        <v>100817.28</v>
      </c>
      <c r="K5" s="19" t="n">
        <f aca="false">I5-J5</f>
        <v>25204.32</v>
      </c>
      <c r="L5" s="19" t="n">
        <f aca="false">ROUND(E5*VLOOKUP(D5,TIP_TABLO,4,FALSE()),0)</f>
        <v>263</v>
      </c>
      <c r="M5" s="19" t="n">
        <f aca="false">(L5*q_kisi+E5*q_alan)*3.6</f>
        <v>11038.356</v>
      </c>
      <c r="N5" s="17" t="n">
        <v>1750.3</v>
      </c>
      <c r="O5" s="21" t="n">
        <v>44.9</v>
      </c>
      <c r="P5" s="21" t="n">
        <v>0</v>
      </c>
      <c r="Q5" s="22" t="n">
        <f aca="false">O5*F5-R5</f>
        <v>269.4</v>
      </c>
      <c r="R5" s="22" t="n">
        <f aca="false">P5*F5*cam_oran</f>
        <v>0</v>
      </c>
      <c r="S5" s="12" t="n">
        <f aca="false">Ti_kis-To_kis</f>
        <v>23</v>
      </c>
      <c r="T5" s="19" t="n">
        <f aca="false">N5*U_cati*S5</f>
        <v>8051.38</v>
      </c>
      <c r="U5" s="19" t="n">
        <f aca="false">Q5*U_duvar*S5</f>
        <v>1549.05</v>
      </c>
      <c r="V5" s="19" t="n">
        <f aca="false">R5*U_cam*S5</f>
        <v>0</v>
      </c>
      <c r="W5" s="19" t="n">
        <f aca="false">E5*U_zemin*f_zemin*S5</f>
        <v>7044.9575</v>
      </c>
      <c r="X5" s="19" t="n">
        <f aca="false">n_siz*G5*rho*cp/3.6*S5</f>
        <v>24299.06484</v>
      </c>
      <c r="Y5" s="19" t="n">
        <f aca="false">SUM(T5:X5)</f>
        <v>40944.45234</v>
      </c>
    </row>
    <row r="6" customFormat="false" ht="15" hidden="false" customHeight="false" outlineLevel="0" collapsed="false">
      <c r="A6" s="15" t="s">
        <v>142</v>
      </c>
      <c r="B6" s="16" t="s">
        <v>145</v>
      </c>
      <c r="C6" s="4" t="s">
        <v>111</v>
      </c>
      <c r="D6" s="16" t="s">
        <v>111</v>
      </c>
      <c r="E6" s="17" t="n">
        <v>371.3</v>
      </c>
      <c r="F6" s="18" t="n">
        <v>4.5</v>
      </c>
      <c r="G6" s="19" t="n">
        <f aca="false">E6*F6</f>
        <v>1670.85</v>
      </c>
      <c r="H6" s="20" t="n">
        <f aca="false">VLOOKUP(D6,TIP_TABLO,2,FALSE())</f>
        <v>15</v>
      </c>
      <c r="I6" s="19" t="n">
        <f aca="false">G6*H6</f>
        <v>25062.75</v>
      </c>
      <c r="J6" s="19" t="n">
        <f aca="false">I6*VLOOKUP(D6,TIP_TABLO,3,FALSE())</f>
        <v>21303.3375</v>
      </c>
      <c r="K6" s="19" t="n">
        <f aca="false">I6-J6</f>
        <v>3759.4125</v>
      </c>
      <c r="L6" s="19" t="n">
        <f aca="false">ROUND(E6*VLOOKUP(D6,TIP_TABLO,4,FALSE()),0)</f>
        <v>19</v>
      </c>
      <c r="M6" s="19" t="n">
        <f aca="false">(L6*q_kisi+E6*q_alan)*3.6</f>
        <v>1414.476</v>
      </c>
      <c r="N6" s="17" t="n">
        <v>371.3</v>
      </c>
      <c r="O6" s="21" t="n">
        <v>0</v>
      </c>
      <c r="P6" s="21" t="n">
        <v>0</v>
      </c>
      <c r="Q6" s="22" t="n">
        <f aca="false">O6*F6-R6</f>
        <v>0</v>
      </c>
      <c r="R6" s="22" t="n">
        <f aca="false">P6*F6*cam_oran</f>
        <v>0</v>
      </c>
      <c r="S6" s="12" t="n">
        <f aca="false">Ti_kis-To_kis</f>
        <v>23</v>
      </c>
      <c r="T6" s="19" t="n">
        <f aca="false">N6*U_cati*S6</f>
        <v>1707.98</v>
      </c>
      <c r="U6" s="19" t="n">
        <f aca="false">Q6*U_duvar*S6</f>
        <v>0</v>
      </c>
      <c r="V6" s="19" t="n">
        <f aca="false">R6*U_cam*S6</f>
        <v>0</v>
      </c>
      <c r="W6" s="19" t="n">
        <f aca="false">E6*U_zemin*f_zemin*S6</f>
        <v>1494.4825</v>
      </c>
      <c r="X6" s="19" t="n">
        <f aca="false">n_siz*G6*rho*cp/3.6*S6</f>
        <v>3866.01273</v>
      </c>
      <c r="Y6" s="19" t="n">
        <f aca="false">SUM(T6:X6)</f>
        <v>7068.47523</v>
      </c>
    </row>
    <row r="7" customFormat="false" ht="15" hidden="false" customHeight="false" outlineLevel="0" collapsed="false">
      <c r="A7" s="15" t="s">
        <v>142</v>
      </c>
      <c r="B7" s="16" t="s">
        <v>146</v>
      </c>
      <c r="C7" s="4" t="s">
        <v>113</v>
      </c>
      <c r="D7" s="16" t="s">
        <v>113</v>
      </c>
      <c r="E7" s="17" t="n">
        <v>265.2</v>
      </c>
      <c r="F7" s="18" t="n">
        <v>4.5</v>
      </c>
      <c r="G7" s="19" t="n">
        <f aca="false">E7*F7</f>
        <v>1193.4</v>
      </c>
      <c r="H7" s="20" t="n">
        <f aca="false">VLOOKUP(D7,TIP_TABLO,2,FALSE())</f>
        <v>20</v>
      </c>
      <c r="I7" s="19" t="n">
        <f aca="false">G7*H7</f>
        <v>23868</v>
      </c>
      <c r="J7" s="19" t="n">
        <f aca="false">I7*VLOOKUP(D7,TIP_TABLO,3,FALSE())</f>
        <v>20287.8</v>
      </c>
      <c r="K7" s="19" t="n">
        <f aca="false">I7-J7</f>
        <v>3580.2</v>
      </c>
      <c r="L7" s="19" t="n">
        <f aca="false">ROUND(E7*VLOOKUP(D7,TIP_TABLO,4,FALSE()),0)</f>
        <v>40</v>
      </c>
      <c r="M7" s="19" t="n">
        <f aca="false">(L7*q_kisi+E7*q_alan)*3.6</f>
        <v>1676.304</v>
      </c>
      <c r="N7" s="17" t="n">
        <v>265.2</v>
      </c>
      <c r="O7" s="21" t="n">
        <v>18.7</v>
      </c>
      <c r="P7" s="21" t="n">
        <v>18.7</v>
      </c>
      <c r="Q7" s="22" t="n">
        <f aca="false">O7*F7-R7</f>
        <v>42.075</v>
      </c>
      <c r="R7" s="22" t="n">
        <f aca="false">P7*F7*cam_oran</f>
        <v>42.075</v>
      </c>
      <c r="S7" s="12" t="n">
        <f aca="false">Ti_kis-To_kis</f>
        <v>23</v>
      </c>
      <c r="T7" s="19" t="n">
        <f aca="false">N7*U_cati*S7</f>
        <v>1219.92</v>
      </c>
      <c r="U7" s="19" t="n">
        <f aca="false">Q7*U_duvar*S7</f>
        <v>241.93125</v>
      </c>
      <c r="V7" s="19" t="n">
        <f aca="false">R7*U_cam*S7</f>
        <v>1741.905</v>
      </c>
      <c r="W7" s="19" t="n">
        <f aca="false">E7*U_zemin*f_zemin*S7</f>
        <v>1067.43</v>
      </c>
      <c r="X7" s="19" t="n">
        <f aca="false">n_siz*G7*rho*cp/3.6*S7</f>
        <v>2761.28892</v>
      </c>
      <c r="Y7" s="19" t="n">
        <f aca="false">SUM(T7:X7)</f>
        <v>7032.47517</v>
      </c>
    </row>
    <row r="8" customFormat="false" ht="15" hidden="false" customHeight="false" outlineLevel="0" collapsed="false">
      <c r="A8" s="15" t="s">
        <v>147</v>
      </c>
      <c r="B8" s="16" t="s">
        <v>143</v>
      </c>
      <c r="C8" s="4" t="s">
        <v>144</v>
      </c>
      <c r="D8" s="16" t="s">
        <v>109</v>
      </c>
      <c r="E8" s="17" t="n">
        <v>1617.3</v>
      </c>
      <c r="F8" s="18" t="n">
        <v>6</v>
      </c>
      <c r="G8" s="19" t="n">
        <f aca="false">E8*F8</f>
        <v>9703.8</v>
      </c>
      <c r="H8" s="20" t="n">
        <f aca="false">VLOOKUP(D8,TIP_TABLO,2,FALSE())</f>
        <v>12</v>
      </c>
      <c r="I8" s="19" t="n">
        <f aca="false">G8*H8</f>
        <v>116445.6</v>
      </c>
      <c r="J8" s="19" t="n">
        <f aca="false">I8*VLOOKUP(D8,TIP_TABLO,3,FALSE())</f>
        <v>93156.48</v>
      </c>
      <c r="K8" s="19" t="n">
        <f aca="false">I8-J8</f>
        <v>23289.12</v>
      </c>
      <c r="L8" s="19" t="n">
        <f aca="false">ROUND(E8*VLOOKUP(D8,TIP_TABLO,4,FALSE()),0)</f>
        <v>243</v>
      </c>
      <c r="M8" s="19" t="n">
        <f aca="false">(L8*q_kisi+E8*q_alan)*3.6</f>
        <v>10199.196</v>
      </c>
      <c r="N8" s="17" t="n">
        <v>1617.3</v>
      </c>
      <c r="O8" s="21" t="n">
        <v>42.5</v>
      </c>
      <c r="P8" s="21" t="n">
        <v>0</v>
      </c>
      <c r="Q8" s="22" t="n">
        <f aca="false">O8*F8-R8</f>
        <v>255</v>
      </c>
      <c r="R8" s="22" t="n">
        <f aca="false">P8*F8*cam_oran</f>
        <v>0</v>
      </c>
      <c r="S8" s="12" t="n">
        <f aca="false">Ti_kis-To_kis</f>
        <v>23</v>
      </c>
      <c r="T8" s="19" t="n">
        <f aca="false">N8*U_cati*S8</f>
        <v>7439.58</v>
      </c>
      <c r="U8" s="19" t="n">
        <f aca="false">Q8*U_duvar*S8</f>
        <v>1466.25</v>
      </c>
      <c r="V8" s="19" t="n">
        <f aca="false">R8*U_cam*S8</f>
        <v>0</v>
      </c>
      <c r="W8" s="19" t="n">
        <f aca="false">E8*U_zemin*f_zemin*S8</f>
        <v>6509.6325</v>
      </c>
      <c r="X8" s="19" t="n">
        <f aca="false">n_siz*G8*rho*cp/3.6*S8</f>
        <v>22452.65244</v>
      </c>
      <c r="Y8" s="19" t="n">
        <f aca="false">SUM(T8:X8)</f>
        <v>37868.11494</v>
      </c>
    </row>
    <row r="9" customFormat="false" ht="15" hidden="false" customHeight="false" outlineLevel="0" collapsed="false">
      <c r="A9" s="15" t="s">
        <v>147</v>
      </c>
      <c r="B9" s="16" t="s">
        <v>145</v>
      </c>
      <c r="C9" s="4" t="s">
        <v>111</v>
      </c>
      <c r="D9" s="16" t="s">
        <v>111</v>
      </c>
      <c r="E9" s="17" t="n">
        <v>330.2</v>
      </c>
      <c r="F9" s="18" t="n">
        <v>4.5</v>
      </c>
      <c r="G9" s="19" t="n">
        <f aca="false">E9*F9</f>
        <v>1485.9</v>
      </c>
      <c r="H9" s="20" t="n">
        <f aca="false">VLOOKUP(D9,TIP_TABLO,2,FALSE())</f>
        <v>15</v>
      </c>
      <c r="I9" s="19" t="n">
        <f aca="false">G9*H9</f>
        <v>22288.5</v>
      </c>
      <c r="J9" s="19" t="n">
        <f aca="false">I9*VLOOKUP(D9,TIP_TABLO,3,FALSE())</f>
        <v>18945.225</v>
      </c>
      <c r="K9" s="19" t="n">
        <f aca="false">I9-J9</f>
        <v>3343.275</v>
      </c>
      <c r="L9" s="19" t="n">
        <f aca="false">ROUND(E9*VLOOKUP(D9,TIP_TABLO,4,FALSE()),0)</f>
        <v>17</v>
      </c>
      <c r="M9" s="19" t="n">
        <f aca="false">(L9*q_kisi+E9*q_alan)*3.6</f>
        <v>1260.504</v>
      </c>
      <c r="N9" s="17" t="n">
        <v>330.2</v>
      </c>
      <c r="O9" s="21" t="n">
        <v>0</v>
      </c>
      <c r="P9" s="21" t="n">
        <v>0</v>
      </c>
      <c r="Q9" s="22" t="n">
        <f aca="false">O9*F9-R9</f>
        <v>0</v>
      </c>
      <c r="R9" s="22" t="n">
        <f aca="false">P9*F9*cam_oran</f>
        <v>0</v>
      </c>
      <c r="S9" s="12" t="n">
        <f aca="false">Ti_kis-To_kis</f>
        <v>23</v>
      </c>
      <c r="T9" s="19" t="n">
        <f aca="false">N9*U_cati*S9</f>
        <v>1518.92</v>
      </c>
      <c r="U9" s="19" t="n">
        <f aca="false">Q9*U_duvar*S9</f>
        <v>0</v>
      </c>
      <c r="V9" s="19" t="n">
        <f aca="false">R9*U_cam*S9</f>
        <v>0</v>
      </c>
      <c r="W9" s="19" t="n">
        <f aca="false">E9*U_zemin*f_zemin*S9</f>
        <v>1329.055</v>
      </c>
      <c r="X9" s="19" t="n">
        <f aca="false">n_siz*G9*rho*cp/3.6*S9</f>
        <v>3438.07542</v>
      </c>
      <c r="Y9" s="19" t="n">
        <f aca="false">SUM(T9:X9)</f>
        <v>6286.05042</v>
      </c>
    </row>
    <row r="10" customFormat="false" ht="15" hidden="false" customHeight="false" outlineLevel="0" collapsed="false">
      <c r="A10" s="15" t="s">
        <v>147</v>
      </c>
      <c r="B10" s="16" t="s">
        <v>148</v>
      </c>
      <c r="C10" s="4" t="s">
        <v>113</v>
      </c>
      <c r="D10" s="16" t="s">
        <v>113</v>
      </c>
      <c r="E10" s="17" t="n">
        <v>264.9</v>
      </c>
      <c r="F10" s="18" t="n">
        <v>4.5</v>
      </c>
      <c r="G10" s="19" t="n">
        <f aca="false">E10*F10</f>
        <v>1192.05</v>
      </c>
      <c r="H10" s="20" t="n">
        <f aca="false">VLOOKUP(D10,TIP_TABLO,2,FALSE())</f>
        <v>20</v>
      </c>
      <c r="I10" s="19" t="n">
        <f aca="false">G10*H10</f>
        <v>23841</v>
      </c>
      <c r="J10" s="19" t="n">
        <f aca="false">I10*VLOOKUP(D10,TIP_TABLO,3,FALSE())</f>
        <v>20264.85</v>
      </c>
      <c r="K10" s="19" t="n">
        <f aca="false">I10-J10</f>
        <v>3576.15</v>
      </c>
      <c r="L10" s="19" t="n">
        <f aca="false">ROUND(E10*VLOOKUP(D10,TIP_TABLO,4,FALSE()),0)</f>
        <v>40</v>
      </c>
      <c r="M10" s="19" t="n">
        <f aca="false">(L10*q_kisi+E10*q_alan)*3.6</f>
        <v>1675.548</v>
      </c>
      <c r="N10" s="17" t="n">
        <v>264.9</v>
      </c>
      <c r="O10" s="21" t="n">
        <v>18.7</v>
      </c>
      <c r="P10" s="21" t="n">
        <v>18.7</v>
      </c>
      <c r="Q10" s="22" t="n">
        <f aca="false">O10*F10-R10</f>
        <v>42.075</v>
      </c>
      <c r="R10" s="22" t="n">
        <f aca="false">P10*F10*cam_oran</f>
        <v>42.075</v>
      </c>
      <c r="S10" s="12" t="n">
        <f aca="false">Ti_kis-To_kis</f>
        <v>23</v>
      </c>
      <c r="T10" s="19" t="n">
        <f aca="false">N10*U_cati*S10</f>
        <v>1218.54</v>
      </c>
      <c r="U10" s="19" t="n">
        <f aca="false">Q10*U_duvar*S10</f>
        <v>241.93125</v>
      </c>
      <c r="V10" s="19" t="n">
        <f aca="false">R10*U_cam*S10</f>
        <v>1741.905</v>
      </c>
      <c r="W10" s="19" t="n">
        <f aca="false">E10*U_zemin*f_zemin*S10</f>
        <v>1066.2225</v>
      </c>
      <c r="X10" s="19" t="n">
        <f aca="false">n_siz*G10*rho*cp/3.6*S10</f>
        <v>2758.16529</v>
      </c>
      <c r="Y10" s="19" t="n">
        <f aca="false">SUM(T10:X10)</f>
        <v>7026.76404</v>
      </c>
    </row>
    <row r="11" customFormat="false" ht="15" hidden="false" customHeight="false" outlineLevel="0" collapsed="false">
      <c r="A11" s="15" t="s">
        <v>149</v>
      </c>
      <c r="B11" s="16" t="s">
        <v>143</v>
      </c>
      <c r="C11" s="4" t="s">
        <v>144</v>
      </c>
      <c r="D11" s="16" t="s">
        <v>109</v>
      </c>
      <c r="E11" s="17" t="n">
        <v>1741.7</v>
      </c>
      <c r="F11" s="18" t="n">
        <v>6</v>
      </c>
      <c r="G11" s="19" t="n">
        <f aca="false">E11*F11</f>
        <v>10450.2</v>
      </c>
      <c r="H11" s="20" t="n">
        <f aca="false">VLOOKUP(D11,TIP_TABLO,2,FALSE())</f>
        <v>12</v>
      </c>
      <c r="I11" s="19" t="n">
        <f aca="false">G11*H11</f>
        <v>125402.4</v>
      </c>
      <c r="J11" s="19" t="n">
        <f aca="false">I11*VLOOKUP(D11,TIP_TABLO,3,FALSE())</f>
        <v>100321.92</v>
      </c>
      <c r="K11" s="19" t="n">
        <f aca="false">I11-J11</f>
        <v>25080.48</v>
      </c>
      <c r="L11" s="19" t="n">
        <f aca="false">ROUND(E11*VLOOKUP(D11,TIP_TABLO,4,FALSE()),0)</f>
        <v>261</v>
      </c>
      <c r="M11" s="19" t="n">
        <f aca="false">(L11*q_kisi+E11*q_alan)*3.6</f>
        <v>10966.284</v>
      </c>
      <c r="N11" s="17" t="n">
        <v>1741.7</v>
      </c>
      <c r="O11" s="21" t="n">
        <v>45.5</v>
      </c>
      <c r="P11" s="21" t="n">
        <v>0</v>
      </c>
      <c r="Q11" s="22" t="n">
        <f aca="false">O11*F11-R11</f>
        <v>273</v>
      </c>
      <c r="R11" s="22" t="n">
        <f aca="false">P11*F11*cam_oran</f>
        <v>0</v>
      </c>
      <c r="S11" s="12" t="n">
        <f aca="false">Ti_kis-To_kis</f>
        <v>23</v>
      </c>
      <c r="T11" s="19" t="n">
        <f aca="false">N11*U_cati*S11</f>
        <v>8011.82</v>
      </c>
      <c r="U11" s="19" t="n">
        <f aca="false">Q11*U_duvar*S11</f>
        <v>1569.75</v>
      </c>
      <c r="V11" s="19" t="n">
        <f aca="false">R11*U_cam*S11</f>
        <v>0</v>
      </c>
      <c r="W11" s="19" t="n">
        <f aca="false">E11*U_zemin*f_zemin*S11</f>
        <v>7010.3425</v>
      </c>
      <c r="X11" s="19" t="n">
        <f aca="false">n_siz*G11*rho*cp/3.6*S11</f>
        <v>24179.67276</v>
      </c>
      <c r="Y11" s="19" t="n">
        <f aca="false">SUM(T11:X11)</f>
        <v>40771.58526</v>
      </c>
    </row>
    <row r="12" customFormat="false" ht="15" hidden="false" customHeight="false" outlineLevel="0" collapsed="false">
      <c r="A12" s="15" t="s">
        <v>149</v>
      </c>
      <c r="B12" s="16" t="s">
        <v>145</v>
      </c>
      <c r="C12" s="4" t="s">
        <v>111</v>
      </c>
      <c r="D12" s="16" t="s">
        <v>111</v>
      </c>
      <c r="E12" s="17" t="n">
        <v>237.7</v>
      </c>
      <c r="F12" s="18" t="n">
        <v>4.5</v>
      </c>
      <c r="G12" s="19" t="n">
        <f aca="false">E12*F12</f>
        <v>1069.65</v>
      </c>
      <c r="H12" s="20" t="n">
        <f aca="false">VLOOKUP(D12,TIP_TABLO,2,FALSE())</f>
        <v>15</v>
      </c>
      <c r="I12" s="19" t="n">
        <f aca="false">G12*H12</f>
        <v>16044.75</v>
      </c>
      <c r="J12" s="19" t="n">
        <f aca="false">I12*VLOOKUP(D12,TIP_TABLO,3,FALSE())</f>
        <v>13638.0375</v>
      </c>
      <c r="K12" s="19" t="n">
        <f aca="false">I12-J12</f>
        <v>2406.7125</v>
      </c>
      <c r="L12" s="19" t="n">
        <f aca="false">ROUND(E12*VLOOKUP(D12,TIP_TABLO,4,FALSE()),0)</f>
        <v>12</v>
      </c>
      <c r="M12" s="19" t="n">
        <f aca="false">(L12*q_kisi+E12*q_alan)*3.6</f>
        <v>901.404</v>
      </c>
      <c r="N12" s="17" t="n">
        <v>237.7</v>
      </c>
      <c r="O12" s="21" t="n">
        <v>0</v>
      </c>
      <c r="P12" s="21" t="n">
        <v>0</v>
      </c>
      <c r="Q12" s="22" t="n">
        <f aca="false">O12*F12-R12</f>
        <v>0</v>
      </c>
      <c r="R12" s="22" t="n">
        <f aca="false">P12*F12*cam_oran</f>
        <v>0</v>
      </c>
      <c r="S12" s="12" t="n">
        <f aca="false">Ti_kis-To_kis</f>
        <v>23</v>
      </c>
      <c r="T12" s="19" t="n">
        <f aca="false">N12*U_cati*S12</f>
        <v>1093.42</v>
      </c>
      <c r="U12" s="19" t="n">
        <f aca="false">Q12*U_duvar*S12</f>
        <v>0</v>
      </c>
      <c r="V12" s="19" t="n">
        <f aca="false">R12*U_cam*S12</f>
        <v>0</v>
      </c>
      <c r="W12" s="19" t="n">
        <f aca="false">E12*U_zemin*f_zemin*S12</f>
        <v>956.7425</v>
      </c>
      <c r="X12" s="19" t="n">
        <f aca="false">n_siz*G12*rho*cp/3.6*S12</f>
        <v>2474.95617</v>
      </c>
      <c r="Y12" s="19" t="n">
        <f aca="false">SUM(T12:X12)</f>
        <v>4525.11867</v>
      </c>
    </row>
    <row r="13" customFormat="false" ht="15" hidden="false" customHeight="false" outlineLevel="0" collapsed="false">
      <c r="A13" s="15" t="s">
        <v>149</v>
      </c>
      <c r="B13" s="16" t="s">
        <v>150</v>
      </c>
      <c r="C13" s="4" t="s">
        <v>113</v>
      </c>
      <c r="D13" s="16" t="s">
        <v>113</v>
      </c>
      <c r="E13" s="17" t="n">
        <v>220.7</v>
      </c>
      <c r="F13" s="18" t="n">
        <v>4.5</v>
      </c>
      <c r="G13" s="19" t="n">
        <f aca="false">E13*F13</f>
        <v>993.15</v>
      </c>
      <c r="H13" s="20" t="n">
        <f aca="false">VLOOKUP(D13,TIP_TABLO,2,FALSE())</f>
        <v>20</v>
      </c>
      <c r="I13" s="19" t="n">
        <f aca="false">G13*H13</f>
        <v>19863</v>
      </c>
      <c r="J13" s="19" t="n">
        <f aca="false">I13*VLOOKUP(D13,TIP_TABLO,3,FALSE())</f>
        <v>16883.55</v>
      </c>
      <c r="K13" s="19" t="n">
        <f aca="false">I13-J13</f>
        <v>2979.45</v>
      </c>
      <c r="L13" s="19" t="n">
        <f aca="false">ROUND(E13*VLOOKUP(D13,TIP_TABLO,4,FALSE()),0)</f>
        <v>33</v>
      </c>
      <c r="M13" s="19" t="n">
        <f aca="false">(L13*q_kisi+E13*q_alan)*3.6</f>
        <v>1387.764</v>
      </c>
      <c r="N13" s="17" t="n">
        <v>220.7</v>
      </c>
      <c r="O13" s="21" t="n">
        <v>15.7</v>
      </c>
      <c r="P13" s="21" t="n">
        <v>15.7</v>
      </c>
      <c r="Q13" s="22" t="n">
        <f aca="false">O13*F13-R13</f>
        <v>35.325</v>
      </c>
      <c r="R13" s="22" t="n">
        <f aca="false">P13*F13*cam_oran</f>
        <v>35.325</v>
      </c>
      <c r="S13" s="12" t="n">
        <f aca="false">Ti_kis-To_kis</f>
        <v>23</v>
      </c>
      <c r="T13" s="19" t="n">
        <f aca="false">N13*U_cati*S13</f>
        <v>1015.22</v>
      </c>
      <c r="U13" s="19" t="n">
        <f aca="false">Q13*U_duvar*S13</f>
        <v>203.11875</v>
      </c>
      <c r="V13" s="19" t="n">
        <f aca="false">R13*U_cam*S13</f>
        <v>1462.455</v>
      </c>
      <c r="W13" s="19" t="n">
        <f aca="false">E13*U_zemin*f_zemin*S13</f>
        <v>888.3175</v>
      </c>
      <c r="X13" s="19" t="n">
        <f aca="false">n_siz*G13*rho*cp/3.6*S13</f>
        <v>2297.95047</v>
      </c>
      <c r="Y13" s="19" t="n">
        <f aca="false">SUM(T13:X13)</f>
        <v>5867.06172</v>
      </c>
    </row>
    <row r="14" customFormat="false" ht="15" hidden="false" customHeight="false" outlineLevel="0" collapsed="false">
      <c r="A14" s="15" t="s">
        <v>151</v>
      </c>
      <c r="B14" s="16" t="s">
        <v>143</v>
      </c>
      <c r="C14" s="4" t="s">
        <v>144</v>
      </c>
      <c r="D14" s="16" t="s">
        <v>109</v>
      </c>
      <c r="E14" s="17" t="n">
        <v>1885.3</v>
      </c>
      <c r="F14" s="18" t="n">
        <v>6</v>
      </c>
      <c r="G14" s="19" t="n">
        <f aca="false">E14*F14</f>
        <v>11311.8</v>
      </c>
      <c r="H14" s="20" t="n">
        <f aca="false">VLOOKUP(D14,TIP_TABLO,2,FALSE())</f>
        <v>12</v>
      </c>
      <c r="I14" s="19" t="n">
        <f aca="false">G14*H14</f>
        <v>135741.6</v>
      </c>
      <c r="J14" s="19" t="n">
        <f aca="false">I14*VLOOKUP(D14,TIP_TABLO,3,FALSE())</f>
        <v>108593.28</v>
      </c>
      <c r="K14" s="19" t="n">
        <f aca="false">I14-J14</f>
        <v>27148.32</v>
      </c>
      <c r="L14" s="19" t="n">
        <f aca="false">ROUND(E14*VLOOKUP(D14,TIP_TABLO,4,FALSE()),0)</f>
        <v>283</v>
      </c>
      <c r="M14" s="19" t="n">
        <f aca="false">(L14*q_kisi+E14*q_alan)*3.6</f>
        <v>11882.556</v>
      </c>
      <c r="N14" s="17" t="n">
        <v>1885.3</v>
      </c>
      <c r="O14" s="21" t="n">
        <v>87.3</v>
      </c>
      <c r="P14" s="21" t="n">
        <v>0</v>
      </c>
      <c r="Q14" s="22" t="n">
        <f aca="false">O14*F14-R14</f>
        <v>523.8</v>
      </c>
      <c r="R14" s="22" t="n">
        <f aca="false">P14*F14*cam_oran</f>
        <v>0</v>
      </c>
      <c r="S14" s="12" t="n">
        <f aca="false">Ti_kis-To_kis</f>
        <v>23</v>
      </c>
      <c r="T14" s="19" t="n">
        <f aca="false">N14*U_cati*S14</f>
        <v>8672.38</v>
      </c>
      <c r="U14" s="19" t="n">
        <f aca="false">Q14*U_duvar*S14</f>
        <v>3011.85</v>
      </c>
      <c r="V14" s="19" t="n">
        <f aca="false">R14*U_cam*S14</f>
        <v>0</v>
      </c>
      <c r="W14" s="19" t="n">
        <f aca="false">E14*U_zemin*f_zemin*S14</f>
        <v>7588.3325</v>
      </c>
      <c r="X14" s="19" t="n">
        <f aca="false">n_siz*G14*rho*cp/3.6*S14</f>
        <v>26173.24284</v>
      </c>
      <c r="Y14" s="19" t="n">
        <f aca="false">SUM(T14:X14)</f>
        <v>45445.80534</v>
      </c>
    </row>
    <row r="15" customFormat="false" ht="15" hidden="false" customHeight="false" outlineLevel="0" collapsed="false">
      <c r="A15" s="15" t="s">
        <v>151</v>
      </c>
      <c r="B15" s="16" t="s">
        <v>145</v>
      </c>
      <c r="C15" s="4" t="s">
        <v>111</v>
      </c>
      <c r="D15" s="16" t="s">
        <v>111</v>
      </c>
      <c r="E15" s="17" t="n">
        <v>211.5</v>
      </c>
      <c r="F15" s="18" t="n">
        <v>4.5</v>
      </c>
      <c r="G15" s="19" t="n">
        <f aca="false">E15*F15</f>
        <v>951.75</v>
      </c>
      <c r="H15" s="20" t="n">
        <f aca="false">VLOOKUP(D15,TIP_TABLO,2,FALSE())</f>
        <v>15</v>
      </c>
      <c r="I15" s="19" t="n">
        <f aca="false">G15*H15</f>
        <v>14276.25</v>
      </c>
      <c r="J15" s="19" t="n">
        <f aca="false">I15*VLOOKUP(D15,TIP_TABLO,3,FALSE())</f>
        <v>12134.8125</v>
      </c>
      <c r="K15" s="19" t="n">
        <f aca="false">I15-J15</f>
        <v>2141.4375</v>
      </c>
      <c r="L15" s="19" t="n">
        <f aca="false">ROUND(E15*VLOOKUP(D15,TIP_TABLO,4,FALSE()),0)</f>
        <v>11</v>
      </c>
      <c r="M15" s="19" t="n">
        <f aca="false">(L15*q_kisi+E15*q_alan)*3.6</f>
        <v>810.18</v>
      </c>
      <c r="N15" s="17" t="n">
        <v>211.5</v>
      </c>
      <c r="O15" s="21" t="n">
        <v>0</v>
      </c>
      <c r="P15" s="21" t="n">
        <v>0</v>
      </c>
      <c r="Q15" s="22" t="n">
        <f aca="false">O15*F15-R15</f>
        <v>0</v>
      </c>
      <c r="R15" s="22" t="n">
        <f aca="false">P15*F15*cam_oran</f>
        <v>0</v>
      </c>
      <c r="S15" s="12" t="n">
        <f aca="false">Ti_kis-To_kis</f>
        <v>23</v>
      </c>
      <c r="T15" s="19" t="n">
        <f aca="false">N15*U_cati*S15</f>
        <v>972.9</v>
      </c>
      <c r="U15" s="19" t="n">
        <f aca="false">Q15*U_duvar*S15</f>
        <v>0</v>
      </c>
      <c r="V15" s="19" t="n">
        <f aca="false">R15*U_cam*S15</f>
        <v>0</v>
      </c>
      <c r="W15" s="19" t="n">
        <f aca="false">E15*U_zemin*f_zemin*S15</f>
        <v>851.2875</v>
      </c>
      <c r="X15" s="19" t="n">
        <f aca="false">n_siz*G15*rho*cp/3.6*S15</f>
        <v>2202.15915</v>
      </c>
      <c r="Y15" s="19" t="n">
        <f aca="false">SUM(T15:X15)</f>
        <v>4026.34665</v>
      </c>
    </row>
    <row r="16" customFormat="false" ht="15" hidden="false" customHeight="false" outlineLevel="0" collapsed="false">
      <c r="A16" s="15" t="s">
        <v>151</v>
      </c>
      <c r="B16" s="16" t="s">
        <v>152</v>
      </c>
      <c r="C16" s="4" t="s">
        <v>113</v>
      </c>
      <c r="D16" s="16" t="s">
        <v>113</v>
      </c>
      <c r="E16" s="17" t="n">
        <v>265.9</v>
      </c>
      <c r="F16" s="18" t="n">
        <v>4.5</v>
      </c>
      <c r="G16" s="19" t="n">
        <f aca="false">E16*F16</f>
        <v>1196.55</v>
      </c>
      <c r="H16" s="20" t="n">
        <f aca="false">VLOOKUP(D16,TIP_TABLO,2,FALSE())</f>
        <v>20</v>
      </c>
      <c r="I16" s="19" t="n">
        <f aca="false">G16*H16</f>
        <v>23931</v>
      </c>
      <c r="J16" s="19" t="n">
        <f aca="false">I16*VLOOKUP(D16,TIP_TABLO,3,FALSE())</f>
        <v>20341.35</v>
      </c>
      <c r="K16" s="19" t="n">
        <f aca="false">I16-J16</f>
        <v>3589.65</v>
      </c>
      <c r="L16" s="19" t="n">
        <f aca="false">ROUND(E16*VLOOKUP(D16,TIP_TABLO,4,FALSE()),0)</f>
        <v>40</v>
      </c>
      <c r="M16" s="19" t="n">
        <f aca="false">(L16*q_kisi+E16*q_alan)*3.6</f>
        <v>1678.068</v>
      </c>
      <c r="N16" s="17" t="n">
        <v>265.9</v>
      </c>
      <c r="O16" s="21" t="n">
        <v>18.7</v>
      </c>
      <c r="P16" s="21" t="n">
        <v>18.7</v>
      </c>
      <c r="Q16" s="22" t="n">
        <f aca="false">O16*F16-R16</f>
        <v>42.075</v>
      </c>
      <c r="R16" s="22" t="n">
        <f aca="false">P16*F16*cam_oran</f>
        <v>42.075</v>
      </c>
      <c r="S16" s="12" t="n">
        <f aca="false">Ti_kis-To_kis</f>
        <v>23</v>
      </c>
      <c r="T16" s="19" t="n">
        <f aca="false">N16*U_cati*S16</f>
        <v>1223.14</v>
      </c>
      <c r="U16" s="19" t="n">
        <f aca="false">Q16*U_duvar*S16</f>
        <v>241.93125</v>
      </c>
      <c r="V16" s="19" t="n">
        <f aca="false">R16*U_cam*S16</f>
        <v>1741.905</v>
      </c>
      <c r="W16" s="19" t="n">
        <f aca="false">E16*U_zemin*f_zemin*S16</f>
        <v>1070.2475</v>
      </c>
      <c r="X16" s="19" t="n">
        <f aca="false">n_siz*G16*rho*cp/3.6*S16</f>
        <v>2768.57739</v>
      </c>
      <c r="Y16" s="19" t="n">
        <f aca="false">SUM(T16:X16)</f>
        <v>7045.80114</v>
      </c>
    </row>
    <row r="17" customFormat="false" ht="15" hidden="false" customHeight="false" outlineLevel="0" collapsed="false">
      <c r="A17" s="23" t="s">
        <v>153</v>
      </c>
      <c r="B17" s="24"/>
      <c r="C17" s="24"/>
      <c r="D17" s="24"/>
      <c r="E17" s="25" t="n">
        <f aca="false">SUM(E5:E16)</f>
        <v>9162</v>
      </c>
      <c r="F17" s="24"/>
      <c r="G17" s="25" t="n">
        <f aca="false">SUM(G5:G16)</f>
        <v>51720.9</v>
      </c>
      <c r="H17" s="24"/>
      <c r="I17" s="25" t="n">
        <f aca="false">SUM(I5:I16)</f>
        <v>672786.45</v>
      </c>
      <c r="J17" s="25" t="n">
        <f aca="false">SUM(J5:J16)</f>
        <v>546687.9225</v>
      </c>
      <c r="K17" s="25" t="n">
        <f aca="false">SUM(K5:K16)</f>
        <v>126098.5275</v>
      </c>
      <c r="L17" s="25" t="n">
        <f aca="false">SUM(L5:L16)</f>
        <v>1262</v>
      </c>
      <c r="M17" s="25" t="n">
        <f aca="false">SUM(M5:M16)</f>
        <v>54890.64</v>
      </c>
      <c r="N17" s="25" t="n">
        <f aca="false">SUM(N5:N16)</f>
        <v>9162</v>
      </c>
      <c r="O17" s="24"/>
      <c r="P17" s="24"/>
      <c r="Q17" s="24"/>
      <c r="R17" s="24"/>
      <c r="S17" s="24"/>
      <c r="T17" s="25" t="n">
        <f aca="false">SUM(T5:T16)</f>
        <v>42145.2</v>
      </c>
      <c r="U17" s="25" t="n">
        <f aca="false">SUM(U5:U16)</f>
        <v>8525.8125</v>
      </c>
      <c r="V17" s="25" t="n">
        <f aca="false">SUM(V5:V16)</f>
        <v>6688.17</v>
      </c>
      <c r="W17" s="25" t="n">
        <f aca="false">SUM(W5:W16)</f>
        <v>36877.05</v>
      </c>
      <c r="X17" s="25" t="n">
        <f aca="false">SUM(X5:X16)</f>
        <v>119671.81842</v>
      </c>
      <c r="Y17" s="25" t="n">
        <f aca="false">SUM(Y5:Y16)</f>
        <v>213908.05092</v>
      </c>
    </row>
    <row r="19" customFormat="false" ht="15" hidden="false" customHeight="false" outlineLevel="0" collapsed="false">
      <c r="A19" s="26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" t="s">
        <v>156</v>
      </c>
    </row>
    <row r="4" customFormat="false" ht="15" hidden="false" customHeight="false" outlineLevel="0" collapsed="false">
      <c r="A4" s="3" t="s">
        <v>157</v>
      </c>
      <c r="B4" s="8" t="s">
        <v>158</v>
      </c>
      <c r="C4" s="8" t="s">
        <v>142</v>
      </c>
      <c r="D4" s="8" t="s">
        <v>147</v>
      </c>
      <c r="E4" s="8" t="s">
        <v>149</v>
      </c>
      <c r="F4" s="8" t="s">
        <v>151</v>
      </c>
      <c r="G4" s="3" t="s">
        <v>159</v>
      </c>
    </row>
    <row r="5" customFormat="false" ht="15" hidden="false" customHeight="false" outlineLevel="0" collapsed="false">
      <c r="A5" s="3" t="s">
        <v>160</v>
      </c>
      <c r="B5" s="27"/>
      <c r="C5" s="27"/>
      <c r="D5" s="27"/>
      <c r="E5" s="27"/>
      <c r="F5" s="27"/>
      <c r="G5" s="27"/>
    </row>
    <row r="6" customFormat="false" ht="15" hidden="false" customHeight="false" outlineLevel="0" collapsed="false">
      <c r="A6" s="4" t="s">
        <v>161</v>
      </c>
      <c r="B6" s="16" t="s">
        <v>162</v>
      </c>
      <c r="C6" s="19" t="n">
        <f aca="false">SUMIF(MAHALLER!$A$5:$A$16,C$4,MAHALLER!$G$5:$G$16)</f>
        <v>13366.05</v>
      </c>
      <c r="D6" s="19" t="n">
        <f aca="false">SUMIF(MAHALLER!$A$5:$A$16,D$4,MAHALLER!$G$5:$G$16)</f>
        <v>12381.75</v>
      </c>
      <c r="E6" s="19" t="n">
        <f aca="false">SUMIF(MAHALLER!$A$5:$A$16,E$4,MAHALLER!$G$5:$G$16)</f>
        <v>12513</v>
      </c>
      <c r="F6" s="19" t="n">
        <f aca="false">SUMIF(MAHALLER!$A$5:$A$16,F$4,MAHALLER!$G$5:$G$16)</f>
        <v>13460.1</v>
      </c>
      <c r="G6" s="13" t="s">
        <v>163</v>
      </c>
    </row>
    <row r="7" customFormat="false" ht="15" hidden="false" customHeight="false" outlineLevel="0" collapsed="false">
      <c r="A7" s="4" t="s">
        <v>164</v>
      </c>
      <c r="B7" s="16" t="s">
        <v>165</v>
      </c>
      <c r="C7" s="19" t="n">
        <f aca="false">SUMIF(MAHALLER!$A$5:$A$16,C$4,MAHALLER!$E$5:$E$16)</f>
        <v>2386.8</v>
      </c>
      <c r="D7" s="19" t="n">
        <f aca="false">SUMIF(MAHALLER!$A$5:$A$16,D$4,MAHALLER!$E$5:$E$16)</f>
        <v>2212.4</v>
      </c>
      <c r="E7" s="19" t="n">
        <f aca="false">SUMIF(MAHALLER!$A$5:$A$16,E$4,MAHALLER!$E$5:$E$16)</f>
        <v>2200.1</v>
      </c>
      <c r="F7" s="19" t="n">
        <f aca="false">SUMIF(MAHALLER!$A$5:$A$16,F$4,MAHALLER!$E$5:$E$16)</f>
        <v>2362.7</v>
      </c>
      <c r="G7" s="13"/>
    </row>
    <row r="8" customFormat="false" ht="15" hidden="false" customHeight="false" outlineLevel="0" collapsed="false">
      <c r="A8" s="4" t="s">
        <v>166</v>
      </c>
      <c r="B8" s="16" t="s">
        <v>69</v>
      </c>
      <c r="C8" s="22" t="n">
        <f aca="false">SUMIF(MAHALLER!$A$5:$A$16,C$4,MAHALLER!$I$5:$I$16)/1000</f>
        <v>174.95235</v>
      </c>
      <c r="D8" s="22" t="n">
        <f aca="false">SUMIF(MAHALLER!$A$5:$A$16,D$4,MAHALLER!$I$5:$I$16)/1000</f>
        <v>162.5751</v>
      </c>
      <c r="E8" s="22" t="n">
        <f aca="false">SUMIF(MAHALLER!$A$5:$A$16,E$4,MAHALLER!$I$5:$I$16)/1000</f>
        <v>161.31015</v>
      </c>
      <c r="F8" s="22" t="n">
        <f aca="false">SUMIF(MAHALLER!$A$5:$A$16,F$4,MAHALLER!$I$5:$I$16)/1000</f>
        <v>173.94885</v>
      </c>
      <c r="G8" s="13" t="s">
        <v>167</v>
      </c>
    </row>
    <row r="9" customFormat="false" ht="15" hidden="false" customHeight="false" outlineLevel="0" collapsed="false">
      <c r="A9" s="4" t="s">
        <v>168</v>
      </c>
      <c r="B9" s="16" t="s">
        <v>69</v>
      </c>
      <c r="C9" s="22" t="n">
        <f aca="false">SUMIF(MAHALLER!$A$5:$A$16,C$4,MAHALLER!$J$5:$J$16)/1000</f>
        <v>142.4084175</v>
      </c>
      <c r="D9" s="22" t="n">
        <f aca="false">SUMIF(MAHALLER!$A$5:$A$16,D$4,MAHALLER!$J$5:$J$16)/1000</f>
        <v>132.366555</v>
      </c>
      <c r="E9" s="22" t="n">
        <f aca="false">SUMIF(MAHALLER!$A$5:$A$16,E$4,MAHALLER!$J$5:$J$16)/1000</f>
        <v>130.8435075</v>
      </c>
      <c r="F9" s="22" t="n">
        <f aca="false">SUMIF(MAHALLER!$A$5:$A$16,F$4,MAHALLER!$J$5:$J$16)/1000</f>
        <v>141.0694425</v>
      </c>
      <c r="G9" s="13"/>
    </row>
    <row r="10" customFormat="false" ht="15" hidden="false" customHeight="false" outlineLevel="0" collapsed="false">
      <c r="A10" s="4" t="s">
        <v>169</v>
      </c>
      <c r="B10" s="16" t="s">
        <v>69</v>
      </c>
      <c r="C10" s="22" t="n">
        <f aca="false">SUMIF(MAHALLER!$A$5:$A$16,C$4,MAHALLER!$K$5:$K$16)/1000</f>
        <v>32.5439325</v>
      </c>
      <c r="D10" s="22" t="n">
        <f aca="false">SUMIF(MAHALLER!$A$5:$A$16,D$4,MAHALLER!$K$5:$K$16)/1000</f>
        <v>30.208545</v>
      </c>
      <c r="E10" s="22" t="n">
        <f aca="false">SUMIF(MAHALLER!$A$5:$A$16,E$4,MAHALLER!$K$5:$K$16)/1000</f>
        <v>30.4666425</v>
      </c>
      <c r="F10" s="22" t="n">
        <f aca="false">SUMIF(MAHALLER!$A$5:$A$16,F$4,MAHALLER!$K$5:$K$16)/1000</f>
        <v>32.8794075</v>
      </c>
      <c r="G10" s="13"/>
    </row>
    <row r="11" customFormat="false" ht="15" hidden="false" customHeight="false" outlineLevel="0" collapsed="false">
      <c r="A11" s="4" t="s">
        <v>170</v>
      </c>
      <c r="B11" s="16" t="s">
        <v>69</v>
      </c>
      <c r="C11" s="22" t="n">
        <f aca="false">SUMIF(MAHALLER!$A$5:$A$16,C$4,MAHALLER!$Y$5:$Y$16)/1000</f>
        <v>55.04540274</v>
      </c>
      <c r="D11" s="22" t="n">
        <f aca="false">SUMIF(MAHALLER!$A$5:$A$16,D$4,MAHALLER!$Y$5:$Y$16)/1000</f>
        <v>51.1809294</v>
      </c>
      <c r="E11" s="22" t="n">
        <f aca="false">SUMIF(MAHALLER!$A$5:$A$16,E$4,MAHALLER!$Y$5:$Y$16)/1000</f>
        <v>51.16376565</v>
      </c>
      <c r="F11" s="22" t="n">
        <f aca="false">SUMIF(MAHALLER!$A$5:$A$16,F$4,MAHALLER!$Y$5:$Y$16)/1000</f>
        <v>56.51795313</v>
      </c>
      <c r="G11" s="13" t="s">
        <v>171</v>
      </c>
    </row>
    <row r="12" customFormat="false" ht="15" hidden="false" customHeight="false" outlineLevel="0" collapsed="false">
      <c r="A12" s="4" t="s">
        <v>172</v>
      </c>
      <c r="B12" s="16" t="s">
        <v>21</v>
      </c>
      <c r="C12" s="19" t="n">
        <f aca="false">SUMIF(MAHALLER!$A$5:$A$16,C$4,MAHALLER!$M$5:$M$16)</f>
        <v>14129.136</v>
      </c>
      <c r="D12" s="19" t="n">
        <f aca="false">SUMIF(MAHALLER!$A$5:$A$16,D$4,MAHALLER!$M$5:$M$16)</f>
        <v>13135.248</v>
      </c>
      <c r="E12" s="19" t="n">
        <f aca="false">SUMIF(MAHALLER!$A$5:$A$16,E$4,MAHALLER!$M$5:$M$16)</f>
        <v>13255.452</v>
      </c>
      <c r="F12" s="19" t="n">
        <f aca="false">SUMIF(MAHALLER!$A$5:$A$16,F$4,MAHALLER!$M$5:$M$16)</f>
        <v>14370.804</v>
      </c>
      <c r="G12" s="13" t="s">
        <v>173</v>
      </c>
    </row>
    <row r="13" customFormat="false" ht="15" hidden="false" customHeight="false" outlineLevel="0" collapsed="false">
      <c r="A13" s="3" t="s">
        <v>174</v>
      </c>
      <c r="B13" s="27"/>
      <c r="C13" s="27"/>
      <c r="D13" s="27"/>
      <c r="E13" s="27"/>
      <c r="F13" s="27"/>
      <c r="G13" s="27"/>
    </row>
    <row r="14" customFormat="false" ht="15" hidden="false" customHeight="false" outlineLevel="0" collapsed="false">
      <c r="A14" s="4" t="s">
        <v>175</v>
      </c>
      <c r="B14" s="16" t="s">
        <v>176</v>
      </c>
      <c r="C14" s="19" t="n">
        <f aca="false">SUMIF(MAHALLER!$A$5:$A$16,C$4,MAHALLER!$L$5:$L$16)</f>
        <v>322</v>
      </c>
      <c r="D14" s="19" t="n">
        <f aca="false">SUMIF(MAHALLER!$A$5:$A$16,D$4,MAHALLER!$L$5:$L$16)</f>
        <v>300</v>
      </c>
      <c r="E14" s="19" t="n">
        <f aca="false">SUMIF(MAHALLER!$A$5:$A$16,E$4,MAHALLER!$L$5:$L$16)</f>
        <v>306</v>
      </c>
      <c r="F14" s="19" t="n">
        <f aca="false">SUMIF(MAHALLER!$A$5:$A$16,F$4,MAHALLER!$L$5:$L$16)</f>
        <v>334</v>
      </c>
      <c r="G14" s="13" t="s">
        <v>177</v>
      </c>
    </row>
    <row r="15" customFormat="false" ht="15" hidden="false" customHeight="false" outlineLevel="0" collapsed="false">
      <c r="A15" s="4" t="s">
        <v>178</v>
      </c>
      <c r="B15" s="16" t="s">
        <v>21</v>
      </c>
      <c r="C15" s="19" t="n">
        <f aca="false">V_ks</f>
        <v>40000</v>
      </c>
      <c r="D15" s="19" t="n">
        <f aca="false">V_ks</f>
        <v>40000</v>
      </c>
      <c r="E15" s="19" t="n">
        <f aca="false">V_ks</f>
        <v>40000</v>
      </c>
      <c r="F15" s="19" t="n">
        <f aca="false">V_ks</f>
        <v>40000</v>
      </c>
      <c r="G15" s="13" t="s">
        <v>179</v>
      </c>
    </row>
    <row r="16" customFormat="false" ht="15" hidden="false" customHeight="false" outlineLevel="0" collapsed="false">
      <c r="A16" s="4" t="s">
        <v>180</v>
      </c>
      <c r="B16" s="16" t="s">
        <v>181</v>
      </c>
      <c r="C16" s="28" t="n">
        <f aca="false">C15*rho/3600</f>
        <v>13.3333333333333</v>
      </c>
      <c r="D16" s="28" t="n">
        <f aca="false">D15*rho/3600</f>
        <v>13.3333333333333</v>
      </c>
      <c r="E16" s="28" t="n">
        <f aca="false">E15*rho/3600</f>
        <v>13.3333333333333</v>
      </c>
      <c r="F16" s="28" t="n">
        <f aca="false">F15*rho/3600</f>
        <v>13.3333333333333</v>
      </c>
      <c r="G16" s="13"/>
    </row>
    <row r="17" customFormat="false" ht="15" hidden="false" customHeight="false" outlineLevel="0" collapsed="false">
      <c r="A17" s="4" t="s">
        <v>182</v>
      </c>
      <c r="B17" s="16" t="s">
        <v>21</v>
      </c>
      <c r="C17" s="19" t="n">
        <f aca="false">CEILING(C12,500)</f>
        <v>14500</v>
      </c>
      <c r="D17" s="19" t="n">
        <f aca="false">CEILING(D12,500)</f>
        <v>13500</v>
      </c>
      <c r="E17" s="19" t="n">
        <f aca="false">CEILING(E12,500)</f>
        <v>13500</v>
      </c>
      <c r="F17" s="19" t="n">
        <f aca="false">CEILING(F12,500)</f>
        <v>14500</v>
      </c>
      <c r="G17" s="13" t="s">
        <v>183</v>
      </c>
    </row>
    <row r="18" customFormat="false" ht="15" hidden="false" customHeight="false" outlineLevel="0" collapsed="false">
      <c r="A18" s="4" t="s">
        <v>184</v>
      </c>
      <c r="B18" s="16" t="s">
        <v>11</v>
      </c>
      <c r="C18" s="28" t="n">
        <f aca="false">C17/C15</f>
        <v>0.3625</v>
      </c>
      <c r="D18" s="28" t="n">
        <f aca="false">D17/D15</f>
        <v>0.3375</v>
      </c>
      <c r="E18" s="28" t="n">
        <f aca="false">E17/E15</f>
        <v>0.3375</v>
      </c>
      <c r="F18" s="28" t="n">
        <f aca="false">F17/F15</f>
        <v>0.3625</v>
      </c>
      <c r="G18" s="13" t="s">
        <v>185</v>
      </c>
    </row>
    <row r="19" customFormat="false" ht="15" hidden="false" customHeight="false" outlineLevel="0" collapsed="false">
      <c r="A19" s="4" t="s">
        <v>186</v>
      </c>
      <c r="B19" s="16" t="s">
        <v>21</v>
      </c>
      <c r="C19" s="19" t="n">
        <f aca="false">C17</f>
        <v>14500</v>
      </c>
      <c r="D19" s="19" t="n">
        <f aca="false">D17</f>
        <v>13500</v>
      </c>
      <c r="E19" s="19" t="n">
        <f aca="false">E17</f>
        <v>13500</v>
      </c>
      <c r="F19" s="19" t="n">
        <f aca="false">F17</f>
        <v>14500</v>
      </c>
      <c r="G19" s="13" t="s">
        <v>187</v>
      </c>
    </row>
    <row r="20" customFormat="false" ht="15" hidden="false" customHeight="false" outlineLevel="0" collapsed="false">
      <c r="A20" s="4" t="s">
        <v>188</v>
      </c>
      <c r="B20" s="16" t="s">
        <v>189</v>
      </c>
      <c r="C20" s="12" t="n">
        <f aca="false">P_fan/(C16*cp)</f>
        <v>1.25590542764916</v>
      </c>
      <c r="D20" s="12" t="n">
        <f aca="false">P_fan/(D16*cp)</f>
        <v>1.25590542764916</v>
      </c>
      <c r="E20" s="12" t="n">
        <f aca="false">P_fan/(E16*cp)</f>
        <v>1.25590542764916</v>
      </c>
      <c r="F20" s="12" t="n">
        <f aca="false">P_fan/(F16*cp)</f>
        <v>1.25590542764916</v>
      </c>
      <c r="G20" s="13" t="s">
        <v>190</v>
      </c>
    </row>
    <row r="21" customFormat="false" ht="15" hidden="false" customHeight="false" outlineLevel="0" collapsed="false">
      <c r="A21" s="3" t="s">
        <v>191</v>
      </c>
      <c r="B21" s="27"/>
      <c r="C21" s="27"/>
      <c r="D21" s="27"/>
      <c r="E21" s="27"/>
      <c r="F21" s="27"/>
      <c r="G21" s="27"/>
    </row>
    <row r="22" customFormat="false" ht="15" hidden="false" customHeight="false" outlineLevel="0" collapsed="false">
      <c r="A22" s="4" t="s">
        <v>192</v>
      </c>
      <c r="B22" s="16" t="s">
        <v>193</v>
      </c>
      <c r="C22" s="29" t="n">
        <f aca="false">((2501-2.326*Twb_yaz)*(0.622*0.61094*EXP(17.625*Twb_yaz/(Twb_yaz+243.04))/(Patm-0.61094*EXP(17.625*Twb_yaz/(Twb_yaz+243.04))))-1.006*(To_yaz-Twb_yaz))/(2501+1.86*To_yaz-4.186*Twb_yaz)</f>
        <v>0.0157955602769311</v>
      </c>
      <c r="D22" s="29" t="n">
        <f aca="false">((2501-2.326*Twb_yaz)*(0.622*0.61094*EXP(17.625*Twb_yaz/(Twb_yaz+243.04))/(Patm-0.61094*EXP(17.625*Twb_yaz/(Twb_yaz+243.04))))-1.006*(To_yaz-Twb_yaz))/(2501+1.86*To_yaz-4.186*Twb_yaz)</f>
        <v>0.0157955602769311</v>
      </c>
      <c r="E22" s="29" t="n">
        <f aca="false">((2501-2.326*Twb_yaz)*(0.622*0.61094*EXP(17.625*Twb_yaz/(Twb_yaz+243.04))/(Patm-0.61094*EXP(17.625*Twb_yaz/(Twb_yaz+243.04))))-1.006*(To_yaz-Twb_yaz))/(2501+1.86*To_yaz-4.186*Twb_yaz)</f>
        <v>0.0157955602769311</v>
      </c>
      <c r="F22" s="29" t="n">
        <f aca="false">((2501-2.326*Twb_yaz)*(0.622*0.61094*EXP(17.625*Twb_yaz/(Twb_yaz+243.04))/(Patm-0.61094*EXP(17.625*Twb_yaz/(Twb_yaz+243.04))))-1.006*(To_yaz-Twb_yaz))/(2501+1.86*To_yaz-4.186*Twb_yaz)</f>
        <v>0.0157955602769311</v>
      </c>
      <c r="G22" s="13" t="s">
        <v>194</v>
      </c>
    </row>
    <row r="23" customFormat="false" ht="15" hidden="false" customHeight="false" outlineLevel="0" collapsed="false">
      <c r="A23" s="4" t="s">
        <v>195</v>
      </c>
      <c r="B23" s="16" t="s">
        <v>193</v>
      </c>
      <c r="C23" s="29" t="n">
        <f aca="false">0.622*RH_yaz*0.61094*EXP(17.625*Ti_yaz/(Ti_yaz+243.04))/(Patm-RH_yaz*0.61094*EXP(17.625*Ti_yaz/(Ti_yaz+243.04)))</f>
        <v>0.0104717057679119</v>
      </c>
      <c r="D23" s="29" t="n">
        <f aca="false">0.622*RH_yaz*0.61094*EXP(17.625*Ti_yaz/(Ti_yaz+243.04))/(Patm-RH_yaz*0.61094*EXP(17.625*Ti_yaz/(Ti_yaz+243.04)))</f>
        <v>0.0104717057679119</v>
      </c>
      <c r="E23" s="29" t="n">
        <f aca="false">0.622*RH_yaz*0.61094*EXP(17.625*Ti_yaz/(Ti_yaz+243.04))/(Patm-RH_yaz*0.61094*EXP(17.625*Ti_yaz/(Ti_yaz+243.04)))</f>
        <v>0.0104717057679119</v>
      </c>
      <c r="F23" s="29" t="n">
        <f aca="false">0.622*RH_yaz*0.61094*EXP(17.625*Ti_yaz/(Ti_yaz+243.04))/(Patm-RH_yaz*0.61094*EXP(17.625*Ti_yaz/(Ti_yaz+243.04)))</f>
        <v>0.0104717057679119</v>
      </c>
      <c r="G23" s="13"/>
    </row>
    <row r="24" customFormat="false" ht="15" hidden="false" customHeight="false" outlineLevel="0" collapsed="false">
      <c r="A24" s="4" t="s">
        <v>196</v>
      </c>
      <c r="B24" s="16" t="s">
        <v>4</v>
      </c>
      <c r="C24" s="12" t="n">
        <f aca="false">To_yaz-eps*(To_yaz-Ti_yaz)</f>
        <v>28.25</v>
      </c>
      <c r="D24" s="12" t="n">
        <f aca="false">To_yaz-eps*(To_yaz-Ti_yaz)</f>
        <v>28.25</v>
      </c>
      <c r="E24" s="12" t="n">
        <f aca="false">To_yaz-eps*(To_yaz-Ti_yaz)</f>
        <v>28.25</v>
      </c>
      <c r="F24" s="12" t="n">
        <f aca="false">To_yaz-eps*(To_yaz-Ti_yaz)</f>
        <v>28.25</v>
      </c>
      <c r="G24" s="13" t="s">
        <v>197</v>
      </c>
    </row>
    <row r="25" customFormat="false" ht="15" hidden="false" customHeight="false" outlineLevel="0" collapsed="false">
      <c r="A25" s="4" t="s">
        <v>198</v>
      </c>
      <c r="B25" s="16" t="s">
        <v>4</v>
      </c>
      <c r="C25" s="12" t="n">
        <f aca="false">C18*C24+(1-C18)*Ti_yaz</f>
        <v>26.815625</v>
      </c>
      <c r="D25" s="12" t="n">
        <f aca="false">D18*D24+(1-D18)*Ti_yaz</f>
        <v>26.759375</v>
      </c>
      <c r="E25" s="12" t="n">
        <f aca="false">E18*E24+(1-E18)*Ti_yaz</f>
        <v>26.759375</v>
      </c>
      <c r="F25" s="12" t="n">
        <f aca="false">F18*F24+(1-F18)*Ti_yaz</f>
        <v>26.815625</v>
      </c>
      <c r="G25" s="13"/>
    </row>
    <row r="26" customFormat="false" ht="15" hidden="false" customHeight="false" outlineLevel="0" collapsed="false">
      <c r="A26" s="4" t="s">
        <v>199</v>
      </c>
      <c r="B26" s="16" t="s">
        <v>193</v>
      </c>
      <c r="C26" s="29" t="n">
        <f aca="false">C18*C22+(1-C18)*C23</f>
        <v>0.0124016030274314</v>
      </c>
      <c r="D26" s="29" t="n">
        <f aca="false">D18*D22+(1-D18)*D23</f>
        <v>0.0122685066647059</v>
      </c>
      <c r="E26" s="29" t="n">
        <f aca="false">E18*E22+(1-E18)*E23</f>
        <v>0.0122685066647059</v>
      </c>
      <c r="F26" s="29" t="n">
        <f aca="false">F18*F22+(1-F18)*F23</f>
        <v>0.0124016030274314</v>
      </c>
      <c r="G26" s="13"/>
    </row>
    <row r="27" customFormat="false" ht="15" hidden="false" customHeight="false" outlineLevel="0" collapsed="false">
      <c r="A27" s="4" t="s">
        <v>200</v>
      </c>
      <c r="B27" s="16" t="s">
        <v>28</v>
      </c>
      <c r="C27" s="12" t="n">
        <f aca="false">cp*C25+C26*(hfg+1.86*C25)</f>
        <v>58.6114834509053</v>
      </c>
      <c r="D27" s="12" t="n">
        <f aca="false">cp*D25+D26*(hfg+1.86*D25)</f>
        <v>58.2140998996169</v>
      </c>
      <c r="E27" s="12" t="n">
        <f aca="false">cp*E25+E26*(hfg+1.86*E25)</f>
        <v>58.2140998996169</v>
      </c>
      <c r="F27" s="12" t="n">
        <f aca="false">cp*F25+F26*(hfg+1.86*F25)</f>
        <v>58.6114834509053</v>
      </c>
      <c r="G27" s="13"/>
    </row>
    <row r="28" customFormat="false" ht="15" hidden="false" customHeight="false" outlineLevel="0" collapsed="false">
      <c r="A28" s="4" t="s">
        <v>201</v>
      </c>
      <c r="B28" s="16" t="s">
        <v>4</v>
      </c>
      <c r="C28" s="12" t="n">
        <f aca="false">Ti_yaz-C9/(C16*cp)</f>
        <v>15.3830702659046</v>
      </c>
      <c r="D28" s="12" t="n">
        <f aca="false">Ti_yaz-D9/(D16*cp)</f>
        <v>16.1317180666004</v>
      </c>
      <c r="E28" s="12" t="n">
        <f aca="false">Ti_yaz-E9/(E16*cp)</f>
        <v>16.2452653454274</v>
      </c>
      <c r="F28" s="12" t="n">
        <f aca="false">Ti_yaz-F9/(F16*cp)</f>
        <v>15.4828944458251</v>
      </c>
      <c r="G28" s="13" t="s">
        <v>202</v>
      </c>
    </row>
    <row r="29" customFormat="false" ht="15" hidden="false" customHeight="false" outlineLevel="0" collapsed="false">
      <c r="A29" s="4" t="s">
        <v>203</v>
      </c>
      <c r="B29" s="16" t="s">
        <v>193</v>
      </c>
      <c r="C29" s="29" t="n">
        <f aca="false">C23-C10/(C16*hfg)</f>
        <v>0.00949577816395353</v>
      </c>
      <c r="D29" s="29" t="n">
        <f aca="false">D23-D10/(D16*hfg)</f>
        <v>0.00956581177550891</v>
      </c>
      <c r="E29" s="29" t="n">
        <f aca="false">E23-E10/(E16*hfg)</f>
        <v>0.00955807194644053</v>
      </c>
      <c r="F29" s="29" t="n">
        <f aca="false">F23-F10/(F16*hfg)</f>
        <v>0.00948571793804389</v>
      </c>
      <c r="G29" s="13" t="s">
        <v>204</v>
      </c>
    </row>
    <row r="30" customFormat="false" ht="15" hidden="false" customHeight="false" outlineLevel="0" collapsed="false">
      <c r="A30" s="4" t="s">
        <v>205</v>
      </c>
      <c r="B30" s="16" t="s">
        <v>4</v>
      </c>
      <c r="C30" s="12" t="n">
        <f aca="false">C28-C20</f>
        <v>14.1271648382554</v>
      </c>
      <c r="D30" s="12" t="n">
        <f aca="false">D28-D20</f>
        <v>14.8758126389512</v>
      </c>
      <c r="E30" s="12" t="n">
        <f aca="false">E28-E20</f>
        <v>14.9893599177783</v>
      </c>
      <c r="F30" s="12" t="n">
        <f aca="false">F28-F20</f>
        <v>14.2269890181759</v>
      </c>
      <c r="G30" s="13" t="s">
        <v>206</v>
      </c>
    </row>
    <row r="31" customFormat="false" ht="15" hidden="false" customHeight="false" outlineLevel="0" collapsed="false">
      <c r="A31" s="4" t="s">
        <v>207</v>
      </c>
      <c r="B31" s="16" t="s">
        <v>208</v>
      </c>
      <c r="C31" s="30" t="n">
        <f aca="false">(C29*Patm/(0.622+C29))/(0.61094*EXP(17.625*C30/(C30+243.04)))</f>
        <v>0.947089044559001</v>
      </c>
      <c r="D31" s="30" t="n">
        <f aca="false">(D29*Patm/(0.622+D29))/(0.61094*EXP(17.625*D30/(D30+243.04)))</f>
        <v>0.908941749356809</v>
      </c>
      <c r="E31" s="30" t="n">
        <f aca="false">(E29*Patm/(0.622+E29))/(0.61094*EXP(17.625*E30/(E30+243.04)))</f>
        <v>0.901603806595213</v>
      </c>
      <c r="F31" s="30" t="n">
        <f aca="false">(F29*Patm/(0.622+F29))/(0.61094*EXP(17.625*F30/(F30+243.04)))</f>
        <v>0.940005674318886</v>
      </c>
      <c r="G31" s="13" t="s">
        <v>209</v>
      </c>
    </row>
    <row r="32" customFormat="false" ht="15" hidden="false" customHeight="false" outlineLevel="0" collapsed="false">
      <c r="A32" s="4" t="s">
        <v>210</v>
      </c>
      <c r="B32" s="16" t="s">
        <v>28</v>
      </c>
      <c r="C32" s="12" t="n">
        <f aca="false">cp*C30+C29*(hfg+1.86*C30)</f>
        <v>38.2103850828375</v>
      </c>
      <c r="D32" s="12" t="n">
        <f aca="false">cp*D30+D29*(hfg+1.86*D30)</f>
        <v>39.1538393214369</v>
      </c>
      <c r="E32" s="12" t="n">
        <f aca="false">cp*E30+E29*(hfg+1.86*E30)</f>
        <v>39.2505150631096</v>
      </c>
      <c r="F32" s="12" t="n">
        <f aca="false">cp*F30+F29*(hfg+1.86*F30)</f>
        <v>38.2871444765101</v>
      </c>
      <c r="G32" s="13"/>
    </row>
    <row r="33" customFormat="false" ht="15" hidden="false" customHeight="false" outlineLevel="0" collapsed="false">
      <c r="A33" s="4" t="s">
        <v>211</v>
      </c>
      <c r="B33" s="16" t="s">
        <v>69</v>
      </c>
      <c r="C33" s="22" t="n">
        <f aca="false">C16*(C27-C32)</f>
        <v>272.014644907571</v>
      </c>
      <c r="D33" s="22" t="n">
        <f aca="false">D16*(D27-D32)</f>
        <v>254.136807709066</v>
      </c>
      <c r="E33" s="22" t="n">
        <f aca="false">E16*(E27-E32)</f>
        <v>252.847797820097</v>
      </c>
      <c r="F33" s="22" t="n">
        <f aca="false">F16*(F27-F32)</f>
        <v>270.99118632527</v>
      </c>
      <c r="G33" s="13" t="s">
        <v>212</v>
      </c>
    </row>
    <row r="34" customFormat="false" ht="15" hidden="false" customHeight="false" outlineLevel="0" collapsed="false">
      <c r="A34" s="4" t="s">
        <v>213</v>
      </c>
      <c r="B34" s="16" t="s">
        <v>69</v>
      </c>
      <c r="C34" s="22" t="n">
        <f aca="false">C16*cp*(C25-C30)</f>
        <v>170.194545636201</v>
      </c>
      <c r="D34" s="22" t="n">
        <f aca="false">D16*cp*(D25-D30)</f>
        <v>159.398183136201</v>
      </c>
      <c r="E34" s="22" t="n">
        <f aca="false">E16*cp*(E25-E30)</f>
        <v>157.875135636201</v>
      </c>
      <c r="F34" s="22" t="n">
        <f aca="false">F16*cp*(F25-F30)</f>
        <v>168.855570636201</v>
      </c>
      <c r="G34" s="13"/>
    </row>
    <row r="35" customFormat="false" ht="15" hidden="false" customHeight="false" outlineLevel="0" collapsed="false">
      <c r="A35" s="4" t="s">
        <v>214</v>
      </c>
      <c r="B35" s="16" t="s">
        <v>69</v>
      </c>
      <c r="C35" s="22" t="n">
        <f aca="false">C33-C34</f>
        <v>101.82009927137</v>
      </c>
      <c r="D35" s="22" t="n">
        <f aca="false">D33-D34</f>
        <v>94.7386245728657</v>
      </c>
      <c r="E35" s="22" t="n">
        <f aca="false">E33-E34</f>
        <v>94.9726621838966</v>
      </c>
      <c r="F35" s="22" t="n">
        <f aca="false">F33-F34</f>
        <v>102.135615689069</v>
      </c>
      <c r="G35" s="13"/>
    </row>
    <row r="36" customFormat="false" ht="15" hidden="false" customHeight="false" outlineLevel="0" collapsed="false">
      <c r="A36" s="4" t="s">
        <v>215</v>
      </c>
      <c r="B36" s="16" t="s">
        <v>216</v>
      </c>
      <c r="C36" s="19" t="n">
        <f aca="false">C16*(C26-C29)*3600</f>
        <v>139.479593446938</v>
      </c>
      <c r="D36" s="19" t="n">
        <f aca="false">D16*(D26-D29)*3600</f>
        <v>129.729354681457</v>
      </c>
      <c r="E36" s="19" t="n">
        <f aca="false">E16*(E26-E29)*3600</f>
        <v>130.100866476739</v>
      </c>
      <c r="F36" s="19" t="n">
        <f aca="false">F16*(F26-F29)*3600</f>
        <v>139.9624842906</v>
      </c>
      <c r="G36" s="13" t="s">
        <v>217</v>
      </c>
    </row>
    <row r="37" customFormat="false" ht="15" hidden="false" customHeight="false" outlineLevel="0" collapsed="false">
      <c r="A37" s="23" t="s">
        <v>218</v>
      </c>
      <c r="B37" s="16" t="s">
        <v>69</v>
      </c>
      <c r="C37" s="31" t="n">
        <f aca="false">CEILING(C33*emn,5)</f>
        <v>300</v>
      </c>
      <c r="D37" s="31" t="n">
        <f aca="false">CEILING(D33*emn,5)</f>
        <v>280</v>
      </c>
      <c r="E37" s="31" t="n">
        <f aca="false">CEILING(E33*emn,5)</f>
        <v>280</v>
      </c>
      <c r="F37" s="31" t="n">
        <f aca="false">CEILING(F33*emn,5)</f>
        <v>300</v>
      </c>
      <c r="G37" s="13" t="s">
        <v>219</v>
      </c>
    </row>
    <row r="38" customFormat="false" ht="15" hidden="false" customHeight="false" outlineLevel="0" collapsed="false">
      <c r="A38" s="3" t="s">
        <v>220</v>
      </c>
      <c r="B38" s="27"/>
      <c r="C38" s="27"/>
      <c r="D38" s="27"/>
      <c r="E38" s="27"/>
      <c r="F38" s="27"/>
      <c r="G38" s="27"/>
    </row>
    <row r="39" customFormat="false" ht="15" hidden="false" customHeight="false" outlineLevel="0" collapsed="false">
      <c r="A39" s="4" t="s">
        <v>196</v>
      </c>
      <c r="B39" s="16" t="s">
        <v>4</v>
      </c>
      <c r="C39" s="12" t="n">
        <f aca="false">To_kis+eps*(Ti_kis-To_kis)</f>
        <v>14.25</v>
      </c>
      <c r="D39" s="12" t="n">
        <f aca="false">To_kis+eps*(Ti_kis-To_kis)</f>
        <v>14.25</v>
      </c>
      <c r="E39" s="12" t="n">
        <f aca="false">To_kis+eps*(Ti_kis-To_kis)</f>
        <v>14.25</v>
      </c>
      <c r="F39" s="12" t="n">
        <f aca="false">To_kis+eps*(Ti_kis-To_kis)</f>
        <v>14.25</v>
      </c>
      <c r="G39" s="13" t="s">
        <v>221</v>
      </c>
    </row>
    <row r="40" customFormat="false" ht="15" hidden="false" customHeight="false" outlineLevel="0" collapsed="false">
      <c r="A40" s="4" t="s">
        <v>198</v>
      </c>
      <c r="B40" s="16" t="s">
        <v>4</v>
      </c>
      <c r="C40" s="12" t="n">
        <f aca="false">C18*C39+(1-C18)*Ti_kis</f>
        <v>17.915625</v>
      </c>
      <c r="D40" s="12" t="n">
        <f aca="false">D18*D39+(1-D18)*Ti_kis</f>
        <v>18.059375</v>
      </c>
      <c r="E40" s="12" t="n">
        <f aca="false">E18*E39+(1-E18)*Ti_kis</f>
        <v>18.059375</v>
      </c>
      <c r="F40" s="12" t="n">
        <f aca="false">F18*F39+(1-F18)*Ti_kis</f>
        <v>17.915625</v>
      </c>
      <c r="G40" s="13"/>
    </row>
    <row r="41" customFormat="false" ht="15" hidden="false" customHeight="false" outlineLevel="0" collapsed="false">
      <c r="A41" s="4" t="s">
        <v>201</v>
      </c>
      <c r="B41" s="16" t="s">
        <v>4</v>
      </c>
      <c r="C41" s="12" t="n">
        <f aca="false">Ti_kis+C11/(C16*cp)</f>
        <v>24.1037825104374</v>
      </c>
      <c r="D41" s="12" t="n">
        <f aca="false">Ti_kis+D11/(D16*cp)</f>
        <v>23.8156756510934</v>
      </c>
      <c r="E41" s="12" t="n">
        <f aca="false">Ti_kis+E11/(E16*cp)</f>
        <v>23.8143960474652</v>
      </c>
      <c r="F41" s="12" t="n">
        <f aca="false">Ti_kis+F11/(F16*cp)</f>
        <v>24.2135650941849</v>
      </c>
      <c r="G41" s="13" t="s">
        <v>222</v>
      </c>
    </row>
    <row r="42" customFormat="false" ht="15" hidden="false" customHeight="false" outlineLevel="0" collapsed="false">
      <c r="A42" s="4" t="s">
        <v>205</v>
      </c>
      <c r="B42" s="16" t="s">
        <v>4</v>
      </c>
      <c r="C42" s="12" t="n">
        <f aca="false">C41-C20</f>
        <v>22.8478770827882</v>
      </c>
      <c r="D42" s="12" t="n">
        <f aca="false">D41-D20</f>
        <v>22.5597702234443</v>
      </c>
      <c r="E42" s="12" t="n">
        <f aca="false">E41-E20</f>
        <v>22.5584906198161</v>
      </c>
      <c r="F42" s="12" t="n">
        <f aca="false">F41-F20</f>
        <v>22.9576596665357</v>
      </c>
      <c r="G42" s="13" t="s">
        <v>206</v>
      </c>
    </row>
    <row r="43" customFormat="false" ht="15" hidden="false" customHeight="false" outlineLevel="0" collapsed="false">
      <c r="A43" s="4" t="s">
        <v>223</v>
      </c>
      <c r="B43" s="16" t="s">
        <v>69</v>
      </c>
      <c r="C43" s="22" t="n">
        <f aca="false">MAX(0,C16*cp*(C42-C40))</f>
        <v>66.157941270466</v>
      </c>
      <c r="D43" s="22" t="n">
        <f aca="false">MAX(0,D16*cp*(D42-D40))</f>
        <v>60.3653012637993</v>
      </c>
      <c r="E43" s="22" t="n">
        <f aca="false">MAX(0,E16*cp*(E42-E40))</f>
        <v>60.3481375137993</v>
      </c>
      <c r="F43" s="22" t="n">
        <f aca="false">MAX(0,F16*cp*(F42-F40))</f>
        <v>67.630491660466</v>
      </c>
      <c r="G43" s="13" t="s">
        <v>224</v>
      </c>
    </row>
    <row r="44" customFormat="false" ht="15" hidden="false" customHeight="false" outlineLevel="0" collapsed="false">
      <c r="A44" s="4" t="s">
        <v>225</v>
      </c>
      <c r="B44" s="16" t="s">
        <v>69</v>
      </c>
      <c r="C44" s="22" t="n">
        <f aca="false">C16*cp*5+C11</f>
        <v>122.112069406667</v>
      </c>
      <c r="D44" s="22" t="n">
        <f aca="false">D16*cp*5+D11</f>
        <v>118.247596066667</v>
      </c>
      <c r="E44" s="22" t="n">
        <f aca="false">E16*cp*5+E11</f>
        <v>118.230432316667</v>
      </c>
      <c r="F44" s="22" t="n">
        <f aca="false">F16*cp*5+F11</f>
        <v>123.584619796667</v>
      </c>
      <c r="G44" s="13" t="s">
        <v>226</v>
      </c>
    </row>
    <row r="45" customFormat="false" ht="15" hidden="false" customHeight="false" outlineLevel="0" collapsed="false">
      <c r="A45" s="23" t="s">
        <v>227</v>
      </c>
      <c r="B45" s="16" t="s">
        <v>69</v>
      </c>
      <c r="C45" s="31" t="n">
        <f aca="false">CEILING(MAX(C43,C44)*emn,5)</f>
        <v>135</v>
      </c>
      <c r="D45" s="31" t="n">
        <f aca="false">CEILING(MAX(D43,D44)*emn,5)</f>
        <v>135</v>
      </c>
      <c r="E45" s="31" t="n">
        <f aca="false">CEILING(MAX(E43,E44)*emn,5)</f>
        <v>135</v>
      </c>
      <c r="F45" s="31" t="n">
        <f aca="false">CEILING(MAX(F43,F44)*emn,5)</f>
        <v>140</v>
      </c>
      <c r="G45" s="13" t="s">
        <v>228</v>
      </c>
    </row>
    <row r="46" customFormat="false" ht="15" hidden="false" customHeight="false" outlineLevel="0" collapsed="false">
      <c r="A46" s="3" t="s">
        <v>229</v>
      </c>
      <c r="B46" s="27"/>
      <c r="C46" s="27"/>
      <c r="D46" s="27"/>
      <c r="E46" s="27"/>
      <c r="F46" s="27"/>
      <c r="G46" s="27"/>
    </row>
    <row r="47" customFormat="false" ht="15" hidden="false" customHeight="false" outlineLevel="0" collapsed="false">
      <c r="A47" s="4" t="s">
        <v>230</v>
      </c>
      <c r="B47" s="16" t="s">
        <v>69</v>
      </c>
      <c r="C47" s="22" t="n">
        <f aca="false">C37</f>
        <v>300</v>
      </c>
      <c r="D47" s="22" t="n">
        <f aca="false">D37</f>
        <v>280</v>
      </c>
      <c r="E47" s="22" t="n">
        <f aca="false">E37</f>
        <v>280</v>
      </c>
      <c r="F47" s="22" t="n">
        <f aca="false">F37</f>
        <v>300</v>
      </c>
      <c r="G47" s="13"/>
    </row>
    <row r="48" customFormat="false" ht="15" hidden="false" customHeight="false" outlineLevel="0" collapsed="false">
      <c r="A48" s="4" t="s">
        <v>231</v>
      </c>
      <c r="B48" s="16" t="s">
        <v>69</v>
      </c>
      <c r="C48" s="22" t="n">
        <f aca="false">C45</f>
        <v>135</v>
      </c>
      <c r="D48" s="22" t="n">
        <f aca="false">D45</f>
        <v>135</v>
      </c>
      <c r="E48" s="22" t="n">
        <f aca="false">E45</f>
        <v>135</v>
      </c>
      <c r="F48" s="22" t="n">
        <f aca="false">F45</f>
        <v>140</v>
      </c>
      <c r="G48" s="13"/>
    </row>
    <row r="49" customFormat="false" ht="15" hidden="false" customHeight="false" outlineLevel="0" collapsed="false">
      <c r="A49" s="4" t="s">
        <v>232</v>
      </c>
      <c r="B49" s="16" t="s">
        <v>69</v>
      </c>
      <c r="C49" s="22" t="n">
        <f aca="false">CEILING(C48/dus,5)</f>
        <v>170</v>
      </c>
      <c r="D49" s="22" t="n">
        <f aca="false">CEILING(D48/dus,5)</f>
        <v>170</v>
      </c>
      <c r="E49" s="22" t="n">
        <f aca="false">CEILING(E48/dus,5)</f>
        <v>170</v>
      </c>
      <c r="F49" s="22" t="n">
        <f aca="false">CEILING(F48/dus,5)</f>
        <v>175</v>
      </c>
      <c r="G49" s="13" t="s">
        <v>233</v>
      </c>
    </row>
    <row r="50" customFormat="false" ht="15" hidden="false" customHeight="false" outlineLevel="0" collapsed="false">
      <c r="A50" s="4" t="s">
        <v>234</v>
      </c>
      <c r="B50" s="16" t="s">
        <v>43</v>
      </c>
      <c r="C50" s="19" t="n">
        <f aca="false">2</f>
        <v>2</v>
      </c>
      <c r="D50" s="19" t="n">
        <f aca="false">2</f>
        <v>2</v>
      </c>
      <c r="E50" s="19" t="n">
        <f aca="false">2</f>
        <v>2</v>
      </c>
      <c r="F50" s="19" t="n">
        <f aca="false">2</f>
        <v>2</v>
      </c>
      <c r="G50" s="13" t="s">
        <v>235</v>
      </c>
    </row>
    <row r="51" customFormat="false" ht="15" hidden="false" customHeight="false" outlineLevel="0" collapsed="false">
      <c r="A51" s="4" t="s">
        <v>236</v>
      </c>
      <c r="B51" s="16" t="s">
        <v>69</v>
      </c>
      <c r="C51" s="22" t="n">
        <f aca="false">CEILING(C47/C50,5)</f>
        <v>150</v>
      </c>
      <c r="D51" s="22" t="n">
        <f aca="false">CEILING(D47/D50,5)</f>
        <v>140</v>
      </c>
      <c r="E51" s="22" t="n">
        <f aca="false">CEILING(E47/E50,5)</f>
        <v>140</v>
      </c>
      <c r="F51" s="22" t="n">
        <f aca="false">CEILING(F47/F50,5)</f>
        <v>150</v>
      </c>
      <c r="G51" s="13"/>
    </row>
    <row r="52" customFormat="false" ht="15" hidden="false" customHeight="false" outlineLevel="0" collapsed="false">
      <c r="A52" s="4" t="s">
        <v>237</v>
      </c>
      <c r="B52" s="16" t="s">
        <v>69</v>
      </c>
      <c r="C52" s="22" t="n">
        <f aca="false">CEILING(C49/C50,5)</f>
        <v>85</v>
      </c>
      <c r="D52" s="22" t="n">
        <f aca="false">CEILING(D49/D50,5)</f>
        <v>85</v>
      </c>
      <c r="E52" s="22" t="n">
        <f aca="false">CEILING(E49/E50,5)</f>
        <v>85</v>
      </c>
      <c r="F52" s="22" t="n">
        <f aca="false">CEILING(F49/F50,5)</f>
        <v>90</v>
      </c>
      <c r="G52" s="13"/>
    </row>
    <row r="53" customFormat="false" ht="15" hidden="false" customHeight="false" outlineLevel="0" collapsed="false">
      <c r="A53" s="3" t="s">
        <v>238</v>
      </c>
      <c r="B53" s="27"/>
      <c r="C53" s="27"/>
      <c r="D53" s="27"/>
      <c r="E53" s="27"/>
      <c r="F53" s="27"/>
      <c r="G53" s="27"/>
    </row>
    <row r="54" customFormat="false" ht="15" hidden="false" customHeight="false" outlineLevel="0" collapsed="false">
      <c r="A54" s="4" t="s">
        <v>239</v>
      </c>
      <c r="B54" s="16" t="s">
        <v>69</v>
      </c>
      <c r="C54" s="22" t="n">
        <f aca="false">200</f>
        <v>200</v>
      </c>
      <c r="D54" s="22" t="n">
        <f aca="false">200</f>
        <v>200</v>
      </c>
      <c r="E54" s="22" t="n">
        <f aca="false">200</f>
        <v>200</v>
      </c>
      <c r="F54" s="22" t="n">
        <f aca="false">200</f>
        <v>200</v>
      </c>
      <c r="G54" s="13" t="s">
        <v>240</v>
      </c>
    </row>
    <row r="55" customFormat="false" ht="15" hidden="false" customHeight="false" outlineLevel="0" collapsed="false">
      <c r="A55" s="4" t="s">
        <v>241</v>
      </c>
      <c r="B55" s="16" t="s">
        <v>11</v>
      </c>
      <c r="C55" s="28" t="n">
        <f aca="false">C37/C54</f>
        <v>1.5</v>
      </c>
      <c r="D55" s="28" t="n">
        <f aca="false">D37/D54</f>
        <v>1.4</v>
      </c>
      <c r="E55" s="28" t="n">
        <f aca="false">E37/E54</f>
        <v>1.4</v>
      </c>
      <c r="F55" s="28" t="n">
        <f aca="false">F37/F54</f>
        <v>1.5</v>
      </c>
      <c r="G55" s="13" t="s">
        <v>242</v>
      </c>
    </row>
    <row r="56" customFormat="false" ht="15" hidden="false" customHeight="false" outlineLevel="0" collapsed="false">
      <c r="A56" s="23" t="s">
        <v>243</v>
      </c>
      <c r="B56" s="16" t="s">
        <v>69</v>
      </c>
      <c r="C56" s="25" t="n">
        <f aca="false">SUM(C37:F37)</f>
        <v>1160</v>
      </c>
    </row>
    <row r="57" customFormat="false" ht="15" hidden="false" customHeight="false" outlineLevel="0" collapsed="false">
      <c r="A57" s="23" t="s">
        <v>244</v>
      </c>
      <c r="B57" s="16" t="s">
        <v>69</v>
      </c>
      <c r="C57" s="25" t="n">
        <f aca="false">SUM(C45:F45)</f>
        <v>545</v>
      </c>
    </row>
    <row r="58" customFormat="false" ht="15" hidden="false" customHeight="false" outlineLevel="0" collapsed="false">
      <c r="A58" s="23" t="s">
        <v>245</v>
      </c>
      <c r="B58" s="16" t="s">
        <v>69</v>
      </c>
      <c r="C58" s="25" t="n">
        <f aca="false">SUM(C8:F8)</f>
        <v>672.78645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4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2" t="s">
        <v>247</v>
      </c>
    </row>
    <row r="4" customFormat="false" ht="15" hidden="false" customHeight="false" outlineLevel="0" collapsed="false">
      <c r="A4" s="8" t="s">
        <v>157</v>
      </c>
      <c r="B4" s="8" t="s">
        <v>248</v>
      </c>
      <c r="C4" s="8" t="s">
        <v>249</v>
      </c>
      <c r="D4" s="8" t="s">
        <v>159</v>
      </c>
    </row>
    <row r="5" customFormat="false" ht="15" hidden="false" customHeight="false" outlineLevel="0" collapsed="false">
      <c r="A5" s="3" t="s">
        <v>250</v>
      </c>
    </row>
    <row r="6" customFormat="false" ht="15" hidden="false" customHeight="false" outlineLevel="0" collapsed="false">
      <c r="A6" s="13" t="s">
        <v>251</v>
      </c>
      <c r="B6" s="32" t="n">
        <v>40</v>
      </c>
      <c r="C6" s="32" t="n">
        <v>20</v>
      </c>
      <c r="D6" s="13" t="s">
        <v>252</v>
      </c>
    </row>
    <row r="7" customFormat="false" ht="15" hidden="false" customHeight="false" outlineLevel="0" collapsed="false">
      <c r="A7" s="13" t="s">
        <v>253</v>
      </c>
      <c r="B7" s="32" t="n">
        <v>100</v>
      </c>
      <c r="C7" s="32" t="n">
        <v>100</v>
      </c>
      <c r="D7" s="13"/>
    </row>
    <row r="8" customFormat="false" ht="15" hidden="false" customHeight="false" outlineLevel="0" collapsed="false">
      <c r="A8" s="13" t="s">
        <v>254</v>
      </c>
      <c r="B8" s="32" t="n">
        <v>120</v>
      </c>
      <c r="C8" s="32" t="n">
        <v>40</v>
      </c>
      <c r="D8" s="13"/>
    </row>
    <row r="9" customFormat="false" ht="15" hidden="false" customHeight="false" outlineLevel="0" collapsed="false">
      <c r="A9" s="13" t="s">
        <v>255</v>
      </c>
      <c r="B9" s="32" t="n">
        <v>10</v>
      </c>
      <c r="C9" s="32" t="n">
        <v>10</v>
      </c>
      <c r="D9" s="13"/>
    </row>
    <row r="10" customFormat="false" ht="15" hidden="false" customHeight="false" outlineLevel="0" collapsed="false">
      <c r="A10" s="13" t="s">
        <v>256</v>
      </c>
      <c r="B10" s="32" t="n">
        <v>150</v>
      </c>
      <c r="C10" s="32" t="n">
        <v>120</v>
      </c>
      <c r="D10" s="13"/>
    </row>
    <row r="11" customFormat="false" ht="15" hidden="false" customHeight="false" outlineLevel="0" collapsed="false">
      <c r="A11" s="13" t="s">
        <v>257</v>
      </c>
      <c r="B11" s="32" t="n">
        <v>130</v>
      </c>
      <c r="C11" s="32" t="n">
        <v>40</v>
      </c>
      <c r="D11" s="13"/>
    </row>
    <row r="12" customFormat="false" ht="15" hidden="false" customHeight="false" outlineLevel="0" collapsed="false">
      <c r="A12" s="13" t="s">
        <v>258</v>
      </c>
      <c r="B12" s="32" t="n">
        <v>50</v>
      </c>
      <c r="C12" s="32" t="n">
        <v>40</v>
      </c>
      <c r="D12" s="13"/>
    </row>
    <row r="13" customFormat="false" ht="15" hidden="false" customHeight="false" outlineLevel="0" collapsed="false">
      <c r="A13" s="13" t="s">
        <v>259</v>
      </c>
      <c r="B13" s="32" t="n">
        <v>40</v>
      </c>
      <c r="C13" s="33"/>
      <c r="D13" s="13"/>
    </row>
    <row r="14" customFormat="false" ht="15" hidden="false" customHeight="false" outlineLevel="0" collapsed="false">
      <c r="A14" s="13" t="s">
        <v>260</v>
      </c>
      <c r="B14" s="32" t="n">
        <v>50</v>
      </c>
      <c r="C14" s="33"/>
      <c r="D14" s="13"/>
    </row>
    <row r="15" customFormat="false" ht="15" hidden="false" customHeight="false" outlineLevel="0" collapsed="false">
      <c r="A15" s="4" t="s">
        <v>261</v>
      </c>
      <c r="B15" s="34" t="n">
        <f aca="false">SUM(B6:B14)</f>
        <v>690</v>
      </c>
      <c r="C15" s="34" t="n">
        <f aca="false">SUM(C6:C14)</f>
        <v>370</v>
      </c>
      <c r="D15" s="13" t="s">
        <v>59</v>
      </c>
    </row>
    <row r="16" customFormat="false" ht="15" hidden="false" customHeight="false" outlineLevel="0" collapsed="false">
      <c r="A16" s="3" t="s">
        <v>262</v>
      </c>
    </row>
    <row r="17" customFormat="false" ht="15" hidden="false" customHeight="false" outlineLevel="0" collapsed="false">
      <c r="A17" s="4" t="s">
        <v>263</v>
      </c>
      <c r="B17" s="34" t="n">
        <f aca="false">0.6*v_ana^2</f>
        <v>19.97574</v>
      </c>
      <c r="C17" s="34" t="n">
        <f aca="false">0.6*v_ana^2</f>
        <v>19.97574</v>
      </c>
      <c r="D17" s="13" t="s">
        <v>264</v>
      </c>
    </row>
    <row r="18" customFormat="false" ht="15" hidden="false" customHeight="false" outlineLevel="0" collapsed="false">
      <c r="A18" s="4" t="s">
        <v>265</v>
      </c>
      <c r="B18" s="34" t="n">
        <f aca="false">L_kr*R_ort</f>
        <v>45</v>
      </c>
      <c r="C18" s="34" t="n">
        <f aca="false">L_kr*R_ort</f>
        <v>45</v>
      </c>
      <c r="D18" s="13" t="s">
        <v>59</v>
      </c>
    </row>
    <row r="19" customFormat="false" ht="15" hidden="false" customHeight="false" outlineLevel="0" collapsed="false">
      <c r="A19" s="4" t="s">
        <v>266</v>
      </c>
      <c r="B19" s="34" t="n">
        <f aca="false">z_uf*B17</f>
        <v>119.85444</v>
      </c>
      <c r="C19" s="34" t="n">
        <f aca="false">z_do*C17</f>
        <v>99.8787</v>
      </c>
      <c r="D19" s="13" t="s">
        <v>59</v>
      </c>
    </row>
    <row r="20" customFormat="false" ht="15" hidden="false" customHeight="false" outlineLevel="0" collapsed="false">
      <c r="A20" s="4" t="s">
        <v>267</v>
      </c>
      <c r="B20" s="34" t="n">
        <f aca="false">dp_mu+dp_br+dp_yd</f>
        <v>70</v>
      </c>
      <c r="C20" s="34" t="n">
        <f aca="false">dp_me+dp_br+dp_yd</f>
        <v>60</v>
      </c>
      <c r="D20" s="13" t="s">
        <v>59</v>
      </c>
    </row>
    <row r="21" customFormat="false" ht="15" hidden="false" customHeight="false" outlineLevel="0" collapsed="false">
      <c r="A21" s="4" t="s">
        <v>268</v>
      </c>
      <c r="B21" s="34" t="n">
        <f aca="false">SUM(B18:B20)</f>
        <v>234.85444</v>
      </c>
      <c r="C21" s="34" t="n">
        <f aca="false">SUM(C18:C20)</f>
        <v>204.8787</v>
      </c>
      <c r="D21" s="13" t="s">
        <v>59</v>
      </c>
    </row>
    <row r="22" customFormat="false" ht="15" hidden="false" customHeight="false" outlineLevel="0" collapsed="false">
      <c r="A22" s="9" t="s">
        <v>269</v>
      </c>
      <c r="B22" s="35" t="n">
        <f aca="false">CEILING(B21,50)</f>
        <v>250</v>
      </c>
      <c r="C22" s="35" t="n">
        <f aca="false">CEILING(C21,50)</f>
        <v>250</v>
      </c>
      <c r="D22" s="13" t="s">
        <v>59</v>
      </c>
    </row>
    <row r="23" customFormat="false" ht="15" hidden="false" customHeight="false" outlineLevel="0" collapsed="false">
      <c r="A23" s="23" t="s">
        <v>270</v>
      </c>
      <c r="B23" s="36" t="n">
        <f aca="false">B15+B22</f>
        <v>940</v>
      </c>
      <c r="C23" s="36" t="n">
        <f aca="false">C15+C22</f>
        <v>620</v>
      </c>
      <c r="D23" s="13" t="s">
        <v>271</v>
      </c>
    </row>
    <row r="24" customFormat="false" ht="15" hidden="false" customHeight="false" outlineLevel="0" collapsed="false">
      <c r="A24" s="3" t="s">
        <v>272</v>
      </c>
    </row>
    <row r="25" customFormat="false" ht="15" hidden="false" customHeight="false" outlineLevel="0" collapsed="false">
      <c r="A25" s="4" t="s">
        <v>273</v>
      </c>
      <c r="B25" s="34" t="n">
        <f aca="false">V_ks</f>
        <v>40000</v>
      </c>
      <c r="C25" s="34" t="n">
        <f aca="false">V_ks</f>
        <v>40000</v>
      </c>
      <c r="D25" s="13" t="s">
        <v>274</v>
      </c>
    </row>
    <row r="26" customFormat="false" ht="15" hidden="false" customHeight="false" outlineLevel="0" collapsed="false">
      <c r="A26" s="4" t="s">
        <v>275</v>
      </c>
      <c r="B26" s="34" t="n">
        <f aca="false">n_fan</f>
        <v>4</v>
      </c>
      <c r="C26" s="34" t="n">
        <f aca="false">n_fan</f>
        <v>4</v>
      </c>
      <c r="D26" s="13" t="s">
        <v>43</v>
      </c>
    </row>
    <row r="27" customFormat="false" ht="15" hidden="false" customHeight="false" outlineLevel="0" collapsed="false">
      <c r="A27" s="4" t="s">
        <v>276</v>
      </c>
      <c r="B27" s="34" t="n">
        <f aca="false">B25/B26</f>
        <v>10000</v>
      </c>
      <c r="C27" s="34" t="n">
        <f aca="false">C25/C26</f>
        <v>10000</v>
      </c>
      <c r="D27" s="13" t="s">
        <v>21</v>
      </c>
    </row>
    <row r="28" customFormat="false" ht="15" hidden="false" customHeight="false" outlineLevel="0" collapsed="false">
      <c r="A28" s="4" t="s">
        <v>277</v>
      </c>
      <c r="B28" s="28" t="n">
        <f aca="false">B25/3600*B23/eta_fan/1000</f>
        <v>16.8458781362007</v>
      </c>
      <c r="C28" s="28" t="n">
        <f aca="false">C25/3600*C23/eta_fan/1000</f>
        <v>11.1111111111111</v>
      </c>
      <c r="D28" s="13" t="s">
        <v>278</v>
      </c>
    </row>
    <row r="29" customFormat="false" ht="15" hidden="false" customHeight="false" outlineLevel="0" collapsed="false">
      <c r="A29" s="4" t="s">
        <v>279</v>
      </c>
      <c r="B29" s="28" t="n">
        <f aca="false">B28/B26</f>
        <v>4.21146953405018</v>
      </c>
      <c r="C29" s="28" t="n">
        <f aca="false">C28/C26</f>
        <v>2.77777777777778</v>
      </c>
      <c r="D29" s="13" t="s">
        <v>69</v>
      </c>
    </row>
    <row r="30" customFormat="false" ht="15" hidden="false" customHeight="false" outlineLevel="0" collapsed="false">
      <c r="A30" s="9" t="s">
        <v>280</v>
      </c>
      <c r="B30" s="37" t="n">
        <f aca="false">INDEX({1.1,1.5,2.2,3,4,5.5,7.5,11,15,18.5,22},MATCH(TRUE(),INDEX({1.1,1.5,2.2,3,4,5.5,7.5,11,15,18.5,22}&gt;=B29*k_motor,0),0))</f>
        <v>5.5</v>
      </c>
      <c r="C30" s="37" t="n">
        <f aca="false">INDEX({1.1,1.5,2.2,3,4,5.5,7.5,11,15,18.5,22},MATCH(TRUE(),INDEX({1.1,1.5,2.2,3,4,5.5,7.5,11,15,18.5,22}&gt;=C29*k_motor,0),0))</f>
        <v>4</v>
      </c>
      <c r="D30" s="13" t="s">
        <v>281</v>
      </c>
    </row>
    <row r="31" customFormat="false" ht="15" hidden="false" customHeight="false" outlineLevel="0" collapsed="false">
      <c r="A31" s="23" t="s">
        <v>282</v>
      </c>
      <c r="B31" s="38" t="n">
        <f aca="false">B26*B30</f>
        <v>22</v>
      </c>
      <c r="C31" s="38" t="n">
        <f aca="false">C26*C30</f>
        <v>16</v>
      </c>
      <c r="D31" s="13" t="s">
        <v>283</v>
      </c>
    </row>
    <row r="32" customFormat="false" ht="15" hidden="false" customHeight="false" outlineLevel="0" collapsed="false">
      <c r="A32" s="4" t="s">
        <v>284</v>
      </c>
      <c r="B32" s="34" t="n">
        <f aca="false">B28*1000/(B25/3600)</f>
        <v>1516.12903225806</v>
      </c>
      <c r="C32" s="34" t="n">
        <f aca="false">C28*1000/(C25/3600)</f>
        <v>1000</v>
      </c>
      <c r="D32" s="13" t="s">
        <v>285</v>
      </c>
    </row>
    <row r="33" customFormat="false" ht="15" hidden="false" customHeight="false" outlineLevel="0" collapsed="false">
      <c r="A33" s="4" t="s">
        <v>286</v>
      </c>
      <c r="B33" s="39" t="str">
        <f aca="false">IF(B32&lt;=500,"SFP1",IF(B32&lt;=750,"SFP2",IF(B32&lt;=1250,"SFP3",IF(B32&lt;=2000,"SFP4",IF(B32&lt;=3000,"SFP5","SFP6")))))</f>
        <v>SFP4</v>
      </c>
      <c r="C33" s="39" t="str">
        <f aca="false">IF(C32&lt;=500,"SFP1",IF(C32&lt;=750,"SFP2",IF(C32&lt;=1250,"SFP3",IF(C32&lt;=2000,"SFP4",IF(C32&lt;=3000,"SFP5","SFP6")))))</f>
        <v>SFP3</v>
      </c>
      <c r="D33" s="13" t="s">
        <v>287</v>
      </c>
    </row>
    <row r="34" customFormat="false" ht="15" hidden="false" customHeight="false" outlineLevel="0" collapsed="false">
      <c r="A34" s="4" t="s">
        <v>288</v>
      </c>
      <c r="B34" s="28" t="n">
        <f aca="false">B28</f>
        <v>16.8458781362007</v>
      </c>
      <c r="C34" s="28" t="n">
        <f aca="false">C28</f>
        <v>11.1111111111111</v>
      </c>
      <c r="D34" s="13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7" min="4" style="0" width="12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1" t="s">
        <v>290</v>
      </c>
    </row>
    <row r="3" customFormat="false" ht="15" hidden="false" customHeight="false" outlineLevel="0" collapsed="false">
      <c r="A3" s="8" t="s">
        <v>291</v>
      </c>
      <c r="B3" s="8" t="s">
        <v>292</v>
      </c>
      <c r="C3" s="8" t="s">
        <v>293</v>
      </c>
      <c r="D3" s="8" t="s">
        <v>142</v>
      </c>
      <c r="E3" s="8" t="s">
        <v>147</v>
      </c>
      <c r="F3" s="8" t="s">
        <v>149</v>
      </c>
      <c r="G3" s="8" t="s">
        <v>151</v>
      </c>
      <c r="H3" s="8" t="s">
        <v>158</v>
      </c>
    </row>
    <row r="4" customFormat="false" ht="15" hidden="false" customHeight="false" outlineLevel="0" collapsed="false">
      <c r="A4" s="15" t="s">
        <v>118</v>
      </c>
      <c r="B4" s="9" t="s">
        <v>294</v>
      </c>
      <c r="C4" s="4" t="s">
        <v>295</v>
      </c>
      <c r="D4" s="19" t="n">
        <f aca="false">'KS HESABI'!C15</f>
        <v>40000</v>
      </c>
      <c r="E4" s="19" t="n">
        <f aca="false">'KS HESABI'!D15</f>
        <v>40000</v>
      </c>
      <c r="F4" s="19" t="n">
        <f aca="false">'KS HESABI'!E15</f>
        <v>40000</v>
      </c>
      <c r="G4" s="19" t="n">
        <f aca="false">'KS HESABI'!F15</f>
        <v>40000</v>
      </c>
      <c r="H4" s="16" t="s">
        <v>21</v>
      </c>
    </row>
    <row r="5" customFormat="false" ht="15" hidden="false" customHeight="false" outlineLevel="0" collapsed="false">
      <c r="A5" s="15"/>
      <c r="B5" s="9" t="s">
        <v>296</v>
      </c>
      <c r="C5" s="4" t="s">
        <v>297</v>
      </c>
      <c r="D5" s="19" t="n">
        <f aca="false">'KS HESABI'!C17</f>
        <v>14500</v>
      </c>
      <c r="E5" s="19" t="n">
        <f aca="false">'KS HESABI'!D17</f>
        <v>13500</v>
      </c>
      <c r="F5" s="19" t="n">
        <f aca="false">'KS HESABI'!E17</f>
        <v>13500</v>
      </c>
      <c r="G5" s="19" t="n">
        <f aca="false">'KS HESABI'!F17</f>
        <v>14500</v>
      </c>
      <c r="H5" s="16" t="s">
        <v>21</v>
      </c>
    </row>
    <row r="6" customFormat="false" ht="15" hidden="false" customHeight="false" outlineLevel="0" collapsed="false">
      <c r="A6" s="15"/>
      <c r="B6" s="4"/>
      <c r="C6" s="4" t="s">
        <v>29</v>
      </c>
      <c r="D6" s="40" t="n">
        <f aca="false">eps</f>
        <v>0.75</v>
      </c>
      <c r="E6" s="40" t="n">
        <f aca="false">eps</f>
        <v>0.75</v>
      </c>
      <c r="F6" s="40" t="n">
        <f aca="false">eps</f>
        <v>0.75</v>
      </c>
      <c r="G6" s="40" t="n">
        <f aca="false">eps</f>
        <v>0.75</v>
      </c>
      <c r="H6" s="16" t="s">
        <v>11</v>
      </c>
    </row>
    <row r="7" customFormat="false" ht="15" hidden="false" customHeight="false" outlineLevel="0" collapsed="false">
      <c r="A7" s="15"/>
      <c r="B7" s="4"/>
      <c r="C7" s="4" t="s">
        <v>298</v>
      </c>
      <c r="D7" s="22" t="n">
        <f aca="false">'KS HESABI'!C37</f>
        <v>300</v>
      </c>
      <c r="E7" s="22" t="n">
        <f aca="false">'KS HESABI'!D37</f>
        <v>280</v>
      </c>
      <c r="F7" s="22" t="n">
        <f aca="false">'KS HESABI'!E37</f>
        <v>280</v>
      </c>
      <c r="G7" s="22" t="n">
        <f aca="false">'KS HESABI'!F37</f>
        <v>300</v>
      </c>
      <c r="H7" s="16" t="s">
        <v>299</v>
      </c>
    </row>
    <row r="8" customFormat="false" ht="15" hidden="false" customHeight="false" outlineLevel="0" collapsed="false">
      <c r="A8" s="15"/>
      <c r="B8" s="4"/>
      <c r="C8" s="4" t="s">
        <v>300</v>
      </c>
      <c r="D8" s="22" t="n">
        <f aca="false">'KS HESABI'!C45</f>
        <v>135</v>
      </c>
      <c r="E8" s="22" t="n">
        <f aca="false">'KS HESABI'!D45</f>
        <v>135</v>
      </c>
      <c r="F8" s="22" t="n">
        <f aca="false">'KS HESABI'!E45</f>
        <v>135</v>
      </c>
      <c r="G8" s="22" t="n">
        <f aca="false">'KS HESABI'!F45</f>
        <v>140</v>
      </c>
      <c r="H8" s="16" t="s">
        <v>299</v>
      </c>
    </row>
    <row r="9" customFormat="false" ht="15" hidden="false" customHeight="false" outlineLevel="0" collapsed="false">
      <c r="A9" s="15"/>
      <c r="B9" s="4"/>
      <c r="C9" s="4" t="s">
        <v>215</v>
      </c>
      <c r="D9" s="19" t="n">
        <f aca="false">'KS HESABI'!C36</f>
        <v>139.479593446938</v>
      </c>
      <c r="E9" s="19" t="n">
        <f aca="false">'KS HESABI'!D36</f>
        <v>129.729354681457</v>
      </c>
      <c r="F9" s="19" t="n">
        <f aca="false">'KS HESABI'!E36</f>
        <v>130.100866476739</v>
      </c>
      <c r="G9" s="19" t="n">
        <f aca="false">'KS HESABI'!F36</f>
        <v>139.9624842906</v>
      </c>
      <c r="H9" s="16" t="s">
        <v>216</v>
      </c>
    </row>
    <row r="10" customFormat="false" ht="15" hidden="false" customHeight="false" outlineLevel="0" collapsed="false">
      <c r="A10" s="15"/>
      <c r="B10" s="4"/>
      <c r="C10" s="4" t="s">
        <v>301</v>
      </c>
      <c r="D10" s="19" t="str">
        <f aca="false">n_fan&amp;" × "&amp;TEXT(qf_fan,"#.##0")&amp;" m³/h"</f>
        <v>4 × 10000.000 m³/h</v>
      </c>
      <c r="E10" s="19" t="str">
        <f aca="false">n_fan&amp;" × "&amp;TEXT(qf_fan,"#.##0")&amp;" m³/h"</f>
        <v>4 × 10000.000 m³/h</v>
      </c>
      <c r="F10" s="19" t="str">
        <f aca="false">n_fan&amp;" × "&amp;TEXT(qf_fan,"#.##0")&amp;" m³/h"</f>
        <v>4 × 10000.000 m³/h</v>
      </c>
      <c r="G10" s="19" t="str">
        <f aca="false">n_fan&amp;" × "&amp;TEXT(qf_fan,"#.##0")&amp;" m³/h"</f>
        <v>4 × 10000.000 m³/h</v>
      </c>
      <c r="H10" s="16"/>
    </row>
    <row r="11" customFormat="false" ht="15" hidden="false" customHeight="false" outlineLevel="0" collapsed="false">
      <c r="A11" s="15"/>
      <c r="B11" s="4"/>
      <c r="C11" s="4" t="s">
        <v>302</v>
      </c>
      <c r="D11" s="19" t="str">
        <f aca="false">TEXT(dp_uf,"0")&amp;" / "&amp;TEXT(esp_uf,"0")&amp;" Pa"</f>
        <v>940 / 250 Pa</v>
      </c>
      <c r="E11" s="19" t="str">
        <f aca="false">TEXT(dp_uf,"0")&amp;" / "&amp;TEXT(esp_uf,"0")&amp;" Pa"</f>
        <v>940 / 250 Pa</v>
      </c>
      <c r="F11" s="19" t="str">
        <f aca="false">TEXT(dp_uf,"0")&amp;" / "&amp;TEXT(esp_uf,"0")&amp;" Pa"</f>
        <v>940 / 250 Pa</v>
      </c>
      <c r="G11" s="19" t="str">
        <f aca="false">TEXT(dp_uf,"0")&amp;" / "&amp;TEXT(esp_uf,"0")&amp;" Pa"</f>
        <v>940 / 250 Pa</v>
      </c>
      <c r="H11" s="16"/>
    </row>
    <row r="12" customFormat="false" ht="15" hidden="false" customHeight="false" outlineLevel="0" collapsed="false">
      <c r="A12" s="15"/>
      <c r="B12" s="4"/>
      <c r="C12" s="4" t="s">
        <v>303</v>
      </c>
      <c r="D12" s="22" t="n">
        <f aca="false">Pm_uf</f>
        <v>5.5</v>
      </c>
      <c r="E12" s="22" t="n">
        <f aca="false">Pm_uf</f>
        <v>5.5</v>
      </c>
      <c r="F12" s="22" t="n">
        <f aca="false">Pm_uf</f>
        <v>5.5</v>
      </c>
      <c r="G12" s="22" t="n">
        <f aca="false">Pm_uf</f>
        <v>5.5</v>
      </c>
      <c r="H12" s="16" t="s">
        <v>304</v>
      </c>
    </row>
    <row r="13" customFormat="false" ht="15" hidden="false" customHeight="false" outlineLevel="0" collapsed="false">
      <c r="A13" s="15"/>
      <c r="B13" s="4"/>
      <c r="C13" s="4" t="s">
        <v>305</v>
      </c>
      <c r="D13" s="19" t="str">
        <f aca="false">n_fan&amp;" × "&amp;TEXT(qf_fan,"#.##0")&amp;" m³/h"</f>
        <v>4 × 10000.000 m³/h</v>
      </c>
      <c r="E13" s="19" t="str">
        <f aca="false">n_fan&amp;" × "&amp;TEXT(qf_fan,"#.##0")&amp;" m³/h"</f>
        <v>4 × 10000.000 m³/h</v>
      </c>
      <c r="F13" s="19" t="str">
        <f aca="false">n_fan&amp;" × "&amp;TEXT(qf_fan,"#.##0")&amp;" m³/h"</f>
        <v>4 × 10000.000 m³/h</v>
      </c>
      <c r="G13" s="19" t="str">
        <f aca="false">n_fan&amp;" × "&amp;TEXT(qf_fan,"#.##0")&amp;" m³/h"</f>
        <v>4 × 10000.000 m³/h</v>
      </c>
      <c r="H13" s="16"/>
    </row>
    <row r="14" customFormat="false" ht="15" hidden="false" customHeight="false" outlineLevel="0" collapsed="false">
      <c r="A14" s="15"/>
      <c r="B14" s="4"/>
      <c r="C14" s="4" t="s">
        <v>306</v>
      </c>
      <c r="D14" s="19" t="str">
        <f aca="false">TEXT(dp_do,"0")&amp;" / "&amp;TEXT(esp_do,"0")&amp;" Pa"</f>
        <v>620 / 250 Pa</v>
      </c>
      <c r="E14" s="19" t="str">
        <f aca="false">TEXT(dp_do,"0")&amp;" / "&amp;TEXT(esp_do,"0")&amp;" Pa"</f>
        <v>620 / 250 Pa</v>
      </c>
      <c r="F14" s="19" t="str">
        <f aca="false">TEXT(dp_do,"0")&amp;" / "&amp;TEXT(esp_do,"0")&amp;" Pa"</f>
        <v>620 / 250 Pa</v>
      </c>
      <c r="G14" s="19" t="str">
        <f aca="false">TEXT(dp_do,"0")&amp;" / "&amp;TEXT(esp_do,"0")&amp;" Pa"</f>
        <v>620 / 250 Pa</v>
      </c>
      <c r="H14" s="16"/>
    </row>
    <row r="15" customFormat="false" ht="15" hidden="false" customHeight="false" outlineLevel="0" collapsed="false">
      <c r="A15" s="15"/>
      <c r="B15" s="4"/>
      <c r="C15" s="4" t="s">
        <v>307</v>
      </c>
      <c r="D15" s="22" t="n">
        <f aca="false">Pm_do</f>
        <v>4</v>
      </c>
      <c r="E15" s="22" t="n">
        <f aca="false">Pm_do</f>
        <v>4</v>
      </c>
      <c r="F15" s="22" t="n">
        <f aca="false">Pm_do</f>
        <v>4</v>
      </c>
      <c r="G15" s="22" t="n">
        <f aca="false">Pm_do</f>
        <v>4</v>
      </c>
      <c r="H15" s="16" t="s">
        <v>304</v>
      </c>
    </row>
    <row r="16" customFormat="false" ht="15" hidden="false" customHeight="false" outlineLevel="0" collapsed="false">
      <c r="A16" s="15"/>
      <c r="B16" s="4"/>
      <c r="C16" s="4" t="s">
        <v>308</v>
      </c>
      <c r="D16" s="19" t="str">
        <f aca="false">TEXT(sfp_uf,"0")&amp;" / "&amp;TEXT(sfp_do,"0")&amp;" W/(m³/s)"</f>
        <v>1516 / 1000 W/(m³/s)</v>
      </c>
      <c r="E16" s="19" t="str">
        <f aca="false">TEXT(sfp_uf,"0")&amp;" / "&amp;TEXT(sfp_do,"0")&amp;" W/(m³/s)"</f>
        <v>1516 / 1000 W/(m³/s)</v>
      </c>
      <c r="F16" s="19" t="str">
        <f aca="false">TEXT(sfp_uf,"0")&amp;" / "&amp;TEXT(sfp_do,"0")&amp;" W/(m³/s)"</f>
        <v>1516 / 1000 W/(m³/s)</v>
      </c>
      <c r="G16" s="19" t="str">
        <f aca="false">TEXT(sfp_uf,"0")&amp;" / "&amp;TEXT(sfp_do,"0")&amp;" W/(m³/s)"</f>
        <v>1516 / 1000 W/(m³/s)</v>
      </c>
      <c r="H16" s="16"/>
    </row>
    <row r="17" customFormat="false" ht="15" hidden="false" customHeight="false" outlineLevel="0" collapsed="false">
      <c r="A17" s="15"/>
      <c r="B17" s="4"/>
      <c r="C17" s="4" t="s">
        <v>309</v>
      </c>
      <c r="D17" s="19" t="s">
        <v>310</v>
      </c>
      <c r="E17" s="19" t="s">
        <v>310</v>
      </c>
      <c r="F17" s="19" t="s">
        <v>310</v>
      </c>
      <c r="G17" s="19" t="s">
        <v>310</v>
      </c>
      <c r="H17" s="16"/>
    </row>
    <row r="18" customFormat="false" ht="15" hidden="false" customHeight="false" outlineLevel="0" collapsed="false">
      <c r="A18" s="15"/>
      <c r="B18" s="4"/>
      <c r="C18" s="4" t="s">
        <v>311</v>
      </c>
      <c r="D18" s="19" t="s">
        <v>312</v>
      </c>
      <c r="E18" s="19" t="s">
        <v>312</v>
      </c>
      <c r="F18" s="19" t="s">
        <v>312</v>
      </c>
      <c r="G18" s="19" t="s">
        <v>312</v>
      </c>
      <c r="H18" s="16" t="s">
        <v>313</v>
      </c>
    </row>
    <row r="19" customFormat="false" ht="15" hidden="false" customHeight="false" outlineLevel="0" collapsed="false">
      <c r="A19" s="15" t="s">
        <v>314</v>
      </c>
      <c r="B19" s="9" t="s">
        <v>315</v>
      </c>
      <c r="C19" s="4" t="s">
        <v>316</v>
      </c>
      <c r="D19" s="19" t="n">
        <f aca="false">'KS HESABI'!C50</f>
        <v>2</v>
      </c>
      <c r="E19" s="19" t="n">
        <f aca="false">'KS HESABI'!D50</f>
        <v>2</v>
      </c>
      <c r="F19" s="19" t="n">
        <f aca="false">'KS HESABI'!E50</f>
        <v>2</v>
      </c>
      <c r="G19" s="19" t="n">
        <f aca="false">'KS HESABI'!F50</f>
        <v>2</v>
      </c>
      <c r="H19" s="16" t="s">
        <v>43</v>
      </c>
    </row>
    <row r="20" customFormat="false" ht="15" hidden="false" customHeight="false" outlineLevel="0" collapsed="false">
      <c r="A20" s="15"/>
      <c r="B20" s="4"/>
      <c r="C20" s="4" t="s">
        <v>317</v>
      </c>
      <c r="D20" s="22" t="n">
        <f aca="false">'KS HESABI'!C51</f>
        <v>150</v>
      </c>
      <c r="E20" s="22" t="n">
        <f aca="false">'KS HESABI'!D51</f>
        <v>140</v>
      </c>
      <c r="F20" s="22" t="n">
        <f aca="false">'KS HESABI'!E51</f>
        <v>140</v>
      </c>
      <c r="G20" s="22" t="n">
        <f aca="false">'KS HESABI'!F51</f>
        <v>150</v>
      </c>
      <c r="H20" s="16" t="s">
        <v>299</v>
      </c>
    </row>
    <row r="21" customFormat="false" ht="15" hidden="false" customHeight="false" outlineLevel="0" collapsed="false">
      <c r="A21" s="15"/>
      <c r="B21" s="4"/>
      <c r="C21" s="4" t="s">
        <v>318</v>
      </c>
      <c r="D21" s="22" t="n">
        <f aca="false">'KS HESABI'!C52</f>
        <v>85</v>
      </c>
      <c r="E21" s="22" t="n">
        <f aca="false">'KS HESABI'!D52</f>
        <v>85</v>
      </c>
      <c r="F21" s="22" t="n">
        <f aca="false">'KS HESABI'!E52</f>
        <v>85</v>
      </c>
      <c r="G21" s="22" t="n">
        <f aca="false">'KS HESABI'!F52</f>
        <v>90</v>
      </c>
      <c r="H21" s="16" t="s">
        <v>299</v>
      </c>
    </row>
    <row r="22" customFormat="false" ht="15" hidden="false" customHeight="false" outlineLevel="0" collapsed="false">
      <c r="A22" s="15"/>
      <c r="B22" s="4"/>
      <c r="C22" s="4" t="s">
        <v>319</v>
      </c>
      <c r="D22" s="19" t="s">
        <v>320</v>
      </c>
      <c r="E22" s="19" t="s">
        <v>320</v>
      </c>
      <c r="F22" s="19" t="s">
        <v>320</v>
      </c>
      <c r="G22" s="19" t="s">
        <v>320</v>
      </c>
      <c r="H22" s="16" t="s">
        <v>313</v>
      </c>
    </row>
    <row r="24" customFormat="false" ht="15" hidden="false" customHeight="false" outlineLevel="0" collapsed="false">
      <c r="A24" s="2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16.15" hidden="false" customHeight="false" outlineLevel="0" collapsed="false">
      <c r="A1" s="1" t="s">
        <v>322</v>
      </c>
    </row>
    <row r="2" customFormat="false" ht="15" hidden="false" customHeight="false" outlineLevel="0" collapsed="false">
      <c r="A2" s="2" t="s">
        <v>323</v>
      </c>
    </row>
    <row r="4" customFormat="false" ht="31.5" hidden="false" customHeight="true" outlineLevel="0" collapsed="false">
      <c r="A4" s="14" t="s">
        <v>291</v>
      </c>
      <c r="B4" s="14" t="s">
        <v>324</v>
      </c>
      <c r="C4" s="14" t="s">
        <v>325</v>
      </c>
      <c r="D4" s="14" t="s">
        <v>326</v>
      </c>
      <c r="E4" s="14" t="s">
        <v>327</v>
      </c>
      <c r="F4" s="14" t="s">
        <v>328</v>
      </c>
      <c r="G4" s="14" t="s">
        <v>329</v>
      </c>
      <c r="H4" s="14" t="s">
        <v>330</v>
      </c>
      <c r="I4" s="14" t="s">
        <v>331</v>
      </c>
      <c r="J4" s="14" t="s">
        <v>332</v>
      </c>
    </row>
    <row r="5" customFormat="false" ht="15" hidden="false" customHeight="false" outlineLevel="0" collapsed="false">
      <c r="A5" s="41" t="n">
        <v>1</v>
      </c>
      <c r="B5" s="41" t="s">
        <v>142</v>
      </c>
      <c r="C5" s="23" t="s">
        <v>333</v>
      </c>
      <c r="D5" s="36"/>
      <c r="E5" s="38"/>
      <c r="F5" s="38" t="n">
        <f aca="false">SUM(F6:F9)</f>
        <v>38.34</v>
      </c>
      <c r="G5" s="36" t="n">
        <f aca="false">U_v</f>
        <v>400</v>
      </c>
      <c r="H5" s="38" t="n">
        <f aca="false">cos_ks</f>
        <v>0.95</v>
      </c>
      <c r="I5" s="42" t="n">
        <f aca="false">F5*1000/(SQRT(3)*G5*H5)</f>
        <v>58.2516034756059</v>
      </c>
      <c r="J5" s="36" t="n">
        <f aca="false">INDEX({6,10,16,20,25,32,40,50,63,80,100,125,160,200,250},MATCH(TRUE(),INDEX({6,10,16,20,25,32,40,50,63,80,100,125,160,200,250}&gt;=I5*k_sig,0),0))</f>
        <v>80</v>
      </c>
    </row>
    <row r="6" customFormat="false" ht="15" hidden="false" customHeight="false" outlineLevel="0" collapsed="false">
      <c r="A6" s="16" t="s">
        <v>334</v>
      </c>
      <c r="B6" s="16"/>
      <c r="C6" s="4" t="s">
        <v>335</v>
      </c>
      <c r="D6" s="34" t="n">
        <f aca="false">n_fan</f>
        <v>4</v>
      </c>
      <c r="E6" s="28" t="n">
        <f aca="false">Pm_uf</f>
        <v>5.5</v>
      </c>
      <c r="F6" s="28" t="n">
        <f aca="false">D6*E6</f>
        <v>22</v>
      </c>
      <c r="G6" s="34" t="n">
        <f aca="false">U_v</f>
        <v>400</v>
      </c>
      <c r="H6" s="28" t="n">
        <f aca="false">cos_ks</f>
        <v>0.95</v>
      </c>
      <c r="I6" s="12" t="n">
        <f aca="false">E6*1000/(SQRT(3)*G6*H6)</f>
        <v>8.356385475113</v>
      </c>
      <c r="J6" s="34" t="n">
        <f aca="false">INDEX({6,10,16,20,25,32,40,50,63,80,100,125,160,200,250},MATCH(TRUE(),INDEX({6,10,16,20,25,32,40,50,63,80,100,125,160,200,250}&gt;=I6*k_sig,0),0))</f>
        <v>16</v>
      </c>
    </row>
    <row r="7" customFormat="false" ht="15" hidden="false" customHeight="false" outlineLevel="0" collapsed="false">
      <c r="A7" s="16" t="s">
        <v>336</v>
      </c>
      <c r="B7" s="16"/>
      <c r="C7" s="4" t="s">
        <v>337</v>
      </c>
      <c r="D7" s="34" t="n">
        <f aca="false">n_fan</f>
        <v>4</v>
      </c>
      <c r="E7" s="28" t="n">
        <f aca="false">Pm_do</f>
        <v>4</v>
      </c>
      <c r="F7" s="28" t="n">
        <f aca="false">D7*E7</f>
        <v>16</v>
      </c>
      <c r="G7" s="34" t="n">
        <f aca="false">U_v</f>
        <v>400</v>
      </c>
      <c r="H7" s="28" t="n">
        <f aca="false">cos_ks</f>
        <v>0.95</v>
      </c>
      <c r="I7" s="12" t="n">
        <f aca="false">E7*1000/(SQRT(3)*G7*H7)</f>
        <v>6.07737125462764</v>
      </c>
      <c r="J7" s="34" t="n">
        <f aca="false">INDEX({6,10,16,20,25,32,40,50,63,80,100,125,160,200,250},MATCH(TRUE(),INDEX({6,10,16,20,25,32,40,50,63,80,100,125,160,200,250}&gt;=I7*k_sig,0),0))</f>
        <v>10</v>
      </c>
    </row>
    <row r="8" customFormat="false" ht="15" hidden="false" customHeight="false" outlineLevel="0" collapsed="false">
      <c r="A8" s="16" t="s">
        <v>338</v>
      </c>
      <c r="B8" s="16"/>
      <c r="C8" s="4" t="s">
        <v>339</v>
      </c>
      <c r="D8" s="34" t="n">
        <v>4</v>
      </c>
      <c r="E8" s="28" t="n">
        <f aca="false">P_dmp</f>
        <v>0.01</v>
      </c>
      <c r="F8" s="28" t="n">
        <f aca="false">D8*E8</f>
        <v>0.04</v>
      </c>
      <c r="G8" s="34" t="n">
        <v>230</v>
      </c>
      <c r="H8" s="28" t="n">
        <f aca="false">cos_ks</f>
        <v>0.95</v>
      </c>
      <c r="I8" s="12" t="n">
        <f aca="false">F8*1000/(G8*H8)</f>
        <v>0.183066361556064</v>
      </c>
      <c r="J8" s="34" t="n">
        <f aca="false">INDEX({6,10,16,20,25,32,40,50,63,80,100,125,160,200,250},MATCH(TRUE(),INDEX({6,10,16,20,25,32,40,50,63,80,100,125,160,200,250}&gt;=I8*k_sig,0),0))</f>
        <v>6</v>
      </c>
    </row>
    <row r="9" customFormat="false" ht="15" hidden="false" customHeight="false" outlineLevel="0" collapsed="false">
      <c r="A9" s="16" t="s">
        <v>340</v>
      </c>
      <c r="B9" s="16"/>
      <c r="C9" s="4" t="s">
        <v>341</v>
      </c>
      <c r="D9" s="34" t="n">
        <v>1</v>
      </c>
      <c r="E9" s="28" t="n">
        <f aca="false">P_ddc</f>
        <v>0.3</v>
      </c>
      <c r="F9" s="28" t="n">
        <f aca="false">D9*E9</f>
        <v>0.3</v>
      </c>
      <c r="G9" s="34" t="n">
        <v>230</v>
      </c>
      <c r="H9" s="28" t="n">
        <f aca="false">cos_ks</f>
        <v>0.95</v>
      </c>
      <c r="I9" s="12" t="n">
        <f aca="false">F9*1000/(G9*H9)</f>
        <v>1.37299771167048</v>
      </c>
      <c r="J9" s="34" t="n">
        <f aca="false">INDEX({6,10,16,20,25,32,40,50,63,80,100,125,160,200,250},MATCH(TRUE(),INDEX({6,10,16,20,25,32,40,50,63,80,100,125,160,200,250}&gt;=I9*k_sig,0),0))</f>
        <v>6</v>
      </c>
    </row>
    <row r="10" customFormat="false" ht="15" hidden="false" customHeight="false" outlineLevel="0" collapsed="false">
      <c r="A10" s="41" t="n">
        <v>2</v>
      </c>
      <c r="B10" s="41" t="s">
        <v>342</v>
      </c>
      <c r="C10" s="23" t="s">
        <v>343</v>
      </c>
      <c r="D10" s="36" t="n">
        <v>1</v>
      </c>
      <c r="E10" s="38" t="n">
        <f aca="false">ROUND(MAX('KS HESABI'!C51/EER,'KS HESABI'!C52*dus/COP),1)</f>
        <v>50</v>
      </c>
      <c r="F10" s="38" t="n">
        <f aca="false">D10*E10</f>
        <v>50</v>
      </c>
      <c r="G10" s="36" t="n">
        <f aca="false">U_v</f>
        <v>400</v>
      </c>
      <c r="H10" s="38" t="n">
        <f aca="false">cos_du</f>
        <v>0.92</v>
      </c>
      <c r="I10" s="42" t="n">
        <f aca="false">F10*1000/(SQRT(3)*G10*H10)</f>
        <v>78.4443300529383</v>
      </c>
      <c r="J10" s="36" t="n">
        <f aca="false">INDEX({6,10,16,20,25,32,40,50,63,80,100,125,160,200,250},MATCH(TRUE(),INDEX({6,10,16,20,25,32,40,50,63,80,100,125,160,200,250}&gt;=I10*k_sig,0),0))</f>
        <v>100</v>
      </c>
    </row>
    <row r="11" customFormat="false" ht="15" hidden="false" customHeight="false" outlineLevel="0" collapsed="false">
      <c r="A11" s="41" t="n">
        <v>3</v>
      </c>
      <c r="B11" s="41" t="s">
        <v>344</v>
      </c>
      <c r="C11" s="23" t="s">
        <v>343</v>
      </c>
      <c r="D11" s="36" t="n">
        <v>1</v>
      </c>
      <c r="E11" s="38" t="n">
        <f aca="false">ROUND(MAX('KS HESABI'!C51/EER,'KS HESABI'!C52*dus/COP),1)</f>
        <v>50</v>
      </c>
      <c r="F11" s="38" t="n">
        <f aca="false">D11*E11</f>
        <v>50</v>
      </c>
      <c r="G11" s="36" t="n">
        <f aca="false">U_v</f>
        <v>400</v>
      </c>
      <c r="H11" s="38" t="n">
        <f aca="false">cos_du</f>
        <v>0.92</v>
      </c>
      <c r="I11" s="42" t="n">
        <f aca="false">F11*1000/(SQRT(3)*G11*H11)</f>
        <v>78.4443300529383</v>
      </c>
      <c r="J11" s="36" t="n">
        <f aca="false">INDEX({6,10,16,20,25,32,40,50,63,80,100,125,160,200,250},MATCH(TRUE(),INDEX({6,10,16,20,25,32,40,50,63,80,100,125,160,200,250}&gt;=I11*k_sig,0),0))</f>
        <v>100</v>
      </c>
    </row>
    <row r="12" customFormat="false" ht="15" hidden="false" customHeight="false" outlineLevel="0" collapsed="false">
      <c r="A12" s="41" t="n">
        <v>4</v>
      </c>
      <c r="B12" s="41" t="s">
        <v>147</v>
      </c>
      <c r="C12" s="23" t="s">
        <v>333</v>
      </c>
      <c r="D12" s="36"/>
      <c r="E12" s="38"/>
      <c r="F12" s="38" t="n">
        <f aca="false">SUM(F13:F16)</f>
        <v>38.34</v>
      </c>
      <c r="G12" s="36" t="n">
        <f aca="false">U_v</f>
        <v>400</v>
      </c>
      <c r="H12" s="38" t="n">
        <f aca="false">cos_ks</f>
        <v>0.95</v>
      </c>
      <c r="I12" s="42" t="n">
        <f aca="false">F12*1000/(SQRT(3)*G12*H12)</f>
        <v>58.2516034756059</v>
      </c>
      <c r="J12" s="36" t="n">
        <f aca="false">INDEX({6,10,16,20,25,32,40,50,63,80,100,125,160,200,250},MATCH(TRUE(),INDEX({6,10,16,20,25,32,40,50,63,80,100,125,160,200,250}&gt;=I12*k_sig,0),0))</f>
        <v>80</v>
      </c>
    </row>
    <row r="13" customFormat="false" ht="15" hidden="false" customHeight="false" outlineLevel="0" collapsed="false">
      <c r="A13" s="16" t="s">
        <v>345</v>
      </c>
      <c r="B13" s="16"/>
      <c r="C13" s="4" t="s">
        <v>335</v>
      </c>
      <c r="D13" s="34" t="n">
        <f aca="false">n_fan</f>
        <v>4</v>
      </c>
      <c r="E13" s="28" t="n">
        <f aca="false">Pm_uf</f>
        <v>5.5</v>
      </c>
      <c r="F13" s="28" t="n">
        <f aca="false">D13*E13</f>
        <v>22</v>
      </c>
      <c r="G13" s="34" t="n">
        <f aca="false">U_v</f>
        <v>400</v>
      </c>
      <c r="H13" s="28" t="n">
        <f aca="false">cos_ks</f>
        <v>0.95</v>
      </c>
      <c r="I13" s="12" t="n">
        <f aca="false">E13*1000/(SQRT(3)*G13*H13)</f>
        <v>8.356385475113</v>
      </c>
      <c r="J13" s="34" t="n">
        <f aca="false">INDEX({6,10,16,20,25,32,40,50,63,80,100,125,160,200,250},MATCH(TRUE(),INDEX({6,10,16,20,25,32,40,50,63,80,100,125,160,200,250}&gt;=I13*k_sig,0),0))</f>
        <v>16</v>
      </c>
    </row>
    <row r="14" customFormat="false" ht="15" hidden="false" customHeight="false" outlineLevel="0" collapsed="false">
      <c r="A14" s="16" t="s">
        <v>346</v>
      </c>
      <c r="B14" s="16"/>
      <c r="C14" s="4" t="s">
        <v>337</v>
      </c>
      <c r="D14" s="34" t="n">
        <f aca="false">n_fan</f>
        <v>4</v>
      </c>
      <c r="E14" s="28" t="n">
        <f aca="false">Pm_do</f>
        <v>4</v>
      </c>
      <c r="F14" s="28" t="n">
        <f aca="false">D14*E14</f>
        <v>16</v>
      </c>
      <c r="G14" s="34" t="n">
        <f aca="false">U_v</f>
        <v>400</v>
      </c>
      <c r="H14" s="28" t="n">
        <f aca="false">cos_ks</f>
        <v>0.95</v>
      </c>
      <c r="I14" s="12" t="n">
        <f aca="false">E14*1000/(SQRT(3)*G14*H14)</f>
        <v>6.07737125462764</v>
      </c>
      <c r="J14" s="34" t="n">
        <f aca="false">INDEX({6,10,16,20,25,32,40,50,63,80,100,125,160,200,250},MATCH(TRUE(),INDEX({6,10,16,20,25,32,40,50,63,80,100,125,160,200,250}&gt;=I14*k_sig,0),0))</f>
        <v>10</v>
      </c>
    </row>
    <row r="15" customFormat="false" ht="15" hidden="false" customHeight="false" outlineLevel="0" collapsed="false">
      <c r="A15" s="16" t="s">
        <v>347</v>
      </c>
      <c r="B15" s="16"/>
      <c r="C15" s="4" t="s">
        <v>339</v>
      </c>
      <c r="D15" s="34" t="n">
        <v>4</v>
      </c>
      <c r="E15" s="28" t="n">
        <f aca="false">P_dmp</f>
        <v>0.01</v>
      </c>
      <c r="F15" s="28" t="n">
        <f aca="false">D15*E15</f>
        <v>0.04</v>
      </c>
      <c r="G15" s="34" t="n">
        <v>230</v>
      </c>
      <c r="H15" s="28" t="n">
        <f aca="false">cos_ks</f>
        <v>0.95</v>
      </c>
      <c r="I15" s="12" t="n">
        <f aca="false">F15*1000/(G15*H15)</f>
        <v>0.183066361556064</v>
      </c>
      <c r="J15" s="34" t="n">
        <f aca="false">INDEX({6,10,16,20,25,32,40,50,63,80,100,125,160,200,250},MATCH(TRUE(),INDEX({6,10,16,20,25,32,40,50,63,80,100,125,160,200,250}&gt;=I15*k_sig,0),0))</f>
        <v>6</v>
      </c>
    </row>
    <row r="16" customFormat="false" ht="15" hidden="false" customHeight="false" outlineLevel="0" collapsed="false">
      <c r="A16" s="16" t="s">
        <v>348</v>
      </c>
      <c r="B16" s="16"/>
      <c r="C16" s="4" t="s">
        <v>341</v>
      </c>
      <c r="D16" s="34" t="n">
        <v>1</v>
      </c>
      <c r="E16" s="28" t="n">
        <f aca="false">P_ddc</f>
        <v>0.3</v>
      </c>
      <c r="F16" s="28" t="n">
        <f aca="false">D16*E16</f>
        <v>0.3</v>
      </c>
      <c r="G16" s="34" t="n">
        <v>230</v>
      </c>
      <c r="H16" s="28" t="n">
        <f aca="false">cos_ks</f>
        <v>0.95</v>
      </c>
      <c r="I16" s="12" t="n">
        <f aca="false">F16*1000/(G16*H16)</f>
        <v>1.37299771167048</v>
      </c>
      <c r="J16" s="34" t="n">
        <f aca="false">INDEX({6,10,16,20,25,32,40,50,63,80,100,125,160,200,250},MATCH(TRUE(),INDEX({6,10,16,20,25,32,40,50,63,80,100,125,160,200,250}&gt;=I16*k_sig,0),0))</f>
        <v>6</v>
      </c>
    </row>
    <row r="17" customFormat="false" ht="15" hidden="false" customHeight="false" outlineLevel="0" collapsed="false">
      <c r="A17" s="41" t="n">
        <v>5</v>
      </c>
      <c r="B17" s="41" t="s">
        <v>349</v>
      </c>
      <c r="C17" s="23" t="s">
        <v>343</v>
      </c>
      <c r="D17" s="36" t="n">
        <v>1</v>
      </c>
      <c r="E17" s="38" t="n">
        <f aca="false">ROUND(MAX('KS HESABI'!D51/EER,'KS HESABI'!D52*dus/COP),1)</f>
        <v>46.7</v>
      </c>
      <c r="F17" s="38" t="n">
        <f aca="false">D17*E17</f>
        <v>46.7</v>
      </c>
      <c r="G17" s="36" t="n">
        <f aca="false">U_v</f>
        <v>400</v>
      </c>
      <c r="H17" s="38" t="n">
        <f aca="false">cos_du</f>
        <v>0.92</v>
      </c>
      <c r="I17" s="42" t="n">
        <f aca="false">F17*1000/(SQRT(3)*G17*H17)</f>
        <v>73.2670042694444</v>
      </c>
      <c r="J17" s="36" t="n">
        <f aca="false">INDEX({6,10,16,20,25,32,40,50,63,80,100,125,160,200,250},MATCH(TRUE(),INDEX({6,10,16,20,25,32,40,50,63,80,100,125,160,200,250}&gt;=I17*k_sig,0),0))</f>
        <v>100</v>
      </c>
    </row>
    <row r="18" customFormat="false" ht="15" hidden="false" customHeight="false" outlineLevel="0" collapsed="false">
      <c r="A18" s="41" t="n">
        <v>6</v>
      </c>
      <c r="B18" s="41" t="s">
        <v>350</v>
      </c>
      <c r="C18" s="23" t="s">
        <v>343</v>
      </c>
      <c r="D18" s="36" t="n">
        <v>1</v>
      </c>
      <c r="E18" s="38" t="n">
        <f aca="false">ROUND(MAX('KS HESABI'!D51/EER,'KS HESABI'!D52*dus/COP),1)</f>
        <v>46.7</v>
      </c>
      <c r="F18" s="38" t="n">
        <f aca="false">D18*E18</f>
        <v>46.7</v>
      </c>
      <c r="G18" s="36" t="n">
        <f aca="false">U_v</f>
        <v>400</v>
      </c>
      <c r="H18" s="38" t="n">
        <f aca="false">cos_du</f>
        <v>0.92</v>
      </c>
      <c r="I18" s="42" t="n">
        <f aca="false">F18*1000/(SQRT(3)*G18*H18)</f>
        <v>73.2670042694444</v>
      </c>
      <c r="J18" s="36" t="n">
        <f aca="false">INDEX({6,10,16,20,25,32,40,50,63,80,100,125,160,200,250},MATCH(TRUE(),INDEX({6,10,16,20,25,32,40,50,63,80,100,125,160,200,250}&gt;=I18*k_sig,0),0))</f>
        <v>100</v>
      </c>
    </row>
    <row r="19" customFormat="false" ht="15" hidden="false" customHeight="false" outlineLevel="0" collapsed="false">
      <c r="A19" s="41" t="n">
        <v>7</v>
      </c>
      <c r="B19" s="41" t="s">
        <v>149</v>
      </c>
      <c r="C19" s="23" t="s">
        <v>333</v>
      </c>
      <c r="D19" s="36"/>
      <c r="E19" s="38"/>
      <c r="F19" s="38" t="n">
        <f aca="false">SUM(F20:F23)</f>
        <v>38.34</v>
      </c>
      <c r="G19" s="36" t="n">
        <f aca="false">U_v</f>
        <v>400</v>
      </c>
      <c r="H19" s="38" t="n">
        <f aca="false">cos_ks</f>
        <v>0.95</v>
      </c>
      <c r="I19" s="42" t="n">
        <f aca="false">F19*1000/(SQRT(3)*G19*H19)</f>
        <v>58.2516034756059</v>
      </c>
      <c r="J19" s="36" t="n">
        <f aca="false">INDEX({6,10,16,20,25,32,40,50,63,80,100,125,160,200,250},MATCH(TRUE(),INDEX({6,10,16,20,25,32,40,50,63,80,100,125,160,200,250}&gt;=I19*k_sig,0),0))</f>
        <v>80</v>
      </c>
    </row>
    <row r="20" customFormat="false" ht="15" hidden="false" customHeight="false" outlineLevel="0" collapsed="false">
      <c r="A20" s="16" t="s">
        <v>351</v>
      </c>
      <c r="B20" s="16"/>
      <c r="C20" s="4" t="s">
        <v>335</v>
      </c>
      <c r="D20" s="34" t="n">
        <f aca="false">n_fan</f>
        <v>4</v>
      </c>
      <c r="E20" s="28" t="n">
        <f aca="false">Pm_uf</f>
        <v>5.5</v>
      </c>
      <c r="F20" s="28" t="n">
        <f aca="false">D20*E20</f>
        <v>22</v>
      </c>
      <c r="G20" s="34" t="n">
        <f aca="false">U_v</f>
        <v>400</v>
      </c>
      <c r="H20" s="28" t="n">
        <f aca="false">cos_ks</f>
        <v>0.95</v>
      </c>
      <c r="I20" s="12" t="n">
        <f aca="false">E20*1000/(SQRT(3)*G20*H20)</f>
        <v>8.356385475113</v>
      </c>
      <c r="J20" s="34" t="n">
        <f aca="false">INDEX({6,10,16,20,25,32,40,50,63,80,100,125,160,200,250},MATCH(TRUE(),INDEX({6,10,16,20,25,32,40,50,63,80,100,125,160,200,250}&gt;=I20*k_sig,0),0))</f>
        <v>16</v>
      </c>
    </row>
    <row r="21" customFormat="false" ht="15" hidden="false" customHeight="false" outlineLevel="0" collapsed="false">
      <c r="A21" s="16" t="s">
        <v>352</v>
      </c>
      <c r="B21" s="16"/>
      <c r="C21" s="4" t="s">
        <v>337</v>
      </c>
      <c r="D21" s="34" t="n">
        <f aca="false">n_fan</f>
        <v>4</v>
      </c>
      <c r="E21" s="28" t="n">
        <f aca="false">Pm_do</f>
        <v>4</v>
      </c>
      <c r="F21" s="28" t="n">
        <f aca="false">D21*E21</f>
        <v>16</v>
      </c>
      <c r="G21" s="34" t="n">
        <f aca="false">U_v</f>
        <v>400</v>
      </c>
      <c r="H21" s="28" t="n">
        <f aca="false">cos_ks</f>
        <v>0.95</v>
      </c>
      <c r="I21" s="12" t="n">
        <f aca="false">E21*1000/(SQRT(3)*G21*H21)</f>
        <v>6.07737125462764</v>
      </c>
      <c r="J21" s="34" t="n">
        <f aca="false">INDEX({6,10,16,20,25,32,40,50,63,80,100,125,160,200,250},MATCH(TRUE(),INDEX({6,10,16,20,25,32,40,50,63,80,100,125,160,200,250}&gt;=I21*k_sig,0),0))</f>
        <v>10</v>
      </c>
    </row>
    <row r="22" customFormat="false" ht="15" hidden="false" customHeight="false" outlineLevel="0" collapsed="false">
      <c r="A22" s="16" t="s">
        <v>353</v>
      </c>
      <c r="B22" s="16"/>
      <c r="C22" s="4" t="s">
        <v>339</v>
      </c>
      <c r="D22" s="34" t="n">
        <v>4</v>
      </c>
      <c r="E22" s="28" t="n">
        <f aca="false">P_dmp</f>
        <v>0.01</v>
      </c>
      <c r="F22" s="28" t="n">
        <f aca="false">D22*E22</f>
        <v>0.04</v>
      </c>
      <c r="G22" s="34" t="n">
        <v>230</v>
      </c>
      <c r="H22" s="28" t="n">
        <f aca="false">cos_ks</f>
        <v>0.95</v>
      </c>
      <c r="I22" s="12" t="n">
        <f aca="false">F22*1000/(G22*H22)</f>
        <v>0.183066361556064</v>
      </c>
      <c r="J22" s="34" t="n">
        <f aca="false">INDEX({6,10,16,20,25,32,40,50,63,80,100,125,160,200,250},MATCH(TRUE(),INDEX({6,10,16,20,25,32,40,50,63,80,100,125,160,200,250}&gt;=I22*k_sig,0),0))</f>
        <v>6</v>
      </c>
    </row>
    <row r="23" customFormat="false" ht="15" hidden="false" customHeight="false" outlineLevel="0" collapsed="false">
      <c r="A23" s="16" t="s">
        <v>354</v>
      </c>
      <c r="B23" s="16"/>
      <c r="C23" s="4" t="s">
        <v>341</v>
      </c>
      <c r="D23" s="34" t="n">
        <v>1</v>
      </c>
      <c r="E23" s="28" t="n">
        <f aca="false">P_ddc</f>
        <v>0.3</v>
      </c>
      <c r="F23" s="28" t="n">
        <f aca="false">D23*E23</f>
        <v>0.3</v>
      </c>
      <c r="G23" s="34" t="n">
        <v>230</v>
      </c>
      <c r="H23" s="28" t="n">
        <f aca="false">cos_ks</f>
        <v>0.95</v>
      </c>
      <c r="I23" s="12" t="n">
        <f aca="false">F23*1000/(G23*H23)</f>
        <v>1.37299771167048</v>
      </c>
      <c r="J23" s="34" t="n">
        <f aca="false">INDEX({6,10,16,20,25,32,40,50,63,80,100,125,160,200,250},MATCH(TRUE(),INDEX({6,10,16,20,25,32,40,50,63,80,100,125,160,200,250}&gt;=I23*k_sig,0),0))</f>
        <v>6</v>
      </c>
    </row>
    <row r="24" customFormat="false" ht="15" hidden="false" customHeight="false" outlineLevel="0" collapsed="false">
      <c r="A24" s="41" t="n">
        <v>8</v>
      </c>
      <c r="B24" s="41" t="s">
        <v>355</v>
      </c>
      <c r="C24" s="23" t="s">
        <v>343</v>
      </c>
      <c r="D24" s="36" t="n">
        <v>1</v>
      </c>
      <c r="E24" s="38" t="n">
        <f aca="false">ROUND(MAX('KS HESABI'!E51/EER,'KS HESABI'!E52*dus/COP),1)</f>
        <v>46.7</v>
      </c>
      <c r="F24" s="38" t="n">
        <f aca="false">D24*E24</f>
        <v>46.7</v>
      </c>
      <c r="G24" s="36" t="n">
        <f aca="false">U_v</f>
        <v>400</v>
      </c>
      <c r="H24" s="38" t="n">
        <f aca="false">cos_du</f>
        <v>0.92</v>
      </c>
      <c r="I24" s="42" t="n">
        <f aca="false">F24*1000/(SQRT(3)*G24*H24)</f>
        <v>73.2670042694444</v>
      </c>
      <c r="J24" s="36" t="n">
        <f aca="false">INDEX({6,10,16,20,25,32,40,50,63,80,100,125,160,200,250},MATCH(TRUE(),INDEX({6,10,16,20,25,32,40,50,63,80,100,125,160,200,250}&gt;=I24*k_sig,0),0))</f>
        <v>100</v>
      </c>
    </row>
    <row r="25" customFormat="false" ht="15" hidden="false" customHeight="false" outlineLevel="0" collapsed="false">
      <c r="A25" s="41" t="n">
        <v>9</v>
      </c>
      <c r="B25" s="41" t="s">
        <v>356</v>
      </c>
      <c r="C25" s="23" t="s">
        <v>343</v>
      </c>
      <c r="D25" s="36" t="n">
        <v>1</v>
      </c>
      <c r="E25" s="38" t="n">
        <f aca="false">ROUND(MAX('KS HESABI'!E51/EER,'KS HESABI'!E52*dus/COP),1)</f>
        <v>46.7</v>
      </c>
      <c r="F25" s="38" t="n">
        <f aca="false">D25*E25</f>
        <v>46.7</v>
      </c>
      <c r="G25" s="36" t="n">
        <f aca="false">U_v</f>
        <v>400</v>
      </c>
      <c r="H25" s="38" t="n">
        <f aca="false">cos_du</f>
        <v>0.92</v>
      </c>
      <c r="I25" s="42" t="n">
        <f aca="false">F25*1000/(SQRT(3)*G25*H25)</f>
        <v>73.2670042694444</v>
      </c>
      <c r="J25" s="36" t="n">
        <f aca="false">INDEX({6,10,16,20,25,32,40,50,63,80,100,125,160,200,250},MATCH(TRUE(),INDEX({6,10,16,20,25,32,40,50,63,80,100,125,160,200,250}&gt;=I25*k_sig,0),0))</f>
        <v>100</v>
      </c>
    </row>
    <row r="26" customFormat="false" ht="15" hidden="false" customHeight="false" outlineLevel="0" collapsed="false">
      <c r="A26" s="41" t="n">
        <v>10</v>
      </c>
      <c r="B26" s="41" t="s">
        <v>151</v>
      </c>
      <c r="C26" s="23" t="s">
        <v>333</v>
      </c>
      <c r="D26" s="36"/>
      <c r="E26" s="38"/>
      <c r="F26" s="38" t="n">
        <f aca="false">SUM(F27:F30)</f>
        <v>38.34</v>
      </c>
      <c r="G26" s="36" t="n">
        <f aca="false">U_v</f>
        <v>400</v>
      </c>
      <c r="H26" s="38" t="n">
        <f aca="false">cos_ks</f>
        <v>0.95</v>
      </c>
      <c r="I26" s="42" t="n">
        <f aca="false">F26*1000/(SQRT(3)*G26*H26)</f>
        <v>58.2516034756059</v>
      </c>
      <c r="J26" s="36" t="n">
        <f aca="false">INDEX({6,10,16,20,25,32,40,50,63,80,100,125,160,200,250},MATCH(TRUE(),INDEX({6,10,16,20,25,32,40,50,63,80,100,125,160,200,250}&gt;=I26*k_sig,0),0))</f>
        <v>80</v>
      </c>
    </row>
    <row r="27" customFormat="false" ht="15" hidden="false" customHeight="false" outlineLevel="0" collapsed="false">
      <c r="A27" s="16" t="s">
        <v>357</v>
      </c>
      <c r="B27" s="16"/>
      <c r="C27" s="4" t="s">
        <v>335</v>
      </c>
      <c r="D27" s="34" t="n">
        <f aca="false">n_fan</f>
        <v>4</v>
      </c>
      <c r="E27" s="28" t="n">
        <f aca="false">Pm_uf</f>
        <v>5.5</v>
      </c>
      <c r="F27" s="28" t="n">
        <f aca="false">D27*E27</f>
        <v>22</v>
      </c>
      <c r="G27" s="34" t="n">
        <f aca="false">U_v</f>
        <v>400</v>
      </c>
      <c r="H27" s="28" t="n">
        <f aca="false">cos_ks</f>
        <v>0.95</v>
      </c>
      <c r="I27" s="12" t="n">
        <f aca="false">E27*1000/(SQRT(3)*G27*H27)</f>
        <v>8.356385475113</v>
      </c>
      <c r="J27" s="34" t="n">
        <f aca="false">INDEX({6,10,16,20,25,32,40,50,63,80,100,125,160,200,250},MATCH(TRUE(),INDEX({6,10,16,20,25,32,40,50,63,80,100,125,160,200,250}&gt;=I27*k_sig,0),0))</f>
        <v>16</v>
      </c>
    </row>
    <row r="28" customFormat="false" ht="15" hidden="false" customHeight="false" outlineLevel="0" collapsed="false">
      <c r="A28" s="16" t="s">
        <v>358</v>
      </c>
      <c r="B28" s="16"/>
      <c r="C28" s="4" t="s">
        <v>337</v>
      </c>
      <c r="D28" s="34" t="n">
        <f aca="false">n_fan</f>
        <v>4</v>
      </c>
      <c r="E28" s="28" t="n">
        <f aca="false">Pm_do</f>
        <v>4</v>
      </c>
      <c r="F28" s="28" t="n">
        <f aca="false">D28*E28</f>
        <v>16</v>
      </c>
      <c r="G28" s="34" t="n">
        <f aca="false">U_v</f>
        <v>400</v>
      </c>
      <c r="H28" s="28" t="n">
        <f aca="false">cos_ks</f>
        <v>0.95</v>
      </c>
      <c r="I28" s="12" t="n">
        <f aca="false">E28*1000/(SQRT(3)*G28*H28)</f>
        <v>6.07737125462764</v>
      </c>
      <c r="J28" s="34" t="n">
        <f aca="false">INDEX({6,10,16,20,25,32,40,50,63,80,100,125,160,200,250},MATCH(TRUE(),INDEX({6,10,16,20,25,32,40,50,63,80,100,125,160,200,250}&gt;=I28*k_sig,0),0))</f>
        <v>10</v>
      </c>
    </row>
    <row r="29" customFormat="false" ht="15" hidden="false" customHeight="false" outlineLevel="0" collapsed="false">
      <c r="A29" s="16" t="s">
        <v>359</v>
      </c>
      <c r="B29" s="16"/>
      <c r="C29" s="4" t="s">
        <v>339</v>
      </c>
      <c r="D29" s="34" t="n">
        <v>4</v>
      </c>
      <c r="E29" s="28" t="n">
        <f aca="false">P_dmp</f>
        <v>0.01</v>
      </c>
      <c r="F29" s="28" t="n">
        <f aca="false">D29*E29</f>
        <v>0.04</v>
      </c>
      <c r="G29" s="34" t="n">
        <v>230</v>
      </c>
      <c r="H29" s="28" t="n">
        <f aca="false">cos_ks</f>
        <v>0.95</v>
      </c>
      <c r="I29" s="12" t="n">
        <f aca="false">F29*1000/(G29*H29)</f>
        <v>0.183066361556064</v>
      </c>
      <c r="J29" s="34" t="n">
        <f aca="false">INDEX({6,10,16,20,25,32,40,50,63,80,100,125,160,200,250},MATCH(TRUE(),INDEX({6,10,16,20,25,32,40,50,63,80,100,125,160,200,250}&gt;=I29*k_sig,0),0))</f>
        <v>6</v>
      </c>
    </row>
    <row r="30" customFormat="false" ht="15" hidden="false" customHeight="false" outlineLevel="0" collapsed="false">
      <c r="A30" s="16" t="s">
        <v>360</v>
      </c>
      <c r="B30" s="16"/>
      <c r="C30" s="4" t="s">
        <v>341</v>
      </c>
      <c r="D30" s="34" t="n">
        <v>1</v>
      </c>
      <c r="E30" s="28" t="n">
        <f aca="false">P_ddc</f>
        <v>0.3</v>
      </c>
      <c r="F30" s="28" t="n">
        <f aca="false">D30*E30</f>
        <v>0.3</v>
      </c>
      <c r="G30" s="34" t="n">
        <v>230</v>
      </c>
      <c r="H30" s="28" t="n">
        <f aca="false">cos_ks</f>
        <v>0.95</v>
      </c>
      <c r="I30" s="12" t="n">
        <f aca="false">F30*1000/(G30*H30)</f>
        <v>1.37299771167048</v>
      </c>
      <c r="J30" s="34" t="n">
        <f aca="false">INDEX({6,10,16,20,25,32,40,50,63,80,100,125,160,200,250},MATCH(TRUE(),INDEX({6,10,16,20,25,32,40,50,63,80,100,125,160,200,250}&gt;=I30*k_sig,0),0))</f>
        <v>6</v>
      </c>
    </row>
    <row r="31" customFormat="false" ht="15" hidden="false" customHeight="false" outlineLevel="0" collapsed="false">
      <c r="A31" s="41" t="n">
        <v>11</v>
      </c>
      <c r="B31" s="41" t="s">
        <v>361</v>
      </c>
      <c r="C31" s="23" t="s">
        <v>343</v>
      </c>
      <c r="D31" s="36" t="n">
        <v>1</v>
      </c>
      <c r="E31" s="38" t="n">
        <f aca="false">ROUND(MAX('KS HESABI'!F51/EER,'KS HESABI'!F52*dus/COP),1)</f>
        <v>50</v>
      </c>
      <c r="F31" s="38" t="n">
        <f aca="false">D31*E31</f>
        <v>50</v>
      </c>
      <c r="G31" s="36" t="n">
        <f aca="false">U_v</f>
        <v>400</v>
      </c>
      <c r="H31" s="38" t="n">
        <f aca="false">cos_du</f>
        <v>0.92</v>
      </c>
      <c r="I31" s="42" t="n">
        <f aca="false">F31*1000/(SQRT(3)*G31*H31)</f>
        <v>78.4443300529383</v>
      </c>
      <c r="J31" s="36" t="n">
        <f aca="false">INDEX({6,10,16,20,25,32,40,50,63,80,100,125,160,200,250},MATCH(TRUE(),INDEX({6,10,16,20,25,32,40,50,63,80,100,125,160,200,250}&gt;=I31*k_sig,0),0))</f>
        <v>100</v>
      </c>
    </row>
    <row r="32" customFormat="false" ht="15" hidden="false" customHeight="false" outlineLevel="0" collapsed="false">
      <c r="A32" s="41" t="n">
        <v>12</v>
      </c>
      <c r="B32" s="41" t="s">
        <v>362</v>
      </c>
      <c r="C32" s="23" t="s">
        <v>343</v>
      </c>
      <c r="D32" s="36" t="n">
        <v>1</v>
      </c>
      <c r="E32" s="38" t="n">
        <f aca="false">ROUND(MAX('KS HESABI'!F51/EER,'KS HESABI'!F52*dus/COP),1)</f>
        <v>50</v>
      </c>
      <c r="F32" s="38" t="n">
        <f aca="false">D32*E32</f>
        <v>50</v>
      </c>
      <c r="G32" s="36" t="n">
        <f aca="false">U_v</f>
        <v>400</v>
      </c>
      <c r="H32" s="38" t="n">
        <f aca="false">cos_du</f>
        <v>0.92</v>
      </c>
      <c r="I32" s="42" t="n">
        <f aca="false">F32*1000/(SQRT(3)*G32*H32)</f>
        <v>78.4443300529383</v>
      </c>
      <c r="J32" s="36" t="n">
        <f aca="false">INDEX({6,10,16,20,25,32,40,50,63,80,100,125,160,200,250},MATCH(TRUE(),INDEX({6,10,16,20,25,32,40,50,63,80,100,125,160,200,250}&gt;=I32*k_sig,0),0))</f>
        <v>100</v>
      </c>
    </row>
    <row r="33" customFormat="false" ht="15" hidden="false" customHeight="false" outlineLevel="0" collapsed="false">
      <c r="A33" s="24"/>
      <c r="B33" s="24"/>
      <c r="C33" s="23" t="s">
        <v>363</v>
      </c>
      <c r="D33" s="24"/>
      <c r="E33" s="24"/>
      <c r="F33" s="31" t="n">
        <f aca="false">F5+F10+F11+F12+F17+F18+F19+F24+F25+F26+F31+F32</f>
        <v>540.16</v>
      </c>
      <c r="G33" s="24"/>
      <c r="H33" s="24"/>
      <c r="I33" s="31" t="n">
        <f aca="false">I5+I10+I11+I12+I17+I18+I19+I24+I25+I26+I31+I32</f>
        <v>839.851751191954</v>
      </c>
      <c r="J33" s="24"/>
    </row>
    <row r="35" customFormat="false" ht="15" hidden="false" customHeight="false" outlineLevel="0" collapsed="false">
      <c r="C35" s="2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365</v>
      </c>
    </row>
    <row r="3" customFormat="false" ht="15" hidden="false" customHeight="false" outlineLevel="0" collapsed="false">
      <c r="A3" s="8" t="s">
        <v>366</v>
      </c>
      <c r="B3" s="8" t="s">
        <v>367</v>
      </c>
      <c r="C3" s="8" t="s">
        <v>158</v>
      </c>
      <c r="D3" s="8" t="s">
        <v>368</v>
      </c>
      <c r="E3" s="8" t="s">
        <v>369</v>
      </c>
    </row>
    <row r="4" customFormat="false" ht="15" hidden="false" customHeight="false" outlineLevel="0" collapsed="false">
      <c r="A4" s="4" t="s">
        <v>370</v>
      </c>
      <c r="B4" s="43" t="n">
        <f aca="false">VLOOKUP("MARKET",TIP_TABLO,4,FALSE())</f>
        <v>0.15</v>
      </c>
      <c r="C4" s="16" t="s">
        <v>371</v>
      </c>
      <c r="D4" s="12" t="n">
        <f aca="false">B4*130</f>
        <v>19.5</v>
      </c>
      <c r="E4" s="13" t="s">
        <v>372</v>
      </c>
    </row>
    <row r="5" customFormat="false" ht="15" hidden="false" customHeight="false" outlineLevel="0" collapsed="false">
      <c r="A5" s="4" t="s">
        <v>373</v>
      </c>
      <c r="B5" s="11" t="n">
        <v>12</v>
      </c>
      <c r="C5" s="16" t="s">
        <v>368</v>
      </c>
      <c r="D5" s="12" t="n">
        <f aca="false">B5</f>
        <v>12</v>
      </c>
      <c r="E5" s="13" t="s">
        <v>374</v>
      </c>
    </row>
    <row r="6" customFormat="false" ht="15" hidden="false" customHeight="false" outlineLevel="0" collapsed="false">
      <c r="A6" s="4" t="s">
        <v>375</v>
      </c>
      <c r="B6" s="11" t="n">
        <v>10</v>
      </c>
      <c r="C6" s="16" t="s">
        <v>368</v>
      </c>
      <c r="D6" s="12" t="n">
        <f aca="false">B6</f>
        <v>10</v>
      </c>
      <c r="E6" s="13" t="s">
        <v>98</v>
      </c>
    </row>
    <row r="7" customFormat="false" ht="15" hidden="false" customHeight="false" outlineLevel="0" collapsed="false">
      <c r="A7" s="4" t="s">
        <v>376</v>
      </c>
      <c r="B7" s="43" t="n">
        <f aca="false">U_cati</f>
        <v>0.2</v>
      </c>
      <c r="C7" s="16" t="s">
        <v>87</v>
      </c>
      <c r="D7" s="12" t="n">
        <f aca="false">B7*25</f>
        <v>5</v>
      </c>
      <c r="E7" s="13" t="s">
        <v>377</v>
      </c>
    </row>
    <row r="8" customFormat="false" ht="15" hidden="false" customHeight="false" outlineLevel="0" collapsed="false">
      <c r="A8" s="4" t="s">
        <v>378</v>
      </c>
      <c r="B8" s="11" t="n">
        <v>8</v>
      </c>
      <c r="C8" s="16" t="s">
        <v>368</v>
      </c>
      <c r="D8" s="12" t="n">
        <f aca="false">B8</f>
        <v>8</v>
      </c>
      <c r="E8" s="13" t="s">
        <v>98</v>
      </c>
    </row>
    <row r="9" customFormat="false" ht="15" hidden="false" customHeight="false" outlineLevel="0" collapsed="false">
      <c r="A9" s="9" t="s">
        <v>379</v>
      </c>
      <c r="B9" s="4"/>
      <c r="C9" s="16"/>
      <c r="D9" s="44" t="n">
        <f aca="false">SUM(D4:D8)</f>
        <v>54.5</v>
      </c>
      <c r="E9" s="13"/>
    </row>
    <row r="10" customFormat="false" ht="15" hidden="false" customHeight="false" outlineLevel="0" collapsed="false">
      <c r="A10" s="4" t="s">
        <v>380</v>
      </c>
      <c r="B10" s="4"/>
      <c r="C10" s="16"/>
      <c r="D10" s="12" t="n">
        <f aca="false">VARSAYIMLAR!E56</f>
        <v>72</v>
      </c>
      <c r="E10" s="13" t="s">
        <v>381</v>
      </c>
    </row>
    <row r="11" customFormat="false" ht="15" hidden="false" customHeight="false" outlineLevel="0" collapsed="false">
      <c r="A11" s="4" t="s">
        <v>382</v>
      </c>
      <c r="B11" s="4"/>
      <c r="C11" s="16"/>
      <c r="D11" s="28" t="n">
        <f aca="false">D10/D9</f>
        <v>1.32110091743119</v>
      </c>
      <c r="E11" s="13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2026-10-16T16:07:30Z</dcterms:created>
  <dc:creator>openpyxl</dc:creator>
  <dc:description/>
  <dc:language>en-US</dc:language>
  <cp:lastModifiedBy/>
  <dcterms:modified xsi:type="dcterms:W3CDTF">2026-10-16T16:07:30Z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