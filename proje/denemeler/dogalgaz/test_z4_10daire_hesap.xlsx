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E" sheetId="1" state="visible" r:id="rId1"/>
    <sheet xmlns:r="http://schemas.openxmlformats.org/officeDocument/2006/relationships" name="BORU" sheetId="2" state="visible" r:id="rId2"/>
    <sheet xmlns:r="http://schemas.openxmlformats.org/officeDocument/2006/relationships" name="ESZAMANLILIK" sheetId="3" state="visible" r:id="rId3"/>
    <sheet xmlns:r="http://schemas.openxmlformats.org/officeDocument/2006/relationships" name="CIHAZLAR" sheetId="4" state="visible" r:id="rId4"/>
    <sheet xmlns:r="http://schemas.openxmlformats.org/officeDocument/2006/relationships" name="CAP_HESABI" sheetId="5" state="visible" r:id="rId5"/>
    <sheet xmlns:r="http://schemas.openxmlformats.org/officeDocument/2006/relationships" name="KONTROL" sheetId="6" state="visible" r:id="rId6"/>
    <sheet xmlns:r="http://schemas.openxmlformats.org/officeDocument/2006/relationships" name="HAVALANDIRMA" sheetId="7" state="visible" r:id="rId7"/>
  </sheets>
  <definedNames>
    <definedName name="P_sis">PARAMETRE!$B$5</definedName>
    <definedName name="Hu">PARAMETRE!$B$6</definedName>
    <definedName name="eta">PARAMETRE!$B$7</definedName>
    <definedName name="d_gaz">PARAMETRE!$B$8</definedName>
    <definedName name="lim_on">PARAMETRE!$B$9</definedName>
    <definedName name="lim_so">PARAMETRE!$B$10</definedName>
    <definedName name="lim_top">PARAMETRE!$B$11</definedName>
    <definedName name="vmax">PARAMETRE!$B$12</definedName>
    <definedName name="qbb_min">PARAMETRE!$B$13</definedName>
    <definedName name="kcal_kw">PARAMETRE!$B$14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C0000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2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zoomScale="90"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DENEME - Z+4 KONUT - DOĞALGAZ İÇ TESİSATI</t>
        </is>
      </c>
    </row>
    <row r="2">
      <c r="A2" s="2" t="inlineStr">
        <is>
          <t>Dağıtım şirketi: AKSAGAZ (AKSA Sakarya Doğal Gaz) - değer ve sınırlar AKSAGAZ şartnamesiyle teyit edilecek.</t>
        </is>
      </c>
    </row>
    <row r="4">
      <c r="A4" s="3" t="inlineStr">
        <is>
          <t>Parametre</t>
        </is>
      </c>
      <c r="B4" s="3" t="inlineStr">
        <is>
          <t>Değer</t>
        </is>
      </c>
      <c r="C4" s="3" t="inlineStr">
        <is>
          <t>Birim</t>
        </is>
      </c>
      <c r="D4" s="3" t="inlineStr">
        <is>
          <t>Ad</t>
        </is>
      </c>
    </row>
    <row r="5">
      <c r="A5" s="4" t="inlineStr">
        <is>
          <t>Sistem basıncı</t>
        </is>
      </c>
      <c r="B5" s="4" t="n">
        <v>21</v>
      </c>
      <c r="C5" s="4" t="inlineStr">
        <is>
          <t>mbar</t>
        </is>
      </c>
      <c r="D5" s="4" t="inlineStr">
        <is>
          <t>P_sis</t>
        </is>
      </c>
    </row>
    <row r="6">
      <c r="A6" s="4" t="inlineStr">
        <is>
          <t>Alt ısıl değer Hu</t>
        </is>
      </c>
      <c r="B6" s="4" t="n">
        <v>8250</v>
      </c>
      <c r="C6" s="4" t="inlineStr">
        <is>
          <t>kcal/m³</t>
        </is>
      </c>
      <c r="D6" s="4" t="inlineStr">
        <is>
          <t>Hu</t>
        </is>
      </c>
    </row>
    <row r="7">
      <c r="A7" s="4" t="inlineStr">
        <is>
          <t>Cihaz verimi η</t>
        </is>
      </c>
      <c r="B7" s="4" t="n">
        <v>0.9</v>
      </c>
      <c r="C7" s="4" t="inlineStr">
        <is>
          <t>-</t>
        </is>
      </c>
      <c r="D7" s="4" t="inlineStr">
        <is>
          <t>eta</t>
        </is>
      </c>
    </row>
    <row r="8">
      <c r="A8" s="4" t="inlineStr">
        <is>
          <t>Bağıl yoğunluk d</t>
        </is>
      </c>
      <c r="B8" s="4" t="n">
        <v>0.6</v>
      </c>
      <c r="C8" s="4" t="inlineStr">
        <is>
          <t>-</t>
        </is>
      </c>
      <c r="D8" s="4" t="inlineStr">
        <is>
          <t>d_gaz</t>
        </is>
      </c>
    </row>
    <row r="9">
      <c r="A9" s="4" t="inlineStr">
        <is>
          <t>Servis kutusu → sayaç vanası sınırı</t>
        </is>
      </c>
      <c r="B9" s="4" t="n">
        <v>1</v>
      </c>
      <c r="C9" s="4" t="inlineStr">
        <is>
          <t>mbar</t>
        </is>
      </c>
      <c r="D9" s="4" t="inlineStr">
        <is>
          <t>lim_on</t>
        </is>
      </c>
    </row>
    <row r="10">
      <c r="A10" s="4" t="inlineStr">
        <is>
          <t>Sayaç → cihaz sınırı</t>
        </is>
      </c>
      <c r="B10" s="4" t="n">
        <v>0.8</v>
      </c>
      <c r="C10" s="4" t="inlineStr">
        <is>
          <t>mbar</t>
        </is>
      </c>
      <c r="D10" s="4" t="inlineStr">
        <is>
          <t>lim_so</t>
        </is>
      </c>
    </row>
    <row r="11">
      <c r="A11" s="4" t="inlineStr">
        <is>
          <t>Toplam (sayaç hariç) sınırı</t>
        </is>
      </c>
      <c r="B11" s="4" t="n">
        <v>1.8</v>
      </c>
      <c r="C11" s="4" t="inlineStr">
        <is>
          <t>mbar</t>
        </is>
      </c>
      <c r="D11" s="4" t="inlineStr">
        <is>
          <t>lim_top</t>
        </is>
      </c>
    </row>
    <row r="12">
      <c r="A12" s="4" t="inlineStr">
        <is>
          <t>Hız sınırı</t>
        </is>
      </c>
      <c r="B12" s="4" t="n">
        <v>6</v>
      </c>
      <c r="C12" s="4" t="inlineStr">
        <is>
          <t>m/s</t>
        </is>
      </c>
      <c r="D12" s="4" t="inlineStr">
        <is>
          <t>vmax</t>
        </is>
      </c>
    </row>
    <row r="13">
      <c r="A13" s="4" t="inlineStr">
        <is>
          <t>Bağımsız bölüm min. debisi</t>
        </is>
      </c>
      <c r="B13" s="4" t="n">
        <v>3.5</v>
      </c>
      <c r="C13" s="4" t="inlineStr">
        <is>
          <t>m³/h</t>
        </is>
      </c>
      <c r="D13" s="4" t="inlineStr">
        <is>
          <t>qbb_min</t>
        </is>
      </c>
    </row>
    <row r="14">
      <c r="A14" s="4" t="inlineStr">
        <is>
          <t>kcal/h → kW</t>
        </is>
      </c>
      <c r="B14" s="4" t="n">
        <v>860</v>
      </c>
      <c r="C14" s="4" t="inlineStr">
        <is>
          <t>kcal/kWh</t>
        </is>
      </c>
      <c r="D14" s="4" t="inlineStr">
        <is>
          <t>kcal_kw</t>
        </is>
      </c>
    </row>
    <row r="16">
      <c r="A16" t="inlineStr">
        <is>
          <t>Formüller (kutuphane/arastirma/07_ISITMA_DOGALGAZ.md §6.3):</t>
        </is>
      </c>
    </row>
    <row r="17">
      <c r="A17" t="inlineStr">
        <is>
          <t>Cihaz debisi Q = kW·860/(Hu·η) [m³/h]; ocak için katalog debisi (1,6 m³/h).</t>
        </is>
      </c>
    </row>
    <row r="18">
      <c r="A18" t="inlineStr">
        <is>
          <t>Sürtünme ΔP_R = 23200·d·L·Q^1,82·D^-4,82 [mbar] (Renouard, alçak basınç, D iç çap mm).</t>
        </is>
      </c>
    </row>
    <row r="19">
      <c r="A19" t="inlineStr">
        <is>
          <t>Yerel kayıp ΔP_Z = 3,97·10⁻³·Σξ·V² [mbar]; ξ: 90° dirsek 0,4 / T ayrılma 1,3 / küresel vana 0,5.</t>
        </is>
      </c>
    </row>
    <row r="20">
      <c r="A20" t="inlineStr">
        <is>
          <t>Yükseklik ΔP_H = -0,049·h [mbar] (yükselişte kazanç, inişte kayıp).</t>
        </is>
      </c>
    </row>
    <row r="21">
      <c r="A21" t="inlineStr">
        <is>
          <t>Hız V = Q/(3600·π·D²/4) [m/s].</t>
        </is>
      </c>
    </row>
    <row r="22">
      <c r="A22" t="inlineStr">
        <is>
          <t>Eşzamanlılık katsayısı tablosu AKSAGAZ şartnamesiyle teyit edilecek (ESZAMANLILIK sayfası).</t>
        </is>
      </c>
    </row>
    <row r="23">
      <c r="A23" t="inlineStr">
        <is>
          <t>Kombi (C tipi) 150 cm² dış hava menfezi; ocak (A tipi) mahal ≥12 m³ ve ≥1 m³/kW (HAVALANDIRMA sayfası).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90" workbookViewId="0">
      <selection activeCell="A1" sqref="A1"/>
    </sheetView>
  </sheetViews>
  <sheetFormatPr baseColWidth="8" defaultRowHeight="15"/>
  <sheetData>
    <row r="1">
      <c r="A1" s="3" t="inlineStr">
        <is>
          <t>DN</t>
        </is>
      </c>
      <c r="B1" s="3" t="inlineStr">
        <is>
          <t>Dış çap (mm)</t>
        </is>
      </c>
      <c r="C1" s="3" t="inlineStr">
        <is>
          <t>Et (mm)</t>
        </is>
      </c>
      <c r="D1" s="3" t="inlineStr">
        <is>
          <t>İç çap (mm)</t>
        </is>
      </c>
      <c r="E1" s="3" t="inlineStr">
        <is>
          <t>İnç</t>
        </is>
      </c>
      <c r="G1" t="inlineStr">
        <is>
          <t>TS EN 10255 orta seri çelik boru</t>
        </is>
      </c>
    </row>
    <row r="2">
      <c r="A2" s="4" t="inlineStr">
        <is>
          <t>DN15</t>
        </is>
      </c>
      <c r="B2" s="4" t="n">
        <v>21.3</v>
      </c>
      <c r="C2" s="4" t="n">
        <v>2.6</v>
      </c>
      <c r="D2" s="4" t="n">
        <v>16.1</v>
      </c>
      <c r="E2" s="4" t="inlineStr">
        <is>
          <t>1/2"</t>
        </is>
      </c>
    </row>
    <row r="3">
      <c r="A3" s="4" t="inlineStr">
        <is>
          <t>DN20</t>
        </is>
      </c>
      <c r="B3" s="4" t="n">
        <v>26.9</v>
      </c>
      <c r="C3" s="4" t="n">
        <v>2.6</v>
      </c>
      <c r="D3" s="4" t="n">
        <v>21.7</v>
      </c>
      <c r="E3" s="4" t="inlineStr">
        <is>
          <t>3/4"</t>
        </is>
      </c>
    </row>
    <row r="4">
      <c r="A4" s="4" t="inlineStr">
        <is>
          <t>DN25</t>
        </is>
      </c>
      <c r="B4" s="4" t="n">
        <v>33.7</v>
      </c>
      <c r="C4" s="4" t="n">
        <v>3.2</v>
      </c>
      <c r="D4" s="4" t="n">
        <v>27.3</v>
      </c>
      <c r="E4" s="4" t="inlineStr">
        <is>
          <t>1"</t>
        </is>
      </c>
    </row>
    <row r="5">
      <c r="A5" s="4" t="inlineStr">
        <is>
          <t>DN32</t>
        </is>
      </c>
      <c r="B5" s="4" t="n">
        <v>42.4</v>
      </c>
      <c r="C5" s="4" t="n">
        <v>3.2</v>
      </c>
      <c r="D5" s="4" t="n">
        <v>36</v>
      </c>
      <c r="E5" s="4" t="inlineStr">
        <is>
          <t>1 1/4"</t>
        </is>
      </c>
    </row>
    <row r="6">
      <c r="A6" s="4" t="inlineStr">
        <is>
          <t>DN40</t>
        </is>
      </c>
      <c r="B6" s="4" t="n">
        <v>48.3</v>
      </c>
      <c r="C6" s="4" t="n">
        <v>3.2</v>
      </c>
      <c r="D6" s="4" t="n">
        <v>41.9</v>
      </c>
      <c r="E6" s="4" t="inlineStr">
        <is>
          <t>1 1/2"</t>
        </is>
      </c>
    </row>
    <row r="7">
      <c r="A7" s="4" t="inlineStr">
        <is>
          <t>DN50</t>
        </is>
      </c>
      <c r="B7" s="4" t="n">
        <v>60.3</v>
      </c>
      <c r="C7" s="4" t="n">
        <v>3.6</v>
      </c>
      <c r="D7" s="4" t="n">
        <v>53.1</v>
      </c>
      <c r="E7" s="4" t="inlineStr">
        <is>
          <t>2"</t>
        </is>
      </c>
    </row>
    <row r="8">
      <c r="A8" s="4" t="inlineStr">
        <is>
          <t>DN65</t>
        </is>
      </c>
      <c r="B8" s="4" t="n">
        <v>76.09999999999999</v>
      </c>
      <c r="C8" s="4" t="n">
        <v>3.6</v>
      </c>
      <c r="D8" s="4" t="n">
        <v>68.90000000000001</v>
      </c>
      <c r="E8" s="4" t="inlineStr">
        <is>
          <t>2 1/2"</t>
        </is>
      </c>
    </row>
    <row r="9">
      <c r="A9" s="4" t="inlineStr">
        <is>
          <t>DN80</t>
        </is>
      </c>
      <c r="B9" s="4" t="n">
        <v>88.90000000000001</v>
      </c>
      <c r="C9" s="4" t="n">
        <v>4</v>
      </c>
      <c r="D9" s="4" t="n">
        <v>80.90000000000001</v>
      </c>
      <c r="E9" s="4" t="inlineStr">
        <is>
          <t>3"</t>
        </is>
      </c>
    </row>
    <row r="10">
      <c r="A10" s="4" t="inlineStr">
        <is>
          <t>DN100</t>
        </is>
      </c>
      <c r="B10" s="4" t="n">
        <v>114.3</v>
      </c>
      <c r="C10" s="4" t="n">
        <v>4.5</v>
      </c>
      <c r="D10" s="4" t="n">
        <v>105.3</v>
      </c>
      <c r="E10" s="4" t="inlineStr">
        <is>
          <t>4"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zoomScale="90" workbookViewId="0">
      <selection activeCell="A1" sqref="A1"/>
    </sheetView>
  </sheetViews>
  <sheetFormatPr baseColWidth="8" defaultRowHeight="15"/>
  <sheetData>
    <row r="1">
      <c r="A1" s="3" t="inlineStr">
        <is>
          <t>n (BB)</t>
        </is>
      </c>
      <c r="B1" s="3" t="inlineStr">
        <is>
          <t>f</t>
        </is>
      </c>
      <c r="D1" s="2" t="inlineStr">
        <is>
          <t>Eşzamanlılık katsayısı - AKSAGAZ şartnamesiyle teyit edilecek. Tablo boşken f = 1,0 (emniyetli taraf); &gt;100 BB f = 0,397.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  <row r="10">
      <c r="A10" t="n">
        <v>9</v>
      </c>
      <c r="B10" t="n">
        <v>1</v>
      </c>
    </row>
    <row r="11">
      <c r="A11" t="n">
        <v>10</v>
      </c>
      <c r="B11" t="n">
        <v>1</v>
      </c>
    </row>
    <row r="12">
      <c r="A12" t="n">
        <v>11</v>
      </c>
      <c r="B12" t="n">
        <v>1</v>
      </c>
    </row>
    <row r="13">
      <c r="A13" t="n">
        <v>12</v>
      </c>
      <c r="B13" t="n">
        <v>1</v>
      </c>
    </row>
    <row r="14">
      <c r="A14" t="n">
        <v>13</v>
      </c>
      <c r="B14" t="n">
        <v>1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1</v>
      </c>
    </row>
    <row r="18">
      <c r="A18" t="n">
        <v>17</v>
      </c>
      <c r="B18" t="n">
        <v>1</v>
      </c>
    </row>
    <row r="19">
      <c r="A19" t="n">
        <v>18</v>
      </c>
      <c r="B19" t="n">
        <v>1</v>
      </c>
    </row>
    <row r="20">
      <c r="A20" t="n">
        <v>19</v>
      </c>
      <c r="B20" t="n">
        <v>1</v>
      </c>
    </row>
    <row r="21">
      <c r="A21" t="n">
        <v>20</v>
      </c>
      <c r="B21" t="n">
        <v>1</v>
      </c>
    </row>
    <row r="22">
      <c r="A22" t="n">
        <v>21</v>
      </c>
      <c r="B22" t="n">
        <v>1</v>
      </c>
    </row>
    <row r="23">
      <c r="A23" t="n">
        <v>22</v>
      </c>
      <c r="B23" t="n">
        <v>1</v>
      </c>
    </row>
    <row r="24">
      <c r="A24" t="n">
        <v>23</v>
      </c>
      <c r="B24" t="n">
        <v>1</v>
      </c>
    </row>
    <row r="25">
      <c r="A25" t="n">
        <v>24</v>
      </c>
      <c r="B25" t="n">
        <v>1</v>
      </c>
    </row>
    <row r="26">
      <c r="A26" t="n">
        <v>25</v>
      </c>
      <c r="B26" t="n">
        <v>1</v>
      </c>
    </row>
    <row r="27">
      <c r="A27" t="n">
        <v>26</v>
      </c>
      <c r="B27" t="n">
        <v>1</v>
      </c>
    </row>
    <row r="28">
      <c r="A28" t="n">
        <v>27</v>
      </c>
      <c r="B28" t="n">
        <v>1</v>
      </c>
    </row>
    <row r="29">
      <c r="A29" t="n">
        <v>28</v>
      </c>
      <c r="B29" t="n">
        <v>1</v>
      </c>
    </row>
    <row r="30">
      <c r="A30" t="n">
        <v>29</v>
      </c>
      <c r="B30" t="n">
        <v>1</v>
      </c>
    </row>
    <row r="31">
      <c r="A31" t="n">
        <v>30</v>
      </c>
      <c r="B31" t="n">
        <v>1</v>
      </c>
    </row>
    <row r="32">
      <c r="A32" t="n">
        <v>31</v>
      </c>
      <c r="B32" t="n">
        <v>1</v>
      </c>
    </row>
    <row r="33">
      <c r="A33" t="n">
        <v>32</v>
      </c>
      <c r="B33" t="n">
        <v>1</v>
      </c>
    </row>
    <row r="34">
      <c r="A34" t="n">
        <v>33</v>
      </c>
      <c r="B34" t="n">
        <v>1</v>
      </c>
    </row>
    <row r="35">
      <c r="A35" t="n">
        <v>34</v>
      </c>
      <c r="B35" t="n">
        <v>1</v>
      </c>
    </row>
    <row r="36">
      <c r="A36" t="n">
        <v>35</v>
      </c>
      <c r="B36" t="n">
        <v>1</v>
      </c>
    </row>
    <row r="37">
      <c r="A37" t="n">
        <v>36</v>
      </c>
      <c r="B37" t="n">
        <v>1</v>
      </c>
    </row>
    <row r="38">
      <c r="A38" t="n">
        <v>37</v>
      </c>
      <c r="B38" t="n">
        <v>1</v>
      </c>
    </row>
    <row r="39">
      <c r="A39" t="n">
        <v>38</v>
      </c>
      <c r="B39" t="n">
        <v>1</v>
      </c>
    </row>
    <row r="40">
      <c r="A40" t="n">
        <v>39</v>
      </c>
      <c r="B40" t="n">
        <v>1</v>
      </c>
    </row>
    <row r="41">
      <c r="A41" t="n">
        <v>40</v>
      </c>
      <c r="B41" t="n">
        <v>1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1</v>
      </c>
    </row>
    <row r="45">
      <c r="A45" t="n">
        <v>44</v>
      </c>
      <c r="B45" t="n">
        <v>1</v>
      </c>
    </row>
    <row r="46">
      <c r="A46" t="n">
        <v>45</v>
      </c>
      <c r="B46" t="n">
        <v>1</v>
      </c>
    </row>
    <row r="47">
      <c r="A47" t="n">
        <v>46</v>
      </c>
      <c r="B47" t="n">
        <v>1</v>
      </c>
    </row>
    <row r="48">
      <c r="A48" t="n">
        <v>47</v>
      </c>
      <c r="B48" t="n">
        <v>1</v>
      </c>
    </row>
    <row r="49">
      <c r="A49" t="n">
        <v>48</v>
      </c>
      <c r="B49" t="n">
        <v>1</v>
      </c>
    </row>
    <row r="50">
      <c r="A50" t="n">
        <v>49</v>
      </c>
      <c r="B50" t="n">
        <v>1</v>
      </c>
    </row>
    <row r="51">
      <c r="A51" t="n">
        <v>50</v>
      </c>
      <c r="B51" t="n">
        <v>1</v>
      </c>
    </row>
    <row r="52">
      <c r="A52" t="n">
        <v>51</v>
      </c>
      <c r="B52" t="n">
        <v>1</v>
      </c>
    </row>
    <row r="53">
      <c r="A53" t="n">
        <v>52</v>
      </c>
      <c r="B53" t="n">
        <v>1</v>
      </c>
    </row>
    <row r="54">
      <c r="A54" t="n">
        <v>53</v>
      </c>
      <c r="B54" t="n">
        <v>1</v>
      </c>
    </row>
    <row r="55">
      <c r="A55" t="n">
        <v>54</v>
      </c>
      <c r="B55" t="n">
        <v>1</v>
      </c>
    </row>
    <row r="56">
      <c r="A56" t="n">
        <v>55</v>
      </c>
      <c r="B56" t="n">
        <v>1</v>
      </c>
    </row>
    <row r="57">
      <c r="A57" t="n">
        <v>56</v>
      </c>
      <c r="B57" t="n">
        <v>1</v>
      </c>
    </row>
    <row r="58">
      <c r="A58" t="n">
        <v>57</v>
      </c>
      <c r="B58" t="n">
        <v>1</v>
      </c>
    </row>
    <row r="59">
      <c r="A59" t="n">
        <v>58</v>
      </c>
      <c r="B59" t="n">
        <v>1</v>
      </c>
    </row>
    <row r="60">
      <c r="A60" t="n">
        <v>59</v>
      </c>
      <c r="B60" t="n">
        <v>1</v>
      </c>
    </row>
    <row r="61">
      <c r="A61" t="n">
        <v>60</v>
      </c>
      <c r="B61" t="n">
        <v>1</v>
      </c>
    </row>
    <row r="62">
      <c r="A62" t="n">
        <v>61</v>
      </c>
      <c r="B62" t="n">
        <v>1</v>
      </c>
    </row>
    <row r="63">
      <c r="A63" t="n">
        <v>62</v>
      </c>
      <c r="B63" t="n">
        <v>1</v>
      </c>
    </row>
    <row r="64">
      <c r="A64" t="n">
        <v>63</v>
      </c>
      <c r="B64" t="n">
        <v>1</v>
      </c>
    </row>
    <row r="65">
      <c r="A65" t="n">
        <v>64</v>
      </c>
      <c r="B65" t="n">
        <v>1</v>
      </c>
    </row>
    <row r="66">
      <c r="A66" t="n">
        <v>65</v>
      </c>
      <c r="B66" t="n">
        <v>1</v>
      </c>
    </row>
    <row r="67">
      <c r="A67" t="n">
        <v>66</v>
      </c>
      <c r="B67" t="n">
        <v>1</v>
      </c>
    </row>
    <row r="68">
      <c r="A68" t="n">
        <v>67</v>
      </c>
      <c r="B68" t="n">
        <v>1</v>
      </c>
    </row>
    <row r="69">
      <c r="A69" t="n">
        <v>68</v>
      </c>
      <c r="B69" t="n">
        <v>1</v>
      </c>
    </row>
    <row r="70">
      <c r="A70" t="n">
        <v>69</v>
      </c>
      <c r="B70" t="n">
        <v>1</v>
      </c>
    </row>
    <row r="71">
      <c r="A71" t="n">
        <v>70</v>
      </c>
      <c r="B71" t="n">
        <v>1</v>
      </c>
    </row>
    <row r="72">
      <c r="A72" t="n">
        <v>71</v>
      </c>
      <c r="B72" t="n">
        <v>1</v>
      </c>
    </row>
    <row r="73">
      <c r="A73" t="n">
        <v>72</v>
      </c>
      <c r="B73" t="n">
        <v>1</v>
      </c>
    </row>
    <row r="74">
      <c r="A74" t="n">
        <v>73</v>
      </c>
      <c r="B74" t="n">
        <v>1</v>
      </c>
    </row>
    <row r="75">
      <c r="A75" t="n">
        <v>74</v>
      </c>
      <c r="B75" t="n">
        <v>1</v>
      </c>
    </row>
    <row r="76">
      <c r="A76" t="n">
        <v>75</v>
      </c>
      <c r="B76" t="n">
        <v>1</v>
      </c>
    </row>
    <row r="77">
      <c r="A77" t="n">
        <v>76</v>
      </c>
      <c r="B77" t="n">
        <v>1</v>
      </c>
    </row>
    <row r="78">
      <c r="A78" t="n">
        <v>77</v>
      </c>
      <c r="B78" t="n">
        <v>1</v>
      </c>
    </row>
    <row r="79">
      <c r="A79" t="n">
        <v>78</v>
      </c>
      <c r="B79" t="n">
        <v>1</v>
      </c>
    </row>
    <row r="80">
      <c r="A80" t="n">
        <v>79</v>
      </c>
      <c r="B80" t="n">
        <v>1</v>
      </c>
    </row>
    <row r="81">
      <c r="A81" t="n">
        <v>80</v>
      </c>
      <c r="B81" t="n">
        <v>1</v>
      </c>
    </row>
    <row r="82">
      <c r="A82" t="n">
        <v>81</v>
      </c>
      <c r="B82" t="n">
        <v>1</v>
      </c>
    </row>
    <row r="83">
      <c r="A83" t="n">
        <v>82</v>
      </c>
      <c r="B83" t="n">
        <v>1</v>
      </c>
    </row>
    <row r="84">
      <c r="A84" t="n">
        <v>83</v>
      </c>
      <c r="B84" t="n">
        <v>1</v>
      </c>
    </row>
    <row r="85">
      <c r="A85" t="n">
        <v>84</v>
      </c>
      <c r="B85" t="n">
        <v>1</v>
      </c>
    </row>
    <row r="86">
      <c r="A86" t="n">
        <v>85</v>
      </c>
      <c r="B86" t="n">
        <v>1</v>
      </c>
    </row>
    <row r="87">
      <c r="A87" t="n">
        <v>86</v>
      </c>
      <c r="B87" t="n">
        <v>1</v>
      </c>
    </row>
    <row r="88">
      <c r="A88" t="n">
        <v>87</v>
      </c>
      <c r="B88" t="n">
        <v>1</v>
      </c>
    </row>
    <row r="89">
      <c r="A89" t="n">
        <v>88</v>
      </c>
      <c r="B89" t="n">
        <v>1</v>
      </c>
    </row>
    <row r="90">
      <c r="A90" t="n">
        <v>89</v>
      </c>
      <c r="B90" t="n">
        <v>1</v>
      </c>
    </row>
    <row r="91">
      <c r="A91" t="n">
        <v>90</v>
      </c>
      <c r="B91" t="n">
        <v>1</v>
      </c>
    </row>
    <row r="92">
      <c r="A92" t="n">
        <v>91</v>
      </c>
      <c r="B92" t="n">
        <v>1</v>
      </c>
    </row>
    <row r="93">
      <c r="A93" t="n">
        <v>92</v>
      </c>
      <c r="B93" t="n">
        <v>1</v>
      </c>
    </row>
    <row r="94">
      <c r="A94" t="n">
        <v>93</v>
      </c>
      <c r="B94" t="n">
        <v>1</v>
      </c>
    </row>
    <row r="95">
      <c r="A95" t="n">
        <v>94</v>
      </c>
      <c r="B95" t="n">
        <v>1</v>
      </c>
    </row>
    <row r="96">
      <c r="A96" t="n">
        <v>95</v>
      </c>
      <c r="B96" t="n">
        <v>1</v>
      </c>
    </row>
    <row r="97">
      <c r="A97" t="n">
        <v>96</v>
      </c>
      <c r="B97" t="n">
        <v>1</v>
      </c>
    </row>
    <row r="98">
      <c r="A98" t="n">
        <v>97</v>
      </c>
      <c r="B98" t="n">
        <v>1</v>
      </c>
    </row>
    <row r="99">
      <c r="A99" t="n">
        <v>98</v>
      </c>
      <c r="B99" t="n">
        <v>1</v>
      </c>
    </row>
    <row r="100">
      <c r="A100" t="n">
        <v>99</v>
      </c>
      <c r="B100" t="n">
        <v>1</v>
      </c>
    </row>
    <row r="101">
      <c r="A101" t="n">
        <v>100</v>
      </c>
      <c r="B101" t="n">
        <v>1</v>
      </c>
    </row>
    <row r="102">
      <c r="A102" t="n">
        <v>101</v>
      </c>
      <c r="B102" t="n">
        <v>0.397</v>
      </c>
    </row>
    <row r="103">
      <c r="A103" t="n">
        <v>102</v>
      </c>
      <c r="B103" t="n">
        <v>0.397</v>
      </c>
    </row>
    <row r="104">
      <c r="A104" t="n">
        <v>103</v>
      </c>
      <c r="B104" t="n">
        <v>0.397</v>
      </c>
    </row>
    <row r="105">
      <c r="A105" t="n">
        <v>104</v>
      </c>
      <c r="B105" t="n">
        <v>0.397</v>
      </c>
    </row>
    <row r="106">
      <c r="A106" t="n">
        <v>105</v>
      </c>
      <c r="B106" t="n">
        <v>0.397</v>
      </c>
    </row>
    <row r="107">
      <c r="A107" t="n">
        <v>106</v>
      </c>
      <c r="B107" t="n">
        <v>0.397</v>
      </c>
    </row>
    <row r="108">
      <c r="A108" t="n">
        <v>107</v>
      </c>
      <c r="B108" t="n">
        <v>0.397</v>
      </c>
    </row>
    <row r="109">
      <c r="A109" t="n">
        <v>108</v>
      </c>
      <c r="B109" t="n">
        <v>0.397</v>
      </c>
    </row>
    <row r="110">
      <c r="A110" t="n">
        <v>109</v>
      </c>
      <c r="B110" t="n">
        <v>0.397</v>
      </c>
    </row>
    <row r="111">
      <c r="A111" t="n">
        <v>110</v>
      </c>
      <c r="B111" t="n">
        <v>0.397</v>
      </c>
    </row>
    <row r="112">
      <c r="A112" t="n">
        <v>111</v>
      </c>
      <c r="B112" t="n">
        <v>0.397</v>
      </c>
    </row>
    <row r="113">
      <c r="A113" t="n">
        <v>112</v>
      </c>
      <c r="B113" t="n">
        <v>0.397</v>
      </c>
    </row>
    <row r="114">
      <c r="A114" t="n">
        <v>113</v>
      </c>
      <c r="B114" t="n">
        <v>0.397</v>
      </c>
    </row>
    <row r="115">
      <c r="A115" t="n">
        <v>114</v>
      </c>
      <c r="B115" t="n">
        <v>0.397</v>
      </c>
    </row>
    <row r="116">
      <c r="A116" t="n">
        <v>115</v>
      </c>
      <c r="B116" t="n">
        <v>0.397</v>
      </c>
    </row>
    <row r="117">
      <c r="A117" t="n">
        <v>116</v>
      </c>
      <c r="B117" t="n">
        <v>0.397</v>
      </c>
    </row>
    <row r="118">
      <c r="A118" t="n">
        <v>117</v>
      </c>
      <c r="B118" t="n">
        <v>0.397</v>
      </c>
    </row>
    <row r="119">
      <c r="A119" t="n">
        <v>118</v>
      </c>
      <c r="B119" t="n">
        <v>0.397</v>
      </c>
    </row>
    <row r="120">
      <c r="A120" t="n">
        <v>119</v>
      </c>
      <c r="B120" t="n">
        <v>0.397</v>
      </c>
    </row>
    <row r="121">
      <c r="A121" t="n">
        <v>120</v>
      </c>
      <c r="B121" t="n">
        <v>0.397</v>
      </c>
    </row>
    <row r="122">
      <c r="A122" t="n">
        <v>121</v>
      </c>
      <c r="B122" t="n">
        <v>0.397</v>
      </c>
    </row>
    <row r="123">
      <c r="A123" t="n">
        <v>122</v>
      </c>
      <c r="B123" t="n">
        <v>0.397</v>
      </c>
    </row>
    <row r="124">
      <c r="A124" t="n">
        <v>123</v>
      </c>
      <c r="B124" t="n">
        <v>0.397</v>
      </c>
    </row>
    <row r="125">
      <c r="A125" t="n">
        <v>124</v>
      </c>
      <c r="B125" t="n">
        <v>0.397</v>
      </c>
    </row>
    <row r="126">
      <c r="A126" t="n">
        <v>125</v>
      </c>
      <c r="B126" t="n">
        <v>0.397</v>
      </c>
    </row>
    <row r="127">
      <c r="A127" t="n">
        <v>126</v>
      </c>
      <c r="B127" t="n">
        <v>0.397</v>
      </c>
    </row>
    <row r="128">
      <c r="A128" t="n">
        <v>127</v>
      </c>
      <c r="B128" t="n">
        <v>0.397</v>
      </c>
    </row>
    <row r="129">
      <c r="A129" t="n">
        <v>128</v>
      </c>
      <c r="B129" t="n">
        <v>0.397</v>
      </c>
    </row>
    <row r="130">
      <c r="A130" t="n">
        <v>129</v>
      </c>
      <c r="B130" t="n">
        <v>0.397</v>
      </c>
    </row>
    <row r="131">
      <c r="A131" t="n">
        <v>130</v>
      </c>
      <c r="B131" t="n">
        <v>0.397</v>
      </c>
    </row>
    <row r="132">
      <c r="A132" t="n">
        <v>131</v>
      </c>
      <c r="B132" t="n">
        <v>0.397</v>
      </c>
    </row>
    <row r="133">
      <c r="A133" t="n">
        <v>132</v>
      </c>
      <c r="B133" t="n">
        <v>0.397</v>
      </c>
    </row>
    <row r="134">
      <c r="A134" t="n">
        <v>133</v>
      </c>
      <c r="B134" t="n">
        <v>0.397</v>
      </c>
    </row>
    <row r="135">
      <c r="A135" t="n">
        <v>134</v>
      </c>
      <c r="B135" t="n">
        <v>0.397</v>
      </c>
    </row>
    <row r="136">
      <c r="A136" t="n">
        <v>135</v>
      </c>
      <c r="B136" t="n">
        <v>0.397</v>
      </c>
    </row>
    <row r="137">
      <c r="A137" t="n">
        <v>136</v>
      </c>
      <c r="B137" t="n">
        <v>0.397</v>
      </c>
    </row>
    <row r="138">
      <c r="A138" t="n">
        <v>137</v>
      </c>
      <c r="B138" t="n">
        <v>0.397</v>
      </c>
    </row>
    <row r="139">
      <c r="A139" t="n">
        <v>138</v>
      </c>
      <c r="B139" t="n">
        <v>0.397</v>
      </c>
    </row>
    <row r="140">
      <c r="A140" t="n">
        <v>139</v>
      </c>
      <c r="B140" t="n">
        <v>0.397</v>
      </c>
    </row>
    <row r="141">
      <c r="A141" t="n">
        <v>140</v>
      </c>
      <c r="B141" t="n">
        <v>0.397</v>
      </c>
    </row>
    <row r="142">
      <c r="A142" t="n">
        <v>141</v>
      </c>
      <c r="B142" t="n">
        <v>0.397</v>
      </c>
    </row>
    <row r="143">
      <c r="A143" t="n">
        <v>142</v>
      </c>
      <c r="B143" t="n">
        <v>0.397</v>
      </c>
    </row>
    <row r="144">
      <c r="A144" t="n">
        <v>143</v>
      </c>
      <c r="B144" t="n">
        <v>0.397</v>
      </c>
    </row>
    <row r="145">
      <c r="A145" t="n">
        <v>144</v>
      </c>
      <c r="B145" t="n">
        <v>0.397</v>
      </c>
    </row>
    <row r="146">
      <c r="A146" t="n">
        <v>145</v>
      </c>
      <c r="B146" t="n">
        <v>0.397</v>
      </c>
    </row>
    <row r="147">
      <c r="A147" t="n">
        <v>146</v>
      </c>
      <c r="B147" t="n">
        <v>0.397</v>
      </c>
    </row>
    <row r="148">
      <c r="A148" t="n">
        <v>147</v>
      </c>
      <c r="B148" t="n">
        <v>0.397</v>
      </c>
    </row>
    <row r="149">
      <c r="A149" t="n">
        <v>148</v>
      </c>
      <c r="B149" t="n">
        <v>0.397</v>
      </c>
    </row>
    <row r="150">
      <c r="A150" t="n">
        <v>149</v>
      </c>
      <c r="B150" t="n">
        <v>0.397</v>
      </c>
    </row>
    <row r="151">
      <c r="A151" t="n">
        <v>150</v>
      </c>
      <c r="B151" t="n">
        <v>0.397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6" customWidth="1" min="4" max="4"/>
    <col width="14" customWidth="1" min="5" max="5"/>
    <col width="18" customWidth="1" min="6" max="6"/>
    <col width="14" customWidth="1" min="7" max="7"/>
    <col width="18" customWidth="1" min="8" max="8"/>
    <col width="20" customWidth="1" min="9" max="9"/>
  </cols>
  <sheetData>
    <row r="1">
      <c r="A1" s="3" t="inlineStr">
        <is>
          <t>Bölüm</t>
        </is>
      </c>
      <c r="B1" s="3" t="inlineStr">
        <is>
          <t>Kat</t>
        </is>
      </c>
      <c r="C1" s="3" t="inlineStr">
        <is>
          <t>Cihaz</t>
        </is>
      </c>
      <c r="D1" s="3" t="inlineStr">
        <is>
          <t>Tip</t>
        </is>
      </c>
      <c r="E1" s="3" t="inlineStr">
        <is>
          <t>Kapasite (kW)</t>
        </is>
      </c>
      <c r="F1" s="3" t="inlineStr">
        <is>
          <t>Katalog debisi (m³/h)</t>
        </is>
      </c>
      <c r="G1" s="3" t="inlineStr">
        <is>
          <t>Debi Q (m³/h)</t>
        </is>
      </c>
      <c r="H1" s="3" t="inlineStr">
        <is>
          <t>Bölüm toplamı (m³/h)</t>
        </is>
      </c>
      <c r="I1" s="3" t="inlineStr">
        <is>
          <t>Bölüm hesap debisi (m³/h)</t>
        </is>
      </c>
    </row>
    <row r="2">
      <c r="A2" s="4" t="inlineStr">
        <is>
          <t>D1</t>
        </is>
      </c>
      <c r="B2" s="4" t="inlineStr">
        <is>
          <t>ZEMİN KAT</t>
        </is>
      </c>
      <c r="C2" s="4" t="inlineStr">
        <is>
          <t>KOMBİ</t>
        </is>
      </c>
      <c r="D2" s="4" t="inlineStr">
        <is>
          <t>C</t>
        </is>
      </c>
      <c r="E2" s="4" t="n">
        <v>24</v>
      </c>
      <c r="F2" s="4" t="n"/>
      <c r="G2" s="4">
        <f>E2*kcal_kw/(Hu*eta)</f>
        <v/>
      </c>
      <c r="H2" s="4">
        <f>SUM(G2:G3)</f>
        <v/>
      </c>
      <c r="I2" s="4">
        <f>MAX(H2,qbb_min)</f>
        <v/>
      </c>
    </row>
    <row r="3">
      <c r="A3" s="4" t="inlineStr">
        <is>
          <t>D1</t>
        </is>
      </c>
      <c r="B3" s="4" t="inlineStr">
        <is>
          <t>ZEMİN KAT</t>
        </is>
      </c>
      <c r="C3" s="4" t="inlineStr">
        <is>
          <t>OCAK</t>
        </is>
      </c>
      <c r="D3" s="4" t="inlineStr">
        <is>
          <t>A</t>
        </is>
      </c>
      <c r="E3" s="4">
        <f>F3*Hu/kcal_kw</f>
        <v/>
      </c>
      <c r="F3" s="4" t="n">
        <v>1.6</v>
      </c>
      <c r="G3" s="4">
        <f>F3</f>
        <v/>
      </c>
      <c r="H3" s="4" t="n"/>
      <c r="I3" s="4" t="n"/>
    </row>
    <row r="4">
      <c r="A4" s="4" t="inlineStr">
        <is>
          <t>D3</t>
        </is>
      </c>
      <c r="B4" s="4" t="inlineStr">
        <is>
          <t>1. KAT</t>
        </is>
      </c>
      <c r="C4" s="4" t="inlineStr">
        <is>
          <t>KOMBİ</t>
        </is>
      </c>
      <c r="D4" s="4" t="inlineStr">
        <is>
          <t>C</t>
        </is>
      </c>
      <c r="E4" s="4" t="n">
        <v>24</v>
      </c>
      <c r="F4" s="4" t="n"/>
      <c r="G4" s="4">
        <f>E4*kcal_kw/(Hu*eta)</f>
        <v/>
      </c>
      <c r="H4" s="4">
        <f>SUM(G4:G5)</f>
        <v/>
      </c>
      <c r="I4" s="4">
        <f>MAX(H4,qbb_min)</f>
        <v/>
      </c>
    </row>
    <row r="5">
      <c r="A5" s="4" t="inlineStr">
        <is>
          <t>D3</t>
        </is>
      </c>
      <c r="B5" s="4" t="inlineStr">
        <is>
          <t>1. KAT</t>
        </is>
      </c>
      <c r="C5" s="4" t="inlineStr">
        <is>
          <t>OCAK</t>
        </is>
      </c>
      <c r="D5" s="4" t="inlineStr">
        <is>
          <t>A</t>
        </is>
      </c>
      <c r="E5" s="4">
        <f>F5*Hu/kcal_kw</f>
        <v/>
      </c>
      <c r="F5" s="4" t="n">
        <v>1.6</v>
      </c>
      <c r="G5" s="4">
        <f>F5</f>
        <v/>
      </c>
      <c r="H5" s="4" t="n"/>
      <c r="I5" s="4" t="n"/>
    </row>
    <row r="6">
      <c r="A6" s="4" t="inlineStr">
        <is>
          <t>D5</t>
        </is>
      </c>
      <c r="B6" s="4" t="inlineStr">
        <is>
          <t>2. KAT</t>
        </is>
      </c>
      <c r="C6" s="4" t="inlineStr">
        <is>
          <t>KOMBİ</t>
        </is>
      </c>
      <c r="D6" s="4" t="inlineStr">
        <is>
          <t>C</t>
        </is>
      </c>
      <c r="E6" s="4" t="n">
        <v>24</v>
      </c>
      <c r="F6" s="4" t="n"/>
      <c r="G6" s="4">
        <f>E6*kcal_kw/(Hu*eta)</f>
        <v/>
      </c>
      <c r="H6" s="4">
        <f>SUM(G6:G7)</f>
        <v/>
      </c>
      <c r="I6" s="4">
        <f>MAX(H6,qbb_min)</f>
        <v/>
      </c>
    </row>
    <row r="7">
      <c r="A7" s="4" t="inlineStr">
        <is>
          <t>D5</t>
        </is>
      </c>
      <c r="B7" s="4" t="inlineStr">
        <is>
          <t>2. KAT</t>
        </is>
      </c>
      <c r="C7" s="4" t="inlineStr">
        <is>
          <t>OCAK</t>
        </is>
      </c>
      <c r="D7" s="4" t="inlineStr">
        <is>
          <t>A</t>
        </is>
      </c>
      <c r="E7" s="4">
        <f>F7*Hu/kcal_kw</f>
        <v/>
      </c>
      <c r="F7" s="4" t="n">
        <v>1.6</v>
      </c>
      <c r="G7" s="4">
        <f>F7</f>
        <v/>
      </c>
      <c r="H7" s="4" t="n"/>
      <c r="I7" s="4" t="n"/>
    </row>
    <row r="8">
      <c r="A8" s="4" t="inlineStr">
        <is>
          <t>D7</t>
        </is>
      </c>
      <c r="B8" s="4" t="inlineStr">
        <is>
          <t>3. KAT</t>
        </is>
      </c>
      <c r="C8" s="4" t="inlineStr">
        <is>
          <t>KOMBİ</t>
        </is>
      </c>
      <c r="D8" s="4" t="inlineStr">
        <is>
          <t>C</t>
        </is>
      </c>
      <c r="E8" s="4" t="n">
        <v>24</v>
      </c>
      <c r="F8" s="4" t="n"/>
      <c r="G8" s="4">
        <f>E8*kcal_kw/(Hu*eta)</f>
        <v/>
      </c>
      <c r="H8" s="4">
        <f>SUM(G8:G9)</f>
        <v/>
      </c>
      <c r="I8" s="4">
        <f>MAX(H8,qbb_min)</f>
        <v/>
      </c>
    </row>
    <row r="9">
      <c r="A9" s="4" t="inlineStr">
        <is>
          <t>D7</t>
        </is>
      </c>
      <c r="B9" s="4" t="inlineStr">
        <is>
          <t>3. KAT</t>
        </is>
      </c>
      <c r="C9" s="4" t="inlineStr">
        <is>
          <t>OCAK</t>
        </is>
      </c>
      <c r="D9" s="4" t="inlineStr">
        <is>
          <t>A</t>
        </is>
      </c>
      <c r="E9" s="4">
        <f>F9*Hu/kcal_kw</f>
        <v/>
      </c>
      <c r="F9" s="4" t="n">
        <v>1.6</v>
      </c>
      <c r="G9" s="4">
        <f>F9</f>
        <v/>
      </c>
      <c r="H9" s="4" t="n"/>
      <c r="I9" s="4" t="n"/>
    </row>
    <row r="10">
      <c r="A10" s="4" t="inlineStr">
        <is>
          <t>D9</t>
        </is>
      </c>
      <c r="B10" s="4" t="inlineStr">
        <is>
          <t>4. KAT</t>
        </is>
      </c>
      <c r="C10" s="4" t="inlineStr">
        <is>
          <t>KOMBİ</t>
        </is>
      </c>
      <c r="D10" s="4" t="inlineStr">
        <is>
          <t>C</t>
        </is>
      </c>
      <c r="E10" s="4" t="n">
        <v>24</v>
      </c>
      <c r="F10" s="4" t="n"/>
      <c r="G10" s="4">
        <f>E10*kcal_kw/(Hu*eta)</f>
        <v/>
      </c>
      <c r="H10" s="4">
        <f>SUM(G10:G11)</f>
        <v/>
      </c>
      <c r="I10" s="4">
        <f>MAX(H10,qbb_min)</f>
        <v/>
      </c>
    </row>
    <row r="11">
      <c r="A11" s="4" t="inlineStr">
        <is>
          <t>D9</t>
        </is>
      </c>
      <c r="B11" s="4" t="inlineStr">
        <is>
          <t>4. KAT</t>
        </is>
      </c>
      <c r="C11" s="4" t="inlineStr">
        <is>
          <t>OCAK</t>
        </is>
      </c>
      <c r="D11" s="4" t="inlineStr">
        <is>
          <t>A</t>
        </is>
      </c>
      <c r="E11" s="4">
        <f>F11*Hu/kcal_kw</f>
        <v/>
      </c>
      <c r="F11" s="4" t="n">
        <v>1.6</v>
      </c>
      <c r="G11" s="4">
        <f>F11</f>
        <v/>
      </c>
      <c r="H11" s="4" t="n"/>
      <c r="I11" s="4" t="n"/>
    </row>
    <row r="12">
      <c r="A12" s="4" t="inlineStr">
        <is>
          <t>D10</t>
        </is>
      </c>
      <c r="B12" s="4" t="inlineStr">
        <is>
          <t>4. KAT</t>
        </is>
      </c>
      <c r="C12" s="4" t="inlineStr">
        <is>
          <t>KOMBİ</t>
        </is>
      </c>
      <c r="D12" s="4" t="inlineStr">
        <is>
          <t>C</t>
        </is>
      </c>
      <c r="E12" s="4" t="n">
        <v>24</v>
      </c>
      <c r="F12" s="4" t="n"/>
      <c r="G12" s="4">
        <f>E12*kcal_kw/(Hu*eta)</f>
        <v/>
      </c>
      <c r="H12" s="4">
        <f>SUM(G12:G13)</f>
        <v/>
      </c>
      <c r="I12" s="4">
        <f>MAX(H12,qbb_min)</f>
        <v/>
      </c>
    </row>
    <row r="13">
      <c r="A13" s="4" t="inlineStr">
        <is>
          <t>D10</t>
        </is>
      </c>
      <c r="B13" s="4" t="inlineStr">
        <is>
          <t>4. KAT</t>
        </is>
      </c>
      <c r="C13" s="4" t="inlineStr">
        <is>
          <t>OCAK</t>
        </is>
      </c>
      <c r="D13" s="4" t="inlineStr">
        <is>
          <t>A</t>
        </is>
      </c>
      <c r="E13" s="4">
        <f>F13*Hu/kcal_kw</f>
        <v/>
      </c>
      <c r="F13" s="4" t="n">
        <v>1.6</v>
      </c>
      <c r="G13" s="4">
        <f>F13</f>
        <v/>
      </c>
      <c r="H13" s="4" t="n"/>
      <c r="I13" s="4" t="n"/>
    </row>
    <row r="14">
      <c r="A14" s="4" t="inlineStr">
        <is>
          <t>D8</t>
        </is>
      </c>
      <c r="B14" s="4" t="inlineStr">
        <is>
          <t>3. KAT</t>
        </is>
      </c>
      <c r="C14" s="4" t="inlineStr">
        <is>
          <t>KOMBİ</t>
        </is>
      </c>
      <c r="D14" s="4" t="inlineStr">
        <is>
          <t>C</t>
        </is>
      </c>
      <c r="E14" s="4" t="n">
        <v>24</v>
      </c>
      <c r="F14" s="4" t="n"/>
      <c r="G14" s="4">
        <f>E14*kcal_kw/(Hu*eta)</f>
        <v/>
      </c>
      <c r="H14" s="4">
        <f>SUM(G14:G15)</f>
        <v/>
      </c>
      <c r="I14" s="4">
        <f>MAX(H14,qbb_min)</f>
        <v/>
      </c>
    </row>
    <row r="15">
      <c r="A15" s="4" t="inlineStr">
        <is>
          <t>D8</t>
        </is>
      </c>
      <c r="B15" s="4" t="inlineStr">
        <is>
          <t>3. KAT</t>
        </is>
      </c>
      <c r="C15" s="4" t="inlineStr">
        <is>
          <t>OCAK</t>
        </is>
      </c>
      <c r="D15" s="4" t="inlineStr">
        <is>
          <t>A</t>
        </is>
      </c>
      <c r="E15" s="4">
        <f>F15*Hu/kcal_kw</f>
        <v/>
      </c>
      <c r="F15" s="4" t="n">
        <v>1.6</v>
      </c>
      <c r="G15" s="4">
        <f>F15</f>
        <v/>
      </c>
      <c r="H15" s="4" t="n"/>
      <c r="I15" s="4" t="n"/>
    </row>
    <row r="16">
      <c r="A16" s="4" t="inlineStr">
        <is>
          <t>D6</t>
        </is>
      </c>
      <c r="B16" s="4" t="inlineStr">
        <is>
          <t>2. KAT</t>
        </is>
      </c>
      <c r="C16" s="4" t="inlineStr">
        <is>
          <t>KOMBİ</t>
        </is>
      </c>
      <c r="D16" s="4" t="inlineStr">
        <is>
          <t>C</t>
        </is>
      </c>
      <c r="E16" s="4" t="n">
        <v>24</v>
      </c>
      <c r="F16" s="4" t="n"/>
      <c r="G16" s="4">
        <f>E16*kcal_kw/(Hu*eta)</f>
        <v/>
      </c>
      <c r="H16" s="4">
        <f>SUM(G16:G17)</f>
        <v/>
      </c>
      <c r="I16" s="4">
        <f>MAX(H16,qbb_min)</f>
        <v/>
      </c>
    </row>
    <row r="17">
      <c r="A17" s="4" t="inlineStr">
        <is>
          <t>D6</t>
        </is>
      </c>
      <c r="B17" s="4" t="inlineStr">
        <is>
          <t>2. KAT</t>
        </is>
      </c>
      <c r="C17" s="4" t="inlineStr">
        <is>
          <t>OCAK</t>
        </is>
      </c>
      <c r="D17" s="4" t="inlineStr">
        <is>
          <t>A</t>
        </is>
      </c>
      <c r="E17" s="4">
        <f>F17*Hu/kcal_kw</f>
        <v/>
      </c>
      <c r="F17" s="4" t="n">
        <v>1.6</v>
      </c>
      <c r="G17" s="4">
        <f>F17</f>
        <v/>
      </c>
      <c r="H17" s="4" t="n"/>
      <c r="I17" s="4" t="n"/>
    </row>
    <row r="18">
      <c r="A18" s="4" t="inlineStr">
        <is>
          <t>D4</t>
        </is>
      </c>
      <c r="B18" s="4" t="inlineStr">
        <is>
          <t>1. KAT</t>
        </is>
      </c>
      <c r="C18" s="4" t="inlineStr">
        <is>
          <t>KOMBİ</t>
        </is>
      </c>
      <c r="D18" s="4" t="inlineStr">
        <is>
          <t>C</t>
        </is>
      </c>
      <c r="E18" s="4" t="n">
        <v>24</v>
      </c>
      <c r="F18" s="4" t="n"/>
      <c r="G18" s="4">
        <f>E18*kcal_kw/(Hu*eta)</f>
        <v/>
      </c>
      <c r="H18" s="4">
        <f>SUM(G18:G19)</f>
        <v/>
      </c>
      <c r="I18" s="4">
        <f>MAX(H18,qbb_min)</f>
        <v/>
      </c>
    </row>
    <row r="19">
      <c r="A19" s="4" t="inlineStr">
        <is>
          <t>D4</t>
        </is>
      </c>
      <c r="B19" s="4" t="inlineStr">
        <is>
          <t>1. KAT</t>
        </is>
      </c>
      <c r="C19" s="4" t="inlineStr">
        <is>
          <t>OCAK</t>
        </is>
      </c>
      <c r="D19" s="4" t="inlineStr">
        <is>
          <t>A</t>
        </is>
      </c>
      <c r="E19" s="4">
        <f>F19*Hu/kcal_kw</f>
        <v/>
      </c>
      <c r="F19" s="4" t="n">
        <v>1.6</v>
      </c>
      <c r="G19" s="4">
        <f>F19</f>
        <v/>
      </c>
      <c r="H19" s="4" t="n"/>
      <c r="I19" s="4" t="n"/>
    </row>
    <row r="20">
      <c r="A20" s="4" t="inlineStr">
        <is>
          <t>D2</t>
        </is>
      </c>
      <c r="B20" s="4" t="inlineStr">
        <is>
          <t>ZEMİN KAT</t>
        </is>
      </c>
      <c r="C20" s="4" t="inlineStr">
        <is>
          <t>KOMBİ</t>
        </is>
      </c>
      <c r="D20" s="4" t="inlineStr">
        <is>
          <t>C</t>
        </is>
      </c>
      <c r="E20" s="4" t="n">
        <v>24</v>
      </c>
      <c r="F20" s="4" t="n"/>
      <c r="G20" s="4">
        <f>E20*kcal_kw/(Hu*eta)</f>
        <v/>
      </c>
      <c r="H20" s="4">
        <f>SUM(G20:G21)</f>
        <v/>
      </c>
      <c r="I20" s="4">
        <f>MAX(H20,qbb_min)</f>
        <v/>
      </c>
    </row>
    <row r="21">
      <c r="A21" s="4" t="inlineStr">
        <is>
          <t>D2</t>
        </is>
      </c>
      <c r="B21" s="4" t="inlineStr">
        <is>
          <t>ZEMİN KAT</t>
        </is>
      </c>
      <c r="C21" s="4" t="inlineStr">
        <is>
          <t>OCAK</t>
        </is>
      </c>
      <c r="D21" s="4" t="inlineStr">
        <is>
          <t>A</t>
        </is>
      </c>
      <c r="E21" s="4">
        <f>F21*Hu/kcal_kw</f>
        <v/>
      </c>
      <c r="F21" s="4" t="n">
        <v>1.6</v>
      </c>
      <c r="G21" s="4">
        <f>F21</f>
        <v/>
      </c>
      <c r="H21" s="4" t="n"/>
      <c r="I21" s="4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4"/>
  <sheetViews>
    <sheetView zoomScale="9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46" customWidth="1" min="4" max="4"/>
    <col width="13" customWidth="1" min="5" max="5"/>
    <col width="18" customWidth="1" min="6" max="6"/>
    <col width="6" customWidth="1" min="7" max="7"/>
    <col width="9" customWidth="1" min="8" max="8"/>
    <col width="6" customWidth="1" min="9" max="9"/>
    <col width="9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9" customWidth="1" min="16" max="16"/>
    <col width="9" customWidth="1" min="17" max="17"/>
    <col width="6" customWidth="1" min="18" max="18"/>
    <col width="9" customWidth="1" min="19" max="19"/>
    <col width="9" customWidth="1" min="20" max="20"/>
    <col width="9" customWidth="1" min="21" max="21"/>
    <col width="11" customWidth="1" min="22" max="22"/>
    <col width="12" customWidth="1" min="23" max="23"/>
  </cols>
  <sheetData>
    <row r="1">
      <c r="A1" s="5" t="inlineStr">
        <is>
          <t>DOĞALGAZ BORU ÇAPI VE BASINÇ KAYBI HESABI (21 mbar) - AKSAGAZ şartnamesiyle teyit edilecek</t>
        </is>
      </c>
    </row>
    <row r="3">
      <c r="A3" s="3" t="inlineStr">
        <is>
          <t>Hat</t>
        </is>
      </c>
      <c r="B3" s="3" t="inlineStr">
        <is>
          <t>Baş.</t>
        </is>
      </c>
      <c r="C3" s="3" t="inlineStr">
        <is>
          <t>Son</t>
        </is>
      </c>
      <c r="D3" s="3" t="inlineStr">
        <is>
          <t>Açıklama</t>
        </is>
      </c>
      <c r="E3" s="3" t="inlineStr">
        <is>
          <t>Tür</t>
        </is>
      </c>
      <c r="F3" s="3" t="inlineStr">
        <is>
          <t>Cihazlar</t>
        </is>
      </c>
      <c r="G3" s="3" t="inlineStr">
        <is>
          <t>n (BB)</t>
        </is>
      </c>
      <c r="H3" s="3" t="inlineStr">
        <is>
          <t>Q top (m³/h)</t>
        </is>
      </c>
      <c r="I3" s="3" t="inlineStr">
        <is>
          <t>f</t>
        </is>
      </c>
      <c r="J3" s="3" t="inlineStr">
        <is>
          <t>Q hesap (m³/h)</t>
        </is>
      </c>
      <c r="K3" s="3" t="inlineStr">
        <is>
          <t>L (m)</t>
        </is>
      </c>
      <c r="L3" s="3" t="inlineStr">
        <is>
          <t>h (m)</t>
        </is>
      </c>
      <c r="M3" s="3" t="inlineStr">
        <is>
          <t>DN</t>
        </is>
      </c>
      <c r="N3" s="3" t="inlineStr">
        <is>
          <t>Di (mm)</t>
        </is>
      </c>
      <c r="O3" s="3" t="inlineStr">
        <is>
          <t>V (m/s)</t>
        </is>
      </c>
      <c r="P3" s="3" t="inlineStr">
        <is>
          <t>ΔP/L (mbar/m)</t>
        </is>
      </c>
      <c r="Q3" s="3" t="inlineStr">
        <is>
          <t>ΔP_R (mbar)</t>
        </is>
      </c>
      <c r="R3" s="3" t="inlineStr">
        <is>
          <t>Σξ</t>
        </is>
      </c>
      <c r="S3" s="3" t="inlineStr">
        <is>
          <t>ΔP_Z (mbar)</t>
        </is>
      </c>
      <c r="T3" s="3" t="inlineStr">
        <is>
          <t>ΔP_H (mbar)</t>
        </is>
      </c>
      <c r="U3" s="3" t="inlineStr">
        <is>
          <t>ΔP_Σ (mbar)</t>
        </is>
      </c>
      <c r="V3" s="3" t="inlineStr">
        <is>
          <t>Kümülatif ΔP (mbar)</t>
        </is>
      </c>
      <c r="W3" s="3" t="inlineStr">
        <is>
          <t>Hız kontrolü</t>
        </is>
      </c>
    </row>
    <row r="4">
      <c r="A4" s="4" t="n">
        <v>1</v>
      </c>
      <c r="B4" s="4" t="inlineStr">
        <is>
          <t>0</t>
        </is>
      </c>
      <c r="C4" s="4" t="inlineStr">
        <is>
          <t>1</t>
        </is>
      </c>
      <c r="D4" s="4" t="inlineStr">
        <is>
          <t>Bina bağlantı hattı (servis kutusu → ana kesme vanası)</t>
        </is>
      </c>
      <c r="E4" s="4" t="inlineStr">
        <is>
          <t>baglanti</t>
        </is>
      </c>
      <c r="F4" s="4" t="inlineStr">
        <is>
          <t>10 bağımsız bölüm</t>
        </is>
      </c>
      <c r="G4" s="4" t="n">
        <v>10</v>
      </c>
      <c r="H4" s="6">
        <f>CIHAZLAR!$I$2+CIHAZLAR!$I$4+CIHAZLAR!$I$6+CIHAZLAR!$I$8+CIHAZLAR!$I$10+CIHAZLAR!$I$12+CIHAZLAR!$I$14+CIHAZLAR!$I$16+CIHAZLAR!$I$18+CIHAZLAR!$I$20</f>
        <v/>
      </c>
      <c r="I4" s="7">
        <f>VLOOKUP(G4,ESZAMANLILIK!$A$2:$B$151,2,TRUE)</f>
        <v/>
      </c>
      <c r="J4" s="6">
        <f>H4*I4</f>
        <v/>
      </c>
      <c r="K4" s="4" t="n">
        <v>6</v>
      </c>
      <c r="L4" s="4" t="n">
        <v>1.4</v>
      </c>
      <c r="M4" s="4" t="inlineStr">
        <is>
          <t>DN65</t>
        </is>
      </c>
      <c r="N4" s="8">
        <f>VLOOKUP(M4,BORU!$A$2:$D$20,4,FALSE)</f>
        <v/>
      </c>
      <c r="O4" s="6">
        <f>J4/3600/(PI()*(N4/1000)^2/4)</f>
        <v/>
      </c>
      <c r="P4" s="9">
        <f>23200*d_gaz*J4^1.82*N4^(-4.82)</f>
        <v/>
      </c>
      <c r="Q4" s="7">
        <f>P4*K4</f>
        <v/>
      </c>
      <c r="R4" s="4" t="n">
        <v>1.7</v>
      </c>
      <c r="S4" s="7">
        <f>0.00397*R4*O4^2</f>
        <v/>
      </c>
      <c r="T4" s="7">
        <f>-0.049*L4</f>
        <v/>
      </c>
      <c r="U4" s="7">
        <f>Q4+S4+T4</f>
        <v/>
      </c>
      <c r="V4" s="7">
        <f>U4</f>
        <v/>
      </c>
      <c r="W4" s="4">
        <f>IF(O4&lt;=vmax,"UYGUN","HIZ AŞIMI")</f>
        <v/>
      </c>
    </row>
    <row r="5">
      <c r="A5" s="4" t="n">
        <v>2</v>
      </c>
      <c r="B5" s="4" t="inlineStr">
        <is>
          <t>1</t>
        </is>
      </c>
      <c r="C5" s="4" t="inlineStr">
        <is>
          <t>2</t>
        </is>
      </c>
      <c r="D5" s="4" t="inlineStr">
        <is>
          <t>Ana hat (ana kesme vanası → sayaç kollektörü)</t>
        </is>
      </c>
      <c r="E5" s="4" t="inlineStr">
        <is>
          <t>ana</t>
        </is>
      </c>
      <c r="F5" s="4" t="inlineStr">
        <is>
          <t>10 bağımsız bölüm</t>
        </is>
      </c>
      <c r="G5" s="4" t="n">
        <v>10</v>
      </c>
      <c r="H5" s="6">
        <f>CIHAZLAR!$I$2+CIHAZLAR!$I$4+CIHAZLAR!$I$6+CIHAZLAR!$I$8+CIHAZLAR!$I$10+CIHAZLAR!$I$12+CIHAZLAR!$I$14+CIHAZLAR!$I$16+CIHAZLAR!$I$18+CIHAZLAR!$I$20</f>
        <v/>
      </c>
      <c r="I5" s="7">
        <f>VLOOKUP(G5,ESZAMANLILIK!$A$2:$B$151,2,TRUE)</f>
        <v/>
      </c>
      <c r="J5" s="6">
        <f>H5*I5</f>
        <v/>
      </c>
      <c r="K5" s="4" t="n">
        <v>3</v>
      </c>
      <c r="L5" s="4" t="n">
        <v>-0.8</v>
      </c>
      <c r="M5" s="4" t="inlineStr">
        <is>
          <t>DN50</t>
        </is>
      </c>
      <c r="N5" s="8">
        <f>VLOOKUP(M5,BORU!$A$2:$D$20,4,FALSE)</f>
        <v/>
      </c>
      <c r="O5" s="6">
        <f>J5/3600/(PI()*(N5/1000)^2/4)</f>
        <v/>
      </c>
      <c r="P5" s="9">
        <f>23200*d_gaz*J5^1.82*N5^(-4.82)</f>
        <v/>
      </c>
      <c r="Q5" s="7">
        <f>P5*K5</f>
        <v/>
      </c>
      <c r="R5" s="4" t="n">
        <v>1.2</v>
      </c>
      <c r="S5" s="7">
        <f>0.00397*R5*O5^2</f>
        <v/>
      </c>
      <c r="T5" s="7">
        <f>-0.049*L5</f>
        <v/>
      </c>
      <c r="U5" s="7">
        <f>Q5+S5+T5</f>
        <v/>
      </c>
      <c r="V5" s="7">
        <f>U5+V4</f>
        <v/>
      </c>
      <c r="W5" s="4">
        <f>IF(O5&lt;=vmax,"UYGUN","HIZ AŞIMI")</f>
        <v/>
      </c>
    </row>
    <row r="6">
      <c r="A6" s="4" t="n">
        <v>3</v>
      </c>
      <c r="B6" s="4" t="inlineStr">
        <is>
          <t>2</t>
        </is>
      </c>
      <c r="C6" s="4" t="inlineStr">
        <is>
          <t>S0</t>
        </is>
      </c>
      <c r="D6" s="4" t="inlineStr">
        <is>
          <t>D1 sayaç bağlantısı (kollektör → sayaç vanası)</t>
        </is>
      </c>
      <c r="E6" s="4" t="inlineStr">
        <is>
          <t>sayac_baglanti</t>
        </is>
      </c>
      <c r="F6" s="4" t="inlineStr">
        <is>
          <t>KOMBİ, OCAK</t>
        </is>
      </c>
      <c r="G6" s="4" t="n">
        <v>1</v>
      </c>
      <c r="H6" s="6">
        <f>CIHAZLAR!$I$2</f>
        <v/>
      </c>
      <c r="I6" s="7">
        <f>VLOOKUP(G6,ESZAMANLILIK!$A$2:$B$151,2,TRUE)</f>
        <v/>
      </c>
      <c r="J6" s="6">
        <f>H6*I6</f>
        <v/>
      </c>
      <c r="K6" s="4" t="n">
        <v>0.9</v>
      </c>
      <c r="L6" s="4" t="n">
        <v>0.7</v>
      </c>
      <c r="M6" s="4" t="inlineStr">
        <is>
          <t>DN25</t>
        </is>
      </c>
      <c r="N6" s="8">
        <f>VLOOKUP(M6,BORU!$A$2:$D$20,4,FALSE)</f>
        <v/>
      </c>
      <c r="O6" s="6">
        <f>J6/3600/(PI()*(N6/1000)^2/4)</f>
        <v/>
      </c>
      <c r="P6" s="9">
        <f>23200*d_gaz*J6^1.82*N6^(-4.82)</f>
        <v/>
      </c>
      <c r="Q6" s="7">
        <f>P6*K6</f>
        <v/>
      </c>
      <c r="R6" s="4" t="n">
        <v>2.6</v>
      </c>
      <c r="S6" s="7">
        <f>0.00397*R6*O6^2</f>
        <v/>
      </c>
      <c r="T6" s="7">
        <f>-0.049*L6</f>
        <v/>
      </c>
      <c r="U6" s="7">
        <f>Q6+S6+T6</f>
        <v/>
      </c>
      <c r="V6" s="7">
        <f>U6+V5</f>
        <v/>
      </c>
      <c r="W6" s="4">
        <f>IF(O6&lt;=vmax,"UYGUN","HIZ AŞIMI")</f>
        <v/>
      </c>
    </row>
    <row r="7">
      <c r="A7" s="4" t="n">
        <v>4</v>
      </c>
      <c r="B7" s="4" t="inlineStr">
        <is>
          <t>S0</t>
        </is>
      </c>
      <c r="C7" s="4" t="inlineStr">
        <is>
          <t>F0</t>
        </is>
      </c>
      <c r="D7" s="4" t="inlineStr">
        <is>
          <t>D1 daire hattı (sayaç → daire içi ayrım)</t>
        </is>
      </c>
      <c r="E7" s="4" t="inlineStr">
        <is>
          <t>daire</t>
        </is>
      </c>
      <c r="F7" s="4" t="inlineStr">
        <is>
          <t>KOMBİ, OCAK</t>
        </is>
      </c>
      <c r="G7" s="4" t="n">
        <v>1</v>
      </c>
      <c r="H7" s="6">
        <f>CIHAZLAR!$I$2</f>
        <v/>
      </c>
      <c r="I7" s="7">
        <f>VLOOKUP(G7,ESZAMANLILIK!$A$2:$B$151,2,TRUE)</f>
        <v/>
      </c>
      <c r="J7" s="6">
        <f>H7*I7</f>
        <v/>
      </c>
      <c r="K7" s="4" t="n">
        <v>4.5</v>
      </c>
      <c r="L7" s="4" t="n">
        <v>0.5</v>
      </c>
      <c r="M7" s="4" t="inlineStr">
        <is>
          <t>DN25</t>
        </is>
      </c>
      <c r="N7" s="8">
        <f>VLOOKUP(M7,BORU!$A$2:$D$20,4,FALSE)</f>
        <v/>
      </c>
      <c r="O7" s="6">
        <f>J7/3600/(PI()*(N7/1000)^2/4)</f>
        <v/>
      </c>
      <c r="P7" s="9">
        <f>23200*d_gaz*J7^1.82*N7^(-4.82)</f>
        <v/>
      </c>
      <c r="Q7" s="7">
        <f>P7*K7</f>
        <v/>
      </c>
      <c r="R7" s="4" t="n">
        <v>2.1</v>
      </c>
      <c r="S7" s="7">
        <f>0.00397*R7*O7^2</f>
        <v/>
      </c>
      <c r="T7" s="7">
        <f>-0.049*L7</f>
        <v/>
      </c>
      <c r="U7" s="7">
        <f>Q7+S7+T7</f>
        <v/>
      </c>
      <c r="V7" s="7">
        <f>U7+V6</f>
        <v/>
      </c>
      <c r="W7" s="4">
        <f>IF(O7&lt;=vmax,"UYGUN","HIZ AŞIMI")</f>
        <v/>
      </c>
    </row>
    <row r="8">
      <c r="A8" s="4" t="n">
        <v>5</v>
      </c>
      <c r="B8" s="4" t="inlineStr">
        <is>
          <t>F0</t>
        </is>
      </c>
      <c r="C8" s="4" t="inlineStr">
        <is>
          <t>K0</t>
        </is>
      </c>
      <c r="D8" s="4" t="inlineStr">
        <is>
          <t>D1 kombi̇ hattı</t>
        </is>
      </c>
      <c r="E8" s="4" t="inlineStr">
        <is>
          <t>cihaz</t>
        </is>
      </c>
      <c r="F8" s="4" t="inlineStr">
        <is>
          <t>KOMBİ</t>
        </is>
      </c>
      <c r="G8" s="4" t="n">
        <v>1</v>
      </c>
      <c r="H8" s="6">
        <f>CIHAZLAR!$G$2</f>
        <v/>
      </c>
      <c r="I8" s="7" t="n">
        <v>1</v>
      </c>
      <c r="J8" s="6">
        <f>H8*I8</f>
        <v/>
      </c>
      <c r="K8" s="4" t="n">
        <v>3</v>
      </c>
      <c r="L8" s="4" t="n">
        <v>-0.8</v>
      </c>
      <c r="M8" s="4" t="inlineStr">
        <is>
          <t>DN20</t>
        </is>
      </c>
      <c r="N8" s="8">
        <f>VLOOKUP(M8,BORU!$A$2:$D$20,4,FALSE)</f>
        <v/>
      </c>
      <c r="O8" s="6">
        <f>J8/3600/(PI()*(N8/1000)^2/4)</f>
        <v/>
      </c>
      <c r="P8" s="9">
        <f>23200*d_gaz*J8^1.82*N8^(-4.82)</f>
        <v/>
      </c>
      <c r="Q8" s="7">
        <f>P8*K8</f>
        <v/>
      </c>
      <c r="R8" s="4" t="n">
        <v>2.2</v>
      </c>
      <c r="S8" s="7">
        <f>0.00397*R8*O8^2</f>
        <v/>
      </c>
      <c r="T8" s="7">
        <f>-0.049*L8</f>
        <v/>
      </c>
      <c r="U8" s="7">
        <f>Q8+S8+T8</f>
        <v/>
      </c>
      <c r="V8" s="7">
        <f>U8+V7</f>
        <v/>
      </c>
      <c r="W8" s="4">
        <f>IF(O8&lt;=vmax,"UYGUN","HIZ AŞIMI")</f>
        <v/>
      </c>
    </row>
    <row r="9">
      <c r="A9" s="4" t="n">
        <v>6</v>
      </c>
      <c r="B9" s="4" t="inlineStr">
        <is>
          <t>F0</t>
        </is>
      </c>
      <c r="C9" s="4" t="inlineStr">
        <is>
          <t>O0</t>
        </is>
      </c>
      <c r="D9" s="4" t="inlineStr">
        <is>
          <t>D1 ocak hattı</t>
        </is>
      </c>
      <c r="E9" s="4" t="inlineStr">
        <is>
          <t>cihaz</t>
        </is>
      </c>
      <c r="F9" s="4" t="inlineStr">
        <is>
          <t>OCAK</t>
        </is>
      </c>
      <c r="G9" s="4" t="n">
        <v>1</v>
      </c>
      <c r="H9" s="6">
        <f>CIHAZLAR!$G$3</f>
        <v/>
      </c>
      <c r="I9" s="7" t="n">
        <v>1</v>
      </c>
      <c r="J9" s="6">
        <f>H9*I9</f>
        <v/>
      </c>
      <c r="K9" s="4" t="n">
        <v>3.5</v>
      </c>
      <c r="L9" s="4" t="n">
        <v>-1.45</v>
      </c>
      <c r="M9" s="4" t="inlineStr">
        <is>
          <t>DN20</t>
        </is>
      </c>
      <c r="N9" s="8">
        <f>VLOOKUP(M9,BORU!$A$2:$D$20,4,FALSE)</f>
        <v/>
      </c>
      <c r="O9" s="6">
        <f>J9/3600/(PI()*(N9/1000)^2/4)</f>
        <v/>
      </c>
      <c r="P9" s="9">
        <f>23200*d_gaz*J9^1.82*N9^(-4.82)</f>
        <v/>
      </c>
      <c r="Q9" s="7">
        <f>P9*K9</f>
        <v/>
      </c>
      <c r="R9" s="4" t="n">
        <v>2.6</v>
      </c>
      <c r="S9" s="7">
        <f>0.00397*R9*O9^2</f>
        <v/>
      </c>
      <c r="T9" s="7">
        <f>-0.049*L9</f>
        <v/>
      </c>
      <c r="U9" s="7">
        <f>Q9+S9+T9</f>
        <v/>
      </c>
      <c r="V9" s="7">
        <f>U9+V7</f>
        <v/>
      </c>
      <c r="W9" s="4">
        <f>IF(O9&lt;=vmax,"UYGUN","HIZ AŞIMI")</f>
        <v/>
      </c>
    </row>
    <row r="10">
      <c r="A10" s="4" t="n">
        <v>7</v>
      </c>
      <c r="B10" s="4" t="inlineStr">
        <is>
          <t>2</t>
        </is>
      </c>
      <c r="C10" s="4" t="inlineStr">
        <is>
          <t>T1</t>
        </is>
      </c>
      <c r="D10" s="4" t="inlineStr">
        <is>
          <t>Sayaç kollektörü (D1→D3 arası)</t>
        </is>
      </c>
      <c r="E10" s="4" t="inlineStr">
        <is>
          <t>kollektor</t>
        </is>
      </c>
      <c r="F10" s="4" t="inlineStr">
        <is>
          <t>9 bağımsız bölüm</t>
        </is>
      </c>
      <c r="G10" s="4" t="n">
        <v>9</v>
      </c>
      <c r="H10" s="6">
        <f>CIHAZLAR!$I$4+CIHAZLAR!$I$6+CIHAZLAR!$I$8+CIHAZLAR!$I$10+CIHAZLAR!$I$12+CIHAZLAR!$I$14+CIHAZLAR!$I$16+CIHAZLAR!$I$18+CIHAZLAR!$I$20</f>
        <v/>
      </c>
      <c r="I10" s="7">
        <f>VLOOKUP(G10,ESZAMANLILIK!$A$2:$B$151,2,TRUE)</f>
        <v/>
      </c>
      <c r="J10" s="6">
        <f>H10*I10</f>
        <v/>
      </c>
      <c r="K10" s="4" t="n">
        <v>0.4</v>
      </c>
      <c r="L10" s="4" t="n">
        <v>0</v>
      </c>
      <c r="M10" s="4" t="inlineStr">
        <is>
          <t>DN50</t>
        </is>
      </c>
      <c r="N10" s="8">
        <f>VLOOKUP(M10,BORU!$A$2:$D$20,4,FALSE)</f>
        <v/>
      </c>
      <c r="O10" s="6">
        <f>J10/3600/(PI()*(N10/1000)^2/4)</f>
        <v/>
      </c>
      <c r="P10" s="9">
        <f>23200*d_gaz*J10^1.82*N10^(-4.82)</f>
        <v/>
      </c>
      <c r="Q10" s="7">
        <f>P10*K10</f>
        <v/>
      </c>
      <c r="R10" s="4" t="n">
        <v>0</v>
      </c>
      <c r="S10" s="7">
        <f>0.00397*R10*O10^2</f>
        <v/>
      </c>
      <c r="T10" s="7">
        <f>-0.049*L10</f>
        <v/>
      </c>
      <c r="U10" s="7">
        <f>Q10+S10+T10</f>
        <v/>
      </c>
      <c r="V10" s="7">
        <f>U10+V5</f>
        <v/>
      </c>
      <c r="W10" s="4">
        <f>IF(O10&lt;=vmax,"UYGUN","HIZ AŞIMI")</f>
        <v/>
      </c>
    </row>
    <row r="11">
      <c r="A11" s="4" t="n">
        <v>8</v>
      </c>
      <c r="B11" s="4" t="inlineStr">
        <is>
          <t>T1</t>
        </is>
      </c>
      <c r="C11" s="4" t="inlineStr">
        <is>
          <t>S1</t>
        </is>
      </c>
      <c r="D11" s="4" t="inlineStr">
        <is>
          <t>D3 sayaç bağlantısı (kollektör → sayaç vanası)</t>
        </is>
      </c>
      <c r="E11" s="4" t="inlineStr">
        <is>
          <t>sayac_baglanti</t>
        </is>
      </c>
      <c r="F11" s="4" t="inlineStr">
        <is>
          <t>KOMBİ, OCAK</t>
        </is>
      </c>
      <c r="G11" s="4" t="n">
        <v>1</v>
      </c>
      <c r="H11" s="6">
        <f>CIHAZLAR!$I$4</f>
        <v/>
      </c>
      <c r="I11" s="7">
        <f>VLOOKUP(G11,ESZAMANLILIK!$A$2:$B$151,2,TRUE)</f>
        <v/>
      </c>
      <c r="J11" s="6">
        <f>H11*I11</f>
        <v/>
      </c>
      <c r="K11" s="4" t="n">
        <v>0.9</v>
      </c>
      <c r="L11" s="4" t="n">
        <v>0.7</v>
      </c>
      <c r="M11" s="4" t="inlineStr">
        <is>
          <t>DN25</t>
        </is>
      </c>
      <c r="N11" s="8">
        <f>VLOOKUP(M11,BORU!$A$2:$D$20,4,FALSE)</f>
        <v/>
      </c>
      <c r="O11" s="6">
        <f>J11/3600/(PI()*(N11/1000)^2/4)</f>
        <v/>
      </c>
      <c r="P11" s="9">
        <f>23200*d_gaz*J11^1.82*N11^(-4.82)</f>
        <v/>
      </c>
      <c r="Q11" s="7">
        <f>P11*K11</f>
        <v/>
      </c>
      <c r="R11" s="4" t="n">
        <v>2.6</v>
      </c>
      <c r="S11" s="7">
        <f>0.00397*R11*O11^2</f>
        <v/>
      </c>
      <c r="T11" s="7">
        <f>-0.049*L11</f>
        <v/>
      </c>
      <c r="U11" s="7">
        <f>Q11+S11+T11</f>
        <v/>
      </c>
      <c r="V11" s="7">
        <f>U11+V10</f>
        <v/>
      </c>
      <c r="W11" s="4">
        <f>IF(O11&lt;=vmax,"UYGUN","HIZ AŞIMI")</f>
        <v/>
      </c>
    </row>
    <row r="12">
      <c r="A12" s="4" t="n">
        <v>9</v>
      </c>
      <c r="B12" s="4" t="inlineStr">
        <is>
          <t>S1</t>
        </is>
      </c>
      <c r="C12" s="4" t="inlineStr">
        <is>
          <t>F1</t>
        </is>
      </c>
      <c r="D12" s="4" t="inlineStr">
        <is>
          <t>D3 daire hattı (sayaç → daire içi ayrım)</t>
        </is>
      </c>
      <c r="E12" s="4" t="inlineStr">
        <is>
          <t>daire</t>
        </is>
      </c>
      <c r="F12" s="4" t="inlineStr">
        <is>
          <t>KOMBİ, OCAK</t>
        </is>
      </c>
      <c r="G12" s="4" t="n">
        <v>1</v>
      </c>
      <c r="H12" s="6">
        <f>CIHAZLAR!$I$4</f>
        <v/>
      </c>
      <c r="I12" s="7">
        <f>VLOOKUP(G12,ESZAMANLILIK!$A$2:$B$151,2,TRUE)</f>
        <v/>
      </c>
      <c r="J12" s="6">
        <f>H12*I12</f>
        <v/>
      </c>
      <c r="K12" s="4" t="n">
        <v>7.5</v>
      </c>
      <c r="L12" s="4" t="n">
        <v>3.5</v>
      </c>
      <c r="M12" s="4" t="inlineStr">
        <is>
          <t>DN25</t>
        </is>
      </c>
      <c r="N12" s="8">
        <f>VLOOKUP(M12,BORU!$A$2:$D$20,4,FALSE)</f>
        <v/>
      </c>
      <c r="O12" s="6">
        <f>J12/3600/(PI()*(N12/1000)^2/4)</f>
        <v/>
      </c>
      <c r="P12" s="9">
        <f>23200*d_gaz*J12^1.82*N12^(-4.82)</f>
        <v/>
      </c>
      <c r="Q12" s="7">
        <f>P12*K12</f>
        <v/>
      </c>
      <c r="R12" s="4" t="n">
        <v>2.1</v>
      </c>
      <c r="S12" s="7">
        <f>0.00397*R12*O12^2</f>
        <v/>
      </c>
      <c r="T12" s="7">
        <f>-0.049*L12</f>
        <v/>
      </c>
      <c r="U12" s="7">
        <f>Q12+S12+T12</f>
        <v/>
      </c>
      <c r="V12" s="7">
        <f>U12+V11</f>
        <v/>
      </c>
      <c r="W12" s="4">
        <f>IF(O12&lt;=vmax,"UYGUN","HIZ AŞIMI")</f>
        <v/>
      </c>
    </row>
    <row r="13">
      <c r="A13" s="4" t="n">
        <v>10</v>
      </c>
      <c r="B13" s="4" t="inlineStr">
        <is>
          <t>F1</t>
        </is>
      </c>
      <c r="C13" s="4" t="inlineStr">
        <is>
          <t>K1</t>
        </is>
      </c>
      <c r="D13" s="4" t="inlineStr">
        <is>
          <t>D3 kombi̇ hattı</t>
        </is>
      </c>
      <c r="E13" s="4" t="inlineStr">
        <is>
          <t>cihaz</t>
        </is>
      </c>
      <c r="F13" s="4" t="inlineStr">
        <is>
          <t>KOMBİ</t>
        </is>
      </c>
      <c r="G13" s="4" t="n">
        <v>1</v>
      </c>
      <c r="H13" s="6">
        <f>CIHAZLAR!$G$4</f>
        <v/>
      </c>
      <c r="I13" s="7" t="n">
        <v>1</v>
      </c>
      <c r="J13" s="6">
        <f>H13*I13</f>
        <v/>
      </c>
      <c r="K13" s="4" t="n">
        <v>3</v>
      </c>
      <c r="L13" s="4" t="n">
        <v>-0.8</v>
      </c>
      <c r="M13" s="4" t="inlineStr">
        <is>
          <t>DN20</t>
        </is>
      </c>
      <c r="N13" s="8">
        <f>VLOOKUP(M13,BORU!$A$2:$D$20,4,FALSE)</f>
        <v/>
      </c>
      <c r="O13" s="6">
        <f>J13/3600/(PI()*(N13/1000)^2/4)</f>
        <v/>
      </c>
      <c r="P13" s="9">
        <f>23200*d_gaz*J13^1.82*N13^(-4.82)</f>
        <v/>
      </c>
      <c r="Q13" s="7">
        <f>P13*K13</f>
        <v/>
      </c>
      <c r="R13" s="4" t="n">
        <v>2.2</v>
      </c>
      <c r="S13" s="7">
        <f>0.00397*R13*O13^2</f>
        <v/>
      </c>
      <c r="T13" s="7">
        <f>-0.049*L13</f>
        <v/>
      </c>
      <c r="U13" s="7">
        <f>Q13+S13+T13</f>
        <v/>
      </c>
      <c r="V13" s="7">
        <f>U13+V12</f>
        <v/>
      </c>
      <c r="W13" s="4">
        <f>IF(O13&lt;=vmax,"UYGUN","HIZ AŞIMI")</f>
        <v/>
      </c>
    </row>
    <row r="14">
      <c r="A14" s="4" t="n">
        <v>11</v>
      </c>
      <c r="B14" s="4" t="inlineStr">
        <is>
          <t>F1</t>
        </is>
      </c>
      <c r="C14" s="4" t="inlineStr">
        <is>
          <t>O1</t>
        </is>
      </c>
      <c r="D14" s="4" t="inlineStr">
        <is>
          <t>D3 ocak hattı</t>
        </is>
      </c>
      <c r="E14" s="4" t="inlineStr">
        <is>
          <t>cihaz</t>
        </is>
      </c>
      <c r="F14" s="4" t="inlineStr">
        <is>
          <t>OCAK</t>
        </is>
      </c>
      <c r="G14" s="4" t="n">
        <v>1</v>
      </c>
      <c r="H14" s="6">
        <f>CIHAZLAR!$G$5</f>
        <v/>
      </c>
      <c r="I14" s="7" t="n">
        <v>1</v>
      </c>
      <c r="J14" s="6">
        <f>H14*I14</f>
        <v/>
      </c>
      <c r="K14" s="4" t="n">
        <v>3.5</v>
      </c>
      <c r="L14" s="4" t="n">
        <v>-1.45</v>
      </c>
      <c r="M14" s="4" t="inlineStr">
        <is>
          <t>DN20</t>
        </is>
      </c>
      <c r="N14" s="8">
        <f>VLOOKUP(M14,BORU!$A$2:$D$20,4,FALSE)</f>
        <v/>
      </c>
      <c r="O14" s="6">
        <f>J14/3600/(PI()*(N14/1000)^2/4)</f>
        <v/>
      </c>
      <c r="P14" s="9">
        <f>23200*d_gaz*J14^1.82*N14^(-4.82)</f>
        <v/>
      </c>
      <c r="Q14" s="7">
        <f>P14*K14</f>
        <v/>
      </c>
      <c r="R14" s="4" t="n">
        <v>2.6</v>
      </c>
      <c r="S14" s="7">
        <f>0.00397*R14*O14^2</f>
        <v/>
      </c>
      <c r="T14" s="7">
        <f>-0.049*L14</f>
        <v/>
      </c>
      <c r="U14" s="7">
        <f>Q14+S14+T14</f>
        <v/>
      </c>
      <c r="V14" s="7">
        <f>U14+V12</f>
        <v/>
      </c>
      <c r="W14" s="4">
        <f>IF(O14&lt;=vmax,"UYGUN","HIZ AŞIMI")</f>
        <v/>
      </c>
    </row>
    <row r="15">
      <c r="A15" s="4" t="n">
        <v>12</v>
      </c>
      <c r="B15" s="4" t="inlineStr">
        <is>
          <t>T1</t>
        </is>
      </c>
      <c r="C15" s="4" t="inlineStr">
        <is>
          <t>T2</t>
        </is>
      </c>
      <c r="D15" s="4" t="inlineStr">
        <is>
          <t>Sayaç kollektörü (D3→D5 arası)</t>
        </is>
      </c>
      <c r="E15" s="4" t="inlineStr">
        <is>
          <t>kollektor</t>
        </is>
      </c>
      <c r="F15" s="4" t="inlineStr">
        <is>
          <t>8 bağımsız bölüm</t>
        </is>
      </c>
      <c r="G15" s="4" t="n">
        <v>8</v>
      </c>
      <c r="H15" s="6">
        <f>CIHAZLAR!$I$6+CIHAZLAR!$I$8+CIHAZLAR!$I$10+CIHAZLAR!$I$12+CIHAZLAR!$I$14+CIHAZLAR!$I$16+CIHAZLAR!$I$18+CIHAZLAR!$I$20</f>
        <v/>
      </c>
      <c r="I15" s="7">
        <f>VLOOKUP(G15,ESZAMANLILIK!$A$2:$B$151,2,TRUE)</f>
        <v/>
      </c>
      <c r="J15" s="6">
        <f>H15*I15</f>
        <v/>
      </c>
      <c r="K15" s="4" t="n">
        <v>0.4</v>
      </c>
      <c r="L15" s="4" t="n">
        <v>0</v>
      </c>
      <c r="M15" s="4" t="inlineStr">
        <is>
          <t>DN50</t>
        </is>
      </c>
      <c r="N15" s="8">
        <f>VLOOKUP(M15,BORU!$A$2:$D$20,4,FALSE)</f>
        <v/>
      </c>
      <c r="O15" s="6">
        <f>J15/3600/(PI()*(N15/1000)^2/4)</f>
        <v/>
      </c>
      <c r="P15" s="9">
        <f>23200*d_gaz*J15^1.82*N15^(-4.82)</f>
        <v/>
      </c>
      <c r="Q15" s="7">
        <f>P15*K15</f>
        <v/>
      </c>
      <c r="R15" s="4" t="n">
        <v>0</v>
      </c>
      <c r="S15" s="7">
        <f>0.00397*R15*O15^2</f>
        <v/>
      </c>
      <c r="T15" s="7">
        <f>-0.049*L15</f>
        <v/>
      </c>
      <c r="U15" s="7">
        <f>Q15+S15+T15</f>
        <v/>
      </c>
      <c r="V15" s="7">
        <f>U15+V10</f>
        <v/>
      </c>
      <c r="W15" s="4">
        <f>IF(O15&lt;=vmax,"UYGUN","HIZ AŞIMI")</f>
        <v/>
      </c>
    </row>
    <row r="16">
      <c r="A16" s="4" t="n">
        <v>13</v>
      </c>
      <c r="B16" s="4" t="inlineStr">
        <is>
          <t>T2</t>
        </is>
      </c>
      <c r="C16" s="4" t="inlineStr">
        <is>
          <t>S2</t>
        </is>
      </c>
      <c r="D16" s="4" t="inlineStr">
        <is>
          <t>D5 sayaç bağlantısı (kollektör → sayaç vanası)</t>
        </is>
      </c>
      <c r="E16" s="4" t="inlineStr">
        <is>
          <t>sayac_baglanti</t>
        </is>
      </c>
      <c r="F16" s="4" t="inlineStr">
        <is>
          <t>KOMBİ, OCAK</t>
        </is>
      </c>
      <c r="G16" s="4" t="n">
        <v>1</v>
      </c>
      <c r="H16" s="6">
        <f>CIHAZLAR!$I$6</f>
        <v/>
      </c>
      <c r="I16" s="7">
        <f>VLOOKUP(G16,ESZAMANLILIK!$A$2:$B$151,2,TRUE)</f>
        <v/>
      </c>
      <c r="J16" s="6">
        <f>H16*I16</f>
        <v/>
      </c>
      <c r="K16" s="4" t="n">
        <v>0.9</v>
      </c>
      <c r="L16" s="4" t="n">
        <v>0.7</v>
      </c>
      <c r="M16" s="4" t="inlineStr">
        <is>
          <t>DN25</t>
        </is>
      </c>
      <c r="N16" s="8">
        <f>VLOOKUP(M16,BORU!$A$2:$D$20,4,FALSE)</f>
        <v/>
      </c>
      <c r="O16" s="6">
        <f>J16/3600/(PI()*(N16/1000)^2/4)</f>
        <v/>
      </c>
      <c r="P16" s="9">
        <f>23200*d_gaz*J16^1.82*N16^(-4.82)</f>
        <v/>
      </c>
      <c r="Q16" s="7">
        <f>P16*K16</f>
        <v/>
      </c>
      <c r="R16" s="4" t="n">
        <v>2.6</v>
      </c>
      <c r="S16" s="7">
        <f>0.00397*R16*O16^2</f>
        <v/>
      </c>
      <c r="T16" s="7">
        <f>-0.049*L16</f>
        <v/>
      </c>
      <c r="U16" s="7">
        <f>Q16+S16+T16</f>
        <v/>
      </c>
      <c r="V16" s="7">
        <f>U16+V15</f>
        <v/>
      </c>
      <c r="W16" s="4">
        <f>IF(O16&lt;=vmax,"UYGUN","HIZ AŞIMI")</f>
        <v/>
      </c>
    </row>
    <row r="17">
      <c r="A17" s="4" t="n">
        <v>14</v>
      </c>
      <c r="B17" s="4" t="inlineStr">
        <is>
          <t>S2</t>
        </is>
      </c>
      <c r="C17" s="4" t="inlineStr">
        <is>
          <t>F2</t>
        </is>
      </c>
      <c r="D17" s="4" t="inlineStr">
        <is>
          <t>D5 daire hattı (sayaç → daire içi ayrım)</t>
        </is>
      </c>
      <c r="E17" s="4" t="inlineStr">
        <is>
          <t>daire</t>
        </is>
      </c>
      <c r="F17" s="4" t="inlineStr">
        <is>
          <t>KOMBİ, OCAK</t>
        </is>
      </c>
      <c r="G17" s="4" t="n">
        <v>1</v>
      </c>
      <c r="H17" s="6">
        <f>CIHAZLAR!$I$6</f>
        <v/>
      </c>
      <c r="I17" s="7">
        <f>VLOOKUP(G17,ESZAMANLILIK!$A$2:$B$151,2,TRUE)</f>
        <v/>
      </c>
      <c r="J17" s="6">
        <f>H17*I17</f>
        <v/>
      </c>
      <c r="K17" s="4" t="n">
        <v>10.5</v>
      </c>
      <c r="L17" s="4" t="n">
        <v>6.5</v>
      </c>
      <c r="M17" s="4" t="inlineStr">
        <is>
          <t>DN25</t>
        </is>
      </c>
      <c r="N17" s="8">
        <f>VLOOKUP(M17,BORU!$A$2:$D$20,4,FALSE)</f>
        <v/>
      </c>
      <c r="O17" s="6">
        <f>J17/3600/(PI()*(N17/1000)^2/4)</f>
        <v/>
      </c>
      <c r="P17" s="9">
        <f>23200*d_gaz*J17^1.82*N17^(-4.82)</f>
        <v/>
      </c>
      <c r="Q17" s="7">
        <f>P17*K17</f>
        <v/>
      </c>
      <c r="R17" s="4" t="n">
        <v>2.1</v>
      </c>
      <c r="S17" s="7">
        <f>0.00397*R17*O17^2</f>
        <v/>
      </c>
      <c r="T17" s="7">
        <f>-0.049*L17</f>
        <v/>
      </c>
      <c r="U17" s="7">
        <f>Q17+S17+T17</f>
        <v/>
      </c>
      <c r="V17" s="7">
        <f>U17+V16</f>
        <v/>
      </c>
      <c r="W17" s="4">
        <f>IF(O17&lt;=vmax,"UYGUN","HIZ AŞIMI")</f>
        <v/>
      </c>
    </row>
    <row r="18">
      <c r="A18" s="4" t="n">
        <v>15</v>
      </c>
      <c r="B18" s="4" t="inlineStr">
        <is>
          <t>F2</t>
        </is>
      </c>
      <c r="C18" s="4" t="inlineStr">
        <is>
          <t>K2</t>
        </is>
      </c>
      <c r="D18" s="4" t="inlineStr">
        <is>
          <t>D5 kombi̇ hattı</t>
        </is>
      </c>
      <c r="E18" s="4" t="inlineStr">
        <is>
          <t>cihaz</t>
        </is>
      </c>
      <c r="F18" s="4" t="inlineStr">
        <is>
          <t>KOMBİ</t>
        </is>
      </c>
      <c r="G18" s="4" t="n">
        <v>1</v>
      </c>
      <c r="H18" s="6">
        <f>CIHAZLAR!$G$6</f>
        <v/>
      </c>
      <c r="I18" s="7" t="n">
        <v>1</v>
      </c>
      <c r="J18" s="6">
        <f>H18*I18</f>
        <v/>
      </c>
      <c r="K18" s="4" t="n">
        <v>3</v>
      </c>
      <c r="L18" s="4" t="n">
        <v>-0.8</v>
      </c>
      <c r="M18" s="4" t="inlineStr">
        <is>
          <t>DN20</t>
        </is>
      </c>
      <c r="N18" s="8">
        <f>VLOOKUP(M18,BORU!$A$2:$D$20,4,FALSE)</f>
        <v/>
      </c>
      <c r="O18" s="6">
        <f>J18/3600/(PI()*(N18/1000)^2/4)</f>
        <v/>
      </c>
      <c r="P18" s="9">
        <f>23200*d_gaz*J18^1.82*N18^(-4.82)</f>
        <v/>
      </c>
      <c r="Q18" s="7">
        <f>P18*K18</f>
        <v/>
      </c>
      <c r="R18" s="4" t="n">
        <v>2.2</v>
      </c>
      <c r="S18" s="7">
        <f>0.00397*R18*O18^2</f>
        <v/>
      </c>
      <c r="T18" s="7">
        <f>-0.049*L18</f>
        <v/>
      </c>
      <c r="U18" s="7">
        <f>Q18+S18+T18</f>
        <v/>
      </c>
      <c r="V18" s="7">
        <f>U18+V17</f>
        <v/>
      </c>
      <c r="W18" s="4">
        <f>IF(O18&lt;=vmax,"UYGUN","HIZ AŞIMI")</f>
        <v/>
      </c>
    </row>
    <row r="19">
      <c r="A19" s="4" t="n">
        <v>16</v>
      </c>
      <c r="B19" s="4" t="inlineStr">
        <is>
          <t>F2</t>
        </is>
      </c>
      <c r="C19" s="4" t="inlineStr">
        <is>
          <t>O2</t>
        </is>
      </c>
      <c r="D19" s="4" t="inlineStr">
        <is>
          <t>D5 ocak hattı</t>
        </is>
      </c>
      <c r="E19" s="4" t="inlineStr">
        <is>
          <t>cihaz</t>
        </is>
      </c>
      <c r="F19" s="4" t="inlineStr">
        <is>
          <t>OCAK</t>
        </is>
      </c>
      <c r="G19" s="4" t="n">
        <v>1</v>
      </c>
      <c r="H19" s="6">
        <f>CIHAZLAR!$G$7</f>
        <v/>
      </c>
      <c r="I19" s="7" t="n">
        <v>1</v>
      </c>
      <c r="J19" s="6">
        <f>H19*I19</f>
        <v/>
      </c>
      <c r="K19" s="4" t="n">
        <v>3.5</v>
      </c>
      <c r="L19" s="4" t="n">
        <v>-1.45</v>
      </c>
      <c r="M19" s="4" t="inlineStr">
        <is>
          <t>DN20</t>
        </is>
      </c>
      <c r="N19" s="8">
        <f>VLOOKUP(M19,BORU!$A$2:$D$20,4,FALSE)</f>
        <v/>
      </c>
      <c r="O19" s="6">
        <f>J19/3600/(PI()*(N19/1000)^2/4)</f>
        <v/>
      </c>
      <c r="P19" s="9">
        <f>23200*d_gaz*J19^1.82*N19^(-4.82)</f>
        <v/>
      </c>
      <c r="Q19" s="7">
        <f>P19*K19</f>
        <v/>
      </c>
      <c r="R19" s="4" t="n">
        <v>2.6</v>
      </c>
      <c r="S19" s="7">
        <f>0.00397*R19*O19^2</f>
        <v/>
      </c>
      <c r="T19" s="7">
        <f>-0.049*L19</f>
        <v/>
      </c>
      <c r="U19" s="7">
        <f>Q19+S19+T19</f>
        <v/>
      </c>
      <c r="V19" s="7">
        <f>U19+V17</f>
        <v/>
      </c>
      <c r="W19" s="4">
        <f>IF(O19&lt;=vmax,"UYGUN","HIZ AŞIMI")</f>
        <v/>
      </c>
    </row>
    <row r="20">
      <c r="A20" s="4" t="n">
        <v>17</v>
      </c>
      <c r="B20" s="4" t="inlineStr">
        <is>
          <t>T2</t>
        </is>
      </c>
      <c r="C20" s="4" t="inlineStr">
        <is>
          <t>T3</t>
        </is>
      </c>
      <c r="D20" s="4" t="inlineStr">
        <is>
          <t>Sayaç kollektörü (D5→D7 arası)</t>
        </is>
      </c>
      <c r="E20" s="4" t="inlineStr">
        <is>
          <t>kollektor</t>
        </is>
      </c>
      <c r="F20" s="4" t="inlineStr">
        <is>
          <t>7 bağımsız bölüm</t>
        </is>
      </c>
      <c r="G20" s="4" t="n">
        <v>7</v>
      </c>
      <c r="H20" s="6">
        <f>CIHAZLAR!$I$8+CIHAZLAR!$I$10+CIHAZLAR!$I$12+CIHAZLAR!$I$14+CIHAZLAR!$I$16+CIHAZLAR!$I$18+CIHAZLAR!$I$20</f>
        <v/>
      </c>
      <c r="I20" s="7">
        <f>VLOOKUP(G20,ESZAMANLILIK!$A$2:$B$151,2,TRUE)</f>
        <v/>
      </c>
      <c r="J20" s="6">
        <f>H20*I20</f>
        <v/>
      </c>
      <c r="K20" s="4" t="n">
        <v>0.4</v>
      </c>
      <c r="L20" s="4" t="n">
        <v>0</v>
      </c>
      <c r="M20" s="4" t="inlineStr">
        <is>
          <t>DN50</t>
        </is>
      </c>
      <c r="N20" s="8">
        <f>VLOOKUP(M20,BORU!$A$2:$D$20,4,FALSE)</f>
        <v/>
      </c>
      <c r="O20" s="6">
        <f>J20/3600/(PI()*(N20/1000)^2/4)</f>
        <v/>
      </c>
      <c r="P20" s="9">
        <f>23200*d_gaz*J20^1.82*N20^(-4.82)</f>
        <v/>
      </c>
      <c r="Q20" s="7">
        <f>P20*K20</f>
        <v/>
      </c>
      <c r="R20" s="4" t="n">
        <v>0</v>
      </c>
      <c r="S20" s="7">
        <f>0.00397*R20*O20^2</f>
        <v/>
      </c>
      <c r="T20" s="7">
        <f>-0.049*L20</f>
        <v/>
      </c>
      <c r="U20" s="7">
        <f>Q20+S20+T20</f>
        <v/>
      </c>
      <c r="V20" s="7">
        <f>U20+V15</f>
        <v/>
      </c>
      <c r="W20" s="4">
        <f>IF(O20&lt;=vmax,"UYGUN","HIZ AŞIMI")</f>
        <v/>
      </c>
    </row>
    <row r="21">
      <c r="A21" s="4" t="n">
        <v>18</v>
      </c>
      <c r="B21" s="4" t="inlineStr">
        <is>
          <t>T3</t>
        </is>
      </c>
      <c r="C21" s="4" t="inlineStr">
        <is>
          <t>S3</t>
        </is>
      </c>
      <c r="D21" s="4" t="inlineStr">
        <is>
          <t>D7 sayaç bağlantısı (kollektör → sayaç vanası)</t>
        </is>
      </c>
      <c r="E21" s="4" t="inlineStr">
        <is>
          <t>sayac_baglanti</t>
        </is>
      </c>
      <c r="F21" s="4" t="inlineStr">
        <is>
          <t>KOMBİ, OCAK</t>
        </is>
      </c>
      <c r="G21" s="4" t="n">
        <v>1</v>
      </c>
      <c r="H21" s="6">
        <f>CIHAZLAR!$I$8</f>
        <v/>
      </c>
      <c r="I21" s="7">
        <f>VLOOKUP(G21,ESZAMANLILIK!$A$2:$B$151,2,TRUE)</f>
        <v/>
      </c>
      <c r="J21" s="6">
        <f>H21*I21</f>
        <v/>
      </c>
      <c r="K21" s="4" t="n">
        <v>0.9</v>
      </c>
      <c r="L21" s="4" t="n">
        <v>0.7</v>
      </c>
      <c r="M21" s="4" t="inlineStr">
        <is>
          <t>DN25</t>
        </is>
      </c>
      <c r="N21" s="8">
        <f>VLOOKUP(M21,BORU!$A$2:$D$20,4,FALSE)</f>
        <v/>
      </c>
      <c r="O21" s="6">
        <f>J21/3600/(PI()*(N21/1000)^2/4)</f>
        <v/>
      </c>
      <c r="P21" s="9">
        <f>23200*d_gaz*J21^1.82*N21^(-4.82)</f>
        <v/>
      </c>
      <c r="Q21" s="7">
        <f>P21*K21</f>
        <v/>
      </c>
      <c r="R21" s="4" t="n">
        <v>2.6</v>
      </c>
      <c r="S21" s="7">
        <f>0.00397*R21*O21^2</f>
        <v/>
      </c>
      <c r="T21" s="7">
        <f>-0.049*L21</f>
        <v/>
      </c>
      <c r="U21" s="7">
        <f>Q21+S21+T21</f>
        <v/>
      </c>
      <c r="V21" s="7">
        <f>U21+V20</f>
        <v/>
      </c>
      <c r="W21" s="4">
        <f>IF(O21&lt;=vmax,"UYGUN","HIZ AŞIMI")</f>
        <v/>
      </c>
    </row>
    <row r="22">
      <c r="A22" s="4" t="n">
        <v>19</v>
      </c>
      <c r="B22" s="4" t="inlineStr">
        <is>
          <t>S3</t>
        </is>
      </c>
      <c r="C22" s="4" t="inlineStr">
        <is>
          <t>F3</t>
        </is>
      </c>
      <c r="D22" s="4" t="inlineStr">
        <is>
          <t>D7 daire hattı (sayaç → daire içi ayrım)</t>
        </is>
      </c>
      <c r="E22" s="4" t="inlineStr">
        <is>
          <t>daire</t>
        </is>
      </c>
      <c r="F22" s="4" t="inlineStr">
        <is>
          <t>KOMBİ, OCAK</t>
        </is>
      </c>
      <c r="G22" s="4" t="n">
        <v>1</v>
      </c>
      <c r="H22" s="6">
        <f>CIHAZLAR!$I$8</f>
        <v/>
      </c>
      <c r="I22" s="7">
        <f>VLOOKUP(G22,ESZAMANLILIK!$A$2:$B$151,2,TRUE)</f>
        <v/>
      </c>
      <c r="J22" s="6">
        <f>H22*I22</f>
        <v/>
      </c>
      <c r="K22" s="4" t="n">
        <v>13.5</v>
      </c>
      <c r="L22" s="4" t="n">
        <v>9.5</v>
      </c>
      <c r="M22" s="4" t="inlineStr">
        <is>
          <t>DN25</t>
        </is>
      </c>
      <c r="N22" s="8">
        <f>VLOOKUP(M22,BORU!$A$2:$D$20,4,FALSE)</f>
        <v/>
      </c>
      <c r="O22" s="6">
        <f>J22/3600/(PI()*(N22/1000)^2/4)</f>
        <v/>
      </c>
      <c r="P22" s="9">
        <f>23200*d_gaz*J22^1.82*N22^(-4.82)</f>
        <v/>
      </c>
      <c r="Q22" s="7">
        <f>P22*K22</f>
        <v/>
      </c>
      <c r="R22" s="4" t="n">
        <v>2.1</v>
      </c>
      <c r="S22" s="7">
        <f>0.00397*R22*O22^2</f>
        <v/>
      </c>
      <c r="T22" s="7">
        <f>-0.049*L22</f>
        <v/>
      </c>
      <c r="U22" s="7">
        <f>Q22+S22+T22</f>
        <v/>
      </c>
      <c r="V22" s="7">
        <f>U22+V21</f>
        <v/>
      </c>
      <c r="W22" s="4">
        <f>IF(O22&lt;=vmax,"UYGUN","HIZ AŞIMI")</f>
        <v/>
      </c>
    </row>
    <row r="23">
      <c r="A23" s="4" t="n">
        <v>20</v>
      </c>
      <c r="B23" s="4" t="inlineStr">
        <is>
          <t>F3</t>
        </is>
      </c>
      <c r="C23" s="4" t="inlineStr">
        <is>
          <t>K3</t>
        </is>
      </c>
      <c r="D23" s="4" t="inlineStr">
        <is>
          <t>D7 kombi̇ hattı</t>
        </is>
      </c>
      <c r="E23" s="4" t="inlineStr">
        <is>
          <t>cihaz</t>
        </is>
      </c>
      <c r="F23" s="4" t="inlineStr">
        <is>
          <t>KOMBİ</t>
        </is>
      </c>
      <c r="G23" s="4" t="n">
        <v>1</v>
      </c>
      <c r="H23" s="6">
        <f>CIHAZLAR!$G$8</f>
        <v/>
      </c>
      <c r="I23" s="7" t="n">
        <v>1</v>
      </c>
      <c r="J23" s="6">
        <f>H23*I23</f>
        <v/>
      </c>
      <c r="K23" s="4" t="n">
        <v>3</v>
      </c>
      <c r="L23" s="4" t="n">
        <v>-0.8</v>
      </c>
      <c r="M23" s="4" t="inlineStr">
        <is>
          <t>DN20</t>
        </is>
      </c>
      <c r="N23" s="8">
        <f>VLOOKUP(M23,BORU!$A$2:$D$20,4,FALSE)</f>
        <v/>
      </c>
      <c r="O23" s="6">
        <f>J23/3600/(PI()*(N23/1000)^2/4)</f>
        <v/>
      </c>
      <c r="P23" s="9">
        <f>23200*d_gaz*J23^1.82*N23^(-4.82)</f>
        <v/>
      </c>
      <c r="Q23" s="7">
        <f>P23*K23</f>
        <v/>
      </c>
      <c r="R23" s="4" t="n">
        <v>2.2</v>
      </c>
      <c r="S23" s="7">
        <f>0.00397*R23*O23^2</f>
        <v/>
      </c>
      <c r="T23" s="7">
        <f>-0.049*L23</f>
        <v/>
      </c>
      <c r="U23" s="7">
        <f>Q23+S23+T23</f>
        <v/>
      </c>
      <c r="V23" s="7">
        <f>U23+V22</f>
        <v/>
      </c>
      <c r="W23" s="4">
        <f>IF(O23&lt;=vmax,"UYGUN","HIZ AŞIMI")</f>
        <v/>
      </c>
    </row>
    <row r="24">
      <c r="A24" s="4" t="n">
        <v>21</v>
      </c>
      <c r="B24" s="4" t="inlineStr">
        <is>
          <t>F3</t>
        </is>
      </c>
      <c r="C24" s="4" t="inlineStr">
        <is>
          <t>O3</t>
        </is>
      </c>
      <c r="D24" s="4" t="inlineStr">
        <is>
          <t>D7 ocak hattı</t>
        </is>
      </c>
      <c r="E24" s="4" t="inlineStr">
        <is>
          <t>cihaz</t>
        </is>
      </c>
      <c r="F24" s="4" t="inlineStr">
        <is>
          <t>OCAK</t>
        </is>
      </c>
      <c r="G24" s="4" t="n">
        <v>1</v>
      </c>
      <c r="H24" s="6">
        <f>CIHAZLAR!$G$9</f>
        <v/>
      </c>
      <c r="I24" s="7" t="n">
        <v>1</v>
      </c>
      <c r="J24" s="6">
        <f>H24*I24</f>
        <v/>
      </c>
      <c r="K24" s="4" t="n">
        <v>3.5</v>
      </c>
      <c r="L24" s="4" t="n">
        <v>-1.45</v>
      </c>
      <c r="M24" s="4" t="inlineStr">
        <is>
          <t>DN20</t>
        </is>
      </c>
      <c r="N24" s="8">
        <f>VLOOKUP(M24,BORU!$A$2:$D$20,4,FALSE)</f>
        <v/>
      </c>
      <c r="O24" s="6">
        <f>J24/3600/(PI()*(N24/1000)^2/4)</f>
        <v/>
      </c>
      <c r="P24" s="9">
        <f>23200*d_gaz*J24^1.82*N24^(-4.82)</f>
        <v/>
      </c>
      <c r="Q24" s="7">
        <f>P24*K24</f>
        <v/>
      </c>
      <c r="R24" s="4" t="n">
        <v>2.6</v>
      </c>
      <c r="S24" s="7">
        <f>0.00397*R24*O24^2</f>
        <v/>
      </c>
      <c r="T24" s="7">
        <f>-0.049*L24</f>
        <v/>
      </c>
      <c r="U24" s="7">
        <f>Q24+S24+T24</f>
        <v/>
      </c>
      <c r="V24" s="7">
        <f>U24+V22</f>
        <v/>
      </c>
      <c r="W24" s="4">
        <f>IF(O24&lt;=vmax,"UYGUN","HIZ AŞIMI")</f>
        <v/>
      </c>
    </row>
    <row r="25">
      <c r="A25" s="4" t="n">
        <v>22</v>
      </c>
      <c r="B25" s="4" t="inlineStr">
        <is>
          <t>T3</t>
        </is>
      </c>
      <c r="C25" s="4" t="inlineStr">
        <is>
          <t>T4</t>
        </is>
      </c>
      <c r="D25" s="4" t="inlineStr">
        <is>
          <t>Sayaç kollektörü (D7→D9 arası)</t>
        </is>
      </c>
      <c r="E25" s="4" t="inlineStr">
        <is>
          <t>kollektor</t>
        </is>
      </c>
      <c r="F25" s="4" t="inlineStr">
        <is>
          <t>6 bağımsız bölüm</t>
        </is>
      </c>
      <c r="G25" s="4" t="n">
        <v>6</v>
      </c>
      <c r="H25" s="6">
        <f>CIHAZLAR!$I$10+CIHAZLAR!$I$12+CIHAZLAR!$I$14+CIHAZLAR!$I$16+CIHAZLAR!$I$18+CIHAZLAR!$I$20</f>
        <v/>
      </c>
      <c r="I25" s="7">
        <f>VLOOKUP(G25,ESZAMANLILIK!$A$2:$B$151,2,TRUE)</f>
        <v/>
      </c>
      <c r="J25" s="6">
        <f>H25*I25</f>
        <v/>
      </c>
      <c r="K25" s="4" t="n">
        <v>0.4</v>
      </c>
      <c r="L25" s="4" t="n">
        <v>0</v>
      </c>
      <c r="M25" s="4" t="inlineStr">
        <is>
          <t>DN40</t>
        </is>
      </c>
      <c r="N25" s="8">
        <f>VLOOKUP(M25,BORU!$A$2:$D$20,4,FALSE)</f>
        <v/>
      </c>
      <c r="O25" s="6">
        <f>J25/3600/(PI()*(N25/1000)^2/4)</f>
        <v/>
      </c>
      <c r="P25" s="9">
        <f>23200*d_gaz*J25^1.82*N25^(-4.82)</f>
        <v/>
      </c>
      <c r="Q25" s="7">
        <f>P25*K25</f>
        <v/>
      </c>
      <c r="R25" s="4" t="n">
        <v>0</v>
      </c>
      <c r="S25" s="7">
        <f>0.00397*R25*O25^2</f>
        <v/>
      </c>
      <c r="T25" s="7">
        <f>-0.049*L25</f>
        <v/>
      </c>
      <c r="U25" s="7">
        <f>Q25+S25+T25</f>
        <v/>
      </c>
      <c r="V25" s="7">
        <f>U25+V20</f>
        <v/>
      </c>
      <c r="W25" s="4">
        <f>IF(O25&lt;=vmax,"UYGUN","HIZ AŞIMI")</f>
        <v/>
      </c>
    </row>
    <row r="26">
      <c r="A26" s="4" t="n">
        <v>23</v>
      </c>
      <c r="B26" s="4" t="inlineStr">
        <is>
          <t>T4</t>
        </is>
      </c>
      <c r="C26" s="4" t="inlineStr">
        <is>
          <t>S4</t>
        </is>
      </c>
      <c r="D26" s="4" t="inlineStr">
        <is>
          <t>D9 sayaç bağlantısı (kollektör → sayaç vanası)</t>
        </is>
      </c>
      <c r="E26" s="4" t="inlineStr">
        <is>
          <t>sayac_baglanti</t>
        </is>
      </c>
      <c r="F26" s="4" t="inlineStr">
        <is>
          <t>KOMBİ, OCAK</t>
        </is>
      </c>
      <c r="G26" s="4" t="n">
        <v>1</v>
      </c>
      <c r="H26" s="6">
        <f>CIHAZLAR!$I$10</f>
        <v/>
      </c>
      <c r="I26" s="7">
        <f>VLOOKUP(G26,ESZAMANLILIK!$A$2:$B$151,2,TRUE)</f>
        <v/>
      </c>
      <c r="J26" s="6">
        <f>H26*I26</f>
        <v/>
      </c>
      <c r="K26" s="4" t="n">
        <v>0.9</v>
      </c>
      <c r="L26" s="4" t="n">
        <v>0.7</v>
      </c>
      <c r="M26" s="4" t="inlineStr">
        <is>
          <t>DN25</t>
        </is>
      </c>
      <c r="N26" s="8">
        <f>VLOOKUP(M26,BORU!$A$2:$D$20,4,FALSE)</f>
        <v/>
      </c>
      <c r="O26" s="6">
        <f>J26/3600/(PI()*(N26/1000)^2/4)</f>
        <v/>
      </c>
      <c r="P26" s="9">
        <f>23200*d_gaz*J26^1.82*N26^(-4.82)</f>
        <v/>
      </c>
      <c r="Q26" s="7">
        <f>P26*K26</f>
        <v/>
      </c>
      <c r="R26" s="4" t="n">
        <v>2.6</v>
      </c>
      <c r="S26" s="7">
        <f>0.00397*R26*O26^2</f>
        <v/>
      </c>
      <c r="T26" s="7">
        <f>-0.049*L26</f>
        <v/>
      </c>
      <c r="U26" s="7">
        <f>Q26+S26+T26</f>
        <v/>
      </c>
      <c r="V26" s="7">
        <f>U26+V25</f>
        <v/>
      </c>
      <c r="W26" s="4">
        <f>IF(O26&lt;=vmax,"UYGUN","HIZ AŞIMI")</f>
        <v/>
      </c>
    </row>
    <row r="27">
      <c r="A27" s="4" t="n">
        <v>24</v>
      </c>
      <c r="B27" s="4" t="inlineStr">
        <is>
          <t>S4</t>
        </is>
      </c>
      <c r="C27" s="4" t="inlineStr">
        <is>
          <t>F4</t>
        </is>
      </c>
      <c r="D27" s="4" t="inlineStr">
        <is>
          <t>D9 daire hattı (sayaç → daire içi ayrım)</t>
        </is>
      </c>
      <c r="E27" s="4" t="inlineStr">
        <is>
          <t>daire</t>
        </is>
      </c>
      <c r="F27" s="4" t="inlineStr">
        <is>
          <t>KOMBİ, OCAK</t>
        </is>
      </c>
      <c r="G27" s="4" t="n">
        <v>1</v>
      </c>
      <c r="H27" s="6">
        <f>CIHAZLAR!$I$10</f>
        <v/>
      </c>
      <c r="I27" s="7">
        <f>VLOOKUP(G27,ESZAMANLILIK!$A$2:$B$151,2,TRUE)</f>
        <v/>
      </c>
      <c r="J27" s="6">
        <f>H27*I27</f>
        <v/>
      </c>
      <c r="K27" s="4" t="n">
        <v>16.5</v>
      </c>
      <c r="L27" s="4" t="n">
        <v>12.5</v>
      </c>
      <c r="M27" s="4" t="inlineStr">
        <is>
          <t>DN25</t>
        </is>
      </c>
      <c r="N27" s="8">
        <f>VLOOKUP(M27,BORU!$A$2:$D$20,4,FALSE)</f>
        <v/>
      </c>
      <c r="O27" s="6">
        <f>J27/3600/(PI()*(N27/1000)^2/4)</f>
        <v/>
      </c>
      <c r="P27" s="9">
        <f>23200*d_gaz*J27^1.82*N27^(-4.82)</f>
        <v/>
      </c>
      <c r="Q27" s="7">
        <f>P27*K27</f>
        <v/>
      </c>
      <c r="R27" s="4" t="n">
        <v>2.1</v>
      </c>
      <c r="S27" s="7">
        <f>0.00397*R27*O27^2</f>
        <v/>
      </c>
      <c r="T27" s="7">
        <f>-0.049*L27</f>
        <v/>
      </c>
      <c r="U27" s="7">
        <f>Q27+S27+T27</f>
        <v/>
      </c>
      <c r="V27" s="7">
        <f>U27+V26</f>
        <v/>
      </c>
      <c r="W27" s="4">
        <f>IF(O27&lt;=vmax,"UYGUN","HIZ AŞIMI")</f>
        <v/>
      </c>
    </row>
    <row r="28">
      <c r="A28" s="4" t="n">
        <v>25</v>
      </c>
      <c r="B28" s="4" t="inlineStr">
        <is>
          <t>F4</t>
        </is>
      </c>
      <c r="C28" s="4" t="inlineStr">
        <is>
          <t>K4</t>
        </is>
      </c>
      <c r="D28" s="4" t="inlineStr">
        <is>
          <t>D9 kombi̇ hattı</t>
        </is>
      </c>
      <c r="E28" s="4" t="inlineStr">
        <is>
          <t>cihaz</t>
        </is>
      </c>
      <c r="F28" s="4" t="inlineStr">
        <is>
          <t>KOMBİ</t>
        </is>
      </c>
      <c r="G28" s="4" t="n">
        <v>1</v>
      </c>
      <c r="H28" s="6">
        <f>CIHAZLAR!$G$10</f>
        <v/>
      </c>
      <c r="I28" s="7" t="n">
        <v>1</v>
      </c>
      <c r="J28" s="6">
        <f>H28*I28</f>
        <v/>
      </c>
      <c r="K28" s="4" t="n">
        <v>3</v>
      </c>
      <c r="L28" s="4" t="n">
        <v>-0.8</v>
      </c>
      <c r="M28" s="4" t="inlineStr">
        <is>
          <t>DN20</t>
        </is>
      </c>
      <c r="N28" s="8">
        <f>VLOOKUP(M28,BORU!$A$2:$D$20,4,FALSE)</f>
        <v/>
      </c>
      <c r="O28" s="6">
        <f>J28/3600/(PI()*(N28/1000)^2/4)</f>
        <v/>
      </c>
      <c r="P28" s="9">
        <f>23200*d_gaz*J28^1.82*N28^(-4.82)</f>
        <v/>
      </c>
      <c r="Q28" s="7">
        <f>P28*K28</f>
        <v/>
      </c>
      <c r="R28" s="4" t="n">
        <v>2.2</v>
      </c>
      <c r="S28" s="7">
        <f>0.00397*R28*O28^2</f>
        <v/>
      </c>
      <c r="T28" s="7">
        <f>-0.049*L28</f>
        <v/>
      </c>
      <c r="U28" s="7">
        <f>Q28+S28+T28</f>
        <v/>
      </c>
      <c r="V28" s="7">
        <f>U28+V27</f>
        <v/>
      </c>
      <c r="W28" s="4">
        <f>IF(O28&lt;=vmax,"UYGUN","HIZ AŞIMI")</f>
        <v/>
      </c>
    </row>
    <row r="29">
      <c r="A29" s="4" t="n">
        <v>26</v>
      </c>
      <c r="B29" s="4" t="inlineStr">
        <is>
          <t>F4</t>
        </is>
      </c>
      <c r="C29" s="4" t="inlineStr">
        <is>
          <t>O4</t>
        </is>
      </c>
      <c r="D29" s="4" t="inlineStr">
        <is>
          <t>D9 ocak hattı</t>
        </is>
      </c>
      <c r="E29" s="4" t="inlineStr">
        <is>
          <t>cihaz</t>
        </is>
      </c>
      <c r="F29" s="4" t="inlineStr">
        <is>
          <t>OCAK</t>
        </is>
      </c>
      <c r="G29" s="4" t="n">
        <v>1</v>
      </c>
      <c r="H29" s="6">
        <f>CIHAZLAR!$G$11</f>
        <v/>
      </c>
      <c r="I29" s="7" t="n">
        <v>1</v>
      </c>
      <c r="J29" s="6">
        <f>H29*I29</f>
        <v/>
      </c>
      <c r="K29" s="4" t="n">
        <v>3.5</v>
      </c>
      <c r="L29" s="4" t="n">
        <v>-1.45</v>
      </c>
      <c r="M29" s="4" t="inlineStr">
        <is>
          <t>DN20</t>
        </is>
      </c>
      <c r="N29" s="8">
        <f>VLOOKUP(M29,BORU!$A$2:$D$20,4,FALSE)</f>
        <v/>
      </c>
      <c r="O29" s="6">
        <f>J29/3600/(PI()*(N29/1000)^2/4)</f>
        <v/>
      </c>
      <c r="P29" s="9">
        <f>23200*d_gaz*J29^1.82*N29^(-4.82)</f>
        <v/>
      </c>
      <c r="Q29" s="7">
        <f>P29*K29</f>
        <v/>
      </c>
      <c r="R29" s="4" t="n">
        <v>2.6</v>
      </c>
      <c r="S29" s="7">
        <f>0.00397*R29*O29^2</f>
        <v/>
      </c>
      <c r="T29" s="7">
        <f>-0.049*L29</f>
        <v/>
      </c>
      <c r="U29" s="7">
        <f>Q29+S29+T29</f>
        <v/>
      </c>
      <c r="V29" s="7">
        <f>U29+V27</f>
        <v/>
      </c>
      <c r="W29" s="4">
        <f>IF(O29&lt;=vmax,"UYGUN","HIZ AŞIMI")</f>
        <v/>
      </c>
    </row>
    <row r="30">
      <c r="A30" s="4" t="n">
        <v>27</v>
      </c>
      <c r="B30" s="4" t="inlineStr">
        <is>
          <t>T4</t>
        </is>
      </c>
      <c r="C30" s="4" t="inlineStr">
        <is>
          <t>T5</t>
        </is>
      </c>
      <c r="D30" s="4" t="inlineStr">
        <is>
          <t>Sayaç kollektörü (D9→D10 arası)</t>
        </is>
      </c>
      <c r="E30" s="4" t="inlineStr">
        <is>
          <t>kollektor</t>
        </is>
      </c>
      <c r="F30" s="4" t="inlineStr">
        <is>
          <t>5 bağımsız bölüm</t>
        </is>
      </c>
      <c r="G30" s="4" t="n">
        <v>5</v>
      </c>
      <c r="H30" s="6">
        <f>CIHAZLAR!$I$12+CIHAZLAR!$I$14+CIHAZLAR!$I$16+CIHAZLAR!$I$18+CIHAZLAR!$I$20</f>
        <v/>
      </c>
      <c r="I30" s="7">
        <f>VLOOKUP(G30,ESZAMANLILIK!$A$2:$B$151,2,TRUE)</f>
        <v/>
      </c>
      <c r="J30" s="6">
        <f>H30*I30</f>
        <v/>
      </c>
      <c r="K30" s="4" t="n">
        <v>0.4</v>
      </c>
      <c r="L30" s="4" t="n">
        <v>0</v>
      </c>
      <c r="M30" s="4" t="inlineStr">
        <is>
          <t>DN32</t>
        </is>
      </c>
      <c r="N30" s="8">
        <f>VLOOKUP(M30,BORU!$A$2:$D$20,4,FALSE)</f>
        <v/>
      </c>
      <c r="O30" s="6">
        <f>J30/3600/(PI()*(N30/1000)^2/4)</f>
        <v/>
      </c>
      <c r="P30" s="9">
        <f>23200*d_gaz*J30^1.82*N30^(-4.82)</f>
        <v/>
      </c>
      <c r="Q30" s="7">
        <f>P30*K30</f>
        <v/>
      </c>
      <c r="R30" s="4" t="n">
        <v>0</v>
      </c>
      <c r="S30" s="7">
        <f>0.00397*R30*O30^2</f>
        <v/>
      </c>
      <c r="T30" s="7">
        <f>-0.049*L30</f>
        <v/>
      </c>
      <c r="U30" s="7">
        <f>Q30+S30+T30</f>
        <v/>
      </c>
      <c r="V30" s="7">
        <f>U30+V25</f>
        <v/>
      </c>
      <c r="W30" s="4">
        <f>IF(O30&lt;=vmax,"UYGUN","HIZ AŞIMI")</f>
        <v/>
      </c>
    </row>
    <row r="31">
      <c r="A31" s="4" t="n">
        <v>28</v>
      </c>
      <c r="B31" s="4" t="inlineStr">
        <is>
          <t>T5</t>
        </is>
      </c>
      <c r="C31" s="4" t="inlineStr">
        <is>
          <t>S5</t>
        </is>
      </c>
      <c r="D31" s="4" t="inlineStr">
        <is>
          <t>D10 sayaç bağlantısı (kollektör → sayaç vanası)</t>
        </is>
      </c>
      <c r="E31" s="4" t="inlineStr">
        <is>
          <t>sayac_baglanti</t>
        </is>
      </c>
      <c r="F31" s="4" t="inlineStr">
        <is>
          <t>KOMBİ, OCAK</t>
        </is>
      </c>
      <c r="G31" s="4" t="n">
        <v>1</v>
      </c>
      <c r="H31" s="6">
        <f>CIHAZLAR!$I$12</f>
        <v/>
      </c>
      <c r="I31" s="7">
        <f>VLOOKUP(G31,ESZAMANLILIK!$A$2:$B$151,2,TRUE)</f>
        <v/>
      </c>
      <c r="J31" s="6">
        <f>H31*I31</f>
        <v/>
      </c>
      <c r="K31" s="4" t="n">
        <v>0.9</v>
      </c>
      <c r="L31" s="4" t="n">
        <v>0.7</v>
      </c>
      <c r="M31" s="4" t="inlineStr">
        <is>
          <t>DN25</t>
        </is>
      </c>
      <c r="N31" s="8">
        <f>VLOOKUP(M31,BORU!$A$2:$D$20,4,FALSE)</f>
        <v/>
      </c>
      <c r="O31" s="6">
        <f>J31/3600/(PI()*(N31/1000)^2/4)</f>
        <v/>
      </c>
      <c r="P31" s="9">
        <f>23200*d_gaz*J31^1.82*N31^(-4.82)</f>
        <v/>
      </c>
      <c r="Q31" s="7">
        <f>P31*K31</f>
        <v/>
      </c>
      <c r="R31" s="4" t="n">
        <v>2.6</v>
      </c>
      <c r="S31" s="7">
        <f>0.00397*R31*O31^2</f>
        <v/>
      </c>
      <c r="T31" s="7">
        <f>-0.049*L31</f>
        <v/>
      </c>
      <c r="U31" s="7">
        <f>Q31+S31+T31</f>
        <v/>
      </c>
      <c r="V31" s="7">
        <f>U31+V30</f>
        <v/>
      </c>
      <c r="W31" s="4">
        <f>IF(O31&lt;=vmax,"UYGUN","HIZ AŞIMI")</f>
        <v/>
      </c>
    </row>
    <row r="32">
      <c r="A32" s="4" t="n">
        <v>29</v>
      </c>
      <c r="B32" s="4" t="inlineStr">
        <is>
          <t>S5</t>
        </is>
      </c>
      <c r="C32" s="4" t="inlineStr">
        <is>
          <t>F5</t>
        </is>
      </c>
      <c r="D32" s="4" t="inlineStr">
        <is>
          <t>D10 daire hattı (sayaç → daire içi ayrım)</t>
        </is>
      </c>
      <c r="E32" s="4" t="inlineStr">
        <is>
          <t>daire</t>
        </is>
      </c>
      <c r="F32" s="4" t="inlineStr">
        <is>
          <t>KOMBİ, OCAK</t>
        </is>
      </c>
      <c r="G32" s="4" t="n">
        <v>1</v>
      </c>
      <c r="H32" s="6">
        <f>CIHAZLAR!$I$12</f>
        <v/>
      </c>
      <c r="I32" s="7">
        <f>VLOOKUP(G32,ESZAMANLILIK!$A$2:$B$151,2,TRUE)</f>
        <v/>
      </c>
      <c r="J32" s="6">
        <f>H32*I32</f>
        <v/>
      </c>
      <c r="K32" s="4" t="n">
        <v>16.5</v>
      </c>
      <c r="L32" s="4" t="n">
        <v>12.5</v>
      </c>
      <c r="M32" s="4" t="inlineStr">
        <is>
          <t>DN25</t>
        </is>
      </c>
      <c r="N32" s="8">
        <f>VLOOKUP(M32,BORU!$A$2:$D$20,4,FALSE)</f>
        <v/>
      </c>
      <c r="O32" s="6">
        <f>J32/3600/(PI()*(N32/1000)^2/4)</f>
        <v/>
      </c>
      <c r="P32" s="9">
        <f>23200*d_gaz*J32^1.82*N32^(-4.82)</f>
        <v/>
      </c>
      <c r="Q32" s="7">
        <f>P32*K32</f>
        <v/>
      </c>
      <c r="R32" s="4" t="n">
        <v>2.1</v>
      </c>
      <c r="S32" s="7">
        <f>0.00397*R32*O32^2</f>
        <v/>
      </c>
      <c r="T32" s="7">
        <f>-0.049*L32</f>
        <v/>
      </c>
      <c r="U32" s="7">
        <f>Q32+S32+T32</f>
        <v/>
      </c>
      <c r="V32" s="7">
        <f>U32+V31</f>
        <v/>
      </c>
      <c r="W32" s="4">
        <f>IF(O32&lt;=vmax,"UYGUN","HIZ AŞIMI")</f>
        <v/>
      </c>
    </row>
    <row r="33">
      <c r="A33" s="4" t="n">
        <v>30</v>
      </c>
      <c r="B33" s="4" t="inlineStr">
        <is>
          <t>F5</t>
        </is>
      </c>
      <c r="C33" s="4" t="inlineStr">
        <is>
          <t>K5</t>
        </is>
      </c>
      <c r="D33" s="4" t="inlineStr">
        <is>
          <t>D10 kombi̇ hattı</t>
        </is>
      </c>
      <c r="E33" s="4" t="inlineStr">
        <is>
          <t>cihaz</t>
        </is>
      </c>
      <c r="F33" s="4" t="inlineStr">
        <is>
          <t>KOMBİ</t>
        </is>
      </c>
      <c r="G33" s="4" t="n">
        <v>1</v>
      </c>
      <c r="H33" s="6">
        <f>CIHAZLAR!$G$12</f>
        <v/>
      </c>
      <c r="I33" s="7" t="n">
        <v>1</v>
      </c>
      <c r="J33" s="6">
        <f>H33*I33</f>
        <v/>
      </c>
      <c r="K33" s="4" t="n">
        <v>3</v>
      </c>
      <c r="L33" s="4" t="n">
        <v>-0.8</v>
      </c>
      <c r="M33" s="4" t="inlineStr">
        <is>
          <t>DN20</t>
        </is>
      </c>
      <c r="N33" s="8">
        <f>VLOOKUP(M33,BORU!$A$2:$D$20,4,FALSE)</f>
        <v/>
      </c>
      <c r="O33" s="6">
        <f>J33/3600/(PI()*(N33/1000)^2/4)</f>
        <v/>
      </c>
      <c r="P33" s="9">
        <f>23200*d_gaz*J33^1.82*N33^(-4.82)</f>
        <v/>
      </c>
      <c r="Q33" s="7">
        <f>P33*K33</f>
        <v/>
      </c>
      <c r="R33" s="4" t="n">
        <v>2.2</v>
      </c>
      <c r="S33" s="7">
        <f>0.00397*R33*O33^2</f>
        <v/>
      </c>
      <c r="T33" s="7">
        <f>-0.049*L33</f>
        <v/>
      </c>
      <c r="U33" s="7">
        <f>Q33+S33+T33</f>
        <v/>
      </c>
      <c r="V33" s="7">
        <f>U33+V32</f>
        <v/>
      </c>
      <c r="W33" s="4">
        <f>IF(O33&lt;=vmax,"UYGUN","HIZ AŞIMI")</f>
        <v/>
      </c>
    </row>
    <row r="34">
      <c r="A34" s="4" t="n">
        <v>31</v>
      </c>
      <c r="B34" s="4" t="inlineStr">
        <is>
          <t>F5</t>
        </is>
      </c>
      <c r="C34" s="4" t="inlineStr">
        <is>
          <t>O5</t>
        </is>
      </c>
      <c r="D34" s="4" t="inlineStr">
        <is>
          <t>D10 ocak hattı</t>
        </is>
      </c>
      <c r="E34" s="4" t="inlineStr">
        <is>
          <t>cihaz</t>
        </is>
      </c>
      <c r="F34" s="4" t="inlineStr">
        <is>
          <t>OCAK</t>
        </is>
      </c>
      <c r="G34" s="4" t="n">
        <v>1</v>
      </c>
      <c r="H34" s="6">
        <f>CIHAZLAR!$G$13</f>
        <v/>
      </c>
      <c r="I34" s="7" t="n">
        <v>1</v>
      </c>
      <c r="J34" s="6">
        <f>H34*I34</f>
        <v/>
      </c>
      <c r="K34" s="4" t="n">
        <v>3.5</v>
      </c>
      <c r="L34" s="4" t="n">
        <v>-1.45</v>
      </c>
      <c r="M34" s="4" t="inlineStr">
        <is>
          <t>DN20</t>
        </is>
      </c>
      <c r="N34" s="8">
        <f>VLOOKUP(M34,BORU!$A$2:$D$20,4,FALSE)</f>
        <v/>
      </c>
      <c r="O34" s="6">
        <f>J34/3600/(PI()*(N34/1000)^2/4)</f>
        <v/>
      </c>
      <c r="P34" s="9">
        <f>23200*d_gaz*J34^1.82*N34^(-4.82)</f>
        <v/>
      </c>
      <c r="Q34" s="7">
        <f>P34*K34</f>
        <v/>
      </c>
      <c r="R34" s="4" t="n">
        <v>2.6</v>
      </c>
      <c r="S34" s="7">
        <f>0.00397*R34*O34^2</f>
        <v/>
      </c>
      <c r="T34" s="7">
        <f>-0.049*L34</f>
        <v/>
      </c>
      <c r="U34" s="7">
        <f>Q34+S34+T34</f>
        <v/>
      </c>
      <c r="V34" s="7">
        <f>U34+V32</f>
        <v/>
      </c>
      <c r="W34" s="4">
        <f>IF(O34&lt;=vmax,"UYGUN","HIZ AŞIMI")</f>
        <v/>
      </c>
    </row>
    <row r="35">
      <c r="A35" s="4" t="n">
        <v>32</v>
      </c>
      <c r="B35" s="4" t="inlineStr">
        <is>
          <t>T5</t>
        </is>
      </c>
      <c r="C35" s="4" t="inlineStr">
        <is>
          <t>T6</t>
        </is>
      </c>
      <c r="D35" s="4" t="inlineStr">
        <is>
          <t>Sayaç kollektörü (D10→D8 arası)</t>
        </is>
      </c>
      <c r="E35" s="4" t="inlineStr">
        <is>
          <t>kollektor</t>
        </is>
      </c>
      <c r="F35" s="4" t="inlineStr">
        <is>
          <t>4 bağımsız bölüm</t>
        </is>
      </c>
      <c r="G35" s="4" t="n">
        <v>4</v>
      </c>
      <c r="H35" s="6">
        <f>CIHAZLAR!$I$14+CIHAZLAR!$I$16+CIHAZLAR!$I$18+CIHAZLAR!$I$20</f>
        <v/>
      </c>
      <c r="I35" s="7">
        <f>VLOOKUP(G35,ESZAMANLILIK!$A$2:$B$151,2,TRUE)</f>
        <v/>
      </c>
      <c r="J35" s="6">
        <f>H35*I35</f>
        <v/>
      </c>
      <c r="K35" s="4" t="n">
        <v>0.4</v>
      </c>
      <c r="L35" s="4" t="n">
        <v>0</v>
      </c>
      <c r="M35" s="4" t="inlineStr">
        <is>
          <t>DN32</t>
        </is>
      </c>
      <c r="N35" s="8">
        <f>VLOOKUP(M35,BORU!$A$2:$D$20,4,FALSE)</f>
        <v/>
      </c>
      <c r="O35" s="6">
        <f>J35/3600/(PI()*(N35/1000)^2/4)</f>
        <v/>
      </c>
      <c r="P35" s="9">
        <f>23200*d_gaz*J35^1.82*N35^(-4.82)</f>
        <v/>
      </c>
      <c r="Q35" s="7">
        <f>P35*K35</f>
        <v/>
      </c>
      <c r="R35" s="4" t="n">
        <v>0</v>
      </c>
      <c r="S35" s="7">
        <f>0.00397*R35*O35^2</f>
        <v/>
      </c>
      <c r="T35" s="7">
        <f>-0.049*L35</f>
        <v/>
      </c>
      <c r="U35" s="7">
        <f>Q35+S35+T35</f>
        <v/>
      </c>
      <c r="V35" s="7">
        <f>U35+V30</f>
        <v/>
      </c>
      <c r="W35" s="4">
        <f>IF(O35&lt;=vmax,"UYGUN","HIZ AŞIMI")</f>
        <v/>
      </c>
    </row>
    <row r="36">
      <c r="A36" s="4" t="n">
        <v>33</v>
      </c>
      <c r="B36" s="4" t="inlineStr">
        <is>
          <t>T6</t>
        </is>
      </c>
      <c r="C36" s="4" t="inlineStr">
        <is>
          <t>S6</t>
        </is>
      </c>
      <c r="D36" s="4" t="inlineStr">
        <is>
          <t>D8 sayaç bağlantısı (kollektör → sayaç vanası)</t>
        </is>
      </c>
      <c r="E36" s="4" t="inlineStr">
        <is>
          <t>sayac_baglanti</t>
        </is>
      </c>
      <c r="F36" s="4" t="inlineStr">
        <is>
          <t>KOMBİ, OCAK</t>
        </is>
      </c>
      <c r="G36" s="4" t="n">
        <v>1</v>
      </c>
      <c r="H36" s="6">
        <f>CIHAZLAR!$I$14</f>
        <v/>
      </c>
      <c r="I36" s="7">
        <f>VLOOKUP(G36,ESZAMANLILIK!$A$2:$B$151,2,TRUE)</f>
        <v/>
      </c>
      <c r="J36" s="6">
        <f>H36*I36</f>
        <v/>
      </c>
      <c r="K36" s="4" t="n">
        <v>0.9</v>
      </c>
      <c r="L36" s="4" t="n">
        <v>0.7</v>
      </c>
      <c r="M36" s="4" t="inlineStr">
        <is>
          <t>DN25</t>
        </is>
      </c>
      <c r="N36" s="8">
        <f>VLOOKUP(M36,BORU!$A$2:$D$20,4,FALSE)</f>
        <v/>
      </c>
      <c r="O36" s="6">
        <f>J36/3600/(PI()*(N36/1000)^2/4)</f>
        <v/>
      </c>
      <c r="P36" s="9">
        <f>23200*d_gaz*J36^1.82*N36^(-4.82)</f>
        <v/>
      </c>
      <c r="Q36" s="7">
        <f>P36*K36</f>
        <v/>
      </c>
      <c r="R36" s="4" t="n">
        <v>2.6</v>
      </c>
      <c r="S36" s="7">
        <f>0.00397*R36*O36^2</f>
        <v/>
      </c>
      <c r="T36" s="7">
        <f>-0.049*L36</f>
        <v/>
      </c>
      <c r="U36" s="7">
        <f>Q36+S36+T36</f>
        <v/>
      </c>
      <c r="V36" s="7">
        <f>U36+V35</f>
        <v/>
      </c>
      <c r="W36" s="4">
        <f>IF(O36&lt;=vmax,"UYGUN","HIZ AŞIMI")</f>
        <v/>
      </c>
    </row>
    <row r="37">
      <c r="A37" s="4" t="n">
        <v>34</v>
      </c>
      <c r="B37" s="4" t="inlineStr">
        <is>
          <t>S6</t>
        </is>
      </c>
      <c r="C37" s="4" t="inlineStr">
        <is>
          <t>F6</t>
        </is>
      </c>
      <c r="D37" s="4" t="inlineStr">
        <is>
          <t>D8 daire hattı (sayaç → daire içi ayrım)</t>
        </is>
      </c>
      <c r="E37" s="4" t="inlineStr">
        <is>
          <t>daire</t>
        </is>
      </c>
      <c r="F37" s="4" t="inlineStr">
        <is>
          <t>KOMBİ, OCAK</t>
        </is>
      </c>
      <c r="G37" s="4" t="n">
        <v>1</v>
      </c>
      <c r="H37" s="6">
        <f>CIHAZLAR!$I$14</f>
        <v/>
      </c>
      <c r="I37" s="7">
        <f>VLOOKUP(G37,ESZAMANLILIK!$A$2:$B$151,2,TRUE)</f>
        <v/>
      </c>
      <c r="J37" s="6">
        <f>H37*I37</f>
        <v/>
      </c>
      <c r="K37" s="4" t="n">
        <v>13.5</v>
      </c>
      <c r="L37" s="4" t="n">
        <v>9.5</v>
      </c>
      <c r="M37" s="4" t="inlineStr">
        <is>
          <t>DN25</t>
        </is>
      </c>
      <c r="N37" s="8">
        <f>VLOOKUP(M37,BORU!$A$2:$D$20,4,FALSE)</f>
        <v/>
      </c>
      <c r="O37" s="6">
        <f>J37/3600/(PI()*(N37/1000)^2/4)</f>
        <v/>
      </c>
      <c r="P37" s="9">
        <f>23200*d_gaz*J37^1.82*N37^(-4.82)</f>
        <v/>
      </c>
      <c r="Q37" s="7">
        <f>P37*K37</f>
        <v/>
      </c>
      <c r="R37" s="4" t="n">
        <v>2.1</v>
      </c>
      <c r="S37" s="7">
        <f>0.00397*R37*O37^2</f>
        <v/>
      </c>
      <c r="T37" s="7">
        <f>-0.049*L37</f>
        <v/>
      </c>
      <c r="U37" s="7">
        <f>Q37+S37+T37</f>
        <v/>
      </c>
      <c r="V37" s="7">
        <f>U37+V36</f>
        <v/>
      </c>
      <c r="W37" s="4">
        <f>IF(O37&lt;=vmax,"UYGUN","HIZ AŞIMI")</f>
        <v/>
      </c>
    </row>
    <row r="38">
      <c r="A38" s="4" t="n">
        <v>35</v>
      </c>
      <c r="B38" s="4" t="inlineStr">
        <is>
          <t>F6</t>
        </is>
      </c>
      <c r="C38" s="4" t="inlineStr">
        <is>
          <t>K6</t>
        </is>
      </c>
      <c r="D38" s="4" t="inlineStr">
        <is>
          <t>D8 kombi̇ hattı</t>
        </is>
      </c>
      <c r="E38" s="4" t="inlineStr">
        <is>
          <t>cihaz</t>
        </is>
      </c>
      <c r="F38" s="4" t="inlineStr">
        <is>
          <t>KOMBİ</t>
        </is>
      </c>
      <c r="G38" s="4" t="n">
        <v>1</v>
      </c>
      <c r="H38" s="6">
        <f>CIHAZLAR!$G$14</f>
        <v/>
      </c>
      <c r="I38" s="7" t="n">
        <v>1</v>
      </c>
      <c r="J38" s="6">
        <f>H38*I38</f>
        <v/>
      </c>
      <c r="K38" s="4" t="n">
        <v>3</v>
      </c>
      <c r="L38" s="4" t="n">
        <v>-0.8</v>
      </c>
      <c r="M38" s="4" t="inlineStr">
        <is>
          <t>DN20</t>
        </is>
      </c>
      <c r="N38" s="8">
        <f>VLOOKUP(M38,BORU!$A$2:$D$20,4,FALSE)</f>
        <v/>
      </c>
      <c r="O38" s="6">
        <f>J38/3600/(PI()*(N38/1000)^2/4)</f>
        <v/>
      </c>
      <c r="P38" s="9">
        <f>23200*d_gaz*J38^1.82*N38^(-4.82)</f>
        <v/>
      </c>
      <c r="Q38" s="7">
        <f>P38*K38</f>
        <v/>
      </c>
      <c r="R38" s="4" t="n">
        <v>2.2</v>
      </c>
      <c r="S38" s="7">
        <f>0.00397*R38*O38^2</f>
        <v/>
      </c>
      <c r="T38" s="7">
        <f>-0.049*L38</f>
        <v/>
      </c>
      <c r="U38" s="7">
        <f>Q38+S38+T38</f>
        <v/>
      </c>
      <c r="V38" s="7">
        <f>U38+V37</f>
        <v/>
      </c>
      <c r="W38" s="4">
        <f>IF(O38&lt;=vmax,"UYGUN","HIZ AŞIMI")</f>
        <v/>
      </c>
    </row>
    <row r="39">
      <c r="A39" s="4" t="n">
        <v>36</v>
      </c>
      <c r="B39" s="4" t="inlineStr">
        <is>
          <t>F6</t>
        </is>
      </c>
      <c r="C39" s="4" t="inlineStr">
        <is>
          <t>O6</t>
        </is>
      </c>
      <c r="D39" s="4" t="inlineStr">
        <is>
          <t>D8 ocak hattı</t>
        </is>
      </c>
      <c r="E39" s="4" t="inlineStr">
        <is>
          <t>cihaz</t>
        </is>
      </c>
      <c r="F39" s="4" t="inlineStr">
        <is>
          <t>OCAK</t>
        </is>
      </c>
      <c r="G39" s="4" t="n">
        <v>1</v>
      </c>
      <c r="H39" s="6">
        <f>CIHAZLAR!$G$15</f>
        <v/>
      </c>
      <c r="I39" s="7" t="n">
        <v>1</v>
      </c>
      <c r="J39" s="6">
        <f>H39*I39</f>
        <v/>
      </c>
      <c r="K39" s="4" t="n">
        <v>3.5</v>
      </c>
      <c r="L39" s="4" t="n">
        <v>-1.45</v>
      </c>
      <c r="M39" s="4" t="inlineStr">
        <is>
          <t>DN20</t>
        </is>
      </c>
      <c r="N39" s="8">
        <f>VLOOKUP(M39,BORU!$A$2:$D$20,4,FALSE)</f>
        <v/>
      </c>
      <c r="O39" s="6">
        <f>J39/3600/(PI()*(N39/1000)^2/4)</f>
        <v/>
      </c>
      <c r="P39" s="9">
        <f>23200*d_gaz*J39^1.82*N39^(-4.82)</f>
        <v/>
      </c>
      <c r="Q39" s="7">
        <f>P39*K39</f>
        <v/>
      </c>
      <c r="R39" s="4" t="n">
        <v>2.6</v>
      </c>
      <c r="S39" s="7">
        <f>0.00397*R39*O39^2</f>
        <v/>
      </c>
      <c r="T39" s="7">
        <f>-0.049*L39</f>
        <v/>
      </c>
      <c r="U39" s="7">
        <f>Q39+S39+T39</f>
        <v/>
      </c>
      <c r="V39" s="7">
        <f>U39+V37</f>
        <v/>
      </c>
      <c r="W39" s="4">
        <f>IF(O39&lt;=vmax,"UYGUN","HIZ AŞIMI")</f>
        <v/>
      </c>
    </row>
    <row r="40">
      <c r="A40" s="4" t="n">
        <v>37</v>
      </c>
      <c r="B40" s="4" t="inlineStr">
        <is>
          <t>T6</t>
        </is>
      </c>
      <c r="C40" s="4" t="inlineStr">
        <is>
          <t>T7</t>
        </is>
      </c>
      <c r="D40" s="4" t="inlineStr">
        <is>
          <t>Sayaç kollektörü (D8→D6 arası)</t>
        </is>
      </c>
      <c r="E40" s="4" t="inlineStr">
        <is>
          <t>kollektor</t>
        </is>
      </c>
      <c r="F40" s="4" t="inlineStr">
        <is>
          <t>3 bağımsız bölüm</t>
        </is>
      </c>
      <c r="G40" s="4" t="n">
        <v>3</v>
      </c>
      <c r="H40" s="6">
        <f>CIHAZLAR!$I$16+CIHAZLAR!$I$18+CIHAZLAR!$I$20</f>
        <v/>
      </c>
      <c r="I40" s="7">
        <f>VLOOKUP(G40,ESZAMANLILIK!$A$2:$B$151,2,TRUE)</f>
        <v/>
      </c>
      <c r="J40" s="6">
        <f>H40*I40</f>
        <v/>
      </c>
      <c r="K40" s="4" t="n">
        <v>0.4</v>
      </c>
      <c r="L40" s="4" t="n">
        <v>0</v>
      </c>
      <c r="M40" s="4" t="inlineStr">
        <is>
          <t>DN32</t>
        </is>
      </c>
      <c r="N40" s="8">
        <f>VLOOKUP(M40,BORU!$A$2:$D$20,4,FALSE)</f>
        <v/>
      </c>
      <c r="O40" s="6">
        <f>J40/3600/(PI()*(N40/1000)^2/4)</f>
        <v/>
      </c>
      <c r="P40" s="9">
        <f>23200*d_gaz*J40^1.82*N40^(-4.82)</f>
        <v/>
      </c>
      <c r="Q40" s="7">
        <f>P40*K40</f>
        <v/>
      </c>
      <c r="R40" s="4" t="n">
        <v>0</v>
      </c>
      <c r="S40" s="7">
        <f>0.00397*R40*O40^2</f>
        <v/>
      </c>
      <c r="T40" s="7">
        <f>-0.049*L40</f>
        <v/>
      </c>
      <c r="U40" s="7">
        <f>Q40+S40+T40</f>
        <v/>
      </c>
      <c r="V40" s="7">
        <f>U40+V35</f>
        <v/>
      </c>
      <c r="W40" s="4">
        <f>IF(O40&lt;=vmax,"UYGUN","HIZ AŞIMI")</f>
        <v/>
      </c>
    </row>
    <row r="41">
      <c r="A41" s="4" t="n">
        <v>38</v>
      </c>
      <c r="B41" s="4" t="inlineStr">
        <is>
          <t>T7</t>
        </is>
      </c>
      <c r="C41" s="4" t="inlineStr">
        <is>
          <t>S7</t>
        </is>
      </c>
      <c r="D41" s="4" t="inlineStr">
        <is>
          <t>D6 sayaç bağlantısı (kollektör → sayaç vanası)</t>
        </is>
      </c>
      <c r="E41" s="4" t="inlineStr">
        <is>
          <t>sayac_baglanti</t>
        </is>
      </c>
      <c r="F41" s="4" t="inlineStr">
        <is>
          <t>KOMBİ, OCAK</t>
        </is>
      </c>
      <c r="G41" s="4" t="n">
        <v>1</v>
      </c>
      <c r="H41" s="6">
        <f>CIHAZLAR!$I$16</f>
        <v/>
      </c>
      <c r="I41" s="7">
        <f>VLOOKUP(G41,ESZAMANLILIK!$A$2:$B$151,2,TRUE)</f>
        <v/>
      </c>
      <c r="J41" s="6">
        <f>H41*I41</f>
        <v/>
      </c>
      <c r="K41" s="4" t="n">
        <v>0.9</v>
      </c>
      <c r="L41" s="4" t="n">
        <v>0.7</v>
      </c>
      <c r="M41" s="4" t="inlineStr">
        <is>
          <t>DN25</t>
        </is>
      </c>
      <c r="N41" s="8">
        <f>VLOOKUP(M41,BORU!$A$2:$D$20,4,FALSE)</f>
        <v/>
      </c>
      <c r="O41" s="6">
        <f>J41/3600/(PI()*(N41/1000)^2/4)</f>
        <v/>
      </c>
      <c r="P41" s="9">
        <f>23200*d_gaz*J41^1.82*N41^(-4.82)</f>
        <v/>
      </c>
      <c r="Q41" s="7">
        <f>P41*K41</f>
        <v/>
      </c>
      <c r="R41" s="4" t="n">
        <v>2.6</v>
      </c>
      <c r="S41" s="7">
        <f>0.00397*R41*O41^2</f>
        <v/>
      </c>
      <c r="T41" s="7">
        <f>-0.049*L41</f>
        <v/>
      </c>
      <c r="U41" s="7">
        <f>Q41+S41+T41</f>
        <v/>
      </c>
      <c r="V41" s="7">
        <f>U41+V40</f>
        <v/>
      </c>
      <c r="W41" s="4">
        <f>IF(O41&lt;=vmax,"UYGUN","HIZ AŞIMI")</f>
        <v/>
      </c>
    </row>
    <row r="42">
      <c r="A42" s="4" t="n">
        <v>39</v>
      </c>
      <c r="B42" s="4" t="inlineStr">
        <is>
          <t>S7</t>
        </is>
      </c>
      <c r="C42" s="4" t="inlineStr">
        <is>
          <t>F7</t>
        </is>
      </c>
      <c r="D42" s="4" t="inlineStr">
        <is>
          <t>D6 daire hattı (sayaç → daire içi ayrım)</t>
        </is>
      </c>
      <c r="E42" s="4" t="inlineStr">
        <is>
          <t>daire</t>
        </is>
      </c>
      <c r="F42" s="4" t="inlineStr">
        <is>
          <t>KOMBİ, OCAK</t>
        </is>
      </c>
      <c r="G42" s="4" t="n">
        <v>1</v>
      </c>
      <c r="H42" s="6">
        <f>CIHAZLAR!$I$16</f>
        <v/>
      </c>
      <c r="I42" s="7">
        <f>VLOOKUP(G42,ESZAMANLILIK!$A$2:$B$151,2,TRUE)</f>
        <v/>
      </c>
      <c r="J42" s="6">
        <f>H42*I42</f>
        <v/>
      </c>
      <c r="K42" s="4" t="n">
        <v>10.5</v>
      </c>
      <c r="L42" s="4" t="n">
        <v>6.5</v>
      </c>
      <c r="M42" s="4" t="inlineStr">
        <is>
          <t>DN25</t>
        </is>
      </c>
      <c r="N42" s="8">
        <f>VLOOKUP(M42,BORU!$A$2:$D$20,4,FALSE)</f>
        <v/>
      </c>
      <c r="O42" s="6">
        <f>J42/3600/(PI()*(N42/1000)^2/4)</f>
        <v/>
      </c>
      <c r="P42" s="9">
        <f>23200*d_gaz*J42^1.82*N42^(-4.82)</f>
        <v/>
      </c>
      <c r="Q42" s="7">
        <f>P42*K42</f>
        <v/>
      </c>
      <c r="R42" s="4" t="n">
        <v>2.1</v>
      </c>
      <c r="S42" s="7">
        <f>0.00397*R42*O42^2</f>
        <v/>
      </c>
      <c r="T42" s="7">
        <f>-0.049*L42</f>
        <v/>
      </c>
      <c r="U42" s="7">
        <f>Q42+S42+T42</f>
        <v/>
      </c>
      <c r="V42" s="7">
        <f>U42+V41</f>
        <v/>
      </c>
      <c r="W42" s="4">
        <f>IF(O42&lt;=vmax,"UYGUN","HIZ AŞIMI")</f>
        <v/>
      </c>
    </row>
    <row r="43">
      <c r="A43" s="4" t="n">
        <v>40</v>
      </c>
      <c r="B43" s="4" t="inlineStr">
        <is>
          <t>F7</t>
        </is>
      </c>
      <c r="C43" s="4" t="inlineStr">
        <is>
          <t>K7</t>
        </is>
      </c>
      <c r="D43" s="4" t="inlineStr">
        <is>
          <t>D6 kombi̇ hattı</t>
        </is>
      </c>
      <c r="E43" s="4" t="inlineStr">
        <is>
          <t>cihaz</t>
        </is>
      </c>
      <c r="F43" s="4" t="inlineStr">
        <is>
          <t>KOMBİ</t>
        </is>
      </c>
      <c r="G43" s="4" t="n">
        <v>1</v>
      </c>
      <c r="H43" s="6">
        <f>CIHAZLAR!$G$16</f>
        <v/>
      </c>
      <c r="I43" s="7" t="n">
        <v>1</v>
      </c>
      <c r="J43" s="6">
        <f>H43*I43</f>
        <v/>
      </c>
      <c r="K43" s="4" t="n">
        <v>3</v>
      </c>
      <c r="L43" s="4" t="n">
        <v>-0.8</v>
      </c>
      <c r="M43" s="4" t="inlineStr">
        <is>
          <t>DN20</t>
        </is>
      </c>
      <c r="N43" s="8">
        <f>VLOOKUP(M43,BORU!$A$2:$D$20,4,FALSE)</f>
        <v/>
      </c>
      <c r="O43" s="6">
        <f>J43/3600/(PI()*(N43/1000)^2/4)</f>
        <v/>
      </c>
      <c r="P43" s="9">
        <f>23200*d_gaz*J43^1.82*N43^(-4.82)</f>
        <v/>
      </c>
      <c r="Q43" s="7">
        <f>P43*K43</f>
        <v/>
      </c>
      <c r="R43" s="4" t="n">
        <v>2.2</v>
      </c>
      <c r="S43" s="7">
        <f>0.00397*R43*O43^2</f>
        <v/>
      </c>
      <c r="T43" s="7">
        <f>-0.049*L43</f>
        <v/>
      </c>
      <c r="U43" s="7">
        <f>Q43+S43+T43</f>
        <v/>
      </c>
      <c r="V43" s="7">
        <f>U43+V42</f>
        <v/>
      </c>
      <c r="W43" s="4">
        <f>IF(O43&lt;=vmax,"UYGUN","HIZ AŞIMI")</f>
        <v/>
      </c>
    </row>
    <row r="44">
      <c r="A44" s="4" t="n">
        <v>41</v>
      </c>
      <c r="B44" s="4" t="inlineStr">
        <is>
          <t>F7</t>
        </is>
      </c>
      <c r="C44" s="4" t="inlineStr">
        <is>
          <t>O7</t>
        </is>
      </c>
      <c r="D44" s="4" t="inlineStr">
        <is>
          <t>D6 ocak hattı</t>
        </is>
      </c>
      <c r="E44" s="4" t="inlineStr">
        <is>
          <t>cihaz</t>
        </is>
      </c>
      <c r="F44" s="4" t="inlineStr">
        <is>
          <t>OCAK</t>
        </is>
      </c>
      <c r="G44" s="4" t="n">
        <v>1</v>
      </c>
      <c r="H44" s="6">
        <f>CIHAZLAR!$G$17</f>
        <v/>
      </c>
      <c r="I44" s="7" t="n">
        <v>1</v>
      </c>
      <c r="J44" s="6">
        <f>H44*I44</f>
        <v/>
      </c>
      <c r="K44" s="4" t="n">
        <v>3.5</v>
      </c>
      <c r="L44" s="4" t="n">
        <v>-1.45</v>
      </c>
      <c r="M44" s="4" t="inlineStr">
        <is>
          <t>DN20</t>
        </is>
      </c>
      <c r="N44" s="8">
        <f>VLOOKUP(M44,BORU!$A$2:$D$20,4,FALSE)</f>
        <v/>
      </c>
      <c r="O44" s="6">
        <f>J44/3600/(PI()*(N44/1000)^2/4)</f>
        <v/>
      </c>
      <c r="P44" s="9">
        <f>23200*d_gaz*J44^1.82*N44^(-4.82)</f>
        <v/>
      </c>
      <c r="Q44" s="7">
        <f>P44*K44</f>
        <v/>
      </c>
      <c r="R44" s="4" t="n">
        <v>2.6</v>
      </c>
      <c r="S44" s="7">
        <f>0.00397*R44*O44^2</f>
        <v/>
      </c>
      <c r="T44" s="7">
        <f>-0.049*L44</f>
        <v/>
      </c>
      <c r="U44" s="7">
        <f>Q44+S44+T44</f>
        <v/>
      </c>
      <c r="V44" s="7">
        <f>U44+V42</f>
        <v/>
      </c>
      <c r="W44" s="4">
        <f>IF(O44&lt;=vmax,"UYGUN","HIZ AŞIMI")</f>
        <v/>
      </c>
    </row>
    <row r="45">
      <c r="A45" s="4" t="n">
        <v>42</v>
      </c>
      <c r="B45" s="4" t="inlineStr">
        <is>
          <t>T7</t>
        </is>
      </c>
      <c r="C45" s="4" t="inlineStr">
        <is>
          <t>T8</t>
        </is>
      </c>
      <c r="D45" s="4" t="inlineStr">
        <is>
          <t>Sayaç kollektörü (D6→D4 arası)</t>
        </is>
      </c>
      <c r="E45" s="4" t="inlineStr">
        <is>
          <t>kollektor</t>
        </is>
      </c>
      <c r="F45" s="4" t="inlineStr">
        <is>
          <t>2 bağımsız bölüm</t>
        </is>
      </c>
      <c r="G45" s="4" t="n">
        <v>2</v>
      </c>
      <c r="H45" s="6">
        <f>CIHAZLAR!$I$18+CIHAZLAR!$I$20</f>
        <v/>
      </c>
      <c r="I45" s="7">
        <f>VLOOKUP(G45,ESZAMANLILIK!$A$2:$B$151,2,TRUE)</f>
        <v/>
      </c>
      <c r="J45" s="6">
        <f>H45*I45</f>
        <v/>
      </c>
      <c r="K45" s="4" t="n">
        <v>0.4</v>
      </c>
      <c r="L45" s="4" t="n">
        <v>0</v>
      </c>
      <c r="M45" s="4" t="inlineStr">
        <is>
          <t>DN25</t>
        </is>
      </c>
      <c r="N45" s="8">
        <f>VLOOKUP(M45,BORU!$A$2:$D$20,4,FALSE)</f>
        <v/>
      </c>
      <c r="O45" s="6">
        <f>J45/3600/(PI()*(N45/1000)^2/4)</f>
        <v/>
      </c>
      <c r="P45" s="9">
        <f>23200*d_gaz*J45^1.82*N45^(-4.82)</f>
        <v/>
      </c>
      <c r="Q45" s="7">
        <f>P45*K45</f>
        <v/>
      </c>
      <c r="R45" s="4" t="n">
        <v>0</v>
      </c>
      <c r="S45" s="7">
        <f>0.00397*R45*O45^2</f>
        <v/>
      </c>
      <c r="T45" s="7">
        <f>-0.049*L45</f>
        <v/>
      </c>
      <c r="U45" s="7">
        <f>Q45+S45+T45</f>
        <v/>
      </c>
      <c r="V45" s="7">
        <f>U45+V40</f>
        <v/>
      </c>
      <c r="W45" s="4">
        <f>IF(O45&lt;=vmax,"UYGUN","HIZ AŞIMI")</f>
        <v/>
      </c>
    </row>
    <row r="46">
      <c r="A46" s="4" t="n">
        <v>43</v>
      </c>
      <c r="B46" s="4" t="inlineStr">
        <is>
          <t>T8</t>
        </is>
      </c>
      <c r="C46" s="4" t="inlineStr">
        <is>
          <t>S8</t>
        </is>
      </c>
      <c r="D46" s="4" t="inlineStr">
        <is>
          <t>D4 sayaç bağlantısı (kollektör → sayaç vanası)</t>
        </is>
      </c>
      <c r="E46" s="4" t="inlineStr">
        <is>
          <t>sayac_baglanti</t>
        </is>
      </c>
      <c r="F46" s="4" t="inlineStr">
        <is>
          <t>KOMBİ, OCAK</t>
        </is>
      </c>
      <c r="G46" s="4" t="n">
        <v>1</v>
      </c>
      <c r="H46" s="6">
        <f>CIHAZLAR!$I$18</f>
        <v/>
      </c>
      <c r="I46" s="7">
        <f>VLOOKUP(G46,ESZAMANLILIK!$A$2:$B$151,2,TRUE)</f>
        <v/>
      </c>
      <c r="J46" s="6">
        <f>H46*I46</f>
        <v/>
      </c>
      <c r="K46" s="4" t="n">
        <v>0.9</v>
      </c>
      <c r="L46" s="4" t="n">
        <v>0.7</v>
      </c>
      <c r="M46" s="4" t="inlineStr">
        <is>
          <t>DN25</t>
        </is>
      </c>
      <c r="N46" s="8">
        <f>VLOOKUP(M46,BORU!$A$2:$D$20,4,FALSE)</f>
        <v/>
      </c>
      <c r="O46" s="6">
        <f>J46/3600/(PI()*(N46/1000)^2/4)</f>
        <v/>
      </c>
      <c r="P46" s="9">
        <f>23200*d_gaz*J46^1.82*N46^(-4.82)</f>
        <v/>
      </c>
      <c r="Q46" s="7">
        <f>P46*K46</f>
        <v/>
      </c>
      <c r="R46" s="4" t="n">
        <v>2.6</v>
      </c>
      <c r="S46" s="7">
        <f>0.00397*R46*O46^2</f>
        <v/>
      </c>
      <c r="T46" s="7">
        <f>-0.049*L46</f>
        <v/>
      </c>
      <c r="U46" s="7">
        <f>Q46+S46+T46</f>
        <v/>
      </c>
      <c r="V46" s="7">
        <f>U46+V45</f>
        <v/>
      </c>
      <c r="W46" s="4">
        <f>IF(O46&lt;=vmax,"UYGUN","HIZ AŞIMI")</f>
        <v/>
      </c>
    </row>
    <row r="47">
      <c r="A47" s="4" t="n">
        <v>44</v>
      </c>
      <c r="B47" s="4" t="inlineStr">
        <is>
          <t>S8</t>
        </is>
      </c>
      <c r="C47" s="4" t="inlineStr">
        <is>
          <t>F8</t>
        </is>
      </c>
      <c r="D47" s="4" t="inlineStr">
        <is>
          <t>D4 daire hattı (sayaç → daire içi ayrım)</t>
        </is>
      </c>
      <c r="E47" s="4" t="inlineStr">
        <is>
          <t>daire</t>
        </is>
      </c>
      <c r="F47" s="4" t="inlineStr">
        <is>
          <t>KOMBİ, OCAK</t>
        </is>
      </c>
      <c r="G47" s="4" t="n">
        <v>1</v>
      </c>
      <c r="H47" s="6">
        <f>CIHAZLAR!$I$18</f>
        <v/>
      </c>
      <c r="I47" s="7">
        <f>VLOOKUP(G47,ESZAMANLILIK!$A$2:$B$151,2,TRUE)</f>
        <v/>
      </c>
      <c r="J47" s="6">
        <f>H47*I47</f>
        <v/>
      </c>
      <c r="K47" s="4" t="n">
        <v>7.5</v>
      </c>
      <c r="L47" s="4" t="n">
        <v>3.5</v>
      </c>
      <c r="M47" s="4" t="inlineStr">
        <is>
          <t>DN25</t>
        </is>
      </c>
      <c r="N47" s="8">
        <f>VLOOKUP(M47,BORU!$A$2:$D$20,4,FALSE)</f>
        <v/>
      </c>
      <c r="O47" s="6">
        <f>J47/3600/(PI()*(N47/1000)^2/4)</f>
        <v/>
      </c>
      <c r="P47" s="9">
        <f>23200*d_gaz*J47^1.82*N47^(-4.82)</f>
        <v/>
      </c>
      <c r="Q47" s="7">
        <f>P47*K47</f>
        <v/>
      </c>
      <c r="R47" s="4" t="n">
        <v>2.1</v>
      </c>
      <c r="S47" s="7">
        <f>0.00397*R47*O47^2</f>
        <v/>
      </c>
      <c r="T47" s="7">
        <f>-0.049*L47</f>
        <v/>
      </c>
      <c r="U47" s="7">
        <f>Q47+S47+T47</f>
        <v/>
      </c>
      <c r="V47" s="7">
        <f>U47+V46</f>
        <v/>
      </c>
      <c r="W47" s="4">
        <f>IF(O47&lt;=vmax,"UYGUN","HIZ AŞIMI")</f>
        <v/>
      </c>
    </row>
    <row r="48">
      <c r="A48" s="4" t="n">
        <v>45</v>
      </c>
      <c r="B48" s="4" t="inlineStr">
        <is>
          <t>F8</t>
        </is>
      </c>
      <c r="C48" s="4" t="inlineStr">
        <is>
          <t>K8</t>
        </is>
      </c>
      <c r="D48" s="4" t="inlineStr">
        <is>
          <t>D4 kombi̇ hattı</t>
        </is>
      </c>
      <c r="E48" s="4" t="inlineStr">
        <is>
          <t>cihaz</t>
        </is>
      </c>
      <c r="F48" s="4" t="inlineStr">
        <is>
          <t>KOMBİ</t>
        </is>
      </c>
      <c r="G48" s="4" t="n">
        <v>1</v>
      </c>
      <c r="H48" s="6">
        <f>CIHAZLAR!$G$18</f>
        <v/>
      </c>
      <c r="I48" s="7" t="n">
        <v>1</v>
      </c>
      <c r="J48" s="6">
        <f>H48*I48</f>
        <v/>
      </c>
      <c r="K48" s="4" t="n">
        <v>3</v>
      </c>
      <c r="L48" s="4" t="n">
        <v>-0.8</v>
      </c>
      <c r="M48" s="4" t="inlineStr">
        <is>
          <t>DN20</t>
        </is>
      </c>
      <c r="N48" s="8">
        <f>VLOOKUP(M48,BORU!$A$2:$D$20,4,FALSE)</f>
        <v/>
      </c>
      <c r="O48" s="6">
        <f>J48/3600/(PI()*(N48/1000)^2/4)</f>
        <v/>
      </c>
      <c r="P48" s="9">
        <f>23200*d_gaz*J48^1.82*N48^(-4.82)</f>
        <v/>
      </c>
      <c r="Q48" s="7">
        <f>P48*K48</f>
        <v/>
      </c>
      <c r="R48" s="4" t="n">
        <v>2.2</v>
      </c>
      <c r="S48" s="7">
        <f>0.00397*R48*O48^2</f>
        <v/>
      </c>
      <c r="T48" s="7">
        <f>-0.049*L48</f>
        <v/>
      </c>
      <c r="U48" s="7">
        <f>Q48+S48+T48</f>
        <v/>
      </c>
      <c r="V48" s="7">
        <f>U48+V47</f>
        <v/>
      </c>
      <c r="W48" s="4">
        <f>IF(O48&lt;=vmax,"UYGUN","HIZ AŞIMI")</f>
        <v/>
      </c>
    </row>
    <row r="49">
      <c r="A49" s="4" t="n">
        <v>46</v>
      </c>
      <c r="B49" s="4" t="inlineStr">
        <is>
          <t>F8</t>
        </is>
      </c>
      <c r="C49" s="4" t="inlineStr">
        <is>
          <t>O8</t>
        </is>
      </c>
      <c r="D49" s="4" t="inlineStr">
        <is>
          <t>D4 ocak hattı</t>
        </is>
      </c>
      <c r="E49" s="4" t="inlineStr">
        <is>
          <t>cihaz</t>
        </is>
      </c>
      <c r="F49" s="4" t="inlineStr">
        <is>
          <t>OCAK</t>
        </is>
      </c>
      <c r="G49" s="4" t="n">
        <v>1</v>
      </c>
      <c r="H49" s="6">
        <f>CIHAZLAR!$G$19</f>
        <v/>
      </c>
      <c r="I49" s="7" t="n">
        <v>1</v>
      </c>
      <c r="J49" s="6">
        <f>H49*I49</f>
        <v/>
      </c>
      <c r="K49" s="4" t="n">
        <v>3.5</v>
      </c>
      <c r="L49" s="4" t="n">
        <v>-1.45</v>
      </c>
      <c r="M49" s="4" t="inlineStr">
        <is>
          <t>DN20</t>
        </is>
      </c>
      <c r="N49" s="8">
        <f>VLOOKUP(M49,BORU!$A$2:$D$20,4,FALSE)</f>
        <v/>
      </c>
      <c r="O49" s="6">
        <f>J49/3600/(PI()*(N49/1000)^2/4)</f>
        <v/>
      </c>
      <c r="P49" s="9">
        <f>23200*d_gaz*J49^1.82*N49^(-4.82)</f>
        <v/>
      </c>
      <c r="Q49" s="7">
        <f>P49*K49</f>
        <v/>
      </c>
      <c r="R49" s="4" t="n">
        <v>2.6</v>
      </c>
      <c r="S49" s="7">
        <f>0.00397*R49*O49^2</f>
        <v/>
      </c>
      <c r="T49" s="7">
        <f>-0.049*L49</f>
        <v/>
      </c>
      <c r="U49" s="7">
        <f>Q49+S49+T49</f>
        <v/>
      </c>
      <c r="V49" s="7">
        <f>U49+V47</f>
        <v/>
      </c>
      <c r="W49" s="4">
        <f>IF(O49&lt;=vmax,"UYGUN","HIZ AŞIMI")</f>
        <v/>
      </c>
    </row>
    <row r="50">
      <c r="A50" s="4" t="n">
        <v>47</v>
      </c>
      <c r="B50" s="4" t="inlineStr">
        <is>
          <t>T8</t>
        </is>
      </c>
      <c r="C50" s="4" t="inlineStr">
        <is>
          <t>T9</t>
        </is>
      </c>
      <c r="D50" s="4" t="inlineStr">
        <is>
          <t>Sayaç kollektörü (D4→D2 arası)</t>
        </is>
      </c>
      <c r="E50" s="4" t="inlineStr">
        <is>
          <t>kollektor</t>
        </is>
      </c>
      <c r="F50" s="4" t="inlineStr"/>
      <c r="G50" s="4" t="n">
        <v>1</v>
      </c>
      <c r="H50" s="6">
        <f>CIHAZLAR!$I$20</f>
        <v/>
      </c>
      <c r="I50" s="7">
        <f>VLOOKUP(G50,ESZAMANLILIK!$A$2:$B$151,2,TRUE)</f>
        <v/>
      </c>
      <c r="J50" s="6">
        <f>H50*I50</f>
        <v/>
      </c>
      <c r="K50" s="4" t="n">
        <v>0.4</v>
      </c>
      <c r="L50" s="4" t="n">
        <v>0</v>
      </c>
      <c r="M50" s="4" t="inlineStr">
        <is>
          <t>DN25</t>
        </is>
      </c>
      <c r="N50" s="8">
        <f>VLOOKUP(M50,BORU!$A$2:$D$20,4,FALSE)</f>
        <v/>
      </c>
      <c r="O50" s="6">
        <f>J50/3600/(PI()*(N50/1000)^2/4)</f>
        <v/>
      </c>
      <c r="P50" s="9">
        <f>23200*d_gaz*J50^1.82*N50^(-4.82)</f>
        <v/>
      </c>
      <c r="Q50" s="7">
        <f>P50*K50</f>
        <v/>
      </c>
      <c r="R50" s="4" t="n">
        <v>0</v>
      </c>
      <c r="S50" s="7">
        <f>0.00397*R50*O50^2</f>
        <v/>
      </c>
      <c r="T50" s="7">
        <f>-0.049*L50</f>
        <v/>
      </c>
      <c r="U50" s="7">
        <f>Q50+S50+T50</f>
        <v/>
      </c>
      <c r="V50" s="7">
        <f>U50+V45</f>
        <v/>
      </c>
      <c r="W50" s="4">
        <f>IF(O50&lt;=vmax,"UYGUN","HIZ AŞIMI")</f>
        <v/>
      </c>
    </row>
    <row r="51">
      <c r="A51" s="4" t="n">
        <v>48</v>
      </c>
      <c r="B51" s="4" t="inlineStr">
        <is>
          <t>T9</t>
        </is>
      </c>
      <c r="C51" s="4" t="inlineStr">
        <is>
          <t>S9</t>
        </is>
      </c>
      <c r="D51" s="4" t="inlineStr">
        <is>
          <t>D2 sayaç bağlantısı (kollektör → sayaç vanası)</t>
        </is>
      </c>
      <c r="E51" s="4" t="inlineStr">
        <is>
          <t>sayac_baglanti</t>
        </is>
      </c>
      <c r="F51" s="4" t="inlineStr">
        <is>
          <t>KOMBİ, OCAK</t>
        </is>
      </c>
      <c r="G51" s="4" t="n">
        <v>1</v>
      </c>
      <c r="H51" s="6">
        <f>CIHAZLAR!$I$20</f>
        <v/>
      </c>
      <c r="I51" s="7">
        <f>VLOOKUP(G51,ESZAMANLILIK!$A$2:$B$151,2,TRUE)</f>
        <v/>
      </c>
      <c r="J51" s="6">
        <f>H51*I51</f>
        <v/>
      </c>
      <c r="K51" s="4" t="n">
        <v>0.9</v>
      </c>
      <c r="L51" s="4" t="n">
        <v>0.7</v>
      </c>
      <c r="M51" s="4" t="inlineStr">
        <is>
          <t>DN25</t>
        </is>
      </c>
      <c r="N51" s="8">
        <f>VLOOKUP(M51,BORU!$A$2:$D$20,4,FALSE)</f>
        <v/>
      </c>
      <c r="O51" s="6">
        <f>J51/3600/(PI()*(N51/1000)^2/4)</f>
        <v/>
      </c>
      <c r="P51" s="9">
        <f>23200*d_gaz*J51^1.82*N51^(-4.82)</f>
        <v/>
      </c>
      <c r="Q51" s="7">
        <f>P51*K51</f>
        <v/>
      </c>
      <c r="R51" s="4" t="n">
        <v>2.6</v>
      </c>
      <c r="S51" s="7">
        <f>0.00397*R51*O51^2</f>
        <v/>
      </c>
      <c r="T51" s="7">
        <f>-0.049*L51</f>
        <v/>
      </c>
      <c r="U51" s="7">
        <f>Q51+S51+T51</f>
        <v/>
      </c>
      <c r="V51" s="7">
        <f>U51+V50</f>
        <v/>
      </c>
      <c r="W51" s="4">
        <f>IF(O51&lt;=vmax,"UYGUN","HIZ AŞIMI")</f>
        <v/>
      </c>
    </row>
    <row r="52">
      <c r="A52" s="4" t="n">
        <v>49</v>
      </c>
      <c r="B52" s="4" t="inlineStr">
        <is>
          <t>S9</t>
        </is>
      </c>
      <c r="C52" s="4" t="inlineStr">
        <is>
          <t>F9</t>
        </is>
      </c>
      <c r="D52" s="4" t="inlineStr">
        <is>
          <t>D2 daire hattı (sayaç → daire içi ayrım)</t>
        </is>
      </c>
      <c r="E52" s="4" t="inlineStr">
        <is>
          <t>daire</t>
        </is>
      </c>
      <c r="F52" s="4" t="inlineStr">
        <is>
          <t>KOMBİ, OCAK</t>
        </is>
      </c>
      <c r="G52" s="4" t="n">
        <v>1</v>
      </c>
      <c r="H52" s="6">
        <f>CIHAZLAR!$I$20</f>
        <v/>
      </c>
      <c r="I52" s="7">
        <f>VLOOKUP(G52,ESZAMANLILIK!$A$2:$B$151,2,TRUE)</f>
        <v/>
      </c>
      <c r="J52" s="6">
        <f>H52*I52</f>
        <v/>
      </c>
      <c r="K52" s="4" t="n">
        <v>4.5</v>
      </c>
      <c r="L52" s="4" t="n">
        <v>0.5</v>
      </c>
      <c r="M52" s="4" t="inlineStr">
        <is>
          <t>DN25</t>
        </is>
      </c>
      <c r="N52" s="8">
        <f>VLOOKUP(M52,BORU!$A$2:$D$20,4,FALSE)</f>
        <v/>
      </c>
      <c r="O52" s="6">
        <f>J52/3600/(PI()*(N52/1000)^2/4)</f>
        <v/>
      </c>
      <c r="P52" s="9">
        <f>23200*d_gaz*J52^1.82*N52^(-4.82)</f>
        <v/>
      </c>
      <c r="Q52" s="7">
        <f>P52*K52</f>
        <v/>
      </c>
      <c r="R52" s="4" t="n">
        <v>2.1</v>
      </c>
      <c r="S52" s="7">
        <f>0.00397*R52*O52^2</f>
        <v/>
      </c>
      <c r="T52" s="7">
        <f>-0.049*L52</f>
        <v/>
      </c>
      <c r="U52" s="7">
        <f>Q52+S52+T52</f>
        <v/>
      </c>
      <c r="V52" s="7">
        <f>U52+V51</f>
        <v/>
      </c>
      <c r="W52" s="4">
        <f>IF(O52&lt;=vmax,"UYGUN","HIZ AŞIMI")</f>
        <v/>
      </c>
    </row>
    <row r="53">
      <c r="A53" s="4" t="n">
        <v>50</v>
      </c>
      <c r="B53" s="4" t="inlineStr">
        <is>
          <t>F9</t>
        </is>
      </c>
      <c r="C53" s="4" t="inlineStr">
        <is>
          <t>K9</t>
        </is>
      </c>
      <c r="D53" s="4" t="inlineStr">
        <is>
          <t>D2 kombi̇ hattı</t>
        </is>
      </c>
      <c r="E53" s="4" t="inlineStr">
        <is>
          <t>cihaz</t>
        </is>
      </c>
      <c r="F53" s="4" t="inlineStr">
        <is>
          <t>KOMBİ</t>
        </is>
      </c>
      <c r="G53" s="4" t="n">
        <v>1</v>
      </c>
      <c r="H53" s="6">
        <f>CIHAZLAR!$G$20</f>
        <v/>
      </c>
      <c r="I53" s="7" t="n">
        <v>1</v>
      </c>
      <c r="J53" s="6">
        <f>H53*I53</f>
        <v/>
      </c>
      <c r="K53" s="4" t="n">
        <v>3</v>
      </c>
      <c r="L53" s="4" t="n">
        <v>-0.8</v>
      </c>
      <c r="M53" s="4" t="inlineStr">
        <is>
          <t>DN20</t>
        </is>
      </c>
      <c r="N53" s="8">
        <f>VLOOKUP(M53,BORU!$A$2:$D$20,4,FALSE)</f>
        <v/>
      </c>
      <c r="O53" s="6">
        <f>J53/3600/(PI()*(N53/1000)^2/4)</f>
        <v/>
      </c>
      <c r="P53" s="9">
        <f>23200*d_gaz*J53^1.82*N53^(-4.82)</f>
        <v/>
      </c>
      <c r="Q53" s="7">
        <f>P53*K53</f>
        <v/>
      </c>
      <c r="R53" s="4" t="n">
        <v>2.2</v>
      </c>
      <c r="S53" s="7">
        <f>0.00397*R53*O53^2</f>
        <v/>
      </c>
      <c r="T53" s="7">
        <f>-0.049*L53</f>
        <v/>
      </c>
      <c r="U53" s="7">
        <f>Q53+S53+T53</f>
        <v/>
      </c>
      <c r="V53" s="7">
        <f>U53+V52</f>
        <v/>
      </c>
      <c r="W53" s="4">
        <f>IF(O53&lt;=vmax,"UYGUN","HIZ AŞIMI")</f>
        <v/>
      </c>
    </row>
    <row r="54">
      <c r="A54" s="4" t="n">
        <v>51</v>
      </c>
      <c r="B54" s="4" t="inlineStr">
        <is>
          <t>F9</t>
        </is>
      </c>
      <c r="C54" s="4" t="inlineStr">
        <is>
          <t>O9</t>
        </is>
      </c>
      <c r="D54" s="4" t="inlineStr">
        <is>
          <t>D2 ocak hattı</t>
        </is>
      </c>
      <c r="E54" s="4" t="inlineStr">
        <is>
          <t>cihaz</t>
        </is>
      </c>
      <c r="F54" s="4" t="inlineStr">
        <is>
          <t>OCAK</t>
        </is>
      </c>
      <c r="G54" s="4" t="n">
        <v>1</v>
      </c>
      <c r="H54" s="6">
        <f>CIHAZLAR!$G$21</f>
        <v/>
      </c>
      <c r="I54" s="7" t="n">
        <v>1</v>
      </c>
      <c r="J54" s="6">
        <f>H54*I54</f>
        <v/>
      </c>
      <c r="K54" s="4" t="n">
        <v>3.5</v>
      </c>
      <c r="L54" s="4" t="n">
        <v>-1.45</v>
      </c>
      <c r="M54" s="4" t="inlineStr">
        <is>
          <t>DN20</t>
        </is>
      </c>
      <c r="N54" s="8">
        <f>VLOOKUP(M54,BORU!$A$2:$D$20,4,FALSE)</f>
        <v/>
      </c>
      <c r="O54" s="6">
        <f>J54/3600/(PI()*(N54/1000)^2/4)</f>
        <v/>
      </c>
      <c r="P54" s="9">
        <f>23200*d_gaz*J54^1.82*N54^(-4.82)</f>
        <v/>
      </c>
      <c r="Q54" s="7">
        <f>P54*K54</f>
        <v/>
      </c>
      <c r="R54" s="4" t="n">
        <v>2.6</v>
      </c>
      <c r="S54" s="7">
        <f>0.00397*R54*O54^2</f>
        <v/>
      </c>
      <c r="T54" s="7">
        <f>-0.049*L54</f>
        <v/>
      </c>
      <c r="U54" s="7">
        <f>Q54+S54+T54</f>
        <v/>
      </c>
      <c r="V54" s="7">
        <f>U54+V52</f>
        <v/>
      </c>
      <c r="W54" s="4">
        <f>IF(O54&lt;=vmax,"UYGUN","HIZ AŞIMI")</f>
        <v/>
      </c>
    </row>
  </sheetData>
  <conditionalFormatting sqref="W4:W54">
    <cfRule type="cellIs" priority="1" operator="equal" dxfId="0">
      <formula>"HIZ AŞIMI"</formula>
    </cfRule>
    <cfRule type="cellIs" priority="2" operator="equal" dxfId="1">
      <formula>"UYGUN"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34" customWidth="1" min="3" max="3"/>
    <col width="10" customWidth="1" min="4" max="4"/>
    <col width="7" customWidth="1" min="5" max="5"/>
    <col width="14" customWidth="1" min="6" max="6"/>
    <col width="10" customWidth="1" min="7" max="7"/>
    <col width="7" customWidth="1" min="8" max="8"/>
    <col width="12" customWidth="1" min="9" max="9"/>
    <col width="7" customWidth="1" min="10" max="10"/>
    <col width="14" customWidth="1" min="11" max="11"/>
  </cols>
  <sheetData>
    <row r="1">
      <c r="A1" s="5" t="inlineStr">
        <is>
          <t>KRİTİK DEVRE KONTROLÜ (sayaç kaybı hariç) - sınırlar AKSAGAZ şartnamesiyle teyit edilecek</t>
        </is>
      </c>
    </row>
    <row r="3">
      <c r="A3" s="3" t="inlineStr">
        <is>
          <t>Bölüm</t>
        </is>
      </c>
      <c r="B3" s="3" t="inlineStr">
        <is>
          <t>Cihaz</t>
        </is>
      </c>
      <c r="C3" s="3" t="inlineStr">
        <is>
          <t>Servis kutusu → sayaç vanası hatları</t>
        </is>
      </c>
      <c r="D3" s="3" t="inlineStr">
        <is>
          <t>ΔP (mbar)</t>
        </is>
      </c>
      <c r="E3" s="3" t="inlineStr">
        <is>
          <t>Sınır</t>
        </is>
      </c>
      <c r="F3" s="3" t="inlineStr">
        <is>
          <t>Sayaç → cihaz hatları</t>
        </is>
      </c>
      <c r="G3" s="3" t="inlineStr">
        <is>
          <t>ΔP (mbar)</t>
        </is>
      </c>
      <c r="H3" s="3" t="inlineStr">
        <is>
          <t>Sınır</t>
        </is>
      </c>
      <c r="I3" s="3" t="inlineStr">
        <is>
          <t>Toplam (mbar)</t>
        </is>
      </c>
      <c r="J3" s="3" t="inlineStr">
        <is>
          <t>Sınır</t>
        </is>
      </c>
      <c r="K3" s="3" t="inlineStr">
        <is>
          <t>Durum</t>
        </is>
      </c>
    </row>
    <row r="4">
      <c r="A4" s="4" t="inlineStr">
        <is>
          <t>D1</t>
        </is>
      </c>
      <c r="B4" s="4" t="inlineStr">
        <is>
          <t>KOMBİ</t>
        </is>
      </c>
      <c r="C4" s="4" t="inlineStr">
        <is>
          <t>1, 2, 3</t>
        </is>
      </c>
      <c r="D4" s="7">
        <f>CAP_HESABI!U4+CAP_HESABI!U5+CAP_HESABI!U6</f>
        <v/>
      </c>
      <c r="E4" s="4">
        <f>lim_on</f>
        <v/>
      </c>
      <c r="F4" s="4" t="inlineStr">
        <is>
          <t>4, 5</t>
        </is>
      </c>
      <c r="G4" s="7">
        <f>CAP_HESABI!U7+CAP_HESABI!U8</f>
        <v/>
      </c>
      <c r="H4" s="4">
        <f>lim_so</f>
        <v/>
      </c>
      <c r="I4" s="7">
        <f>D4+G4</f>
        <v/>
      </c>
      <c r="J4" s="4">
        <f>lim_top</f>
        <v/>
      </c>
      <c r="K4" s="4">
        <f>IF(AND(D4&lt;=E4,G4&lt;=H4,I4&lt;=J4),"UYGUN","UYGUN DEĞİL")</f>
        <v/>
      </c>
    </row>
    <row r="5">
      <c r="A5" s="4" t="inlineStr">
        <is>
          <t>D1</t>
        </is>
      </c>
      <c r="B5" s="4" t="inlineStr">
        <is>
          <t>OCAK</t>
        </is>
      </c>
      <c r="C5" s="4" t="inlineStr">
        <is>
          <t>1, 2, 3</t>
        </is>
      </c>
      <c r="D5" s="7">
        <f>CAP_HESABI!U4+CAP_HESABI!U5+CAP_HESABI!U6</f>
        <v/>
      </c>
      <c r="E5" s="4">
        <f>lim_on</f>
        <v/>
      </c>
      <c r="F5" s="4" t="inlineStr">
        <is>
          <t>4, 6</t>
        </is>
      </c>
      <c r="G5" s="7">
        <f>CAP_HESABI!U7+CAP_HESABI!U9</f>
        <v/>
      </c>
      <c r="H5" s="4">
        <f>lim_so</f>
        <v/>
      </c>
      <c r="I5" s="7">
        <f>D5+G5</f>
        <v/>
      </c>
      <c r="J5" s="4">
        <f>lim_top</f>
        <v/>
      </c>
      <c r="K5" s="4">
        <f>IF(AND(D5&lt;=E5,G5&lt;=H5,I5&lt;=J5),"UYGUN","UYGUN DEĞİL")</f>
        <v/>
      </c>
    </row>
    <row r="6">
      <c r="A6" s="4" t="inlineStr">
        <is>
          <t>D3</t>
        </is>
      </c>
      <c r="B6" s="4" t="inlineStr">
        <is>
          <t>KOMBİ</t>
        </is>
      </c>
      <c r="C6" s="4" t="inlineStr">
        <is>
          <t>1, 2, 7, 8</t>
        </is>
      </c>
      <c r="D6" s="7">
        <f>CAP_HESABI!U4+CAP_HESABI!U5+CAP_HESABI!U10+CAP_HESABI!U11</f>
        <v/>
      </c>
      <c r="E6" s="4">
        <f>lim_on</f>
        <v/>
      </c>
      <c r="F6" s="4" t="inlineStr">
        <is>
          <t>9, 10</t>
        </is>
      </c>
      <c r="G6" s="7">
        <f>CAP_HESABI!U12+CAP_HESABI!U13</f>
        <v/>
      </c>
      <c r="H6" s="4">
        <f>lim_so</f>
        <v/>
      </c>
      <c r="I6" s="7">
        <f>D6+G6</f>
        <v/>
      </c>
      <c r="J6" s="4">
        <f>lim_top</f>
        <v/>
      </c>
      <c r="K6" s="4">
        <f>IF(AND(D6&lt;=E6,G6&lt;=H6,I6&lt;=J6),"UYGUN","UYGUN DEĞİL")</f>
        <v/>
      </c>
    </row>
    <row r="7">
      <c r="A7" s="4" t="inlineStr">
        <is>
          <t>D3</t>
        </is>
      </c>
      <c r="B7" s="4" t="inlineStr">
        <is>
          <t>OCAK</t>
        </is>
      </c>
      <c r="C7" s="4" t="inlineStr">
        <is>
          <t>1, 2, 7, 8</t>
        </is>
      </c>
      <c r="D7" s="7">
        <f>CAP_HESABI!U4+CAP_HESABI!U5+CAP_HESABI!U10+CAP_HESABI!U11</f>
        <v/>
      </c>
      <c r="E7" s="4">
        <f>lim_on</f>
        <v/>
      </c>
      <c r="F7" s="4" t="inlineStr">
        <is>
          <t>9, 11</t>
        </is>
      </c>
      <c r="G7" s="7">
        <f>CAP_HESABI!U12+CAP_HESABI!U14</f>
        <v/>
      </c>
      <c r="H7" s="4">
        <f>lim_so</f>
        <v/>
      </c>
      <c r="I7" s="7">
        <f>D7+G7</f>
        <v/>
      </c>
      <c r="J7" s="4">
        <f>lim_top</f>
        <v/>
      </c>
      <c r="K7" s="4">
        <f>IF(AND(D7&lt;=E7,G7&lt;=H7,I7&lt;=J7),"UYGUN","UYGUN DEĞİL")</f>
        <v/>
      </c>
    </row>
    <row r="8">
      <c r="A8" s="4" t="inlineStr">
        <is>
          <t>D5</t>
        </is>
      </c>
      <c r="B8" s="4" t="inlineStr">
        <is>
          <t>KOMBİ</t>
        </is>
      </c>
      <c r="C8" s="4" t="inlineStr">
        <is>
          <t>1, 2, 7, 12, 13</t>
        </is>
      </c>
      <c r="D8" s="7">
        <f>CAP_HESABI!U4+CAP_HESABI!U5+CAP_HESABI!U10+CAP_HESABI!U15+CAP_HESABI!U16</f>
        <v/>
      </c>
      <c r="E8" s="4">
        <f>lim_on</f>
        <v/>
      </c>
      <c r="F8" s="4" t="inlineStr">
        <is>
          <t>14, 15</t>
        </is>
      </c>
      <c r="G8" s="7">
        <f>CAP_HESABI!U17+CAP_HESABI!U18</f>
        <v/>
      </c>
      <c r="H8" s="4">
        <f>lim_so</f>
        <v/>
      </c>
      <c r="I8" s="7">
        <f>D8+G8</f>
        <v/>
      </c>
      <c r="J8" s="4">
        <f>lim_top</f>
        <v/>
      </c>
      <c r="K8" s="4">
        <f>IF(AND(D8&lt;=E8,G8&lt;=H8,I8&lt;=J8),"UYGUN","UYGUN DEĞİL")</f>
        <v/>
      </c>
    </row>
    <row r="9">
      <c r="A9" s="4" t="inlineStr">
        <is>
          <t>D5</t>
        </is>
      </c>
      <c r="B9" s="4" t="inlineStr">
        <is>
          <t>OCAK</t>
        </is>
      </c>
      <c r="C9" s="4" t="inlineStr">
        <is>
          <t>1, 2, 7, 12, 13</t>
        </is>
      </c>
      <c r="D9" s="7">
        <f>CAP_HESABI!U4+CAP_HESABI!U5+CAP_HESABI!U10+CAP_HESABI!U15+CAP_HESABI!U16</f>
        <v/>
      </c>
      <c r="E9" s="4">
        <f>lim_on</f>
        <v/>
      </c>
      <c r="F9" s="4" t="inlineStr">
        <is>
          <t>14, 16</t>
        </is>
      </c>
      <c r="G9" s="7">
        <f>CAP_HESABI!U17+CAP_HESABI!U19</f>
        <v/>
      </c>
      <c r="H9" s="4">
        <f>lim_so</f>
        <v/>
      </c>
      <c r="I9" s="7">
        <f>D9+G9</f>
        <v/>
      </c>
      <c r="J9" s="4">
        <f>lim_top</f>
        <v/>
      </c>
      <c r="K9" s="4">
        <f>IF(AND(D9&lt;=E9,G9&lt;=H9,I9&lt;=J9),"UYGUN","UYGUN DEĞİL")</f>
        <v/>
      </c>
    </row>
    <row r="10">
      <c r="A10" s="4" t="inlineStr">
        <is>
          <t>D7</t>
        </is>
      </c>
      <c r="B10" s="4" t="inlineStr">
        <is>
          <t>KOMBİ</t>
        </is>
      </c>
      <c r="C10" s="4" t="inlineStr">
        <is>
          <t>1, 2, 7, 12, 17, 18</t>
        </is>
      </c>
      <c r="D10" s="7">
        <f>CAP_HESABI!U4+CAP_HESABI!U5+CAP_HESABI!U10+CAP_HESABI!U15+CAP_HESABI!U20+CAP_HESABI!U21</f>
        <v/>
      </c>
      <c r="E10" s="4">
        <f>lim_on</f>
        <v/>
      </c>
      <c r="F10" s="4" t="inlineStr">
        <is>
          <t>19, 20</t>
        </is>
      </c>
      <c r="G10" s="7">
        <f>CAP_HESABI!U22+CAP_HESABI!U23</f>
        <v/>
      </c>
      <c r="H10" s="4">
        <f>lim_so</f>
        <v/>
      </c>
      <c r="I10" s="7">
        <f>D10+G10</f>
        <v/>
      </c>
      <c r="J10" s="4">
        <f>lim_top</f>
        <v/>
      </c>
      <c r="K10" s="4">
        <f>IF(AND(D10&lt;=E10,G10&lt;=H10,I10&lt;=J10),"UYGUN","UYGUN DEĞİL")</f>
        <v/>
      </c>
    </row>
    <row r="11">
      <c r="A11" s="4" t="inlineStr">
        <is>
          <t>D7</t>
        </is>
      </c>
      <c r="B11" s="4" t="inlineStr">
        <is>
          <t>OCAK</t>
        </is>
      </c>
      <c r="C11" s="4" t="inlineStr">
        <is>
          <t>1, 2, 7, 12, 17, 18</t>
        </is>
      </c>
      <c r="D11" s="7">
        <f>CAP_HESABI!U4+CAP_HESABI!U5+CAP_HESABI!U10+CAP_HESABI!U15+CAP_HESABI!U20+CAP_HESABI!U21</f>
        <v/>
      </c>
      <c r="E11" s="4">
        <f>lim_on</f>
        <v/>
      </c>
      <c r="F11" s="4" t="inlineStr">
        <is>
          <t>19, 21</t>
        </is>
      </c>
      <c r="G11" s="7">
        <f>CAP_HESABI!U22+CAP_HESABI!U24</f>
        <v/>
      </c>
      <c r="H11" s="4">
        <f>lim_so</f>
        <v/>
      </c>
      <c r="I11" s="7">
        <f>D11+G11</f>
        <v/>
      </c>
      <c r="J11" s="4">
        <f>lim_top</f>
        <v/>
      </c>
      <c r="K11" s="4">
        <f>IF(AND(D11&lt;=E11,G11&lt;=H11,I11&lt;=J11),"UYGUN","UYGUN DEĞİL")</f>
        <v/>
      </c>
    </row>
    <row r="12">
      <c r="A12" s="4" t="inlineStr">
        <is>
          <t>D9</t>
        </is>
      </c>
      <c r="B12" s="4" t="inlineStr">
        <is>
          <t>KOMBİ</t>
        </is>
      </c>
      <c r="C12" s="4" t="inlineStr">
        <is>
          <t>1, 2, 7, 12, 17, 22, 23</t>
        </is>
      </c>
      <c r="D12" s="7">
        <f>CAP_HESABI!U4+CAP_HESABI!U5+CAP_HESABI!U10+CAP_HESABI!U15+CAP_HESABI!U20+CAP_HESABI!U25+CAP_HESABI!U26</f>
        <v/>
      </c>
      <c r="E12" s="4">
        <f>lim_on</f>
        <v/>
      </c>
      <c r="F12" s="4" t="inlineStr">
        <is>
          <t>24, 25</t>
        </is>
      </c>
      <c r="G12" s="7">
        <f>CAP_HESABI!U27+CAP_HESABI!U28</f>
        <v/>
      </c>
      <c r="H12" s="4">
        <f>lim_so</f>
        <v/>
      </c>
      <c r="I12" s="7">
        <f>D12+G12</f>
        <v/>
      </c>
      <c r="J12" s="4">
        <f>lim_top</f>
        <v/>
      </c>
      <c r="K12" s="4">
        <f>IF(AND(D12&lt;=E12,G12&lt;=H12,I12&lt;=J12),"UYGUN","UYGUN DEĞİL")</f>
        <v/>
      </c>
    </row>
    <row r="13">
      <c r="A13" s="4" t="inlineStr">
        <is>
          <t>D9</t>
        </is>
      </c>
      <c r="B13" s="4" t="inlineStr">
        <is>
          <t>OCAK</t>
        </is>
      </c>
      <c r="C13" s="4" t="inlineStr">
        <is>
          <t>1, 2, 7, 12, 17, 22, 23</t>
        </is>
      </c>
      <c r="D13" s="7">
        <f>CAP_HESABI!U4+CAP_HESABI!U5+CAP_HESABI!U10+CAP_HESABI!U15+CAP_HESABI!U20+CAP_HESABI!U25+CAP_HESABI!U26</f>
        <v/>
      </c>
      <c r="E13" s="4">
        <f>lim_on</f>
        <v/>
      </c>
      <c r="F13" s="4" t="inlineStr">
        <is>
          <t>24, 26</t>
        </is>
      </c>
      <c r="G13" s="7">
        <f>CAP_HESABI!U27+CAP_HESABI!U29</f>
        <v/>
      </c>
      <c r="H13" s="4">
        <f>lim_so</f>
        <v/>
      </c>
      <c r="I13" s="7">
        <f>D13+G13</f>
        <v/>
      </c>
      <c r="J13" s="4">
        <f>lim_top</f>
        <v/>
      </c>
      <c r="K13" s="4">
        <f>IF(AND(D13&lt;=E13,G13&lt;=H13,I13&lt;=J13),"UYGUN","UYGUN DEĞİL")</f>
        <v/>
      </c>
    </row>
    <row r="14">
      <c r="A14" s="4" t="inlineStr">
        <is>
          <t>D10</t>
        </is>
      </c>
      <c r="B14" s="4" t="inlineStr">
        <is>
          <t>KOMBİ</t>
        </is>
      </c>
      <c r="C14" s="4" t="inlineStr">
        <is>
          <t>1, 2, 7, 12, 17, 22, 27, 28</t>
        </is>
      </c>
      <c r="D14" s="7">
        <f>CAP_HESABI!U4+CAP_HESABI!U5+CAP_HESABI!U10+CAP_HESABI!U15+CAP_HESABI!U20+CAP_HESABI!U25+CAP_HESABI!U30+CAP_HESABI!U31</f>
        <v/>
      </c>
      <c r="E14" s="4">
        <f>lim_on</f>
        <v/>
      </c>
      <c r="F14" s="4" t="inlineStr">
        <is>
          <t>29, 30</t>
        </is>
      </c>
      <c r="G14" s="7">
        <f>CAP_HESABI!U32+CAP_HESABI!U33</f>
        <v/>
      </c>
      <c r="H14" s="4">
        <f>lim_so</f>
        <v/>
      </c>
      <c r="I14" s="7">
        <f>D14+G14</f>
        <v/>
      </c>
      <c r="J14" s="4">
        <f>lim_top</f>
        <v/>
      </c>
      <c r="K14" s="4">
        <f>IF(AND(D14&lt;=E14,G14&lt;=H14,I14&lt;=J14),"UYGUN","UYGUN DEĞİL")</f>
        <v/>
      </c>
    </row>
    <row r="15">
      <c r="A15" s="4" t="inlineStr">
        <is>
          <t>D10</t>
        </is>
      </c>
      <c r="B15" s="4" t="inlineStr">
        <is>
          <t>OCAK</t>
        </is>
      </c>
      <c r="C15" s="4" t="inlineStr">
        <is>
          <t>1, 2, 7, 12, 17, 22, 27, 28</t>
        </is>
      </c>
      <c r="D15" s="7">
        <f>CAP_HESABI!U4+CAP_HESABI!U5+CAP_HESABI!U10+CAP_HESABI!U15+CAP_HESABI!U20+CAP_HESABI!U25+CAP_HESABI!U30+CAP_HESABI!U31</f>
        <v/>
      </c>
      <c r="E15" s="4">
        <f>lim_on</f>
        <v/>
      </c>
      <c r="F15" s="4" t="inlineStr">
        <is>
          <t>29, 31</t>
        </is>
      </c>
      <c r="G15" s="7">
        <f>CAP_HESABI!U32+CAP_HESABI!U34</f>
        <v/>
      </c>
      <c r="H15" s="4">
        <f>lim_so</f>
        <v/>
      </c>
      <c r="I15" s="7">
        <f>D15+G15</f>
        <v/>
      </c>
      <c r="J15" s="4">
        <f>lim_top</f>
        <v/>
      </c>
      <c r="K15" s="4">
        <f>IF(AND(D15&lt;=E15,G15&lt;=H15,I15&lt;=J15),"UYGUN","UYGUN DEĞİL")</f>
        <v/>
      </c>
    </row>
    <row r="16">
      <c r="A16" s="4" t="inlineStr">
        <is>
          <t>D8</t>
        </is>
      </c>
      <c r="B16" s="4" t="inlineStr">
        <is>
          <t>KOMBİ</t>
        </is>
      </c>
      <c r="C16" s="4" t="inlineStr">
        <is>
          <t>1, 2, 7, 12, 17, 22, 27, 32, 33</t>
        </is>
      </c>
      <c r="D16" s="7">
        <f>CAP_HESABI!U4+CAP_HESABI!U5+CAP_HESABI!U10+CAP_HESABI!U15+CAP_HESABI!U20+CAP_HESABI!U25+CAP_HESABI!U30+CAP_HESABI!U35+CAP_HESABI!U36</f>
        <v/>
      </c>
      <c r="E16" s="4">
        <f>lim_on</f>
        <v/>
      </c>
      <c r="F16" s="4" t="inlineStr">
        <is>
          <t>34, 35</t>
        </is>
      </c>
      <c r="G16" s="7">
        <f>CAP_HESABI!U37+CAP_HESABI!U38</f>
        <v/>
      </c>
      <c r="H16" s="4">
        <f>lim_so</f>
        <v/>
      </c>
      <c r="I16" s="7">
        <f>D16+G16</f>
        <v/>
      </c>
      <c r="J16" s="4">
        <f>lim_top</f>
        <v/>
      </c>
      <c r="K16" s="4">
        <f>IF(AND(D16&lt;=E16,G16&lt;=H16,I16&lt;=J16),"UYGUN","UYGUN DEĞİL")</f>
        <v/>
      </c>
    </row>
    <row r="17">
      <c r="A17" s="4" t="inlineStr">
        <is>
          <t>D8</t>
        </is>
      </c>
      <c r="B17" s="4" t="inlineStr">
        <is>
          <t>OCAK</t>
        </is>
      </c>
      <c r="C17" s="4" t="inlineStr">
        <is>
          <t>1, 2, 7, 12, 17, 22, 27, 32, 33</t>
        </is>
      </c>
      <c r="D17" s="7">
        <f>CAP_HESABI!U4+CAP_HESABI!U5+CAP_HESABI!U10+CAP_HESABI!U15+CAP_HESABI!U20+CAP_HESABI!U25+CAP_HESABI!U30+CAP_HESABI!U35+CAP_HESABI!U36</f>
        <v/>
      </c>
      <c r="E17" s="4">
        <f>lim_on</f>
        <v/>
      </c>
      <c r="F17" s="4" t="inlineStr">
        <is>
          <t>34, 36</t>
        </is>
      </c>
      <c r="G17" s="7">
        <f>CAP_HESABI!U37+CAP_HESABI!U39</f>
        <v/>
      </c>
      <c r="H17" s="4">
        <f>lim_so</f>
        <v/>
      </c>
      <c r="I17" s="7">
        <f>D17+G17</f>
        <v/>
      </c>
      <c r="J17" s="4">
        <f>lim_top</f>
        <v/>
      </c>
      <c r="K17" s="4">
        <f>IF(AND(D17&lt;=E17,G17&lt;=H17,I17&lt;=J17),"UYGUN","UYGUN DEĞİL")</f>
        <v/>
      </c>
    </row>
    <row r="18">
      <c r="A18" s="4" t="inlineStr">
        <is>
          <t>D6</t>
        </is>
      </c>
      <c r="B18" s="4" t="inlineStr">
        <is>
          <t>KOMBİ</t>
        </is>
      </c>
      <c r="C18" s="4" t="inlineStr">
        <is>
          <t>1, 2, 7, 12, 17, 22, 27, 32, 37, 38</t>
        </is>
      </c>
      <c r="D18" s="7">
        <f>CAP_HESABI!U4+CAP_HESABI!U5+CAP_HESABI!U10+CAP_HESABI!U15+CAP_HESABI!U20+CAP_HESABI!U25+CAP_HESABI!U30+CAP_HESABI!U35+CAP_HESABI!U40+CAP_HESABI!U41</f>
        <v/>
      </c>
      <c r="E18" s="4">
        <f>lim_on</f>
        <v/>
      </c>
      <c r="F18" s="4" t="inlineStr">
        <is>
          <t>39, 40</t>
        </is>
      </c>
      <c r="G18" s="7">
        <f>CAP_HESABI!U42+CAP_HESABI!U43</f>
        <v/>
      </c>
      <c r="H18" s="4">
        <f>lim_so</f>
        <v/>
      </c>
      <c r="I18" s="7">
        <f>D18+G18</f>
        <v/>
      </c>
      <c r="J18" s="4">
        <f>lim_top</f>
        <v/>
      </c>
      <c r="K18" s="4">
        <f>IF(AND(D18&lt;=E18,G18&lt;=H18,I18&lt;=J18),"UYGUN","UYGUN DEĞİL")</f>
        <v/>
      </c>
    </row>
    <row r="19">
      <c r="A19" s="4" t="inlineStr">
        <is>
          <t>D6</t>
        </is>
      </c>
      <c r="B19" s="4" t="inlineStr">
        <is>
          <t>OCAK</t>
        </is>
      </c>
      <c r="C19" s="4" t="inlineStr">
        <is>
          <t>1, 2, 7, 12, 17, 22, 27, 32, 37, 38</t>
        </is>
      </c>
      <c r="D19" s="7">
        <f>CAP_HESABI!U4+CAP_HESABI!U5+CAP_HESABI!U10+CAP_HESABI!U15+CAP_HESABI!U20+CAP_HESABI!U25+CAP_HESABI!U30+CAP_HESABI!U35+CAP_HESABI!U40+CAP_HESABI!U41</f>
        <v/>
      </c>
      <c r="E19" s="4">
        <f>lim_on</f>
        <v/>
      </c>
      <c r="F19" s="4" t="inlineStr">
        <is>
          <t>39, 41</t>
        </is>
      </c>
      <c r="G19" s="7">
        <f>CAP_HESABI!U42+CAP_HESABI!U44</f>
        <v/>
      </c>
      <c r="H19" s="4">
        <f>lim_so</f>
        <v/>
      </c>
      <c r="I19" s="7">
        <f>D19+G19</f>
        <v/>
      </c>
      <c r="J19" s="4">
        <f>lim_top</f>
        <v/>
      </c>
      <c r="K19" s="4">
        <f>IF(AND(D19&lt;=E19,G19&lt;=H19,I19&lt;=J19),"UYGUN","UYGUN DEĞİL")</f>
        <v/>
      </c>
    </row>
    <row r="20">
      <c r="A20" s="4" t="inlineStr">
        <is>
          <t>D4</t>
        </is>
      </c>
      <c r="B20" s="4" t="inlineStr">
        <is>
          <t>KOMBİ</t>
        </is>
      </c>
      <c r="C20" s="4" t="inlineStr">
        <is>
          <t>1, 2, 7, 12, 17, 22, 27, 32, 37, 42, 43</t>
        </is>
      </c>
      <c r="D20" s="7">
        <f>CAP_HESABI!U4+CAP_HESABI!U5+CAP_HESABI!U10+CAP_HESABI!U15+CAP_HESABI!U20+CAP_HESABI!U25+CAP_HESABI!U30+CAP_HESABI!U35+CAP_HESABI!U40+CAP_HESABI!U45+CAP_HESABI!U46</f>
        <v/>
      </c>
      <c r="E20" s="4">
        <f>lim_on</f>
        <v/>
      </c>
      <c r="F20" s="4" t="inlineStr">
        <is>
          <t>44, 45</t>
        </is>
      </c>
      <c r="G20" s="7">
        <f>CAP_HESABI!U47+CAP_HESABI!U48</f>
        <v/>
      </c>
      <c r="H20" s="4">
        <f>lim_so</f>
        <v/>
      </c>
      <c r="I20" s="7">
        <f>D20+G20</f>
        <v/>
      </c>
      <c r="J20" s="4">
        <f>lim_top</f>
        <v/>
      </c>
      <c r="K20" s="4">
        <f>IF(AND(D20&lt;=E20,G20&lt;=H20,I20&lt;=J20),"UYGUN","UYGUN DEĞİL")</f>
        <v/>
      </c>
    </row>
    <row r="21">
      <c r="A21" s="4" t="inlineStr">
        <is>
          <t>D4</t>
        </is>
      </c>
      <c r="B21" s="4" t="inlineStr">
        <is>
          <t>OCAK</t>
        </is>
      </c>
      <c r="C21" s="4" t="inlineStr">
        <is>
          <t>1, 2, 7, 12, 17, 22, 27, 32, 37, 42, 43</t>
        </is>
      </c>
      <c r="D21" s="7">
        <f>CAP_HESABI!U4+CAP_HESABI!U5+CAP_HESABI!U10+CAP_HESABI!U15+CAP_HESABI!U20+CAP_HESABI!U25+CAP_HESABI!U30+CAP_HESABI!U35+CAP_HESABI!U40+CAP_HESABI!U45+CAP_HESABI!U46</f>
        <v/>
      </c>
      <c r="E21" s="4">
        <f>lim_on</f>
        <v/>
      </c>
      <c r="F21" s="4" t="inlineStr">
        <is>
          <t>44, 46</t>
        </is>
      </c>
      <c r="G21" s="7">
        <f>CAP_HESABI!U47+CAP_HESABI!U49</f>
        <v/>
      </c>
      <c r="H21" s="4">
        <f>lim_so</f>
        <v/>
      </c>
      <c r="I21" s="7">
        <f>D21+G21</f>
        <v/>
      </c>
      <c r="J21" s="4">
        <f>lim_top</f>
        <v/>
      </c>
      <c r="K21" s="4">
        <f>IF(AND(D21&lt;=E21,G21&lt;=H21,I21&lt;=J21),"UYGUN","UYGUN DEĞİL")</f>
        <v/>
      </c>
    </row>
    <row r="22">
      <c r="A22" s="4" t="inlineStr">
        <is>
          <t>D2</t>
        </is>
      </c>
      <c r="B22" s="4" t="inlineStr">
        <is>
          <t>KOMBİ</t>
        </is>
      </c>
      <c r="C22" s="4" t="inlineStr">
        <is>
          <t>1, 2, 7, 12, 17, 22, 27, 32, 37, 42, 47, 48</t>
        </is>
      </c>
      <c r="D22" s="7">
        <f>CAP_HESABI!U4+CAP_HESABI!U5+CAP_HESABI!U10+CAP_HESABI!U15+CAP_HESABI!U20+CAP_HESABI!U25+CAP_HESABI!U30+CAP_HESABI!U35+CAP_HESABI!U40+CAP_HESABI!U45+CAP_HESABI!U50+CAP_HESABI!U51</f>
        <v/>
      </c>
      <c r="E22" s="4">
        <f>lim_on</f>
        <v/>
      </c>
      <c r="F22" s="4" t="inlineStr">
        <is>
          <t>49, 50</t>
        </is>
      </c>
      <c r="G22" s="7">
        <f>CAP_HESABI!U52+CAP_HESABI!U53</f>
        <v/>
      </c>
      <c r="H22" s="4">
        <f>lim_so</f>
        <v/>
      </c>
      <c r="I22" s="7">
        <f>D22+G22</f>
        <v/>
      </c>
      <c r="J22" s="4">
        <f>lim_top</f>
        <v/>
      </c>
      <c r="K22" s="4">
        <f>IF(AND(D22&lt;=E22,G22&lt;=H22,I22&lt;=J22),"UYGUN","UYGUN DEĞİL")</f>
        <v/>
      </c>
    </row>
    <row r="23">
      <c r="A23" s="4" t="inlineStr">
        <is>
          <t>D2</t>
        </is>
      </c>
      <c r="B23" s="4" t="inlineStr">
        <is>
          <t>OCAK</t>
        </is>
      </c>
      <c r="C23" s="4" t="inlineStr">
        <is>
          <t>1, 2, 7, 12, 17, 22, 27, 32, 37, 42, 47, 48</t>
        </is>
      </c>
      <c r="D23" s="7">
        <f>CAP_HESABI!U4+CAP_HESABI!U5+CAP_HESABI!U10+CAP_HESABI!U15+CAP_HESABI!U20+CAP_HESABI!U25+CAP_HESABI!U30+CAP_HESABI!U35+CAP_HESABI!U40+CAP_HESABI!U45+CAP_HESABI!U50+CAP_HESABI!U51</f>
        <v/>
      </c>
      <c r="E23" s="4">
        <f>lim_on</f>
        <v/>
      </c>
      <c r="F23" s="4" t="inlineStr">
        <is>
          <t>49, 51</t>
        </is>
      </c>
      <c r="G23" s="7">
        <f>CAP_HESABI!U52+CAP_HESABI!U54</f>
        <v/>
      </c>
      <c r="H23" s="4">
        <f>lim_so</f>
        <v/>
      </c>
      <c r="I23" s="7">
        <f>D23+G23</f>
        <v/>
      </c>
      <c r="J23" s="4">
        <f>lim_top</f>
        <v/>
      </c>
      <c r="K23" s="4">
        <f>IF(AND(D23&lt;=E23,G23&lt;=H23,I23&lt;=J23),"UYGUN","UYGUN DEĞİL")</f>
        <v/>
      </c>
    </row>
  </sheetData>
  <conditionalFormatting sqref="K4:K23">
    <cfRule type="cellIs" priority="1" operator="equal" dxfId="1">
      <formula>"UYGUN"</formula>
    </cfRule>
    <cfRule type="cellIs" priority="2" operator="notEqual" dxfId="0">
      <formula>"UYGUN"</formula>
    </cfRule>
  </conditionalFormatting>
  <conditionalFormatting sqref="D4:D23">
    <cfRule type="expression" priority="3" dxfId="0">
      <formula>D4&gt;E4</formula>
    </cfRule>
  </conditionalFormatting>
  <conditionalFormatting sqref="G4:G23">
    <cfRule type="expression" priority="4" dxfId="0">
      <formula>G4&gt;H4</formula>
    </cfRule>
  </conditionalFormatting>
  <conditionalFormatting sqref="I4:I23">
    <cfRule type="expression" priority="5" dxfId="0">
      <formula>I4&gt;J4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zoomScale="90"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5" customWidth="1" min="3" max="3"/>
    <col width="12" customWidth="1" min="4" max="4"/>
    <col width="14" customWidth="1" min="5" max="5"/>
    <col width="15" customWidth="1" min="6" max="6"/>
    <col width="18" customWidth="1" min="7" max="7"/>
    <col width="70" customWidth="1" min="8" max="8"/>
  </cols>
  <sheetData>
    <row r="1">
      <c r="A1" s="5" t="inlineStr">
        <is>
          <t>CİHAZ MAHALLİ HAVALANDIRMA KONTROLÜ - AKSAGAZ şartnamesiyle teyit edilecek</t>
        </is>
      </c>
    </row>
    <row r="3">
      <c r="A3" s="3" t="inlineStr">
        <is>
          <t>Bölüm</t>
        </is>
      </c>
      <c r="B3" s="3" t="inlineStr">
        <is>
          <t>Cihaz</t>
        </is>
      </c>
      <c r="C3" s="3" t="inlineStr">
        <is>
          <t>Tip</t>
        </is>
      </c>
      <c r="D3" s="3" t="inlineStr">
        <is>
          <t>Kapasite (kW)</t>
        </is>
      </c>
      <c r="E3" s="3" t="inlineStr">
        <is>
          <t>Mahal hacmi (m³)</t>
        </is>
      </c>
      <c r="F3" s="3" t="inlineStr">
        <is>
          <t>Gerekli hacim (m³)</t>
        </is>
      </c>
      <c r="G3" s="3" t="inlineStr">
        <is>
          <t>Hacim kontrolü</t>
        </is>
      </c>
      <c r="H3" s="3" t="inlineStr">
        <is>
          <t>Menfez / not</t>
        </is>
      </c>
    </row>
    <row r="4">
      <c r="A4" s="4" t="inlineStr">
        <is>
          <t>D1</t>
        </is>
      </c>
      <c r="B4" s="4" t="inlineStr">
        <is>
          <t>KOMBİ</t>
        </is>
      </c>
      <c r="C4" s="4" t="inlineStr">
        <is>
          <t>C</t>
        </is>
      </c>
      <c r="D4" s="4">
        <f>CIHAZLAR!$E$2</f>
        <v/>
      </c>
      <c r="E4" s="4" t="n"/>
      <c r="F4" s="4" t="n"/>
      <c r="G4" s="4" t="inlineStr">
        <is>
          <t>Hermetik</t>
        </is>
      </c>
      <c r="H4" s="4" t="inlineStr">
        <is>
          <t>Mahalde dış atmosfere açılan 150 cm² havalandırma; baca doğrudan dış atmosfere.</t>
        </is>
      </c>
    </row>
    <row r="5">
      <c r="A5" s="4" t="inlineStr">
        <is>
          <t>D1</t>
        </is>
      </c>
      <c r="B5" s="4" t="inlineStr">
        <is>
          <t>OCAK</t>
        </is>
      </c>
      <c r="C5" s="4" t="inlineStr">
        <is>
          <t>A</t>
        </is>
      </c>
      <c r="D5" s="4">
        <f>CIHAZLAR!$E$3</f>
        <v/>
      </c>
      <c r="E5" s="4" t="n">
        <v>25</v>
      </c>
      <c r="F5" s="4">
        <f>MAX(12,D5*1)</f>
        <v/>
      </c>
      <c r="G5" s="4">
        <f>IF(E5&gt;=F5,"UYGUN","YETERSİZ")</f>
        <v/>
      </c>
      <c r="H5" s="4" t="inlineStr">
        <is>
          <t>Sürekli açık ≥150 cm² menfez; yatak odası/banyo/WC/merdivende kurulamaz.</t>
        </is>
      </c>
    </row>
    <row r="6">
      <c r="A6" s="4" t="inlineStr">
        <is>
          <t>D3</t>
        </is>
      </c>
      <c r="B6" s="4" t="inlineStr">
        <is>
          <t>KOMBİ</t>
        </is>
      </c>
      <c r="C6" s="4" t="inlineStr">
        <is>
          <t>C</t>
        </is>
      </c>
      <c r="D6" s="4">
        <f>CIHAZLAR!$E$4</f>
        <v/>
      </c>
      <c r="E6" s="4" t="n"/>
      <c r="F6" s="4" t="n"/>
      <c r="G6" s="4" t="inlineStr">
        <is>
          <t>Hermetik</t>
        </is>
      </c>
      <c r="H6" s="4" t="inlineStr">
        <is>
          <t>Mahalde dış atmosfere açılan 150 cm² havalandırma; baca doğrudan dış atmosfere.</t>
        </is>
      </c>
    </row>
    <row r="7">
      <c r="A7" s="4" t="inlineStr">
        <is>
          <t>D3</t>
        </is>
      </c>
      <c r="B7" s="4" t="inlineStr">
        <is>
          <t>OCAK</t>
        </is>
      </c>
      <c r="C7" s="4" t="inlineStr">
        <is>
          <t>A</t>
        </is>
      </c>
      <c r="D7" s="4">
        <f>CIHAZLAR!$E$5</f>
        <v/>
      </c>
      <c r="E7" s="4" t="n">
        <v>25</v>
      </c>
      <c r="F7" s="4">
        <f>MAX(12,D7*1)</f>
        <v/>
      </c>
      <c r="G7" s="4">
        <f>IF(E7&gt;=F7,"UYGUN","YETERSİZ")</f>
        <v/>
      </c>
      <c r="H7" s="4" t="inlineStr">
        <is>
          <t>Sürekli açık ≥150 cm² menfez; yatak odası/banyo/WC/merdivende kurulamaz.</t>
        </is>
      </c>
    </row>
    <row r="8">
      <c r="A8" s="4" t="inlineStr">
        <is>
          <t>D5</t>
        </is>
      </c>
      <c r="B8" s="4" t="inlineStr">
        <is>
          <t>KOMBİ</t>
        </is>
      </c>
      <c r="C8" s="4" t="inlineStr">
        <is>
          <t>C</t>
        </is>
      </c>
      <c r="D8" s="4">
        <f>CIHAZLAR!$E$6</f>
        <v/>
      </c>
      <c r="E8" s="4" t="n"/>
      <c r="F8" s="4" t="n"/>
      <c r="G8" s="4" t="inlineStr">
        <is>
          <t>Hermetik</t>
        </is>
      </c>
      <c r="H8" s="4" t="inlineStr">
        <is>
          <t>Mahalde dış atmosfere açılan 150 cm² havalandırma; baca doğrudan dış atmosfere.</t>
        </is>
      </c>
    </row>
    <row r="9">
      <c r="A9" s="4" t="inlineStr">
        <is>
          <t>D5</t>
        </is>
      </c>
      <c r="B9" s="4" t="inlineStr">
        <is>
          <t>OCAK</t>
        </is>
      </c>
      <c r="C9" s="4" t="inlineStr">
        <is>
          <t>A</t>
        </is>
      </c>
      <c r="D9" s="4">
        <f>CIHAZLAR!$E$7</f>
        <v/>
      </c>
      <c r="E9" s="4" t="n">
        <v>25</v>
      </c>
      <c r="F9" s="4">
        <f>MAX(12,D9*1)</f>
        <v/>
      </c>
      <c r="G9" s="4">
        <f>IF(E9&gt;=F9,"UYGUN","YETERSİZ")</f>
        <v/>
      </c>
      <c r="H9" s="4" t="inlineStr">
        <is>
          <t>Sürekli açık ≥150 cm² menfez; yatak odası/banyo/WC/merdivende kurulamaz.</t>
        </is>
      </c>
    </row>
    <row r="10">
      <c r="A10" s="4" t="inlineStr">
        <is>
          <t>D7</t>
        </is>
      </c>
      <c r="B10" s="4" t="inlineStr">
        <is>
          <t>KOMBİ</t>
        </is>
      </c>
      <c r="C10" s="4" t="inlineStr">
        <is>
          <t>C</t>
        </is>
      </c>
      <c r="D10" s="4">
        <f>CIHAZLAR!$E$8</f>
        <v/>
      </c>
      <c r="E10" s="4" t="n"/>
      <c r="F10" s="4" t="n"/>
      <c r="G10" s="4" t="inlineStr">
        <is>
          <t>Hermetik</t>
        </is>
      </c>
      <c r="H10" s="4" t="inlineStr">
        <is>
          <t>Mahalde dış atmosfere açılan 150 cm² havalandırma; baca doğrudan dış atmosfere.</t>
        </is>
      </c>
    </row>
    <row r="11">
      <c r="A11" s="4" t="inlineStr">
        <is>
          <t>D7</t>
        </is>
      </c>
      <c r="B11" s="4" t="inlineStr">
        <is>
          <t>OCAK</t>
        </is>
      </c>
      <c r="C11" s="4" t="inlineStr">
        <is>
          <t>A</t>
        </is>
      </c>
      <c r="D11" s="4">
        <f>CIHAZLAR!$E$9</f>
        <v/>
      </c>
      <c r="E11" s="4" t="n">
        <v>25</v>
      </c>
      <c r="F11" s="4">
        <f>MAX(12,D11*1)</f>
        <v/>
      </c>
      <c r="G11" s="4">
        <f>IF(E11&gt;=F11,"UYGUN","YETERSİZ")</f>
        <v/>
      </c>
      <c r="H11" s="4" t="inlineStr">
        <is>
          <t>Sürekli açık ≥150 cm² menfez; yatak odası/banyo/WC/merdivende kurulamaz.</t>
        </is>
      </c>
    </row>
    <row r="12">
      <c r="A12" s="4" t="inlineStr">
        <is>
          <t>D9</t>
        </is>
      </c>
      <c r="B12" s="4" t="inlineStr">
        <is>
          <t>KOMBİ</t>
        </is>
      </c>
      <c r="C12" s="4" t="inlineStr">
        <is>
          <t>C</t>
        </is>
      </c>
      <c r="D12" s="4">
        <f>CIHAZLAR!$E$10</f>
        <v/>
      </c>
      <c r="E12" s="4" t="n"/>
      <c r="F12" s="4" t="n"/>
      <c r="G12" s="4" t="inlineStr">
        <is>
          <t>Hermetik</t>
        </is>
      </c>
      <c r="H12" s="4" t="inlineStr">
        <is>
          <t>Mahalde dış atmosfere açılan 150 cm² havalandırma; baca doğrudan dış atmosfere.</t>
        </is>
      </c>
    </row>
    <row r="13">
      <c r="A13" s="4" t="inlineStr">
        <is>
          <t>D9</t>
        </is>
      </c>
      <c r="B13" s="4" t="inlineStr">
        <is>
          <t>OCAK</t>
        </is>
      </c>
      <c r="C13" s="4" t="inlineStr">
        <is>
          <t>A</t>
        </is>
      </c>
      <c r="D13" s="4">
        <f>CIHAZLAR!$E$11</f>
        <v/>
      </c>
      <c r="E13" s="4" t="n">
        <v>25</v>
      </c>
      <c r="F13" s="4">
        <f>MAX(12,D13*1)</f>
        <v/>
      </c>
      <c r="G13" s="4">
        <f>IF(E13&gt;=F13,"UYGUN","YETERSİZ")</f>
        <v/>
      </c>
      <c r="H13" s="4" t="inlineStr">
        <is>
          <t>Sürekli açık ≥150 cm² menfez; yatak odası/banyo/WC/merdivende kurulamaz.</t>
        </is>
      </c>
    </row>
    <row r="14">
      <c r="A14" s="4" t="inlineStr">
        <is>
          <t>D10</t>
        </is>
      </c>
      <c r="B14" s="4" t="inlineStr">
        <is>
          <t>KOMBİ</t>
        </is>
      </c>
      <c r="C14" s="4" t="inlineStr">
        <is>
          <t>C</t>
        </is>
      </c>
      <c r="D14" s="4">
        <f>CIHAZLAR!$E$12</f>
        <v/>
      </c>
      <c r="E14" s="4" t="n"/>
      <c r="F14" s="4" t="n"/>
      <c r="G14" s="4" t="inlineStr">
        <is>
          <t>Hermetik</t>
        </is>
      </c>
      <c r="H14" s="4" t="inlineStr">
        <is>
          <t>Mahalde dış atmosfere açılan 150 cm² havalandırma; baca doğrudan dış atmosfere.</t>
        </is>
      </c>
    </row>
    <row r="15">
      <c r="A15" s="4" t="inlineStr">
        <is>
          <t>D10</t>
        </is>
      </c>
      <c r="B15" s="4" t="inlineStr">
        <is>
          <t>OCAK</t>
        </is>
      </c>
      <c r="C15" s="4" t="inlineStr">
        <is>
          <t>A</t>
        </is>
      </c>
      <c r="D15" s="4">
        <f>CIHAZLAR!$E$13</f>
        <v/>
      </c>
      <c r="E15" s="4" t="n">
        <v>25</v>
      </c>
      <c r="F15" s="4">
        <f>MAX(12,D15*1)</f>
        <v/>
      </c>
      <c r="G15" s="4">
        <f>IF(E15&gt;=F15,"UYGUN","YETERSİZ")</f>
        <v/>
      </c>
      <c r="H15" s="4" t="inlineStr">
        <is>
          <t>Sürekli açık ≥150 cm² menfez; yatak odası/banyo/WC/merdivende kurulamaz.</t>
        </is>
      </c>
    </row>
    <row r="16">
      <c r="A16" s="4" t="inlineStr">
        <is>
          <t>D8</t>
        </is>
      </c>
      <c r="B16" s="4" t="inlineStr">
        <is>
          <t>KOMBİ</t>
        </is>
      </c>
      <c r="C16" s="4" t="inlineStr">
        <is>
          <t>C</t>
        </is>
      </c>
      <c r="D16" s="4">
        <f>CIHAZLAR!$E$14</f>
        <v/>
      </c>
      <c r="E16" s="4" t="n"/>
      <c r="F16" s="4" t="n"/>
      <c r="G16" s="4" t="inlineStr">
        <is>
          <t>Hermetik</t>
        </is>
      </c>
      <c r="H16" s="4" t="inlineStr">
        <is>
          <t>Mahalde dış atmosfere açılan 150 cm² havalandırma; baca doğrudan dış atmosfere.</t>
        </is>
      </c>
    </row>
    <row r="17">
      <c r="A17" s="4" t="inlineStr">
        <is>
          <t>D8</t>
        </is>
      </c>
      <c r="B17" s="4" t="inlineStr">
        <is>
          <t>OCAK</t>
        </is>
      </c>
      <c r="C17" s="4" t="inlineStr">
        <is>
          <t>A</t>
        </is>
      </c>
      <c r="D17" s="4">
        <f>CIHAZLAR!$E$15</f>
        <v/>
      </c>
      <c r="E17" s="4" t="n">
        <v>25</v>
      </c>
      <c r="F17" s="4">
        <f>MAX(12,D17*1)</f>
        <v/>
      </c>
      <c r="G17" s="4">
        <f>IF(E17&gt;=F17,"UYGUN","YETERSİZ")</f>
        <v/>
      </c>
      <c r="H17" s="4" t="inlineStr">
        <is>
          <t>Sürekli açık ≥150 cm² menfez; yatak odası/banyo/WC/merdivende kurulamaz.</t>
        </is>
      </c>
    </row>
    <row r="18">
      <c r="A18" s="4" t="inlineStr">
        <is>
          <t>D6</t>
        </is>
      </c>
      <c r="B18" s="4" t="inlineStr">
        <is>
          <t>KOMBİ</t>
        </is>
      </c>
      <c r="C18" s="4" t="inlineStr">
        <is>
          <t>C</t>
        </is>
      </c>
      <c r="D18" s="4">
        <f>CIHAZLAR!$E$16</f>
        <v/>
      </c>
      <c r="E18" s="4" t="n"/>
      <c r="F18" s="4" t="n"/>
      <c r="G18" s="4" t="inlineStr">
        <is>
          <t>Hermetik</t>
        </is>
      </c>
      <c r="H18" s="4" t="inlineStr">
        <is>
          <t>Mahalde dış atmosfere açılan 150 cm² havalandırma; baca doğrudan dış atmosfere.</t>
        </is>
      </c>
    </row>
    <row r="19">
      <c r="A19" s="4" t="inlineStr">
        <is>
          <t>D6</t>
        </is>
      </c>
      <c r="B19" s="4" t="inlineStr">
        <is>
          <t>OCAK</t>
        </is>
      </c>
      <c r="C19" s="4" t="inlineStr">
        <is>
          <t>A</t>
        </is>
      </c>
      <c r="D19" s="4">
        <f>CIHAZLAR!$E$17</f>
        <v/>
      </c>
      <c r="E19" s="4" t="n">
        <v>25</v>
      </c>
      <c r="F19" s="4">
        <f>MAX(12,D19*1)</f>
        <v/>
      </c>
      <c r="G19" s="4">
        <f>IF(E19&gt;=F19,"UYGUN","YETERSİZ")</f>
        <v/>
      </c>
      <c r="H19" s="4" t="inlineStr">
        <is>
          <t>Sürekli açık ≥150 cm² menfez; yatak odası/banyo/WC/merdivende kurulamaz.</t>
        </is>
      </c>
    </row>
    <row r="20">
      <c r="A20" s="4" t="inlineStr">
        <is>
          <t>D4</t>
        </is>
      </c>
      <c r="B20" s="4" t="inlineStr">
        <is>
          <t>KOMBİ</t>
        </is>
      </c>
      <c r="C20" s="4" t="inlineStr">
        <is>
          <t>C</t>
        </is>
      </c>
      <c r="D20" s="4">
        <f>CIHAZLAR!$E$18</f>
        <v/>
      </c>
      <c r="E20" s="4" t="n"/>
      <c r="F20" s="4" t="n"/>
      <c r="G20" s="4" t="inlineStr">
        <is>
          <t>Hermetik</t>
        </is>
      </c>
      <c r="H20" s="4" t="inlineStr">
        <is>
          <t>Mahalde dış atmosfere açılan 150 cm² havalandırma; baca doğrudan dış atmosfere.</t>
        </is>
      </c>
    </row>
    <row r="21">
      <c r="A21" s="4" t="inlineStr">
        <is>
          <t>D4</t>
        </is>
      </c>
      <c r="B21" s="4" t="inlineStr">
        <is>
          <t>OCAK</t>
        </is>
      </c>
      <c r="C21" s="4" t="inlineStr">
        <is>
          <t>A</t>
        </is>
      </c>
      <c r="D21" s="4">
        <f>CIHAZLAR!$E$19</f>
        <v/>
      </c>
      <c r="E21" s="4" t="n">
        <v>25</v>
      </c>
      <c r="F21" s="4">
        <f>MAX(12,D21*1)</f>
        <v/>
      </c>
      <c r="G21" s="4">
        <f>IF(E21&gt;=F21,"UYGUN","YETERSİZ")</f>
        <v/>
      </c>
      <c r="H21" s="4" t="inlineStr">
        <is>
          <t>Sürekli açık ≥150 cm² menfez; yatak odası/banyo/WC/merdivende kurulamaz.</t>
        </is>
      </c>
    </row>
    <row r="22">
      <c r="A22" s="4" t="inlineStr">
        <is>
          <t>D2</t>
        </is>
      </c>
      <c r="B22" s="4" t="inlineStr">
        <is>
          <t>KOMBİ</t>
        </is>
      </c>
      <c r="C22" s="4" t="inlineStr">
        <is>
          <t>C</t>
        </is>
      </c>
      <c r="D22" s="4">
        <f>CIHAZLAR!$E$20</f>
        <v/>
      </c>
      <c r="E22" s="4" t="n"/>
      <c r="F22" s="4" t="n"/>
      <c r="G22" s="4" t="inlineStr">
        <is>
          <t>Hermetik</t>
        </is>
      </c>
      <c r="H22" s="4" t="inlineStr">
        <is>
          <t>Mahalde dış atmosfere açılan 150 cm² havalandırma; baca doğrudan dış atmosfere.</t>
        </is>
      </c>
    </row>
    <row r="23">
      <c r="A23" s="4" t="inlineStr">
        <is>
          <t>D2</t>
        </is>
      </c>
      <c r="B23" s="4" t="inlineStr">
        <is>
          <t>OCAK</t>
        </is>
      </c>
      <c r="C23" s="4" t="inlineStr">
        <is>
          <t>A</t>
        </is>
      </c>
      <c r="D23" s="4">
        <f>CIHAZLAR!$E$21</f>
        <v/>
      </c>
      <c r="E23" s="4" t="n">
        <v>25</v>
      </c>
      <c r="F23" s="4">
        <f>MAX(12,D23*1)</f>
        <v/>
      </c>
      <c r="G23" s="4">
        <f>IF(E23&gt;=F23,"UYGUN","YETERSİZ")</f>
        <v/>
      </c>
      <c r="H23" s="4" t="inlineStr">
        <is>
          <t>Sürekli açık ≥150 cm² menfez; yatak odası/banyo/WC/merdivende kurulamaz.</t>
        </is>
      </c>
    </row>
    <row r="25">
      <c r="A25" t="inlineStr">
        <is>
          <t>Mahal hacimleri DENEME değeridir; mimari projeden alınacaktır.</t>
        </is>
      </c>
    </row>
  </sheetData>
  <conditionalFormatting sqref="G4:G23">
    <cfRule type="cellIs" priority="1" operator="equal" dxfId="1">
      <formula>"UYGUN"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2026-10-14T08:09:57Z</dcterms:created>
  <dcterms:modified xmlns:dcterms="http://purl.org/dc/terms/" xmlns:xsi="http://www.w3.org/2001/XMLSchema-instance" xsi:type="dcterms:W3CDTF">2026-10-14T08:09:57Z</dcterms:modified>
</cp:coreProperties>
</file>