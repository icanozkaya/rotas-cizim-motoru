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externalReferences>
    <externalReference xmlns:r="http://schemas.openxmlformats.org/officeDocument/2006/relationships" r:id="rId8"/>
  </externalReferences>
  <definedNames>
    <definedName name="_xlnm.Print_Area" localSheetId="2">'PETEK LİST'!$A$1:$P$77</definedName>
    <definedName name="_xlnm.Print_Area" localSheetId="3">'YERDEN ISITMA'!$A$1:$N$77</definedName>
    <definedName name="_xlnm.Print_Area" localSheetId="4">'MMO YERDEN ISITMA'!$A$1:$AF$47</definedName>
    <definedName name="_xlnm.Print_Area" localSheetId="5">'YERDEN ISITMA- DEVAMI'!$A$1:$AG$47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5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4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&lt; 2 m² wc-lavabo / duş,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0.479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0.577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0.577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3.5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2.4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0.5610000000000001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0.269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0.318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0.327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0.8139999999999999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
KAYBI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W/h</t>
        </is>
      </c>
      <c r="E9" s="331" t="inlineStr">
        <is>
          <t>W/m2K</t>
        </is>
      </c>
      <c r="F9" s="331" t="inlineStr">
        <is>
          <t>W/m2K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802.2</v>
      </c>
      <c r="E10" s="344" t="n">
        <v>17.5</v>
      </c>
      <c r="F10" s="343">
        <f>'YERDEN ISITMA'!N10</f>
        <v/>
      </c>
      <c r="G10" s="340" t="n">
        <v>45.84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1275.9</v>
      </c>
      <c r="E11" s="344" t="n">
        <v>17.5</v>
      </c>
      <c r="F11" s="343">
        <f>'YERDEN ISITMA'!N11</f>
        <v/>
      </c>
      <c r="G11" s="340" t="n">
        <v>72.91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682.7</v>
      </c>
      <c r="E12" s="344" t="n">
        <v>17.5</v>
      </c>
      <c r="F12" s="343">
        <f>'YERDEN ISITMA'!N12</f>
        <v/>
      </c>
      <c r="G12" s="340" t="n">
        <v>39.01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772.1</v>
      </c>
      <c r="E13" s="344" t="n">
        <v>17.5</v>
      </c>
      <c r="F13" s="343">
        <f>'YERDEN ISITMA'!N13</f>
        <v/>
      </c>
      <c r="G13" s="340" t="n">
        <v>44.12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1800.2</v>
      </c>
      <c r="E14" s="344" t="n">
        <v>17.5</v>
      </c>
      <c r="F14" s="343">
        <f>'YERDEN ISITMA'!N14</f>
        <v/>
      </c>
      <c r="G14" s="340" t="n">
        <v>102.87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759.7</v>
      </c>
      <c r="E15" s="344" t="n">
        <v>17.5</v>
      </c>
      <c r="F15" s="343">
        <f>'YERDEN ISITMA'!N15</f>
        <v/>
      </c>
      <c r="G15" s="340" t="n">
        <v>43.41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232.6</v>
      </c>
      <c r="E16" s="344" t="n">
        <v>17.5</v>
      </c>
      <c r="F16" s="343">
        <f>'YERDEN ISITMA'!N16</f>
        <v/>
      </c>
      <c r="G16" s="340" t="n">
        <v>13.29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847</v>
      </c>
      <c r="E17" s="344" t="n">
        <v>17.5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1222.7</v>
      </c>
      <c r="E18" s="344" t="n">
        <v>17.5</v>
      </c>
      <c r="F18" s="343">
        <f>'YERDEN ISITMA'!N18</f>
        <v/>
      </c>
      <c r="G18" s="340" t="n">
        <v>69.87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682.7</v>
      </c>
      <c r="E19" s="344" t="n">
        <v>17.5</v>
      </c>
      <c r="F19" s="343">
        <f>'YERDEN ISITMA'!N19</f>
        <v/>
      </c>
      <c r="G19" s="340" t="n">
        <v>39.01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741</v>
      </c>
      <c r="E20" s="344" t="n">
        <v>17.5</v>
      </c>
      <c r="F20" s="343">
        <f>'YERDEN ISITMA'!N20</f>
        <v/>
      </c>
      <c r="G20" s="340" t="n">
        <v>42.34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1966.6</v>
      </c>
      <c r="E21" s="344" t="n">
        <v>17.5</v>
      </c>
      <c r="F21" s="343">
        <f>'YERDEN ISITMA'!N21</f>
        <v/>
      </c>
      <c r="G21" s="340" t="n">
        <v>112.38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760.9</v>
      </c>
      <c r="E22" s="344" t="n">
        <v>17.5</v>
      </c>
      <c r="F22" s="343">
        <f>'YERDEN ISITMA'!N22</f>
        <v/>
      </c>
      <c r="G22" s="340" t="n">
        <v>43.48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192.8</v>
      </c>
      <c r="E23" s="344" t="n">
        <v>17.5</v>
      </c>
      <c r="F23" s="343">
        <f>'YERDEN ISITMA'!N23</f>
        <v/>
      </c>
      <c r="G23" s="340" t="n">
        <v>11.02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589</v>
      </c>
      <c r="E24" s="344" t="n">
        <v>17.5</v>
      </c>
      <c r="F24" s="343">
        <f>'YERDEN ISITMA'!N24</f>
        <v/>
      </c>
      <c r="G24" s="340" t="n">
        <v>33.66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1005.5</v>
      </c>
      <c r="E25" s="349" t="n">
        <v>17.5</v>
      </c>
      <c r="F25" s="348">
        <f>'YERDEN ISITMA'!N25</f>
        <v/>
      </c>
      <c r="G25" s="345" t="n">
        <v>57.46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752.3</v>
      </c>
      <c r="E26" s="349" t="n">
        <v>17.5</v>
      </c>
      <c r="F26" s="348">
        <f>'YERDEN ISITMA'!N26</f>
        <v/>
      </c>
      <c r="G26" s="345" t="n">
        <v>42.99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1703.5</v>
      </c>
      <c r="E27" s="349" t="n">
        <v>17.5</v>
      </c>
      <c r="F27" s="348">
        <f>'YERDEN ISITMA'!N27</f>
        <v/>
      </c>
      <c r="G27" s="345" t="n">
        <v>97.34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627.2</v>
      </c>
      <c r="E28" s="349" t="n">
        <v>17.5</v>
      </c>
      <c r="F28" s="348">
        <f>'YERDEN ISITMA'!N28</f>
        <v/>
      </c>
      <c r="G28" s="345" t="n">
        <v>35.84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788.9</v>
      </c>
      <c r="E29" s="349" t="n">
        <v>17.5</v>
      </c>
      <c r="F29" s="348">
        <f>'YERDEN ISITMA'!N29</f>
        <v/>
      </c>
      <c r="G29" s="345" t="n">
        <v>45.08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124.8</v>
      </c>
      <c r="E30" s="349" t="n">
        <v>17.5</v>
      </c>
      <c r="F30" s="348">
        <f>'YERDEN ISITMA'!N30</f>
        <v/>
      </c>
      <c r="G30" s="345" t="n">
        <v>7.13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847.7</v>
      </c>
      <c r="E32" s="349" t="n">
        <v>17.5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1269.1</v>
      </c>
      <c r="E33" s="349" t="n">
        <v>17.5</v>
      </c>
      <c r="F33" s="348">
        <f>'YERDEN ISITMA'!N33</f>
        <v/>
      </c>
      <c r="G33" s="345" t="n">
        <v>72.52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682.7</v>
      </c>
      <c r="E34" s="349" t="n">
        <v>17.5</v>
      </c>
      <c r="F34" s="348">
        <f>'YERDEN ISITMA'!N34</f>
        <v/>
      </c>
      <c r="G34" s="345" t="n">
        <v>39.01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741</v>
      </c>
      <c r="E35" s="349" t="n">
        <v>17.5</v>
      </c>
      <c r="F35" s="348">
        <f>'YERDEN ISITMA'!N35</f>
        <v/>
      </c>
      <c r="G35" s="345" t="n">
        <v>42.34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1959.7</v>
      </c>
      <c r="E36" s="349" t="n">
        <v>17.5</v>
      </c>
      <c r="F36" s="348">
        <f>'YERDEN ISITMA'!N36</f>
        <v/>
      </c>
      <c r="G36" s="345" t="n">
        <v>111.98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760.9</v>
      </c>
      <c r="E37" s="349" t="n">
        <v>17.5</v>
      </c>
      <c r="F37" s="348">
        <f>'YERDEN ISITMA'!N37</f>
        <v/>
      </c>
      <c r="G37" s="345" t="n">
        <v>43.48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192.5</v>
      </c>
      <c r="E38" s="349" t="n">
        <v>17.5</v>
      </c>
      <c r="F38" s="348">
        <f>'YERDEN ISITMA'!N38</f>
        <v/>
      </c>
      <c r="G38" s="345" t="n">
        <v>11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588.3</v>
      </c>
      <c r="E39" s="349" t="n">
        <v>17.5</v>
      </c>
      <c r="F39" s="348">
        <f>'YERDEN ISITMA'!N39</f>
        <v/>
      </c>
      <c r="G39" s="345" t="n">
        <v>33.62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1056.1</v>
      </c>
      <c r="E40" s="349" t="n">
        <v>17.5</v>
      </c>
      <c r="F40" s="348">
        <f>'YERDEN ISITMA'!N40</f>
        <v/>
      </c>
      <c r="G40" s="345" t="n">
        <v>60.35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752.3</v>
      </c>
      <c r="E41" s="349" t="n">
        <v>17.5</v>
      </c>
      <c r="F41" s="348">
        <f>'YERDEN ISITMA'!N41</f>
        <v/>
      </c>
      <c r="G41" s="345" t="n">
        <v>42.99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1613.2</v>
      </c>
      <c r="E42" s="349" t="n">
        <v>17.5</v>
      </c>
      <c r="F42" s="348">
        <f>'YERDEN ISITMA'!N42</f>
        <v/>
      </c>
      <c r="G42" s="345" t="n">
        <v>92.18000000000001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543.4</v>
      </c>
      <c r="E43" s="349" t="n">
        <v>17.5</v>
      </c>
      <c r="F43" s="348">
        <f>'YERDEN ISITMA'!N43</f>
        <v/>
      </c>
      <c r="G43" s="345" t="n">
        <v>31.05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788.7</v>
      </c>
      <c r="E44" s="349" t="n">
        <v>17.5</v>
      </c>
      <c r="F44" s="348">
        <f>'YERDEN ISITMA'!N44</f>
        <v/>
      </c>
      <c r="G44" s="345" t="n">
        <v>45.07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124.9</v>
      </c>
      <c r="E45" s="349" t="n">
        <v>17.5</v>
      </c>
      <c r="F45" s="348">
        <f>'YERDEN ISITMA'!N45</f>
        <v/>
      </c>
      <c r="G45" s="345" t="n">
        <v>7.14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844.2</v>
      </c>
      <c r="E46" s="349" t="n">
        <v>17.5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1278.7</v>
      </c>
      <c r="E47" s="349" t="n">
        <v>17.5</v>
      </c>
      <c r="F47" s="348">
        <f>'YERDEN ISITMA'!N47</f>
        <v/>
      </c>
      <c r="G47" s="345" t="n">
        <v>73.06999999999999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710.7</v>
      </c>
      <c r="E48" s="349" t="n">
        <v>17.5</v>
      </c>
      <c r="F48" s="348">
        <f>'YERDEN ISITMA'!N48</f>
        <v/>
      </c>
      <c r="G48" s="345" t="n">
        <v>40.61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749.7</v>
      </c>
      <c r="E49" s="349" t="n">
        <v>17.5</v>
      </c>
      <c r="F49" s="348">
        <f>'YERDEN ISITMA'!N49</f>
        <v/>
      </c>
      <c r="G49" s="345" t="n">
        <v>42.84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1803</v>
      </c>
      <c r="E50" s="349" t="n">
        <v>17.5</v>
      </c>
      <c r="F50" s="348">
        <f>'YERDEN ISITMA'!N50</f>
        <v/>
      </c>
      <c r="G50" s="345" t="n">
        <v>103.03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759.7</v>
      </c>
      <c r="E51" s="349" t="n">
        <v>17.5</v>
      </c>
      <c r="F51" s="348">
        <f>'YERDEN ISITMA'!N51</f>
        <v/>
      </c>
      <c r="G51" s="345" t="n">
        <v>43.41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WC-DUŞ</t>
        </is>
      </c>
      <c r="C52" s="347" t="inlineStr">
        <is>
          <t>24</t>
        </is>
      </c>
      <c r="D52" s="348" t="n">
        <v>29</v>
      </c>
      <c r="E52" s="349" t="n">
        <v>17.5</v>
      </c>
      <c r="F52" s="348">
        <f>'YERDEN ISITMA'!N52</f>
        <v/>
      </c>
      <c r="G52" s="345" t="n">
        <v>1.66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inlineStr">
        <is>
          <t>122</t>
        </is>
      </c>
      <c r="B53" s="346" t="inlineStr">
        <is>
          <t>D6 BANYO</t>
        </is>
      </c>
      <c r="C53" s="347" t="inlineStr">
        <is>
          <t>24</t>
        </is>
      </c>
      <c r="D53" s="348" t="n">
        <v>124.8</v>
      </c>
      <c r="E53" s="349" t="n">
        <v>17.5</v>
      </c>
      <c r="F53" s="348">
        <f>'YERDEN ISITMA'!N53</f>
        <v/>
      </c>
      <c r="G53" s="345" t="n">
        <v>7.13</v>
      </c>
      <c r="H53" s="345" t="n">
        <v>1</v>
      </c>
      <c r="I53" s="345" t="inlineStr">
        <is>
          <t>ZEMİNDEN ISITMA</t>
        </is>
      </c>
      <c r="J53" s="264" t="n"/>
      <c r="K53" s="264" t="n"/>
      <c r="L53" s="264" t="n"/>
      <c r="M53" s="264" t="n"/>
      <c r="N53" s="264" t="n"/>
      <c r="O53" s="264" t="n"/>
      <c r="P53" s="260" t="n"/>
    </row>
    <row r="54">
      <c r="A54" s="345" t="n"/>
      <c r="B54" s="345" t="inlineStr">
        <is>
          <t>1. KAT</t>
        </is>
      </c>
      <c r="C54" s="347" t="n"/>
      <c r="D54" s="348" t="n"/>
      <c r="E54" s="350" t="inlineStr">
        <is>
          <t>TOPLAM =</t>
        </is>
      </c>
      <c r="F54" s="351">
        <f>SUM(F32:F53)</f>
        <v/>
      </c>
      <c r="G54" s="345" t="inlineStr">
        <is>
          <t>watt</t>
        </is>
      </c>
      <c r="H54" s="345" t="n"/>
      <c r="I54" s="345" t="n"/>
      <c r="J54" s="345" t="n"/>
      <c r="K54" s="345" t="n"/>
      <c r="L54" s="345" t="n"/>
      <c r="M54" s="345" t="n"/>
      <c r="N54" s="345" t="n"/>
      <c r="O54" s="345" t="n"/>
      <c r="P54" s="345" t="n"/>
    </row>
    <row r="55">
      <c r="A55" s="345" t="inlineStr">
        <is>
          <t>201</t>
        </is>
      </c>
      <c r="B55" s="346" t="inlineStr">
        <is>
          <t>D7 MUTFAK</t>
        </is>
      </c>
      <c r="C55" s="347" t="inlineStr">
        <is>
          <t>20</t>
        </is>
      </c>
      <c r="D55" s="348" t="n">
        <v>793.5</v>
      </c>
      <c r="E55" s="349" t="n">
        <v>17.5</v>
      </c>
      <c r="F55" s="348">
        <f>'YERDEN ISITMA'!N55</f>
        <v/>
      </c>
      <c r="G55" s="345" t="n">
        <v>45.34</v>
      </c>
      <c r="H55" s="345" t="n">
        <v>1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202</t>
        </is>
      </c>
      <c r="B56" s="346" t="inlineStr">
        <is>
          <t>D7 YATAK OD.</t>
        </is>
      </c>
      <c r="C56" s="347" t="inlineStr">
        <is>
          <t>20</t>
        </is>
      </c>
      <c r="D56" s="348" t="n">
        <v>1221.8</v>
      </c>
      <c r="E56" s="349" t="n">
        <v>17.5</v>
      </c>
      <c r="F56" s="348">
        <f>'YERDEN ISITMA'!N56</f>
        <v/>
      </c>
      <c r="G56" s="345" t="n">
        <v>69.81999999999999</v>
      </c>
      <c r="H56" s="345" t="n">
        <v>2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203</t>
        </is>
      </c>
      <c r="B57" s="346" t="inlineStr">
        <is>
          <t>D7 YATAK OD.</t>
        </is>
      </c>
      <c r="C57" s="347" t="inlineStr">
        <is>
          <t>20</t>
        </is>
      </c>
      <c r="D57" s="348" t="n">
        <v>680.6</v>
      </c>
      <c r="E57" s="349" t="n">
        <v>17.5</v>
      </c>
      <c r="F57" s="348">
        <f>'YERDEN ISITMA'!N57</f>
        <v/>
      </c>
      <c r="G57" s="345" t="n">
        <v>38.89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204</t>
        </is>
      </c>
      <c r="B58" s="346" t="inlineStr">
        <is>
          <t>D7 YATAK OD.</t>
        </is>
      </c>
      <c r="C58" s="347" t="inlineStr">
        <is>
          <t>20</t>
        </is>
      </c>
      <c r="D58" s="348" t="n">
        <v>745.1</v>
      </c>
      <c r="E58" s="349" t="n">
        <v>17.5</v>
      </c>
      <c r="F58" s="348">
        <f>'YERDEN ISITMA'!N58</f>
        <v/>
      </c>
      <c r="G58" s="345" t="n">
        <v>42.58</v>
      </c>
      <c r="H58" s="345" t="n">
        <v>1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205</t>
        </is>
      </c>
      <c r="B59" s="346" t="inlineStr">
        <is>
          <t>D7 SALON</t>
        </is>
      </c>
      <c r="C59" s="347" t="inlineStr">
        <is>
          <t>20</t>
        </is>
      </c>
      <c r="D59" s="348" t="n">
        <v>1788.3</v>
      </c>
      <c r="E59" s="349" t="n">
        <v>17.5</v>
      </c>
      <c r="F59" s="348">
        <f>'YERDEN ISITMA'!N59</f>
        <v/>
      </c>
      <c r="G59" s="345" t="n">
        <v>102.19</v>
      </c>
      <c r="H59" s="345" t="n">
        <v>2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206</t>
        </is>
      </c>
      <c r="B60" s="346" t="inlineStr">
        <is>
          <t>D7 ANTRE-KOR.</t>
        </is>
      </c>
      <c r="C60" s="347" t="inlineStr">
        <is>
          <t>15</t>
        </is>
      </c>
      <c r="D60" s="348" t="n">
        <v>752.7</v>
      </c>
      <c r="E60" s="349" t="n">
        <v>17.5</v>
      </c>
      <c r="F60" s="348">
        <f>'YERDEN ISITMA'!N60</f>
        <v/>
      </c>
      <c r="G60" s="345" t="n">
        <v>43.01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207</t>
        </is>
      </c>
      <c r="B61" s="346" t="inlineStr">
        <is>
          <t>D7 BANYO</t>
        </is>
      </c>
      <c r="C61" s="347" t="inlineStr">
        <is>
          <t>24</t>
        </is>
      </c>
      <c r="D61" s="348" t="n">
        <v>211.4</v>
      </c>
      <c r="E61" s="349" t="n">
        <v>17.5</v>
      </c>
      <c r="F61" s="348">
        <f>'YERDEN ISITMA'!N61</f>
        <v/>
      </c>
      <c r="G61" s="345" t="n">
        <v>12.08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208</t>
        </is>
      </c>
      <c r="B62" s="346" t="inlineStr">
        <is>
          <t>D8 MUTFAK</t>
        </is>
      </c>
      <c r="C62" s="347" t="inlineStr">
        <is>
          <t>20</t>
        </is>
      </c>
      <c r="D62" s="348" t="n">
        <v>594.6</v>
      </c>
      <c r="E62" s="349" t="n">
        <v>17.5</v>
      </c>
      <c r="F62" s="348">
        <f>'YERDEN ISITMA'!N62</f>
        <v/>
      </c>
      <c r="G62" s="345" t="n">
        <v>33.98</v>
      </c>
      <c r="H62" s="345" t="n">
        <v>1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209</t>
        </is>
      </c>
      <c r="B63" s="346" t="inlineStr">
        <is>
          <t>D8 YATAK OD.</t>
        </is>
      </c>
      <c r="C63" s="347" t="inlineStr">
        <is>
          <t>20</t>
        </is>
      </c>
      <c r="D63" s="348" t="n">
        <v>932.2</v>
      </c>
      <c r="E63" s="349" t="n">
        <v>17.5</v>
      </c>
      <c r="F63" s="348">
        <f>'YERDEN ISITMA'!N63</f>
        <v/>
      </c>
      <c r="G63" s="345" t="n">
        <v>53.27</v>
      </c>
      <c r="H63" s="345" t="n">
        <v>2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210</t>
        </is>
      </c>
      <c r="B64" s="346" t="inlineStr">
        <is>
          <t>D8 YATAK OD.</t>
        </is>
      </c>
      <c r="C64" s="347" t="inlineStr">
        <is>
          <t>20</t>
        </is>
      </c>
      <c r="D64" s="348" t="n">
        <v>769.5</v>
      </c>
      <c r="E64" s="349" t="n">
        <v>17.5</v>
      </c>
      <c r="F64" s="348">
        <f>'YERDEN ISITMA'!N64</f>
        <v/>
      </c>
      <c r="G64" s="345" t="n">
        <v>43.97</v>
      </c>
      <c r="H64" s="345" t="n">
        <v>1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211</t>
        </is>
      </c>
      <c r="B65" s="346" t="inlineStr">
        <is>
          <t>D8 SALON</t>
        </is>
      </c>
      <c r="C65" s="347" t="inlineStr">
        <is>
          <t>20</t>
        </is>
      </c>
      <c r="D65" s="348" t="n">
        <v>1492.8</v>
      </c>
      <c r="E65" s="349" t="n">
        <v>17.5</v>
      </c>
      <c r="F65" s="348">
        <f>'YERDEN ISITMA'!N65</f>
        <v/>
      </c>
      <c r="G65" s="345" t="n">
        <v>85.3</v>
      </c>
      <c r="H65" s="345" t="n">
        <v>2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212</t>
        </is>
      </c>
      <c r="B66" s="346" t="inlineStr">
        <is>
          <t>D8 ODA</t>
        </is>
      </c>
      <c r="C66" s="347" t="inlineStr">
        <is>
          <t>20</t>
        </is>
      </c>
      <c r="D66" s="348" t="n">
        <v>622.3</v>
      </c>
      <c r="E66" s="349" t="n">
        <v>17.5</v>
      </c>
      <c r="F66" s="348">
        <f>'YERDEN ISITMA'!N66</f>
        <v/>
      </c>
      <c r="G66" s="345" t="n">
        <v>35.56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213</t>
        </is>
      </c>
      <c r="B67" s="346" t="inlineStr">
        <is>
          <t>D8 ANTRE-KOR.</t>
        </is>
      </c>
      <c r="C67" s="347" t="inlineStr">
        <is>
          <t>15</t>
        </is>
      </c>
      <c r="D67" s="348" t="n">
        <v>787.9</v>
      </c>
      <c r="E67" s="349" t="n">
        <v>17.5</v>
      </c>
      <c r="F67" s="348">
        <f>'YERDEN ISITMA'!N67</f>
        <v/>
      </c>
      <c r="G67" s="345" t="n">
        <v>45.02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214</t>
        </is>
      </c>
      <c r="B68" s="346" t="inlineStr">
        <is>
          <t>D8 WC-BANYO</t>
        </is>
      </c>
      <c r="C68" s="347" t="inlineStr">
        <is>
          <t>24</t>
        </is>
      </c>
      <c r="D68" s="348" t="n">
        <v>123.7</v>
      </c>
      <c r="E68" s="349" t="n">
        <v>17.5</v>
      </c>
      <c r="F68" s="348">
        <f>'YERDEN ISITMA'!N68</f>
        <v/>
      </c>
      <c r="G68" s="345" t="n">
        <v>7.07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215</t>
        </is>
      </c>
      <c r="B69" s="346" t="inlineStr">
        <is>
          <t>D9 MUTFAK</t>
        </is>
      </c>
      <c r="C69" s="347" t="inlineStr">
        <is>
          <t>20</t>
        </is>
      </c>
      <c r="D69" s="348" t="n">
        <v>838.9</v>
      </c>
      <c r="E69" s="349" t="n">
        <v>17.5</v>
      </c>
      <c r="F69" s="348">
        <f>'YERDEN ISITMA'!N69</f>
        <v/>
      </c>
      <c r="G69" s="345" t="n">
        <v>47.94</v>
      </c>
      <c r="H69" s="345" t="n">
        <v>1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216</t>
        </is>
      </c>
      <c r="B70" s="346" t="inlineStr">
        <is>
          <t>D9 YATAK OD.</t>
        </is>
      </c>
      <c r="C70" s="347" t="inlineStr">
        <is>
          <t>20</t>
        </is>
      </c>
      <c r="D70" s="348" t="n">
        <v>1272.1</v>
      </c>
      <c r="E70" s="349" t="n">
        <v>17.5</v>
      </c>
      <c r="F70" s="348">
        <f>'YERDEN ISITMA'!N70</f>
        <v/>
      </c>
      <c r="G70" s="345" t="n">
        <v>72.69</v>
      </c>
      <c r="H70" s="345" t="n">
        <v>2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217</t>
        </is>
      </c>
      <c r="B71" s="346" t="inlineStr">
        <is>
          <t>D9 YATAK OD.</t>
        </is>
      </c>
      <c r="C71" s="347" t="inlineStr">
        <is>
          <t>20</t>
        </is>
      </c>
      <c r="D71" s="348" t="n">
        <v>686.2</v>
      </c>
      <c r="E71" s="349" t="n">
        <v>17.5</v>
      </c>
      <c r="F71" s="348">
        <f>'YERDEN ISITMA'!N71</f>
        <v/>
      </c>
      <c r="G71" s="345" t="n">
        <v>39.21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218</t>
        </is>
      </c>
      <c r="B72" s="346" t="inlineStr">
        <is>
          <t>D9 YATAK OD.</t>
        </is>
      </c>
      <c r="C72" s="347" t="inlineStr">
        <is>
          <t>20</t>
        </is>
      </c>
      <c r="D72" s="348" t="n">
        <v>771.4</v>
      </c>
      <c r="E72" s="349" t="n">
        <v>17.5</v>
      </c>
      <c r="F72" s="348">
        <f>'YERDEN ISITMA'!N72</f>
        <v/>
      </c>
      <c r="G72" s="345" t="n">
        <v>44.08</v>
      </c>
      <c r="H72" s="345" t="n">
        <v>1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219</t>
        </is>
      </c>
      <c r="B73" s="346" t="inlineStr">
        <is>
          <t>D9 SALON</t>
        </is>
      </c>
      <c r="C73" s="347" t="inlineStr">
        <is>
          <t>20</t>
        </is>
      </c>
      <c r="D73" s="348" t="n">
        <v>1779.9</v>
      </c>
      <c r="E73" s="349" t="n">
        <v>17.5</v>
      </c>
      <c r="F73" s="348">
        <f>'YERDEN ISITMA'!N73</f>
        <v/>
      </c>
      <c r="G73" s="345" t="n">
        <v>101.71</v>
      </c>
      <c r="H73" s="345" t="n">
        <v>2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220</t>
        </is>
      </c>
      <c r="B74" s="346" t="inlineStr">
        <is>
          <t>D9 ANTRE-KOR.</t>
        </is>
      </c>
      <c r="C74" s="347" t="inlineStr">
        <is>
          <t>15</t>
        </is>
      </c>
      <c r="D74" s="348" t="n">
        <v>752.9</v>
      </c>
      <c r="E74" s="349" t="n">
        <v>17.5</v>
      </c>
      <c r="F74" s="348">
        <f>'YERDEN ISITMA'!N74</f>
        <v/>
      </c>
      <c r="G74" s="345" t="n">
        <v>43.02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inlineStr">
        <is>
          <t>221</t>
        </is>
      </c>
      <c r="B75" s="346" t="inlineStr">
        <is>
          <t>D9 BANYO</t>
        </is>
      </c>
      <c r="C75" s="347" t="inlineStr">
        <is>
          <t>24</t>
        </is>
      </c>
      <c r="D75" s="348" t="n">
        <v>233.4</v>
      </c>
      <c r="E75" s="349" t="n">
        <v>17.5</v>
      </c>
      <c r="F75" s="348">
        <f>'YERDEN ISITMA'!N75</f>
        <v/>
      </c>
      <c r="G75" s="345" t="n">
        <v>13.34</v>
      </c>
      <c r="H75" s="345" t="n">
        <v>1</v>
      </c>
      <c r="I75" s="345" t="inlineStr">
        <is>
          <t>ZEMİNDEN ISITMA</t>
        </is>
      </c>
      <c r="J75" s="264" t="n"/>
      <c r="K75" s="264" t="n"/>
      <c r="L75" s="264" t="n"/>
      <c r="M75" s="264" t="n"/>
      <c r="N75" s="264" t="n"/>
      <c r="O75" s="264" t="n"/>
      <c r="P75" s="260" t="n"/>
    </row>
    <row r="76">
      <c r="A76" s="345" t="n"/>
      <c r="B76" s="345" t="inlineStr">
        <is>
          <t>2. KAT</t>
        </is>
      </c>
      <c r="C76" s="347" t="n"/>
      <c r="D76" s="348" t="n"/>
      <c r="E76" s="350" t="inlineStr">
        <is>
          <t>TOPLAM =</t>
        </is>
      </c>
      <c r="F76" s="351">
        <f>SUM(F55:F75)</f>
        <v/>
      </c>
      <c r="G76" s="345" t="inlineStr">
        <is>
          <t>watt</t>
        </is>
      </c>
      <c r="H76" s="345" t="n"/>
      <c r="I76" s="345" t="n"/>
      <c r="J76" s="345" t="n"/>
      <c r="K76" s="345" t="n"/>
      <c r="L76" s="345" t="n"/>
      <c r="M76" s="345" t="n"/>
      <c r="N76" s="345" t="n"/>
      <c r="O76" s="345" t="n"/>
      <c r="P76" s="345" t="n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1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I75:P75"/>
    <mergeCell ref="I53:P53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17.5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17.5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17.5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17.5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17.5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17.5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17.5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17.5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17.5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17.5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17.5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17.5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17.5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17.5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17.5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17.5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17.5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17.5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17.5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17.5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17.5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17.5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17.5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17.5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17.5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17.5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17.5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17.5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17.5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17.5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17.5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17.5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17.5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17.5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17.5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17.5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17.5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17.5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17.5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17.5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17.5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2.65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17.5</v>
      </c>
      <c r="N52" s="373">
        <f>J52*M52</f>
        <v/>
      </c>
    </row>
    <row r="53">
      <c r="A53" s="368">
        <f>'PETEK LİST'!A53</f>
        <v/>
      </c>
      <c r="B53" s="369">
        <f>'PETEK LİST'!B53</f>
        <v/>
      </c>
      <c r="C53" s="370">
        <f>'PETEK LİST'!C53</f>
        <v/>
      </c>
      <c r="D53" s="348">
        <f>'PETEK LİST'!D53</f>
        <v/>
      </c>
      <c r="E53" s="371" t="n">
        <v>4.37</v>
      </c>
      <c r="F53" s="372">
        <f>D53/E53</f>
        <v/>
      </c>
      <c r="G53" s="372">
        <f>76.263-0.539*F53</f>
        <v/>
      </c>
      <c r="H53" s="372">
        <f>D53/G53</f>
        <v/>
      </c>
      <c r="I53" s="368" t="n">
        <v>15</v>
      </c>
      <c r="J53" s="345">
        <f>'PETEK LİST'!G53</f>
        <v/>
      </c>
      <c r="K53" s="372">
        <f>J53/80</f>
        <v/>
      </c>
      <c r="L53" s="368">
        <f>CEILING(K53,1)</f>
        <v/>
      </c>
      <c r="M53" s="368" t="n">
        <v>17.5</v>
      </c>
      <c r="N53" s="373">
        <f>J53*M53</f>
        <v/>
      </c>
    </row>
    <row r="54"/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11.07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17.5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14.25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17.5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17.5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9.31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17.5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21.18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17.5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7.77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17.5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5.04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17.5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10.11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17.5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15.44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17.5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9.050000000000001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17.5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22.31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17.5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7.75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17.5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11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17.5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4.37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17.5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11.07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17.5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14.25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17.5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17.5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9.31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17.5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21.18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17.5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7.77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17.5</v>
      </c>
      <c r="N74" s="373">
        <f>J74*M74</f>
        <v/>
      </c>
    </row>
    <row r="75">
      <c r="A75" s="368">
        <f>'PETEK LİST'!A75</f>
        <v/>
      </c>
      <c r="B75" s="369">
        <f>'PETEK LİST'!B75</f>
        <v/>
      </c>
      <c r="C75" s="370">
        <f>'PETEK LİST'!C75</f>
        <v/>
      </c>
      <c r="D75" s="348">
        <f>'PETEK LİST'!D75</f>
        <v/>
      </c>
      <c r="E75" s="371" t="n">
        <v>5.04</v>
      </c>
      <c r="F75" s="372">
        <f>D75/E75</f>
        <v/>
      </c>
      <c r="G75" s="372">
        <f>76.263-0.539*F75</f>
        <v/>
      </c>
      <c r="H75" s="372">
        <f>D75/G75</f>
        <v/>
      </c>
      <c r="I75" s="368" t="n">
        <v>15</v>
      </c>
      <c r="J75" s="345">
        <f>'PETEK LİST'!G75</f>
        <v/>
      </c>
      <c r="K75" s="372">
        <f>J75/80</f>
        <v/>
      </c>
      <c r="L75" s="368">
        <f>CEILING(K75,1)</f>
        <v/>
      </c>
      <c r="M75" s="368" t="n">
        <v>17.5</v>
      </c>
      <c r="N75" s="373">
        <f>J75*M75</f>
        <v/>
      </c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18330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5035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</v>
      </c>
      <c r="G12" s="397" t="n">
        <v>6.28</v>
      </c>
      <c r="H12" s="397" t="n">
        <v>7.29</v>
      </c>
      <c r="I12" s="397" t="n">
        <v>8.74</v>
      </c>
      <c r="J12" s="397" t="n">
        <v>8.84</v>
      </c>
      <c r="K12" s="397" t="n">
        <v>9.77</v>
      </c>
      <c r="L12" s="397" t="n">
        <v>10.33</v>
      </c>
      <c r="M12" s="397" t="n">
        <v>7.61</v>
      </c>
      <c r="N12" s="397" t="n">
        <v>3.34</v>
      </c>
      <c r="O12" s="397" t="n">
        <v>7.87</v>
      </c>
      <c r="P12" s="397" t="n">
        <v>6.27</v>
      </c>
      <c r="Q12" s="397" t="n">
        <v>7.2</v>
      </c>
      <c r="R12" s="397" t="n">
        <v>8.73</v>
      </c>
      <c r="S12" s="397" t="n">
        <v>8.800000000000001</v>
      </c>
      <c r="T12" s="397" t="n">
        <v>10.68</v>
      </c>
      <c r="U12" s="397" t="n">
        <v>9.49</v>
      </c>
      <c r="V12" s="397" t="n">
        <v>7.63</v>
      </c>
      <c r="W12" s="397" t="n">
        <v>3.29</v>
      </c>
      <c r="X12" s="397" t="n">
        <v>6.79</v>
      </c>
      <c r="Y12" s="397" t="n">
        <v>6.73</v>
      </c>
      <c r="Z12" s="397" t="n">
        <v>7.53</v>
      </c>
      <c r="AA12" s="397" t="n">
        <v>8.619999999999999</v>
      </c>
      <c r="AB12" s="397" t="n">
        <v>11.03</v>
      </c>
      <c r="AC12" s="397" t="n">
        <v>9.74</v>
      </c>
      <c r="AD12" s="397" t="n">
        <v>7.14</v>
      </c>
      <c r="AE12" s="397" t="n">
        <v>10</v>
      </c>
      <c r="AF12" s="397" t="n">
        <v>1.93</v>
      </c>
    </row>
    <row r="13" ht="12" customHeight="1" s="244">
      <c r="A13" s="261" t="n"/>
      <c r="B13" s="282" t="n"/>
      <c r="C13" s="394" t="n"/>
      <c r="D13" s="261" t="n"/>
      <c r="E13" s="259" t="n"/>
      <c r="F13" s="398" t="n">
        <v>802.2</v>
      </c>
      <c r="G13" s="398" t="n">
        <v>590.5</v>
      </c>
      <c r="H13" s="398" t="n">
        <v>685.5</v>
      </c>
      <c r="I13" s="398" t="n">
        <v>682.7</v>
      </c>
      <c r="J13" s="398" t="n">
        <v>772.1</v>
      </c>
      <c r="K13" s="398" t="n">
        <v>874.8</v>
      </c>
      <c r="L13" s="398" t="n">
        <v>925.4</v>
      </c>
      <c r="M13" s="398" t="n">
        <v>759.7</v>
      </c>
      <c r="N13" s="398" t="n">
        <v>232.6</v>
      </c>
      <c r="O13" s="398" t="n">
        <v>847</v>
      </c>
      <c r="P13" s="398" t="n">
        <v>569.3</v>
      </c>
      <c r="Q13" s="398" t="n">
        <v>653.5</v>
      </c>
      <c r="R13" s="398" t="n">
        <v>682.7</v>
      </c>
      <c r="S13" s="398" t="n">
        <v>741</v>
      </c>
      <c r="T13" s="398" t="n">
        <v>1041.2</v>
      </c>
      <c r="U13" s="398" t="n">
        <v>925.4</v>
      </c>
      <c r="V13" s="398" t="n">
        <v>760.9</v>
      </c>
      <c r="W13" s="398" t="n">
        <v>192.8</v>
      </c>
      <c r="X13" s="398" t="n">
        <v>589</v>
      </c>
      <c r="Y13" s="398" t="n">
        <v>474.8</v>
      </c>
      <c r="Z13" s="398" t="n">
        <v>530.8</v>
      </c>
      <c r="AA13" s="398" t="n">
        <v>752.3</v>
      </c>
      <c r="AB13" s="398" t="n">
        <v>904.2</v>
      </c>
      <c r="AC13" s="398" t="n">
        <v>799.2</v>
      </c>
      <c r="AD13" s="398" t="n">
        <v>627.2</v>
      </c>
      <c r="AE13" s="398" t="n">
        <v>788.9</v>
      </c>
      <c r="AF13" s="398" t="n">
        <v>124.8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2340</v>
      </c>
      <c r="G32" s="407" t="n">
        <v>615</v>
      </c>
      <c r="H32" s="407" t="n">
        <v>1519</v>
      </c>
      <c r="I32" s="407" t="n">
        <v>1502</v>
      </c>
      <c r="J32" s="407" t="n">
        <v>2107</v>
      </c>
      <c r="K32" s="407" t="n">
        <v>2970</v>
      </c>
      <c r="L32" s="407" t="n">
        <v>3467</v>
      </c>
      <c r="M32" s="407" t="n">
        <v>2015</v>
      </c>
      <c r="N32" s="407" t="n">
        <v>95</v>
      </c>
      <c r="O32" s="407" t="n">
        <v>2718</v>
      </c>
      <c r="P32" s="407" t="n">
        <v>572</v>
      </c>
      <c r="Q32" s="407" t="n">
        <v>1332</v>
      </c>
      <c r="R32" s="407" t="n">
        <v>1502</v>
      </c>
      <c r="S32" s="407" t="n">
        <v>1881</v>
      </c>
      <c r="T32" s="407" t="n">
        <v>4795</v>
      </c>
      <c r="U32" s="407" t="n">
        <v>3467</v>
      </c>
      <c r="V32" s="407" t="n">
        <v>2024</v>
      </c>
      <c r="W32" s="407" t="n">
        <v>66</v>
      </c>
      <c r="X32" s="407" t="n">
        <v>612</v>
      </c>
      <c r="Y32" s="407" t="n">
        <v>398</v>
      </c>
      <c r="Z32" s="407" t="n">
        <v>497</v>
      </c>
      <c r="AA32" s="407" t="n">
        <v>1962</v>
      </c>
      <c r="AB32" s="407" t="n">
        <v>3253</v>
      </c>
      <c r="AC32" s="407" t="n">
        <v>2317</v>
      </c>
      <c r="AD32" s="407" t="n">
        <v>1190</v>
      </c>
      <c r="AE32" s="407" t="n">
        <v>2235</v>
      </c>
      <c r="AF32" s="407" t="n">
        <v>27</v>
      </c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410" t="n"/>
      <c r="I39" s="410" t="n"/>
      <c r="J39" s="410" t="n"/>
      <c r="K39" s="410" t="n"/>
      <c r="L39" s="410" t="n"/>
      <c r="M39" s="410" t="n"/>
      <c r="N39" s="410" t="n"/>
      <c r="O39" s="410" t="n"/>
      <c r="P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H40" s="410" t="n"/>
      <c r="I40" s="410" t="n"/>
      <c r="J40" s="410" t="n"/>
      <c r="K40" s="410" t="n"/>
      <c r="L40" s="410" t="n"/>
      <c r="M40" s="410" t="n"/>
      <c r="N40" s="410" t="n"/>
      <c r="O40" s="410" t="n"/>
      <c r="P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0" t="n"/>
      <c r="I41" s="410" t="n"/>
      <c r="J41" s="410" t="n"/>
      <c r="K41" s="410" t="n"/>
      <c r="L41" s="410" t="n"/>
      <c r="M41" s="410" t="n"/>
      <c r="N41" s="410" t="n"/>
      <c r="O41" s="410" t="n"/>
      <c r="P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 qh = 17,5 W/m × devre boyu (şablon birim verimi); ısı kaybı hesabı ayrıca yapılmalıdır.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18220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28</t>
        </is>
      </c>
      <c r="E3" s="383" t="inlineStr">
        <is>
          <t>MAX. BASINÇ KAYBI = 4942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2" t="n">
        <v>28</v>
      </c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3" t="inlineStr">
        <is>
          <t>122</t>
        </is>
      </c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wc-duş</t>
        </is>
      </c>
      <c r="AG9" s="395" t="inlineStr">
        <is>
          <t>D6 banyo</t>
        </is>
      </c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396" t="n">
        <v>24</v>
      </c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396" t="n">
        <v>20</v>
      </c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7.86</v>
      </c>
      <c r="H12" s="397" t="n">
        <v>5.62</v>
      </c>
      <c r="I12" s="397" t="n">
        <v>8.74</v>
      </c>
      <c r="J12" s="397" t="n">
        <v>8.789999999999999</v>
      </c>
      <c r="K12" s="397" t="n">
        <v>10.62</v>
      </c>
      <c r="L12" s="397" t="n">
        <v>9.51</v>
      </c>
      <c r="M12" s="397" t="n">
        <v>7.61</v>
      </c>
      <c r="N12" s="397" t="n">
        <v>3.28</v>
      </c>
      <c r="O12" s="397" t="n">
        <v>6.43</v>
      </c>
      <c r="P12" s="397" t="n">
        <v>6.55</v>
      </c>
      <c r="Q12" s="397" t="n">
        <v>7.54</v>
      </c>
      <c r="R12" s="397" t="n">
        <v>8.619999999999999</v>
      </c>
      <c r="S12" s="397" t="n">
        <v>10.99</v>
      </c>
      <c r="T12" s="397" t="n">
        <v>9.76</v>
      </c>
      <c r="U12" s="397" t="n">
        <v>7.29</v>
      </c>
      <c r="V12" s="397" t="n">
        <v>10.21</v>
      </c>
      <c r="W12" s="397" t="n">
        <v>1.93</v>
      </c>
      <c r="X12" s="397" t="n">
        <v>7.83</v>
      </c>
      <c r="Y12" s="397" t="n">
        <v>6.31</v>
      </c>
      <c r="Z12" s="397" t="n">
        <v>7.31</v>
      </c>
      <c r="AA12" s="397" t="n">
        <v>8.800000000000001</v>
      </c>
      <c r="AB12" s="397" t="n">
        <v>8.84</v>
      </c>
      <c r="AC12" s="397" t="n">
        <v>9.789999999999999</v>
      </c>
      <c r="AD12" s="397" t="n">
        <v>10.35</v>
      </c>
      <c r="AE12" s="397" t="n">
        <v>7.61</v>
      </c>
      <c r="AF12" s="397" t="n">
        <v>1.18</v>
      </c>
      <c r="AG12" s="397" t="n">
        <v>2.58</v>
      </c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847.7</v>
      </c>
      <c r="G13" s="398" t="n">
        <v>740.2</v>
      </c>
      <c r="H13" s="398" t="n">
        <v>528.9</v>
      </c>
      <c r="I13" s="398" t="n">
        <v>682.7</v>
      </c>
      <c r="J13" s="398" t="n">
        <v>741</v>
      </c>
      <c r="K13" s="398" t="n">
        <v>1034.2</v>
      </c>
      <c r="L13" s="398" t="n">
        <v>925.4</v>
      </c>
      <c r="M13" s="398" t="n">
        <v>760.9</v>
      </c>
      <c r="N13" s="398" t="n">
        <v>192.5</v>
      </c>
      <c r="O13" s="398" t="n">
        <v>588.3</v>
      </c>
      <c r="P13" s="398" t="n">
        <v>490.9</v>
      </c>
      <c r="Q13" s="398" t="n">
        <v>565.2</v>
      </c>
      <c r="R13" s="398" t="n">
        <v>752.3</v>
      </c>
      <c r="S13" s="398" t="n">
        <v>854</v>
      </c>
      <c r="T13" s="398" t="n">
        <v>759.2</v>
      </c>
      <c r="U13" s="398" t="n">
        <v>543.4</v>
      </c>
      <c r="V13" s="398" t="n">
        <v>788.7</v>
      </c>
      <c r="W13" s="398" t="n">
        <v>124.9</v>
      </c>
      <c r="X13" s="398" t="n">
        <v>844.2</v>
      </c>
      <c r="Y13" s="398" t="n">
        <v>592.5</v>
      </c>
      <c r="Z13" s="398" t="n">
        <v>686.2</v>
      </c>
      <c r="AA13" s="398" t="n">
        <v>710.7</v>
      </c>
      <c r="AB13" s="398" t="n">
        <v>749.7</v>
      </c>
      <c r="AC13" s="398" t="n">
        <v>876.2</v>
      </c>
      <c r="AD13" s="398" t="n">
        <v>926.8</v>
      </c>
      <c r="AE13" s="398" t="n">
        <v>759.7</v>
      </c>
      <c r="AF13" s="398" t="n">
        <v>29</v>
      </c>
      <c r="AG13" s="398" t="n">
        <v>124.8</v>
      </c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399">
        <f>AG13/AG12</f>
        <v/>
      </c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396" t="n">
        <v>0.012</v>
      </c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397" t="n">
        <v>1</v>
      </c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396">
        <f>AG12</f>
        <v/>
      </c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00">
        <f>AG13/AG17</f>
        <v/>
      </c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00">
        <f>AG10+(AG14/8.92)^0.91</f>
        <v/>
      </c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396" t="n">
        <v>45</v>
      </c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396">
        <f>AG20-AG10</f>
        <v/>
      </c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396" t="n">
        <v>15</v>
      </c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03" t="n">
        <v>40</v>
      </c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396">
        <f>AG23-AG10</f>
        <v/>
      </c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396">
        <f>2*(AG21-AG24)</f>
        <v/>
      </c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00">
        <f>0.2*AG14</f>
        <v/>
      </c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05">
        <f>AG17*(AG14+AG26)</f>
        <v/>
      </c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06">
        <f>AG27/(1.163*AG25)</f>
        <v/>
      </c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07">
        <f>AG17/(AG22*0.01)</f>
        <v/>
      </c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08" t="n">
        <v>0</v>
      </c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396">
        <f>AG29+AG30</f>
        <v/>
      </c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2724</v>
      </c>
      <c r="G32" s="407" t="n">
        <v>1876</v>
      </c>
      <c r="H32" s="407" t="n">
        <v>494</v>
      </c>
      <c r="I32" s="407" t="n">
        <v>1502</v>
      </c>
      <c r="J32" s="407" t="n">
        <v>1881</v>
      </c>
      <c r="K32" s="407" t="n">
        <v>4707</v>
      </c>
      <c r="L32" s="407" t="n">
        <v>3467</v>
      </c>
      <c r="M32" s="407" t="n">
        <v>2024</v>
      </c>
      <c r="N32" s="407" t="n">
        <v>65</v>
      </c>
      <c r="O32" s="407" t="n">
        <v>611</v>
      </c>
      <c r="P32" s="407" t="n">
        <v>425</v>
      </c>
      <c r="Q32" s="407" t="n">
        <v>564</v>
      </c>
      <c r="R32" s="407" t="n">
        <v>1962</v>
      </c>
      <c r="S32" s="407" t="n">
        <v>2780</v>
      </c>
      <c r="T32" s="407" t="n">
        <v>2011</v>
      </c>
      <c r="U32" s="407" t="n">
        <v>521</v>
      </c>
      <c r="V32" s="407" t="n">
        <v>2234</v>
      </c>
      <c r="W32" s="407" t="n">
        <v>28</v>
      </c>
      <c r="X32" s="407" t="n">
        <v>2693</v>
      </c>
      <c r="Y32" s="407" t="n">
        <v>1017</v>
      </c>
      <c r="Z32" s="407" t="n">
        <v>1523</v>
      </c>
      <c r="AA32" s="407" t="n">
        <v>1677</v>
      </c>
      <c r="AB32" s="407" t="n">
        <v>1943</v>
      </c>
      <c r="AC32" s="407" t="n">
        <v>2983</v>
      </c>
      <c r="AD32" s="407" t="n">
        <v>3481</v>
      </c>
      <c r="AE32" s="407" t="n">
        <v>2015</v>
      </c>
      <c r="AF32" s="407" t="n">
        <v>1</v>
      </c>
      <c r="AG32" s="407" t="n">
        <v>27</v>
      </c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396">
        <f>AG32*0.05</f>
        <v/>
      </c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396">
        <f>AG32+AG33</f>
        <v/>
      </c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MAX(F34:AG34)-F34</f>
        <v/>
      </c>
      <c r="G35" s="409">
        <f>MAX(F34:AG34)-G34</f>
        <v/>
      </c>
      <c r="H35" s="409">
        <f>MAX(F34:AG34)-H34</f>
        <v/>
      </c>
      <c r="I35" s="409">
        <f>MAX(F34:AG34)-I34</f>
        <v/>
      </c>
      <c r="J35" s="409">
        <f>MAX(F34:AG34)-J34</f>
        <v/>
      </c>
      <c r="K35" s="409">
        <f>MAX(F34:AG34)-K34</f>
        <v/>
      </c>
      <c r="L35" s="409">
        <f>MAX(F34:AG34)-L34</f>
        <v/>
      </c>
      <c r="M35" s="409">
        <f>MAX(F34:AG34)-M34</f>
        <v/>
      </c>
      <c r="N35" s="409">
        <f>MAX(F34:AG34)-N34</f>
        <v/>
      </c>
      <c r="O35" s="409">
        <f>MAX(F34:AG34)-O34</f>
        <v/>
      </c>
      <c r="P35" s="409">
        <f>MAX(F34:AG34)-P34</f>
        <v/>
      </c>
      <c r="Q35" s="409">
        <f>MAX(F34:AG34)-Q34</f>
        <v/>
      </c>
      <c r="R35" s="409">
        <f>MAX(F34:AG34)-R34</f>
        <v/>
      </c>
      <c r="S35" s="409">
        <f>MAX(F34:AG34)-S34</f>
        <v/>
      </c>
      <c r="T35" s="409">
        <f>MAX(F34:AG34)-T34</f>
        <v/>
      </c>
      <c r="U35" s="409">
        <f>MAX(F34:AG34)-U34</f>
        <v/>
      </c>
      <c r="V35" s="409">
        <f>MAX(F34:AG34)-V34</f>
        <v/>
      </c>
      <c r="W35" s="409">
        <f>MAX(F34:AG34)-W34</f>
        <v/>
      </c>
      <c r="X35" s="409">
        <f>MAX(F34:AG34)-X34</f>
        <v/>
      </c>
      <c r="Y35" s="409">
        <f>MAX(F34:AG34)-Y34</f>
        <v/>
      </c>
      <c r="Z35" s="409">
        <f>MAX(F34:AG34)-Z34</f>
        <v/>
      </c>
      <c r="AA35" s="409">
        <f>MAX(F34:AG34)-AA34</f>
        <v/>
      </c>
      <c r="AB35" s="409">
        <f>MAX(F34:AG34)-AB34</f>
        <v/>
      </c>
      <c r="AC35" s="409">
        <f>MAX(F34:AG34)-AC34</f>
        <v/>
      </c>
      <c r="AD35" s="409">
        <f>MAX(F34:AG34)-AD34</f>
        <v/>
      </c>
      <c r="AE35" s="409">
        <f>MAX(F34:AG34)-AE34</f>
        <v/>
      </c>
      <c r="AF35" s="409">
        <f>MAX(F34:AG34)-AF34</f>
        <v/>
      </c>
      <c r="AG35" s="409">
        <f>MAX(F34:AG34)-AG34</f>
        <v/>
      </c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 qh = 17,5 W/m × devre boyu (şablon birim verimi); ısı kaybı hesabı ayrıca yapılmalıdır.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17851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3618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0" t="n"/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6.05</v>
      </c>
      <c r="H12" s="397" t="n">
        <v>7.39</v>
      </c>
      <c r="I12" s="397" t="n">
        <v>8.73</v>
      </c>
      <c r="J12" s="397" t="n">
        <v>8.800000000000001</v>
      </c>
      <c r="K12" s="397" t="n">
        <v>9.69</v>
      </c>
      <c r="L12" s="397" t="n">
        <v>10.34</v>
      </c>
      <c r="M12" s="397" t="n">
        <v>7.57</v>
      </c>
      <c r="N12" s="397" t="n">
        <v>3.33</v>
      </c>
      <c r="O12" s="397" t="n">
        <v>6.92</v>
      </c>
      <c r="P12" s="397" t="n">
        <v>7.39</v>
      </c>
      <c r="Q12" s="397" t="n">
        <v>6.63</v>
      </c>
      <c r="R12" s="397" t="n">
        <v>8.66</v>
      </c>
      <c r="S12" s="397" t="n">
        <v>10.87</v>
      </c>
      <c r="T12" s="397" t="n">
        <v>9.779999999999999</v>
      </c>
      <c r="U12" s="397" t="n">
        <v>7.11</v>
      </c>
      <c r="V12" s="397" t="n">
        <v>10.43</v>
      </c>
      <c r="W12" s="397" t="n">
        <v>1.91</v>
      </c>
      <c r="X12" s="397" t="n">
        <v>7.8</v>
      </c>
      <c r="Y12" s="397" t="n">
        <v>6.29</v>
      </c>
      <c r="Z12" s="397" t="n">
        <v>7.29</v>
      </c>
      <c r="AA12" s="397" t="n">
        <v>8.74</v>
      </c>
      <c r="AB12" s="397" t="n">
        <v>8.85</v>
      </c>
      <c r="AC12" s="397" t="n">
        <v>9.619999999999999</v>
      </c>
      <c r="AD12" s="397" t="n">
        <v>10.36</v>
      </c>
      <c r="AE12" s="397" t="n">
        <v>7.54</v>
      </c>
      <c r="AF12" s="397" t="n">
        <v>3.35</v>
      </c>
      <c r="AG12" s="423" t="n"/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793.5</v>
      </c>
      <c r="G13" s="398" t="n">
        <v>550</v>
      </c>
      <c r="H13" s="398" t="n">
        <v>671.8</v>
      </c>
      <c r="I13" s="398" t="n">
        <v>680.6</v>
      </c>
      <c r="J13" s="398" t="n">
        <v>745.1</v>
      </c>
      <c r="K13" s="398" t="n">
        <v>865</v>
      </c>
      <c r="L13" s="398" t="n">
        <v>923.3</v>
      </c>
      <c r="M13" s="398" t="n">
        <v>752.7</v>
      </c>
      <c r="N13" s="398" t="n">
        <v>211.4</v>
      </c>
      <c r="O13" s="398" t="n">
        <v>594.6</v>
      </c>
      <c r="P13" s="398" t="n">
        <v>491.6</v>
      </c>
      <c r="Q13" s="398" t="n">
        <v>440.6</v>
      </c>
      <c r="R13" s="398" t="n">
        <v>769.5</v>
      </c>
      <c r="S13" s="398" t="n">
        <v>785.6</v>
      </c>
      <c r="T13" s="398" t="n">
        <v>707.2</v>
      </c>
      <c r="U13" s="398" t="n">
        <v>622.3</v>
      </c>
      <c r="V13" s="398" t="n">
        <v>787.9</v>
      </c>
      <c r="W13" s="398" t="n">
        <v>123.7</v>
      </c>
      <c r="X13" s="398" t="n">
        <v>838.9</v>
      </c>
      <c r="Y13" s="398" t="n">
        <v>588.9</v>
      </c>
      <c r="Z13" s="398" t="n">
        <v>683.2</v>
      </c>
      <c r="AA13" s="398" t="n">
        <v>686.2</v>
      </c>
      <c r="AB13" s="398" t="n">
        <v>771.4</v>
      </c>
      <c r="AC13" s="398" t="n">
        <v>856.6</v>
      </c>
      <c r="AD13" s="398" t="n">
        <v>923.3</v>
      </c>
      <c r="AE13" s="398" t="n">
        <v>752.9</v>
      </c>
      <c r="AF13" s="398" t="n">
        <v>233.4</v>
      </c>
      <c r="AG13" s="425" t="n"/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6" t="n"/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3" t="n"/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27" t="n"/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27" t="n"/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28" t="n"/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27" t="n"/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29" t="n"/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30" t="n"/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31" t="n"/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32" t="n"/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2271</v>
      </c>
      <c r="G32" s="407" t="n">
        <v>534</v>
      </c>
      <c r="H32" s="407" t="n">
        <v>1437</v>
      </c>
      <c r="I32" s="407" t="n">
        <v>1489</v>
      </c>
      <c r="J32" s="407" t="n">
        <v>1911</v>
      </c>
      <c r="K32" s="407" t="n">
        <v>2880</v>
      </c>
      <c r="L32" s="407" t="n">
        <v>3445</v>
      </c>
      <c r="M32" s="407" t="n">
        <v>1964</v>
      </c>
      <c r="N32" s="407" t="n">
        <v>79</v>
      </c>
      <c r="O32" s="407" t="n">
        <v>1027</v>
      </c>
      <c r="P32" s="407" t="n">
        <v>426</v>
      </c>
      <c r="Q32" s="407" t="n">
        <v>343</v>
      </c>
      <c r="R32" s="407" t="n">
        <v>2087</v>
      </c>
      <c r="S32" s="407" t="n">
        <v>2210</v>
      </c>
      <c r="T32" s="407" t="n">
        <v>1655</v>
      </c>
      <c r="U32" s="407" t="n">
        <v>1164</v>
      </c>
      <c r="V32" s="407" t="n">
        <v>2227</v>
      </c>
      <c r="W32" s="407" t="n">
        <v>27</v>
      </c>
      <c r="X32" s="407" t="n">
        <v>2647</v>
      </c>
      <c r="Y32" s="407" t="n">
        <v>612</v>
      </c>
      <c r="Z32" s="407" t="n">
        <v>1505</v>
      </c>
      <c r="AA32" s="407" t="n">
        <v>1523</v>
      </c>
      <c r="AB32" s="407" t="n">
        <v>2102</v>
      </c>
      <c r="AC32" s="407" t="n">
        <v>2804</v>
      </c>
      <c r="AD32" s="407" t="n">
        <v>3445</v>
      </c>
      <c r="AE32" s="407" t="n">
        <v>1966</v>
      </c>
      <c r="AF32" s="407" t="n">
        <v>96</v>
      </c>
      <c r="AG32" s="431" t="n"/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27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  <c r="AG35" s="433" t="n"/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 qh = 17,5 W/m × devre boyu (şablon birim verimi); ısı kaybı hesabı ayrıca yapılmalıdır.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2026-10-14T22:16:33Z</dcterms:modified>
  <cp:lastModifiedBy>Can Özkaya</cp:lastModifiedBy>
  <cp:revision>0</cp:revision>
  <cp:lastPrinted>2022-06-03T11:29:57Z</cp:lastPrinted>
</cp:coreProperties>
</file>