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pak" sheetId="1" state="visible" r:id="rId1"/>
    <sheet xmlns:r="http://schemas.openxmlformats.org/officeDocument/2006/relationships" name="TEKNİK RAPOR" sheetId="2" state="visible" r:id="rId2"/>
    <sheet xmlns:r="http://schemas.openxmlformats.org/officeDocument/2006/relationships" name="PETEK LİST" sheetId="3" state="visible" r:id="rId3"/>
    <sheet xmlns:r="http://schemas.openxmlformats.org/officeDocument/2006/relationships" name="YERDEN ISITMA" sheetId="4" state="visible" r:id="rId4"/>
    <sheet xmlns:r="http://schemas.openxmlformats.org/officeDocument/2006/relationships" name="MMO YERDEN ISITMA" sheetId="5" state="visible" r:id="rId5"/>
    <sheet xmlns:r="http://schemas.openxmlformats.org/officeDocument/2006/relationships" name="YERDEN ISITMA- DEVAMI" sheetId="6" state="visible" r:id="rId6"/>
    <sheet xmlns:r="http://schemas.openxmlformats.org/officeDocument/2006/relationships" name="YERDEN ISITMA- DEVAMI (2)" sheetId="7" state="visible" r:id="rId7"/>
  </sheets>
  <definedNames>
    <definedName name="_xlnm.Print_Area" localSheetId="0">'kapak'!$A$1:$I$42</definedName>
    <definedName name="_xlnm.Print_Area" localSheetId="1">'TEKNİK RAPOR'!$A$1:$H$48</definedName>
    <definedName name="_xlnm.Print_Area" localSheetId="2">'PETEK LİST'!$A$1:$P$76</definedName>
    <definedName name="_xlnm.Print_Area" localSheetId="3">'YERDEN ISITMA'!$A$1:$N$76</definedName>
    <definedName name="_xlnm.Print_Area" localSheetId="4">'MMO YERDEN ISITMA'!$A$1:$AF$47</definedName>
    <definedName name="_xlnm.Print_Area" localSheetId="5">'YERDEN ISITMA- DEVAMI'!$A$1:$AF$47</definedName>
    <definedName name="_xlnm.Print_Area" localSheetId="6">'YERDEN ISITMA- DEVAMI (2)'!$A$1:$AF$47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[$-409]d\-mmm"/>
    <numFmt numFmtId="165" formatCode="[$-409]m/d/yyyy"/>
    <numFmt numFmtId="166" formatCode="General&quot; W/m²K&quot;"/>
    <numFmt numFmtId="167" formatCode="00000"/>
    <numFmt numFmtId="168" formatCode="#,##0&quot;  &quot;"/>
    <numFmt numFmtId="169" formatCode="&quot;  &quot;@"/>
  </numFmts>
  <fonts count="57">
    <font>
      <name val="Arial Tur"/>
      <charset val="162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62"/>
      <family val="2"/>
      <sz val="10"/>
    </font>
    <font>
      <name val="Calibri"/>
      <charset val="162"/>
      <family val="2"/>
      <color rgb="FF000000"/>
      <sz val="12"/>
    </font>
    <font>
      <name val="Swis721 Cn BT"/>
      <family val="2"/>
      <b val="1"/>
      <color rgb="FF000000"/>
      <sz val="40"/>
    </font>
    <font>
      <name val="Swis721 Cn BT"/>
      <family val="2"/>
      <b val="1"/>
      <color rgb="FF000000"/>
      <sz val="16"/>
    </font>
    <font>
      <name val="Times New Roman"/>
      <charset val="162"/>
      <family val="1"/>
      <b val="1"/>
      <color rgb="FF000000"/>
      <sz val="10"/>
    </font>
    <font>
      <name val="Times New Roman"/>
      <charset val="162"/>
      <family val="1"/>
      <b val="1"/>
      <color rgb="FF000000"/>
      <sz val="12"/>
    </font>
    <font>
      <name val="Calibri"/>
      <charset val="162"/>
      <family val="2"/>
      <color rgb="FF000000"/>
      <sz val="20"/>
    </font>
    <font>
      <name val="Calibri"/>
      <charset val="162"/>
      <family val="2"/>
      <b val="1"/>
      <color rgb="FF000000"/>
      <sz val="28"/>
    </font>
    <font>
      <name val="Calibri"/>
      <charset val="162"/>
      <family val="2"/>
      <color rgb="FF000000"/>
      <sz val="16"/>
    </font>
    <font>
      <name val="Calibri"/>
      <charset val="162"/>
      <family val="2"/>
      <color rgb="FF000000"/>
      <sz val="14"/>
    </font>
    <font>
      <name val="Arial Tur"/>
      <charset val="162"/>
      <family val="0"/>
      <b val="1"/>
      <sz val="14"/>
    </font>
    <font>
      <name val="Arial Tur"/>
      <charset val="162"/>
      <family val="2"/>
      <b val="1"/>
      <sz val="14"/>
    </font>
    <font>
      <name val="Arial Tur"/>
      <charset val="162"/>
      <family val="0"/>
      <b val="1"/>
      <sz val="10"/>
    </font>
    <font>
      <name val="Arial Tur"/>
      <charset val="162"/>
      <family val="2"/>
      <b val="1"/>
      <sz val="12"/>
    </font>
    <font>
      <name val="Arial Tur"/>
      <charset val="162"/>
      <family val="2"/>
      <sz val="12"/>
    </font>
    <font>
      <name val="Arial Tur"/>
      <charset val="162"/>
      <family val="0"/>
      <b val="1"/>
      <sz val="12"/>
    </font>
    <font>
      <name val="Arial Tur"/>
      <charset val="162"/>
      <family val="2"/>
      <sz val="11"/>
    </font>
    <font>
      <name val="Arial Tur"/>
      <charset val="162"/>
      <family val="0"/>
      <color rgb="FFFF0000"/>
      <sz val="12"/>
    </font>
    <font>
      <name val="Arial Tur"/>
      <charset val="162"/>
      <family val="0"/>
      <color rgb="FFFF0000"/>
      <sz val="9"/>
    </font>
    <font>
      <name val="Arial Tur"/>
      <charset val="162"/>
      <family val="2"/>
      <color rgb="FFFF0000"/>
      <sz val="9"/>
    </font>
    <font>
      <name val="Arial Tur"/>
      <charset val="162"/>
      <family val="0"/>
      <sz val="9"/>
    </font>
    <font>
      <name val="Arial Tur"/>
      <charset val="162"/>
      <family val="0"/>
      <sz val="8"/>
    </font>
    <font>
      <name val="Arial"/>
      <charset val="162"/>
      <family val="2"/>
      <sz val="8"/>
    </font>
    <font>
      <name val="Arial Tur"/>
      <charset val="162"/>
      <family val="2"/>
      <b val="1"/>
      <sz val="11"/>
    </font>
    <font>
      <name val="Arial Tur"/>
      <charset val="162"/>
      <family val="0"/>
      <sz val="7.5"/>
    </font>
    <font>
      <name val="Arial"/>
      <charset val="162"/>
      <family val="2"/>
      <sz val="7.5"/>
    </font>
    <font>
      <name val="Arial Tur"/>
      <charset val="162"/>
      <family val="0"/>
      <b val="1"/>
      <sz val="7.5"/>
    </font>
    <font>
      <name val="Symbol"/>
      <charset val="2"/>
      <family val="1"/>
      <sz val="7.5"/>
    </font>
    <font>
      <name val="Arial Tur"/>
      <charset val="162"/>
      <family val="2"/>
      <sz val="7.5"/>
    </font>
    <font>
      <name val="Arial Tur"/>
      <charset val="162"/>
      <family val="0"/>
      <sz val="7.5"/>
      <u val="single"/>
    </font>
    <font>
      <name val="Arial Tur"/>
      <charset val="162"/>
      <family val="0"/>
      <sz val="5"/>
    </font>
    <font>
      <name val="Arial Tur"/>
      <charset val="162"/>
      <family val="2"/>
      <i val="1"/>
      <sz val="7.5"/>
    </font>
    <font>
      <name val="Symbol"/>
      <charset val="2"/>
      <family val="1"/>
      <i val="1"/>
      <sz val="7.5"/>
    </font>
    <font>
      <name val="Arial Tur"/>
      <charset val="162"/>
      <family val="0"/>
      <i val="1"/>
      <sz val="7.5"/>
    </font>
    <font>
      <name val="Arial Tur"/>
      <charset val="162"/>
      <family val="2"/>
      <b val="1"/>
      <sz val="7.5"/>
    </font>
    <font>
      <name val="Arial"/>
      <charset val="162"/>
      <family val="2"/>
      <sz val="9"/>
    </font>
    <font>
      <name val="Arial"/>
      <charset val="162"/>
      <family val="2"/>
      <sz val="10"/>
      <vertAlign val="superscript"/>
    </font>
    <font>
      <name val="Arial"/>
      <charset val="162"/>
      <family val="2"/>
      <sz val="14"/>
    </font>
    <font>
      <name val="Arial Tur"/>
      <charset val="162"/>
      <family val="2"/>
      <sz val="8"/>
    </font>
    <font>
      <name val="Arial Tur"/>
      <charset val="162"/>
      <family val="0"/>
      <sz val="8"/>
      <vertAlign val="superscript"/>
    </font>
    <font>
      <name val="Arial Tur"/>
      <charset val="162"/>
      <family val="2"/>
      <sz val="8"/>
      <vertAlign val="superscript"/>
    </font>
    <font>
      <name val="Arial Tur"/>
      <charset val="162"/>
      <family val="2"/>
      <sz val="9"/>
    </font>
    <font>
      <name val="Arial Tur"/>
      <charset val="162"/>
      <family val="0"/>
      <sz val="6.5"/>
    </font>
    <font>
      <name val="Arial Tur"/>
      <charset val="162"/>
      <family val="0"/>
      <b val="1"/>
      <sz val="11"/>
    </font>
    <font>
      <name val="Arial Tur"/>
      <charset val="162"/>
      <family val="0"/>
      <b val="1"/>
      <sz val="9"/>
    </font>
    <font>
      <name val="Arial Tur"/>
      <charset val="162"/>
      <family val="2"/>
      <sz val="10"/>
    </font>
    <font>
      <name val="Arial Tur"/>
      <charset val="162"/>
      <family val="0"/>
      <sz val="8.5"/>
    </font>
    <font>
      <name val="Arial Tur"/>
      <charset val="162"/>
      <family val="0"/>
      <color rgb="FFFF0000"/>
      <sz val="10"/>
    </font>
    <font>
      <name val="Arial Tur"/>
      <family val="0"/>
      <color rgb="FF000000"/>
      <sz val="11"/>
    </font>
    <font>
      <name val="DejaVu Sans"/>
      <family val="2"/>
      <color rgb="FF000000"/>
      <sz val="11"/>
    </font>
    <font>
      <name val="Cambria Math"/>
      <family val="0"/>
      <color rgb="FF000000"/>
      <sz val="11"/>
    </font>
    <font>
      <b val="1"/>
      <color rgb="00C00000"/>
    </font>
    <font>
      <color rgb="00C00000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00FFC7CE"/>
      </patternFill>
    </fill>
  </fills>
  <borders count="54">
    <border>
      <left/>
      <right/>
      <top/>
      <bottom/>
      <diagonal/>
    </border>
    <border>
      <left style="double"/>
      <right style="double"/>
      <top style="double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double"/>
      <top style="thin"/>
      <bottom/>
      <diagonal/>
    </border>
    <border>
      <left style="double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 style="hair"/>
      <right style="thin"/>
      <top style="hair"/>
      <bottom style="hair"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 style="double"/>
      <top style="thin"/>
      <bottom/>
      <diagonal/>
    </border>
    <border>
      <left style="double"/>
      <right/>
      <top/>
      <bottom style="thin"/>
      <diagonal/>
    </border>
    <border>
      <left/>
      <right style="double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 style="thin"/>
      <right style="double"/>
      <top/>
      <bottom/>
      <diagonal/>
    </border>
    <border>
      <left style="thin"/>
      <right style="double"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9" fontId="0" fillId="0" borderId="0"/>
  </cellStyleXfs>
  <cellXfs count="437"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12" fillId="0" borderId="5" applyAlignment="1" pivotButton="0" quotePrefix="0" xfId="0">
      <alignment horizontal="left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center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5" fillId="0" borderId="18" applyAlignment="1" pivotButton="0" quotePrefix="0" xfId="0">
      <alignment horizontal="general" vertical="center"/>
    </xf>
    <xf numFmtId="0" fontId="25" fillId="0" borderId="19" applyAlignment="1" pivotButton="0" quotePrefix="0" xfId="0">
      <alignment horizontal="general" vertical="center"/>
    </xf>
    <xf numFmtId="0" fontId="26" fillId="0" borderId="18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center"/>
    </xf>
    <xf numFmtId="0" fontId="27" fillId="0" borderId="19" applyAlignment="1" pivotButton="0" quotePrefix="0" xfId="0">
      <alignment horizontal="left" vertical="center"/>
    </xf>
    <xf numFmtId="0" fontId="25" fillId="0" borderId="20" applyAlignment="1" pivotButton="0" quotePrefix="0" xfId="0">
      <alignment horizontal="general" vertical="center"/>
    </xf>
    <xf numFmtId="0" fontId="25" fillId="0" borderId="4" applyAlignment="1" pivotButton="0" quotePrefix="0" xfId="0">
      <alignment horizontal="center" vertical="center"/>
    </xf>
    <xf numFmtId="0" fontId="25" fillId="0" borderId="4" applyAlignment="1" applyProtection="1" pivotButton="0" quotePrefix="0" xfId="0">
      <alignment horizontal="center" vertical="center"/>
      <protection locked="0" hidden="0"/>
    </xf>
    <xf numFmtId="165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pivotButton="0" quotePrefix="0" xfId="0">
      <alignment horizontal="general" vertical="center"/>
    </xf>
    <xf numFmtId="0" fontId="28" fillId="0" borderId="21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29" fillId="0" borderId="22" applyAlignment="1" pivotButton="0" quotePrefix="0" xfId="0">
      <alignment horizontal="general" vertical="center"/>
    </xf>
    <xf numFmtId="0" fontId="29" fillId="0" borderId="23" applyAlignment="1" pivotButton="0" quotePrefix="0" xfId="0">
      <alignment horizontal="general" vertical="center"/>
    </xf>
    <xf numFmtId="0" fontId="29" fillId="0" borderId="23" applyAlignment="1" applyProtection="1" pivotButton="0" quotePrefix="0" xfId="0">
      <alignment horizontal="general" vertical="center"/>
      <protection locked="0" hidden="0"/>
    </xf>
    <xf numFmtId="0" fontId="28" fillId="0" borderId="23" applyAlignment="1" applyProtection="1" pivotButton="0" quotePrefix="0" xfId="0">
      <alignment horizontal="general" vertical="center"/>
      <protection locked="0" hidden="0"/>
    </xf>
    <xf numFmtId="0" fontId="28" fillId="0" borderId="24" applyAlignment="1" applyProtection="1" pivotButton="0" quotePrefix="0" xfId="0">
      <alignment horizontal="general" vertical="center"/>
      <protection locked="0" hidden="0"/>
    </xf>
    <xf numFmtId="0" fontId="28" fillId="0" borderId="4" applyAlignment="1" pivotButton="0" quotePrefix="0" xfId="0">
      <alignment horizontal="center" vertical="center"/>
    </xf>
    <xf numFmtId="0" fontId="28" fillId="0" borderId="4" applyAlignment="1" applyProtection="1" pivotButton="0" quotePrefix="0" xfId="0">
      <alignment horizontal="center" vertical="center"/>
      <protection locked="0" hidden="0"/>
    </xf>
    <xf numFmtId="0" fontId="30" fillId="0" borderId="25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/>
    </xf>
    <xf numFmtId="0" fontId="28" fillId="0" borderId="4" applyAlignment="1" pivotButton="0" quotePrefix="0" xfId="0">
      <alignment horizontal="center" vertical="center" textRotation="90" wrapText="1"/>
    </xf>
    <xf numFmtId="0" fontId="28" fillId="0" borderId="0" applyAlignment="1" pivotButton="0" quotePrefix="0" xfId="0">
      <alignment horizontal="general" vertical="bottom"/>
    </xf>
    <xf numFmtId="0" fontId="28" fillId="0" borderId="4" applyAlignment="1" pivotButton="0" quotePrefix="0" xfId="0">
      <alignment horizontal="center" vertical="bottom"/>
    </xf>
    <xf numFmtId="0" fontId="31" fillId="0" borderId="4" applyAlignment="1" pivotButton="0" quotePrefix="0" xfId="0">
      <alignment horizontal="center" vertical="bottom"/>
    </xf>
    <xf numFmtId="0" fontId="33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28" fillId="0" borderId="25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general" vertical="center"/>
      <protection locked="0" hidden="0"/>
    </xf>
    <xf numFmtId="0" fontId="28" fillId="0" borderId="27" applyAlignment="1" applyProtection="1" pivotButton="0" quotePrefix="0" xfId="0">
      <alignment horizontal="right" vertical="center"/>
      <protection locked="0" hidden="0"/>
    </xf>
    <xf numFmtId="0" fontId="28" fillId="0" borderId="27" applyAlignment="1" applyProtection="1" pivotButton="0" quotePrefix="0" xfId="0">
      <alignment horizontal="center" vertical="center"/>
      <protection locked="0" hidden="0"/>
    </xf>
    <xf numFmtId="0" fontId="34" fillId="0" borderId="27" applyAlignment="1" applyProtection="1" pivotButton="0" quotePrefix="0" xfId="0">
      <alignment horizontal="center" vertical="center"/>
      <protection locked="0" hidden="0"/>
    </xf>
    <xf numFmtId="0" fontId="28" fillId="0" borderId="26" applyAlignment="1" applyProtection="1" pivotButton="0" quotePrefix="0" xfId="0">
      <alignment horizontal="general" vertical="center"/>
      <protection locked="0" hidden="0"/>
    </xf>
    <xf numFmtId="0" fontId="28" fillId="0" borderId="28" applyAlignment="1" applyProtection="1" pivotButton="0" quotePrefix="0" xfId="0">
      <alignment horizontal="center" vertical="center"/>
      <protection locked="0" hidden="0"/>
    </xf>
    <xf numFmtId="167" fontId="28" fillId="0" borderId="29" applyAlignment="1" applyProtection="1" pivotButton="0" quotePrefix="0" xfId="0">
      <alignment horizontal="center" vertical="center"/>
      <protection locked="0" hidden="0"/>
    </xf>
    <xf numFmtId="167" fontId="28" fillId="0" borderId="30" applyAlignment="1" applyProtection="1" pivotButton="0" quotePrefix="0" xfId="0">
      <alignment horizontal="center" vertical="center"/>
      <protection locked="0" hidden="0"/>
    </xf>
    <xf numFmtId="4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29" applyAlignment="1" pivotButton="0" quotePrefix="0" xfId="0">
      <alignment horizontal="center" vertical="center"/>
    </xf>
    <xf numFmtId="3" fontId="28" fillId="0" borderId="29" applyAlignment="1" applyProtection="1" pivotButton="0" quotePrefix="0" xfId="0">
      <alignment horizontal="center" vertical="center"/>
      <protection locked="0" hidden="0"/>
    </xf>
    <xf numFmtId="4" fontId="28" fillId="0" borderId="30" applyAlignment="1" applyProtection="1" pivotButton="0" quotePrefix="0" xfId="0">
      <alignment horizontal="center" vertical="center"/>
      <protection locked="0" hidden="0"/>
    </xf>
    <xf numFmtId="168" fontId="28" fillId="0" borderId="31" applyAlignment="1" pivotButton="0" quotePrefix="0" xfId="0">
      <alignment horizontal="right" vertical="center"/>
    </xf>
    <xf numFmtId="3" fontId="28" fillId="0" borderId="32" applyAlignment="1" applyProtection="1" pivotButton="0" quotePrefix="0" xfId="0">
      <alignment horizontal="center" vertical="center"/>
      <protection locked="0" hidden="0"/>
    </xf>
    <xf numFmtId="168" fontId="28" fillId="0" borderId="30" applyAlignment="1" pivotButton="0" quotePrefix="0" xfId="0">
      <alignment horizontal="right" vertical="center"/>
    </xf>
    <xf numFmtId="168" fontId="28" fillId="0" borderId="33" applyAlignment="1" pivotButton="0" quotePrefix="0" xfId="0">
      <alignment horizontal="right" vertical="center"/>
    </xf>
    <xf numFmtId="0" fontId="28" fillId="0" borderId="22" applyAlignment="1" pivotButton="0" quotePrefix="0" xfId="0">
      <alignment horizontal="center" vertical="center"/>
    </xf>
    <xf numFmtId="167" fontId="28" fillId="0" borderId="23" applyAlignment="1" pivotButton="0" quotePrefix="0" xfId="0">
      <alignment horizontal="center" vertical="center"/>
    </xf>
    <xf numFmtId="4" fontId="28" fillId="0" borderId="23" applyAlignment="1" pivotButton="0" quotePrefix="0" xfId="0">
      <alignment horizontal="center" vertical="center"/>
    </xf>
    <xf numFmtId="3" fontId="28" fillId="0" borderId="23" applyAlignment="1" pivotButton="0" quotePrefix="0" xfId="0">
      <alignment horizontal="center" vertical="center"/>
    </xf>
    <xf numFmtId="168" fontId="28" fillId="0" borderId="34" applyAlignment="1" pivotButton="0" quotePrefix="0" xfId="0">
      <alignment horizontal="right" vertical="center"/>
    </xf>
    <xf numFmtId="3" fontId="28" fillId="0" borderId="4" applyAlignment="1" applyProtection="1" pivotButton="0" quotePrefix="0" xfId="0">
      <alignment horizontal="center" vertical="center"/>
      <protection locked="0" hidden="0"/>
    </xf>
    <xf numFmtId="4" fontId="28" fillId="0" borderId="4" applyAlignment="1" pivotButton="0" quotePrefix="0" xfId="0">
      <alignment horizontal="center" vertical="center"/>
    </xf>
    <xf numFmtId="168" fontId="28" fillId="0" borderId="4" applyAlignment="1" pivotButton="0" quotePrefix="0" xfId="0">
      <alignment horizontal="right" vertical="center"/>
    </xf>
    <xf numFmtId="0" fontId="28" fillId="0" borderId="18" applyAlignment="1" pivotButton="0" quotePrefix="0" xfId="0">
      <alignment horizontal="center" vertical="center"/>
    </xf>
    <xf numFmtId="49" fontId="28" fillId="0" borderId="19" applyAlignment="1" pivotButton="0" quotePrefix="0" xfId="0">
      <alignment horizontal="center" vertical="center"/>
    </xf>
    <xf numFmtId="4" fontId="28" fillId="0" borderId="19" applyAlignment="1" pivotButton="0" quotePrefix="0" xfId="0">
      <alignment horizontal="left" vertical="center"/>
    </xf>
    <xf numFmtId="4" fontId="35" fillId="0" borderId="19" applyAlignment="1" pivotButton="0" quotePrefix="0" xfId="0">
      <alignment horizontal="left" vertical="center"/>
    </xf>
    <xf numFmtId="4" fontId="28" fillId="0" borderId="19" applyAlignment="1" pivotButton="0" quotePrefix="0" xfId="0">
      <alignment horizontal="center" vertical="center"/>
    </xf>
    <xf numFmtId="3" fontId="28" fillId="0" borderId="19" applyAlignment="1" pivotButton="0" quotePrefix="0" xfId="0">
      <alignment horizontal="center" vertical="center"/>
    </xf>
    <xf numFmtId="4" fontId="31" fillId="0" borderId="19" applyAlignment="1" pivotButton="0" quotePrefix="0" xfId="0">
      <alignment horizontal="right" vertical="center"/>
    </xf>
    <xf numFmtId="4" fontId="32" fillId="0" borderId="0" applyAlignment="1" pivotButton="0" quotePrefix="0" xfId="0">
      <alignment horizontal="right" vertical="center"/>
    </xf>
    <xf numFmtId="168" fontId="28" fillId="0" borderId="19" applyAlignment="1" pivotButton="0" quotePrefix="0" xfId="0">
      <alignment horizontal="center" vertical="center"/>
    </xf>
    <xf numFmtId="0" fontId="31" fillId="0" borderId="19" applyAlignment="1" pivotButton="0" quotePrefix="0" xfId="0">
      <alignment horizontal="center" vertical="center"/>
    </xf>
    <xf numFmtId="168" fontId="28" fillId="0" borderId="2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5" fillId="0" borderId="21" applyAlignment="1" pivotButton="0" quotePrefix="0" xfId="0">
      <alignment horizontal="left" vertical="center"/>
    </xf>
    <xf numFmtId="4" fontId="28" fillId="0" borderId="0" applyAlignment="1" pivotButton="0" quotePrefix="0" xfId="0">
      <alignment horizontal="left" vertical="center"/>
    </xf>
    <xf numFmtId="4" fontId="36" fillId="0" borderId="0" applyAlignment="1" pivotButton="0" quotePrefix="0" xfId="0">
      <alignment horizontal="right" vertical="center"/>
    </xf>
    <xf numFmtId="4" fontId="37" fillId="0" borderId="0" applyAlignment="1" pivotButton="0" quotePrefix="0" xfId="0">
      <alignment horizontal="left" vertical="center"/>
    </xf>
    <xf numFmtId="3" fontId="37" fillId="0" borderId="25" applyAlignment="1" pivotButton="0" quotePrefix="0" xfId="0">
      <alignment horizontal="left" vertical="center"/>
    </xf>
    <xf numFmtId="4" fontId="37" fillId="0" borderId="27" applyAlignment="1" pivotButton="0" quotePrefix="0" xfId="0">
      <alignment horizontal="left" vertical="center"/>
    </xf>
    <xf numFmtId="4" fontId="28" fillId="0" borderId="27" applyAlignment="1" pivotButton="0" quotePrefix="0" xfId="0">
      <alignment horizontal="center" vertical="center"/>
    </xf>
    <xf numFmtId="4" fontId="32" fillId="0" borderId="26" applyAlignment="1" pivotButton="0" quotePrefix="0" xfId="0">
      <alignment horizontal="right" vertical="center"/>
    </xf>
    <xf numFmtId="4" fontId="28" fillId="0" borderId="4" applyAlignment="1" applyProtection="1" pivotButton="0" quotePrefix="0" xfId="0">
      <alignment horizontal="center" vertical="center"/>
      <protection locked="0" hidden="0"/>
    </xf>
    <xf numFmtId="0" fontId="28" fillId="0" borderId="21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right" vertical="center"/>
    </xf>
    <xf numFmtId="4" fontId="38" fillId="0" borderId="0" applyAlignment="1" pivotButton="0" quotePrefix="0" xfId="0">
      <alignment horizontal="left" vertical="center"/>
    </xf>
    <xf numFmtId="3" fontId="38" fillId="0" borderId="0" applyAlignment="1" pivotButton="0" quotePrefix="0" xfId="0">
      <alignment horizontal="left" vertical="center"/>
    </xf>
    <xf numFmtId="168" fontId="38" fillId="0" borderId="35" applyAlignment="1" pivotButton="0" quotePrefix="0" xfId="0">
      <alignment horizontal="right" vertical="center"/>
    </xf>
    <xf numFmtId="169" fontId="28" fillId="0" borderId="25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general" vertical="center"/>
      <protection locked="0" hidden="0"/>
    </xf>
    <xf numFmtId="169" fontId="28" fillId="0" borderId="27" applyAlignment="1" applyProtection="1" pivotButton="0" quotePrefix="0" xfId="0">
      <alignment horizontal="center" vertical="center"/>
      <protection locked="0" hidden="0"/>
    </xf>
    <xf numFmtId="169" fontId="28" fillId="0" borderId="26" applyAlignment="1" applyProtection="1" pivotButton="0" quotePrefix="0" xfId="0">
      <alignment horizontal="general" vertical="center"/>
      <protection locked="0" hidden="0"/>
    </xf>
    <xf numFmtId="4" fontId="28" fillId="0" borderId="0" applyAlignment="1" pivotButton="0" quotePrefix="0" xfId="0">
      <alignment horizontal="center" vertical="center"/>
    </xf>
    <xf numFmtId="4" fontId="28" fillId="0" borderId="0" applyAlignment="1" pivotButton="0" quotePrefix="0" xfId="0">
      <alignment horizontal="center" vertical="center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center"/>
    </xf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20">
      <alignment horizontal="center" vertical="bottom"/>
    </xf>
    <xf numFmtId="4" fontId="4" fillId="2" borderId="4" applyAlignment="1" pivotButton="0" quotePrefix="0" xfId="20">
      <alignment horizontal="left" vertical="bottom"/>
    </xf>
    <xf numFmtId="0" fontId="4" fillId="2" borderId="4" applyAlignment="1" pivotButton="0" quotePrefix="0" xfId="2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4" fillId="0" borderId="4" applyAlignment="1" pivotButton="0" quotePrefix="0" xfId="20">
      <alignment horizontal="center" vertical="bottom"/>
    </xf>
    <xf numFmtId="3" fontId="0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47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48" fillId="0" borderId="4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50" fillId="0" borderId="25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0" fontId="19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bottom"/>
    </xf>
    <xf numFmtId="0" fontId="0" fillId="0" borderId="39" pivotButton="0" quotePrefix="0" xfId="0"/>
    <xf numFmtId="0" fontId="0" fillId="0" borderId="4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bottom" wrapText="1"/>
    </xf>
    <xf numFmtId="0" fontId="0" fillId="0" borderId="19" pivotButton="0" quotePrefix="0" xfId="0"/>
    <xf numFmtId="0" fontId="0" fillId="0" borderId="41" pivotButton="0" quotePrefix="0" xfId="0"/>
    <xf numFmtId="0" fontId="10" fillId="0" borderId="0" applyAlignment="1" pivotButton="0" quotePrefix="0" xfId="0">
      <alignment horizontal="general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42" pivotButton="0" quotePrefix="0" xfId="0"/>
    <xf numFmtId="0" fontId="0" fillId="0" borderId="23" pivotButton="0" quotePrefix="0" xfId="0"/>
    <xf numFmtId="0" fontId="0" fillId="0" borderId="43" pivotButton="0" quotePrefix="0" xfId="0"/>
    <xf numFmtId="0" fontId="0" fillId="0" borderId="3" applyAlignment="1" pivotButton="0" quotePrefix="0" xfId="0">
      <alignment horizontal="general" vertical="center"/>
    </xf>
    <xf numFmtId="0" fontId="0" fillId="0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44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20" pivotButton="0" quotePrefix="0" xfId="0"/>
    <xf numFmtId="0" fontId="12" fillId="0" borderId="5" applyAlignment="1" pivotButton="0" quotePrefix="0" xfId="0">
      <alignment horizontal="left" vertical="bottom"/>
    </xf>
    <xf numFmtId="0" fontId="0" fillId="0" borderId="24" pivotButton="0" quotePrefix="0" xfId="0"/>
    <xf numFmtId="0" fontId="0" fillId="0" borderId="22" pivotButton="0" quotePrefix="0" xfId="0"/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3" fillId="0" borderId="8" applyAlignment="1" pivotButton="0" quotePrefix="0" xfId="0">
      <alignment horizontal="center" vertical="bottom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general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17" pivotButton="0" quotePrefix="0" xfId="0"/>
    <xf numFmtId="0" fontId="14" fillId="0" borderId="12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51" pivotButton="0" quotePrefix="0" xfId="0"/>
    <xf numFmtId="0" fontId="0" fillId="0" borderId="13" applyAlignment="1" pivotButton="0" quotePrefix="0" xfId="0">
      <alignment horizontal="center" vertical="bottom"/>
    </xf>
    <xf numFmtId="0" fontId="0" fillId="0" borderId="14" applyAlignment="1" pivotButton="0" quotePrefix="0" xfId="0">
      <alignment horizontal="center" vertical="bottom"/>
    </xf>
    <xf numFmtId="0" fontId="0" fillId="0" borderId="34" pivotButton="0" quotePrefix="0" xfId="0"/>
    <xf numFmtId="0" fontId="0" fillId="0" borderId="53" pivotButton="0" quotePrefix="0" xfId="0"/>
    <xf numFmtId="0" fontId="0" fillId="0" borderId="3" applyAlignment="1" pivotButton="0" quotePrefix="0" xfId="0">
      <alignment horizontal="left" vertical="bottom"/>
    </xf>
    <xf numFmtId="0" fontId="0" fillId="0" borderId="4" applyAlignment="1" pivotButton="0" quotePrefix="0" xfId="0">
      <alignment horizontal="left" vertical="bottom"/>
    </xf>
    <xf numFmtId="165" fontId="0" fillId="0" borderId="5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5" fillId="0" borderId="7" applyAlignment="1" pivotButton="0" quotePrefix="0" xfId="0">
      <alignment horizontal="general" vertical="bottom"/>
    </xf>
    <xf numFmtId="0" fontId="16" fillId="0" borderId="6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7" fillId="0" borderId="7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left" vertical="bottom" wrapText="1"/>
    </xf>
    <xf numFmtId="0" fontId="18" fillId="0" borderId="7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 vertical="bottom"/>
    </xf>
    <xf numFmtId="166" fontId="24" fillId="0" borderId="0" applyAlignment="1" pivotButton="0" quotePrefix="0" xfId="0">
      <alignment horizontal="left" vertical="bottom" wrapText="1"/>
    </xf>
    <xf numFmtId="0" fontId="18" fillId="0" borderId="0" applyAlignment="1" pivotButton="0" quotePrefix="0" xfId="0">
      <alignment horizontal="right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4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/>
    </xf>
    <xf numFmtId="0" fontId="4" fillId="0" borderId="4" applyAlignment="1" pivotButton="0" quotePrefix="0" xfId="20">
      <alignment horizontal="center" vertical="center" wrapText="1"/>
    </xf>
    <xf numFmtId="0" fontId="4" fillId="0" borderId="4" applyAlignment="1" pivotButton="0" quotePrefix="0" xfId="20">
      <alignment horizontal="center" vertical="center"/>
    </xf>
    <xf numFmtId="0" fontId="0" fillId="0" borderId="21" pivotButton="0" quotePrefix="0" xfId="0"/>
    <xf numFmtId="0" fontId="0" fillId="0" borderId="35" pivotButton="0" quotePrefix="0" xfId="0"/>
    <xf numFmtId="165" fontId="4" fillId="0" borderId="4" applyAlignment="1" pivotButton="0" quotePrefix="0" xfId="20">
      <alignment horizontal="center" vertical="center"/>
    </xf>
    <xf numFmtId="0" fontId="26" fillId="0" borderId="4" applyAlignment="1" pivotButton="0" quotePrefix="0" xfId="20">
      <alignment horizontal="center" vertical="center" textRotation="90"/>
    </xf>
    <xf numFmtId="0" fontId="4" fillId="0" borderId="4" applyAlignment="1" pivotButton="0" quotePrefix="0" xfId="20">
      <alignment horizontal="center" vertical="center" textRotation="90"/>
    </xf>
    <xf numFmtId="0" fontId="0" fillId="0" borderId="47" pivotButton="0" quotePrefix="0" xfId="0"/>
    <xf numFmtId="0" fontId="39" fillId="0" borderId="4" applyAlignment="1" pivotButton="0" quotePrefix="0" xfId="20">
      <alignment horizontal="center" vertical="center"/>
    </xf>
    <xf numFmtId="0" fontId="40" fillId="0" borderId="4" applyAlignment="1" pivotButton="0" quotePrefix="0" xfId="20">
      <alignment horizontal="center" vertical="center"/>
    </xf>
    <xf numFmtId="0" fontId="4" fillId="0" borderId="4" applyAlignment="1" pivotButton="0" quotePrefix="0" xfId="20">
      <alignment horizontal="center" vertical="bottom"/>
    </xf>
    <xf numFmtId="0" fontId="26" fillId="0" borderId="4" applyAlignment="1" pivotButton="0" quotePrefix="0" xfId="20">
      <alignment horizontal="center" vertical="bottom"/>
    </xf>
    <xf numFmtId="49" fontId="4" fillId="0" borderId="4" applyAlignment="1" pivotButton="0" quotePrefix="0" xfId="20">
      <alignment horizontal="center" vertical="bottom"/>
    </xf>
    <xf numFmtId="3" fontId="4" fillId="0" borderId="4" applyAlignment="1" pivotButton="0" quotePrefix="0" xfId="20">
      <alignment horizontal="center" vertical="bottom"/>
    </xf>
    <xf numFmtId="4" fontId="4" fillId="0" borderId="4" applyAlignment="1" pivotButton="0" quotePrefix="0" xfId="20">
      <alignment horizontal="left" vertical="bottom"/>
    </xf>
    <xf numFmtId="0" fontId="4" fillId="0" borderId="4" applyAlignment="1" pivotButton="0" quotePrefix="0" xfId="0">
      <alignment horizontal="center" vertical="bottom"/>
    </xf>
    <xf numFmtId="0" fontId="26" fillId="0" borderId="4" applyAlignment="1" pivotButton="0" quotePrefix="0" xfId="0">
      <alignment horizontal="center" vertical="bottom"/>
    </xf>
    <xf numFmtId="49" fontId="4" fillId="0" borderId="4" applyAlignment="1" pivotButton="0" quotePrefix="0" xfId="0">
      <alignment horizontal="center" vertical="bottom"/>
    </xf>
    <xf numFmtId="3" fontId="4" fillId="0" borderId="4" applyAlignment="1" pivotButton="0" quotePrefix="0" xfId="0">
      <alignment horizontal="center" vertical="bottom"/>
    </xf>
    <xf numFmtId="4" fontId="4" fillId="0" borderId="4" applyAlignment="1" pivotButton="0" quotePrefix="0" xfId="0">
      <alignment horizontal="left" vertical="bottom"/>
    </xf>
    <xf numFmtId="4" fontId="4" fillId="2" borderId="4" applyAlignment="1" pivotButton="0" quotePrefix="0" xfId="0">
      <alignment horizontal="left" vertical="bottom"/>
    </xf>
    <xf numFmtId="0" fontId="4" fillId="2" borderId="4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0" fontId="4" fillId="0" borderId="36" applyAlignment="1" pivotButton="0" quotePrefix="0" xfId="20">
      <alignment horizontal="center" vertical="center" wrapText="1"/>
    </xf>
    <xf numFmtId="0" fontId="4" fillId="0" borderId="36" applyAlignment="1" pivotButton="0" quotePrefix="0" xfId="20">
      <alignment horizontal="center" vertical="center"/>
    </xf>
    <xf numFmtId="0" fontId="4" fillId="0" borderId="0" applyAlignment="1" pivotButton="0" quotePrefix="0" xfId="20">
      <alignment horizontal="general" vertical="center"/>
    </xf>
    <xf numFmtId="0" fontId="20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textRotation="90" wrapText="1"/>
    </xf>
    <xf numFmtId="3" fontId="17" fillId="0" borderId="4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 wrapText="1"/>
    </xf>
    <xf numFmtId="0" fontId="42" fillId="0" borderId="4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3" fontId="42" fillId="0" borderId="4" applyAlignment="1" pivotButton="0" quotePrefix="0" xfId="0">
      <alignment horizontal="center" vertical="center"/>
    </xf>
    <xf numFmtId="0" fontId="42" fillId="0" borderId="4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bottom"/>
    </xf>
    <xf numFmtId="0" fontId="46" fillId="0" borderId="4" applyAlignment="1" pivotButton="0" quotePrefix="0" xfId="0">
      <alignment horizontal="center" vertical="bottom"/>
    </xf>
    <xf numFmtId="49" fontId="0" fillId="0" borderId="4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4" fontId="0" fillId="0" borderId="4" applyAlignment="1" pivotButton="0" quotePrefix="0" xfId="0">
      <alignment horizontal="center" vertical="bottom"/>
    </xf>
    <xf numFmtId="3" fontId="0" fillId="0" borderId="4" applyAlignment="1" pivotButton="0" quotePrefix="0" xfId="0">
      <alignment horizontal="center" vertical="bottom"/>
    </xf>
    <xf numFmtId="0" fontId="0" fillId="0" borderId="4" applyAlignment="1" pivotButton="0" quotePrefix="0" xfId="20">
      <alignment horizontal="center" vertical="bottom"/>
    </xf>
    <xf numFmtId="0" fontId="46" fillId="0" borderId="4" applyAlignment="1" pivotButton="0" quotePrefix="0" xfId="20">
      <alignment horizontal="center" vertical="bottom"/>
    </xf>
    <xf numFmtId="49" fontId="0" fillId="0" borderId="4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4" fillId="0" borderId="34" applyAlignment="1" pivotButton="0" quotePrefix="0" xfId="20">
      <alignment horizontal="center" vertical="center" wrapText="1"/>
    </xf>
    <xf numFmtId="0" fontId="4" fillId="0" borderId="34" applyAlignment="1" pivotButton="0" quotePrefix="0" xfId="20">
      <alignment horizontal="center" vertical="center"/>
    </xf>
    <xf numFmtId="0" fontId="4" fillId="0" borderId="34" applyAlignment="1" pivotButton="0" quotePrefix="0" xfId="20">
      <alignment horizontal="left" vertical="center"/>
    </xf>
    <xf numFmtId="0" fontId="26" fillId="0" borderId="4" applyAlignment="1" pivotButton="0" quotePrefix="0" xfId="20">
      <alignment horizontal="left" vertical="center"/>
    </xf>
    <xf numFmtId="0" fontId="26" fillId="0" borderId="0" applyAlignment="1" pivotButton="0" quotePrefix="0" xfId="20">
      <alignment horizontal="left" vertical="center"/>
    </xf>
    <xf numFmtId="0" fontId="4" fillId="0" borderId="4" applyAlignment="1" pivotButton="0" quotePrefix="0" xfId="20">
      <alignment horizontal="left" vertical="center"/>
    </xf>
    <xf numFmtId="0" fontId="4" fillId="0" borderId="0" applyAlignment="1" pivotButton="0" quotePrefix="0" xfId="2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bottom"/>
    </xf>
    <xf numFmtId="0" fontId="24" fillId="0" borderId="4" applyAlignment="1" pivotButton="0" quotePrefix="0" xfId="0">
      <alignment horizontal="left" vertical="bottom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164" fontId="19" fillId="0" borderId="4" applyAlignment="1" pivotButton="0" quotePrefix="0" xfId="0">
      <alignment horizontal="center" vertical="center"/>
    </xf>
    <xf numFmtId="0" fontId="24" fillId="0" borderId="4" applyAlignment="1" pivotButton="0" quotePrefix="0" xfId="0">
      <alignment horizontal="general" vertical="bottom"/>
    </xf>
    <xf numFmtId="0" fontId="48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1" fontId="0" fillId="7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general" vertical="bottom"/>
    </xf>
    <xf numFmtId="0" fontId="49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bottom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  <xf numFmtId="0" fontId="55" fillId="0" borderId="0" pivotButton="0" quotePrefix="0" xfId="0"/>
    <xf numFmtId="0" fontId="56" fillId="0" borderId="0" pivotButton="0" quotePrefix="0" xfId="0"/>
    <xf numFmtId="0" fontId="51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0" fontId="16" fillId="0" borderId="27" applyAlignment="1" pivotButton="0" quotePrefix="0" xfId="0">
      <alignment horizontal="center" vertical="bottom"/>
    </xf>
    <xf numFmtId="0" fontId="0" fillId="0" borderId="27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4" fillId="0" borderId="25" applyAlignment="1" pivotButton="0" quotePrefix="0" xfId="20">
      <alignment horizontal="general" vertical="center"/>
    </xf>
    <xf numFmtId="0" fontId="4" fillId="0" borderId="27" applyAlignment="1" pivotButton="0" quotePrefix="0" xfId="20">
      <alignment horizontal="general" vertical="center"/>
    </xf>
    <xf numFmtId="0" fontId="4" fillId="0" borderId="26" applyAlignment="1" pivotButton="0" quotePrefix="0" xfId="20">
      <alignment horizontal="general" vertical="center"/>
    </xf>
    <xf numFmtId="164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48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2" fontId="0" fillId="3" borderId="4" applyAlignment="1" pivotButton="0" quotePrefix="0" xfId="0">
      <alignment horizontal="center" vertical="center"/>
    </xf>
    <xf numFmtId="3" fontId="0" fillId="3" borderId="4" applyAlignment="1" pivotButton="0" quotePrefix="0" xfId="0">
      <alignment horizontal="center" vertical="center"/>
    </xf>
    <xf numFmtId="3" fontId="0" fillId="2" borderId="4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1" fontId="0" fillId="4" borderId="4" applyAlignment="1" pivotButton="0" quotePrefix="0" xfId="0">
      <alignment horizontal="center" vertical="center"/>
    </xf>
    <xf numFmtId="1" fontId="0" fillId="5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50" fillId="0" borderId="27" applyAlignment="1" pivotButton="0" quotePrefix="0" xfId="0">
      <alignment horizontal="general" vertical="center"/>
    </xf>
    <xf numFmtId="0" fontId="0" fillId="6" borderId="4" applyAlignment="1" pivotButton="0" quotePrefix="0" xfId="0">
      <alignment horizontal="center" vertical="center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Yüzde 2" xfId="7"/>
  </cellStyles>
  <dxfs count="27"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00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  <dxf>
      <font>
        <name val="Arial Tur"/>
        <charset val="162"/>
        <family val="0"/>
        <color rgb="00FFFFFF"/>
      </font>
      <fill>
        <patternFill>
          <bgColor rgb="FF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20.99" customWidth="1" style="243" min="1" max="1"/>
    <col width="16.13" customWidth="1" style="243" min="2" max="2"/>
    <col width="14.14" customWidth="1" style="243" min="3" max="3"/>
    <col width="11.7" customWidth="1" style="243" min="4" max="4"/>
    <col width="9.85" customWidth="1" style="243" min="5" max="5"/>
    <col width="10.56" customWidth="1" style="243" min="6" max="6"/>
    <col width="11.13" customWidth="1" style="243" min="7" max="7"/>
    <col width="7.14" customWidth="1" style="243" min="8" max="8"/>
    <col width="10.28" customWidth="1" style="243" min="9" max="9"/>
  </cols>
  <sheetData>
    <row r="1" ht="16.5" customHeight="1" s="244">
      <c r="A1" s="245" t="inlineStr">
        <is>
          <t>P R O J E Y İ   H A Z I R L A Y A N</t>
        </is>
      </c>
      <c r="B1" s="246" t="n"/>
      <c r="C1" s="246" t="n"/>
      <c r="D1" s="246" t="n"/>
      <c r="E1" s="246" t="n"/>
      <c r="F1" s="246" t="n"/>
      <c r="G1" s="246" t="n"/>
      <c r="H1" s="246" t="n"/>
      <c r="I1" s="247" t="n"/>
      <c r="J1" s="248" t="n"/>
    </row>
    <row r="2" ht="26.25" customHeight="1" s="244">
      <c r="A2" s="249" t="inlineStr">
        <is>
          <t xml:space="preserve">ROTAŞ MÜHENDİSLİK.PROJE.MÜŞAVİRLİK.
Semerciler Mah. Sait Faik Sk. No:22/C Z01 Adapazarı/Sakarya
rotasmuhendislik@gmail.com
</t>
        </is>
      </c>
      <c r="B2" s="250" t="n"/>
      <c r="C2" s="250" t="n"/>
      <c r="D2" s="250" t="n"/>
      <c r="E2" s="250" t="n"/>
      <c r="F2" s="250" t="n"/>
      <c r="G2" s="250" t="n"/>
      <c r="H2" s="250" t="n"/>
      <c r="I2" s="251" t="n"/>
      <c r="J2" s="252" t="n"/>
    </row>
    <row r="3" ht="26.25" customHeight="1" s="244">
      <c r="A3" s="253" t="n"/>
      <c r="I3" s="254" t="n"/>
      <c r="J3" s="252" t="n"/>
    </row>
    <row r="4" ht="18" customHeight="1" s="244">
      <c r="A4" s="253" t="n"/>
      <c r="I4" s="254" t="n"/>
      <c r="J4" s="252" t="n"/>
    </row>
    <row r="5" ht="26.25" customHeight="1" s="244">
      <c r="A5" s="253" t="n"/>
      <c r="I5" s="254" t="n"/>
      <c r="J5" s="252" t="n"/>
    </row>
    <row r="6" ht="26.25" customHeight="1" s="244">
      <c r="A6" s="253" t="n"/>
      <c r="I6" s="254" t="n"/>
      <c r="J6" s="252" t="n"/>
    </row>
    <row r="7" ht="26.25" customHeight="1" s="244">
      <c r="A7" s="253" t="n"/>
      <c r="I7" s="254" t="n"/>
      <c r="J7" s="252" t="n"/>
    </row>
    <row r="8" ht="26.25" customHeight="1" s="244">
      <c r="A8" s="255" t="n"/>
      <c r="B8" s="256" t="n"/>
      <c r="C8" s="256" t="n"/>
      <c r="D8" s="256" t="n"/>
      <c r="E8" s="256" t="n"/>
      <c r="F8" s="256" t="n"/>
      <c r="G8" s="256" t="n"/>
      <c r="H8" s="256" t="n"/>
      <c r="I8" s="257" t="n"/>
      <c r="J8" s="252" t="n"/>
    </row>
    <row r="9" ht="33.75" customHeight="1" s="244">
      <c r="A9" s="258" t="inlineStr">
        <is>
          <t>ÜNVANI</t>
        </is>
      </c>
      <c r="B9" s="259" t="inlineStr">
        <is>
          <t>Adı Soyadı</t>
        </is>
      </c>
      <c r="C9" s="260" t="n"/>
      <c r="D9" s="261" t="inlineStr">
        <is>
          <t>Oda Sicil No</t>
        </is>
      </c>
      <c r="E9" s="260" t="n"/>
      <c r="F9" s="262" t="inlineStr">
        <is>
          <t>SMM Büro 
Tescil No</t>
        </is>
      </c>
      <c r="G9" s="263" t="inlineStr">
        <is>
          <t>İmza</t>
        </is>
      </c>
      <c r="H9" s="264" t="n"/>
      <c r="I9" s="265" t="n"/>
      <c r="J9" s="252" t="n"/>
      <c r="M9" s="266" t="n"/>
    </row>
    <row r="10" ht="88.5" customHeight="1" s="244">
      <c r="A10" s="267" t="inlineStr">
        <is>
          <t>Makine Mühendisi</t>
        </is>
      </c>
      <c r="B10" s="268" t="inlineStr">
        <is>
          <t>CAN ÖZKAYA</t>
        </is>
      </c>
      <c r="C10" s="260" t="n"/>
      <c r="D10" s="269" t="n"/>
      <c r="E10" s="260" t="n"/>
      <c r="F10" s="269" t="n"/>
      <c r="G10" s="270" t="n"/>
      <c r="H10" s="264" t="n"/>
      <c r="I10" s="265" t="n"/>
    </row>
    <row r="11" ht="27.75" customHeight="1" s="244">
      <c r="A11" s="271" t="inlineStr">
        <is>
          <t>YERDEN ISITMA TESİSATI PROJE RAPORU</t>
        </is>
      </c>
      <c r="B11" s="250" t="n"/>
      <c r="C11" s="250" t="n"/>
      <c r="D11" s="250" t="n"/>
      <c r="E11" s="250" t="n"/>
      <c r="F11" s="250" t="n"/>
      <c r="G11" s="250" t="n"/>
      <c r="H11" s="250" t="n"/>
      <c r="I11" s="251" t="n"/>
    </row>
    <row r="12" ht="27.75" customHeight="1" s="244">
      <c r="A12" s="253" t="n"/>
      <c r="I12" s="254" t="n"/>
    </row>
    <row r="13" ht="27.75" customHeight="1" s="244">
      <c r="A13" s="255" t="n"/>
      <c r="B13" s="256" t="n"/>
      <c r="C13" s="256" t="n"/>
      <c r="D13" s="256" t="n"/>
      <c r="E13" s="256" t="n"/>
      <c r="F13" s="256" t="n"/>
      <c r="G13" s="256" t="n"/>
      <c r="H13" s="256" t="n"/>
      <c r="I13" s="257" t="n"/>
    </row>
    <row r="14" ht="12.75" customHeight="1" s="244">
      <c r="A14" s="272" t="inlineStr">
        <is>
          <t xml:space="preserve">  Yapı Denetim Onay</t>
        </is>
      </c>
      <c r="B14" s="250" t="n"/>
      <c r="C14" s="251" t="n"/>
      <c r="D14" s="272" t="inlineStr">
        <is>
          <t>Belediye Onay</t>
        </is>
      </c>
      <c r="E14" s="250" t="n"/>
      <c r="F14" s="250" t="n"/>
      <c r="G14" s="250" t="n"/>
      <c r="H14" s="250" t="n"/>
      <c r="I14" s="251" t="n"/>
    </row>
    <row r="15" ht="12.75" customHeight="1" s="244">
      <c r="A15" s="253" t="n"/>
      <c r="C15" s="254" t="n"/>
      <c r="D15" s="253" t="n"/>
      <c r="I15" s="254" t="n"/>
    </row>
    <row r="16" ht="12.75" customHeight="1" s="244">
      <c r="A16" s="253" t="n"/>
      <c r="C16" s="254" t="n"/>
      <c r="D16" s="253" t="n"/>
      <c r="I16" s="254" t="n"/>
    </row>
    <row r="17" ht="12.75" customHeight="1" s="244">
      <c r="A17" s="253" t="n"/>
      <c r="C17" s="254" t="n"/>
      <c r="D17" s="253" t="n"/>
      <c r="I17" s="254" t="n"/>
    </row>
    <row r="18" ht="12.75" customHeight="1" s="244">
      <c r="A18" s="253" t="n"/>
      <c r="C18" s="254" t="n"/>
      <c r="D18" s="253" t="n"/>
      <c r="I18" s="254" t="n"/>
    </row>
    <row r="19" ht="12.75" customHeight="1" s="244">
      <c r="A19" s="253" t="n"/>
      <c r="C19" s="254" t="n"/>
      <c r="D19" s="253" t="n"/>
      <c r="I19" s="254" t="n"/>
    </row>
    <row r="20" ht="12.75" customHeight="1" s="244">
      <c r="A20" s="253" t="n"/>
      <c r="C20" s="254" t="n"/>
      <c r="D20" s="253" t="n"/>
      <c r="I20" s="254" t="n"/>
    </row>
    <row r="21" ht="12.75" customHeight="1" s="244">
      <c r="A21" s="253" t="n"/>
      <c r="C21" s="254" t="n"/>
      <c r="D21" s="253" t="n"/>
      <c r="I21" s="254" t="n"/>
    </row>
    <row r="22" ht="27.75" customHeight="1" s="244">
      <c r="A22" s="253" t="n"/>
      <c r="C22" s="254" t="n"/>
      <c r="D22" s="253" t="n"/>
      <c r="I22" s="254" t="n"/>
    </row>
    <row r="23" ht="27.75" customHeight="1" s="244">
      <c r="A23" s="253" t="n"/>
      <c r="C23" s="254" t="n"/>
      <c r="D23" s="253" t="n"/>
      <c r="I23" s="254" t="n"/>
    </row>
    <row r="24" ht="27.75" customHeight="1" s="244">
      <c r="A24" s="253" t="n"/>
      <c r="C24" s="254" t="n"/>
      <c r="D24" s="253" t="n"/>
      <c r="I24" s="254" t="n"/>
    </row>
    <row r="25" ht="12.75" customHeight="1" s="244">
      <c r="A25" s="253" t="n"/>
      <c r="C25" s="254" t="n"/>
      <c r="D25" s="253" t="n"/>
      <c r="I25" s="254" t="n"/>
    </row>
    <row r="26" ht="6" customHeight="1" s="244">
      <c r="A26" s="253" t="n"/>
      <c r="C26" s="254" t="n"/>
      <c r="D26" s="253" t="n"/>
      <c r="I26" s="254" t="n"/>
    </row>
    <row r="27" hidden="1" ht="12.75" customHeight="1" s="244">
      <c r="A27" s="253" t="n"/>
      <c r="C27" s="254" t="n"/>
      <c r="D27" s="253" t="n"/>
      <c r="I27" s="254" t="n"/>
    </row>
    <row r="28" hidden="1" ht="12.75" customHeight="1" s="244">
      <c r="A28" s="253" t="n"/>
      <c r="C28" s="254" t="n"/>
      <c r="D28" s="253" t="n"/>
      <c r="I28" s="254" t="n"/>
    </row>
    <row r="29" ht="12.75" customHeight="1" s="244">
      <c r="A29" s="255" t="n"/>
      <c r="B29" s="256" t="n"/>
      <c r="C29" s="257" t="n"/>
      <c r="D29" s="255" t="n"/>
      <c r="E29" s="256" t="n"/>
      <c r="F29" s="256" t="n"/>
      <c r="G29" s="256" t="n"/>
      <c r="H29" s="256" t="n"/>
      <c r="I29" s="257" t="n"/>
    </row>
    <row r="30" ht="15.75" customHeight="1" s="244">
      <c r="A30" s="273" t="inlineStr">
        <is>
          <t>P R O J E Y İ     Y A P T I R A N</t>
        </is>
      </c>
      <c r="B30" s="264" t="n"/>
      <c r="C30" s="264" t="n"/>
      <c r="D30" s="264" t="n"/>
      <c r="E30" s="264" t="n"/>
      <c r="F30" s="264" t="n"/>
      <c r="G30" s="264" t="n"/>
      <c r="H30" s="264" t="n"/>
      <c r="I30" s="265" t="n"/>
    </row>
    <row r="31" ht="12.75" customHeight="1" s="244">
      <c r="A31" s="274" t="inlineStr">
        <is>
          <t>ADI SOYADI/ÜNVANI</t>
        </is>
      </c>
      <c r="B31" s="275" t="n"/>
      <c r="C31" s="276" t="inlineStr">
        <is>
          <t>METRA MİMARLIK — TEKELER 4739/4 (new_block)</t>
        </is>
      </c>
      <c r="D31" s="250" t="n"/>
      <c r="E31" s="250" t="n"/>
      <c r="F31" s="250" t="n"/>
      <c r="G31" s="250" t="n"/>
      <c r="H31" s="250" t="n"/>
      <c r="I31" s="251" t="n"/>
    </row>
    <row r="32" ht="12.75" customHeight="1" s="244">
      <c r="A32" s="255" t="n"/>
      <c r="B32" s="277" t="n"/>
      <c r="C32" s="278" t="n"/>
      <c r="D32" s="256" t="n"/>
      <c r="E32" s="256" t="n"/>
      <c r="F32" s="256" t="n"/>
      <c r="G32" s="256" t="n"/>
      <c r="H32" s="256" t="n"/>
      <c r="I32" s="257" t="n"/>
    </row>
    <row r="33" ht="12.75" customHeight="1" s="244">
      <c r="A33" s="279" t="n"/>
      <c r="I33" s="280" t="n"/>
    </row>
    <row r="34" ht="15.75" customHeight="1" s="244">
      <c r="A34" s="273" t="inlineStr">
        <is>
          <t>Y A P I N I N   B U L U N D U Ğ U   Y E R</t>
        </is>
      </c>
      <c r="B34" s="264" t="n"/>
      <c r="C34" s="264" t="n"/>
      <c r="D34" s="264" t="n"/>
      <c r="E34" s="264" t="n"/>
      <c r="F34" s="264" t="n"/>
      <c r="G34" s="264" t="n"/>
      <c r="H34" s="264" t="n"/>
      <c r="I34" s="265" t="n"/>
    </row>
    <row r="35" ht="12.75" customHeight="1" s="244">
      <c r="A35" s="281" t="inlineStr">
        <is>
          <t>İl</t>
        </is>
      </c>
      <c r="B35" s="282" t="inlineStr">
        <is>
          <t>İlçe</t>
        </is>
      </c>
      <c r="C35" s="243" t="inlineStr">
        <is>
          <t>Belediye</t>
        </is>
      </c>
      <c r="D35" s="282" t="inlineStr">
        <is>
          <t>Mahalle</t>
        </is>
      </c>
      <c r="E35" s="261" t="inlineStr">
        <is>
          <t>Sok.</t>
        </is>
      </c>
      <c r="F35" s="260" t="n"/>
      <c r="G35" s="282" t="inlineStr">
        <is>
          <t>Pafta</t>
        </is>
      </c>
      <c r="H35" s="282" t="inlineStr">
        <is>
          <t>Ada</t>
        </is>
      </c>
      <c r="I35" s="283" t="inlineStr">
        <is>
          <t>Parsel</t>
        </is>
      </c>
      <c r="K35" s="284" t="n"/>
    </row>
    <row r="36" ht="12.75" customHeight="1" s="244">
      <c r="A36" s="281" t="inlineStr">
        <is>
          <t>-</t>
        </is>
      </c>
      <c r="B36" s="282" t="inlineStr">
        <is>
          <t>-</t>
        </is>
      </c>
      <c r="C36" s="282">
        <f>B36</f>
        <v/>
      </c>
      <c r="D36" s="282" t="inlineStr">
        <is>
          <t>-</t>
        </is>
      </c>
      <c r="E36" s="261" t="n"/>
      <c r="F36" s="260" t="n"/>
      <c r="G36" s="262" t="inlineStr">
        <is>
          <t>-</t>
        </is>
      </c>
      <c r="H36" s="282" t="inlineStr">
        <is>
          <t>-</t>
        </is>
      </c>
      <c r="I36" s="263" t="inlineStr">
        <is>
          <t>4739/4</t>
        </is>
      </c>
    </row>
    <row r="37" ht="12.75" customHeight="1" s="244">
      <c r="A37" s="279" t="n"/>
      <c r="I37" s="280" t="n"/>
    </row>
    <row r="38" ht="12.75" customHeight="1" s="244">
      <c r="A38" s="285" t="inlineStr">
        <is>
          <t>YAPININ ÖZELLİKLERİ</t>
        </is>
      </c>
      <c r="B38" s="250" t="n"/>
      <c r="C38" s="250" t="n"/>
      <c r="D38" s="250" t="n"/>
      <c r="E38" s="250" t="n"/>
      <c r="F38" s="250" t="n"/>
      <c r="G38" s="250" t="n"/>
      <c r="H38" s="250" t="n"/>
      <c r="I38" s="251" t="n"/>
    </row>
    <row r="39" ht="12.75" customHeight="1" s="244">
      <c r="A39" s="253" t="n"/>
      <c r="I39" s="254" t="n"/>
    </row>
    <row r="40" ht="38.25" customHeight="1" s="244">
      <c r="A40" s="286" t="inlineStr">
        <is>
          <t>Yapının
 Sistemi</t>
        </is>
      </c>
      <c r="B40" s="287" t="inlineStr">
        <is>
          <t>Yapının
Sınıfı</t>
        </is>
      </c>
      <c r="C40" s="287" t="inlineStr">
        <is>
          <t>Toplam
Bağımsız
Bölüm</t>
        </is>
      </c>
      <c r="D40" s="269" t="inlineStr">
        <is>
          <t>Toplam Kat Sayısı</t>
        </is>
      </c>
      <c r="E40" s="260" t="n"/>
      <c r="F40" s="287" t="inlineStr">
        <is>
          <t>Toplam
İnşaat
Alanı m²</t>
        </is>
      </c>
      <c r="G40" s="287" t="inlineStr">
        <is>
          <t>Tarih</t>
        </is>
      </c>
      <c r="H40" s="270" t="inlineStr">
        <is>
          <t>Kullanım Amacı</t>
        </is>
      </c>
      <c r="I40" s="265" t="n"/>
    </row>
    <row r="41" ht="12.75" customHeight="1" s="244">
      <c r="A41" s="288" t="inlineStr">
        <is>
          <t>BETONARME</t>
        </is>
      </c>
      <c r="B41" s="289" t="n"/>
      <c r="C41" s="289" t="n">
        <v>9</v>
      </c>
      <c r="D41" s="290" t="inlineStr">
        <is>
          <t>ZEMİN + 2</t>
        </is>
      </c>
      <c r="E41" s="275" t="n"/>
      <c r="F41" s="289" t="n"/>
      <c r="G41" s="291" t="n">
        <v>46310</v>
      </c>
      <c r="H41" s="292" t="inlineStr">
        <is>
          <t>KONUT</t>
        </is>
      </c>
      <c r="I41" s="251" t="n"/>
    </row>
    <row r="42" ht="13.5" customHeight="1" s="244">
      <c r="A42" s="293" t="n"/>
      <c r="B42" s="294" t="n"/>
      <c r="C42" s="294" t="n"/>
      <c r="D42" s="295" t="n"/>
      <c r="E42" s="296" t="n"/>
      <c r="F42" s="294" t="n"/>
      <c r="G42" s="294" t="n"/>
      <c r="H42" s="295" t="n"/>
      <c r="I42" s="297" t="n"/>
    </row>
    <row r="43" ht="13.5" customHeight="1" s="244"/>
  </sheetData>
  <mergeCells count="27">
    <mergeCell ref="G10:I10"/>
    <mergeCell ref="D10:E10"/>
    <mergeCell ref="D41:E42"/>
    <mergeCell ref="A41:A42"/>
    <mergeCell ref="D40:E40"/>
    <mergeCell ref="A38:I39"/>
    <mergeCell ref="H40:I40"/>
    <mergeCell ref="E35:F35"/>
    <mergeCell ref="C41:C42"/>
    <mergeCell ref="F41:F42"/>
    <mergeCell ref="C31:I32"/>
    <mergeCell ref="A2:I8"/>
    <mergeCell ref="A14:C29"/>
    <mergeCell ref="B10:C10"/>
    <mergeCell ref="A31:B32"/>
    <mergeCell ref="G9:I9"/>
    <mergeCell ref="D14:I29"/>
    <mergeCell ref="E36:F36"/>
    <mergeCell ref="B9:C9"/>
    <mergeCell ref="A34:I34"/>
    <mergeCell ref="D9:E9"/>
    <mergeCell ref="G41:G42"/>
    <mergeCell ref="A30:I30"/>
    <mergeCell ref="H41:I42"/>
    <mergeCell ref="A1:I1"/>
    <mergeCell ref="B41:B42"/>
    <mergeCell ref="A11:I13"/>
  </mergeCells>
  <printOptions horizontalCentered="0" verticalCentered="0" headings="0" gridLines="0" gridLinesSet="1"/>
  <pageMargins left="0.157638888888889" right="0.157638888888889" top="0.479861111111111" bottom="0.1576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N69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F24" activeCellId="0" sqref="F24"/>
    </sheetView>
  </sheetViews>
  <sheetFormatPr baseColWidth="8" defaultColWidth="9.0546875" defaultRowHeight="12.75" zeroHeight="0" outlineLevelRow="0"/>
  <cols>
    <col width="4.99" customWidth="1" style="243" min="1" max="1"/>
    <col width="12.14" customWidth="1" style="243" min="2" max="2"/>
    <col width="10.28" customWidth="1" style="243" min="3" max="4"/>
    <col width="22.85" customWidth="1" style="243" min="6" max="6"/>
    <col width="22.7" customWidth="1" style="243" min="7" max="7"/>
    <col width="14.85" customWidth="1" style="243" min="8" max="8"/>
    <col width="17.56" customWidth="1" style="243" min="9" max="9"/>
  </cols>
  <sheetData>
    <row r="1" ht="12" customHeight="1" s="244">
      <c r="A1" s="298" t="inlineStr">
        <is>
          <t>YERDEN ISITMA TESİSATI PROJESİ TEKNİK RAPORU</t>
        </is>
      </c>
      <c r="B1" s="299" t="n"/>
      <c r="C1" s="299" t="n"/>
      <c r="D1" s="299" t="n"/>
      <c r="E1" s="299" t="n"/>
      <c r="F1" s="300" t="n"/>
      <c r="G1" s="301" t="inlineStr">
        <is>
          <t>Sayfa</t>
        </is>
      </c>
      <c r="H1" s="302" t="n">
        <v>1</v>
      </c>
    </row>
    <row r="2" ht="12" customHeight="1" s="244">
      <c r="A2" s="255" t="n"/>
      <c r="B2" s="256" t="n"/>
      <c r="C2" s="256" t="n"/>
      <c r="D2" s="256" t="n"/>
      <c r="E2" s="256" t="n"/>
      <c r="F2" s="277" t="n"/>
      <c r="G2" s="303" t="n"/>
      <c r="H2" s="304" t="n"/>
    </row>
    <row r="3" ht="17.25" customHeight="1" s="244">
      <c r="A3" s="305" t="inlineStr">
        <is>
          <t>Proje Adı              :</t>
        </is>
      </c>
      <c r="B3" s="260" t="n"/>
      <c r="C3" s="306">
        <f>kapak!C31</f>
        <v/>
      </c>
      <c r="D3" s="264" t="n"/>
      <c r="E3" s="264" t="n"/>
      <c r="F3" s="260" t="n"/>
      <c r="G3" s="261" t="inlineStr">
        <is>
          <t>Tarih</t>
        </is>
      </c>
      <c r="H3" s="307">
        <f>kapak!G41</f>
        <v/>
      </c>
    </row>
    <row r="4" ht="17.25" customHeight="1" s="244">
      <c r="A4" s="305" t="inlineStr">
        <is>
          <t>Düzenleyen          :</t>
        </is>
      </c>
      <c r="B4" s="260" t="n"/>
      <c r="C4" s="306">
        <f>kapak!B10</f>
        <v/>
      </c>
      <c r="D4" s="264" t="n"/>
      <c r="E4" s="264" t="n"/>
      <c r="F4" s="260" t="n"/>
      <c r="G4" s="303" t="n"/>
      <c r="H4" s="304" t="n"/>
    </row>
    <row r="5" ht="18" customHeight="1" s="244">
      <c r="A5" s="279" t="n"/>
      <c r="B5" s="308" t="n"/>
      <c r="C5" s="308" t="n"/>
      <c r="D5" s="308" t="n"/>
      <c r="E5" s="308" t="n"/>
      <c r="F5" s="308" t="n"/>
      <c r="G5" s="308" t="n"/>
      <c r="H5" s="309" t="n"/>
      <c r="I5" s="308" t="n"/>
    </row>
    <row r="6" ht="15.75" customHeight="1" s="244">
      <c r="A6" s="310" t="n"/>
      <c r="B6" s="311" t="n"/>
      <c r="C6" s="311" t="n"/>
      <c r="D6" s="311" t="n"/>
      <c r="E6" s="311" t="n"/>
      <c r="F6" s="311" t="n"/>
      <c r="G6" s="311" t="n"/>
      <c r="H6" s="312" t="n"/>
      <c r="I6" s="311" t="n"/>
    </row>
    <row r="7" ht="15" customHeight="1" s="244">
      <c r="A7" s="310" t="inlineStr">
        <is>
          <t>1.1.</t>
        </is>
      </c>
      <c r="B7" s="313" t="inlineStr">
        <is>
          <t>Binanın kalorifer projesi aşağıdaki değerler esas alınarak hazırlanmıştır.</t>
        </is>
      </c>
      <c r="C7" s="313" t="n"/>
      <c r="D7" s="313" t="n"/>
      <c r="E7" s="313" t="n"/>
      <c r="F7" s="313" t="n"/>
      <c r="G7" s="313" t="n"/>
      <c r="H7" s="314" t="n"/>
      <c r="I7" s="313" t="n"/>
    </row>
    <row r="8" ht="15.75" customHeight="1" s="244">
      <c r="A8" s="310" t="n"/>
      <c r="B8" s="315" t="inlineStr">
        <is>
          <t xml:space="preserve">Binanın Yeri </t>
        </is>
      </c>
      <c r="D8" s="313" t="n"/>
      <c r="E8" s="316">
        <f>kapak!B36</f>
        <v/>
      </c>
      <c r="F8" s="313" t="n"/>
      <c r="G8" s="313" t="n"/>
      <c r="H8" s="314" t="n"/>
      <c r="I8" s="313" t="n"/>
    </row>
    <row r="9" ht="15.75" customHeight="1" s="244">
      <c r="A9" s="310" t="n"/>
      <c r="B9" s="315" t="inlineStr">
        <is>
          <t xml:space="preserve">Sıcaklık Bölgesi </t>
        </is>
      </c>
      <c r="E9" s="317" t="inlineStr">
        <is>
          <t>:2.Bölge</t>
        </is>
      </c>
      <c r="F9" s="318" t="inlineStr">
        <is>
          <t xml:space="preserve"> -9 Rüzgarlı</t>
        </is>
      </c>
      <c r="G9" s="313" t="n"/>
      <c r="H9" s="314" t="n"/>
      <c r="I9" s="313" t="n"/>
    </row>
    <row r="10" ht="15.75" customHeight="1" s="244">
      <c r="A10" s="310" t="n"/>
      <c r="B10" s="315" t="inlineStr">
        <is>
          <t>Bina Tipi</t>
        </is>
      </c>
      <c r="D10" s="313" t="n"/>
      <c r="E10" s="313" t="inlineStr">
        <is>
          <t>: Konut (Z+2, 9 daire)</t>
        </is>
      </c>
      <c r="F10" s="313" t="n"/>
      <c r="G10" s="313" t="n"/>
      <c r="H10" s="314" t="n"/>
      <c r="I10" s="313" t="n"/>
    </row>
    <row r="11" ht="15.75" customHeight="1" s="244">
      <c r="A11" s="310" t="n"/>
      <c r="B11" s="315" t="inlineStr">
        <is>
          <t>Isıtıcı Cinsi</t>
        </is>
      </c>
      <c r="D11" s="313" t="n"/>
      <c r="E11" s="313" t="inlineStr">
        <is>
          <t>: Duvar tipi yoğuşmalı kombi (her dairede 1 adet, 24 kW)</t>
        </is>
      </c>
      <c r="F11" s="313" t="n"/>
      <c r="G11" s="313" t="n"/>
      <c r="H11" s="314" t="n"/>
      <c r="I11" s="313" t="n"/>
      <c r="K11" s="319" t="n"/>
      <c r="L11" s="319" t="n"/>
      <c r="M11" s="319" t="n"/>
      <c r="N11" s="319" t="n"/>
    </row>
    <row r="12" ht="15.75" customHeight="1" s="244">
      <c r="A12" s="310" t="n"/>
      <c r="B12" s="315" t="inlineStr">
        <is>
          <t>Kullanılacak Yakıt</t>
        </is>
      </c>
      <c r="D12" s="313" t="n"/>
      <c r="E12" s="313" t="inlineStr">
        <is>
          <t>: Doğalgaz</t>
        </is>
      </c>
      <c r="F12" s="313" t="n"/>
      <c r="G12" s="313" t="n"/>
      <c r="H12" s="314" t="n"/>
      <c r="I12" s="313" t="n"/>
      <c r="K12" s="319" t="n"/>
      <c r="L12" s="319" t="n"/>
      <c r="M12" s="319" t="n"/>
      <c r="N12" s="319" t="n"/>
    </row>
    <row r="13" ht="15.75" customHeight="1" s="244">
      <c r="A13" s="310" t="n"/>
      <c r="B13" s="315" t="inlineStr">
        <is>
          <t>Radyatör Türü / Isıl Verimi</t>
        </is>
      </c>
      <c r="D13" s="313" t="n"/>
      <c r="E13" s="313" t="inlineStr">
        <is>
          <t>: Zeminden ısıtma borusu PEX 16x2,0 / 45-35 °C, boru aralığı 15 cm</t>
        </is>
      </c>
      <c r="F13" s="313" t="n"/>
      <c r="G13" s="313" t="n"/>
      <c r="H13" s="314" t="n"/>
      <c r="I13" s="313" t="n"/>
      <c r="K13" s="319" t="n"/>
      <c r="L13" s="319" t="n"/>
      <c r="M13" s="319" t="n"/>
      <c r="N13" s="319" t="n"/>
    </row>
    <row r="14" ht="31.5" customHeight="1" s="244">
      <c r="A14" s="310" t="n"/>
      <c r="B14" s="320" t="inlineStr">
        <is>
          <t>Binanın bulunduğu yerleşim bölgesi</t>
        </is>
      </c>
      <c r="E14" s="313" t="inlineStr">
        <is>
          <t>:Korunmuş Nizam</t>
        </is>
      </c>
      <c r="F14" s="313" t="n"/>
      <c r="G14" s="313" t="n"/>
      <c r="H14" s="314" t="n"/>
      <c r="I14" s="313" t="n"/>
    </row>
    <row r="15" ht="15.75" customHeight="1" s="244">
      <c r="A15" s="310" t="n"/>
      <c r="B15" s="315" t="inlineStr">
        <is>
          <t>Havalandırma Tipi</t>
        </is>
      </c>
      <c r="D15" s="313" t="n"/>
      <c r="E15" s="313" t="inlineStr">
        <is>
          <t>:Doğal havalandırma</t>
        </is>
      </c>
      <c r="F15" s="313" t="n"/>
      <c r="G15" s="313" t="n"/>
      <c r="H15" s="314" t="n"/>
      <c r="I15" s="313" t="n"/>
    </row>
    <row r="16" ht="15.75" customHeight="1" s="244">
      <c r="A16" s="310" t="n"/>
      <c r="B16" s="315" t="inlineStr">
        <is>
          <t>Bina tanımı</t>
        </is>
      </c>
      <c r="D16" s="313" t="n"/>
      <c r="E16" s="313" t="inlineStr">
        <is>
          <t>: Zemin + 2 normal kat</t>
        </is>
      </c>
      <c r="F16" s="313" t="n"/>
      <c r="G16" s="313" t="n"/>
      <c r="H16" s="314" t="n"/>
      <c r="I16" s="313" t="n"/>
    </row>
    <row r="17" ht="15.75" customHeight="1" s="244">
      <c r="A17" s="310" t="n"/>
      <c r="B17" s="315" t="inlineStr">
        <is>
          <t>Radyatör Türü</t>
        </is>
      </c>
      <c r="C17" s="313" t="n"/>
      <c r="D17" s="313" t="n"/>
      <c r="E17" s="313" t="inlineStr">
        <is>
          <t>: Zeminden ısıtma borusu PEX 16x2,0 (oksijen bariyerli)</t>
        </is>
      </c>
      <c r="F17" s="313" t="n"/>
      <c r="G17" s="313" t="n"/>
      <c r="H17" s="314" t="n"/>
      <c r="I17" s="313" t="n"/>
    </row>
    <row r="18" ht="15.75" customHeight="1" s="244">
      <c r="A18" s="310" t="n"/>
      <c r="B18" s="315" t="inlineStr">
        <is>
          <t>Çalışma Sıcaklığı</t>
        </is>
      </c>
      <c r="C18" s="313" t="n"/>
      <c r="D18" s="313" t="n"/>
      <c r="E18" s="317" t="inlineStr">
        <is>
          <t>: 45 - 35 °C</t>
        </is>
      </c>
      <c r="F18" s="313" t="n"/>
      <c r="G18" s="313" t="n"/>
      <c r="H18" s="314" t="n"/>
      <c r="I18" s="313" t="n"/>
    </row>
    <row r="19" ht="15.75" customHeight="1" s="244">
      <c r="A19" s="310" t="n"/>
      <c r="B19" s="315" t="n"/>
      <c r="C19" s="313" t="n"/>
      <c r="D19" s="313" t="n"/>
      <c r="E19" s="313" t="n"/>
      <c r="F19" s="313" t="n"/>
      <c r="G19" s="313" t="n"/>
      <c r="H19" s="314" t="n"/>
      <c r="I19" s="313" t="n"/>
    </row>
    <row r="20" ht="15.75" customHeight="1" s="244">
      <c r="A20" s="310" t="inlineStr">
        <is>
          <t>1.2.</t>
        </is>
      </c>
      <c r="B20" s="315" t="inlineStr">
        <is>
          <t>Mahal Sıcaklıkları :</t>
        </is>
      </c>
      <c r="C20" s="313" t="n"/>
      <c r="D20" s="313" t="n"/>
      <c r="E20" s="313" t="n"/>
      <c r="F20" s="313" t="n"/>
      <c r="G20" s="313" t="n"/>
      <c r="H20" s="314" t="n"/>
      <c r="I20" s="313" t="n"/>
    </row>
    <row r="21" ht="15" customHeight="1" s="244">
      <c r="A21" s="310" t="n"/>
      <c r="B21" s="313" t="inlineStr">
        <is>
          <t>Salon</t>
        </is>
      </c>
      <c r="F21" s="317" t="inlineStr">
        <is>
          <t>: 20°C</t>
        </is>
      </c>
      <c r="H21" s="321" t="n"/>
      <c r="I21" s="313" t="n"/>
    </row>
    <row r="22" ht="15" customHeight="1" s="244">
      <c r="A22" s="310" t="n"/>
      <c r="B22" s="313" t="inlineStr">
        <is>
          <t>Oda / Yatak Odası</t>
        </is>
      </c>
      <c r="F22" s="317" t="inlineStr">
        <is>
          <t>: 20°C</t>
        </is>
      </c>
      <c r="H22" s="321" t="n"/>
      <c r="I22" s="313" t="n"/>
    </row>
    <row r="23" ht="15" customHeight="1" s="244">
      <c r="A23" s="310" t="n"/>
      <c r="B23" s="313" t="inlineStr">
        <is>
          <t>Mutfak</t>
        </is>
      </c>
      <c r="F23" s="317" t="inlineStr">
        <is>
          <t>: 20°C</t>
        </is>
      </c>
      <c r="H23" s="321" t="n"/>
      <c r="I23" s="313" t="n"/>
    </row>
    <row r="24" ht="15" customHeight="1" s="244">
      <c r="A24" s="310" t="n"/>
      <c r="B24" s="313" t="inlineStr">
        <is>
          <t>Banyo</t>
        </is>
      </c>
      <c r="F24" s="317" t="inlineStr">
        <is>
          <t>: 24°C</t>
        </is>
      </c>
      <c r="H24" s="321" t="n"/>
      <c r="I24" s="313" t="n"/>
    </row>
    <row r="25" ht="15" customHeight="1" s="244">
      <c r="A25" s="310" t="n"/>
      <c r="B25" s="313" t="inlineStr">
        <is>
          <t>Antre - Koridor</t>
        </is>
      </c>
      <c r="F25" s="317" t="inlineStr">
        <is>
          <t>: 15°C (ayrı devre)</t>
        </is>
      </c>
      <c r="H25" s="321" t="n"/>
      <c r="I25" s="313" t="n"/>
    </row>
    <row r="26" ht="15" customHeight="1" s="244">
      <c r="A26" s="310" t="n"/>
      <c r="B26" s="313" t="n"/>
      <c r="F26" s="322" t="n"/>
      <c r="H26" s="321" t="n"/>
      <c r="I26" s="313" t="n"/>
    </row>
    <row r="27" ht="15" customHeight="1" s="244">
      <c r="A27" s="310" t="n"/>
      <c r="B27" s="313" t="n"/>
      <c r="F27" s="322" t="n"/>
      <c r="H27" s="321" t="n"/>
      <c r="I27" s="313" t="n"/>
    </row>
    <row r="28" ht="15" customHeight="1" s="244">
      <c r="A28" s="310" t="n"/>
      <c r="B28" s="313" t="n"/>
      <c r="F28" s="322" t="n"/>
      <c r="H28" s="321" t="n"/>
      <c r="I28" s="313" t="n"/>
    </row>
    <row r="29" ht="15" customHeight="1" s="244">
      <c r="A29" s="310" t="n"/>
      <c r="B29" s="313" t="inlineStr">
        <is>
          <t xml:space="preserve">Çatı Arası </t>
        </is>
      </c>
      <c r="F29" s="317" t="inlineStr">
        <is>
          <t>:   0°C</t>
        </is>
      </c>
      <c r="H29" s="321" t="n"/>
      <c r="I29" s="313" t="n"/>
    </row>
    <row r="30" ht="15" customHeight="1" s="244">
      <c r="A30" s="310" t="n"/>
      <c r="B30" s="313" t="inlineStr">
        <is>
          <t xml:space="preserve">Toprağa Bitişik Döşeme </t>
        </is>
      </c>
      <c r="F30" s="317" t="inlineStr">
        <is>
          <t>:   6°C</t>
        </is>
      </c>
      <c r="H30" s="321" t="n"/>
      <c r="I30" s="313" t="n"/>
    </row>
    <row r="31" ht="15" customHeight="1" s="244">
      <c r="A31" s="310" t="n"/>
      <c r="B31" s="313" t="inlineStr">
        <is>
          <t>Isıtılmayan</t>
        </is>
      </c>
      <c r="F31" s="317" t="inlineStr">
        <is>
          <t>: balkon, yüklük, wc-lavabo / duş / wc-duş (≤ 2,7 m²), merdiven, asansör</t>
        </is>
      </c>
      <c r="H31" s="321" t="n"/>
      <c r="I31" s="313" t="n"/>
    </row>
    <row r="32" ht="15" customHeight="1" s="244">
      <c r="A32" s="310" t="n"/>
      <c r="B32" s="313" t="n"/>
      <c r="D32" s="317" t="n"/>
      <c r="E32" s="313" t="n"/>
      <c r="F32" s="313" t="n"/>
      <c r="H32" s="321" t="n"/>
      <c r="I32" s="313" t="n"/>
    </row>
    <row r="33" ht="15.75" customHeight="1" s="244">
      <c r="A33" s="310" t="inlineStr">
        <is>
          <t>1.3.</t>
        </is>
      </c>
      <c r="B33" s="315" t="inlineStr">
        <is>
          <t>Devre Isıl Gücü Esası:</t>
        </is>
      </c>
      <c r="C33" s="317" t="n"/>
      <c r="D33" s="317" t="n"/>
      <c r="E33" s="313" t="n"/>
      <c r="F33" s="313" t="n"/>
      <c r="G33" s="313" t="n"/>
      <c r="H33" s="314" t="n"/>
      <c r="I33" s="313" t="n"/>
    </row>
    <row r="34" ht="15.75" customHeight="1" s="244">
      <c r="A34" s="310" t="n"/>
      <c r="B34" s="315" t="n"/>
      <c r="C34" s="317" t="n"/>
      <c r="D34" s="317" t="n"/>
      <c r="H34" s="280" t="n"/>
    </row>
    <row r="35" ht="15" customHeight="1" s="244">
      <c r="A35" s="310" t="n"/>
      <c r="B35" s="313" t="inlineStr">
        <is>
          <t>Plan etiketlerindeki, kolon şemasındaki ve bu hesaptaki devre ısıl gücü aynı esastan alınmıştır:</t>
        </is>
      </c>
      <c r="E35" s="243" t="n"/>
      <c r="F35" s="317" t="n"/>
      <c r="G35" s="323" t="n"/>
      <c r="H35" s="280" t="n"/>
    </row>
    <row r="36" ht="15" customHeight="1" s="244">
      <c r="A36" s="310" t="n"/>
      <c r="B36" s="313" t="inlineStr">
        <is>
          <t xml:space="preserve">   Q (W) = 35 W/m × hat uzunluğu L (m); L = plandaki serpantinin yaylar dahil gerçek boyu.</t>
        </is>
      </c>
      <c r="E36" s="243" t="n"/>
      <c r="F36" s="317" t="n"/>
      <c r="G36" s="323" t="n"/>
      <c r="H36" s="280" t="n"/>
    </row>
    <row r="37" ht="15" customHeight="1" s="244">
      <c r="A37" s="310" t="n"/>
      <c r="B37" s="313" t="inlineStr">
        <is>
          <t>Bu projede ayrı ısı kaybı hesabı yapılmamıştır; "ısı ihtiyacı" sütunları boru boyundan hesaplanmıştır.</t>
        </is>
      </c>
      <c r="E37" s="243" t="n"/>
      <c r="F37" s="317" t="n"/>
      <c r="G37" s="323" t="n"/>
      <c r="H37" s="280" t="n"/>
    </row>
    <row r="38" ht="15" customHeight="1" s="244">
      <c r="A38" s="310" t="n"/>
      <c r="B38" s="313" t="inlineStr">
        <is>
          <t>Boru PEX 16 x 2,0, boru aralığı 15 cm, duvardan kenar mesafesi 7,5 cm (dar ıslak hacimlerde 5-6 cm); devre boyu en çok 80 m.</t>
        </is>
      </c>
      <c r="E38" s="243" t="n"/>
      <c r="F38" s="317" t="n"/>
      <c r="G38" s="323" t="n"/>
      <c r="H38" s="280" t="n"/>
    </row>
    <row r="39" ht="15" customHeight="1" s="244">
      <c r="A39" s="310" t="n"/>
      <c r="B39" s="313" t="inlineStr">
        <is>
          <t>Döşeme yüzey sıcaklığı kontrolü MMO sayfalarındadır (sınır: oturma 29 °C, banyo 33 °C).</t>
        </is>
      </c>
      <c r="E39" s="243" t="n"/>
      <c r="F39" s="317" t="n"/>
      <c r="G39" s="323" t="n"/>
      <c r="H39" s="280" t="n"/>
    </row>
    <row r="40" ht="15" customHeight="1" s="244">
      <c r="A40" s="310" t="n"/>
      <c r="B40" s="313" t="n"/>
      <c r="E40" s="243" t="n"/>
      <c r="F40" s="317" t="n"/>
      <c r="G40" s="323" t="n"/>
      <c r="H40" s="280" t="n"/>
    </row>
    <row r="41" ht="15" customHeight="1" s="244">
      <c r="A41" s="310" t="inlineStr">
        <is>
          <t>1.4.</t>
        </is>
      </c>
      <c r="B41" s="313" t="inlineStr">
        <is>
          <t>Not — "YERDEN ISITMA" (modülasyon) sayfasındaki negatif değerler:</t>
        </is>
      </c>
      <c r="E41" s="243" t="n"/>
      <c r="F41" s="317" t="n"/>
      <c r="G41" s="323" t="n"/>
      <c r="H41" s="280" t="n"/>
    </row>
    <row r="42" ht="15" customHeight="1" s="244">
      <c r="A42" s="310" t="n"/>
      <c r="B42" s="313" t="n"/>
      <c r="E42" s="243" t="n"/>
      <c r="F42" s="317" t="n"/>
      <c r="G42" s="323" t="n"/>
      <c r="H42" s="280" t="n"/>
    </row>
    <row r="43" ht="15" customHeight="1" s="244">
      <c r="A43" s="310" t="n"/>
      <c r="B43" s="313" t="inlineStr">
        <is>
          <t>Sayfadaki G sütunu (MODÜL) şablon formülüdür: G = 76,263 − 0,539 × F, F = q = Q / A (W/m²). Şablon 17,5 W/m esası için kurulmuştur;</t>
        </is>
      </c>
      <c r="E43" s="243" t="n"/>
      <c r="F43" s="317" t="n"/>
      <c r="G43" s="323" t="n"/>
      <c r="H43" s="280" t="n"/>
    </row>
    <row r="44" ht="15" customHeight="1" s="244">
      <c r="A44" s="310" t="n"/>
      <c r="B44" s="313" t="inlineStr">
        <is>
          <t>q &gt; 141,5 W/m² olduğunda G negatif çıkar. Bu projede Q = 35 W/m × L ve boru yoğunluğu ≈ 6 m/m² olduğundan q ≈ 200-215 W/m² olur;</t>
        </is>
      </c>
      <c r="E44" s="243" t="n"/>
      <c r="F44" s="317" t="n"/>
      <c r="G44" s="323" t="n"/>
      <c r="H44" s="280" t="n"/>
    </row>
    <row r="45" ht="15" customHeight="1" s="244">
      <c r="A45" s="310" t="n"/>
      <c r="B45" s="313" t="inlineStr">
        <is>
          <t>bu yüzden G (MODÜL) ve H = D / G (m²) sütunlarında negatif değerler görünür. Bunlar bir ölçü değildir, yalnız formülün geçerlilik aralığı dışında olunduğunu gösterir.</t>
        </is>
      </c>
      <c r="E45" s="243" t="n"/>
      <c r="F45" s="317" t="n"/>
      <c r="G45" s="323" t="n"/>
      <c r="H45" s="280" t="n"/>
    </row>
    <row r="46" ht="15" customHeight="1" s="244">
      <c r="A46" s="310" t="n"/>
      <c r="B46" s="313" t="inlineStr">
        <is>
          <t>Formüller bozulmadan bırakılmıştır. Aynı esasla MMO sayfasında yüzey sıcaklığı ≈ 37,8 °C ve devre basınç kaybı Δpmax üstünde çıkar (sayfadaki uyarı satırları).</t>
        </is>
      </c>
      <c r="C46" s="324" t="n"/>
      <c r="D46" s="323" t="n"/>
      <c r="E46" s="243" t="n"/>
      <c r="F46" s="317" t="n"/>
      <c r="G46" s="323" t="n"/>
      <c r="H46" s="280" t="n"/>
    </row>
    <row r="47" ht="15" customHeight="1" s="244">
      <c r="A47" s="310" t="n"/>
      <c r="B47" s="313" t="inlineStr">
        <is>
          <t>Devre gücü esası (35 W/m × L, plan etiketleriyle aynı) proje sahibinin kararına bırakılmıştır; 17,5 W/m ya da ısı kaybı esasına geçilirse bu değerler olağan aralığa döner.</t>
        </is>
      </c>
      <c r="C47" s="324" t="n"/>
      <c r="D47" s="323" t="n"/>
      <c r="E47" s="243" t="n"/>
      <c r="F47" s="317" t="n"/>
      <c r="G47" s="323" t="n"/>
      <c r="H47" s="280" t="n"/>
    </row>
    <row r="48" ht="15" customHeight="1" s="244">
      <c r="A48" s="310" t="n"/>
      <c r="B48" s="313" t="n"/>
      <c r="C48" s="324" t="n"/>
      <c r="D48" s="323" t="n"/>
      <c r="E48" s="243" t="n"/>
      <c r="F48" s="317" t="n"/>
      <c r="G48" s="323" t="n"/>
      <c r="H48" s="280" t="n"/>
    </row>
    <row r="49" ht="15.75" customHeight="1" s="244">
      <c r="A49" s="310" t="n"/>
      <c r="B49" s="315" t="n"/>
      <c r="D49" s="323" t="n"/>
      <c r="H49" s="280" t="n"/>
    </row>
    <row r="50" ht="15" customHeight="1" s="244">
      <c r="A50" s="310" t="n"/>
      <c r="B50" s="313" t="n"/>
      <c r="D50" s="323" t="n"/>
      <c r="E50" s="317" t="n"/>
      <c r="H50" s="280" t="n"/>
    </row>
    <row r="51" ht="15" customHeight="1" s="244">
      <c r="A51" s="310" t="n"/>
      <c r="B51" s="313" t="n"/>
      <c r="D51" s="323" t="n"/>
      <c r="E51" s="317" t="n"/>
      <c r="H51" s="280" t="n"/>
    </row>
    <row r="52" ht="15" customHeight="1" s="244">
      <c r="A52" s="310" t="n"/>
      <c r="B52" s="313" t="n"/>
      <c r="E52" s="317" t="n"/>
      <c r="H52" s="280" t="n"/>
    </row>
    <row r="53" ht="15" customHeight="1" s="244">
      <c r="A53" s="310" t="n"/>
      <c r="B53" s="313" t="n"/>
      <c r="E53" s="317" t="n"/>
      <c r="H53" s="280" t="n"/>
    </row>
    <row r="54" ht="15" customHeight="1" s="244">
      <c r="A54" s="310" t="n"/>
      <c r="B54" s="313" t="n"/>
      <c r="E54" s="317" t="n"/>
      <c r="H54" s="280" t="n"/>
    </row>
    <row r="55" ht="15" customHeight="1" s="244">
      <c r="A55" s="310" t="n"/>
      <c r="B55" s="313" t="n"/>
      <c r="E55" s="317" t="n"/>
      <c r="H55" s="280" t="n"/>
    </row>
    <row r="56" ht="15" customHeight="1" s="244">
      <c r="A56" s="310" t="n"/>
      <c r="B56" s="313" t="n"/>
      <c r="E56" s="317" t="n"/>
      <c r="H56" s="280" t="n"/>
    </row>
    <row r="57" ht="15" customHeight="1" s="244">
      <c r="A57" s="310" t="n"/>
      <c r="B57" s="313" t="n"/>
      <c r="E57" s="317" t="n"/>
      <c r="H57" s="280" t="n"/>
    </row>
    <row r="58" ht="15" customHeight="1" s="244">
      <c r="A58" s="310" t="n"/>
      <c r="B58" s="313" t="n"/>
      <c r="E58" s="317" t="n"/>
      <c r="H58" s="280" t="n"/>
    </row>
    <row r="59" ht="15" customHeight="1" s="244">
      <c r="A59" s="310" t="n"/>
      <c r="B59" s="313" t="n"/>
      <c r="E59" s="317" t="n"/>
      <c r="H59" s="280" t="n"/>
    </row>
    <row r="60" ht="15" customHeight="1" s="244">
      <c r="A60" s="310" t="n"/>
      <c r="B60" s="313" t="n"/>
      <c r="E60" s="317" t="n"/>
      <c r="H60" s="280" t="n"/>
    </row>
    <row r="61" ht="15" customHeight="1" s="244">
      <c r="A61" s="310" t="n"/>
      <c r="B61" s="313" t="n"/>
      <c r="E61" s="317" t="n"/>
      <c r="H61" s="280" t="n"/>
    </row>
    <row r="62" ht="15" customHeight="1" s="244">
      <c r="A62" s="310" t="n"/>
      <c r="B62" s="313" t="n"/>
      <c r="E62" s="317" t="n"/>
      <c r="H62" s="280" t="n"/>
    </row>
    <row r="63" ht="15" customHeight="1" s="244">
      <c r="A63" s="279" t="n"/>
      <c r="B63" s="313" t="n"/>
      <c r="E63" s="317" t="n"/>
      <c r="H63" s="280" t="n"/>
    </row>
    <row r="64" ht="15" customHeight="1" s="244">
      <c r="A64" s="279" t="n"/>
      <c r="B64" s="313" t="n"/>
      <c r="E64" s="317" t="n"/>
      <c r="H64" s="280" t="n"/>
    </row>
    <row r="65" ht="13.5" customHeight="1" s="244">
      <c r="A65" s="325" t="n"/>
      <c r="B65" s="326" t="n"/>
      <c r="C65" s="326" t="n"/>
      <c r="D65" s="326" t="n"/>
      <c r="E65" s="326" t="n"/>
      <c r="F65" s="326" t="n"/>
      <c r="G65" s="326" t="n"/>
      <c r="H65" s="327" t="n"/>
    </row>
    <row r="66" ht="13.5" customHeight="1" s="244"/>
    <row r="67"/>
    <row r="68"/>
    <row r="69"/>
  </sheetData>
  <mergeCells count="10">
    <mergeCell ref="A4:B4"/>
    <mergeCell ref="B14:D14"/>
    <mergeCell ref="C3:F3"/>
    <mergeCell ref="C4:F4"/>
    <mergeCell ref="G3:G4"/>
    <mergeCell ref="A1:F2"/>
    <mergeCell ref="H3:H4"/>
    <mergeCell ref="G1:G2"/>
    <mergeCell ref="H1:H2"/>
    <mergeCell ref="A3:B3"/>
  </mergeCells>
  <printOptions horizontalCentered="1" verticalCentered="0" headings="0" gridLines="0" gridLinesSet="1"/>
  <pageMargins left="0.309722222222222" right="0.3" top="0.59027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4625" ySplit="0" topLeftCell="A1" activePane="topLeft" state="split"/>
      <selection pane="topLeft" activeCell="F19" activeCellId="0" sqref="F19"/>
      <selection pane="topRight" activeCell="A1" activeCellId="0" sqref="A1"/>
    </sheetView>
  </sheetViews>
  <sheetFormatPr baseColWidth="8" defaultColWidth="9.13671875" defaultRowHeight="12.75" zeroHeight="0" outlineLevelRow="0"/>
  <cols>
    <col width="5.41" customWidth="1" style="328" min="1" max="1"/>
    <col width="20.99" customWidth="1" style="328" min="2" max="2"/>
    <col width="11.85" customWidth="1" style="328" min="3" max="3"/>
    <col width="10.13" customWidth="1" style="328" min="4" max="4"/>
    <col width="9.99" customWidth="1" style="328" min="5" max="5"/>
    <col width="9.85" customWidth="1" style="328" min="6" max="6"/>
    <col width="16.99" customWidth="1" style="328" min="7" max="7"/>
    <col width="3.28" customWidth="1" style="328" min="8" max="8"/>
    <col width="4.14" customWidth="1" style="328" min="9" max="10"/>
    <col width="3.99" customWidth="1" style="328" min="11" max="11"/>
    <col width="4.14" customWidth="1" style="328" min="12" max="16"/>
    <col width="9.140000000000001" customWidth="1" style="329" min="17" max="21"/>
    <col width="16.7" customWidth="1" style="329" min="22" max="22"/>
    <col width="9.140000000000001" customWidth="1" style="329" min="23" max="257"/>
  </cols>
  <sheetData>
    <row r="1" ht="12.75" customHeight="1" s="244">
      <c r="A1" s="330" t="inlineStr">
        <is>
          <t>ROTAŞ</t>
        </is>
      </c>
      <c r="B1" s="275" t="n"/>
      <c r="C1" s="331" t="inlineStr">
        <is>
          <t>MAHAL VE YERDEN ISITMA BORU BOYU ÇİZELGESİ</t>
        </is>
      </c>
      <c r="D1" s="250" t="n"/>
      <c r="E1" s="250" t="n"/>
      <c r="F1" s="250" t="n"/>
      <c r="G1" s="275" t="n"/>
      <c r="H1" s="331" t="inlineStr">
        <is>
          <t>SAYFA</t>
        </is>
      </c>
      <c r="I1" s="250" t="n"/>
      <c r="J1" s="250" t="n"/>
      <c r="K1" s="250" t="n"/>
      <c r="L1" s="250" t="n"/>
      <c r="M1" s="275" t="n"/>
      <c r="N1" s="331" t="n">
        <v>7</v>
      </c>
      <c r="O1" s="250" t="n"/>
      <c r="P1" s="275" t="n"/>
    </row>
    <row r="2" ht="8.25" customHeight="1" s="244">
      <c r="A2" s="332" t="n"/>
      <c r="B2" s="333" t="n"/>
      <c r="C2" s="332" t="n"/>
      <c r="G2" s="333" t="n"/>
      <c r="H2" s="278" t="n"/>
      <c r="I2" s="256" t="n"/>
      <c r="J2" s="256" t="n"/>
      <c r="K2" s="256" t="n"/>
      <c r="L2" s="256" t="n"/>
      <c r="M2" s="277" t="n"/>
      <c r="N2" s="278" t="n"/>
      <c r="O2" s="256" t="n"/>
      <c r="P2" s="277" t="n"/>
    </row>
    <row r="3" ht="5.25" customHeight="1" s="244">
      <c r="A3" s="332" t="n"/>
      <c r="B3" s="333" t="n"/>
      <c r="C3" s="332" t="n"/>
      <c r="G3" s="333" t="n"/>
      <c r="H3" s="331" t="inlineStr">
        <is>
          <t>TARİH</t>
        </is>
      </c>
      <c r="I3" s="250" t="n"/>
      <c r="J3" s="250" t="n"/>
      <c r="K3" s="250" t="n"/>
      <c r="L3" s="250" t="n"/>
      <c r="M3" s="275" t="n"/>
      <c r="N3" s="334" t="n">
        <v>46310</v>
      </c>
      <c r="O3" s="250" t="n"/>
      <c r="P3" s="275" t="n"/>
    </row>
    <row r="4" ht="15" customHeight="1" s="244">
      <c r="A4" s="278" t="n"/>
      <c r="B4" s="277" t="n"/>
      <c r="C4" s="278" t="n"/>
      <c r="D4" s="256" t="n"/>
      <c r="E4" s="256" t="n"/>
      <c r="F4" s="256" t="n"/>
      <c r="G4" s="277" t="n"/>
      <c r="H4" s="278" t="n"/>
      <c r="I4" s="256" t="n"/>
      <c r="J4" s="256" t="n"/>
      <c r="K4" s="256" t="n"/>
      <c r="L4" s="256" t="n"/>
      <c r="M4" s="277" t="n"/>
      <c r="N4" s="278" t="n"/>
      <c r="O4" s="256" t="n"/>
      <c r="P4" s="277" t="n"/>
    </row>
    <row r="5" ht="13.5" customHeight="1" s="244">
      <c r="A5" s="331" t="inlineStr">
        <is>
          <t>ODANIN</t>
        </is>
      </c>
      <c r="B5" s="260" t="n"/>
      <c r="C5" s="331" t="inlineStr">
        <is>
          <t>RADYATÖRLERİN</t>
        </is>
      </c>
      <c r="D5" s="264" t="n"/>
      <c r="E5" s="264" t="n"/>
      <c r="F5" s="264" t="n"/>
      <c r="G5" s="260" t="n"/>
      <c r="H5" s="331" t="inlineStr">
        <is>
          <t>TEFERRUATIN</t>
        </is>
      </c>
      <c r="I5" s="264" t="n"/>
      <c r="J5" s="264" t="n"/>
      <c r="K5" s="264" t="n"/>
      <c r="L5" s="264" t="n"/>
      <c r="M5" s="264" t="n"/>
      <c r="N5" s="264" t="n"/>
      <c r="O5" s="264" t="n"/>
      <c r="P5" s="260" t="n"/>
    </row>
    <row r="6" ht="12.75" customHeight="1" s="244">
      <c r="A6" s="331" t="inlineStr">
        <is>
          <t>NO</t>
        </is>
      </c>
      <c r="B6" s="331" t="inlineStr">
        <is>
          <t>ADI</t>
        </is>
      </c>
      <c r="C6" s="335" t="inlineStr">
        <is>
          <t>SICAKLIĞI</t>
        </is>
      </c>
      <c r="D6" s="330" t="inlineStr">
        <is>
          <t>ISIL GÜÇ
35 W/m × L</t>
        </is>
      </c>
      <c r="E6" s="330" t="inlineStr">
        <is>
          <t>BİRİM 
VERİMİ</t>
        </is>
      </c>
      <c r="F6" s="331" t="inlineStr">
        <is>
          <t>VERİMİ</t>
        </is>
      </c>
      <c r="G6" s="331" t="inlineStr">
        <is>
          <t>BORU UZUNLUĞU</t>
        </is>
      </c>
      <c r="H6" s="336" t="inlineStr">
        <is>
          <t>GRUP</t>
        </is>
      </c>
      <c r="I6" s="336" t="inlineStr">
        <is>
          <t>KONSOL</t>
        </is>
      </c>
      <c r="J6" s="336" t="inlineStr">
        <is>
          <t>KELEPÇE</t>
        </is>
      </c>
      <c r="K6" s="331" t="inlineStr">
        <is>
          <t>MUSLUK</t>
        </is>
      </c>
      <c r="L6" s="264" t="n"/>
      <c r="M6" s="260" t="n"/>
      <c r="N6" s="331" t="inlineStr">
        <is>
          <t>REKOR</t>
        </is>
      </c>
      <c r="O6" s="264" t="n"/>
      <c r="P6" s="260" t="n"/>
    </row>
    <row r="7" ht="12.75" customHeight="1" s="244">
      <c r="A7" s="337" t="n"/>
      <c r="B7" s="337" t="n"/>
      <c r="C7" s="337" t="n"/>
      <c r="D7" s="337" t="n"/>
      <c r="E7" s="337" t="n"/>
      <c r="F7" s="337" t="n"/>
      <c r="G7" s="337" t="n"/>
      <c r="H7" s="337" t="n"/>
      <c r="I7" s="337" t="n"/>
      <c r="J7" s="337" t="n"/>
      <c r="K7" s="338" t="inlineStr">
        <is>
          <t>1/2"</t>
        </is>
      </c>
      <c r="L7" s="338" t="inlineStr">
        <is>
          <t>3/4"</t>
        </is>
      </c>
      <c r="M7" s="338" t="inlineStr">
        <is>
          <t>1"</t>
        </is>
      </c>
      <c r="N7" s="338" t="inlineStr">
        <is>
          <t>1/2"</t>
        </is>
      </c>
      <c r="O7" s="338" t="inlineStr">
        <is>
          <t>3/4"</t>
        </is>
      </c>
      <c r="P7" s="338" t="inlineStr">
        <is>
          <t>1"</t>
        </is>
      </c>
    </row>
    <row r="8" ht="6" customHeight="1" s="244">
      <c r="A8" s="337" t="n"/>
      <c r="B8" s="337" t="n"/>
      <c r="C8" s="303" t="n"/>
      <c r="D8" s="303" t="n"/>
      <c r="E8" s="303" t="n"/>
      <c r="F8" s="303" t="n"/>
      <c r="G8" s="303" t="n"/>
      <c r="H8" s="337" t="n"/>
      <c r="I8" s="337" t="n"/>
      <c r="J8" s="337" t="n"/>
      <c r="K8" s="337" t="n"/>
      <c r="L8" s="337" t="n"/>
      <c r="M8" s="337" t="n"/>
      <c r="N8" s="337" t="n"/>
      <c r="O8" s="337" t="n"/>
      <c r="P8" s="337" t="n"/>
    </row>
    <row r="9" ht="12.75" customHeight="1" s="244">
      <c r="A9" s="303" t="n"/>
      <c r="B9" s="303" t="n"/>
      <c r="C9" s="339" t="inlineStr">
        <is>
          <t>0c</t>
        </is>
      </c>
      <c r="D9" s="331" t="inlineStr">
        <is>
          <t>W</t>
        </is>
      </c>
      <c r="E9" s="331" t="inlineStr">
        <is>
          <t>W/m</t>
        </is>
      </c>
      <c r="F9" s="331" t="inlineStr">
        <is>
          <t>W</t>
        </is>
      </c>
      <c r="G9" s="331" t="inlineStr">
        <is>
          <t>m</t>
        </is>
      </c>
      <c r="H9" s="303" t="n"/>
      <c r="I9" s="303" t="n"/>
      <c r="J9" s="303" t="n"/>
      <c r="K9" s="303" t="n"/>
      <c r="L9" s="303" t="n"/>
      <c r="M9" s="303" t="n"/>
      <c r="N9" s="303" t="n"/>
      <c r="O9" s="303" t="n"/>
      <c r="P9" s="303" t="n"/>
    </row>
    <row r="10" ht="12.75" customHeight="1" s="244">
      <c r="A10" s="340" t="inlineStr">
        <is>
          <t>Z01</t>
        </is>
      </c>
      <c r="B10" s="341" t="inlineStr">
        <is>
          <t>D1 MUTFAK</t>
        </is>
      </c>
      <c r="C10" s="342" t="inlineStr">
        <is>
          <t>20</t>
        </is>
      </c>
      <c r="D10" s="343" t="n">
        <v>1649.2</v>
      </c>
      <c r="E10" s="344" t="n">
        <v>35</v>
      </c>
      <c r="F10" s="343">
        <f>'YERDEN ISITMA'!N10</f>
        <v/>
      </c>
      <c r="G10" s="340" t="n">
        <v>47.12</v>
      </c>
      <c r="H10" s="340" t="n">
        <v>1</v>
      </c>
      <c r="I10" s="340" t="inlineStr">
        <is>
          <t>ZEMİNDEN ISITMA</t>
        </is>
      </c>
      <c r="J10" s="264" t="n"/>
      <c r="K10" s="264" t="n"/>
      <c r="L10" s="264" t="n"/>
      <c r="M10" s="264" t="n"/>
      <c r="N10" s="264" t="n"/>
      <c r="O10" s="264" t="n"/>
      <c r="P10" s="260" t="n"/>
    </row>
    <row r="11" ht="12.75" customHeight="1" s="244">
      <c r="A11" s="340" t="inlineStr">
        <is>
          <t>Z02</t>
        </is>
      </c>
      <c r="B11" s="341" t="inlineStr">
        <is>
          <t>D1 YATAK OD.</t>
        </is>
      </c>
      <c r="C11" s="342" t="inlineStr">
        <is>
          <t>20</t>
        </is>
      </c>
      <c r="D11" s="343" t="n">
        <v>3369.8</v>
      </c>
      <c r="E11" s="344" t="n">
        <v>35</v>
      </c>
      <c r="F11" s="343">
        <f>'YERDEN ISITMA'!N11</f>
        <v/>
      </c>
      <c r="G11" s="340" t="n">
        <v>96.28</v>
      </c>
      <c r="H11" s="340" t="n">
        <v>2</v>
      </c>
      <c r="I11" s="340" t="inlineStr">
        <is>
          <t>ZEMİNDEN ISITMA</t>
        </is>
      </c>
      <c r="J11" s="264" t="n"/>
      <c r="K11" s="264" t="n"/>
      <c r="L11" s="264" t="n"/>
      <c r="M11" s="264" t="n"/>
      <c r="N11" s="264" t="n"/>
      <c r="O11" s="264" t="n"/>
      <c r="P11" s="260" t="n"/>
    </row>
    <row r="12" ht="12.75" customHeight="1" s="244">
      <c r="A12" s="340" t="inlineStr">
        <is>
          <t>Z03</t>
        </is>
      </c>
      <c r="B12" s="341" t="inlineStr">
        <is>
          <t>D1 YATAK OD.</t>
        </is>
      </c>
      <c r="C12" s="342" t="inlineStr">
        <is>
          <t>20</t>
        </is>
      </c>
      <c r="D12" s="343" t="n">
        <v>2084.2</v>
      </c>
      <c r="E12" s="344" t="n">
        <v>35</v>
      </c>
      <c r="F12" s="343">
        <f>'YERDEN ISITMA'!N12</f>
        <v/>
      </c>
      <c r="G12" s="340" t="n">
        <v>59.55</v>
      </c>
      <c r="H12" s="340" t="n">
        <v>1</v>
      </c>
      <c r="I12" s="340" t="inlineStr">
        <is>
          <t>ZEMİNDEN ISITMA</t>
        </is>
      </c>
      <c r="J12" s="264" t="n"/>
      <c r="K12" s="264" t="n"/>
      <c r="L12" s="264" t="n"/>
      <c r="M12" s="264" t="n"/>
      <c r="N12" s="264" t="n"/>
      <c r="O12" s="264" t="n"/>
      <c r="P12" s="260" t="n"/>
    </row>
    <row r="13" ht="12.75" customHeight="1" s="244">
      <c r="A13" s="340" t="inlineStr">
        <is>
          <t>Z04</t>
        </is>
      </c>
      <c r="B13" s="341" t="inlineStr">
        <is>
          <t>D1 YATAK OD.</t>
        </is>
      </c>
      <c r="C13" s="342" t="inlineStr">
        <is>
          <t>20</t>
        </is>
      </c>
      <c r="D13" s="343" t="n">
        <v>2088.8</v>
      </c>
      <c r="E13" s="344" t="n">
        <v>35</v>
      </c>
      <c r="F13" s="343">
        <f>'YERDEN ISITMA'!N13</f>
        <v/>
      </c>
      <c r="G13" s="340" t="n">
        <v>59.68</v>
      </c>
      <c r="H13" s="340" t="n">
        <v>1</v>
      </c>
      <c r="I13" s="340" t="inlineStr">
        <is>
          <t>ZEMİNDEN ISITMA</t>
        </is>
      </c>
      <c r="J13" s="264" t="n"/>
      <c r="K13" s="264" t="n"/>
      <c r="L13" s="264" t="n"/>
      <c r="M13" s="264" t="n"/>
      <c r="N13" s="264" t="n"/>
      <c r="O13" s="264" t="n"/>
      <c r="P13" s="260" t="n"/>
    </row>
    <row r="14" ht="12.75" customHeight="1" s="244">
      <c r="A14" s="340" t="inlineStr">
        <is>
          <t>Z05</t>
        </is>
      </c>
      <c r="B14" s="341" t="inlineStr">
        <is>
          <t>D1 SALON</t>
        </is>
      </c>
      <c r="C14" s="342" t="inlineStr">
        <is>
          <t>20</t>
        </is>
      </c>
      <c r="D14" s="343" t="n">
        <v>4620.7</v>
      </c>
      <c r="E14" s="344" t="n">
        <v>35</v>
      </c>
      <c r="F14" s="343">
        <f>'YERDEN ISITMA'!N14</f>
        <v/>
      </c>
      <c r="G14" s="340" t="n">
        <v>132.02</v>
      </c>
      <c r="H14" s="340" t="n">
        <v>2</v>
      </c>
      <c r="I14" s="340" t="inlineStr">
        <is>
          <t>ZEMİNDEN ISITMA</t>
        </is>
      </c>
      <c r="J14" s="264" t="n"/>
      <c r="K14" s="264" t="n"/>
      <c r="L14" s="264" t="n"/>
      <c r="M14" s="264" t="n"/>
      <c r="N14" s="264" t="n"/>
      <c r="O14" s="264" t="n"/>
      <c r="P14" s="260" t="n"/>
    </row>
    <row r="15" ht="12.75" customHeight="1" s="244">
      <c r="A15" s="340" t="inlineStr">
        <is>
          <t>Z06</t>
        </is>
      </c>
      <c r="B15" s="341" t="inlineStr">
        <is>
          <t>D1 ANTRE-KOR.</t>
        </is>
      </c>
      <c r="C15" s="342" t="inlineStr">
        <is>
          <t>15</t>
        </is>
      </c>
      <c r="D15" s="343" t="n">
        <v>202.3</v>
      </c>
      <c r="E15" s="344" t="n">
        <v>35</v>
      </c>
      <c r="F15" s="343">
        <f>'YERDEN ISITMA'!N15</f>
        <v/>
      </c>
      <c r="G15" s="340" t="n">
        <v>5.78</v>
      </c>
      <c r="H15" s="340" t="n">
        <v>1</v>
      </c>
      <c r="I15" s="340" t="inlineStr">
        <is>
          <t>ZEMİNDEN ISITMA</t>
        </is>
      </c>
      <c r="J15" s="264" t="n"/>
      <c r="K15" s="264" t="n"/>
      <c r="L15" s="264" t="n"/>
      <c r="M15" s="264" t="n"/>
      <c r="N15" s="264" t="n"/>
      <c r="O15" s="264" t="n"/>
      <c r="P15" s="260" t="n"/>
    </row>
    <row r="16" ht="12.75" customHeight="1" s="244">
      <c r="A16" s="340" t="inlineStr">
        <is>
          <t>Z07</t>
        </is>
      </c>
      <c r="B16" s="341" t="inlineStr">
        <is>
          <t>D1 BANYO</t>
        </is>
      </c>
      <c r="C16" s="342" t="inlineStr">
        <is>
          <t>24</t>
        </is>
      </c>
      <c r="D16" s="343" t="n">
        <v>854</v>
      </c>
      <c r="E16" s="344" t="n">
        <v>35</v>
      </c>
      <c r="F16" s="343">
        <f>'YERDEN ISITMA'!N16</f>
        <v/>
      </c>
      <c r="G16" s="340" t="n">
        <v>24.4</v>
      </c>
      <c r="H16" s="340" t="n">
        <v>1</v>
      </c>
      <c r="I16" s="340" t="inlineStr">
        <is>
          <t>ZEMİNDEN ISITMA</t>
        </is>
      </c>
      <c r="J16" s="264" t="n"/>
      <c r="K16" s="264" t="n"/>
      <c r="L16" s="264" t="n"/>
      <c r="M16" s="264" t="n"/>
      <c r="N16" s="264" t="n"/>
      <c r="O16" s="264" t="n"/>
      <c r="P16" s="260" t="n"/>
    </row>
    <row r="17" ht="12.75" customHeight="1" s="244">
      <c r="A17" s="340" t="inlineStr">
        <is>
          <t>Z08</t>
        </is>
      </c>
      <c r="B17" s="341" t="inlineStr">
        <is>
          <t>D2 MUTFAK</t>
        </is>
      </c>
      <c r="C17" s="342" t="inlineStr">
        <is>
          <t>20</t>
        </is>
      </c>
      <c r="D17" s="343" t="n">
        <v>1374.1</v>
      </c>
      <c r="E17" s="344" t="n">
        <v>35</v>
      </c>
      <c r="F17" s="343">
        <f>'YERDEN ISITMA'!N17</f>
        <v/>
      </c>
      <c r="G17" s="340" t="n">
        <v>39.26</v>
      </c>
      <c r="H17" s="340" t="n">
        <v>1</v>
      </c>
      <c r="I17" s="340" t="inlineStr">
        <is>
          <t>ZEMİNDEN ISITMA</t>
        </is>
      </c>
      <c r="J17" s="264" t="n"/>
      <c r="K17" s="264" t="n"/>
      <c r="L17" s="264" t="n"/>
      <c r="M17" s="264" t="n"/>
      <c r="N17" s="264" t="n"/>
      <c r="O17" s="264" t="n"/>
      <c r="P17" s="260" t="n"/>
    </row>
    <row r="18" ht="12.75" customHeight="1" s="244">
      <c r="A18" s="340" t="inlineStr">
        <is>
          <t>Z09</t>
        </is>
      </c>
      <c r="B18" s="341" t="inlineStr">
        <is>
          <t>D2 YATAK OD.</t>
        </is>
      </c>
      <c r="C18" s="342" t="inlineStr">
        <is>
          <t>20</t>
        </is>
      </c>
      <c r="D18" s="343" t="n">
        <v>3396.8</v>
      </c>
      <c r="E18" s="344" t="n">
        <v>35</v>
      </c>
      <c r="F18" s="343">
        <f>'YERDEN ISITMA'!N18</f>
        <v/>
      </c>
      <c r="G18" s="340" t="n">
        <v>97.05</v>
      </c>
      <c r="H18" s="340" t="n">
        <v>2</v>
      </c>
      <c r="I18" s="340" t="inlineStr">
        <is>
          <t>ZEMİNDEN ISITMA</t>
        </is>
      </c>
      <c r="J18" s="264" t="n"/>
      <c r="K18" s="264" t="n"/>
      <c r="L18" s="264" t="n"/>
      <c r="M18" s="264" t="n"/>
      <c r="N18" s="264" t="n"/>
      <c r="O18" s="264" t="n"/>
      <c r="P18" s="260" t="n"/>
    </row>
    <row r="19" ht="12.75" customHeight="1" s="244">
      <c r="A19" s="340" t="inlineStr">
        <is>
          <t>Z10</t>
        </is>
      </c>
      <c r="B19" s="341" t="inlineStr">
        <is>
          <t>D2 YATAK OD.</t>
        </is>
      </c>
      <c r="C19" s="342" t="inlineStr">
        <is>
          <t>20</t>
        </is>
      </c>
      <c r="D19" s="343" t="n">
        <v>2090.5</v>
      </c>
      <c r="E19" s="344" t="n">
        <v>35</v>
      </c>
      <c r="F19" s="343">
        <f>'YERDEN ISITMA'!N19</f>
        <v/>
      </c>
      <c r="G19" s="340" t="n">
        <v>59.73</v>
      </c>
      <c r="H19" s="340" t="n">
        <v>1</v>
      </c>
      <c r="I19" s="340" t="inlineStr">
        <is>
          <t>ZEMİNDEN ISITMA</t>
        </is>
      </c>
      <c r="J19" s="264" t="n"/>
      <c r="K19" s="264" t="n"/>
      <c r="L19" s="264" t="n"/>
      <c r="M19" s="264" t="n"/>
      <c r="N19" s="264" t="n"/>
      <c r="O19" s="264" t="n"/>
      <c r="P19" s="260" t="n"/>
    </row>
    <row r="20" ht="12.75" customHeight="1" s="244">
      <c r="A20" s="340" t="inlineStr">
        <is>
          <t>Z11</t>
        </is>
      </c>
      <c r="B20" s="341" t="inlineStr">
        <is>
          <t>D2 YATAK OD.</t>
        </is>
      </c>
      <c r="C20" s="342" t="inlineStr">
        <is>
          <t>20</t>
        </is>
      </c>
      <c r="D20" s="343" t="n">
        <v>2072</v>
      </c>
      <c r="E20" s="344" t="n">
        <v>35</v>
      </c>
      <c r="F20" s="343">
        <f>'YERDEN ISITMA'!N20</f>
        <v/>
      </c>
      <c r="G20" s="340" t="n">
        <v>59.2</v>
      </c>
      <c r="H20" s="340" t="n">
        <v>1</v>
      </c>
      <c r="I20" s="340" t="inlineStr">
        <is>
          <t>ZEMİNDEN ISITMA</t>
        </is>
      </c>
      <c r="J20" s="264" t="n"/>
      <c r="K20" s="264" t="n"/>
      <c r="L20" s="264" t="n"/>
      <c r="M20" s="264" t="n"/>
      <c r="N20" s="264" t="n"/>
      <c r="O20" s="264" t="n"/>
      <c r="P20" s="260" t="n"/>
    </row>
    <row r="21" ht="12.75" customHeight="1" s="244">
      <c r="A21" s="340" t="inlineStr">
        <is>
          <t>Z12</t>
        </is>
      </c>
      <c r="B21" s="341" t="inlineStr">
        <is>
          <t>D2 SALON</t>
        </is>
      </c>
      <c r="C21" s="342" t="inlineStr">
        <is>
          <t>20</t>
        </is>
      </c>
      <c r="D21" s="343" t="n">
        <v>4647.3</v>
      </c>
      <c r="E21" s="344" t="n">
        <v>35</v>
      </c>
      <c r="F21" s="343">
        <f>'YERDEN ISITMA'!N21</f>
        <v/>
      </c>
      <c r="G21" s="340" t="n">
        <v>132.78</v>
      </c>
      <c r="H21" s="340" t="n">
        <v>2</v>
      </c>
      <c r="I21" s="340" t="inlineStr">
        <is>
          <t>ZEMİNDEN ISITMA</t>
        </is>
      </c>
      <c r="J21" s="264" t="n"/>
      <c r="K21" s="264" t="n"/>
      <c r="L21" s="264" t="n"/>
      <c r="M21" s="264" t="n"/>
      <c r="N21" s="264" t="n"/>
      <c r="O21" s="264" t="n"/>
      <c r="P21" s="260" t="n"/>
    </row>
    <row r="22" ht="12.75" customHeight="1" s="244">
      <c r="A22" s="340" t="inlineStr">
        <is>
          <t>Z13</t>
        </is>
      </c>
      <c r="B22" s="341" t="inlineStr">
        <is>
          <t>D2 ANTRE-KOR.</t>
        </is>
      </c>
      <c r="C22" s="342" t="inlineStr">
        <is>
          <t>15</t>
        </is>
      </c>
      <c r="D22" s="343" t="n">
        <v>183.4</v>
      </c>
      <c r="E22" s="344" t="n">
        <v>35</v>
      </c>
      <c r="F22" s="343">
        <f>'YERDEN ISITMA'!N22</f>
        <v/>
      </c>
      <c r="G22" s="340" t="n">
        <v>5.24</v>
      </c>
      <c r="H22" s="340" t="n">
        <v>1</v>
      </c>
      <c r="I22" s="340" t="inlineStr">
        <is>
          <t>ZEMİNDEN ISITMA</t>
        </is>
      </c>
      <c r="J22" s="264" t="n"/>
      <c r="K22" s="264" t="n"/>
      <c r="L22" s="264" t="n"/>
      <c r="M22" s="264" t="n"/>
      <c r="N22" s="264" t="n"/>
      <c r="O22" s="264" t="n"/>
      <c r="P22" s="260" t="n"/>
    </row>
    <row r="23" ht="12.75" customHeight="1" s="244">
      <c r="A23" s="340" t="inlineStr">
        <is>
          <t>Z14</t>
        </is>
      </c>
      <c r="B23" s="341" t="inlineStr">
        <is>
          <t>D2 BANYO</t>
        </is>
      </c>
      <c r="C23" s="342" t="inlineStr">
        <is>
          <t>24</t>
        </is>
      </c>
      <c r="D23" s="343" t="n">
        <v>872.9</v>
      </c>
      <c r="E23" s="344" t="n">
        <v>35</v>
      </c>
      <c r="F23" s="343">
        <f>'YERDEN ISITMA'!N23</f>
        <v/>
      </c>
      <c r="G23" s="340" t="n">
        <v>24.94</v>
      </c>
      <c r="H23" s="340" t="n">
        <v>1</v>
      </c>
      <c r="I23" s="340" t="inlineStr">
        <is>
          <t>ZEMİNDEN ISITMA</t>
        </is>
      </c>
      <c r="J23" s="264" t="n"/>
      <c r="K23" s="264" t="n"/>
      <c r="L23" s="264" t="n"/>
      <c r="M23" s="264" t="n"/>
      <c r="N23" s="264" t="n"/>
      <c r="O23" s="264" t="n"/>
      <c r="P23" s="260" t="n"/>
    </row>
    <row r="24" ht="12.75" customHeight="1" s="244">
      <c r="A24" s="340" t="inlineStr">
        <is>
          <t>Z15</t>
        </is>
      </c>
      <c r="B24" s="341" t="inlineStr">
        <is>
          <t>D3 MUTFAK</t>
        </is>
      </c>
      <c r="C24" s="342" t="inlineStr">
        <is>
          <t>20</t>
        </is>
      </c>
      <c r="D24" s="343" t="n">
        <v>1010.1</v>
      </c>
      <c r="E24" s="344" t="n">
        <v>35</v>
      </c>
      <c r="F24" s="343">
        <f>'YERDEN ISITMA'!N24</f>
        <v/>
      </c>
      <c r="G24" s="340" t="n">
        <v>28.86</v>
      </c>
      <c r="H24" s="340" t="n">
        <v>1</v>
      </c>
      <c r="I24" s="340" t="inlineStr">
        <is>
          <t>ZEMİNDEN ISITMA</t>
        </is>
      </c>
      <c r="J24" s="264" t="n"/>
      <c r="K24" s="264" t="n"/>
      <c r="L24" s="264" t="n"/>
      <c r="M24" s="264" t="n"/>
      <c r="N24" s="264" t="n"/>
      <c r="O24" s="264" t="n"/>
      <c r="P24" s="260" t="n"/>
    </row>
    <row r="25">
      <c r="A25" s="345" t="inlineStr">
        <is>
          <t>Z16</t>
        </is>
      </c>
      <c r="B25" s="346" t="inlineStr">
        <is>
          <t>D3 YATAK OD.</t>
        </is>
      </c>
      <c r="C25" s="347" t="inlineStr">
        <is>
          <t>20</t>
        </is>
      </c>
      <c r="D25" s="348" t="n">
        <v>3711.4</v>
      </c>
      <c r="E25" s="349" t="n">
        <v>35</v>
      </c>
      <c r="F25" s="348">
        <f>'YERDEN ISITMA'!N25</f>
        <v/>
      </c>
      <c r="G25" s="345" t="n">
        <v>106.04</v>
      </c>
      <c r="H25" s="345" t="n">
        <v>2</v>
      </c>
      <c r="I25" s="345" t="inlineStr">
        <is>
          <t>ZEMİNDEN ISITMA</t>
        </is>
      </c>
      <c r="J25" s="264" t="n"/>
      <c r="K25" s="264" t="n"/>
      <c r="L25" s="264" t="n"/>
      <c r="M25" s="264" t="n"/>
      <c r="N25" s="264" t="n"/>
      <c r="O25" s="264" t="n"/>
      <c r="P25" s="260" t="n"/>
    </row>
    <row r="26">
      <c r="A26" s="345" t="inlineStr">
        <is>
          <t>Z17</t>
        </is>
      </c>
      <c r="B26" s="346" t="inlineStr">
        <is>
          <t>D3 YATAK OD.</t>
        </is>
      </c>
      <c r="C26" s="347" t="inlineStr">
        <is>
          <t>20</t>
        </is>
      </c>
      <c r="D26" s="348" t="n">
        <v>2216.9</v>
      </c>
      <c r="E26" s="349" t="n">
        <v>35</v>
      </c>
      <c r="F26" s="348">
        <f>'YERDEN ISITMA'!N26</f>
        <v/>
      </c>
      <c r="G26" s="345" t="n">
        <v>63.34</v>
      </c>
      <c r="H26" s="345" t="n">
        <v>1</v>
      </c>
      <c r="I26" s="345" t="inlineStr">
        <is>
          <t>ZEMİNDEN ISITMA</t>
        </is>
      </c>
      <c r="J26" s="264" t="n"/>
      <c r="K26" s="264" t="n"/>
      <c r="L26" s="264" t="n"/>
      <c r="M26" s="264" t="n"/>
      <c r="N26" s="264" t="n"/>
      <c r="O26" s="264" t="n"/>
      <c r="P26" s="260" t="n"/>
    </row>
    <row r="27">
      <c r="A27" s="345" t="inlineStr">
        <is>
          <t>Z18</t>
        </is>
      </c>
      <c r="B27" s="346" t="inlineStr">
        <is>
          <t>D3 SALON</t>
        </is>
      </c>
      <c r="C27" s="347" t="inlineStr">
        <is>
          <t>20</t>
        </is>
      </c>
      <c r="D27" s="348" t="n">
        <v>4301.5</v>
      </c>
      <c r="E27" s="349" t="n">
        <v>35</v>
      </c>
      <c r="F27" s="348">
        <f>'YERDEN ISITMA'!N27</f>
        <v/>
      </c>
      <c r="G27" s="345" t="n">
        <v>122.9</v>
      </c>
      <c r="H27" s="345" t="n">
        <v>2</v>
      </c>
      <c r="I27" s="345" t="inlineStr">
        <is>
          <t>ZEMİNDEN ISITMA</t>
        </is>
      </c>
      <c r="J27" s="264" t="n"/>
      <c r="K27" s="264" t="n"/>
      <c r="L27" s="264" t="n"/>
      <c r="M27" s="264" t="n"/>
      <c r="N27" s="264" t="n"/>
      <c r="O27" s="264" t="n"/>
      <c r="P27" s="260" t="n"/>
    </row>
    <row r="28">
      <c r="A28" s="345" t="inlineStr">
        <is>
          <t>Z19</t>
        </is>
      </c>
      <c r="B28" s="346" t="inlineStr">
        <is>
          <t>D3 ODA</t>
        </is>
      </c>
      <c r="C28" s="347" t="inlineStr">
        <is>
          <t>20</t>
        </is>
      </c>
      <c r="D28" s="348" t="n">
        <v>2157.1</v>
      </c>
      <c r="E28" s="349" t="n">
        <v>35</v>
      </c>
      <c r="F28" s="348">
        <f>'YERDEN ISITMA'!N28</f>
        <v/>
      </c>
      <c r="G28" s="345" t="n">
        <v>61.63</v>
      </c>
      <c r="H28" s="345" t="n">
        <v>1</v>
      </c>
      <c r="I28" s="345" t="inlineStr">
        <is>
          <t>ZEMİNDEN ISITMA</t>
        </is>
      </c>
      <c r="J28" s="264" t="n"/>
      <c r="K28" s="264" t="n"/>
      <c r="L28" s="264" t="n"/>
      <c r="M28" s="264" t="n"/>
      <c r="N28" s="264" t="n"/>
      <c r="O28" s="264" t="n"/>
      <c r="P28" s="260" t="n"/>
    </row>
    <row r="29">
      <c r="A29" s="345" t="inlineStr">
        <is>
          <t>Z20</t>
        </is>
      </c>
      <c r="B29" s="346" t="inlineStr">
        <is>
          <t>D3 ANTRE-KOR.</t>
        </is>
      </c>
      <c r="C29" s="347" t="inlineStr">
        <is>
          <t>15</t>
        </is>
      </c>
      <c r="D29" s="348" t="n">
        <v>869.8</v>
      </c>
      <c r="E29" s="349" t="n">
        <v>35</v>
      </c>
      <c r="F29" s="348">
        <f>'YERDEN ISITMA'!N29</f>
        <v/>
      </c>
      <c r="G29" s="345" t="n">
        <v>24.85</v>
      </c>
      <c r="H29" s="345" t="n">
        <v>1</v>
      </c>
      <c r="I29" s="345" t="inlineStr">
        <is>
          <t>ZEMİNDEN ISITMA</t>
        </is>
      </c>
      <c r="J29" s="264" t="n"/>
      <c r="K29" s="264" t="n"/>
      <c r="L29" s="264" t="n"/>
      <c r="M29" s="264" t="n"/>
      <c r="N29" s="264" t="n"/>
      <c r="O29" s="264" t="n"/>
      <c r="P29" s="260" t="n"/>
    </row>
    <row r="30">
      <c r="A30" s="345" t="inlineStr">
        <is>
          <t>Z21</t>
        </is>
      </c>
      <c r="B30" s="346" t="inlineStr">
        <is>
          <t>D3 WC+BANYO</t>
        </is>
      </c>
      <c r="C30" s="347" t="inlineStr">
        <is>
          <t>24</t>
        </is>
      </c>
      <c r="D30" s="348" t="n">
        <v>1053.8</v>
      </c>
      <c r="E30" s="349" t="n">
        <v>35</v>
      </c>
      <c r="F30" s="348">
        <f>'YERDEN ISITMA'!N30</f>
        <v/>
      </c>
      <c r="G30" s="345" t="n">
        <v>30.11</v>
      </c>
      <c r="H30" s="345" t="n">
        <v>1</v>
      </c>
      <c r="I30" s="345" t="inlineStr">
        <is>
          <t>ZEMİNDEN ISITMA</t>
        </is>
      </c>
      <c r="J30" s="264" t="n"/>
      <c r="K30" s="264" t="n"/>
      <c r="L30" s="264" t="n"/>
      <c r="M30" s="264" t="n"/>
      <c r="N30" s="264" t="n"/>
      <c r="O30" s="264" t="n"/>
      <c r="P30" s="260" t="n"/>
    </row>
    <row r="31">
      <c r="A31" s="345" t="n"/>
      <c r="B31" s="345" t="inlineStr">
        <is>
          <t>ZEMİN KAT</t>
        </is>
      </c>
      <c r="C31" s="347" t="n"/>
      <c r="D31" s="348" t="n"/>
      <c r="E31" s="350" t="inlineStr">
        <is>
          <t>TOPLAM =</t>
        </is>
      </c>
      <c r="F31" s="351">
        <f>SUM(F10:F30)</f>
        <v/>
      </c>
      <c r="G31" s="345" t="inlineStr">
        <is>
          <t>watt</t>
        </is>
      </c>
      <c r="H31" s="345" t="n"/>
      <c r="I31" s="345" t="n"/>
      <c r="J31" s="345" t="n"/>
      <c r="K31" s="345" t="n"/>
      <c r="L31" s="345" t="n"/>
      <c r="M31" s="345" t="n"/>
      <c r="N31" s="345" t="n"/>
      <c r="O31" s="345" t="n"/>
      <c r="P31" s="345" t="n"/>
    </row>
    <row r="32">
      <c r="A32" s="345" t="inlineStr">
        <is>
          <t>101</t>
        </is>
      </c>
      <c r="B32" s="346" t="inlineStr">
        <is>
          <t>D4 MUTFAK</t>
        </is>
      </c>
      <c r="C32" s="347" t="inlineStr">
        <is>
          <t>20</t>
        </is>
      </c>
      <c r="D32" s="348" t="n">
        <v>1375.5</v>
      </c>
      <c r="E32" s="349" t="n">
        <v>35</v>
      </c>
      <c r="F32" s="348">
        <f>'YERDEN ISITMA'!N32</f>
        <v/>
      </c>
      <c r="G32" s="345" t="n">
        <v>39.3</v>
      </c>
      <c r="H32" s="345" t="n">
        <v>1</v>
      </c>
      <c r="I32" s="345" t="inlineStr">
        <is>
          <t>ZEMİNDEN ISITMA</t>
        </is>
      </c>
      <c r="J32" s="264" t="n"/>
      <c r="K32" s="264" t="n"/>
      <c r="L32" s="264" t="n"/>
      <c r="M32" s="264" t="n"/>
      <c r="N32" s="264" t="n"/>
      <c r="O32" s="264" t="n"/>
      <c r="P32" s="260" t="n"/>
    </row>
    <row r="33">
      <c r="A33" s="345" t="inlineStr">
        <is>
          <t>102</t>
        </is>
      </c>
      <c r="B33" s="346" t="inlineStr">
        <is>
          <t>D4 YATAK OD.</t>
        </is>
      </c>
      <c r="C33" s="347" t="inlineStr">
        <is>
          <t>20</t>
        </is>
      </c>
      <c r="D33" s="348" t="n">
        <v>3396.8</v>
      </c>
      <c r="E33" s="349" t="n">
        <v>35</v>
      </c>
      <c r="F33" s="348">
        <f>'YERDEN ISITMA'!N33</f>
        <v/>
      </c>
      <c r="G33" s="345" t="n">
        <v>97.05</v>
      </c>
      <c r="H33" s="345" t="n">
        <v>2</v>
      </c>
      <c r="I33" s="345" t="inlineStr">
        <is>
          <t>ZEMİNDEN ISITMA</t>
        </is>
      </c>
      <c r="J33" s="264" t="n"/>
      <c r="K33" s="264" t="n"/>
      <c r="L33" s="264" t="n"/>
      <c r="M33" s="264" t="n"/>
      <c r="N33" s="264" t="n"/>
      <c r="O33" s="264" t="n"/>
      <c r="P33" s="260" t="n"/>
    </row>
    <row r="34">
      <c r="A34" s="345" t="inlineStr">
        <is>
          <t>103</t>
        </is>
      </c>
      <c r="B34" s="346" t="inlineStr">
        <is>
          <t>D4 YATAK OD.</t>
        </is>
      </c>
      <c r="C34" s="347" t="inlineStr">
        <is>
          <t>20</t>
        </is>
      </c>
      <c r="D34" s="348" t="n">
        <v>2090.5</v>
      </c>
      <c r="E34" s="349" t="n">
        <v>35</v>
      </c>
      <c r="F34" s="348">
        <f>'YERDEN ISITMA'!N34</f>
        <v/>
      </c>
      <c r="G34" s="345" t="n">
        <v>59.73</v>
      </c>
      <c r="H34" s="345" t="n">
        <v>1</v>
      </c>
      <c r="I34" s="345" t="inlineStr">
        <is>
          <t>ZEMİNDEN ISITMA</t>
        </is>
      </c>
      <c r="J34" s="264" t="n"/>
      <c r="K34" s="264" t="n"/>
      <c r="L34" s="264" t="n"/>
      <c r="M34" s="264" t="n"/>
      <c r="N34" s="264" t="n"/>
      <c r="O34" s="264" t="n"/>
      <c r="P34" s="260" t="n"/>
    </row>
    <row r="35">
      <c r="A35" s="345" t="inlineStr">
        <is>
          <t>104</t>
        </is>
      </c>
      <c r="B35" s="346" t="inlineStr">
        <is>
          <t>D4 YATAK OD.</t>
        </is>
      </c>
      <c r="C35" s="347" t="inlineStr">
        <is>
          <t>20</t>
        </is>
      </c>
      <c r="D35" s="348" t="n">
        <v>2072</v>
      </c>
      <c r="E35" s="349" t="n">
        <v>35</v>
      </c>
      <c r="F35" s="348">
        <f>'YERDEN ISITMA'!N35</f>
        <v/>
      </c>
      <c r="G35" s="345" t="n">
        <v>59.2</v>
      </c>
      <c r="H35" s="345" t="n">
        <v>1</v>
      </c>
      <c r="I35" s="345" t="inlineStr">
        <is>
          <t>ZEMİNDEN ISITMA</t>
        </is>
      </c>
      <c r="J35" s="264" t="n"/>
      <c r="K35" s="264" t="n"/>
      <c r="L35" s="264" t="n"/>
      <c r="M35" s="264" t="n"/>
      <c r="N35" s="264" t="n"/>
      <c r="O35" s="264" t="n"/>
      <c r="P35" s="260" t="n"/>
    </row>
    <row r="36">
      <c r="A36" s="345" t="inlineStr">
        <is>
          <t>105</t>
        </is>
      </c>
      <c r="B36" s="346" t="inlineStr">
        <is>
          <t>D4 SALON</t>
        </is>
      </c>
      <c r="C36" s="347" t="inlineStr">
        <is>
          <t>20</t>
        </is>
      </c>
      <c r="D36" s="348" t="n">
        <v>4634</v>
      </c>
      <c r="E36" s="349" t="n">
        <v>35</v>
      </c>
      <c r="F36" s="348">
        <f>'YERDEN ISITMA'!N36</f>
        <v/>
      </c>
      <c r="G36" s="345" t="n">
        <v>132.4</v>
      </c>
      <c r="H36" s="345" t="n">
        <v>2</v>
      </c>
      <c r="I36" s="345" t="inlineStr">
        <is>
          <t>ZEMİNDEN ISITMA</t>
        </is>
      </c>
      <c r="J36" s="264" t="n"/>
      <c r="K36" s="264" t="n"/>
      <c r="L36" s="264" t="n"/>
      <c r="M36" s="264" t="n"/>
      <c r="N36" s="264" t="n"/>
      <c r="O36" s="264" t="n"/>
      <c r="P36" s="260" t="n"/>
    </row>
    <row r="37">
      <c r="A37" s="345" t="inlineStr">
        <is>
          <t>106</t>
        </is>
      </c>
      <c r="B37" s="346" t="inlineStr">
        <is>
          <t>D4 ANTRE-KOR.</t>
        </is>
      </c>
      <c r="C37" s="347" t="inlineStr">
        <is>
          <t>15</t>
        </is>
      </c>
      <c r="D37" s="348" t="n">
        <v>183.4</v>
      </c>
      <c r="E37" s="349" t="n">
        <v>35</v>
      </c>
      <c r="F37" s="348">
        <f>'YERDEN ISITMA'!N37</f>
        <v/>
      </c>
      <c r="G37" s="345" t="n">
        <v>5.24</v>
      </c>
      <c r="H37" s="345" t="n">
        <v>1</v>
      </c>
      <c r="I37" s="345" t="inlineStr">
        <is>
          <t>ZEMİNDEN ISITMA</t>
        </is>
      </c>
      <c r="J37" s="264" t="n"/>
      <c r="K37" s="264" t="n"/>
      <c r="L37" s="264" t="n"/>
      <c r="M37" s="264" t="n"/>
      <c r="N37" s="264" t="n"/>
      <c r="O37" s="264" t="n"/>
      <c r="P37" s="260" t="n"/>
    </row>
    <row r="38">
      <c r="A38" s="345" t="inlineStr">
        <is>
          <t>107</t>
        </is>
      </c>
      <c r="B38" s="346" t="inlineStr">
        <is>
          <t>D4 BANYO</t>
        </is>
      </c>
      <c r="C38" s="347" t="inlineStr">
        <is>
          <t>24</t>
        </is>
      </c>
      <c r="D38" s="348" t="n">
        <v>872.2</v>
      </c>
      <c r="E38" s="349" t="n">
        <v>35</v>
      </c>
      <c r="F38" s="348">
        <f>'YERDEN ISITMA'!N38</f>
        <v/>
      </c>
      <c r="G38" s="345" t="n">
        <v>24.92</v>
      </c>
      <c r="H38" s="345" t="n">
        <v>1</v>
      </c>
      <c r="I38" s="345" t="inlineStr">
        <is>
          <t>ZEMİNDEN ISITMA</t>
        </is>
      </c>
      <c r="J38" s="264" t="n"/>
      <c r="K38" s="264" t="n"/>
      <c r="L38" s="264" t="n"/>
      <c r="M38" s="264" t="n"/>
      <c r="N38" s="264" t="n"/>
      <c r="O38" s="264" t="n"/>
      <c r="P38" s="260" t="n"/>
    </row>
    <row r="39">
      <c r="A39" s="345" t="inlineStr">
        <is>
          <t>108</t>
        </is>
      </c>
      <c r="B39" s="346" t="inlineStr">
        <is>
          <t>D5 MUTFAK</t>
        </is>
      </c>
      <c r="C39" s="347" t="inlineStr">
        <is>
          <t>20</t>
        </is>
      </c>
      <c r="D39" s="348" t="n">
        <v>1285.2</v>
      </c>
      <c r="E39" s="349" t="n">
        <v>35</v>
      </c>
      <c r="F39" s="348">
        <f>'YERDEN ISITMA'!N39</f>
        <v/>
      </c>
      <c r="G39" s="345" t="n">
        <v>36.72</v>
      </c>
      <c r="H39" s="345" t="n">
        <v>1</v>
      </c>
      <c r="I39" s="345" t="inlineStr">
        <is>
          <t>ZEMİNDEN ISITMA</t>
        </is>
      </c>
      <c r="J39" s="264" t="n"/>
      <c r="K39" s="264" t="n"/>
      <c r="L39" s="264" t="n"/>
      <c r="M39" s="264" t="n"/>
      <c r="N39" s="264" t="n"/>
      <c r="O39" s="264" t="n"/>
      <c r="P39" s="260" t="n"/>
    </row>
    <row r="40">
      <c r="A40" s="345" t="inlineStr">
        <is>
          <t>109</t>
        </is>
      </c>
      <c r="B40" s="346" t="inlineStr">
        <is>
          <t>D5 YATAK OD.</t>
        </is>
      </c>
      <c r="C40" s="347" t="inlineStr">
        <is>
          <t>20</t>
        </is>
      </c>
      <c r="D40" s="348" t="n">
        <v>3266.2</v>
      </c>
      <c r="E40" s="349" t="n">
        <v>35</v>
      </c>
      <c r="F40" s="348">
        <f>'YERDEN ISITMA'!N40</f>
        <v/>
      </c>
      <c r="G40" s="345" t="n">
        <v>93.31999999999999</v>
      </c>
      <c r="H40" s="345" t="n">
        <v>2</v>
      </c>
      <c r="I40" s="345" t="inlineStr">
        <is>
          <t>ZEMİNDEN ISITMA</t>
        </is>
      </c>
      <c r="J40" s="264" t="n"/>
      <c r="K40" s="264" t="n"/>
      <c r="L40" s="264" t="n"/>
      <c r="M40" s="264" t="n"/>
      <c r="N40" s="264" t="n"/>
      <c r="O40" s="264" t="n"/>
      <c r="P40" s="260" t="n"/>
    </row>
    <row r="41">
      <c r="A41" s="345" t="inlineStr">
        <is>
          <t>110</t>
        </is>
      </c>
      <c r="B41" s="346" t="inlineStr">
        <is>
          <t>D5 YATAK OD.</t>
        </is>
      </c>
      <c r="C41" s="347" t="inlineStr">
        <is>
          <t>20</t>
        </is>
      </c>
      <c r="D41" s="348" t="n">
        <v>1985.9</v>
      </c>
      <c r="E41" s="349" t="n">
        <v>35</v>
      </c>
      <c r="F41" s="348">
        <f>'YERDEN ISITMA'!N41</f>
        <v/>
      </c>
      <c r="G41" s="345" t="n">
        <v>56.74</v>
      </c>
      <c r="H41" s="345" t="n">
        <v>1</v>
      </c>
      <c r="I41" s="345" t="inlineStr">
        <is>
          <t>ZEMİNDEN ISITMA</t>
        </is>
      </c>
      <c r="J41" s="264" t="n"/>
      <c r="K41" s="264" t="n"/>
      <c r="L41" s="264" t="n"/>
      <c r="M41" s="264" t="n"/>
      <c r="N41" s="264" t="n"/>
      <c r="O41" s="264" t="n"/>
      <c r="P41" s="260" t="n"/>
    </row>
    <row r="42">
      <c r="A42" s="345" t="inlineStr">
        <is>
          <t>111</t>
        </is>
      </c>
      <c r="B42" s="346" t="inlineStr">
        <is>
          <t>D5 SALON</t>
        </is>
      </c>
      <c r="C42" s="347" t="inlineStr">
        <is>
          <t>20</t>
        </is>
      </c>
      <c r="D42" s="348" t="n">
        <v>4733.4</v>
      </c>
      <c r="E42" s="349" t="n">
        <v>35</v>
      </c>
      <c r="F42" s="348">
        <f>'YERDEN ISITMA'!N42</f>
        <v/>
      </c>
      <c r="G42" s="345" t="n">
        <v>135.24</v>
      </c>
      <c r="H42" s="345" t="n">
        <v>2</v>
      </c>
      <c r="I42" s="345" t="inlineStr">
        <is>
          <t>ZEMİNDEN ISITMA</t>
        </is>
      </c>
      <c r="J42" s="264" t="n"/>
      <c r="K42" s="264" t="n"/>
      <c r="L42" s="264" t="n"/>
      <c r="M42" s="264" t="n"/>
      <c r="N42" s="264" t="n"/>
      <c r="O42" s="264" t="n"/>
      <c r="P42" s="260" t="n"/>
    </row>
    <row r="43">
      <c r="A43" s="345" t="inlineStr">
        <is>
          <t>112</t>
        </is>
      </c>
      <c r="B43" s="346" t="inlineStr">
        <is>
          <t>D5 ODA</t>
        </is>
      </c>
      <c r="C43" s="347" t="inlineStr">
        <is>
          <t>20</t>
        </is>
      </c>
      <c r="D43" s="348" t="n">
        <v>1931.3</v>
      </c>
      <c r="E43" s="349" t="n">
        <v>35</v>
      </c>
      <c r="F43" s="348">
        <f>'YERDEN ISITMA'!N43</f>
        <v/>
      </c>
      <c r="G43" s="345" t="n">
        <v>55.18</v>
      </c>
      <c r="H43" s="345" t="n">
        <v>1</v>
      </c>
      <c r="I43" s="345" t="inlineStr">
        <is>
          <t>ZEMİNDEN ISITMA</t>
        </is>
      </c>
      <c r="J43" s="264" t="n"/>
      <c r="K43" s="264" t="n"/>
      <c r="L43" s="264" t="n"/>
      <c r="M43" s="264" t="n"/>
      <c r="N43" s="264" t="n"/>
      <c r="O43" s="264" t="n"/>
      <c r="P43" s="260" t="n"/>
    </row>
    <row r="44">
      <c r="A44" s="345" t="inlineStr">
        <is>
          <t>113</t>
        </is>
      </c>
      <c r="B44" s="346" t="inlineStr">
        <is>
          <t>D5 ANTRE-KOR.</t>
        </is>
      </c>
      <c r="C44" s="347" t="inlineStr">
        <is>
          <t>15</t>
        </is>
      </c>
      <c r="D44" s="348" t="n">
        <v>641.5</v>
      </c>
      <c r="E44" s="349" t="n">
        <v>35</v>
      </c>
      <c r="F44" s="348">
        <f>'YERDEN ISITMA'!N44</f>
        <v/>
      </c>
      <c r="G44" s="345" t="n">
        <v>18.33</v>
      </c>
      <c r="H44" s="345" t="n">
        <v>1</v>
      </c>
      <c r="I44" s="345" t="inlineStr">
        <is>
          <t>ZEMİNDEN ISITMA</t>
        </is>
      </c>
      <c r="J44" s="264" t="n"/>
      <c r="K44" s="264" t="n"/>
      <c r="L44" s="264" t="n"/>
      <c r="M44" s="264" t="n"/>
      <c r="N44" s="264" t="n"/>
      <c r="O44" s="264" t="n"/>
      <c r="P44" s="260" t="n"/>
    </row>
    <row r="45">
      <c r="A45" s="345" t="inlineStr">
        <is>
          <t>114</t>
        </is>
      </c>
      <c r="B45" s="346" t="inlineStr">
        <is>
          <t>D5 WC-BANYO</t>
        </is>
      </c>
      <c r="C45" s="347" t="inlineStr">
        <is>
          <t>24</t>
        </is>
      </c>
      <c r="D45" s="348" t="n">
        <v>791.7</v>
      </c>
      <c r="E45" s="349" t="n">
        <v>35</v>
      </c>
      <c r="F45" s="348">
        <f>'YERDEN ISITMA'!N45</f>
        <v/>
      </c>
      <c r="G45" s="345" t="n">
        <v>22.62</v>
      </c>
      <c r="H45" s="345" t="n">
        <v>1</v>
      </c>
      <c r="I45" s="345" t="inlineStr">
        <is>
          <t>ZEMİNDEN ISITMA</t>
        </is>
      </c>
      <c r="J45" s="264" t="n"/>
      <c r="K45" s="264" t="n"/>
      <c r="L45" s="264" t="n"/>
      <c r="M45" s="264" t="n"/>
      <c r="N45" s="264" t="n"/>
      <c r="O45" s="264" t="n"/>
      <c r="P45" s="260" t="n"/>
    </row>
    <row r="46">
      <c r="A46" s="345" t="inlineStr">
        <is>
          <t>115</t>
        </is>
      </c>
      <c r="B46" s="346" t="inlineStr">
        <is>
          <t>D6 MUTFAK</t>
        </is>
      </c>
      <c r="C46" s="347" t="inlineStr">
        <is>
          <t>20</t>
        </is>
      </c>
      <c r="D46" s="348" t="n">
        <v>1653</v>
      </c>
      <c r="E46" s="349" t="n">
        <v>35</v>
      </c>
      <c r="F46" s="348">
        <f>'YERDEN ISITMA'!N46</f>
        <v/>
      </c>
      <c r="G46" s="345" t="n">
        <v>47.23</v>
      </c>
      <c r="H46" s="345" t="n">
        <v>1</v>
      </c>
      <c r="I46" s="345" t="inlineStr">
        <is>
          <t>ZEMİNDEN ISITMA</t>
        </is>
      </c>
      <c r="J46" s="264" t="n"/>
      <c r="K46" s="264" t="n"/>
      <c r="L46" s="264" t="n"/>
      <c r="M46" s="264" t="n"/>
      <c r="N46" s="264" t="n"/>
      <c r="O46" s="264" t="n"/>
      <c r="P46" s="260" t="n"/>
    </row>
    <row r="47">
      <c r="A47" s="345" t="inlineStr">
        <is>
          <t>116</t>
        </is>
      </c>
      <c r="B47" s="346" t="inlineStr">
        <is>
          <t>D6 YATAK OD.</t>
        </is>
      </c>
      <c r="C47" s="347" t="inlineStr">
        <is>
          <t>20</t>
        </is>
      </c>
      <c r="D47" s="348" t="n">
        <v>3375.4</v>
      </c>
      <c r="E47" s="349" t="n">
        <v>35</v>
      </c>
      <c r="F47" s="348">
        <f>'YERDEN ISITMA'!N47</f>
        <v/>
      </c>
      <c r="G47" s="345" t="n">
        <v>96.44</v>
      </c>
      <c r="H47" s="345" t="n">
        <v>2</v>
      </c>
      <c r="I47" s="345" t="inlineStr">
        <is>
          <t>ZEMİNDEN ISITMA</t>
        </is>
      </c>
      <c r="J47" s="264" t="n"/>
      <c r="K47" s="264" t="n"/>
      <c r="L47" s="264" t="n"/>
      <c r="M47" s="264" t="n"/>
      <c r="N47" s="264" t="n"/>
      <c r="O47" s="264" t="n"/>
      <c r="P47" s="260" t="n"/>
    </row>
    <row r="48">
      <c r="A48" s="345" t="inlineStr">
        <is>
          <t>117</t>
        </is>
      </c>
      <c r="B48" s="346" t="inlineStr">
        <is>
          <t>D6 YATAK OD.</t>
        </is>
      </c>
      <c r="C48" s="347" t="inlineStr">
        <is>
          <t>20</t>
        </is>
      </c>
      <c r="D48" s="348" t="n">
        <v>2089.8</v>
      </c>
      <c r="E48" s="349" t="n">
        <v>35</v>
      </c>
      <c r="F48" s="348">
        <f>'YERDEN ISITMA'!N48</f>
        <v/>
      </c>
      <c r="G48" s="345" t="n">
        <v>59.71</v>
      </c>
      <c r="H48" s="345" t="n">
        <v>1</v>
      </c>
      <c r="I48" s="345" t="inlineStr">
        <is>
          <t>ZEMİNDEN ISITMA</t>
        </is>
      </c>
      <c r="J48" s="264" t="n"/>
      <c r="K48" s="264" t="n"/>
      <c r="L48" s="264" t="n"/>
      <c r="M48" s="264" t="n"/>
      <c r="N48" s="264" t="n"/>
      <c r="O48" s="264" t="n"/>
      <c r="P48" s="260" t="n"/>
    </row>
    <row r="49">
      <c r="A49" s="345" t="inlineStr">
        <is>
          <t>118</t>
        </is>
      </c>
      <c r="B49" s="346" t="inlineStr">
        <is>
          <t>D6 YATAK OD.</t>
        </is>
      </c>
      <c r="C49" s="347" t="inlineStr">
        <is>
          <t>20</t>
        </is>
      </c>
      <c r="D49" s="348" t="n">
        <v>2095.4</v>
      </c>
      <c r="E49" s="349" t="n">
        <v>35</v>
      </c>
      <c r="F49" s="348">
        <f>'YERDEN ISITMA'!N49</f>
        <v/>
      </c>
      <c r="G49" s="345" t="n">
        <v>59.87</v>
      </c>
      <c r="H49" s="345" t="n">
        <v>1</v>
      </c>
      <c r="I49" s="345" t="inlineStr">
        <is>
          <t>ZEMİNDEN ISITMA</t>
        </is>
      </c>
      <c r="J49" s="264" t="n"/>
      <c r="K49" s="264" t="n"/>
      <c r="L49" s="264" t="n"/>
      <c r="M49" s="264" t="n"/>
      <c r="N49" s="264" t="n"/>
      <c r="O49" s="264" t="n"/>
      <c r="P49" s="260" t="n"/>
    </row>
    <row r="50">
      <c r="A50" s="345" t="inlineStr">
        <is>
          <t>119</t>
        </is>
      </c>
      <c r="B50" s="346" t="inlineStr">
        <is>
          <t>D6 SALON</t>
        </is>
      </c>
      <c r="C50" s="347" t="inlineStr">
        <is>
          <t>20</t>
        </is>
      </c>
      <c r="D50" s="348" t="n">
        <v>4626.3</v>
      </c>
      <c r="E50" s="349" t="n">
        <v>35</v>
      </c>
      <c r="F50" s="348">
        <f>'YERDEN ISITMA'!N50</f>
        <v/>
      </c>
      <c r="G50" s="345" t="n">
        <v>132.18</v>
      </c>
      <c r="H50" s="345" t="n">
        <v>2</v>
      </c>
      <c r="I50" s="345" t="inlineStr">
        <is>
          <t>ZEMİNDEN ISITMA</t>
        </is>
      </c>
      <c r="J50" s="264" t="n"/>
      <c r="K50" s="264" t="n"/>
      <c r="L50" s="264" t="n"/>
      <c r="M50" s="264" t="n"/>
      <c r="N50" s="264" t="n"/>
      <c r="O50" s="264" t="n"/>
      <c r="P50" s="260" t="n"/>
    </row>
    <row r="51">
      <c r="A51" s="345" t="inlineStr">
        <is>
          <t>120</t>
        </is>
      </c>
      <c r="B51" s="346" t="inlineStr">
        <is>
          <t>D6 ANTRE-KOR.</t>
        </is>
      </c>
      <c r="C51" s="347" t="inlineStr">
        <is>
          <t>15</t>
        </is>
      </c>
      <c r="D51" s="348" t="n">
        <v>202.3</v>
      </c>
      <c r="E51" s="349" t="n">
        <v>35</v>
      </c>
      <c r="F51" s="348">
        <f>'YERDEN ISITMA'!N51</f>
        <v/>
      </c>
      <c r="G51" s="345" t="n">
        <v>5.78</v>
      </c>
      <c r="H51" s="345" t="n">
        <v>1</v>
      </c>
      <c r="I51" s="345" t="inlineStr">
        <is>
          <t>ZEMİNDEN ISITMA</t>
        </is>
      </c>
      <c r="J51" s="264" t="n"/>
      <c r="K51" s="264" t="n"/>
      <c r="L51" s="264" t="n"/>
      <c r="M51" s="264" t="n"/>
      <c r="N51" s="264" t="n"/>
      <c r="O51" s="264" t="n"/>
      <c r="P51" s="260" t="n"/>
    </row>
    <row r="52">
      <c r="A52" s="345" t="inlineStr">
        <is>
          <t>121</t>
        </is>
      </c>
      <c r="B52" s="346" t="inlineStr">
        <is>
          <t>D6 BANYO</t>
        </is>
      </c>
      <c r="C52" s="347" t="inlineStr">
        <is>
          <t>24</t>
        </is>
      </c>
      <c r="D52" s="348" t="n">
        <v>731.1</v>
      </c>
      <c r="E52" s="349" t="n">
        <v>35</v>
      </c>
      <c r="F52" s="348">
        <f>'YERDEN ISITMA'!N52</f>
        <v/>
      </c>
      <c r="G52" s="345" t="n">
        <v>20.89</v>
      </c>
      <c r="H52" s="345" t="n">
        <v>1</v>
      </c>
      <c r="I52" s="345" t="inlineStr">
        <is>
          <t>ZEMİNDEN ISITMA</t>
        </is>
      </c>
      <c r="J52" s="264" t="n"/>
      <c r="K52" s="264" t="n"/>
      <c r="L52" s="264" t="n"/>
      <c r="M52" s="264" t="n"/>
      <c r="N52" s="264" t="n"/>
      <c r="O52" s="264" t="n"/>
      <c r="P52" s="260" t="n"/>
    </row>
    <row r="53">
      <c r="A53" s="345" t="n"/>
      <c r="B53" s="345" t="inlineStr">
        <is>
          <t>1. KAT</t>
        </is>
      </c>
      <c r="C53" s="347" t="n"/>
      <c r="D53" s="348" t="n"/>
      <c r="E53" s="350" t="inlineStr">
        <is>
          <t>TOPLAM =</t>
        </is>
      </c>
      <c r="F53" s="351">
        <f>SUM(F32:F52)</f>
        <v/>
      </c>
      <c r="G53" s="345" t="inlineStr">
        <is>
          <t>watt</t>
        </is>
      </c>
      <c r="H53" s="345" t="n"/>
      <c r="I53" s="345" t="n"/>
      <c r="J53" s="345" t="n"/>
      <c r="K53" s="345" t="n"/>
      <c r="L53" s="345" t="n"/>
      <c r="M53" s="345" t="n"/>
      <c r="N53" s="345" t="n"/>
      <c r="O53" s="345" t="n"/>
      <c r="P53" s="345" t="n"/>
    </row>
    <row r="54">
      <c r="A54" s="345" t="inlineStr">
        <is>
          <t>201</t>
        </is>
      </c>
      <c r="B54" s="346" t="inlineStr">
        <is>
          <t>D7 MUTFAK</t>
        </is>
      </c>
      <c r="C54" s="347" t="inlineStr">
        <is>
          <t>20</t>
        </is>
      </c>
      <c r="D54" s="348" t="n">
        <v>1760.5</v>
      </c>
      <c r="E54" s="349" t="n">
        <v>35</v>
      </c>
      <c r="F54" s="348">
        <f>'YERDEN ISITMA'!N54</f>
        <v/>
      </c>
      <c r="G54" s="345" t="n">
        <v>50.3</v>
      </c>
      <c r="H54" s="345" t="n">
        <v>1</v>
      </c>
      <c r="I54" s="345" t="inlineStr">
        <is>
          <t>ZEMİNDEN ISITMA</t>
        </is>
      </c>
      <c r="J54" s="264" t="n"/>
      <c r="K54" s="264" t="n"/>
      <c r="L54" s="264" t="n"/>
      <c r="M54" s="264" t="n"/>
      <c r="N54" s="264" t="n"/>
      <c r="O54" s="264" t="n"/>
      <c r="P54" s="260" t="n"/>
    </row>
    <row r="55">
      <c r="A55" s="345" t="inlineStr">
        <is>
          <t>202</t>
        </is>
      </c>
      <c r="B55" s="346" t="inlineStr">
        <is>
          <t>D7 YATAK OD.</t>
        </is>
      </c>
      <c r="C55" s="347" t="inlineStr">
        <is>
          <t>20</t>
        </is>
      </c>
      <c r="D55" s="348" t="n">
        <v>3383.5</v>
      </c>
      <c r="E55" s="349" t="n">
        <v>35</v>
      </c>
      <c r="F55" s="348">
        <f>'YERDEN ISITMA'!N55</f>
        <v/>
      </c>
      <c r="G55" s="345" t="n">
        <v>96.67</v>
      </c>
      <c r="H55" s="345" t="n">
        <v>2</v>
      </c>
      <c r="I55" s="345" t="inlineStr">
        <is>
          <t>ZEMİNDEN ISITMA</t>
        </is>
      </c>
      <c r="J55" s="264" t="n"/>
      <c r="K55" s="264" t="n"/>
      <c r="L55" s="264" t="n"/>
      <c r="M55" s="264" t="n"/>
      <c r="N55" s="264" t="n"/>
      <c r="O55" s="264" t="n"/>
      <c r="P55" s="260" t="n"/>
    </row>
    <row r="56">
      <c r="A56" s="345" t="inlineStr">
        <is>
          <t>203</t>
        </is>
      </c>
      <c r="B56" s="346" t="inlineStr">
        <is>
          <t>D7 YATAK OD.</t>
        </is>
      </c>
      <c r="C56" s="347" t="inlineStr">
        <is>
          <t>20</t>
        </is>
      </c>
      <c r="D56" s="348" t="n">
        <v>2087.8</v>
      </c>
      <c r="E56" s="349" t="n">
        <v>35</v>
      </c>
      <c r="F56" s="348">
        <f>'YERDEN ISITMA'!N56</f>
        <v/>
      </c>
      <c r="G56" s="345" t="n">
        <v>59.65</v>
      </c>
      <c r="H56" s="345" t="n">
        <v>1</v>
      </c>
      <c r="I56" s="345" t="inlineStr">
        <is>
          <t>ZEMİNDEN ISITMA</t>
        </is>
      </c>
      <c r="J56" s="264" t="n"/>
      <c r="K56" s="264" t="n"/>
      <c r="L56" s="264" t="n"/>
      <c r="M56" s="264" t="n"/>
      <c r="N56" s="264" t="n"/>
      <c r="O56" s="264" t="n"/>
      <c r="P56" s="260" t="n"/>
    </row>
    <row r="57">
      <c r="A57" s="345" t="inlineStr">
        <is>
          <t>204</t>
        </is>
      </c>
      <c r="B57" s="346" t="inlineStr">
        <is>
          <t>D7 YATAK OD.</t>
        </is>
      </c>
      <c r="C57" s="347" t="inlineStr">
        <is>
          <t>20</t>
        </is>
      </c>
      <c r="D57" s="348" t="n">
        <v>2075.8</v>
      </c>
      <c r="E57" s="349" t="n">
        <v>35</v>
      </c>
      <c r="F57" s="348">
        <f>'YERDEN ISITMA'!N57</f>
        <v/>
      </c>
      <c r="G57" s="345" t="n">
        <v>59.31</v>
      </c>
      <c r="H57" s="345" t="n">
        <v>1</v>
      </c>
      <c r="I57" s="345" t="inlineStr">
        <is>
          <t>ZEMİNDEN ISITMA</t>
        </is>
      </c>
      <c r="J57" s="264" t="n"/>
      <c r="K57" s="264" t="n"/>
      <c r="L57" s="264" t="n"/>
      <c r="M57" s="264" t="n"/>
      <c r="N57" s="264" t="n"/>
      <c r="O57" s="264" t="n"/>
      <c r="P57" s="260" t="n"/>
    </row>
    <row r="58">
      <c r="A58" s="345" t="inlineStr">
        <is>
          <t>205</t>
        </is>
      </c>
      <c r="B58" s="346" t="inlineStr">
        <is>
          <t>D7 SALON</t>
        </is>
      </c>
      <c r="C58" s="347" t="inlineStr">
        <is>
          <t>20</t>
        </is>
      </c>
      <c r="D58" s="348" t="n">
        <v>4611.6</v>
      </c>
      <c r="E58" s="349" t="n">
        <v>35</v>
      </c>
      <c r="F58" s="348">
        <f>'YERDEN ISITMA'!N58</f>
        <v/>
      </c>
      <c r="G58" s="345" t="n">
        <v>131.76</v>
      </c>
      <c r="H58" s="345" t="n">
        <v>2</v>
      </c>
      <c r="I58" s="345" t="inlineStr">
        <is>
          <t>ZEMİNDEN ISITMA</t>
        </is>
      </c>
      <c r="J58" s="264" t="n"/>
      <c r="K58" s="264" t="n"/>
      <c r="L58" s="264" t="n"/>
      <c r="M58" s="264" t="n"/>
      <c r="N58" s="264" t="n"/>
      <c r="O58" s="264" t="n"/>
      <c r="P58" s="260" t="n"/>
    </row>
    <row r="59">
      <c r="A59" s="345" t="inlineStr">
        <is>
          <t>206</t>
        </is>
      </c>
      <c r="B59" s="346" t="inlineStr">
        <is>
          <t>D7 ANTRE-KOR.</t>
        </is>
      </c>
      <c r="C59" s="347" t="inlineStr">
        <is>
          <t>15</t>
        </is>
      </c>
      <c r="D59" s="348" t="n">
        <v>255.8</v>
      </c>
      <c r="E59" s="349" t="n">
        <v>35</v>
      </c>
      <c r="F59" s="348">
        <f>'YERDEN ISITMA'!N59</f>
        <v/>
      </c>
      <c r="G59" s="345" t="n">
        <v>7.31</v>
      </c>
      <c r="H59" s="345" t="n">
        <v>1</v>
      </c>
      <c r="I59" s="345" t="inlineStr">
        <is>
          <t>ZEMİNDEN ISITMA</t>
        </is>
      </c>
      <c r="J59" s="264" t="n"/>
      <c r="K59" s="264" t="n"/>
      <c r="L59" s="264" t="n"/>
      <c r="M59" s="264" t="n"/>
      <c r="N59" s="264" t="n"/>
      <c r="O59" s="264" t="n"/>
      <c r="P59" s="260" t="n"/>
    </row>
    <row r="60">
      <c r="A60" s="345" t="inlineStr">
        <is>
          <t>207</t>
        </is>
      </c>
      <c r="B60" s="346" t="inlineStr">
        <is>
          <t>D7 BANYO</t>
        </is>
      </c>
      <c r="C60" s="347" t="inlineStr">
        <is>
          <t>24</t>
        </is>
      </c>
      <c r="D60" s="348" t="n">
        <v>897.8</v>
      </c>
      <c r="E60" s="349" t="n">
        <v>35</v>
      </c>
      <c r="F60" s="348">
        <f>'YERDEN ISITMA'!N60</f>
        <v/>
      </c>
      <c r="G60" s="345" t="n">
        <v>25.65</v>
      </c>
      <c r="H60" s="345" t="n">
        <v>1</v>
      </c>
      <c r="I60" s="345" t="inlineStr">
        <is>
          <t>ZEMİNDEN ISITMA</t>
        </is>
      </c>
      <c r="J60" s="264" t="n"/>
      <c r="K60" s="264" t="n"/>
      <c r="L60" s="264" t="n"/>
      <c r="M60" s="264" t="n"/>
      <c r="N60" s="264" t="n"/>
      <c r="O60" s="264" t="n"/>
      <c r="P60" s="260" t="n"/>
    </row>
    <row r="61">
      <c r="A61" s="345" t="inlineStr">
        <is>
          <t>208</t>
        </is>
      </c>
      <c r="B61" s="346" t="inlineStr">
        <is>
          <t>D8 MUTFAK</t>
        </is>
      </c>
      <c r="C61" s="347" t="inlineStr">
        <is>
          <t>20</t>
        </is>
      </c>
      <c r="D61" s="348" t="n">
        <v>1253</v>
      </c>
      <c r="E61" s="349" t="n">
        <v>35</v>
      </c>
      <c r="F61" s="348">
        <f>'YERDEN ISITMA'!N61</f>
        <v/>
      </c>
      <c r="G61" s="345" t="n">
        <v>35.8</v>
      </c>
      <c r="H61" s="345" t="n">
        <v>1</v>
      </c>
      <c r="I61" s="345" t="inlineStr">
        <is>
          <t>ZEMİNDEN ISITMA</t>
        </is>
      </c>
      <c r="J61" s="264" t="n"/>
      <c r="K61" s="264" t="n"/>
      <c r="L61" s="264" t="n"/>
      <c r="M61" s="264" t="n"/>
      <c r="N61" s="264" t="n"/>
      <c r="O61" s="264" t="n"/>
      <c r="P61" s="260" t="n"/>
    </row>
    <row r="62">
      <c r="A62" s="345" t="inlineStr">
        <is>
          <t>209</t>
        </is>
      </c>
      <c r="B62" s="346" t="inlineStr">
        <is>
          <t>D8 YATAK OD.</t>
        </is>
      </c>
      <c r="C62" s="347" t="inlineStr">
        <is>
          <t>20</t>
        </is>
      </c>
      <c r="D62" s="348" t="n">
        <v>3260.9</v>
      </c>
      <c r="E62" s="349" t="n">
        <v>35</v>
      </c>
      <c r="F62" s="348">
        <f>'YERDEN ISITMA'!N62</f>
        <v/>
      </c>
      <c r="G62" s="345" t="n">
        <v>93.17</v>
      </c>
      <c r="H62" s="345" t="n">
        <v>2</v>
      </c>
      <c r="I62" s="345" t="inlineStr">
        <is>
          <t>ZEMİNDEN ISITMA</t>
        </is>
      </c>
      <c r="J62" s="264" t="n"/>
      <c r="K62" s="264" t="n"/>
      <c r="L62" s="264" t="n"/>
      <c r="M62" s="264" t="n"/>
      <c r="N62" s="264" t="n"/>
      <c r="O62" s="264" t="n"/>
      <c r="P62" s="260" t="n"/>
    </row>
    <row r="63">
      <c r="A63" s="345" t="inlineStr">
        <is>
          <t>210</t>
        </is>
      </c>
      <c r="B63" s="346" t="inlineStr">
        <is>
          <t>D8 YATAK OD.</t>
        </is>
      </c>
      <c r="C63" s="347" t="inlineStr">
        <is>
          <t>20</t>
        </is>
      </c>
      <c r="D63" s="348" t="n">
        <v>1982.4</v>
      </c>
      <c r="E63" s="349" t="n">
        <v>35</v>
      </c>
      <c r="F63" s="348">
        <f>'YERDEN ISITMA'!N63</f>
        <v/>
      </c>
      <c r="G63" s="345" t="n">
        <v>56.64</v>
      </c>
      <c r="H63" s="345" t="n">
        <v>1</v>
      </c>
      <c r="I63" s="345" t="inlineStr">
        <is>
          <t>ZEMİNDEN ISITMA</t>
        </is>
      </c>
      <c r="J63" s="264" t="n"/>
      <c r="K63" s="264" t="n"/>
      <c r="L63" s="264" t="n"/>
      <c r="M63" s="264" t="n"/>
      <c r="N63" s="264" t="n"/>
      <c r="O63" s="264" t="n"/>
      <c r="P63" s="260" t="n"/>
    </row>
    <row r="64">
      <c r="A64" s="345" t="inlineStr">
        <is>
          <t>211</t>
        </is>
      </c>
      <c r="B64" s="346" t="inlineStr">
        <is>
          <t>D8 SALON</t>
        </is>
      </c>
      <c r="C64" s="347" t="inlineStr">
        <is>
          <t>20</t>
        </is>
      </c>
      <c r="D64" s="348" t="n">
        <v>4714.5</v>
      </c>
      <c r="E64" s="349" t="n">
        <v>35</v>
      </c>
      <c r="F64" s="348">
        <f>'YERDEN ISITMA'!N64</f>
        <v/>
      </c>
      <c r="G64" s="345" t="n">
        <v>134.7</v>
      </c>
      <c r="H64" s="345" t="n">
        <v>2</v>
      </c>
      <c r="I64" s="345" t="inlineStr">
        <is>
          <t>ZEMİNDEN ISITMA</t>
        </is>
      </c>
      <c r="J64" s="264" t="n"/>
      <c r="K64" s="264" t="n"/>
      <c r="L64" s="264" t="n"/>
      <c r="M64" s="264" t="n"/>
      <c r="N64" s="264" t="n"/>
      <c r="O64" s="264" t="n"/>
      <c r="P64" s="260" t="n"/>
    </row>
    <row r="65">
      <c r="A65" s="345" t="inlineStr">
        <is>
          <t>212</t>
        </is>
      </c>
      <c r="B65" s="346" t="inlineStr">
        <is>
          <t>D8 ODA</t>
        </is>
      </c>
      <c r="C65" s="347" t="inlineStr">
        <is>
          <t>20</t>
        </is>
      </c>
      <c r="D65" s="348" t="n">
        <v>1927.1</v>
      </c>
      <c r="E65" s="349" t="n">
        <v>35</v>
      </c>
      <c r="F65" s="348">
        <f>'YERDEN ISITMA'!N65</f>
        <v/>
      </c>
      <c r="G65" s="345" t="n">
        <v>55.06</v>
      </c>
      <c r="H65" s="345" t="n">
        <v>1</v>
      </c>
      <c r="I65" s="345" t="inlineStr">
        <is>
          <t>ZEMİNDEN ISITMA</t>
        </is>
      </c>
      <c r="J65" s="264" t="n"/>
      <c r="K65" s="264" t="n"/>
      <c r="L65" s="264" t="n"/>
      <c r="M65" s="264" t="n"/>
      <c r="N65" s="264" t="n"/>
      <c r="O65" s="264" t="n"/>
      <c r="P65" s="260" t="n"/>
    </row>
    <row r="66">
      <c r="A66" s="345" t="inlineStr">
        <is>
          <t>213</t>
        </is>
      </c>
      <c r="B66" s="346" t="inlineStr">
        <is>
          <t>D8 ANTRE-KOR.</t>
        </is>
      </c>
      <c r="C66" s="347" t="inlineStr">
        <is>
          <t>15</t>
        </is>
      </c>
      <c r="D66" s="348" t="n">
        <v>450.8</v>
      </c>
      <c r="E66" s="349" t="n">
        <v>35</v>
      </c>
      <c r="F66" s="348">
        <f>'YERDEN ISITMA'!N66</f>
        <v/>
      </c>
      <c r="G66" s="345" t="n">
        <v>12.88</v>
      </c>
      <c r="H66" s="345" t="n">
        <v>1</v>
      </c>
      <c r="I66" s="345" t="inlineStr">
        <is>
          <t>ZEMİNDEN ISITMA</t>
        </is>
      </c>
      <c r="J66" s="264" t="n"/>
      <c r="K66" s="264" t="n"/>
      <c r="L66" s="264" t="n"/>
      <c r="M66" s="264" t="n"/>
      <c r="N66" s="264" t="n"/>
      <c r="O66" s="264" t="n"/>
      <c r="P66" s="260" t="n"/>
    </row>
    <row r="67">
      <c r="A67" s="345" t="inlineStr">
        <is>
          <t>214</t>
        </is>
      </c>
      <c r="B67" s="346" t="inlineStr">
        <is>
          <t>D8 WC-BANYO</t>
        </is>
      </c>
      <c r="C67" s="347" t="inlineStr">
        <is>
          <t>24</t>
        </is>
      </c>
      <c r="D67" s="348" t="n">
        <v>786.4</v>
      </c>
      <c r="E67" s="349" t="n">
        <v>35</v>
      </c>
      <c r="F67" s="348">
        <f>'YERDEN ISITMA'!N67</f>
        <v/>
      </c>
      <c r="G67" s="345" t="n">
        <v>22.47</v>
      </c>
      <c r="H67" s="345" t="n">
        <v>1</v>
      </c>
      <c r="I67" s="345" t="inlineStr">
        <is>
          <t>ZEMİNDEN ISITMA</t>
        </is>
      </c>
      <c r="J67" s="264" t="n"/>
      <c r="K67" s="264" t="n"/>
      <c r="L67" s="264" t="n"/>
      <c r="M67" s="264" t="n"/>
      <c r="N67" s="264" t="n"/>
      <c r="O67" s="264" t="n"/>
      <c r="P67" s="260" t="n"/>
    </row>
    <row r="68">
      <c r="A68" s="345" t="inlineStr">
        <is>
          <t>215</t>
        </is>
      </c>
      <c r="B68" s="346" t="inlineStr">
        <is>
          <t>D9 MUTFAK</t>
        </is>
      </c>
      <c r="C68" s="347" t="inlineStr">
        <is>
          <t>20</t>
        </is>
      </c>
      <c r="D68" s="348" t="n">
        <v>1660</v>
      </c>
      <c r="E68" s="349" t="n">
        <v>35</v>
      </c>
      <c r="F68" s="348">
        <f>'YERDEN ISITMA'!N68</f>
        <v/>
      </c>
      <c r="G68" s="345" t="n">
        <v>47.43</v>
      </c>
      <c r="H68" s="345" t="n">
        <v>1</v>
      </c>
      <c r="I68" s="345" t="inlineStr">
        <is>
          <t>ZEMİNDEN ISITMA</t>
        </is>
      </c>
      <c r="J68" s="264" t="n"/>
      <c r="K68" s="264" t="n"/>
      <c r="L68" s="264" t="n"/>
      <c r="M68" s="264" t="n"/>
      <c r="N68" s="264" t="n"/>
      <c r="O68" s="264" t="n"/>
      <c r="P68" s="260" t="n"/>
    </row>
    <row r="69">
      <c r="A69" s="345" t="inlineStr">
        <is>
          <t>216</t>
        </is>
      </c>
      <c r="B69" s="346" t="inlineStr">
        <is>
          <t>D9 YATAK OD.</t>
        </is>
      </c>
      <c r="C69" s="347" t="inlineStr">
        <is>
          <t>20</t>
        </is>
      </c>
      <c r="D69" s="348" t="n">
        <v>3370.1</v>
      </c>
      <c r="E69" s="349" t="n">
        <v>35</v>
      </c>
      <c r="F69" s="348">
        <f>'YERDEN ISITMA'!N69</f>
        <v/>
      </c>
      <c r="G69" s="345" t="n">
        <v>96.29000000000001</v>
      </c>
      <c r="H69" s="345" t="n">
        <v>2</v>
      </c>
      <c r="I69" s="345" t="inlineStr">
        <is>
          <t>ZEMİNDEN ISITMA</t>
        </is>
      </c>
      <c r="J69" s="264" t="n"/>
      <c r="K69" s="264" t="n"/>
      <c r="L69" s="264" t="n"/>
      <c r="M69" s="264" t="n"/>
      <c r="N69" s="264" t="n"/>
      <c r="O69" s="264" t="n"/>
      <c r="P69" s="260" t="n"/>
    </row>
    <row r="70">
      <c r="A70" s="345" t="inlineStr">
        <is>
          <t>217</t>
        </is>
      </c>
      <c r="B70" s="346" t="inlineStr">
        <is>
          <t>D9 YATAK OD.</t>
        </is>
      </c>
      <c r="C70" s="347" t="inlineStr">
        <is>
          <t>20</t>
        </is>
      </c>
      <c r="D70" s="348" t="n">
        <v>2094.8</v>
      </c>
      <c r="E70" s="349" t="n">
        <v>35</v>
      </c>
      <c r="F70" s="348">
        <f>'YERDEN ISITMA'!N70</f>
        <v/>
      </c>
      <c r="G70" s="345" t="n">
        <v>59.85</v>
      </c>
      <c r="H70" s="345" t="n">
        <v>1</v>
      </c>
      <c r="I70" s="345" t="inlineStr">
        <is>
          <t>ZEMİNDEN ISITMA</t>
        </is>
      </c>
      <c r="J70" s="264" t="n"/>
      <c r="K70" s="264" t="n"/>
      <c r="L70" s="264" t="n"/>
      <c r="M70" s="264" t="n"/>
      <c r="N70" s="264" t="n"/>
      <c r="O70" s="264" t="n"/>
      <c r="P70" s="260" t="n"/>
    </row>
    <row r="71">
      <c r="A71" s="345" t="inlineStr">
        <is>
          <t>218</t>
        </is>
      </c>
      <c r="B71" s="346" t="inlineStr">
        <is>
          <t>D9 YATAK OD.</t>
        </is>
      </c>
      <c r="C71" s="347" t="inlineStr">
        <is>
          <t>20</t>
        </is>
      </c>
      <c r="D71" s="348" t="n">
        <v>2088.8</v>
      </c>
      <c r="E71" s="349" t="n">
        <v>35</v>
      </c>
      <c r="F71" s="348">
        <f>'YERDEN ISITMA'!N71</f>
        <v/>
      </c>
      <c r="G71" s="345" t="n">
        <v>59.68</v>
      </c>
      <c r="H71" s="345" t="n">
        <v>1</v>
      </c>
      <c r="I71" s="345" t="inlineStr">
        <is>
          <t>ZEMİNDEN ISITMA</t>
        </is>
      </c>
      <c r="J71" s="264" t="n"/>
      <c r="K71" s="264" t="n"/>
      <c r="L71" s="264" t="n"/>
      <c r="M71" s="264" t="n"/>
      <c r="N71" s="264" t="n"/>
      <c r="O71" s="264" t="n"/>
      <c r="P71" s="260" t="n"/>
    </row>
    <row r="72">
      <c r="A72" s="345" t="inlineStr">
        <is>
          <t>219</t>
        </is>
      </c>
      <c r="B72" s="346" t="inlineStr">
        <is>
          <t>D9 SALON</t>
        </is>
      </c>
      <c r="C72" s="347" t="inlineStr">
        <is>
          <t>20</t>
        </is>
      </c>
      <c r="D72" s="348" t="n">
        <v>4603.9</v>
      </c>
      <c r="E72" s="349" t="n">
        <v>35</v>
      </c>
      <c r="F72" s="348">
        <f>'YERDEN ISITMA'!N72</f>
        <v/>
      </c>
      <c r="G72" s="345" t="n">
        <v>131.54</v>
      </c>
      <c r="H72" s="345" t="n">
        <v>2</v>
      </c>
      <c r="I72" s="345" t="inlineStr">
        <is>
          <t>ZEMİNDEN ISITMA</t>
        </is>
      </c>
      <c r="J72" s="264" t="n"/>
      <c r="K72" s="264" t="n"/>
      <c r="L72" s="264" t="n"/>
      <c r="M72" s="264" t="n"/>
      <c r="N72" s="264" t="n"/>
      <c r="O72" s="264" t="n"/>
      <c r="P72" s="260" t="n"/>
    </row>
    <row r="73">
      <c r="A73" s="345" t="inlineStr">
        <is>
          <t>220</t>
        </is>
      </c>
      <c r="B73" s="346" t="inlineStr">
        <is>
          <t>D9 ANTRE-KOR.</t>
        </is>
      </c>
      <c r="C73" s="347" t="inlineStr">
        <is>
          <t>15</t>
        </is>
      </c>
      <c r="D73" s="348" t="n">
        <v>174.3</v>
      </c>
      <c r="E73" s="349" t="n">
        <v>35</v>
      </c>
      <c r="F73" s="348">
        <f>'YERDEN ISITMA'!N73</f>
        <v/>
      </c>
      <c r="G73" s="345" t="n">
        <v>4.98</v>
      </c>
      <c r="H73" s="345" t="n">
        <v>1</v>
      </c>
      <c r="I73" s="345" t="inlineStr">
        <is>
          <t>ZEMİNDEN ISITMA</t>
        </is>
      </c>
      <c r="J73" s="264" t="n"/>
      <c r="K73" s="264" t="n"/>
      <c r="L73" s="264" t="n"/>
      <c r="M73" s="264" t="n"/>
      <c r="N73" s="264" t="n"/>
      <c r="O73" s="264" t="n"/>
      <c r="P73" s="260" t="n"/>
    </row>
    <row r="74">
      <c r="A74" s="345" t="inlineStr">
        <is>
          <t>221</t>
        </is>
      </c>
      <c r="B74" s="346" t="inlineStr">
        <is>
          <t>D9 BANYO</t>
        </is>
      </c>
      <c r="C74" s="347" t="inlineStr">
        <is>
          <t>24</t>
        </is>
      </c>
      <c r="D74" s="348" t="n">
        <v>904</v>
      </c>
      <c r="E74" s="349" t="n">
        <v>35</v>
      </c>
      <c r="F74" s="348">
        <f>'YERDEN ISITMA'!N74</f>
        <v/>
      </c>
      <c r="G74" s="345" t="n">
        <v>25.83</v>
      </c>
      <c r="H74" s="345" t="n">
        <v>1</v>
      </c>
      <c r="I74" s="345" t="inlineStr">
        <is>
          <t>ZEMİNDEN ISITMA</t>
        </is>
      </c>
      <c r="J74" s="264" t="n"/>
      <c r="K74" s="264" t="n"/>
      <c r="L74" s="264" t="n"/>
      <c r="M74" s="264" t="n"/>
      <c r="N74" s="264" t="n"/>
      <c r="O74" s="264" t="n"/>
      <c r="P74" s="260" t="n"/>
    </row>
    <row r="75">
      <c r="A75" s="345" t="n"/>
      <c r="B75" s="345" t="inlineStr">
        <is>
          <t>2. KAT</t>
        </is>
      </c>
      <c r="C75" s="347" t="n"/>
      <c r="D75" s="348" t="n"/>
      <c r="E75" s="350" t="inlineStr">
        <is>
          <t>TOPLAM =</t>
        </is>
      </c>
      <c r="F75" s="351">
        <f>SUM(F54:F74)</f>
        <v/>
      </c>
      <c r="G75" s="345" t="inlineStr">
        <is>
          <t>watt</t>
        </is>
      </c>
      <c r="H75" s="345" t="n"/>
      <c r="I75" s="345" t="n"/>
      <c r="J75" s="345" t="n"/>
      <c r="K75" s="345" t="n"/>
      <c r="L75" s="345" t="n"/>
      <c r="M75" s="345" t="n"/>
      <c r="N75" s="345" t="n"/>
      <c r="O75" s="345" t="n"/>
      <c r="P75" s="345" t="n"/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90">
    <mergeCell ref="I65:P65"/>
    <mergeCell ref="I34:P34"/>
    <mergeCell ref="I74:P74"/>
    <mergeCell ref="I49:P49"/>
    <mergeCell ref="C5:G5"/>
    <mergeCell ref="I36:P36"/>
    <mergeCell ref="I45:P45"/>
    <mergeCell ref="H1:M2"/>
    <mergeCell ref="O7:O9"/>
    <mergeCell ref="I47:P47"/>
    <mergeCell ref="I22:P22"/>
    <mergeCell ref="I28:P28"/>
    <mergeCell ref="I37:P37"/>
    <mergeCell ref="N7:N9"/>
    <mergeCell ref="I12:P12"/>
    <mergeCell ref="I21:P21"/>
    <mergeCell ref="B6:B9"/>
    <mergeCell ref="I62:P62"/>
    <mergeCell ref="I14:P14"/>
    <mergeCell ref="I23:P23"/>
    <mergeCell ref="I64:P64"/>
    <mergeCell ref="I38:P38"/>
    <mergeCell ref="G6:G8"/>
    <mergeCell ref="C1:G4"/>
    <mergeCell ref="H3:M4"/>
    <mergeCell ref="I40:P40"/>
    <mergeCell ref="I27:P27"/>
    <mergeCell ref="K7:K9"/>
    <mergeCell ref="I25:P25"/>
    <mergeCell ref="I66:P66"/>
    <mergeCell ref="D6:D8"/>
    <mergeCell ref="F6:F8"/>
    <mergeCell ref="N3:P4"/>
    <mergeCell ref="I68:P68"/>
    <mergeCell ref="H5:P5"/>
    <mergeCell ref="I55:P55"/>
    <mergeCell ref="I52:P52"/>
    <mergeCell ref="I67:P67"/>
    <mergeCell ref="I39:P39"/>
    <mergeCell ref="I48:P48"/>
    <mergeCell ref="I20:P20"/>
    <mergeCell ref="I29:P29"/>
    <mergeCell ref="M7:M9"/>
    <mergeCell ref="I13:P13"/>
    <mergeCell ref="I15:P15"/>
    <mergeCell ref="P7:P9"/>
    <mergeCell ref="H6:H9"/>
    <mergeCell ref="J6:J9"/>
    <mergeCell ref="I70:P70"/>
    <mergeCell ref="I26:P26"/>
    <mergeCell ref="I57:P57"/>
    <mergeCell ref="I54:P54"/>
    <mergeCell ref="I72:P72"/>
    <mergeCell ref="A6:A9"/>
    <mergeCell ref="I41:P41"/>
    <mergeCell ref="I16:P16"/>
    <mergeCell ref="I56:P56"/>
    <mergeCell ref="I71:P71"/>
    <mergeCell ref="I43:P43"/>
    <mergeCell ref="I18:P18"/>
    <mergeCell ref="I58:P58"/>
    <mergeCell ref="A5:B5"/>
    <mergeCell ref="I33:P33"/>
    <mergeCell ref="I42:P42"/>
    <mergeCell ref="I17:P17"/>
    <mergeCell ref="I35:P35"/>
    <mergeCell ref="I44:P44"/>
    <mergeCell ref="A1:B4"/>
    <mergeCell ref="I19:P19"/>
    <mergeCell ref="I60:P60"/>
    <mergeCell ref="I69:P69"/>
    <mergeCell ref="I30:P30"/>
    <mergeCell ref="I11:P11"/>
    <mergeCell ref="I46:P46"/>
    <mergeCell ref="I61:P61"/>
    <mergeCell ref="I32:P32"/>
    <mergeCell ref="C6:C8"/>
    <mergeCell ref="N6:P6"/>
    <mergeCell ref="K6:M6"/>
    <mergeCell ref="L7:L9"/>
    <mergeCell ref="I24:P24"/>
    <mergeCell ref="E6:E8"/>
    <mergeCell ref="I73:P73"/>
    <mergeCell ref="I51:P51"/>
    <mergeCell ref="N1:P2"/>
    <mergeCell ref="I63:P63"/>
    <mergeCell ref="I10:P10"/>
    <mergeCell ref="I6:I9"/>
    <mergeCell ref="I50:P50"/>
    <mergeCell ref="I59:P59"/>
  </mergeCells>
  <conditionalFormatting sqref="F10 F12:F14 F16:F20 F23">
    <cfRule type="cellIs" rank="0" priority="2" equalAverage="0" operator="lessThan" aboveAverage="0" dxfId="0" text="" percent="0" bottom="0">
      <formula>D10</formula>
    </cfRule>
  </conditionalFormatting>
  <conditionalFormatting sqref="G10 G12 G16 G18">
    <cfRule type="cellIs" rank="0" priority="3" equalAverage="0" operator="greaterThan" aboveAverage="0" dxfId="1" text="" percent="0" bottom="0">
      <formula>D10*1.4</formula>
    </cfRule>
  </conditionalFormatting>
  <conditionalFormatting sqref="F15">
    <cfRule type="cellIs" rank="0" priority="4" equalAverage="0" operator="lessThan" aboveAverage="0" dxfId="0" text="" percent="0" bottom="0">
      <formula>D15</formula>
    </cfRule>
  </conditionalFormatting>
  <conditionalFormatting sqref="G15">
    <cfRule type="cellIs" rank="0" priority="5" equalAverage="0" operator="greaterThan" aboveAverage="0" dxfId="1" text="" percent="0" bottom="0">
      <formula>D15*1.4</formula>
    </cfRule>
  </conditionalFormatting>
  <conditionalFormatting sqref="F24">
    <cfRule type="cellIs" rank="0" priority="6" equalAverage="0" operator="lessThan" aboveAverage="0" dxfId="0" text="" percent="0" bottom="0">
      <formula>D24</formula>
    </cfRule>
  </conditionalFormatting>
  <conditionalFormatting sqref="G24">
    <cfRule type="cellIs" rank="0" priority="7" equalAverage="0" operator="greaterThan" aboveAverage="0" dxfId="1" text="" percent="0" bottom="0">
      <formula>D24*1.4</formula>
    </cfRule>
  </conditionalFormatting>
  <conditionalFormatting sqref="G19">
    <cfRule type="cellIs" rank="0" priority="8" equalAverage="0" operator="greaterThan" aboveAverage="0" dxfId="1" text="" percent="0" bottom="0">
      <formula>D19*1.4</formula>
    </cfRule>
  </conditionalFormatting>
  <conditionalFormatting sqref="G23">
    <cfRule type="cellIs" rank="0" priority="9" equalAverage="0" operator="greaterThan" aboveAverage="0" dxfId="1" text="" percent="0" bottom="0">
      <formula>D23*1.4</formula>
    </cfRule>
  </conditionalFormatting>
  <conditionalFormatting sqref="G20">
    <cfRule type="cellIs" rank="0" priority="10" equalAverage="0" operator="greaterThan" aboveAverage="0" dxfId="1" text="" percent="0" bottom="0">
      <formula>D20*1.4</formula>
    </cfRule>
  </conditionalFormatting>
  <conditionalFormatting sqref="G13">
    <cfRule type="cellIs" rank="0" priority="11" equalAverage="0" operator="greaterThan" aboveAverage="0" dxfId="1" text="" percent="0" bottom="0">
      <formula>D13*1.4</formula>
    </cfRule>
  </conditionalFormatting>
  <conditionalFormatting sqref="G14">
    <cfRule type="cellIs" rank="0" priority="12" equalAverage="0" operator="greaterThan" aboveAverage="0" dxfId="1" text="" percent="0" bottom="0">
      <formula>D14*1.4</formula>
    </cfRule>
  </conditionalFormatting>
  <conditionalFormatting sqref="G17">
    <cfRule type="cellIs" rank="0" priority="13" equalAverage="0" operator="greaterThan" aboveAverage="0" dxfId="1" text="" percent="0" bottom="0">
      <formula>D17*1.4</formula>
    </cfRule>
  </conditionalFormatting>
  <conditionalFormatting sqref="F11">
    <cfRule type="cellIs" rank="0" priority="14" equalAverage="0" operator="lessThan" aboveAverage="0" dxfId="0" text="" percent="0" bottom="0">
      <formula>D11</formula>
    </cfRule>
  </conditionalFormatting>
  <conditionalFormatting sqref="G11">
    <cfRule type="cellIs" rank="0" priority="15" equalAverage="0" operator="greaterThan" aboveAverage="0" dxfId="1" text="" percent="0" bottom="0">
      <formula>D11*1.4</formula>
    </cfRule>
  </conditionalFormatting>
  <conditionalFormatting sqref="F21:F22">
    <cfRule type="cellIs" rank="0" priority="16" equalAverage="0" operator="lessThan" aboveAverage="0" dxfId="0" text="" percent="0" bottom="0">
      <formula>D21</formula>
    </cfRule>
  </conditionalFormatting>
  <conditionalFormatting sqref="G21:G22">
    <cfRule type="cellIs" rank="0" priority="17" equalAverage="0" operator="greaterThan" aboveAverage="0" dxfId="1" text="" percent="0" bottom="0">
      <formula>D21*1.4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U200"/>
  <sheetViews>
    <sheetView showFormulas="0" showGridLines="1" showRowColHeaders="1" showZeros="1" rightToLeft="0" tabSelected="0" showOutlineSymbols="1" defaultGridColor="1" view="normal" topLeftCell="A10" colorId="64" zoomScale="115" zoomScaleNormal="115" zoomScalePageLayoutView="100" workbookViewId="0">
      <selection pane="topLeft" activeCell="D23" activeCellId="0" sqref="D23"/>
    </sheetView>
  </sheetViews>
  <sheetFormatPr baseColWidth="8" defaultColWidth="9.0546875" defaultRowHeight="12.75" zeroHeight="0" outlineLevelRow="0"/>
  <cols>
    <col width="7.56" customWidth="1" style="243" min="1" max="1"/>
    <col width="16.42" customWidth="1" style="243" min="2" max="2"/>
    <col width="7.56" customWidth="1" style="243" min="3" max="3"/>
    <col width="8.41" customWidth="1" style="352" min="4" max="4"/>
    <col width="7.42" customWidth="1" style="243" min="5" max="5"/>
    <col width="7.7" customWidth="1" style="243" min="9" max="9"/>
    <col width="11.7" customWidth="1" style="243" min="12" max="12"/>
    <col width="12.28" customWidth="1" style="243" min="13" max="13"/>
    <col width="7.56" customWidth="1" style="243" min="14" max="14"/>
  </cols>
  <sheetData>
    <row r="1" ht="12.75" customHeight="1" s="244">
      <c r="A1" s="353" t="inlineStr">
        <is>
          <t>ROTAŞ</t>
        </is>
      </c>
      <c r="B1" s="275" t="n"/>
      <c r="C1" s="354" t="inlineStr">
        <is>
          <t>ZEMİNDEN ISITMA MODÜLASYON HESABI</t>
        </is>
      </c>
      <c r="D1" s="250" t="n"/>
      <c r="E1" s="250" t="n"/>
      <c r="F1" s="250" t="n"/>
      <c r="G1" s="275" t="n"/>
      <c r="H1" s="331" t="inlineStr">
        <is>
          <t>SAYFA</t>
        </is>
      </c>
      <c r="I1" s="250" t="n"/>
      <c r="J1" s="250" t="n"/>
      <c r="K1" s="275" t="n"/>
      <c r="L1" s="331" t="n">
        <v>8</v>
      </c>
      <c r="M1" s="250" t="n"/>
      <c r="N1" s="275" t="n"/>
      <c r="O1" s="355" t="n"/>
      <c r="P1" s="355" t="n"/>
    </row>
    <row r="2" ht="12.75" customHeight="1" s="244">
      <c r="A2" s="332" t="n"/>
      <c r="B2" s="333" t="n"/>
      <c r="C2" s="332" t="n"/>
      <c r="G2" s="333" t="n"/>
      <c r="H2" s="278" t="n"/>
      <c r="I2" s="256" t="n"/>
      <c r="J2" s="256" t="n"/>
      <c r="K2" s="277" t="n"/>
      <c r="L2" s="278" t="n"/>
      <c r="M2" s="256" t="n"/>
      <c r="N2" s="277" t="n"/>
      <c r="O2" s="355" t="n"/>
      <c r="P2" s="355" t="n"/>
    </row>
    <row r="3" ht="14.25" customHeight="1" s="244">
      <c r="A3" s="332" t="n"/>
      <c r="B3" s="333" t="n"/>
      <c r="C3" s="332" t="n"/>
      <c r="G3" s="333" t="n"/>
      <c r="H3" s="354" t="inlineStr">
        <is>
          <t>TARİH</t>
        </is>
      </c>
      <c r="I3" s="250" t="n"/>
      <c r="J3" s="250" t="n"/>
      <c r="K3" s="275" t="n"/>
      <c r="L3" s="334">
        <f>kapak!G41</f>
        <v/>
      </c>
      <c r="M3" s="250" t="n"/>
      <c r="N3" s="275" t="n"/>
      <c r="O3" s="355" t="n"/>
      <c r="P3" s="355" t="n"/>
      <c r="Q3" s="356" t="n"/>
      <c r="R3" s="356" t="n"/>
      <c r="S3" s="356" t="n"/>
      <c r="T3" s="356" t="n"/>
      <c r="U3" s="356" t="n"/>
      <c r="V3" s="356" t="n"/>
      <c r="W3" s="356" t="n"/>
      <c r="X3" s="356" t="n"/>
      <c r="Y3" s="356" t="n"/>
      <c r="Z3" s="356" t="n"/>
      <c r="AA3" s="356" t="n"/>
      <c r="AB3" s="356" t="n"/>
      <c r="AC3" s="356" t="n"/>
      <c r="AD3" s="356" t="n"/>
      <c r="AE3" s="356" t="n"/>
      <c r="AF3" s="356" t="n"/>
      <c r="AG3" s="356" t="n"/>
      <c r="AH3" s="356" t="n"/>
      <c r="AI3" s="356" t="n"/>
      <c r="AJ3" s="356" t="n"/>
      <c r="AK3" s="356" t="n"/>
      <c r="AL3" s="356" t="n"/>
      <c r="AM3" s="356" t="n"/>
      <c r="AN3" s="356" t="n"/>
      <c r="AO3" s="356" t="n"/>
      <c r="AP3" s="356" t="n"/>
      <c r="AQ3" s="356" t="n"/>
      <c r="AR3" s="356" t="n"/>
      <c r="AS3" s="356" t="n"/>
      <c r="AT3" s="356" t="n"/>
      <c r="AU3" s="356" t="n"/>
      <c r="AV3" s="356" t="n"/>
      <c r="AW3" s="356" t="n"/>
      <c r="AX3" s="356" t="n"/>
      <c r="AY3" s="356" t="n"/>
      <c r="AZ3" s="356" t="n"/>
      <c r="BA3" s="356" t="n"/>
      <c r="BB3" s="356" t="n"/>
      <c r="BC3" s="356" t="n"/>
      <c r="BD3" s="356" t="n"/>
      <c r="BE3" s="356" t="n"/>
      <c r="BF3" s="356" t="n"/>
      <c r="BG3" s="356" t="n"/>
      <c r="BH3" s="356" t="n"/>
      <c r="BI3" s="356" t="n"/>
      <c r="BJ3" s="356" t="n"/>
      <c r="BK3" s="356" t="n"/>
      <c r="BL3" s="356" t="n"/>
      <c r="BM3" s="356" t="n"/>
      <c r="BN3" s="356" t="n"/>
      <c r="BO3" s="356" t="n"/>
      <c r="BP3" s="356" t="n"/>
      <c r="BQ3" s="356" t="n"/>
      <c r="BR3" s="356" t="n"/>
      <c r="BS3" s="356" t="n"/>
      <c r="BT3" s="356" t="n"/>
      <c r="BU3" s="356" t="n"/>
      <c r="BV3" s="356" t="n"/>
      <c r="BW3" s="356" t="n"/>
      <c r="BX3" s="356" t="n"/>
      <c r="BY3" s="356" t="n"/>
      <c r="BZ3" s="356" t="n"/>
      <c r="CA3" s="356" t="n"/>
      <c r="CB3" s="356" t="n"/>
      <c r="CC3" s="356" t="n"/>
      <c r="CD3" s="356" t="n"/>
      <c r="CE3" s="356" t="n"/>
      <c r="CF3" s="356" t="n"/>
      <c r="CG3" s="356" t="n"/>
      <c r="CH3" s="356" t="n"/>
      <c r="CI3" s="356" t="n"/>
      <c r="CJ3" s="356" t="n"/>
      <c r="CK3" s="356" t="n"/>
      <c r="CL3" s="356" t="n"/>
      <c r="CM3" s="356" t="n"/>
      <c r="CN3" s="356" t="n"/>
      <c r="CO3" s="356" t="n"/>
      <c r="CP3" s="356" t="n"/>
      <c r="CQ3" s="356" t="n"/>
      <c r="CR3" s="356" t="n"/>
      <c r="CS3" s="356" t="n"/>
      <c r="CT3" s="356" t="n"/>
      <c r="CU3" s="356" t="n"/>
      <c r="CV3" s="356" t="n"/>
      <c r="CW3" s="356" t="n"/>
      <c r="CX3" s="356" t="n"/>
      <c r="CY3" s="356" t="n"/>
      <c r="CZ3" s="356" t="n"/>
      <c r="DA3" s="356" t="n"/>
      <c r="DB3" s="356" t="n"/>
      <c r="DC3" s="356" t="n"/>
      <c r="DD3" s="356" t="n"/>
      <c r="DE3" s="356" t="n"/>
      <c r="DF3" s="356" t="n"/>
      <c r="DG3" s="356" t="n"/>
      <c r="DH3" s="356" t="n"/>
      <c r="DI3" s="356" t="n"/>
      <c r="DJ3" s="356" t="n"/>
      <c r="DK3" s="356" t="n"/>
      <c r="DL3" s="356" t="n"/>
      <c r="DM3" s="356" t="n"/>
      <c r="DN3" s="356" t="n"/>
      <c r="DO3" s="356" t="n"/>
      <c r="DP3" s="356" t="n"/>
      <c r="DQ3" s="356" t="n"/>
      <c r="DR3" s="356" t="n"/>
      <c r="DS3" s="356" t="n"/>
      <c r="DT3" s="356" t="n"/>
      <c r="DU3" s="356" t="n"/>
      <c r="DV3" s="356" t="n"/>
      <c r="DW3" s="356" t="n"/>
      <c r="DX3" s="356" t="n"/>
      <c r="DY3" s="356" t="n"/>
      <c r="DZ3" s="356" t="n"/>
      <c r="EA3" s="356" t="n"/>
      <c r="EB3" s="356" t="n"/>
      <c r="EC3" s="356" t="n"/>
      <c r="ED3" s="356" t="n"/>
      <c r="EE3" s="356" t="n"/>
      <c r="EF3" s="356" t="n"/>
      <c r="EG3" s="356" t="n"/>
      <c r="EH3" s="356" t="n"/>
      <c r="EI3" s="356" t="n"/>
      <c r="EJ3" s="356" t="n"/>
      <c r="EK3" s="356" t="n"/>
      <c r="EL3" s="356" t="n"/>
      <c r="EM3" s="356" t="n"/>
      <c r="EN3" s="356" t="n"/>
      <c r="EO3" s="356" t="n"/>
      <c r="EP3" s="356" t="n"/>
      <c r="EQ3" s="356" t="n"/>
      <c r="ER3" s="356" t="n"/>
      <c r="ES3" s="356" t="n"/>
      <c r="ET3" s="356" t="n"/>
      <c r="EU3" s="356" t="n"/>
      <c r="EV3" s="356" t="n"/>
      <c r="EW3" s="356" t="n"/>
      <c r="EX3" s="356" t="n"/>
      <c r="EY3" s="356" t="n"/>
      <c r="EZ3" s="356" t="n"/>
      <c r="FA3" s="356" t="n"/>
      <c r="FB3" s="356" t="n"/>
      <c r="FC3" s="356" t="n"/>
      <c r="FD3" s="356" t="n"/>
      <c r="FE3" s="356" t="n"/>
      <c r="FF3" s="356" t="n"/>
      <c r="FG3" s="356" t="n"/>
      <c r="FH3" s="356" t="n"/>
      <c r="FI3" s="356" t="n"/>
      <c r="FJ3" s="356" t="n"/>
      <c r="FK3" s="356" t="n"/>
      <c r="FL3" s="356" t="n"/>
      <c r="FM3" s="356" t="n"/>
      <c r="FN3" s="356" t="n"/>
      <c r="FO3" s="356" t="n"/>
      <c r="FP3" s="356" t="n"/>
      <c r="FQ3" s="356" t="n"/>
      <c r="FR3" s="356" t="n"/>
      <c r="FS3" s="356" t="n"/>
      <c r="FT3" s="356" t="n"/>
      <c r="FU3" s="356" t="n"/>
      <c r="FV3" s="356" t="n"/>
      <c r="FW3" s="356" t="n"/>
      <c r="FX3" s="356" t="n"/>
      <c r="FY3" s="356" t="n"/>
      <c r="FZ3" s="356" t="n"/>
      <c r="GA3" s="356" t="n"/>
      <c r="GB3" s="356" t="n"/>
      <c r="GC3" s="356" t="n"/>
      <c r="GD3" s="356" t="n"/>
      <c r="GE3" s="356" t="n"/>
      <c r="GF3" s="356" t="n"/>
      <c r="GG3" s="356" t="n"/>
      <c r="GH3" s="356" t="n"/>
      <c r="GI3" s="356" t="n"/>
      <c r="GJ3" s="356" t="n"/>
      <c r="GK3" s="356" t="n"/>
      <c r="GL3" s="356" t="n"/>
      <c r="GM3" s="356" t="n"/>
      <c r="GN3" s="356" t="n"/>
      <c r="GO3" s="356" t="n"/>
      <c r="GP3" s="356" t="n"/>
      <c r="GQ3" s="356" t="n"/>
      <c r="GR3" s="356" t="n"/>
      <c r="GS3" s="356" t="n"/>
      <c r="GT3" s="356" t="n"/>
      <c r="GU3" s="356" t="n"/>
      <c r="GV3" s="356" t="n"/>
      <c r="GW3" s="356" t="n"/>
      <c r="GX3" s="356" t="n"/>
      <c r="GY3" s="356" t="n"/>
      <c r="GZ3" s="356" t="n"/>
      <c r="HA3" s="356" t="n"/>
      <c r="HB3" s="356" t="n"/>
      <c r="HC3" s="356" t="n"/>
      <c r="HD3" s="356" t="n"/>
      <c r="HE3" s="356" t="n"/>
      <c r="HF3" s="356" t="n"/>
      <c r="HG3" s="356" t="n"/>
      <c r="HH3" s="356" t="n"/>
      <c r="HI3" s="356" t="n"/>
      <c r="HJ3" s="356" t="n"/>
      <c r="HK3" s="356" t="n"/>
      <c r="HL3" s="356" t="n"/>
      <c r="HM3" s="356" t="n"/>
      <c r="HN3" s="356" t="n"/>
      <c r="HO3" s="356" t="n"/>
      <c r="HP3" s="356" t="n"/>
      <c r="HQ3" s="356" t="n"/>
      <c r="HR3" s="356" t="n"/>
      <c r="HS3" s="356" t="n"/>
      <c r="HT3" s="356" t="n"/>
      <c r="HU3" s="356" t="n"/>
      <c r="HV3" s="356" t="n"/>
      <c r="HW3" s="356" t="n"/>
      <c r="HX3" s="356" t="n"/>
      <c r="HY3" s="356" t="n"/>
      <c r="HZ3" s="356" t="n"/>
      <c r="IA3" s="356" t="n"/>
      <c r="IB3" s="356" t="n"/>
      <c r="IC3" s="356" t="n"/>
      <c r="ID3" s="356" t="n"/>
      <c r="IE3" s="356" t="n"/>
      <c r="IF3" s="356" t="n"/>
      <c r="IG3" s="356" t="n"/>
      <c r="IH3" s="356" t="n"/>
      <c r="II3" s="356" t="n"/>
      <c r="IJ3" s="356" t="n"/>
      <c r="IK3" s="356" t="n"/>
      <c r="IL3" s="356" t="n"/>
      <c r="IM3" s="356" t="n"/>
      <c r="IN3" s="356" t="n"/>
      <c r="IO3" s="356" t="n"/>
      <c r="IP3" s="356" t="n"/>
      <c r="IQ3" s="356" t="n"/>
      <c r="IR3" s="356" t="n"/>
      <c r="IS3" s="356" t="n"/>
      <c r="IT3" s="356" t="n"/>
      <c r="IU3" s="356" t="n"/>
    </row>
    <row r="4" ht="14.25" customHeight="1" s="244">
      <c r="A4" s="332" t="n"/>
      <c r="B4" s="333" t="n"/>
      <c r="C4" s="332" t="n"/>
      <c r="G4" s="333" t="n"/>
      <c r="H4" s="332" t="n"/>
      <c r="K4" s="333" t="n"/>
      <c r="L4" s="278" t="n"/>
      <c r="M4" s="256" t="n"/>
      <c r="N4" s="277" t="n"/>
      <c r="O4" s="355" t="n"/>
      <c r="P4" s="355" t="n"/>
      <c r="Q4" s="356" t="n"/>
      <c r="R4" s="356" t="n"/>
      <c r="S4" s="356" t="n"/>
      <c r="T4" s="356" t="n"/>
      <c r="U4" s="356" t="n"/>
      <c r="V4" s="356" t="n"/>
      <c r="W4" s="356" t="n"/>
      <c r="X4" s="356" t="n"/>
      <c r="Y4" s="356" t="n"/>
      <c r="Z4" s="356" t="n"/>
      <c r="AA4" s="356" t="n"/>
      <c r="AB4" s="356" t="n"/>
      <c r="AC4" s="356" t="n"/>
      <c r="AD4" s="356" t="n"/>
      <c r="AE4" s="356" t="n"/>
      <c r="AF4" s="356" t="n"/>
      <c r="AG4" s="356" t="n"/>
      <c r="AH4" s="356" t="n"/>
      <c r="AI4" s="356" t="n"/>
      <c r="AJ4" s="356" t="n"/>
      <c r="AK4" s="356" t="n"/>
      <c r="AL4" s="356" t="n"/>
      <c r="AM4" s="356" t="n"/>
      <c r="AN4" s="356" t="n"/>
      <c r="AO4" s="356" t="n"/>
      <c r="AP4" s="356" t="n"/>
      <c r="AQ4" s="356" t="n"/>
      <c r="AR4" s="356" t="n"/>
      <c r="AS4" s="356" t="n"/>
      <c r="AT4" s="356" t="n"/>
      <c r="AU4" s="356" t="n"/>
      <c r="AV4" s="356" t="n"/>
      <c r="AW4" s="356" t="n"/>
      <c r="AX4" s="356" t="n"/>
      <c r="AY4" s="356" t="n"/>
      <c r="AZ4" s="356" t="n"/>
      <c r="BA4" s="356" t="n"/>
      <c r="BB4" s="356" t="n"/>
      <c r="BC4" s="356" t="n"/>
      <c r="BD4" s="356" t="n"/>
      <c r="BE4" s="356" t="n"/>
      <c r="BF4" s="356" t="n"/>
      <c r="BG4" s="356" t="n"/>
      <c r="BH4" s="356" t="n"/>
      <c r="BI4" s="356" t="n"/>
      <c r="BJ4" s="356" t="n"/>
      <c r="BK4" s="356" t="n"/>
      <c r="BL4" s="356" t="n"/>
      <c r="BM4" s="356" t="n"/>
      <c r="BN4" s="356" t="n"/>
      <c r="BO4" s="356" t="n"/>
      <c r="BP4" s="356" t="n"/>
      <c r="BQ4" s="356" t="n"/>
      <c r="BR4" s="356" t="n"/>
      <c r="BS4" s="356" t="n"/>
      <c r="BT4" s="356" t="n"/>
      <c r="BU4" s="356" t="n"/>
      <c r="BV4" s="356" t="n"/>
      <c r="BW4" s="356" t="n"/>
      <c r="BX4" s="356" t="n"/>
      <c r="BY4" s="356" t="n"/>
      <c r="BZ4" s="356" t="n"/>
      <c r="CA4" s="356" t="n"/>
      <c r="CB4" s="356" t="n"/>
      <c r="CC4" s="356" t="n"/>
      <c r="CD4" s="356" t="n"/>
      <c r="CE4" s="356" t="n"/>
      <c r="CF4" s="356" t="n"/>
      <c r="CG4" s="356" t="n"/>
      <c r="CH4" s="356" t="n"/>
      <c r="CI4" s="356" t="n"/>
      <c r="CJ4" s="356" t="n"/>
      <c r="CK4" s="356" t="n"/>
      <c r="CL4" s="356" t="n"/>
      <c r="CM4" s="356" t="n"/>
      <c r="CN4" s="356" t="n"/>
      <c r="CO4" s="356" t="n"/>
      <c r="CP4" s="356" t="n"/>
      <c r="CQ4" s="356" t="n"/>
      <c r="CR4" s="356" t="n"/>
      <c r="CS4" s="356" t="n"/>
      <c r="CT4" s="356" t="n"/>
      <c r="CU4" s="356" t="n"/>
      <c r="CV4" s="356" t="n"/>
      <c r="CW4" s="356" t="n"/>
      <c r="CX4" s="356" t="n"/>
      <c r="CY4" s="356" t="n"/>
      <c r="CZ4" s="356" t="n"/>
      <c r="DA4" s="356" t="n"/>
      <c r="DB4" s="356" t="n"/>
      <c r="DC4" s="356" t="n"/>
      <c r="DD4" s="356" t="n"/>
      <c r="DE4" s="356" t="n"/>
      <c r="DF4" s="356" t="n"/>
      <c r="DG4" s="356" t="n"/>
      <c r="DH4" s="356" t="n"/>
      <c r="DI4" s="356" t="n"/>
      <c r="DJ4" s="356" t="n"/>
      <c r="DK4" s="356" t="n"/>
      <c r="DL4" s="356" t="n"/>
      <c r="DM4" s="356" t="n"/>
      <c r="DN4" s="356" t="n"/>
      <c r="DO4" s="356" t="n"/>
      <c r="DP4" s="356" t="n"/>
      <c r="DQ4" s="356" t="n"/>
      <c r="DR4" s="356" t="n"/>
      <c r="DS4" s="356" t="n"/>
      <c r="DT4" s="356" t="n"/>
      <c r="DU4" s="356" t="n"/>
      <c r="DV4" s="356" t="n"/>
      <c r="DW4" s="356" t="n"/>
      <c r="DX4" s="356" t="n"/>
      <c r="DY4" s="356" t="n"/>
      <c r="DZ4" s="356" t="n"/>
      <c r="EA4" s="356" t="n"/>
      <c r="EB4" s="356" t="n"/>
      <c r="EC4" s="356" t="n"/>
      <c r="ED4" s="356" t="n"/>
      <c r="EE4" s="356" t="n"/>
      <c r="EF4" s="356" t="n"/>
      <c r="EG4" s="356" t="n"/>
      <c r="EH4" s="356" t="n"/>
      <c r="EI4" s="356" t="n"/>
      <c r="EJ4" s="356" t="n"/>
      <c r="EK4" s="356" t="n"/>
      <c r="EL4" s="356" t="n"/>
      <c r="EM4" s="356" t="n"/>
      <c r="EN4" s="356" t="n"/>
      <c r="EO4" s="356" t="n"/>
      <c r="EP4" s="356" t="n"/>
      <c r="EQ4" s="356" t="n"/>
      <c r="ER4" s="356" t="n"/>
      <c r="ES4" s="356" t="n"/>
      <c r="ET4" s="356" t="n"/>
      <c r="EU4" s="356" t="n"/>
      <c r="EV4" s="356" t="n"/>
      <c r="EW4" s="356" t="n"/>
      <c r="EX4" s="356" t="n"/>
      <c r="EY4" s="356" t="n"/>
      <c r="EZ4" s="356" t="n"/>
      <c r="FA4" s="356" t="n"/>
      <c r="FB4" s="356" t="n"/>
      <c r="FC4" s="356" t="n"/>
      <c r="FD4" s="356" t="n"/>
      <c r="FE4" s="356" t="n"/>
      <c r="FF4" s="356" t="n"/>
      <c r="FG4" s="356" t="n"/>
      <c r="FH4" s="356" t="n"/>
      <c r="FI4" s="356" t="n"/>
      <c r="FJ4" s="356" t="n"/>
      <c r="FK4" s="356" t="n"/>
      <c r="FL4" s="356" t="n"/>
      <c r="FM4" s="356" t="n"/>
      <c r="FN4" s="356" t="n"/>
      <c r="FO4" s="356" t="n"/>
      <c r="FP4" s="356" t="n"/>
      <c r="FQ4" s="356" t="n"/>
      <c r="FR4" s="356" t="n"/>
      <c r="FS4" s="356" t="n"/>
      <c r="FT4" s="356" t="n"/>
      <c r="FU4" s="356" t="n"/>
      <c r="FV4" s="356" t="n"/>
      <c r="FW4" s="356" t="n"/>
      <c r="FX4" s="356" t="n"/>
      <c r="FY4" s="356" t="n"/>
      <c r="FZ4" s="356" t="n"/>
      <c r="GA4" s="356" t="n"/>
      <c r="GB4" s="356" t="n"/>
      <c r="GC4" s="356" t="n"/>
      <c r="GD4" s="356" t="n"/>
      <c r="GE4" s="356" t="n"/>
      <c r="GF4" s="356" t="n"/>
      <c r="GG4" s="356" t="n"/>
      <c r="GH4" s="356" t="n"/>
      <c r="GI4" s="356" t="n"/>
      <c r="GJ4" s="356" t="n"/>
      <c r="GK4" s="356" t="n"/>
      <c r="GL4" s="356" t="n"/>
      <c r="GM4" s="356" t="n"/>
      <c r="GN4" s="356" t="n"/>
      <c r="GO4" s="356" t="n"/>
      <c r="GP4" s="356" t="n"/>
      <c r="GQ4" s="356" t="n"/>
      <c r="GR4" s="356" t="n"/>
      <c r="GS4" s="356" t="n"/>
      <c r="GT4" s="356" t="n"/>
      <c r="GU4" s="356" t="n"/>
      <c r="GV4" s="356" t="n"/>
      <c r="GW4" s="356" t="n"/>
      <c r="GX4" s="356" t="n"/>
      <c r="GY4" s="356" t="n"/>
      <c r="GZ4" s="356" t="n"/>
      <c r="HA4" s="356" t="n"/>
      <c r="HB4" s="356" t="n"/>
      <c r="HC4" s="356" t="n"/>
      <c r="HD4" s="356" t="n"/>
      <c r="HE4" s="356" t="n"/>
      <c r="HF4" s="356" t="n"/>
      <c r="HG4" s="356" t="n"/>
      <c r="HH4" s="356" t="n"/>
      <c r="HI4" s="356" t="n"/>
      <c r="HJ4" s="356" t="n"/>
      <c r="HK4" s="356" t="n"/>
      <c r="HL4" s="356" t="n"/>
      <c r="HM4" s="356" t="n"/>
      <c r="HN4" s="356" t="n"/>
      <c r="HO4" s="356" t="n"/>
      <c r="HP4" s="356" t="n"/>
      <c r="HQ4" s="356" t="n"/>
      <c r="HR4" s="356" t="n"/>
      <c r="HS4" s="356" t="n"/>
      <c r="HT4" s="356" t="n"/>
      <c r="HU4" s="356" t="n"/>
      <c r="HV4" s="356" t="n"/>
      <c r="HW4" s="356" t="n"/>
      <c r="HX4" s="356" t="n"/>
      <c r="HY4" s="356" t="n"/>
      <c r="HZ4" s="356" t="n"/>
      <c r="IA4" s="356" t="n"/>
      <c r="IB4" s="356" t="n"/>
      <c r="IC4" s="356" t="n"/>
      <c r="ID4" s="356" t="n"/>
      <c r="IE4" s="356" t="n"/>
      <c r="IF4" s="356" t="n"/>
      <c r="IG4" s="356" t="n"/>
      <c r="IH4" s="356" t="n"/>
      <c r="II4" s="356" t="n"/>
      <c r="IJ4" s="356" t="n"/>
      <c r="IK4" s="356" t="n"/>
      <c r="IL4" s="356" t="n"/>
      <c r="IM4" s="356" t="n"/>
      <c r="IN4" s="356" t="n"/>
      <c r="IO4" s="356" t="n"/>
      <c r="IP4" s="356" t="n"/>
      <c r="IQ4" s="356" t="n"/>
      <c r="IR4" s="356" t="n"/>
      <c r="IS4" s="356" t="n"/>
      <c r="IT4" s="356" t="n"/>
      <c r="IU4" s="356" t="n"/>
    </row>
    <row r="5" ht="14.25" customHeight="1" s="244">
      <c r="A5" s="357" t="inlineStr">
        <is>
          <t>PROJE ADI :</t>
        </is>
      </c>
      <c r="B5" s="264" t="n"/>
      <c r="C5" s="264" t="n"/>
      <c r="D5" s="264" t="n"/>
      <c r="E5" s="264" t="n"/>
      <c r="F5" s="264" t="n"/>
      <c r="G5" s="260" t="n"/>
      <c r="H5" s="357">
        <f>kapak!C31</f>
        <v/>
      </c>
      <c r="I5" s="264" t="n"/>
      <c r="J5" s="264" t="n"/>
      <c r="K5" s="264" t="n"/>
      <c r="L5" s="264" t="n"/>
      <c r="M5" s="264" t="n"/>
      <c r="N5" s="260" t="n"/>
      <c r="O5" s="356" t="n"/>
      <c r="P5" s="358" t="n"/>
      <c r="Q5" s="356" t="n"/>
      <c r="R5" s="356" t="n"/>
      <c r="S5" s="356" t="n"/>
      <c r="T5" s="356" t="n"/>
      <c r="U5" s="356" t="n"/>
      <c r="V5" s="356" t="n"/>
      <c r="W5" s="356" t="n"/>
      <c r="X5" s="356" t="n"/>
      <c r="Y5" s="356" t="n"/>
      <c r="Z5" s="356" t="n"/>
      <c r="AA5" s="356" t="n"/>
      <c r="AB5" s="356" t="n"/>
      <c r="AC5" s="356" t="n"/>
      <c r="AD5" s="356" t="n"/>
      <c r="AE5" s="356" t="n"/>
      <c r="AF5" s="356" t="n"/>
      <c r="AG5" s="356" t="n"/>
      <c r="AH5" s="356" t="n"/>
      <c r="AI5" s="356" t="n"/>
      <c r="AJ5" s="356" t="n"/>
      <c r="AK5" s="356" t="n"/>
      <c r="AL5" s="356" t="n"/>
      <c r="AM5" s="356" t="n"/>
      <c r="AN5" s="356" t="n"/>
      <c r="AO5" s="356" t="n"/>
      <c r="AP5" s="356" t="n"/>
      <c r="AQ5" s="356" t="n"/>
      <c r="AR5" s="356" t="n"/>
      <c r="AS5" s="356" t="n"/>
      <c r="AT5" s="356" t="n"/>
      <c r="AU5" s="356" t="n"/>
      <c r="AV5" s="356" t="n"/>
      <c r="AW5" s="356" t="n"/>
      <c r="AX5" s="356" t="n"/>
      <c r="AY5" s="356" t="n"/>
      <c r="AZ5" s="356" t="n"/>
      <c r="BA5" s="356" t="n"/>
      <c r="BB5" s="356" t="n"/>
      <c r="BC5" s="356" t="n"/>
      <c r="BD5" s="356" t="n"/>
      <c r="BE5" s="356" t="n"/>
      <c r="BF5" s="356" t="n"/>
      <c r="BG5" s="356" t="n"/>
      <c r="BH5" s="356" t="n"/>
      <c r="BI5" s="356" t="n"/>
      <c r="BJ5" s="356" t="n"/>
      <c r="BK5" s="356" t="n"/>
      <c r="BL5" s="356" t="n"/>
      <c r="BM5" s="356" t="n"/>
      <c r="BN5" s="356" t="n"/>
      <c r="BO5" s="356" t="n"/>
      <c r="BP5" s="356" t="n"/>
      <c r="BQ5" s="356" t="n"/>
      <c r="BR5" s="356" t="n"/>
      <c r="BS5" s="356" t="n"/>
      <c r="BT5" s="356" t="n"/>
      <c r="BU5" s="356" t="n"/>
      <c r="BV5" s="356" t="n"/>
      <c r="BW5" s="356" t="n"/>
      <c r="BX5" s="356" t="n"/>
      <c r="BY5" s="356" t="n"/>
      <c r="BZ5" s="356" t="n"/>
      <c r="CA5" s="356" t="n"/>
      <c r="CB5" s="356" t="n"/>
      <c r="CC5" s="356" t="n"/>
      <c r="CD5" s="356" t="n"/>
      <c r="CE5" s="356" t="n"/>
      <c r="CF5" s="356" t="n"/>
      <c r="CG5" s="356" t="n"/>
      <c r="CH5" s="356" t="n"/>
      <c r="CI5" s="356" t="n"/>
      <c r="CJ5" s="356" t="n"/>
      <c r="CK5" s="356" t="n"/>
      <c r="CL5" s="356" t="n"/>
      <c r="CM5" s="356" t="n"/>
      <c r="CN5" s="356" t="n"/>
      <c r="CO5" s="356" t="n"/>
      <c r="CP5" s="356" t="n"/>
      <c r="CQ5" s="356" t="n"/>
      <c r="CR5" s="356" t="n"/>
      <c r="CS5" s="356" t="n"/>
      <c r="CT5" s="356" t="n"/>
      <c r="CU5" s="356" t="n"/>
      <c r="CV5" s="356" t="n"/>
      <c r="CW5" s="356" t="n"/>
      <c r="CX5" s="356" t="n"/>
      <c r="CY5" s="356" t="n"/>
      <c r="CZ5" s="356" t="n"/>
      <c r="DA5" s="356" t="n"/>
      <c r="DB5" s="356" t="n"/>
      <c r="DC5" s="356" t="n"/>
      <c r="DD5" s="356" t="n"/>
      <c r="DE5" s="356" t="n"/>
      <c r="DF5" s="356" t="n"/>
      <c r="DG5" s="356" t="n"/>
      <c r="DH5" s="356" t="n"/>
      <c r="DI5" s="356" t="n"/>
      <c r="DJ5" s="356" t="n"/>
      <c r="DK5" s="356" t="n"/>
      <c r="DL5" s="356" t="n"/>
      <c r="DM5" s="356" t="n"/>
      <c r="DN5" s="356" t="n"/>
      <c r="DO5" s="356" t="n"/>
      <c r="DP5" s="356" t="n"/>
      <c r="DQ5" s="356" t="n"/>
      <c r="DR5" s="356" t="n"/>
      <c r="DS5" s="356" t="n"/>
      <c r="DT5" s="356" t="n"/>
      <c r="DU5" s="356" t="n"/>
      <c r="DV5" s="356" t="n"/>
      <c r="DW5" s="356" t="n"/>
      <c r="DX5" s="356" t="n"/>
      <c r="DY5" s="356" t="n"/>
      <c r="DZ5" s="356" t="n"/>
      <c r="EA5" s="356" t="n"/>
      <c r="EB5" s="356" t="n"/>
      <c r="EC5" s="356" t="n"/>
      <c r="ED5" s="356" t="n"/>
      <c r="EE5" s="356" t="n"/>
      <c r="EF5" s="356" t="n"/>
      <c r="EG5" s="356" t="n"/>
      <c r="EH5" s="356" t="n"/>
      <c r="EI5" s="356" t="n"/>
      <c r="EJ5" s="356" t="n"/>
      <c r="EK5" s="356" t="n"/>
      <c r="EL5" s="356" t="n"/>
      <c r="EM5" s="356" t="n"/>
      <c r="EN5" s="356" t="n"/>
      <c r="EO5" s="356" t="n"/>
      <c r="EP5" s="356" t="n"/>
      <c r="EQ5" s="356" t="n"/>
      <c r="ER5" s="356" t="n"/>
      <c r="ES5" s="356" t="n"/>
      <c r="ET5" s="356" t="n"/>
      <c r="EU5" s="356" t="n"/>
      <c r="EV5" s="356" t="n"/>
      <c r="EW5" s="356" t="n"/>
      <c r="EX5" s="356" t="n"/>
      <c r="EY5" s="356" t="n"/>
      <c r="EZ5" s="356" t="n"/>
      <c r="FA5" s="356" t="n"/>
      <c r="FB5" s="356" t="n"/>
      <c r="FC5" s="356" t="n"/>
      <c r="FD5" s="356" t="n"/>
      <c r="FE5" s="356" t="n"/>
      <c r="FF5" s="356" t="n"/>
      <c r="FG5" s="356" t="n"/>
      <c r="FH5" s="356" t="n"/>
      <c r="FI5" s="356" t="n"/>
      <c r="FJ5" s="356" t="n"/>
      <c r="FK5" s="356" t="n"/>
      <c r="FL5" s="356" t="n"/>
      <c r="FM5" s="356" t="n"/>
      <c r="FN5" s="356" t="n"/>
      <c r="FO5" s="356" t="n"/>
      <c r="FP5" s="356" t="n"/>
      <c r="FQ5" s="356" t="n"/>
      <c r="FR5" s="356" t="n"/>
      <c r="FS5" s="356" t="n"/>
      <c r="FT5" s="356" t="n"/>
      <c r="FU5" s="356" t="n"/>
      <c r="FV5" s="356" t="n"/>
      <c r="FW5" s="356" t="n"/>
      <c r="FX5" s="356" t="n"/>
      <c r="FY5" s="356" t="n"/>
      <c r="FZ5" s="356" t="n"/>
      <c r="GA5" s="356" t="n"/>
      <c r="GB5" s="356" t="n"/>
      <c r="GC5" s="356" t="n"/>
      <c r="GD5" s="356" t="n"/>
      <c r="GE5" s="356" t="n"/>
      <c r="GF5" s="356" t="n"/>
      <c r="GG5" s="356" t="n"/>
      <c r="GH5" s="356" t="n"/>
      <c r="GI5" s="356" t="n"/>
      <c r="GJ5" s="356" t="n"/>
      <c r="GK5" s="356" t="n"/>
      <c r="GL5" s="356" t="n"/>
      <c r="GM5" s="356" t="n"/>
      <c r="GN5" s="356" t="n"/>
      <c r="GO5" s="356" t="n"/>
      <c r="GP5" s="356" t="n"/>
      <c r="GQ5" s="356" t="n"/>
      <c r="GR5" s="356" t="n"/>
      <c r="GS5" s="356" t="n"/>
      <c r="GT5" s="356" t="n"/>
      <c r="GU5" s="356" t="n"/>
      <c r="GV5" s="356" t="n"/>
      <c r="GW5" s="356" t="n"/>
      <c r="GX5" s="356" t="n"/>
      <c r="GY5" s="356" t="n"/>
      <c r="GZ5" s="356" t="n"/>
      <c r="HA5" s="356" t="n"/>
      <c r="HB5" s="356" t="n"/>
      <c r="HC5" s="356" t="n"/>
      <c r="HD5" s="356" t="n"/>
      <c r="HE5" s="356" t="n"/>
      <c r="HF5" s="356" t="n"/>
      <c r="HG5" s="356" t="n"/>
      <c r="HH5" s="356" t="n"/>
      <c r="HI5" s="356" t="n"/>
      <c r="HJ5" s="356" t="n"/>
      <c r="HK5" s="356" t="n"/>
      <c r="HL5" s="356" t="n"/>
      <c r="HM5" s="356" t="n"/>
      <c r="HN5" s="356" t="n"/>
      <c r="HO5" s="356" t="n"/>
      <c r="HP5" s="356" t="n"/>
      <c r="HQ5" s="356" t="n"/>
      <c r="HR5" s="356" t="n"/>
      <c r="HS5" s="356" t="n"/>
      <c r="HT5" s="356" t="n"/>
      <c r="HU5" s="356" t="n"/>
      <c r="HV5" s="356" t="n"/>
      <c r="HW5" s="356" t="n"/>
      <c r="HX5" s="356" t="n"/>
      <c r="HY5" s="356" t="n"/>
      <c r="HZ5" s="356" t="n"/>
      <c r="IA5" s="356" t="n"/>
      <c r="IB5" s="356" t="n"/>
      <c r="IC5" s="356" t="n"/>
      <c r="ID5" s="356" t="n"/>
      <c r="IE5" s="356" t="n"/>
      <c r="IF5" s="356" t="n"/>
      <c r="IG5" s="356" t="n"/>
      <c r="IH5" s="356" t="n"/>
      <c r="II5" s="356" t="n"/>
      <c r="IJ5" s="356" t="n"/>
      <c r="IK5" s="356" t="n"/>
      <c r="IL5" s="356" t="n"/>
      <c r="IM5" s="356" t="n"/>
      <c r="IN5" s="356" t="n"/>
      <c r="IO5" s="356" t="n"/>
      <c r="IP5" s="356" t="n"/>
      <c r="IQ5" s="356" t="n"/>
      <c r="IR5" s="356" t="n"/>
      <c r="IS5" s="356" t="n"/>
      <c r="IT5" s="356" t="n"/>
      <c r="IU5" s="356" t="n"/>
    </row>
    <row r="6" ht="14.25" customHeight="1" s="244">
      <c r="A6" s="357" t="inlineStr">
        <is>
          <t>HESAPLARI YAPAN MAKİNA MÜHENDİSİ :</t>
        </is>
      </c>
      <c r="B6" s="264" t="n"/>
      <c r="C6" s="264" t="n"/>
      <c r="D6" s="264" t="n"/>
      <c r="E6" s="264" t="n"/>
      <c r="F6" s="264" t="n"/>
      <c r="G6" s="260" t="n"/>
      <c r="H6" s="357" t="inlineStr">
        <is>
          <t>CAN ÖZKAYA</t>
        </is>
      </c>
      <c r="I6" s="264" t="n"/>
      <c r="J6" s="264" t="n"/>
      <c r="K6" s="264" t="n"/>
      <c r="L6" s="264" t="n"/>
      <c r="M6" s="264" t="n"/>
      <c r="N6" s="260" t="n"/>
    </row>
    <row r="7"/>
    <row r="8" ht="127.5" customHeight="1" s="244">
      <c r="A8" s="359" t="inlineStr">
        <is>
          <t>MAHAL NO</t>
        </is>
      </c>
      <c r="B8" s="359" t="inlineStr">
        <is>
          <t>MAHAL ADI</t>
        </is>
      </c>
      <c r="C8" s="359" t="inlineStr">
        <is>
          <t>MAHAL SICAKLIĞI</t>
        </is>
      </c>
      <c r="D8" s="360" t="inlineStr">
        <is>
          <t>Mahal ısı ihtiyacı Q (boru boyundan: 35 W/m × L)</t>
        </is>
      </c>
      <c r="E8" s="359" t="inlineStr">
        <is>
          <t>MAHAL ALANI A</t>
        </is>
      </c>
      <c r="F8" s="359" t="inlineStr">
        <is>
          <t>1 m2 ' DEKİ TOPLAM ISI YÜKÜ Q/A</t>
        </is>
      </c>
      <c r="G8" s="359" t="inlineStr">
        <is>
          <t>MODÜL</t>
        </is>
      </c>
      <c r="H8" s="359" t="inlineStr">
        <is>
          <t>m2</t>
        </is>
      </c>
      <c r="I8" s="359" t="inlineStr">
        <is>
          <t>STANDART MODÜL</t>
        </is>
      </c>
      <c r="J8" s="359" t="inlineStr">
        <is>
          <t>BORU BOYU</t>
        </is>
      </c>
      <c r="K8" s="359" t="inlineStr">
        <is>
          <t>KOLLEKTÖR ADETİ</t>
        </is>
      </c>
      <c r="L8" s="359" t="inlineStr">
        <is>
          <t>TOPLAM OLMASI GEREKEN KOLLEKTÖR ADETİ</t>
        </is>
      </c>
      <c r="M8" s="359" t="inlineStr">
        <is>
          <t>BİRİM VERİM</t>
        </is>
      </c>
      <c r="N8" s="359" t="inlineStr">
        <is>
          <t>TOPLAM VERİM</t>
        </is>
      </c>
      <c r="O8" s="361" t="n"/>
      <c r="P8" s="361" t="n"/>
      <c r="Q8" s="361" t="n"/>
      <c r="R8" s="361" t="n"/>
      <c r="S8" s="361" t="n"/>
      <c r="T8" s="361" t="n"/>
      <c r="U8" s="361" t="n"/>
      <c r="V8" s="361" t="n"/>
      <c r="W8" s="361" t="n"/>
      <c r="X8" s="361" t="n"/>
      <c r="Y8" s="361" t="n"/>
      <c r="Z8" s="361" t="n"/>
      <c r="AA8" s="361" t="n"/>
      <c r="AB8" s="361" t="n"/>
      <c r="AC8" s="361" t="n"/>
      <c r="AD8" s="361" t="n"/>
      <c r="AE8" s="361" t="n"/>
      <c r="AF8" s="361" t="n"/>
      <c r="AG8" s="361" t="n"/>
      <c r="AH8" s="361" t="n"/>
      <c r="AI8" s="361" t="n"/>
      <c r="AJ8" s="361" t="n"/>
      <c r="AK8" s="361" t="n"/>
      <c r="AL8" s="361" t="n"/>
      <c r="AM8" s="361" t="n"/>
      <c r="AN8" s="361" t="n"/>
      <c r="AO8" s="361" t="n"/>
      <c r="AP8" s="361" t="n"/>
      <c r="AQ8" s="361" t="n"/>
      <c r="AR8" s="361" t="n"/>
      <c r="AS8" s="361" t="n"/>
      <c r="AT8" s="361" t="n"/>
      <c r="AU8" s="361" t="n"/>
      <c r="AV8" s="361" t="n"/>
      <c r="AW8" s="361" t="n"/>
      <c r="AX8" s="361" t="n"/>
      <c r="AY8" s="361" t="n"/>
      <c r="AZ8" s="361" t="n"/>
      <c r="BA8" s="361" t="n"/>
      <c r="BB8" s="361" t="n"/>
      <c r="BC8" s="361" t="n"/>
      <c r="BD8" s="361" t="n"/>
      <c r="BE8" s="361" t="n"/>
      <c r="BF8" s="361" t="n"/>
      <c r="BG8" s="361" t="n"/>
      <c r="BH8" s="361" t="n"/>
      <c r="BI8" s="361" t="n"/>
      <c r="BJ8" s="361" t="n"/>
      <c r="BK8" s="361" t="n"/>
      <c r="BL8" s="361" t="n"/>
      <c r="BM8" s="361" t="n"/>
      <c r="BN8" s="361" t="n"/>
      <c r="BO8" s="361" t="n"/>
      <c r="BP8" s="361" t="n"/>
      <c r="BQ8" s="361" t="n"/>
      <c r="BR8" s="361" t="n"/>
      <c r="BS8" s="361" t="n"/>
      <c r="BT8" s="361" t="n"/>
      <c r="BU8" s="361" t="n"/>
      <c r="BV8" s="361" t="n"/>
      <c r="BW8" s="361" t="n"/>
      <c r="BX8" s="361" t="n"/>
      <c r="BY8" s="361" t="n"/>
      <c r="BZ8" s="361" t="n"/>
      <c r="CA8" s="361" t="n"/>
      <c r="CB8" s="361" t="n"/>
      <c r="CC8" s="361" t="n"/>
      <c r="CD8" s="361" t="n"/>
      <c r="CE8" s="361" t="n"/>
      <c r="CF8" s="361" t="n"/>
      <c r="CG8" s="361" t="n"/>
      <c r="CH8" s="361" t="n"/>
      <c r="CI8" s="361" t="n"/>
      <c r="CJ8" s="361" t="n"/>
      <c r="CK8" s="361" t="n"/>
      <c r="CL8" s="361" t="n"/>
      <c r="CM8" s="361" t="n"/>
      <c r="CN8" s="361" t="n"/>
      <c r="CO8" s="361" t="n"/>
      <c r="CP8" s="361" t="n"/>
      <c r="CQ8" s="361" t="n"/>
      <c r="CR8" s="361" t="n"/>
      <c r="CS8" s="361" t="n"/>
      <c r="CT8" s="361" t="n"/>
      <c r="CU8" s="361" t="n"/>
      <c r="CV8" s="361" t="n"/>
      <c r="CW8" s="361" t="n"/>
      <c r="CX8" s="361" t="n"/>
      <c r="CY8" s="361" t="n"/>
      <c r="CZ8" s="361" t="n"/>
      <c r="DA8" s="361" t="n"/>
      <c r="DB8" s="361" t="n"/>
      <c r="DC8" s="361" t="n"/>
      <c r="DD8" s="361" t="n"/>
      <c r="DE8" s="361" t="n"/>
      <c r="DF8" s="361" t="n"/>
      <c r="DG8" s="361" t="n"/>
      <c r="DH8" s="361" t="n"/>
      <c r="DI8" s="361" t="n"/>
      <c r="DJ8" s="361" t="n"/>
      <c r="DK8" s="361" t="n"/>
      <c r="DL8" s="361" t="n"/>
      <c r="DM8" s="361" t="n"/>
      <c r="DN8" s="361" t="n"/>
      <c r="DO8" s="361" t="n"/>
      <c r="DP8" s="361" t="n"/>
      <c r="DQ8" s="361" t="n"/>
      <c r="DR8" s="361" t="n"/>
      <c r="DS8" s="361" t="n"/>
      <c r="DT8" s="361" t="n"/>
      <c r="DU8" s="361" t="n"/>
      <c r="DV8" s="361" t="n"/>
      <c r="DW8" s="361" t="n"/>
      <c r="DX8" s="361" t="n"/>
      <c r="DY8" s="361" t="n"/>
      <c r="DZ8" s="361" t="n"/>
      <c r="EA8" s="361" t="n"/>
      <c r="EB8" s="361" t="n"/>
      <c r="EC8" s="361" t="n"/>
      <c r="ED8" s="361" t="n"/>
      <c r="EE8" s="361" t="n"/>
      <c r="EF8" s="361" t="n"/>
      <c r="EG8" s="361" t="n"/>
      <c r="EH8" s="361" t="n"/>
      <c r="EI8" s="361" t="n"/>
      <c r="EJ8" s="361" t="n"/>
      <c r="EK8" s="361" t="n"/>
      <c r="EL8" s="361" t="n"/>
      <c r="EM8" s="361" t="n"/>
      <c r="EN8" s="361" t="n"/>
      <c r="EO8" s="361" t="n"/>
      <c r="EP8" s="361" t="n"/>
      <c r="EQ8" s="361" t="n"/>
      <c r="ER8" s="361" t="n"/>
      <c r="ES8" s="361" t="n"/>
      <c r="ET8" s="361" t="n"/>
      <c r="EU8" s="361" t="n"/>
      <c r="EV8" s="361" t="n"/>
      <c r="EW8" s="361" t="n"/>
      <c r="EX8" s="361" t="n"/>
      <c r="EY8" s="361" t="n"/>
      <c r="EZ8" s="361" t="n"/>
      <c r="FA8" s="361" t="n"/>
      <c r="FB8" s="361" t="n"/>
      <c r="FC8" s="361" t="n"/>
      <c r="FD8" s="361" t="n"/>
      <c r="FE8" s="361" t="n"/>
      <c r="FF8" s="361" t="n"/>
      <c r="FG8" s="361" t="n"/>
      <c r="FH8" s="361" t="n"/>
      <c r="FI8" s="361" t="n"/>
      <c r="FJ8" s="361" t="n"/>
      <c r="FK8" s="361" t="n"/>
      <c r="FL8" s="361" t="n"/>
      <c r="FM8" s="361" t="n"/>
      <c r="FN8" s="361" t="n"/>
      <c r="FO8" s="361" t="n"/>
      <c r="FP8" s="361" t="n"/>
      <c r="FQ8" s="361" t="n"/>
      <c r="FR8" s="361" t="n"/>
      <c r="FS8" s="361" t="n"/>
      <c r="FT8" s="361" t="n"/>
      <c r="FU8" s="361" t="n"/>
      <c r="FV8" s="361" t="n"/>
      <c r="FW8" s="361" t="n"/>
      <c r="FX8" s="361" t="n"/>
      <c r="FY8" s="361" t="n"/>
      <c r="FZ8" s="361" t="n"/>
      <c r="GA8" s="361" t="n"/>
      <c r="GB8" s="361" t="n"/>
      <c r="GC8" s="361" t="n"/>
      <c r="GD8" s="361" t="n"/>
      <c r="GE8" s="361" t="n"/>
      <c r="GF8" s="361" t="n"/>
      <c r="GG8" s="361" t="n"/>
      <c r="GH8" s="361" t="n"/>
      <c r="GI8" s="361" t="n"/>
      <c r="GJ8" s="361" t="n"/>
      <c r="GK8" s="361" t="n"/>
      <c r="GL8" s="361" t="n"/>
      <c r="GM8" s="361" t="n"/>
      <c r="GN8" s="361" t="n"/>
      <c r="GO8" s="361" t="n"/>
      <c r="GP8" s="361" t="n"/>
      <c r="GQ8" s="361" t="n"/>
      <c r="GR8" s="361" t="n"/>
      <c r="GS8" s="361" t="n"/>
      <c r="GT8" s="361" t="n"/>
      <c r="GU8" s="361" t="n"/>
      <c r="GV8" s="361" t="n"/>
      <c r="GW8" s="361" t="n"/>
      <c r="GX8" s="361" t="n"/>
      <c r="GY8" s="361" t="n"/>
      <c r="GZ8" s="361" t="n"/>
      <c r="HA8" s="361" t="n"/>
      <c r="HB8" s="361" t="n"/>
      <c r="HC8" s="361" t="n"/>
      <c r="HD8" s="361" t="n"/>
      <c r="HE8" s="361" t="n"/>
      <c r="HF8" s="361" t="n"/>
      <c r="HG8" s="361" t="n"/>
      <c r="HH8" s="361" t="n"/>
      <c r="HI8" s="361" t="n"/>
      <c r="HJ8" s="361" t="n"/>
      <c r="HK8" s="361" t="n"/>
      <c r="HL8" s="361" t="n"/>
      <c r="HM8" s="361" t="n"/>
      <c r="HN8" s="361" t="n"/>
      <c r="HO8" s="361" t="n"/>
      <c r="HP8" s="361" t="n"/>
      <c r="HQ8" s="361" t="n"/>
      <c r="HR8" s="361" t="n"/>
      <c r="HS8" s="361" t="n"/>
      <c r="HT8" s="361" t="n"/>
      <c r="HU8" s="361" t="n"/>
      <c r="HV8" s="361" t="n"/>
      <c r="HW8" s="361" t="n"/>
      <c r="HX8" s="361" t="n"/>
      <c r="HY8" s="361" t="n"/>
      <c r="HZ8" s="361" t="n"/>
      <c r="IA8" s="361" t="n"/>
      <c r="IB8" s="361" t="n"/>
      <c r="IC8" s="361" t="n"/>
      <c r="ID8" s="361" t="n"/>
      <c r="IE8" s="361" t="n"/>
      <c r="IF8" s="361" t="n"/>
      <c r="IG8" s="361" t="n"/>
      <c r="IH8" s="361" t="n"/>
      <c r="II8" s="361" t="n"/>
      <c r="IJ8" s="361" t="n"/>
      <c r="IK8" s="361" t="n"/>
      <c r="IL8" s="361" t="n"/>
      <c r="IM8" s="361" t="n"/>
      <c r="IN8" s="361" t="n"/>
      <c r="IO8" s="361" t="n"/>
      <c r="IP8" s="361" t="n"/>
      <c r="IQ8" s="361" t="n"/>
      <c r="IR8" s="361" t="n"/>
      <c r="IS8" s="361" t="n"/>
      <c r="IT8" s="361" t="n"/>
      <c r="IU8" s="361" t="n"/>
    </row>
    <row r="9" ht="12.75" customHeight="1" s="244">
      <c r="A9" s="362" t="n"/>
      <c r="B9" s="363" t="n"/>
      <c r="C9" s="363" t="inlineStr">
        <is>
          <t>C0</t>
        </is>
      </c>
      <c r="D9" s="364" t="inlineStr">
        <is>
          <t>watt/h</t>
        </is>
      </c>
      <c r="E9" s="362" t="inlineStr">
        <is>
          <t>m2</t>
        </is>
      </c>
      <c r="F9" s="365" t="inlineStr">
        <is>
          <t>watt/m2h</t>
        </is>
      </c>
      <c r="G9" s="365" t="inlineStr">
        <is>
          <t>watt/m2h</t>
        </is>
      </c>
      <c r="H9" s="362" t="inlineStr">
        <is>
          <t>m2</t>
        </is>
      </c>
      <c r="I9" s="362" t="n"/>
      <c r="J9" s="362" t="inlineStr">
        <is>
          <t>m</t>
        </is>
      </c>
      <c r="K9" s="362" t="inlineStr">
        <is>
          <t>Ad.</t>
        </is>
      </c>
      <c r="L9" s="362" t="inlineStr">
        <is>
          <t>Ad.</t>
        </is>
      </c>
      <c r="M9" s="362" t="inlineStr">
        <is>
          <t>W/m</t>
        </is>
      </c>
      <c r="N9" s="363" t="inlineStr">
        <is>
          <t>Watt</t>
        </is>
      </c>
      <c r="O9" s="366" t="n"/>
      <c r="P9" s="366" t="n"/>
      <c r="Q9" s="367" t="n"/>
      <c r="R9" s="367" t="n"/>
      <c r="S9" s="367" t="n"/>
      <c r="T9" s="367" t="n"/>
      <c r="U9" s="367" t="n"/>
      <c r="V9" s="367" t="n"/>
      <c r="W9" s="367" t="n"/>
      <c r="X9" s="367" t="n"/>
      <c r="Y9" s="367" t="n"/>
      <c r="Z9" s="367" t="n"/>
      <c r="AA9" s="367" t="n"/>
      <c r="AB9" s="367" t="n"/>
      <c r="AC9" s="367" t="n"/>
      <c r="AD9" s="367" t="n"/>
      <c r="AE9" s="367" t="n"/>
      <c r="AF9" s="367" t="n"/>
      <c r="AG9" s="367" t="n"/>
      <c r="AH9" s="367" t="n"/>
      <c r="AI9" s="367" t="n"/>
      <c r="AJ9" s="367" t="n"/>
      <c r="AK9" s="367" t="n"/>
      <c r="AL9" s="367" t="n"/>
      <c r="AM9" s="367" t="n"/>
      <c r="AN9" s="367" t="n"/>
      <c r="AO9" s="367" t="n"/>
      <c r="AP9" s="367" t="n"/>
      <c r="AQ9" s="367" t="n"/>
      <c r="AR9" s="367" t="n"/>
      <c r="AS9" s="367" t="n"/>
      <c r="AT9" s="367" t="n"/>
      <c r="AU9" s="367" t="n"/>
      <c r="AV9" s="367" t="n"/>
      <c r="AW9" s="367" t="n"/>
      <c r="AX9" s="367" t="n"/>
      <c r="AY9" s="367" t="n"/>
      <c r="AZ9" s="367" t="n"/>
      <c r="BA9" s="367" t="n"/>
      <c r="BB9" s="367" t="n"/>
      <c r="BC9" s="367" t="n"/>
      <c r="BD9" s="367" t="n"/>
      <c r="BE9" s="367" t="n"/>
      <c r="BF9" s="367" t="n"/>
      <c r="BG9" s="367" t="n"/>
      <c r="BH9" s="367" t="n"/>
      <c r="BI9" s="367" t="n"/>
      <c r="BJ9" s="367" t="n"/>
      <c r="BK9" s="367" t="n"/>
      <c r="BL9" s="367" t="n"/>
      <c r="BM9" s="367" t="n"/>
      <c r="BN9" s="367" t="n"/>
      <c r="BO9" s="367" t="n"/>
      <c r="BP9" s="367" t="n"/>
      <c r="BQ9" s="367" t="n"/>
      <c r="BR9" s="367" t="n"/>
      <c r="BS9" s="367" t="n"/>
      <c r="BT9" s="367" t="n"/>
      <c r="BU9" s="367" t="n"/>
      <c r="BV9" s="367" t="n"/>
      <c r="BW9" s="367" t="n"/>
      <c r="BX9" s="367" t="n"/>
      <c r="BY9" s="367" t="n"/>
      <c r="BZ9" s="367" t="n"/>
      <c r="CA9" s="367" t="n"/>
      <c r="CB9" s="367" t="n"/>
      <c r="CC9" s="367" t="n"/>
      <c r="CD9" s="367" t="n"/>
      <c r="CE9" s="367" t="n"/>
      <c r="CF9" s="367" t="n"/>
      <c r="CG9" s="367" t="n"/>
      <c r="CH9" s="367" t="n"/>
      <c r="CI9" s="367" t="n"/>
      <c r="CJ9" s="367" t="n"/>
      <c r="CK9" s="367" t="n"/>
      <c r="CL9" s="367" t="n"/>
      <c r="CM9" s="367" t="n"/>
      <c r="CN9" s="367" t="n"/>
      <c r="CO9" s="367" t="n"/>
      <c r="CP9" s="367" t="n"/>
      <c r="CQ9" s="367" t="n"/>
      <c r="CR9" s="367" t="n"/>
      <c r="CS9" s="367" t="n"/>
      <c r="CT9" s="367" t="n"/>
      <c r="CU9" s="367" t="n"/>
      <c r="CV9" s="367" t="n"/>
      <c r="CW9" s="367" t="n"/>
      <c r="CX9" s="367" t="n"/>
      <c r="CY9" s="367" t="n"/>
      <c r="CZ9" s="367" t="n"/>
      <c r="DA9" s="367" t="n"/>
      <c r="DB9" s="367" t="n"/>
      <c r="DC9" s="367" t="n"/>
      <c r="DD9" s="367" t="n"/>
      <c r="DE9" s="367" t="n"/>
      <c r="DF9" s="367" t="n"/>
      <c r="DG9" s="367" t="n"/>
      <c r="DH9" s="367" t="n"/>
      <c r="DI9" s="367" t="n"/>
      <c r="DJ9" s="367" t="n"/>
      <c r="DK9" s="367" t="n"/>
      <c r="DL9" s="367" t="n"/>
      <c r="DM9" s="367" t="n"/>
      <c r="DN9" s="367" t="n"/>
      <c r="DO9" s="367" t="n"/>
      <c r="DP9" s="367" t="n"/>
      <c r="DQ9" s="367" t="n"/>
      <c r="DR9" s="367" t="n"/>
      <c r="DS9" s="367" t="n"/>
      <c r="DT9" s="367" t="n"/>
      <c r="DU9" s="367" t="n"/>
      <c r="DV9" s="367" t="n"/>
      <c r="DW9" s="367" t="n"/>
      <c r="DX9" s="367" t="n"/>
      <c r="DY9" s="367" t="n"/>
      <c r="DZ9" s="367" t="n"/>
      <c r="EA9" s="367" t="n"/>
      <c r="EB9" s="367" t="n"/>
      <c r="EC9" s="367" t="n"/>
      <c r="ED9" s="367" t="n"/>
      <c r="EE9" s="367" t="n"/>
      <c r="EF9" s="367" t="n"/>
      <c r="EG9" s="367" t="n"/>
      <c r="EH9" s="367" t="n"/>
      <c r="EI9" s="367" t="n"/>
      <c r="EJ9" s="367" t="n"/>
      <c r="EK9" s="367" t="n"/>
      <c r="EL9" s="367" t="n"/>
      <c r="EM9" s="367" t="n"/>
      <c r="EN9" s="367" t="n"/>
      <c r="EO9" s="367" t="n"/>
      <c r="EP9" s="367" t="n"/>
      <c r="EQ9" s="367" t="n"/>
      <c r="ER9" s="367" t="n"/>
      <c r="ES9" s="367" t="n"/>
      <c r="ET9" s="367" t="n"/>
      <c r="EU9" s="367" t="n"/>
      <c r="EV9" s="367" t="n"/>
      <c r="EW9" s="367" t="n"/>
      <c r="EX9" s="367" t="n"/>
      <c r="EY9" s="367" t="n"/>
      <c r="EZ9" s="367" t="n"/>
      <c r="FA9" s="367" t="n"/>
      <c r="FB9" s="367" t="n"/>
      <c r="FC9" s="367" t="n"/>
      <c r="FD9" s="367" t="n"/>
      <c r="FE9" s="367" t="n"/>
      <c r="FF9" s="367" t="n"/>
      <c r="FG9" s="367" t="n"/>
      <c r="FH9" s="367" t="n"/>
      <c r="FI9" s="367" t="n"/>
      <c r="FJ9" s="367" t="n"/>
      <c r="FK9" s="367" t="n"/>
      <c r="FL9" s="367" t="n"/>
      <c r="FM9" s="367" t="n"/>
      <c r="FN9" s="367" t="n"/>
      <c r="FO9" s="367" t="n"/>
      <c r="FP9" s="367" t="n"/>
      <c r="FQ9" s="367" t="n"/>
      <c r="FR9" s="367" t="n"/>
      <c r="FS9" s="367" t="n"/>
      <c r="FT9" s="367" t="n"/>
      <c r="FU9" s="367" t="n"/>
      <c r="FV9" s="367" t="n"/>
      <c r="FW9" s="367" t="n"/>
      <c r="FX9" s="367" t="n"/>
      <c r="FY9" s="367" t="n"/>
      <c r="FZ9" s="367" t="n"/>
      <c r="GA9" s="367" t="n"/>
      <c r="GB9" s="367" t="n"/>
      <c r="GC9" s="367" t="n"/>
      <c r="GD9" s="367" t="n"/>
      <c r="GE9" s="367" t="n"/>
      <c r="GF9" s="367" t="n"/>
      <c r="GG9" s="367" t="n"/>
      <c r="GH9" s="367" t="n"/>
      <c r="GI9" s="367" t="n"/>
      <c r="GJ9" s="367" t="n"/>
      <c r="GK9" s="367" t="n"/>
      <c r="GL9" s="367" t="n"/>
      <c r="GM9" s="367" t="n"/>
      <c r="GN9" s="367" t="n"/>
      <c r="GO9" s="367" t="n"/>
      <c r="GP9" s="367" t="n"/>
      <c r="GQ9" s="367" t="n"/>
      <c r="GR9" s="367" t="n"/>
      <c r="GS9" s="367" t="n"/>
      <c r="GT9" s="367" t="n"/>
      <c r="GU9" s="367" t="n"/>
      <c r="GV9" s="367" t="n"/>
      <c r="GW9" s="367" t="n"/>
      <c r="GX9" s="367" t="n"/>
      <c r="GY9" s="367" t="n"/>
      <c r="GZ9" s="367" t="n"/>
      <c r="HA9" s="367" t="n"/>
      <c r="HB9" s="367" t="n"/>
      <c r="HC9" s="367" t="n"/>
      <c r="HD9" s="367" t="n"/>
      <c r="HE9" s="367" t="n"/>
      <c r="HF9" s="367" t="n"/>
      <c r="HG9" s="367" t="n"/>
      <c r="HH9" s="367" t="n"/>
      <c r="HI9" s="367" t="n"/>
      <c r="HJ9" s="367" t="n"/>
      <c r="HK9" s="367" t="n"/>
      <c r="HL9" s="367" t="n"/>
      <c r="HM9" s="367" t="n"/>
      <c r="HN9" s="367" t="n"/>
      <c r="HO9" s="367" t="n"/>
      <c r="HP9" s="367" t="n"/>
      <c r="HQ9" s="367" t="n"/>
      <c r="HR9" s="367" t="n"/>
      <c r="HS9" s="367" t="n"/>
      <c r="HT9" s="367" t="n"/>
      <c r="HU9" s="367" t="n"/>
      <c r="HV9" s="367" t="n"/>
      <c r="HW9" s="367" t="n"/>
      <c r="HX9" s="367" t="n"/>
      <c r="HY9" s="367" t="n"/>
      <c r="HZ9" s="367" t="n"/>
      <c r="IA9" s="367" t="n"/>
      <c r="IB9" s="367" t="n"/>
      <c r="IC9" s="367" t="n"/>
      <c r="ID9" s="367" t="n"/>
      <c r="IE9" s="367" t="n"/>
      <c r="IF9" s="367" t="n"/>
      <c r="IG9" s="367" t="n"/>
      <c r="IH9" s="367" t="n"/>
      <c r="II9" s="367" t="n"/>
      <c r="IJ9" s="367" t="n"/>
      <c r="IK9" s="367" t="n"/>
      <c r="IL9" s="367" t="n"/>
      <c r="IM9" s="367" t="n"/>
      <c r="IN9" s="367" t="n"/>
      <c r="IO9" s="367" t="n"/>
      <c r="IP9" s="367" t="n"/>
      <c r="IQ9" s="367" t="n"/>
      <c r="IR9" s="367" t="n"/>
      <c r="IS9" s="367" t="n"/>
      <c r="IT9" s="367" t="n"/>
      <c r="IU9" s="367" t="n"/>
    </row>
    <row r="10" ht="12.75" customHeight="1" s="244">
      <c r="A10" s="368">
        <f>'PETEK LİST'!A10</f>
        <v/>
      </c>
      <c r="B10" s="369">
        <f>'PETEK LİST'!B10</f>
        <v/>
      </c>
      <c r="C10" s="370">
        <f>'PETEK LİST'!C10</f>
        <v/>
      </c>
      <c r="D10" s="343">
        <f>'PETEK LİST'!D10</f>
        <v/>
      </c>
      <c r="E10" s="371" t="n">
        <v>11.07</v>
      </c>
      <c r="F10" s="372">
        <f>D10/E10</f>
        <v/>
      </c>
      <c r="G10" s="372">
        <f>76.263-0.539*F10</f>
        <v/>
      </c>
      <c r="H10" s="372">
        <f>D10/G10</f>
        <v/>
      </c>
      <c r="I10" s="368" t="n">
        <v>15</v>
      </c>
      <c r="J10" s="340">
        <f>'PETEK LİST'!G10</f>
        <v/>
      </c>
      <c r="K10" s="372">
        <f>J10/80</f>
        <v/>
      </c>
      <c r="L10" s="368">
        <f>CEILING(K10,1)</f>
        <v/>
      </c>
      <c r="M10" s="368" t="n">
        <v>35</v>
      </c>
      <c r="N10" s="373">
        <f>J10*M10</f>
        <v/>
      </c>
    </row>
    <row r="11" ht="12.75" customHeight="1" s="244">
      <c r="A11" s="368">
        <f>'PETEK LİST'!A11</f>
        <v/>
      </c>
      <c r="B11" s="369">
        <f>'PETEK LİST'!B11</f>
        <v/>
      </c>
      <c r="C11" s="370">
        <f>'PETEK LİST'!C11</f>
        <v/>
      </c>
      <c r="D11" s="343">
        <f>'PETEK LİST'!D11</f>
        <v/>
      </c>
      <c r="E11" s="371" t="n">
        <v>14.25</v>
      </c>
      <c r="F11" s="372">
        <f>D11/E11</f>
        <v/>
      </c>
      <c r="G11" s="372">
        <f>76.263-0.539*F11</f>
        <v/>
      </c>
      <c r="H11" s="372">
        <f>D11/G11</f>
        <v/>
      </c>
      <c r="I11" s="368" t="n">
        <v>15</v>
      </c>
      <c r="J11" s="340">
        <f>'PETEK LİST'!G11</f>
        <v/>
      </c>
      <c r="K11" s="372">
        <f>J11/80</f>
        <v/>
      </c>
      <c r="L11" s="368">
        <f>CEILING(K11,1)</f>
        <v/>
      </c>
      <c r="M11" s="368" t="n">
        <v>35</v>
      </c>
      <c r="N11" s="373">
        <f>J11*M11</f>
        <v/>
      </c>
    </row>
    <row r="12" ht="12.75" customHeight="1" s="244">
      <c r="A12" s="368">
        <f>'PETEK LİST'!A12</f>
        <v/>
      </c>
      <c r="B12" s="369">
        <f>'PETEK LİST'!B12</f>
        <v/>
      </c>
      <c r="C12" s="370">
        <f>'PETEK LİST'!C12</f>
        <v/>
      </c>
      <c r="D12" s="343">
        <f>'PETEK LİST'!D12</f>
        <v/>
      </c>
      <c r="E12" s="371" t="n">
        <v>9.31</v>
      </c>
      <c r="F12" s="372">
        <f>D12/E12</f>
        <v/>
      </c>
      <c r="G12" s="372">
        <f>76.263-0.539*F12</f>
        <v/>
      </c>
      <c r="H12" s="372">
        <f>D12/G12</f>
        <v/>
      </c>
      <c r="I12" s="368" t="n">
        <v>15</v>
      </c>
      <c r="J12" s="340">
        <f>'PETEK LİST'!G12</f>
        <v/>
      </c>
      <c r="K12" s="372">
        <f>J12/80</f>
        <v/>
      </c>
      <c r="L12" s="368">
        <f>CEILING(K12,1)</f>
        <v/>
      </c>
      <c r="M12" s="368" t="n">
        <v>35</v>
      </c>
      <c r="N12" s="373">
        <f>J12*M12</f>
        <v/>
      </c>
    </row>
    <row r="13" ht="12.75" customHeight="1" s="244">
      <c r="A13" s="368">
        <f>'PETEK LİST'!A13</f>
        <v/>
      </c>
      <c r="B13" s="369">
        <f>'PETEK LİST'!B13</f>
        <v/>
      </c>
      <c r="C13" s="370">
        <f>'PETEK LİST'!C13</f>
        <v/>
      </c>
      <c r="D13" s="343">
        <f>'PETEK LİST'!D13</f>
        <v/>
      </c>
      <c r="E13" s="371" t="n">
        <v>9.31</v>
      </c>
      <c r="F13" s="372">
        <f>D13/E13</f>
        <v/>
      </c>
      <c r="G13" s="372">
        <f>76.263-0.539*F13</f>
        <v/>
      </c>
      <c r="H13" s="372">
        <f>D13/G13</f>
        <v/>
      </c>
      <c r="I13" s="368" t="n">
        <v>15</v>
      </c>
      <c r="J13" s="340">
        <f>'PETEK LİST'!G13</f>
        <v/>
      </c>
      <c r="K13" s="372">
        <f>J13/80</f>
        <v/>
      </c>
      <c r="L13" s="368">
        <f>CEILING(K13,1)</f>
        <v/>
      </c>
      <c r="M13" s="368" t="n">
        <v>35</v>
      </c>
      <c r="N13" s="373">
        <f>J13*M13</f>
        <v/>
      </c>
    </row>
    <row r="14" ht="12.75" customHeight="1" s="244">
      <c r="A14" s="368">
        <f>'PETEK LİST'!A14</f>
        <v/>
      </c>
      <c r="B14" s="369">
        <f>'PETEK LİST'!B14</f>
        <v/>
      </c>
      <c r="C14" s="370">
        <f>'PETEK LİST'!C14</f>
        <v/>
      </c>
      <c r="D14" s="343">
        <f>'PETEK LİST'!D14</f>
        <v/>
      </c>
      <c r="E14" s="371" t="n">
        <v>21.18</v>
      </c>
      <c r="F14" s="372">
        <f>D14/E14</f>
        <v/>
      </c>
      <c r="G14" s="372">
        <f>76.263-0.539*F14</f>
        <v/>
      </c>
      <c r="H14" s="372">
        <f>D14/G14</f>
        <v/>
      </c>
      <c r="I14" s="368" t="n">
        <v>15</v>
      </c>
      <c r="J14" s="340">
        <f>'PETEK LİST'!G14</f>
        <v/>
      </c>
      <c r="K14" s="372">
        <f>J14/80</f>
        <v/>
      </c>
      <c r="L14" s="368">
        <f>CEILING(K14,1)</f>
        <v/>
      </c>
      <c r="M14" s="368" t="n">
        <v>35</v>
      </c>
      <c r="N14" s="373">
        <f>J14*M14</f>
        <v/>
      </c>
    </row>
    <row r="15" ht="12.75" customHeight="1" s="244">
      <c r="A15" s="368">
        <f>'PETEK LİST'!A15</f>
        <v/>
      </c>
      <c r="B15" s="369">
        <f>'PETEK LİST'!B15</f>
        <v/>
      </c>
      <c r="C15" s="370">
        <f>'PETEK LİST'!C15</f>
        <v/>
      </c>
      <c r="D15" s="348">
        <f>'PETEK LİST'!D15</f>
        <v/>
      </c>
      <c r="E15" s="371" t="n">
        <v>7.77</v>
      </c>
      <c r="F15" s="372">
        <f>D15/E15</f>
        <v/>
      </c>
      <c r="G15" s="372">
        <f>76.263-0.539*F15</f>
        <v/>
      </c>
      <c r="H15" s="372">
        <f>D15/G15</f>
        <v/>
      </c>
      <c r="I15" s="368" t="n">
        <v>15</v>
      </c>
      <c r="J15" s="340">
        <f>'PETEK LİST'!G15</f>
        <v/>
      </c>
      <c r="K15" s="372">
        <f>J15/80</f>
        <v/>
      </c>
      <c r="L15" s="368">
        <f>CEILING(K15,1)</f>
        <v/>
      </c>
      <c r="M15" s="368" t="n">
        <v>35</v>
      </c>
      <c r="N15" s="373">
        <f>J15*M15</f>
        <v/>
      </c>
    </row>
    <row r="16" ht="12.75" customHeight="1" s="244">
      <c r="A16" s="374">
        <f>'PETEK LİST'!A16</f>
        <v/>
      </c>
      <c r="B16" s="375">
        <f>'PETEK LİST'!B16</f>
        <v/>
      </c>
      <c r="C16" s="376">
        <f>'PETEK LİST'!C16</f>
        <v/>
      </c>
      <c r="D16" s="343">
        <f>'PETEK LİST'!D16</f>
        <v/>
      </c>
      <c r="E16" s="371" t="n">
        <v>5.36</v>
      </c>
      <c r="F16" s="372">
        <f>D16/E16</f>
        <v/>
      </c>
      <c r="G16" s="372">
        <f>76.263-0.539*F16</f>
        <v/>
      </c>
      <c r="H16" s="372">
        <f>D16/G16</f>
        <v/>
      </c>
      <c r="I16" s="368" t="n">
        <v>15</v>
      </c>
      <c r="J16" s="340">
        <f>'PETEK LİST'!G16</f>
        <v/>
      </c>
      <c r="K16" s="372">
        <f>J16/80</f>
        <v/>
      </c>
      <c r="L16" s="368">
        <f>CEILING(K16,1)</f>
        <v/>
      </c>
      <c r="M16" s="368" t="n">
        <v>35</v>
      </c>
      <c r="N16" s="373">
        <f>J16*M16</f>
        <v/>
      </c>
    </row>
    <row r="17" ht="12.75" customHeight="1" s="244">
      <c r="A17" s="374">
        <f>'PETEK LİST'!A17</f>
        <v/>
      </c>
      <c r="B17" s="375">
        <f>'PETEK LİST'!B17</f>
        <v/>
      </c>
      <c r="C17" s="376">
        <f>'PETEK LİST'!C17</f>
        <v/>
      </c>
      <c r="D17" s="343">
        <f>'PETEK LİST'!D17</f>
        <v/>
      </c>
      <c r="E17" s="371" t="n">
        <v>11.07</v>
      </c>
      <c r="F17" s="372">
        <f>D17/E17</f>
        <v/>
      </c>
      <c r="G17" s="372">
        <f>76.263-0.539*F17</f>
        <v/>
      </c>
      <c r="H17" s="372">
        <f>D17/G17</f>
        <v/>
      </c>
      <c r="I17" s="368" t="n">
        <v>15</v>
      </c>
      <c r="J17" s="340">
        <f>'PETEK LİST'!G17</f>
        <v/>
      </c>
      <c r="K17" s="372">
        <f>J17/80</f>
        <v/>
      </c>
      <c r="L17" s="368">
        <f>CEILING(K17,1)</f>
        <v/>
      </c>
      <c r="M17" s="368" t="n">
        <v>35</v>
      </c>
      <c r="N17" s="373">
        <f>J17*M17</f>
        <v/>
      </c>
    </row>
    <row r="18" ht="12.75" customHeight="1" s="244">
      <c r="A18" s="374">
        <f>'PETEK LİST'!A18</f>
        <v/>
      </c>
      <c r="B18" s="375">
        <f>'PETEK LİST'!B18</f>
        <v/>
      </c>
      <c r="C18" s="376">
        <f>'PETEK LİST'!C18</f>
        <v/>
      </c>
      <c r="D18" s="343">
        <f>'PETEK LİST'!D18</f>
        <v/>
      </c>
      <c r="E18" s="371" t="n">
        <v>14.25</v>
      </c>
      <c r="F18" s="372">
        <f>D18/E18</f>
        <v/>
      </c>
      <c r="G18" s="372">
        <f>76.263-0.539*F18</f>
        <v/>
      </c>
      <c r="H18" s="372">
        <f>D18/G18</f>
        <v/>
      </c>
      <c r="I18" s="368" t="n">
        <v>15</v>
      </c>
      <c r="J18" s="340">
        <f>'PETEK LİST'!G18</f>
        <v/>
      </c>
      <c r="K18" s="372">
        <f>J18/80</f>
        <v/>
      </c>
      <c r="L18" s="368">
        <f>CEILING(K18,1)</f>
        <v/>
      </c>
      <c r="M18" s="368" t="n">
        <v>35</v>
      </c>
      <c r="N18" s="373">
        <f>J18*M18</f>
        <v/>
      </c>
    </row>
    <row r="19" ht="12.75" customHeight="1" s="244">
      <c r="A19" s="374">
        <f>'PETEK LİST'!A19</f>
        <v/>
      </c>
      <c r="B19" s="375">
        <f>'PETEK LİST'!B19</f>
        <v/>
      </c>
      <c r="C19" s="376">
        <f>'PETEK LİST'!C19</f>
        <v/>
      </c>
      <c r="D19" s="343">
        <f>'PETEK LİST'!D19</f>
        <v/>
      </c>
      <c r="E19" s="371" t="n">
        <v>9.31</v>
      </c>
      <c r="F19" s="372">
        <f>D19/E19</f>
        <v/>
      </c>
      <c r="G19" s="372">
        <f>76.263-0.539*F19</f>
        <v/>
      </c>
      <c r="H19" s="372">
        <f>D19/G19</f>
        <v/>
      </c>
      <c r="I19" s="368" t="n">
        <v>15</v>
      </c>
      <c r="J19" s="340">
        <f>'PETEK LİST'!G19</f>
        <v/>
      </c>
      <c r="K19" s="372">
        <f>J19/80</f>
        <v/>
      </c>
      <c r="L19" s="368">
        <f>CEILING(K19,1)</f>
        <v/>
      </c>
      <c r="M19" s="368" t="n">
        <v>35</v>
      </c>
      <c r="N19" s="373">
        <f>J19*M19</f>
        <v/>
      </c>
    </row>
    <row r="20" ht="12.75" customHeight="1" s="244">
      <c r="A20" s="374">
        <f>'PETEK LİST'!A20</f>
        <v/>
      </c>
      <c r="B20" s="375">
        <f>'PETEK LİST'!B20</f>
        <v/>
      </c>
      <c r="C20" s="376">
        <f>'PETEK LİST'!C20</f>
        <v/>
      </c>
      <c r="D20" s="343">
        <f>'PETEK LİST'!D20</f>
        <v/>
      </c>
      <c r="E20" s="371" t="n">
        <v>9.31</v>
      </c>
      <c r="F20" s="372">
        <f>D20/E20</f>
        <v/>
      </c>
      <c r="G20" s="372">
        <f>76.263-0.539*F20</f>
        <v/>
      </c>
      <c r="H20" s="372">
        <f>D20/G20</f>
        <v/>
      </c>
      <c r="I20" s="368" t="n">
        <v>15</v>
      </c>
      <c r="J20" s="340">
        <f>'PETEK LİST'!G20</f>
        <v/>
      </c>
      <c r="K20" s="372">
        <f>J20/80</f>
        <v/>
      </c>
      <c r="L20" s="368">
        <f>CEILING(K20,1)</f>
        <v/>
      </c>
      <c r="M20" s="368" t="n">
        <v>35</v>
      </c>
      <c r="N20" s="373">
        <f>J20*M20</f>
        <v/>
      </c>
    </row>
    <row r="21" ht="12.75" customHeight="1" s="244">
      <c r="A21" s="374">
        <f>'PETEK LİST'!A21</f>
        <v/>
      </c>
      <c r="B21" s="375">
        <f>'PETEK LİST'!B21</f>
        <v/>
      </c>
      <c r="C21" s="376">
        <f>'PETEK LİST'!C21</f>
        <v/>
      </c>
      <c r="D21" s="343">
        <f>'PETEK LİST'!D21</f>
        <v/>
      </c>
      <c r="E21" s="371" t="n">
        <v>21.18</v>
      </c>
      <c r="F21" s="372">
        <f>D21/E21</f>
        <v/>
      </c>
      <c r="G21" s="372">
        <f>76.263-0.539*F21</f>
        <v/>
      </c>
      <c r="H21" s="372">
        <f>D21/G21</f>
        <v/>
      </c>
      <c r="I21" s="368" t="n">
        <v>15</v>
      </c>
      <c r="J21" s="340">
        <f>'PETEK LİST'!G21</f>
        <v/>
      </c>
      <c r="K21" s="372">
        <f>J21/80</f>
        <v/>
      </c>
      <c r="L21" s="368">
        <f>CEILING(K21,1)</f>
        <v/>
      </c>
      <c r="M21" s="368" t="n">
        <v>35</v>
      </c>
      <c r="N21" s="373">
        <f>J21*M21</f>
        <v/>
      </c>
    </row>
    <row r="22" ht="12.75" customHeight="1" s="244">
      <c r="A22" s="374">
        <f>'PETEK LİST'!A22</f>
        <v/>
      </c>
      <c r="B22" s="375">
        <f>'PETEK LİST'!B22</f>
        <v/>
      </c>
      <c r="C22" s="376">
        <f>'PETEK LİST'!C22</f>
        <v/>
      </c>
      <c r="D22" s="343">
        <f>'PETEK LİST'!D22</f>
        <v/>
      </c>
      <c r="E22" s="371" t="n">
        <v>7.77</v>
      </c>
      <c r="F22" s="372">
        <f>D22/E22</f>
        <v/>
      </c>
      <c r="G22" s="372">
        <f>76.263-0.539*F22</f>
        <v/>
      </c>
      <c r="H22" s="372">
        <f>D22/G22</f>
        <v/>
      </c>
      <c r="I22" s="368" t="n">
        <v>15</v>
      </c>
      <c r="J22" s="340">
        <f>'PETEK LİST'!G22</f>
        <v/>
      </c>
      <c r="K22" s="372">
        <f>J22/80</f>
        <v/>
      </c>
      <c r="L22" s="368">
        <f>CEILING(K22,1)</f>
        <v/>
      </c>
      <c r="M22" s="368" t="n">
        <v>35</v>
      </c>
      <c r="N22" s="373">
        <f>J22*M22</f>
        <v/>
      </c>
    </row>
    <row r="23" ht="12.75" customHeight="1" s="244">
      <c r="A23" s="374">
        <f>'PETEK LİST'!A23</f>
        <v/>
      </c>
      <c r="B23" s="375">
        <f>'PETEK LİST'!B23</f>
        <v/>
      </c>
      <c r="C23" s="376">
        <f>'PETEK LİST'!C23</f>
        <v/>
      </c>
      <c r="D23" s="343">
        <f>'PETEK LİST'!D23</f>
        <v/>
      </c>
      <c r="E23" s="371" t="n">
        <v>5.36</v>
      </c>
      <c r="F23" s="372">
        <f>D23/E23</f>
        <v/>
      </c>
      <c r="G23" s="372">
        <f>76.263-0.539*F23</f>
        <v/>
      </c>
      <c r="H23" s="372">
        <f>D23/G23</f>
        <v/>
      </c>
      <c r="I23" s="368" t="n">
        <v>15</v>
      </c>
      <c r="J23" s="340">
        <f>'PETEK LİST'!G23</f>
        <v/>
      </c>
      <c r="K23" s="372">
        <f>J23/80</f>
        <v/>
      </c>
      <c r="L23" s="368">
        <f>CEILING(K23,1)</f>
        <v/>
      </c>
      <c r="M23" s="368" t="n">
        <v>35</v>
      </c>
      <c r="N23" s="373">
        <f>J23*M23</f>
        <v/>
      </c>
    </row>
    <row r="24">
      <c r="A24" s="368">
        <f>'PETEK LİST'!A24</f>
        <v/>
      </c>
      <c r="B24" s="369">
        <f>'PETEK LİST'!B24</f>
        <v/>
      </c>
      <c r="C24" s="370">
        <f>'PETEK LİST'!C24</f>
        <v/>
      </c>
      <c r="D24" s="348">
        <f>'PETEK LİST'!D24</f>
        <v/>
      </c>
      <c r="E24" s="371" t="n">
        <v>10.11</v>
      </c>
      <c r="F24" s="372">
        <f>D24/E24</f>
        <v/>
      </c>
      <c r="G24" s="372">
        <f>76.263-0.539*F24</f>
        <v/>
      </c>
      <c r="H24" s="372">
        <f>D24/G24</f>
        <v/>
      </c>
      <c r="I24" s="368" t="n">
        <v>15</v>
      </c>
      <c r="J24" s="345">
        <f>'PETEK LİST'!G24</f>
        <v/>
      </c>
      <c r="K24" s="372">
        <f>J24/80</f>
        <v/>
      </c>
      <c r="L24" s="368">
        <f>CEILING(K24,1)</f>
        <v/>
      </c>
      <c r="M24" s="368" t="n">
        <v>35</v>
      </c>
      <c r="N24" s="373">
        <f>J24*M24</f>
        <v/>
      </c>
    </row>
    <row r="25">
      <c r="A25" s="368">
        <f>'PETEK LİST'!A25</f>
        <v/>
      </c>
      <c r="B25" s="369">
        <f>'PETEK LİST'!B25</f>
        <v/>
      </c>
      <c r="C25" s="370">
        <f>'PETEK LİST'!C25</f>
        <v/>
      </c>
      <c r="D25" s="348">
        <f>'PETEK LİST'!D25</f>
        <v/>
      </c>
      <c r="E25" s="371" t="n">
        <v>15.44</v>
      </c>
      <c r="F25" s="372">
        <f>D25/E25</f>
        <v/>
      </c>
      <c r="G25" s="372">
        <f>76.263-0.539*F25</f>
        <v/>
      </c>
      <c r="H25" s="372">
        <f>D25/G25</f>
        <v/>
      </c>
      <c r="I25" s="368" t="n">
        <v>15</v>
      </c>
      <c r="J25" s="345">
        <f>'PETEK LİST'!G25</f>
        <v/>
      </c>
      <c r="K25" s="372">
        <f>J25/80</f>
        <v/>
      </c>
      <c r="L25" s="368">
        <f>CEILING(K25,1)</f>
        <v/>
      </c>
      <c r="M25" s="368" t="n">
        <v>35</v>
      </c>
      <c r="N25" s="373">
        <f>J25*M25</f>
        <v/>
      </c>
    </row>
    <row r="26">
      <c r="A26" s="368">
        <f>'PETEK LİST'!A26</f>
        <v/>
      </c>
      <c r="B26" s="369">
        <f>'PETEK LİST'!B26</f>
        <v/>
      </c>
      <c r="C26" s="370">
        <f>'PETEK LİST'!C26</f>
        <v/>
      </c>
      <c r="D26" s="348">
        <f>'PETEK LİST'!D26</f>
        <v/>
      </c>
      <c r="E26" s="371" t="n">
        <v>9.050000000000001</v>
      </c>
      <c r="F26" s="372">
        <f>D26/E26</f>
        <v/>
      </c>
      <c r="G26" s="372">
        <f>76.263-0.539*F26</f>
        <v/>
      </c>
      <c r="H26" s="372">
        <f>D26/G26</f>
        <v/>
      </c>
      <c r="I26" s="368" t="n">
        <v>15</v>
      </c>
      <c r="J26" s="345">
        <f>'PETEK LİST'!G26</f>
        <v/>
      </c>
      <c r="K26" s="372">
        <f>J26/80</f>
        <v/>
      </c>
      <c r="L26" s="368">
        <f>CEILING(K26,1)</f>
        <v/>
      </c>
      <c r="M26" s="368" t="n">
        <v>35</v>
      </c>
      <c r="N26" s="373">
        <f>J26*M26</f>
        <v/>
      </c>
    </row>
    <row r="27">
      <c r="A27" s="368">
        <f>'PETEK LİST'!A27</f>
        <v/>
      </c>
      <c r="B27" s="369">
        <f>'PETEK LİST'!B27</f>
        <v/>
      </c>
      <c r="C27" s="370">
        <f>'PETEK LİST'!C27</f>
        <v/>
      </c>
      <c r="D27" s="348">
        <f>'PETEK LİST'!D27</f>
        <v/>
      </c>
      <c r="E27" s="371" t="n">
        <v>22.31</v>
      </c>
      <c r="F27" s="372">
        <f>D27/E27</f>
        <v/>
      </c>
      <c r="G27" s="372">
        <f>76.263-0.539*F27</f>
        <v/>
      </c>
      <c r="H27" s="372">
        <f>D27/G27</f>
        <v/>
      </c>
      <c r="I27" s="368" t="n">
        <v>15</v>
      </c>
      <c r="J27" s="345">
        <f>'PETEK LİST'!G27</f>
        <v/>
      </c>
      <c r="K27" s="372">
        <f>J27/80</f>
        <v/>
      </c>
      <c r="L27" s="368">
        <f>CEILING(K27,1)</f>
        <v/>
      </c>
      <c r="M27" s="368" t="n">
        <v>35</v>
      </c>
      <c r="N27" s="373">
        <f>J27*M27</f>
        <v/>
      </c>
    </row>
    <row r="28">
      <c r="A28" s="368">
        <f>'PETEK LİST'!A28</f>
        <v/>
      </c>
      <c r="B28" s="369">
        <f>'PETEK LİST'!B28</f>
        <v/>
      </c>
      <c r="C28" s="370">
        <f>'PETEK LİST'!C28</f>
        <v/>
      </c>
      <c r="D28" s="348">
        <f>'PETEK LİST'!D28</f>
        <v/>
      </c>
      <c r="E28" s="371" t="n">
        <v>7.75</v>
      </c>
      <c r="F28" s="372">
        <f>D28/E28</f>
        <v/>
      </c>
      <c r="G28" s="372">
        <f>76.263-0.539*F28</f>
        <v/>
      </c>
      <c r="H28" s="372">
        <f>D28/G28</f>
        <v/>
      </c>
      <c r="I28" s="368" t="n">
        <v>15</v>
      </c>
      <c r="J28" s="345">
        <f>'PETEK LİST'!G28</f>
        <v/>
      </c>
      <c r="K28" s="372">
        <f>J28/80</f>
        <v/>
      </c>
      <c r="L28" s="368">
        <f>CEILING(K28,1)</f>
        <v/>
      </c>
      <c r="M28" s="368" t="n">
        <v>35</v>
      </c>
      <c r="N28" s="373">
        <f>J28*M28</f>
        <v/>
      </c>
    </row>
    <row r="29">
      <c r="A29" s="368">
        <f>'PETEK LİST'!A29</f>
        <v/>
      </c>
      <c r="B29" s="369">
        <f>'PETEK LİST'!B29</f>
        <v/>
      </c>
      <c r="C29" s="370">
        <f>'PETEK LİST'!C29</f>
        <v/>
      </c>
      <c r="D29" s="348">
        <f>'PETEK LİST'!D29</f>
        <v/>
      </c>
      <c r="E29" s="371" t="n">
        <v>11</v>
      </c>
      <c r="F29" s="372">
        <f>D29/E29</f>
        <v/>
      </c>
      <c r="G29" s="372">
        <f>76.263-0.539*F29</f>
        <v/>
      </c>
      <c r="H29" s="372">
        <f>D29/G29</f>
        <v/>
      </c>
      <c r="I29" s="368" t="n">
        <v>15</v>
      </c>
      <c r="J29" s="345">
        <f>'PETEK LİST'!G29</f>
        <v/>
      </c>
      <c r="K29" s="372">
        <f>J29/80</f>
        <v/>
      </c>
      <c r="L29" s="368">
        <f>CEILING(K29,1)</f>
        <v/>
      </c>
      <c r="M29" s="368" t="n">
        <v>35</v>
      </c>
      <c r="N29" s="373">
        <f>J29*M29</f>
        <v/>
      </c>
    </row>
    <row r="30">
      <c r="A30" s="368">
        <f>'PETEK LİST'!A30</f>
        <v/>
      </c>
      <c r="B30" s="369">
        <f>'PETEK LİST'!B30</f>
        <v/>
      </c>
      <c r="C30" s="370">
        <f>'PETEK LİST'!C30</f>
        <v/>
      </c>
      <c r="D30" s="348">
        <f>'PETEK LİST'!D30</f>
        <v/>
      </c>
      <c r="E30" s="371" t="n">
        <v>4.37</v>
      </c>
      <c r="F30" s="372">
        <f>D30/E30</f>
        <v/>
      </c>
      <c r="G30" s="372">
        <f>76.263-0.539*F30</f>
        <v/>
      </c>
      <c r="H30" s="372">
        <f>D30/G30</f>
        <v/>
      </c>
      <c r="I30" s="368" t="n">
        <v>15</v>
      </c>
      <c r="J30" s="345">
        <f>'PETEK LİST'!G30</f>
        <v/>
      </c>
      <c r="K30" s="372">
        <f>J30/80</f>
        <v/>
      </c>
      <c r="L30" s="368">
        <f>CEILING(K30,1)</f>
        <v/>
      </c>
      <c r="M30" s="368" t="n">
        <v>35</v>
      </c>
      <c r="N30" s="373">
        <f>J30*M30</f>
        <v/>
      </c>
    </row>
    <row r="31"/>
    <row r="32">
      <c r="A32" s="368">
        <f>'PETEK LİST'!A32</f>
        <v/>
      </c>
      <c r="B32" s="369">
        <f>'PETEK LİST'!B32</f>
        <v/>
      </c>
      <c r="C32" s="370">
        <f>'PETEK LİST'!C32</f>
        <v/>
      </c>
      <c r="D32" s="348">
        <f>'PETEK LİST'!D32</f>
        <v/>
      </c>
      <c r="E32" s="371" t="n">
        <v>11.07</v>
      </c>
      <c r="F32" s="372">
        <f>D32/E32</f>
        <v/>
      </c>
      <c r="G32" s="372">
        <f>76.263-0.539*F32</f>
        <v/>
      </c>
      <c r="H32" s="372">
        <f>D32/G32</f>
        <v/>
      </c>
      <c r="I32" s="368" t="n">
        <v>15</v>
      </c>
      <c r="J32" s="345">
        <f>'PETEK LİST'!G32</f>
        <v/>
      </c>
      <c r="K32" s="372">
        <f>J32/80</f>
        <v/>
      </c>
      <c r="L32" s="368">
        <f>CEILING(K32,1)</f>
        <v/>
      </c>
      <c r="M32" s="368" t="n">
        <v>35</v>
      </c>
      <c r="N32" s="373">
        <f>J32*M32</f>
        <v/>
      </c>
    </row>
    <row r="33">
      <c r="A33" s="368">
        <f>'PETEK LİST'!A33</f>
        <v/>
      </c>
      <c r="B33" s="369">
        <f>'PETEK LİST'!B33</f>
        <v/>
      </c>
      <c r="C33" s="370">
        <f>'PETEK LİST'!C33</f>
        <v/>
      </c>
      <c r="D33" s="348">
        <f>'PETEK LİST'!D33</f>
        <v/>
      </c>
      <c r="E33" s="371" t="n">
        <v>14.25</v>
      </c>
      <c r="F33" s="372">
        <f>D33/E33</f>
        <v/>
      </c>
      <c r="G33" s="372">
        <f>76.263-0.539*F33</f>
        <v/>
      </c>
      <c r="H33" s="372">
        <f>D33/G33</f>
        <v/>
      </c>
      <c r="I33" s="368" t="n">
        <v>15</v>
      </c>
      <c r="J33" s="345">
        <f>'PETEK LİST'!G33</f>
        <v/>
      </c>
      <c r="K33" s="372">
        <f>J33/80</f>
        <v/>
      </c>
      <c r="L33" s="368">
        <f>CEILING(K33,1)</f>
        <v/>
      </c>
      <c r="M33" s="368" t="n">
        <v>35</v>
      </c>
      <c r="N33" s="373">
        <f>J33*M33</f>
        <v/>
      </c>
    </row>
    <row r="34">
      <c r="A34" s="368">
        <f>'PETEK LİST'!A34</f>
        <v/>
      </c>
      <c r="B34" s="369">
        <f>'PETEK LİST'!B34</f>
        <v/>
      </c>
      <c r="C34" s="370">
        <f>'PETEK LİST'!C34</f>
        <v/>
      </c>
      <c r="D34" s="348">
        <f>'PETEK LİST'!D34</f>
        <v/>
      </c>
      <c r="E34" s="371" t="n">
        <v>9.31</v>
      </c>
      <c r="F34" s="372">
        <f>D34/E34</f>
        <v/>
      </c>
      <c r="G34" s="372">
        <f>76.263-0.539*F34</f>
        <v/>
      </c>
      <c r="H34" s="372">
        <f>D34/G34</f>
        <v/>
      </c>
      <c r="I34" s="368" t="n">
        <v>15</v>
      </c>
      <c r="J34" s="345">
        <f>'PETEK LİST'!G34</f>
        <v/>
      </c>
      <c r="K34" s="372">
        <f>J34/80</f>
        <v/>
      </c>
      <c r="L34" s="368">
        <f>CEILING(K34,1)</f>
        <v/>
      </c>
      <c r="M34" s="368" t="n">
        <v>35</v>
      </c>
      <c r="N34" s="373">
        <f>J34*M34</f>
        <v/>
      </c>
    </row>
    <row r="35">
      <c r="A35" s="368">
        <f>'PETEK LİST'!A35</f>
        <v/>
      </c>
      <c r="B35" s="369">
        <f>'PETEK LİST'!B35</f>
        <v/>
      </c>
      <c r="C35" s="370">
        <f>'PETEK LİST'!C35</f>
        <v/>
      </c>
      <c r="D35" s="348">
        <f>'PETEK LİST'!D35</f>
        <v/>
      </c>
      <c r="E35" s="371" t="n">
        <v>9.31</v>
      </c>
      <c r="F35" s="372">
        <f>D35/E35</f>
        <v/>
      </c>
      <c r="G35" s="372">
        <f>76.263-0.539*F35</f>
        <v/>
      </c>
      <c r="H35" s="372">
        <f>D35/G35</f>
        <v/>
      </c>
      <c r="I35" s="368" t="n">
        <v>15</v>
      </c>
      <c r="J35" s="345">
        <f>'PETEK LİST'!G35</f>
        <v/>
      </c>
      <c r="K35" s="372">
        <f>J35/80</f>
        <v/>
      </c>
      <c r="L35" s="368">
        <f>CEILING(K35,1)</f>
        <v/>
      </c>
      <c r="M35" s="368" t="n">
        <v>35</v>
      </c>
      <c r="N35" s="373">
        <f>J35*M35</f>
        <v/>
      </c>
    </row>
    <row r="36">
      <c r="A36" s="368">
        <f>'PETEK LİST'!A36</f>
        <v/>
      </c>
      <c r="B36" s="369">
        <f>'PETEK LİST'!B36</f>
        <v/>
      </c>
      <c r="C36" s="370">
        <f>'PETEK LİST'!C36</f>
        <v/>
      </c>
      <c r="D36" s="348">
        <f>'PETEK LİST'!D36</f>
        <v/>
      </c>
      <c r="E36" s="371" t="n">
        <v>21.18</v>
      </c>
      <c r="F36" s="372">
        <f>D36/E36</f>
        <v/>
      </c>
      <c r="G36" s="372">
        <f>76.263-0.539*F36</f>
        <v/>
      </c>
      <c r="H36" s="372">
        <f>D36/G36</f>
        <v/>
      </c>
      <c r="I36" s="368" t="n">
        <v>15</v>
      </c>
      <c r="J36" s="345">
        <f>'PETEK LİST'!G36</f>
        <v/>
      </c>
      <c r="K36" s="372">
        <f>J36/80</f>
        <v/>
      </c>
      <c r="L36" s="368">
        <f>CEILING(K36,1)</f>
        <v/>
      </c>
      <c r="M36" s="368" t="n">
        <v>35</v>
      </c>
      <c r="N36" s="373">
        <f>J36*M36</f>
        <v/>
      </c>
    </row>
    <row r="37">
      <c r="A37" s="368">
        <f>'PETEK LİST'!A37</f>
        <v/>
      </c>
      <c r="B37" s="369">
        <f>'PETEK LİST'!B37</f>
        <v/>
      </c>
      <c r="C37" s="370">
        <f>'PETEK LİST'!C37</f>
        <v/>
      </c>
      <c r="D37" s="348">
        <f>'PETEK LİST'!D37</f>
        <v/>
      </c>
      <c r="E37" s="371" t="n">
        <v>7.77</v>
      </c>
      <c r="F37" s="372">
        <f>D37/E37</f>
        <v/>
      </c>
      <c r="G37" s="372">
        <f>76.263-0.539*F37</f>
        <v/>
      </c>
      <c r="H37" s="372">
        <f>D37/G37</f>
        <v/>
      </c>
      <c r="I37" s="368" t="n">
        <v>15</v>
      </c>
      <c r="J37" s="345">
        <f>'PETEK LİST'!G37</f>
        <v/>
      </c>
      <c r="K37" s="372">
        <f>J37/80</f>
        <v/>
      </c>
      <c r="L37" s="368">
        <f>CEILING(K37,1)</f>
        <v/>
      </c>
      <c r="M37" s="368" t="n">
        <v>35</v>
      </c>
      <c r="N37" s="373">
        <f>J37*M37</f>
        <v/>
      </c>
    </row>
    <row r="38">
      <c r="A38" s="368">
        <f>'PETEK LİST'!A38</f>
        <v/>
      </c>
      <c r="B38" s="369">
        <f>'PETEK LİST'!B38</f>
        <v/>
      </c>
      <c r="C38" s="370">
        <f>'PETEK LİST'!C38</f>
        <v/>
      </c>
      <c r="D38" s="348">
        <f>'PETEK LİST'!D38</f>
        <v/>
      </c>
      <c r="E38" s="371" t="n">
        <v>5.04</v>
      </c>
      <c r="F38" s="372">
        <f>D38/E38</f>
        <v/>
      </c>
      <c r="G38" s="372">
        <f>76.263-0.539*F38</f>
        <v/>
      </c>
      <c r="H38" s="372">
        <f>D38/G38</f>
        <v/>
      </c>
      <c r="I38" s="368" t="n">
        <v>15</v>
      </c>
      <c r="J38" s="345">
        <f>'PETEK LİST'!G38</f>
        <v/>
      </c>
      <c r="K38" s="372">
        <f>J38/80</f>
        <v/>
      </c>
      <c r="L38" s="368">
        <f>CEILING(K38,1)</f>
        <v/>
      </c>
      <c r="M38" s="368" t="n">
        <v>35</v>
      </c>
      <c r="N38" s="373">
        <f>J38*M38</f>
        <v/>
      </c>
    </row>
    <row r="39">
      <c r="A39" s="368">
        <f>'PETEK LİST'!A39</f>
        <v/>
      </c>
      <c r="B39" s="369">
        <f>'PETEK LİST'!B39</f>
        <v/>
      </c>
      <c r="C39" s="370">
        <f>'PETEK LİST'!C39</f>
        <v/>
      </c>
      <c r="D39" s="348">
        <f>'PETEK LİST'!D39</f>
        <v/>
      </c>
      <c r="E39" s="371" t="n">
        <v>10.11</v>
      </c>
      <c r="F39" s="372">
        <f>D39/E39</f>
        <v/>
      </c>
      <c r="G39" s="372">
        <f>76.263-0.539*F39</f>
        <v/>
      </c>
      <c r="H39" s="372">
        <f>D39/G39</f>
        <v/>
      </c>
      <c r="I39" s="368" t="n">
        <v>15</v>
      </c>
      <c r="J39" s="345">
        <f>'PETEK LİST'!G39</f>
        <v/>
      </c>
      <c r="K39" s="372">
        <f>J39/80</f>
        <v/>
      </c>
      <c r="L39" s="368">
        <f>CEILING(K39,1)</f>
        <v/>
      </c>
      <c r="M39" s="368" t="n">
        <v>35</v>
      </c>
      <c r="N39" s="373">
        <f>J39*M39</f>
        <v/>
      </c>
    </row>
    <row r="40">
      <c r="A40" s="368">
        <f>'PETEK LİST'!A40</f>
        <v/>
      </c>
      <c r="B40" s="369">
        <f>'PETEK LİST'!B40</f>
        <v/>
      </c>
      <c r="C40" s="370">
        <f>'PETEK LİST'!C40</f>
        <v/>
      </c>
      <c r="D40" s="348">
        <f>'PETEK LİST'!D40</f>
        <v/>
      </c>
      <c r="E40" s="371" t="n">
        <v>15.44</v>
      </c>
      <c r="F40" s="372">
        <f>D40/E40</f>
        <v/>
      </c>
      <c r="G40" s="372">
        <f>76.263-0.539*F40</f>
        <v/>
      </c>
      <c r="H40" s="372">
        <f>D40/G40</f>
        <v/>
      </c>
      <c r="I40" s="368" t="n">
        <v>15</v>
      </c>
      <c r="J40" s="345">
        <f>'PETEK LİST'!G40</f>
        <v/>
      </c>
      <c r="K40" s="372">
        <f>J40/80</f>
        <v/>
      </c>
      <c r="L40" s="368">
        <f>CEILING(K40,1)</f>
        <v/>
      </c>
      <c r="M40" s="368" t="n">
        <v>35</v>
      </c>
      <c r="N40" s="373">
        <f>J40*M40</f>
        <v/>
      </c>
    </row>
    <row r="41">
      <c r="A41" s="368">
        <f>'PETEK LİST'!A41</f>
        <v/>
      </c>
      <c r="B41" s="369">
        <f>'PETEK LİST'!B41</f>
        <v/>
      </c>
      <c r="C41" s="370">
        <f>'PETEK LİST'!C41</f>
        <v/>
      </c>
      <c r="D41" s="348">
        <f>'PETEK LİST'!D41</f>
        <v/>
      </c>
      <c r="E41" s="371" t="n">
        <v>9.050000000000001</v>
      </c>
      <c r="F41" s="372">
        <f>D41/E41</f>
        <v/>
      </c>
      <c r="G41" s="372">
        <f>76.263-0.539*F41</f>
        <v/>
      </c>
      <c r="H41" s="372">
        <f>D41/G41</f>
        <v/>
      </c>
      <c r="I41" s="368" t="n">
        <v>15</v>
      </c>
      <c r="J41" s="345">
        <f>'PETEK LİST'!G41</f>
        <v/>
      </c>
      <c r="K41" s="372">
        <f>J41/80</f>
        <v/>
      </c>
      <c r="L41" s="368">
        <f>CEILING(K41,1)</f>
        <v/>
      </c>
      <c r="M41" s="368" t="n">
        <v>35</v>
      </c>
      <c r="N41" s="373">
        <f>J41*M41</f>
        <v/>
      </c>
    </row>
    <row r="42">
      <c r="A42" s="368">
        <f>'PETEK LİST'!A42</f>
        <v/>
      </c>
      <c r="B42" s="369">
        <f>'PETEK LİST'!B42</f>
        <v/>
      </c>
      <c r="C42" s="370">
        <f>'PETEK LİST'!C42</f>
        <v/>
      </c>
      <c r="D42" s="348">
        <f>'PETEK LİST'!D42</f>
        <v/>
      </c>
      <c r="E42" s="371" t="n">
        <v>22.31</v>
      </c>
      <c r="F42" s="372">
        <f>D42/E42</f>
        <v/>
      </c>
      <c r="G42" s="372">
        <f>76.263-0.539*F42</f>
        <v/>
      </c>
      <c r="H42" s="372">
        <f>D42/G42</f>
        <v/>
      </c>
      <c r="I42" s="368" t="n">
        <v>15</v>
      </c>
      <c r="J42" s="345">
        <f>'PETEK LİST'!G42</f>
        <v/>
      </c>
      <c r="K42" s="372">
        <f>J42/80</f>
        <v/>
      </c>
      <c r="L42" s="368">
        <f>CEILING(K42,1)</f>
        <v/>
      </c>
      <c r="M42" s="368" t="n">
        <v>35</v>
      </c>
      <c r="N42" s="373">
        <f>J42*M42</f>
        <v/>
      </c>
    </row>
    <row r="43">
      <c r="A43" s="368">
        <f>'PETEK LİST'!A43</f>
        <v/>
      </c>
      <c r="B43" s="369">
        <f>'PETEK LİST'!B43</f>
        <v/>
      </c>
      <c r="C43" s="370">
        <f>'PETEK LİST'!C43</f>
        <v/>
      </c>
      <c r="D43" s="348">
        <f>'PETEK LİST'!D43</f>
        <v/>
      </c>
      <c r="E43" s="371" t="n">
        <v>7.75</v>
      </c>
      <c r="F43" s="372">
        <f>D43/E43</f>
        <v/>
      </c>
      <c r="G43" s="372">
        <f>76.263-0.539*F43</f>
        <v/>
      </c>
      <c r="H43" s="372">
        <f>D43/G43</f>
        <v/>
      </c>
      <c r="I43" s="368" t="n">
        <v>15</v>
      </c>
      <c r="J43" s="345">
        <f>'PETEK LİST'!G43</f>
        <v/>
      </c>
      <c r="K43" s="372">
        <f>J43/80</f>
        <v/>
      </c>
      <c r="L43" s="368">
        <f>CEILING(K43,1)</f>
        <v/>
      </c>
      <c r="M43" s="368" t="n">
        <v>35</v>
      </c>
      <c r="N43" s="373">
        <f>J43*M43</f>
        <v/>
      </c>
    </row>
    <row r="44">
      <c r="A44" s="368">
        <f>'PETEK LİST'!A44</f>
        <v/>
      </c>
      <c r="B44" s="369">
        <f>'PETEK LİST'!B44</f>
        <v/>
      </c>
      <c r="C44" s="370">
        <f>'PETEK LİST'!C44</f>
        <v/>
      </c>
      <c r="D44" s="348">
        <f>'PETEK LİST'!D44</f>
        <v/>
      </c>
      <c r="E44" s="371" t="n">
        <v>11</v>
      </c>
      <c r="F44" s="372">
        <f>D44/E44</f>
        <v/>
      </c>
      <c r="G44" s="372">
        <f>76.263-0.539*F44</f>
        <v/>
      </c>
      <c r="H44" s="372">
        <f>D44/G44</f>
        <v/>
      </c>
      <c r="I44" s="368" t="n">
        <v>15</v>
      </c>
      <c r="J44" s="345">
        <f>'PETEK LİST'!G44</f>
        <v/>
      </c>
      <c r="K44" s="372">
        <f>J44/80</f>
        <v/>
      </c>
      <c r="L44" s="368">
        <f>CEILING(K44,1)</f>
        <v/>
      </c>
      <c r="M44" s="368" t="n">
        <v>35</v>
      </c>
      <c r="N44" s="373">
        <f>J44*M44</f>
        <v/>
      </c>
    </row>
    <row r="45">
      <c r="A45" s="368">
        <f>'PETEK LİST'!A45</f>
        <v/>
      </c>
      <c r="B45" s="369">
        <f>'PETEK LİST'!B45</f>
        <v/>
      </c>
      <c r="C45" s="370">
        <f>'PETEK LİST'!C45</f>
        <v/>
      </c>
      <c r="D45" s="348">
        <f>'PETEK LİST'!D45</f>
        <v/>
      </c>
      <c r="E45" s="371" t="n">
        <v>4.37</v>
      </c>
      <c r="F45" s="372">
        <f>D45/E45</f>
        <v/>
      </c>
      <c r="G45" s="372">
        <f>76.263-0.539*F45</f>
        <v/>
      </c>
      <c r="H45" s="372">
        <f>D45/G45</f>
        <v/>
      </c>
      <c r="I45" s="368" t="n">
        <v>15</v>
      </c>
      <c r="J45" s="345">
        <f>'PETEK LİST'!G45</f>
        <v/>
      </c>
      <c r="K45" s="372">
        <f>J45/80</f>
        <v/>
      </c>
      <c r="L45" s="368">
        <f>CEILING(K45,1)</f>
        <v/>
      </c>
      <c r="M45" s="368" t="n">
        <v>35</v>
      </c>
      <c r="N45" s="373">
        <f>J45*M45</f>
        <v/>
      </c>
    </row>
    <row r="46">
      <c r="A46" s="368">
        <f>'PETEK LİST'!A46</f>
        <v/>
      </c>
      <c r="B46" s="369">
        <f>'PETEK LİST'!B46</f>
        <v/>
      </c>
      <c r="C46" s="370">
        <f>'PETEK LİST'!C46</f>
        <v/>
      </c>
      <c r="D46" s="348">
        <f>'PETEK LİST'!D46</f>
        <v/>
      </c>
      <c r="E46" s="371" t="n">
        <v>11.07</v>
      </c>
      <c r="F46" s="372">
        <f>D46/E46</f>
        <v/>
      </c>
      <c r="G46" s="372">
        <f>76.263-0.539*F46</f>
        <v/>
      </c>
      <c r="H46" s="372">
        <f>D46/G46</f>
        <v/>
      </c>
      <c r="I46" s="368" t="n">
        <v>15</v>
      </c>
      <c r="J46" s="345">
        <f>'PETEK LİST'!G46</f>
        <v/>
      </c>
      <c r="K46" s="372">
        <f>J46/80</f>
        <v/>
      </c>
      <c r="L46" s="368">
        <f>CEILING(K46,1)</f>
        <v/>
      </c>
      <c r="M46" s="368" t="n">
        <v>35</v>
      </c>
      <c r="N46" s="373">
        <f>J46*M46</f>
        <v/>
      </c>
    </row>
    <row r="47">
      <c r="A47" s="368">
        <f>'PETEK LİST'!A47</f>
        <v/>
      </c>
      <c r="B47" s="369">
        <f>'PETEK LİST'!B47</f>
        <v/>
      </c>
      <c r="C47" s="370">
        <f>'PETEK LİST'!C47</f>
        <v/>
      </c>
      <c r="D47" s="348">
        <f>'PETEK LİST'!D47</f>
        <v/>
      </c>
      <c r="E47" s="371" t="n">
        <v>14.25</v>
      </c>
      <c r="F47" s="372">
        <f>D47/E47</f>
        <v/>
      </c>
      <c r="G47" s="372">
        <f>76.263-0.539*F47</f>
        <v/>
      </c>
      <c r="H47" s="372">
        <f>D47/G47</f>
        <v/>
      </c>
      <c r="I47" s="368" t="n">
        <v>15</v>
      </c>
      <c r="J47" s="345">
        <f>'PETEK LİST'!G47</f>
        <v/>
      </c>
      <c r="K47" s="372">
        <f>J47/80</f>
        <v/>
      </c>
      <c r="L47" s="368">
        <f>CEILING(K47,1)</f>
        <v/>
      </c>
      <c r="M47" s="368" t="n">
        <v>35</v>
      </c>
      <c r="N47" s="373">
        <f>J47*M47</f>
        <v/>
      </c>
    </row>
    <row r="48">
      <c r="A48" s="368">
        <f>'PETEK LİST'!A48</f>
        <v/>
      </c>
      <c r="B48" s="369">
        <f>'PETEK LİST'!B48</f>
        <v/>
      </c>
      <c r="C48" s="370">
        <f>'PETEK LİST'!C48</f>
        <v/>
      </c>
      <c r="D48" s="348">
        <f>'PETEK LİST'!D48</f>
        <v/>
      </c>
      <c r="E48" s="371" t="n">
        <v>9.31</v>
      </c>
      <c r="F48" s="372">
        <f>D48/E48</f>
        <v/>
      </c>
      <c r="G48" s="372">
        <f>76.263-0.539*F48</f>
        <v/>
      </c>
      <c r="H48" s="372">
        <f>D48/G48</f>
        <v/>
      </c>
      <c r="I48" s="368" t="n">
        <v>15</v>
      </c>
      <c r="J48" s="345">
        <f>'PETEK LİST'!G48</f>
        <v/>
      </c>
      <c r="K48" s="372">
        <f>J48/80</f>
        <v/>
      </c>
      <c r="L48" s="368">
        <f>CEILING(K48,1)</f>
        <v/>
      </c>
      <c r="M48" s="368" t="n">
        <v>35</v>
      </c>
      <c r="N48" s="373">
        <f>J48*M48</f>
        <v/>
      </c>
    </row>
    <row r="49">
      <c r="A49" s="368">
        <f>'PETEK LİST'!A49</f>
        <v/>
      </c>
      <c r="B49" s="369">
        <f>'PETEK LİST'!B49</f>
        <v/>
      </c>
      <c r="C49" s="370">
        <f>'PETEK LİST'!C49</f>
        <v/>
      </c>
      <c r="D49" s="348">
        <f>'PETEK LİST'!D49</f>
        <v/>
      </c>
      <c r="E49" s="371" t="n">
        <v>9.31</v>
      </c>
      <c r="F49" s="372">
        <f>D49/E49</f>
        <v/>
      </c>
      <c r="G49" s="372">
        <f>76.263-0.539*F49</f>
        <v/>
      </c>
      <c r="H49" s="372">
        <f>D49/G49</f>
        <v/>
      </c>
      <c r="I49" s="368" t="n">
        <v>15</v>
      </c>
      <c r="J49" s="345">
        <f>'PETEK LİST'!G49</f>
        <v/>
      </c>
      <c r="K49" s="372">
        <f>J49/80</f>
        <v/>
      </c>
      <c r="L49" s="368">
        <f>CEILING(K49,1)</f>
        <v/>
      </c>
      <c r="M49" s="368" t="n">
        <v>35</v>
      </c>
      <c r="N49" s="373">
        <f>J49*M49</f>
        <v/>
      </c>
    </row>
    <row r="50">
      <c r="A50" s="368">
        <f>'PETEK LİST'!A50</f>
        <v/>
      </c>
      <c r="B50" s="369">
        <f>'PETEK LİST'!B50</f>
        <v/>
      </c>
      <c r="C50" s="370">
        <f>'PETEK LİST'!C50</f>
        <v/>
      </c>
      <c r="D50" s="348">
        <f>'PETEK LİST'!D50</f>
        <v/>
      </c>
      <c r="E50" s="371" t="n">
        <v>21.18</v>
      </c>
      <c r="F50" s="372">
        <f>D50/E50</f>
        <v/>
      </c>
      <c r="G50" s="372">
        <f>76.263-0.539*F50</f>
        <v/>
      </c>
      <c r="H50" s="372">
        <f>D50/G50</f>
        <v/>
      </c>
      <c r="I50" s="368" t="n">
        <v>15</v>
      </c>
      <c r="J50" s="345">
        <f>'PETEK LİST'!G50</f>
        <v/>
      </c>
      <c r="K50" s="372">
        <f>J50/80</f>
        <v/>
      </c>
      <c r="L50" s="368">
        <f>CEILING(K50,1)</f>
        <v/>
      </c>
      <c r="M50" s="368" t="n">
        <v>35</v>
      </c>
      <c r="N50" s="373">
        <f>J50*M50</f>
        <v/>
      </c>
    </row>
    <row r="51">
      <c r="A51" s="368">
        <f>'PETEK LİST'!A51</f>
        <v/>
      </c>
      <c r="B51" s="369">
        <f>'PETEK LİST'!B51</f>
        <v/>
      </c>
      <c r="C51" s="370">
        <f>'PETEK LİST'!C51</f>
        <v/>
      </c>
      <c r="D51" s="348">
        <f>'PETEK LİST'!D51</f>
        <v/>
      </c>
      <c r="E51" s="371" t="n">
        <v>7.77</v>
      </c>
      <c r="F51" s="372">
        <f>D51/E51</f>
        <v/>
      </c>
      <c r="G51" s="372">
        <f>76.263-0.539*F51</f>
        <v/>
      </c>
      <c r="H51" s="372">
        <f>D51/G51</f>
        <v/>
      </c>
      <c r="I51" s="368" t="n">
        <v>15</v>
      </c>
      <c r="J51" s="345">
        <f>'PETEK LİST'!G51</f>
        <v/>
      </c>
      <c r="K51" s="372">
        <f>J51/80</f>
        <v/>
      </c>
      <c r="L51" s="368">
        <f>CEILING(K51,1)</f>
        <v/>
      </c>
      <c r="M51" s="368" t="n">
        <v>35</v>
      </c>
      <c r="N51" s="373">
        <f>J51*M51</f>
        <v/>
      </c>
    </row>
    <row r="52">
      <c r="A52" s="368">
        <f>'PETEK LİST'!A52</f>
        <v/>
      </c>
      <c r="B52" s="369">
        <f>'PETEK LİST'!B52</f>
        <v/>
      </c>
      <c r="C52" s="370">
        <f>'PETEK LİST'!C52</f>
        <v/>
      </c>
      <c r="D52" s="348">
        <f>'PETEK LİST'!D52</f>
        <v/>
      </c>
      <c r="E52" s="371" t="n">
        <v>4.37</v>
      </c>
      <c r="F52" s="372">
        <f>D52/E52</f>
        <v/>
      </c>
      <c r="G52" s="372">
        <f>76.263-0.539*F52</f>
        <v/>
      </c>
      <c r="H52" s="372">
        <f>D52/G52</f>
        <v/>
      </c>
      <c r="I52" s="368" t="n">
        <v>15</v>
      </c>
      <c r="J52" s="345">
        <f>'PETEK LİST'!G52</f>
        <v/>
      </c>
      <c r="K52" s="372">
        <f>J52/80</f>
        <v/>
      </c>
      <c r="L52" s="368">
        <f>CEILING(K52,1)</f>
        <v/>
      </c>
      <c r="M52" s="368" t="n">
        <v>35</v>
      </c>
      <c r="N52" s="373">
        <f>J52*M52</f>
        <v/>
      </c>
    </row>
    <row r="53"/>
    <row r="54">
      <c r="A54" s="368">
        <f>'PETEK LİST'!A54</f>
        <v/>
      </c>
      <c r="B54" s="369">
        <f>'PETEK LİST'!B54</f>
        <v/>
      </c>
      <c r="C54" s="370">
        <f>'PETEK LİST'!C54</f>
        <v/>
      </c>
      <c r="D54" s="348">
        <f>'PETEK LİST'!D54</f>
        <v/>
      </c>
      <c r="E54" s="371" t="n">
        <v>11.07</v>
      </c>
      <c r="F54" s="372">
        <f>D54/E54</f>
        <v/>
      </c>
      <c r="G54" s="372">
        <f>76.263-0.539*F54</f>
        <v/>
      </c>
      <c r="H54" s="372">
        <f>D54/G54</f>
        <v/>
      </c>
      <c r="I54" s="368" t="n">
        <v>15</v>
      </c>
      <c r="J54" s="345">
        <f>'PETEK LİST'!G54</f>
        <v/>
      </c>
      <c r="K54" s="372">
        <f>J54/80</f>
        <v/>
      </c>
      <c r="L54" s="368">
        <f>CEILING(K54,1)</f>
        <v/>
      </c>
      <c r="M54" s="368" t="n">
        <v>35</v>
      </c>
      <c r="N54" s="373">
        <f>J54*M54</f>
        <v/>
      </c>
    </row>
    <row r="55">
      <c r="A55" s="368">
        <f>'PETEK LİST'!A55</f>
        <v/>
      </c>
      <c r="B55" s="369">
        <f>'PETEK LİST'!B55</f>
        <v/>
      </c>
      <c r="C55" s="370">
        <f>'PETEK LİST'!C55</f>
        <v/>
      </c>
      <c r="D55" s="348">
        <f>'PETEK LİST'!D55</f>
        <v/>
      </c>
      <c r="E55" s="371" t="n">
        <v>14.25</v>
      </c>
      <c r="F55" s="372">
        <f>D55/E55</f>
        <v/>
      </c>
      <c r="G55" s="372">
        <f>76.263-0.539*F55</f>
        <v/>
      </c>
      <c r="H55" s="372">
        <f>D55/G55</f>
        <v/>
      </c>
      <c r="I55" s="368" t="n">
        <v>15</v>
      </c>
      <c r="J55" s="345">
        <f>'PETEK LİST'!G55</f>
        <v/>
      </c>
      <c r="K55" s="372">
        <f>J55/80</f>
        <v/>
      </c>
      <c r="L55" s="368">
        <f>CEILING(K55,1)</f>
        <v/>
      </c>
      <c r="M55" s="368" t="n">
        <v>35</v>
      </c>
      <c r="N55" s="373">
        <f>J55*M55</f>
        <v/>
      </c>
    </row>
    <row r="56">
      <c r="A56" s="368">
        <f>'PETEK LİST'!A56</f>
        <v/>
      </c>
      <c r="B56" s="369">
        <f>'PETEK LİST'!B56</f>
        <v/>
      </c>
      <c r="C56" s="370">
        <f>'PETEK LİST'!C56</f>
        <v/>
      </c>
      <c r="D56" s="348">
        <f>'PETEK LİST'!D56</f>
        <v/>
      </c>
      <c r="E56" s="371" t="n">
        <v>9.31</v>
      </c>
      <c r="F56" s="372">
        <f>D56/E56</f>
        <v/>
      </c>
      <c r="G56" s="372">
        <f>76.263-0.539*F56</f>
        <v/>
      </c>
      <c r="H56" s="372">
        <f>D56/G56</f>
        <v/>
      </c>
      <c r="I56" s="368" t="n">
        <v>15</v>
      </c>
      <c r="J56" s="345">
        <f>'PETEK LİST'!G56</f>
        <v/>
      </c>
      <c r="K56" s="372">
        <f>J56/80</f>
        <v/>
      </c>
      <c r="L56" s="368">
        <f>CEILING(K56,1)</f>
        <v/>
      </c>
      <c r="M56" s="368" t="n">
        <v>35</v>
      </c>
      <c r="N56" s="373">
        <f>J56*M56</f>
        <v/>
      </c>
    </row>
    <row r="57">
      <c r="A57" s="368">
        <f>'PETEK LİST'!A57</f>
        <v/>
      </c>
      <c r="B57" s="369">
        <f>'PETEK LİST'!B57</f>
        <v/>
      </c>
      <c r="C57" s="370">
        <f>'PETEK LİST'!C57</f>
        <v/>
      </c>
      <c r="D57" s="348">
        <f>'PETEK LİST'!D57</f>
        <v/>
      </c>
      <c r="E57" s="371" t="n">
        <v>9.31</v>
      </c>
      <c r="F57" s="372">
        <f>D57/E57</f>
        <v/>
      </c>
      <c r="G57" s="372">
        <f>76.263-0.539*F57</f>
        <v/>
      </c>
      <c r="H57" s="372">
        <f>D57/G57</f>
        <v/>
      </c>
      <c r="I57" s="368" t="n">
        <v>15</v>
      </c>
      <c r="J57" s="345">
        <f>'PETEK LİST'!G57</f>
        <v/>
      </c>
      <c r="K57" s="372">
        <f>J57/80</f>
        <v/>
      </c>
      <c r="L57" s="368">
        <f>CEILING(K57,1)</f>
        <v/>
      </c>
      <c r="M57" s="368" t="n">
        <v>35</v>
      </c>
      <c r="N57" s="373">
        <f>J57*M57</f>
        <v/>
      </c>
    </row>
    <row r="58">
      <c r="A58" s="368">
        <f>'PETEK LİST'!A58</f>
        <v/>
      </c>
      <c r="B58" s="369">
        <f>'PETEK LİST'!B58</f>
        <v/>
      </c>
      <c r="C58" s="370">
        <f>'PETEK LİST'!C58</f>
        <v/>
      </c>
      <c r="D58" s="348">
        <f>'PETEK LİST'!D58</f>
        <v/>
      </c>
      <c r="E58" s="371" t="n">
        <v>21.18</v>
      </c>
      <c r="F58" s="372">
        <f>D58/E58</f>
        <v/>
      </c>
      <c r="G58" s="372">
        <f>76.263-0.539*F58</f>
        <v/>
      </c>
      <c r="H58" s="372">
        <f>D58/G58</f>
        <v/>
      </c>
      <c r="I58" s="368" t="n">
        <v>15</v>
      </c>
      <c r="J58" s="345">
        <f>'PETEK LİST'!G58</f>
        <v/>
      </c>
      <c r="K58" s="372">
        <f>J58/80</f>
        <v/>
      </c>
      <c r="L58" s="368">
        <f>CEILING(K58,1)</f>
        <v/>
      </c>
      <c r="M58" s="368" t="n">
        <v>35</v>
      </c>
      <c r="N58" s="373">
        <f>J58*M58</f>
        <v/>
      </c>
    </row>
    <row r="59">
      <c r="A59" s="368">
        <f>'PETEK LİST'!A59</f>
        <v/>
      </c>
      <c r="B59" s="369">
        <f>'PETEK LİST'!B59</f>
        <v/>
      </c>
      <c r="C59" s="370">
        <f>'PETEK LİST'!C59</f>
        <v/>
      </c>
      <c r="D59" s="348">
        <f>'PETEK LİST'!D59</f>
        <v/>
      </c>
      <c r="E59" s="371" t="n">
        <v>7.77</v>
      </c>
      <c r="F59" s="372">
        <f>D59/E59</f>
        <v/>
      </c>
      <c r="G59" s="372">
        <f>76.263-0.539*F59</f>
        <v/>
      </c>
      <c r="H59" s="372">
        <f>D59/G59</f>
        <v/>
      </c>
      <c r="I59" s="368" t="n">
        <v>15</v>
      </c>
      <c r="J59" s="345">
        <f>'PETEK LİST'!G59</f>
        <v/>
      </c>
      <c r="K59" s="372">
        <f>J59/80</f>
        <v/>
      </c>
      <c r="L59" s="368">
        <f>CEILING(K59,1)</f>
        <v/>
      </c>
      <c r="M59" s="368" t="n">
        <v>35</v>
      </c>
      <c r="N59" s="373">
        <f>J59*M59</f>
        <v/>
      </c>
    </row>
    <row r="60">
      <c r="A60" s="368">
        <f>'PETEK LİST'!A60</f>
        <v/>
      </c>
      <c r="B60" s="369">
        <f>'PETEK LİST'!B60</f>
        <v/>
      </c>
      <c r="C60" s="370">
        <f>'PETEK LİST'!C60</f>
        <v/>
      </c>
      <c r="D60" s="348">
        <f>'PETEK LİST'!D60</f>
        <v/>
      </c>
      <c r="E60" s="371" t="n">
        <v>5.04</v>
      </c>
      <c r="F60" s="372">
        <f>D60/E60</f>
        <v/>
      </c>
      <c r="G60" s="372">
        <f>76.263-0.539*F60</f>
        <v/>
      </c>
      <c r="H60" s="372">
        <f>D60/G60</f>
        <v/>
      </c>
      <c r="I60" s="368" t="n">
        <v>15</v>
      </c>
      <c r="J60" s="345">
        <f>'PETEK LİST'!G60</f>
        <v/>
      </c>
      <c r="K60" s="372">
        <f>J60/80</f>
        <v/>
      </c>
      <c r="L60" s="368">
        <f>CEILING(K60,1)</f>
        <v/>
      </c>
      <c r="M60" s="368" t="n">
        <v>35</v>
      </c>
      <c r="N60" s="373">
        <f>J60*M60</f>
        <v/>
      </c>
    </row>
    <row r="61">
      <c r="A61" s="368">
        <f>'PETEK LİST'!A61</f>
        <v/>
      </c>
      <c r="B61" s="369">
        <f>'PETEK LİST'!B61</f>
        <v/>
      </c>
      <c r="C61" s="370">
        <f>'PETEK LİST'!C61</f>
        <v/>
      </c>
      <c r="D61" s="348">
        <f>'PETEK LİST'!D61</f>
        <v/>
      </c>
      <c r="E61" s="371" t="n">
        <v>10.11</v>
      </c>
      <c r="F61" s="372">
        <f>D61/E61</f>
        <v/>
      </c>
      <c r="G61" s="372">
        <f>76.263-0.539*F61</f>
        <v/>
      </c>
      <c r="H61" s="372">
        <f>D61/G61</f>
        <v/>
      </c>
      <c r="I61" s="368" t="n">
        <v>15</v>
      </c>
      <c r="J61" s="345">
        <f>'PETEK LİST'!G61</f>
        <v/>
      </c>
      <c r="K61" s="372">
        <f>J61/80</f>
        <v/>
      </c>
      <c r="L61" s="368">
        <f>CEILING(K61,1)</f>
        <v/>
      </c>
      <c r="M61" s="368" t="n">
        <v>35</v>
      </c>
      <c r="N61" s="373">
        <f>J61*M61</f>
        <v/>
      </c>
    </row>
    <row r="62">
      <c r="A62" s="368">
        <f>'PETEK LİST'!A62</f>
        <v/>
      </c>
      <c r="B62" s="369">
        <f>'PETEK LİST'!B62</f>
        <v/>
      </c>
      <c r="C62" s="370">
        <f>'PETEK LİST'!C62</f>
        <v/>
      </c>
      <c r="D62" s="348">
        <f>'PETEK LİST'!D62</f>
        <v/>
      </c>
      <c r="E62" s="371" t="n">
        <v>15.44</v>
      </c>
      <c r="F62" s="372">
        <f>D62/E62</f>
        <v/>
      </c>
      <c r="G62" s="372">
        <f>76.263-0.539*F62</f>
        <v/>
      </c>
      <c r="H62" s="372">
        <f>D62/G62</f>
        <v/>
      </c>
      <c r="I62" s="368" t="n">
        <v>15</v>
      </c>
      <c r="J62" s="345">
        <f>'PETEK LİST'!G62</f>
        <v/>
      </c>
      <c r="K62" s="372">
        <f>J62/80</f>
        <v/>
      </c>
      <c r="L62" s="368">
        <f>CEILING(K62,1)</f>
        <v/>
      </c>
      <c r="M62" s="368" t="n">
        <v>35</v>
      </c>
      <c r="N62" s="373">
        <f>J62*M62</f>
        <v/>
      </c>
    </row>
    <row r="63">
      <c r="A63" s="368">
        <f>'PETEK LİST'!A63</f>
        <v/>
      </c>
      <c r="B63" s="369">
        <f>'PETEK LİST'!B63</f>
        <v/>
      </c>
      <c r="C63" s="370">
        <f>'PETEK LİST'!C63</f>
        <v/>
      </c>
      <c r="D63" s="348">
        <f>'PETEK LİST'!D63</f>
        <v/>
      </c>
      <c r="E63" s="371" t="n">
        <v>9.050000000000001</v>
      </c>
      <c r="F63" s="372">
        <f>D63/E63</f>
        <v/>
      </c>
      <c r="G63" s="372">
        <f>76.263-0.539*F63</f>
        <v/>
      </c>
      <c r="H63" s="372">
        <f>D63/G63</f>
        <v/>
      </c>
      <c r="I63" s="368" t="n">
        <v>15</v>
      </c>
      <c r="J63" s="345">
        <f>'PETEK LİST'!G63</f>
        <v/>
      </c>
      <c r="K63" s="372">
        <f>J63/80</f>
        <v/>
      </c>
      <c r="L63" s="368">
        <f>CEILING(K63,1)</f>
        <v/>
      </c>
      <c r="M63" s="368" t="n">
        <v>35</v>
      </c>
      <c r="N63" s="373">
        <f>J63*M63</f>
        <v/>
      </c>
    </row>
    <row r="64">
      <c r="A64" s="368">
        <f>'PETEK LİST'!A64</f>
        <v/>
      </c>
      <c r="B64" s="369">
        <f>'PETEK LİST'!B64</f>
        <v/>
      </c>
      <c r="C64" s="370">
        <f>'PETEK LİST'!C64</f>
        <v/>
      </c>
      <c r="D64" s="348">
        <f>'PETEK LİST'!D64</f>
        <v/>
      </c>
      <c r="E64" s="371" t="n">
        <v>22.31</v>
      </c>
      <c r="F64" s="372">
        <f>D64/E64</f>
        <v/>
      </c>
      <c r="G64" s="372">
        <f>76.263-0.539*F64</f>
        <v/>
      </c>
      <c r="H64" s="372">
        <f>D64/G64</f>
        <v/>
      </c>
      <c r="I64" s="368" t="n">
        <v>15</v>
      </c>
      <c r="J64" s="345">
        <f>'PETEK LİST'!G64</f>
        <v/>
      </c>
      <c r="K64" s="372">
        <f>J64/80</f>
        <v/>
      </c>
      <c r="L64" s="368">
        <f>CEILING(K64,1)</f>
        <v/>
      </c>
      <c r="M64" s="368" t="n">
        <v>35</v>
      </c>
      <c r="N64" s="373">
        <f>J64*M64</f>
        <v/>
      </c>
    </row>
    <row r="65">
      <c r="A65" s="368">
        <f>'PETEK LİST'!A65</f>
        <v/>
      </c>
      <c r="B65" s="369">
        <f>'PETEK LİST'!B65</f>
        <v/>
      </c>
      <c r="C65" s="370">
        <f>'PETEK LİST'!C65</f>
        <v/>
      </c>
      <c r="D65" s="348">
        <f>'PETEK LİST'!D65</f>
        <v/>
      </c>
      <c r="E65" s="371" t="n">
        <v>7.75</v>
      </c>
      <c r="F65" s="372">
        <f>D65/E65</f>
        <v/>
      </c>
      <c r="G65" s="372">
        <f>76.263-0.539*F65</f>
        <v/>
      </c>
      <c r="H65" s="372">
        <f>D65/G65</f>
        <v/>
      </c>
      <c r="I65" s="368" t="n">
        <v>15</v>
      </c>
      <c r="J65" s="345">
        <f>'PETEK LİST'!G65</f>
        <v/>
      </c>
      <c r="K65" s="372">
        <f>J65/80</f>
        <v/>
      </c>
      <c r="L65" s="368">
        <f>CEILING(K65,1)</f>
        <v/>
      </c>
      <c r="M65" s="368" t="n">
        <v>35</v>
      </c>
      <c r="N65" s="373">
        <f>J65*M65</f>
        <v/>
      </c>
    </row>
    <row r="66">
      <c r="A66" s="368">
        <f>'PETEK LİST'!A66</f>
        <v/>
      </c>
      <c r="B66" s="369">
        <f>'PETEK LİST'!B66</f>
        <v/>
      </c>
      <c r="C66" s="370">
        <f>'PETEK LİST'!C66</f>
        <v/>
      </c>
      <c r="D66" s="348">
        <f>'PETEK LİST'!D66</f>
        <v/>
      </c>
      <c r="E66" s="371" t="n">
        <v>11</v>
      </c>
      <c r="F66" s="372">
        <f>D66/E66</f>
        <v/>
      </c>
      <c r="G66" s="372">
        <f>76.263-0.539*F66</f>
        <v/>
      </c>
      <c r="H66" s="372">
        <f>D66/G66</f>
        <v/>
      </c>
      <c r="I66" s="368" t="n">
        <v>15</v>
      </c>
      <c r="J66" s="345">
        <f>'PETEK LİST'!G66</f>
        <v/>
      </c>
      <c r="K66" s="372">
        <f>J66/80</f>
        <v/>
      </c>
      <c r="L66" s="368">
        <f>CEILING(K66,1)</f>
        <v/>
      </c>
      <c r="M66" s="368" t="n">
        <v>35</v>
      </c>
      <c r="N66" s="373">
        <f>J66*M66</f>
        <v/>
      </c>
    </row>
    <row r="67">
      <c r="A67" s="368">
        <f>'PETEK LİST'!A67</f>
        <v/>
      </c>
      <c r="B67" s="369">
        <f>'PETEK LİST'!B67</f>
        <v/>
      </c>
      <c r="C67" s="370">
        <f>'PETEK LİST'!C67</f>
        <v/>
      </c>
      <c r="D67" s="348">
        <f>'PETEK LİST'!D67</f>
        <v/>
      </c>
      <c r="E67" s="371" t="n">
        <v>4.37</v>
      </c>
      <c r="F67" s="372">
        <f>D67/E67</f>
        <v/>
      </c>
      <c r="G67" s="372">
        <f>76.263-0.539*F67</f>
        <v/>
      </c>
      <c r="H67" s="372">
        <f>D67/G67</f>
        <v/>
      </c>
      <c r="I67" s="368" t="n">
        <v>15</v>
      </c>
      <c r="J67" s="345">
        <f>'PETEK LİST'!G67</f>
        <v/>
      </c>
      <c r="K67" s="372">
        <f>J67/80</f>
        <v/>
      </c>
      <c r="L67" s="368">
        <f>CEILING(K67,1)</f>
        <v/>
      </c>
      <c r="M67" s="368" t="n">
        <v>35</v>
      </c>
      <c r="N67" s="373">
        <f>J67*M67</f>
        <v/>
      </c>
    </row>
    <row r="68">
      <c r="A68" s="368">
        <f>'PETEK LİST'!A68</f>
        <v/>
      </c>
      <c r="B68" s="369">
        <f>'PETEK LİST'!B68</f>
        <v/>
      </c>
      <c r="C68" s="370">
        <f>'PETEK LİST'!C68</f>
        <v/>
      </c>
      <c r="D68" s="348">
        <f>'PETEK LİST'!D68</f>
        <v/>
      </c>
      <c r="E68" s="371" t="n">
        <v>11.07</v>
      </c>
      <c r="F68" s="372">
        <f>D68/E68</f>
        <v/>
      </c>
      <c r="G68" s="372">
        <f>76.263-0.539*F68</f>
        <v/>
      </c>
      <c r="H68" s="372">
        <f>D68/G68</f>
        <v/>
      </c>
      <c r="I68" s="368" t="n">
        <v>15</v>
      </c>
      <c r="J68" s="345">
        <f>'PETEK LİST'!G68</f>
        <v/>
      </c>
      <c r="K68" s="372">
        <f>J68/80</f>
        <v/>
      </c>
      <c r="L68" s="368">
        <f>CEILING(K68,1)</f>
        <v/>
      </c>
      <c r="M68" s="368" t="n">
        <v>35</v>
      </c>
      <c r="N68" s="373">
        <f>J68*M68</f>
        <v/>
      </c>
    </row>
    <row r="69">
      <c r="A69" s="368">
        <f>'PETEK LİST'!A69</f>
        <v/>
      </c>
      <c r="B69" s="369">
        <f>'PETEK LİST'!B69</f>
        <v/>
      </c>
      <c r="C69" s="370">
        <f>'PETEK LİST'!C69</f>
        <v/>
      </c>
      <c r="D69" s="348">
        <f>'PETEK LİST'!D69</f>
        <v/>
      </c>
      <c r="E69" s="371" t="n">
        <v>14.25</v>
      </c>
      <c r="F69" s="372">
        <f>D69/E69</f>
        <v/>
      </c>
      <c r="G69" s="372">
        <f>76.263-0.539*F69</f>
        <v/>
      </c>
      <c r="H69" s="372">
        <f>D69/G69</f>
        <v/>
      </c>
      <c r="I69" s="368" t="n">
        <v>15</v>
      </c>
      <c r="J69" s="345">
        <f>'PETEK LİST'!G69</f>
        <v/>
      </c>
      <c r="K69" s="372">
        <f>J69/80</f>
        <v/>
      </c>
      <c r="L69" s="368">
        <f>CEILING(K69,1)</f>
        <v/>
      </c>
      <c r="M69" s="368" t="n">
        <v>35</v>
      </c>
      <c r="N69" s="373">
        <f>J69*M69</f>
        <v/>
      </c>
    </row>
    <row r="70">
      <c r="A70" s="368">
        <f>'PETEK LİST'!A70</f>
        <v/>
      </c>
      <c r="B70" s="369">
        <f>'PETEK LİST'!B70</f>
        <v/>
      </c>
      <c r="C70" s="370">
        <f>'PETEK LİST'!C70</f>
        <v/>
      </c>
      <c r="D70" s="348">
        <f>'PETEK LİST'!D70</f>
        <v/>
      </c>
      <c r="E70" s="371" t="n">
        <v>9.31</v>
      </c>
      <c r="F70" s="372">
        <f>D70/E70</f>
        <v/>
      </c>
      <c r="G70" s="372">
        <f>76.263-0.539*F70</f>
        <v/>
      </c>
      <c r="H70" s="372">
        <f>D70/G70</f>
        <v/>
      </c>
      <c r="I70" s="368" t="n">
        <v>15</v>
      </c>
      <c r="J70" s="345">
        <f>'PETEK LİST'!G70</f>
        <v/>
      </c>
      <c r="K70" s="372">
        <f>J70/80</f>
        <v/>
      </c>
      <c r="L70" s="368">
        <f>CEILING(K70,1)</f>
        <v/>
      </c>
      <c r="M70" s="368" t="n">
        <v>35</v>
      </c>
      <c r="N70" s="373">
        <f>J70*M70</f>
        <v/>
      </c>
    </row>
    <row r="71">
      <c r="A71" s="368">
        <f>'PETEK LİST'!A71</f>
        <v/>
      </c>
      <c r="B71" s="369">
        <f>'PETEK LİST'!B71</f>
        <v/>
      </c>
      <c r="C71" s="370">
        <f>'PETEK LİST'!C71</f>
        <v/>
      </c>
      <c r="D71" s="348">
        <f>'PETEK LİST'!D71</f>
        <v/>
      </c>
      <c r="E71" s="371" t="n">
        <v>9.31</v>
      </c>
      <c r="F71" s="372">
        <f>D71/E71</f>
        <v/>
      </c>
      <c r="G71" s="372">
        <f>76.263-0.539*F71</f>
        <v/>
      </c>
      <c r="H71" s="372">
        <f>D71/G71</f>
        <v/>
      </c>
      <c r="I71" s="368" t="n">
        <v>15</v>
      </c>
      <c r="J71" s="345">
        <f>'PETEK LİST'!G71</f>
        <v/>
      </c>
      <c r="K71" s="372">
        <f>J71/80</f>
        <v/>
      </c>
      <c r="L71" s="368">
        <f>CEILING(K71,1)</f>
        <v/>
      </c>
      <c r="M71" s="368" t="n">
        <v>35</v>
      </c>
      <c r="N71" s="373">
        <f>J71*M71</f>
        <v/>
      </c>
    </row>
    <row r="72">
      <c r="A72" s="368">
        <f>'PETEK LİST'!A72</f>
        <v/>
      </c>
      <c r="B72" s="369">
        <f>'PETEK LİST'!B72</f>
        <v/>
      </c>
      <c r="C72" s="370">
        <f>'PETEK LİST'!C72</f>
        <v/>
      </c>
      <c r="D72" s="348">
        <f>'PETEK LİST'!D72</f>
        <v/>
      </c>
      <c r="E72" s="371" t="n">
        <v>21.18</v>
      </c>
      <c r="F72" s="372">
        <f>D72/E72</f>
        <v/>
      </c>
      <c r="G72" s="372">
        <f>76.263-0.539*F72</f>
        <v/>
      </c>
      <c r="H72" s="372">
        <f>D72/G72</f>
        <v/>
      </c>
      <c r="I72" s="368" t="n">
        <v>15</v>
      </c>
      <c r="J72" s="345">
        <f>'PETEK LİST'!G72</f>
        <v/>
      </c>
      <c r="K72" s="372">
        <f>J72/80</f>
        <v/>
      </c>
      <c r="L72" s="368">
        <f>CEILING(K72,1)</f>
        <v/>
      </c>
      <c r="M72" s="368" t="n">
        <v>35</v>
      </c>
      <c r="N72" s="373">
        <f>J72*M72</f>
        <v/>
      </c>
    </row>
    <row r="73">
      <c r="A73" s="368">
        <f>'PETEK LİST'!A73</f>
        <v/>
      </c>
      <c r="B73" s="369">
        <f>'PETEK LİST'!B73</f>
        <v/>
      </c>
      <c r="C73" s="370">
        <f>'PETEK LİST'!C73</f>
        <v/>
      </c>
      <c r="D73" s="348">
        <f>'PETEK LİST'!D73</f>
        <v/>
      </c>
      <c r="E73" s="371" t="n">
        <v>7.77</v>
      </c>
      <c r="F73" s="372">
        <f>D73/E73</f>
        <v/>
      </c>
      <c r="G73" s="372">
        <f>76.263-0.539*F73</f>
        <v/>
      </c>
      <c r="H73" s="372">
        <f>D73/G73</f>
        <v/>
      </c>
      <c r="I73" s="368" t="n">
        <v>15</v>
      </c>
      <c r="J73" s="345">
        <f>'PETEK LİST'!G73</f>
        <v/>
      </c>
      <c r="K73" s="372">
        <f>J73/80</f>
        <v/>
      </c>
      <c r="L73" s="368">
        <f>CEILING(K73,1)</f>
        <v/>
      </c>
      <c r="M73" s="368" t="n">
        <v>35</v>
      </c>
      <c r="N73" s="373">
        <f>J73*M73</f>
        <v/>
      </c>
    </row>
    <row r="74">
      <c r="A74" s="368">
        <f>'PETEK LİST'!A74</f>
        <v/>
      </c>
      <c r="B74" s="369">
        <f>'PETEK LİST'!B74</f>
        <v/>
      </c>
      <c r="C74" s="370">
        <f>'PETEK LİST'!C74</f>
        <v/>
      </c>
      <c r="D74" s="348">
        <f>'PETEK LİST'!D74</f>
        <v/>
      </c>
      <c r="E74" s="371" t="n">
        <v>5.04</v>
      </c>
      <c r="F74" s="372">
        <f>D74/E74</f>
        <v/>
      </c>
      <c r="G74" s="372">
        <f>76.263-0.539*F74</f>
        <v/>
      </c>
      <c r="H74" s="372">
        <f>D74/G74</f>
        <v/>
      </c>
      <c r="I74" s="368" t="n">
        <v>15</v>
      </c>
      <c r="J74" s="345">
        <f>'PETEK LİST'!G74</f>
        <v/>
      </c>
      <c r="K74" s="372">
        <f>J74/80</f>
        <v/>
      </c>
      <c r="L74" s="368">
        <f>CEILING(K74,1)</f>
        <v/>
      </c>
      <c r="M74" s="368" t="n">
        <v>35</v>
      </c>
      <c r="N74" s="373">
        <f>J74*M74</f>
        <v/>
      </c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0">
    <mergeCell ref="H5:N5"/>
    <mergeCell ref="L1:N2"/>
    <mergeCell ref="A6:G6"/>
    <mergeCell ref="H3:K4"/>
    <mergeCell ref="A1:B4"/>
    <mergeCell ref="C1:G4"/>
    <mergeCell ref="H6:N6"/>
    <mergeCell ref="H1:K2"/>
    <mergeCell ref="L3:N4"/>
    <mergeCell ref="A5:G5"/>
  </mergeCells>
  <conditionalFormatting sqref="J12">
    <cfRule type="cellIs" rank="0" priority="2" equalAverage="0" operator="greaterThan" aboveAverage="0" dxfId="1" text="" percent="0" bottom="0">
      <formula>G12*1.4</formula>
    </cfRule>
  </conditionalFormatting>
  <conditionalFormatting sqref="J13">
    <cfRule type="cellIs" rank="0" priority="3" equalAverage="0" operator="greaterThan" aboveAverage="0" dxfId="1" text="" percent="0" bottom="0">
      <formula>G13*1.4</formula>
    </cfRule>
  </conditionalFormatting>
  <conditionalFormatting sqref="J14:J15">
    <cfRule type="cellIs" rank="0" priority="4" equalAverage="0" operator="greaterThan" aboveAverage="0" dxfId="1" text="" percent="0" bottom="0">
      <formula>G14*1.4</formula>
    </cfRule>
  </conditionalFormatting>
  <conditionalFormatting sqref="J16:J17 J19">
    <cfRule type="cellIs" rank="0" priority="5" equalAverage="0" operator="greaterThan" aboveAverage="0" dxfId="1" text="" percent="0" bottom="0">
      <formula>G16*1.4</formula>
    </cfRule>
  </conditionalFormatting>
  <conditionalFormatting sqref="J20">
    <cfRule type="cellIs" rank="0" priority="6" equalAverage="0" operator="greaterThan" aboveAverage="0" dxfId="1" text="" percent="0" bottom="0">
      <formula>G20*1.4</formula>
    </cfRule>
  </conditionalFormatting>
  <conditionalFormatting sqref="J23">
    <cfRule type="cellIs" rank="0" priority="7" equalAverage="0" operator="greaterThan" aboveAverage="0" dxfId="1" text="" percent="0" bottom="0">
      <formula>G23*1.4</formula>
    </cfRule>
  </conditionalFormatting>
  <conditionalFormatting sqref="J21">
    <cfRule type="cellIs" rank="0" priority="8" equalAverage="0" operator="greaterThan" aboveAverage="0" dxfId="1" text="" percent="0" bottom="0">
      <formula>G21*1.4</formula>
    </cfRule>
  </conditionalFormatting>
  <conditionalFormatting sqref="J18">
    <cfRule type="cellIs" rank="0" priority="9" equalAverage="0" operator="greaterThan" aboveAverage="0" dxfId="1" text="" percent="0" bottom="0">
      <formula>G18*1.4</formula>
    </cfRule>
  </conditionalFormatting>
  <conditionalFormatting sqref="J11">
    <cfRule type="cellIs" rank="0" priority="10" equalAverage="0" operator="greaterThan" aboveAverage="0" dxfId="1" text="" percent="0" bottom="0">
      <formula>G11*1.4</formula>
    </cfRule>
  </conditionalFormatting>
  <conditionalFormatting sqref="J10">
    <cfRule type="cellIs" rank="0" priority="11" equalAverage="0" operator="greaterThan" aboveAverage="0" dxfId="1" text="" percent="0" bottom="0">
      <formula>G10*1.4</formula>
    </cfRule>
  </conditionalFormatting>
  <conditionalFormatting sqref="J22">
    <cfRule type="cellIs" rank="0" priority="12" equalAverage="0" operator="greaterThan" aboveAverage="0" dxfId="1" text="" percent="0" bottom="0">
      <formula>G22*1.4</formula>
    </cfRule>
  </conditionalFormatting>
  <printOptions horizontalCentered="0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9" activeCellId="0" sqref="I19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377" min="5" max="5"/>
    <col width="6.56" customWidth="1" style="377" min="6" max="6"/>
    <col width="6.41" customWidth="1" style="377" min="7" max="7"/>
    <col width="11.13" customWidth="1" style="243" min="8" max="8"/>
    <col width="5.28" customWidth="1" style="243" min="9" max="13"/>
    <col width="8.140000000000001" customWidth="1" style="243" min="14" max="14"/>
    <col width="5.28" customWidth="1" style="243" min="15" max="16"/>
    <col width="6.7" customWidth="1" style="243" min="17" max="21"/>
    <col width="7.99" customWidth="1" style="243" min="22" max="25"/>
    <col width="6.85" customWidth="1" style="243" min="26" max="26"/>
  </cols>
  <sheetData>
    <row r="1" ht="12.75" customHeight="1" s="244">
      <c r="A1" s="37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</row>
    <row r="2" ht="12.75" customFormat="1" customHeight="1" s="329">
      <c r="A2" s="380" t="inlineStr">
        <is>
          <t>ZEMİN KAT</t>
        </is>
      </c>
      <c r="B2" s="333" t="n"/>
      <c r="C2" s="381" t="inlineStr">
        <is>
          <t>DÖŞEMEDEN ISITMA HESAP ÖZETİ</t>
        </is>
      </c>
      <c r="D2" s="382" t="inlineStr">
        <is>
          <t>Ts.g  = 45 °C</t>
        </is>
      </c>
      <c r="E2" s="383" t="inlineStr">
        <is>
          <t>TOPLAM ISI = 44827 W</t>
        </is>
      </c>
      <c r="F2" s="264" t="n"/>
      <c r="G2" s="264" t="n"/>
      <c r="H2" s="264" t="n"/>
      <c r="I2" s="260" t="n"/>
      <c r="J2" s="384" t="n"/>
      <c r="K2" s="384" t="n"/>
      <c r="L2" s="384" t="n"/>
      <c r="M2" s="384" t="n"/>
      <c r="N2" s="384" t="n"/>
      <c r="O2" s="384" t="n"/>
      <c r="P2" s="384" t="n"/>
      <c r="Q2" s="384" t="n"/>
      <c r="R2" s="384" t="n"/>
      <c r="S2" s="384" t="n"/>
      <c r="T2" s="384" t="n"/>
      <c r="U2" s="384" t="n"/>
    </row>
    <row r="3" ht="8.25" customFormat="1" customHeight="1" s="329">
      <c r="A3" s="332" t="n"/>
      <c r="B3" s="333" t="n"/>
      <c r="C3" s="337" t="n"/>
      <c r="D3" s="385" t="inlineStr">
        <is>
          <t>Isıtma Çevrim Sayısı : 27</t>
        </is>
      </c>
      <c r="E3" s="383" t="inlineStr">
        <is>
          <t>MAX. BASINÇ KAYBI = 23920 Pa</t>
        </is>
      </c>
      <c r="F3" s="250" t="n"/>
      <c r="G3" s="250" t="n"/>
      <c r="H3" s="250" t="n"/>
      <c r="I3" s="275" t="n"/>
      <c r="J3" s="384" t="n"/>
      <c r="K3" s="384" t="n"/>
      <c r="L3" s="384" t="n"/>
      <c r="M3" s="384" t="n"/>
      <c r="N3" s="384" t="n"/>
      <c r="O3" s="384" t="n"/>
      <c r="P3" s="384" t="n"/>
      <c r="Q3" s="384" t="n"/>
      <c r="R3" s="384" t="n"/>
      <c r="S3" s="384" t="n"/>
      <c r="T3" s="384" t="n"/>
      <c r="U3" s="384" t="n"/>
    </row>
    <row r="4" ht="5.25" customFormat="1" customHeight="1" s="329">
      <c r="A4" s="332" t="n"/>
      <c r="B4" s="333" t="n"/>
      <c r="C4" s="337" t="n"/>
      <c r="D4" s="303" t="n"/>
      <c r="E4" s="278" t="n"/>
      <c r="F4" s="256" t="n"/>
      <c r="G4" s="256" t="n"/>
      <c r="H4" s="256" t="n"/>
      <c r="I4" s="277" t="n"/>
      <c r="J4" s="384" t="n"/>
      <c r="K4" s="384" t="n"/>
      <c r="L4" s="384" t="n"/>
      <c r="M4" s="384" t="n"/>
      <c r="N4" s="384" t="n"/>
      <c r="O4" s="384" t="n"/>
      <c r="P4" s="384" t="n"/>
      <c r="Q4" s="384" t="n"/>
      <c r="R4" s="384" t="n"/>
      <c r="S4" s="384" t="n"/>
      <c r="T4" s="384" t="n"/>
      <c r="U4" s="384" t="n"/>
    </row>
    <row r="5" ht="15" customFormat="1" customHeight="1" s="329">
      <c r="A5" s="278" t="n"/>
      <c r="B5" s="277" t="n"/>
      <c r="C5" s="303" t="n"/>
      <c r="D5" s="331" t="inlineStr">
        <is>
          <t>Mak. Müh. CAN ÖZKAYA</t>
        </is>
      </c>
      <c r="E5" s="264" t="n"/>
      <c r="F5" s="264" t="n"/>
      <c r="G5" s="264" t="n"/>
      <c r="H5" s="264" t="n"/>
      <c r="I5" s="260" t="n"/>
      <c r="J5" s="386" t="n"/>
      <c r="K5" s="386" t="n"/>
      <c r="L5" s="386" t="n"/>
      <c r="M5" s="386" t="n"/>
      <c r="N5" s="386" t="n"/>
      <c r="O5" s="386" t="n"/>
      <c r="P5" s="386" t="n"/>
      <c r="Q5" s="355" t="n"/>
      <c r="R5" s="355" t="n"/>
      <c r="S5" s="355" t="n"/>
      <c r="T5" s="355" t="n"/>
      <c r="U5" s="355" t="n"/>
    </row>
    <row r="6" ht="12" customHeight="1" s="244">
      <c r="A6" s="387" t="n"/>
      <c r="B6" s="387" t="n"/>
      <c r="C6" s="387" t="n"/>
      <c r="D6" s="387" t="n"/>
      <c r="E6" s="388" t="n"/>
      <c r="F6" s="388" t="n"/>
      <c r="G6" s="388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  <c r="Q6" s="243" t="n"/>
      <c r="R6" s="243" t="n"/>
      <c r="S6" s="243" t="n"/>
      <c r="T6" s="243" t="n"/>
      <c r="U6" s="243" t="n"/>
    </row>
    <row r="7" ht="12" customHeight="1" s="244">
      <c r="A7" s="261" t="n"/>
      <c r="B7" s="389" t="n"/>
      <c r="C7" s="390" t="n"/>
      <c r="D7" s="389" t="n"/>
      <c r="E7" s="391" t="n"/>
      <c r="F7" s="392" t="n">
        <v>1</v>
      </c>
      <c r="G7" s="392" t="n">
        <v>2</v>
      </c>
      <c r="H7" s="392" t="n">
        <v>3</v>
      </c>
      <c r="I7" s="392" t="n">
        <v>4</v>
      </c>
      <c r="J7" s="392" t="n">
        <v>5</v>
      </c>
      <c r="K7" s="392" t="n">
        <v>6</v>
      </c>
      <c r="L7" s="392" t="n">
        <v>7</v>
      </c>
      <c r="M7" s="392" t="n">
        <v>8</v>
      </c>
      <c r="N7" s="392" t="n">
        <v>9</v>
      </c>
      <c r="O7" s="392" t="n">
        <v>10</v>
      </c>
      <c r="P7" s="392" t="n">
        <v>11</v>
      </c>
      <c r="Q7" s="392" t="n">
        <v>12</v>
      </c>
      <c r="R7" s="392" t="n">
        <v>13</v>
      </c>
      <c r="S7" s="392" t="n">
        <v>14</v>
      </c>
      <c r="T7" s="392" t="n">
        <v>15</v>
      </c>
      <c r="U7" s="392" t="n">
        <v>16</v>
      </c>
      <c r="V7" s="392" t="n">
        <v>17</v>
      </c>
      <c r="W7" s="392" t="n">
        <v>18</v>
      </c>
      <c r="X7" s="392" t="n">
        <v>19</v>
      </c>
      <c r="Y7" s="392" t="n">
        <v>20</v>
      </c>
      <c r="Z7" s="392" t="n">
        <v>21</v>
      </c>
      <c r="AA7" s="392" t="n">
        <v>22</v>
      </c>
      <c r="AB7" s="392" t="n">
        <v>23</v>
      </c>
      <c r="AC7" s="392" t="n">
        <v>24</v>
      </c>
      <c r="AD7" s="392" t="n">
        <v>25</v>
      </c>
      <c r="AE7" s="392" t="n">
        <v>26</v>
      </c>
      <c r="AF7" s="392" t="n">
        <v>27</v>
      </c>
    </row>
    <row r="8" ht="12" customHeight="1" s="244">
      <c r="A8" s="261" t="n"/>
      <c r="B8" s="389" t="n"/>
      <c r="C8" s="390" t="n"/>
      <c r="D8" s="389" t="n"/>
      <c r="E8" s="391" t="n"/>
      <c r="F8" s="393" t="inlineStr">
        <is>
          <t>Z01</t>
        </is>
      </c>
      <c r="G8" s="393" t="inlineStr">
        <is>
          <t>Z02</t>
        </is>
      </c>
      <c r="H8" s="393" t="inlineStr">
        <is>
          <t>Z02</t>
        </is>
      </c>
      <c r="I8" s="393" t="inlineStr">
        <is>
          <t>Z03</t>
        </is>
      </c>
      <c r="J8" s="393" t="inlineStr">
        <is>
          <t>Z04</t>
        </is>
      </c>
      <c r="K8" s="393" t="inlineStr">
        <is>
          <t>Z05</t>
        </is>
      </c>
      <c r="L8" s="393" t="inlineStr">
        <is>
          <t>Z05</t>
        </is>
      </c>
      <c r="M8" s="393" t="inlineStr">
        <is>
          <t>Z06</t>
        </is>
      </c>
      <c r="N8" s="393" t="inlineStr">
        <is>
          <t>Z07</t>
        </is>
      </c>
      <c r="O8" s="393" t="inlineStr">
        <is>
          <t>Z08</t>
        </is>
      </c>
      <c r="P8" s="393" t="inlineStr">
        <is>
          <t>Z09</t>
        </is>
      </c>
      <c r="Q8" s="393" t="inlineStr">
        <is>
          <t>Z09</t>
        </is>
      </c>
      <c r="R8" s="393" t="inlineStr">
        <is>
          <t>Z10</t>
        </is>
      </c>
      <c r="S8" s="393" t="inlineStr">
        <is>
          <t>Z11</t>
        </is>
      </c>
      <c r="T8" s="393" t="inlineStr">
        <is>
          <t>Z12</t>
        </is>
      </c>
      <c r="U8" s="393" t="inlineStr">
        <is>
          <t>Z12</t>
        </is>
      </c>
      <c r="V8" s="393" t="inlineStr">
        <is>
          <t>Z13</t>
        </is>
      </c>
      <c r="W8" s="393" t="inlineStr">
        <is>
          <t>Z14</t>
        </is>
      </c>
      <c r="X8" s="393" t="inlineStr">
        <is>
          <t>Z15</t>
        </is>
      </c>
      <c r="Y8" s="393" t="inlineStr">
        <is>
          <t>Z16</t>
        </is>
      </c>
      <c r="Z8" s="393" t="inlineStr">
        <is>
          <t>Z16</t>
        </is>
      </c>
      <c r="AA8" s="393" t="inlineStr">
        <is>
          <t>Z17</t>
        </is>
      </c>
      <c r="AB8" s="393" t="inlineStr">
        <is>
          <t>Z18</t>
        </is>
      </c>
      <c r="AC8" s="393" t="inlineStr">
        <is>
          <t>Z18</t>
        </is>
      </c>
      <c r="AD8" s="393" t="inlineStr">
        <is>
          <t>Z19</t>
        </is>
      </c>
      <c r="AE8" s="393" t="inlineStr">
        <is>
          <t>Z20</t>
        </is>
      </c>
      <c r="AF8" s="393" t="inlineStr">
        <is>
          <t>Z21</t>
        </is>
      </c>
    </row>
    <row r="9" ht="30" customHeight="1" s="244">
      <c r="A9" s="261" t="n"/>
      <c r="B9" s="282" t="n"/>
      <c r="C9" s="394" t="n"/>
      <c r="D9" s="261" t="n"/>
      <c r="E9" s="259" t="n"/>
      <c r="F9" s="395" t="inlineStr">
        <is>
          <t>D1 mutfak</t>
        </is>
      </c>
      <c r="G9" s="395" t="inlineStr">
        <is>
          <t>D1 yatak od.</t>
        </is>
      </c>
      <c r="H9" s="395" t="inlineStr">
        <is>
          <t>D1 yatak od.</t>
        </is>
      </c>
      <c r="I9" s="395" t="inlineStr">
        <is>
          <t>D1 yatak od.</t>
        </is>
      </c>
      <c r="J9" s="395" t="inlineStr">
        <is>
          <t>D1 yatak od.</t>
        </is>
      </c>
      <c r="K9" s="395" t="inlineStr">
        <is>
          <t>D1 salon</t>
        </is>
      </c>
      <c r="L9" s="395" t="inlineStr">
        <is>
          <t>D1 salon</t>
        </is>
      </c>
      <c r="M9" s="395" t="inlineStr">
        <is>
          <t>D1 antre-kor.</t>
        </is>
      </c>
      <c r="N9" s="395" t="inlineStr">
        <is>
          <t>D1 banyo</t>
        </is>
      </c>
      <c r="O9" s="395" t="inlineStr">
        <is>
          <t>D2 mutfak</t>
        </is>
      </c>
      <c r="P9" s="395" t="inlineStr">
        <is>
          <t>D2 yatak od.</t>
        </is>
      </c>
      <c r="Q9" s="395" t="inlineStr">
        <is>
          <t>D2 yatak od.</t>
        </is>
      </c>
      <c r="R9" s="395" t="inlineStr">
        <is>
          <t>D2 yatak od.</t>
        </is>
      </c>
      <c r="S9" s="395" t="inlineStr">
        <is>
          <t>D2 yatak od.</t>
        </is>
      </c>
      <c r="T9" s="395" t="inlineStr">
        <is>
          <t>D2 salon</t>
        </is>
      </c>
      <c r="U9" s="395" t="inlineStr">
        <is>
          <t>D2 salon</t>
        </is>
      </c>
      <c r="V9" s="395" t="inlineStr">
        <is>
          <t>D2 antre-kor.</t>
        </is>
      </c>
      <c r="W9" s="395" t="inlineStr">
        <is>
          <t>D2 banyo</t>
        </is>
      </c>
      <c r="X9" s="395" t="inlineStr">
        <is>
          <t>D3 mutfak</t>
        </is>
      </c>
      <c r="Y9" s="395" t="inlineStr">
        <is>
          <t>D3 yatak od.</t>
        </is>
      </c>
      <c r="Z9" s="395" t="inlineStr">
        <is>
          <t>D3 yatak od.</t>
        </is>
      </c>
      <c r="AA9" s="395" t="inlineStr">
        <is>
          <t>D3 yatak od.</t>
        </is>
      </c>
      <c r="AB9" s="395" t="inlineStr">
        <is>
          <t>D3 salon</t>
        </is>
      </c>
      <c r="AC9" s="395" t="inlineStr">
        <is>
          <t>D3 salon</t>
        </is>
      </c>
      <c r="AD9" s="395" t="inlineStr">
        <is>
          <t>D3 oda</t>
        </is>
      </c>
      <c r="AE9" s="395" t="inlineStr">
        <is>
          <t>D3 antre-kor.</t>
        </is>
      </c>
      <c r="AF9" s="395" t="inlineStr">
        <is>
          <t>D3 wc+banyo</t>
        </is>
      </c>
    </row>
    <row r="10" ht="12" customHeight="1" s="244">
      <c r="A10" s="261" t="n"/>
      <c r="B10" s="282" t="n"/>
      <c r="C10" s="394" t="n"/>
      <c r="D10" s="261" t="n"/>
      <c r="E10" s="259" t="n"/>
      <c r="F10" s="396" t="n">
        <v>20</v>
      </c>
      <c r="G10" s="396" t="n">
        <v>20</v>
      </c>
      <c r="H10" s="396" t="n">
        <v>20</v>
      </c>
      <c r="I10" s="396" t="n">
        <v>20</v>
      </c>
      <c r="J10" s="396" t="n">
        <v>20</v>
      </c>
      <c r="K10" s="396" t="n">
        <v>20</v>
      </c>
      <c r="L10" s="396" t="n">
        <v>20</v>
      </c>
      <c r="M10" s="396" t="n">
        <v>15</v>
      </c>
      <c r="N10" s="396" t="n">
        <v>24</v>
      </c>
      <c r="O10" s="396" t="n">
        <v>20</v>
      </c>
      <c r="P10" s="396" t="n">
        <v>20</v>
      </c>
      <c r="Q10" s="396" t="n">
        <v>20</v>
      </c>
      <c r="R10" s="396" t="n">
        <v>20</v>
      </c>
      <c r="S10" s="396" t="n">
        <v>20</v>
      </c>
      <c r="T10" s="396" t="n">
        <v>20</v>
      </c>
      <c r="U10" s="396" t="n">
        <v>20</v>
      </c>
      <c r="V10" s="396" t="n">
        <v>15</v>
      </c>
      <c r="W10" s="396" t="n">
        <v>24</v>
      </c>
      <c r="X10" s="396" t="n">
        <v>20</v>
      </c>
      <c r="Y10" s="396" t="n">
        <v>20</v>
      </c>
      <c r="Z10" s="396" t="n">
        <v>20</v>
      </c>
      <c r="AA10" s="396" t="n">
        <v>20</v>
      </c>
      <c r="AB10" s="396" t="n">
        <v>20</v>
      </c>
      <c r="AC10" s="396" t="n">
        <v>20</v>
      </c>
      <c r="AD10" s="396" t="n">
        <v>20</v>
      </c>
      <c r="AE10" s="396" t="n">
        <v>15</v>
      </c>
      <c r="AF10" s="396" t="n">
        <v>24</v>
      </c>
    </row>
    <row r="11" ht="12" customHeight="1" s="244">
      <c r="A11" s="261" t="n"/>
      <c r="B11" s="282" t="n"/>
      <c r="C11" s="394" t="n"/>
      <c r="D11" s="261" t="n"/>
      <c r="E11" s="259" t="n"/>
      <c r="F11" s="396" t="n">
        <v>6</v>
      </c>
      <c r="G11" s="396" t="n">
        <v>6</v>
      </c>
      <c r="H11" s="396" t="n">
        <v>6</v>
      </c>
      <c r="I11" s="396" t="n">
        <v>6</v>
      </c>
      <c r="J11" s="396" t="n">
        <v>6</v>
      </c>
      <c r="K11" s="396" t="n">
        <v>6</v>
      </c>
      <c r="L11" s="396" t="n">
        <v>6</v>
      </c>
      <c r="M11" s="396" t="n">
        <v>6</v>
      </c>
      <c r="N11" s="396" t="n">
        <v>6</v>
      </c>
      <c r="O11" s="396" t="n">
        <v>6</v>
      </c>
      <c r="P11" s="396" t="n">
        <v>6</v>
      </c>
      <c r="Q11" s="396" t="n">
        <v>6</v>
      </c>
      <c r="R11" s="396" t="n">
        <v>6</v>
      </c>
      <c r="S11" s="396" t="n">
        <v>6</v>
      </c>
      <c r="T11" s="396" t="n">
        <v>6</v>
      </c>
      <c r="U11" s="396" t="n">
        <v>6</v>
      </c>
      <c r="V11" s="396" t="n">
        <v>6</v>
      </c>
      <c r="W11" s="396" t="n">
        <v>6</v>
      </c>
      <c r="X11" s="396" t="n">
        <v>6</v>
      </c>
      <c r="Y11" s="396" t="n">
        <v>6</v>
      </c>
      <c r="Z11" s="396" t="n">
        <v>6</v>
      </c>
      <c r="AA11" s="396" t="n">
        <v>6</v>
      </c>
      <c r="AB11" s="396" t="n">
        <v>6</v>
      </c>
      <c r="AC11" s="396" t="n">
        <v>6</v>
      </c>
      <c r="AD11" s="396" t="n">
        <v>6</v>
      </c>
      <c r="AE11" s="396" t="n">
        <v>6</v>
      </c>
      <c r="AF11" s="396" t="n">
        <v>6</v>
      </c>
    </row>
    <row r="12" ht="12" customHeight="1" s="244">
      <c r="A12" s="261" t="n">
        <v>6</v>
      </c>
      <c r="B12" s="282" t="n"/>
      <c r="C12" s="394" t="n"/>
      <c r="D12" s="261" t="n"/>
      <c r="E12" s="259" t="n"/>
      <c r="F12" s="397" t="n">
        <v>6.92</v>
      </c>
      <c r="G12" s="397" t="n">
        <v>6.47</v>
      </c>
      <c r="H12" s="397" t="n">
        <v>6.97</v>
      </c>
      <c r="I12" s="397" t="n">
        <v>8.779999999999999</v>
      </c>
      <c r="J12" s="397" t="n">
        <v>8.84</v>
      </c>
      <c r="K12" s="397" t="n">
        <v>9.859999999999999</v>
      </c>
      <c r="L12" s="397" t="n">
        <v>10.24</v>
      </c>
      <c r="M12" s="397" t="n">
        <v>1.17</v>
      </c>
      <c r="N12" s="397" t="n">
        <v>3.54</v>
      </c>
      <c r="O12" s="397" t="n">
        <v>5.75</v>
      </c>
      <c r="P12" s="397" t="n">
        <v>6.37</v>
      </c>
      <c r="Q12" s="397" t="n">
        <v>6.96</v>
      </c>
      <c r="R12" s="397" t="n">
        <v>8.76</v>
      </c>
      <c r="S12" s="397" t="n">
        <v>8.83</v>
      </c>
      <c r="T12" s="397" t="n">
        <v>9.92</v>
      </c>
      <c r="U12" s="397" t="n">
        <v>10.25</v>
      </c>
      <c r="V12" s="397" t="n">
        <v>1.12</v>
      </c>
      <c r="W12" s="397" t="n">
        <v>3.6</v>
      </c>
      <c r="X12" s="397" t="n">
        <v>4.26</v>
      </c>
      <c r="Y12" s="397" t="n">
        <v>6.82</v>
      </c>
      <c r="Z12" s="397" t="n">
        <v>7.33</v>
      </c>
      <c r="AA12" s="397" t="n">
        <v>8.640000000000001</v>
      </c>
      <c r="AB12" s="397" t="n">
        <v>11.14</v>
      </c>
      <c r="AC12" s="397" t="n">
        <v>9.630000000000001</v>
      </c>
      <c r="AD12" s="397" t="n">
        <v>7.31</v>
      </c>
      <c r="AE12" s="397" t="n">
        <v>4.9</v>
      </c>
      <c r="AF12" s="397" t="n">
        <v>2.41</v>
      </c>
    </row>
    <row r="13" ht="12" customHeight="1" s="244">
      <c r="A13" s="261" t="n"/>
      <c r="B13" s="282" t="n"/>
      <c r="C13" s="394" t="inlineStr">
        <is>
          <t>DEVRE ISIL GÜCÜ</t>
        </is>
      </c>
      <c r="D13" s="261" t="inlineStr">
        <is>
          <t>35 W/m × L (planla aynı)</t>
        </is>
      </c>
      <c r="E13" s="259" t="n"/>
      <c r="F13" s="398" t="n">
        <v>1649.2</v>
      </c>
      <c r="G13" s="398" t="n">
        <v>1621.2</v>
      </c>
      <c r="H13" s="398" t="n">
        <v>1748.6</v>
      </c>
      <c r="I13" s="398" t="n">
        <v>2084.2</v>
      </c>
      <c r="J13" s="398" t="n">
        <v>2088.8</v>
      </c>
      <c r="K13" s="398" t="n">
        <v>2266.6</v>
      </c>
      <c r="L13" s="398" t="n">
        <v>2354.1</v>
      </c>
      <c r="M13" s="398" t="n">
        <v>202.3</v>
      </c>
      <c r="N13" s="398" t="n">
        <v>854</v>
      </c>
      <c r="O13" s="398" t="n">
        <v>1374.1</v>
      </c>
      <c r="P13" s="398" t="n">
        <v>1622.6</v>
      </c>
      <c r="Q13" s="398" t="n">
        <v>1774.1</v>
      </c>
      <c r="R13" s="398" t="n">
        <v>2090.5</v>
      </c>
      <c r="S13" s="398" t="n">
        <v>2072</v>
      </c>
      <c r="T13" s="398" t="n">
        <v>2286.2</v>
      </c>
      <c r="U13" s="398" t="n">
        <v>2361.1</v>
      </c>
      <c r="V13" s="398" t="n">
        <v>183.4</v>
      </c>
      <c r="W13" s="398" t="n">
        <v>872.9</v>
      </c>
      <c r="X13" s="398" t="n">
        <v>1010.1</v>
      </c>
      <c r="Y13" s="398" t="n">
        <v>1789.6</v>
      </c>
      <c r="Z13" s="398" t="n">
        <v>1921.8</v>
      </c>
      <c r="AA13" s="398" t="n">
        <v>2216.9</v>
      </c>
      <c r="AB13" s="398" t="n">
        <v>2306.8</v>
      </c>
      <c r="AC13" s="398" t="n">
        <v>1994.7</v>
      </c>
      <c r="AD13" s="398" t="n">
        <v>2157.1</v>
      </c>
      <c r="AE13" s="398" t="n">
        <v>869.8</v>
      </c>
      <c r="AF13" s="398" t="n">
        <v>1053.8</v>
      </c>
    </row>
    <row r="14" ht="12" customHeight="1" s="244">
      <c r="A14" s="261" t="n"/>
      <c r="B14" s="282" t="n"/>
      <c r="C14" s="394" t="n"/>
      <c r="D14" s="261" t="n"/>
      <c r="E14" s="259" t="n"/>
      <c r="F14" s="399">
        <f>F13/F12</f>
        <v/>
      </c>
      <c r="G14" s="399">
        <f>G13/G12</f>
        <v/>
      </c>
      <c r="H14" s="399">
        <f>H13/H12</f>
        <v/>
      </c>
      <c r="I14" s="399">
        <f>I13/I12</f>
        <v/>
      </c>
      <c r="J14" s="399">
        <f>J13/J12</f>
        <v/>
      </c>
      <c r="K14" s="399">
        <f>K13/K12</f>
        <v/>
      </c>
      <c r="L14" s="399">
        <f>L13/L12</f>
        <v/>
      </c>
      <c r="M14" s="399">
        <f>M13/M12</f>
        <v/>
      </c>
      <c r="N14" s="399">
        <f>N13/N12</f>
        <v/>
      </c>
      <c r="O14" s="399">
        <f>O13/O12</f>
        <v/>
      </c>
      <c r="P14" s="399">
        <f>P13/P12</f>
        <v/>
      </c>
      <c r="Q14" s="399">
        <f>Q13/Q12</f>
        <v/>
      </c>
      <c r="R14" s="399">
        <f>R13/R12</f>
        <v/>
      </c>
      <c r="S14" s="399">
        <f>S13/S12</f>
        <v/>
      </c>
      <c r="T14" s="399">
        <f>T13/T12</f>
        <v/>
      </c>
      <c r="U14" s="399">
        <f>U13/U12</f>
        <v/>
      </c>
      <c r="V14" s="399">
        <f>V13/V12</f>
        <v/>
      </c>
      <c r="W14" s="399">
        <f>W13/W12</f>
        <v/>
      </c>
      <c r="X14" s="399">
        <f>X13/X12</f>
        <v/>
      </c>
      <c r="Y14" s="399">
        <f>Y13/Y12</f>
        <v/>
      </c>
      <c r="Z14" s="399">
        <f>Z13/Z12</f>
        <v/>
      </c>
      <c r="AA14" s="399">
        <f>AA13/AA12</f>
        <v/>
      </c>
      <c r="AB14" s="399">
        <f>AB13/AB12</f>
        <v/>
      </c>
      <c r="AC14" s="399">
        <f>AC13/AC12</f>
        <v/>
      </c>
      <c r="AD14" s="399">
        <f>AD13/AD12</f>
        <v/>
      </c>
      <c r="AE14" s="399">
        <f>AE13/AE12</f>
        <v/>
      </c>
      <c r="AF14" s="399">
        <f>AF13/AF12</f>
        <v/>
      </c>
    </row>
    <row r="15" ht="12" customHeight="1" s="244">
      <c r="A15" s="261" t="n"/>
      <c r="B15" s="282" t="n"/>
      <c r="C15" s="394" t="n"/>
      <c r="D15" s="261" t="n"/>
      <c r="E15" s="259" t="n"/>
      <c r="F15" s="396" t="n">
        <v>0.012</v>
      </c>
      <c r="G15" s="396" t="n">
        <v>0.012</v>
      </c>
      <c r="H15" s="396" t="n">
        <v>0.012</v>
      </c>
      <c r="I15" s="396" t="n">
        <v>0.012</v>
      </c>
      <c r="J15" s="396" t="n">
        <v>0.012</v>
      </c>
      <c r="K15" s="396" t="n">
        <v>0.012</v>
      </c>
      <c r="L15" s="396" t="n">
        <v>0.012</v>
      </c>
      <c r="M15" s="396" t="n">
        <v>0.012</v>
      </c>
      <c r="N15" s="396" t="n">
        <v>0.012</v>
      </c>
      <c r="O15" s="396" t="n">
        <v>0.012</v>
      </c>
      <c r="P15" s="396" t="n">
        <v>0.012</v>
      </c>
      <c r="Q15" s="396" t="n">
        <v>0.012</v>
      </c>
      <c r="R15" s="396" t="n">
        <v>0.012</v>
      </c>
      <c r="S15" s="396" t="n">
        <v>0.012</v>
      </c>
      <c r="T15" s="396" t="n">
        <v>0.012</v>
      </c>
      <c r="U15" s="396" t="n">
        <v>0.012</v>
      </c>
      <c r="V15" s="396" t="n">
        <v>0.012</v>
      </c>
      <c r="W15" s="396" t="n">
        <v>0.012</v>
      </c>
      <c r="X15" s="396" t="n">
        <v>0.012</v>
      </c>
      <c r="Y15" s="396" t="n">
        <v>0.012</v>
      </c>
      <c r="Z15" s="396" t="n">
        <v>0.012</v>
      </c>
      <c r="AA15" s="396" t="n">
        <v>0.012</v>
      </c>
      <c r="AB15" s="396" t="n">
        <v>0.012</v>
      </c>
      <c r="AC15" s="396" t="n">
        <v>0.012</v>
      </c>
      <c r="AD15" s="396" t="n">
        <v>0.012</v>
      </c>
      <c r="AE15" s="396" t="n">
        <v>0.012</v>
      </c>
      <c r="AF15" s="396" t="n">
        <v>0.012</v>
      </c>
    </row>
    <row r="16" ht="12" customHeight="1" s="244">
      <c r="A16" s="261" t="n"/>
      <c r="B16" s="282" t="n"/>
      <c r="C16" s="394" t="n"/>
      <c r="D16" s="261" t="n"/>
      <c r="E16" s="259" t="n"/>
      <c r="F16" s="397" t="n">
        <v>1</v>
      </c>
      <c r="G16" s="397" t="n">
        <v>1</v>
      </c>
      <c r="H16" s="397" t="n">
        <v>1</v>
      </c>
      <c r="I16" s="397" t="n">
        <v>1</v>
      </c>
      <c r="J16" s="397" t="n">
        <v>1</v>
      </c>
      <c r="K16" s="397" t="n">
        <v>1</v>
      </c>
      <c r="L16" s="397" t="n">
        <v>1</v>
      </c>
      <c r="M16" s="397" t="n">
        <v>1</v>
      </c>
      <c r="N16" s="397" t="n">
        <v>1</v>
      </c>
      <c r="O16" s="397" t="n">
        <v>1</v>
      </c>
      <c r="P16" s="397" t="n">
        <v>1</v>
      </c>
      <c r="Q16" s="397" t="n">
        <v>1</v>
      </c>
      <c r="R16" s="397" t="n">
        <v>1</v>
      </c>
      <c r="S16" s="397" t="n">
        <v>1</v>
      </c>
      <c r="T16" s="397" t="n">
        <v>1</v>
      </c>
      <c r="U16" s="397" t="n">
        <v>1</v>
      </c>
      <c r="V16" s="397" t="n">
        <v>1</v>
      </c>
      <c r="W16" s="397" t="n">
        <v>1</v>
      </c>
      <c r="X16" s="397" t="n">
        <v>1</v>
      </c>
      <c r="Y16" s="397" t="n">
        <v>1</v>
      </c>
      <c r="Z16" s="397" t="n">
        <v>1</v>
      </c>
      <c r="AA16" s="397" t="n">
        <v>1</v>
      </c>
      <c r="AB16" s="397" t="n">
        <v>1</v>
      </c>
      <c r="AC16" s="397" t="n">
        <v>1</v>
      </c>
      <c r="AD16" s="397" t="n">
        <v>1</v>
      </c>
      <c r="AE16" s="397" t="n">
        <v>1</v>
      </c>
      <c r="AF16" s="397" t="n">
        <v>1</v>
      </c>
    </row>
    <row r="17" ht="12" customHeight="1" s="244">
      <c r="A17" s="261" t="n"/>
      <c r="B17" s="282" t="n"/>
      <c r="C17" s="394" t="n"/>
      <c r="D17" s="261" t="n"/>
      <c r="E17" s="259" t="n"/>
      <c r="F17" s="396">
        <f>F12</f>
        <v/>
      </c>
      <c r="G17" s="396">
        <f>G12</f>
        <v/>
      </c>
      <c r="H17" s="396">
        <f>H12</f>
        <v/>
      </c>
      <c r="I17" s="396">
        <f>I12</f>
        <v/>
      </c>
      <c r="J17" s="396">
        <f>J12</f>
        <v/>
      </c>
      <c r="K17" s="396">
        <f>K12</f>
        <v/>
      </c>
      <c r="L17" s="396">
        <f>L12</f>
        <v/>
      </c>
      <c r="M17" s="396">
        <f>M12</f>
        <v/>
      </c>
      <c r="N17" s="396">
        <f>N12</f>
        <v/>
      </c>
      <c r="O17" s="396">
        <f>O12</f>
        <v/>
      </c>
      <c r="P17" s="396">
        <f>P12</f>
        <v/>
      </c>
      <c r="Q17" s="396">
        <f>Q12</f>
        <v/>
      </c>
      <c r="R17" s="396">
        <f>R12</f>
        <v/>
      </c>
      <c r="S17" s="396">
        <f>S12</f>
        <v/>
      </c>
      <c r="T17" s="396">
        <f>T12</f>
        <v/>
      </c>
      <c r="U17" s="396">
        <f>U12</f>
        <v/>
      </c>
      <c r="V17" s="396">
        <f>V12</f>
        <v/>
      </c>
      <c r="W17" s="396">
        <f>W12</f>
        <v/>
      </c>
      <c r="X17" s="396">
        <f>X12</f>
        <v/>
      </c>
      <c r="Y17" s="396">
        <f>Y12</f>
        <v/>
      </c>
      <c r="Z17" s="396">
        <f>Z12</f>
        <v/>
      </c>
      <c r="AA17" s="396">
        <f>AA12</f>
        <v/>
      </c>
      <c r="AB17" s="396">
        <f>AB12</f>
        <v/>
      </c>
      <c r="AC17" s="396">
        <f>AC12</f>
        <v/>
      </c>
      <c r="AD17" s="396">
        <f>AD12</f>
        <v/>
      </c>
      <c r="AE17" s="396">
        <f>AE12</f>
        <v/>
      </c>
      <c r="AF17" s="396">
        <f>AF12</f>
        <v/>
      </c>
    </row>
    <row r="18" ht="16.5" customHeight="1" s="244">
      <c r="A18" s="261" t="n"/>
      <c r="B18" s="282" t="n"/>
      <c r="C18" s="394" t="n"/>
      <c r="D18" s="261" t="n"/>
      <c r="E18" s="259" t="n"/>
      <c r="F18" s="400">
        <f>F13/F17</f>
        <v/>
      </c>
      <c r="G18" s="400">
        <f>G13/G17</f>
        <v/>
      </c>
      <c r="H18" s="400">
        <f>H13/H17</f>
        <v/>
      </c>
      <c r="I18" s="400">
        <f>I13/I17</f>
        <v/>
      </c>
      <c r="J18" s="400">
        <f>J13/J17</f>
        <v/>
      </c>
      <c r="K18" s="400">
        <f>K13/K17</f>
        <v/>
      </c>
      <c r="L18" s="400">
        <f>L13/L17</f>
        <v/>
      </c>
      <c r="M18" s="400">
        <f>M13/M17</f>
        <v/>
      </c>
      <c r="N18" s="400">
        <f>N13/N17</f>
        <v/>
      </c>
      <c r="O18" s="400">
        <f>O13/O17</f>
        <v/>
      </c>
      <c r="P18" s="400">
        <f>P13/P17</f>
        <v/>
      </c>
      <c r="Q18" s="400">
        <f>Q13/Q17</f>
        <v/>
      </c>
      <c r="R18" s="400">
        <f>R13/R17</f>
        <v/>
      </c>
      <c r="S18" s="400">
        <f>S13/S17</f>
        <v/>
      </c>
      <c r="T18" s="400">
        <f>T13/T17</f>
        <v/>
      </c>
      <c r="U18" s="400">
        <f>U13/U17</f>
        <v/>
      </c>
      <c r="V18" s="400">
        <f>V13/V17</f>
        <v/>
      </c>
      <c r="W18" s="400">
        <f>W13/W17</f>
        <v/>
      </c>
      <c r="X18" s="400">
        <f>X13/X17</f>
        <v/>
      </c>
      <c r="Y18" s="400">
        <f>Y13/Y17</f>
        <v/>
      </c>
      <c r="Z18" s="400">
        <f>Z13/Z17</f>
        <v/>
      </c>
      <c r="AA18" s="400">
        <f>AA13/AA17</f>
        <v/>
      </c>
      <c r="AB18" s="400">
        <f>AB13/AB17</f>
        <v/>
      </c>
      <c r="AC18" s="400">
        <f>AC13/AC17</f>
        <v/>
      </c>
      <c r="AD18" s="400">
        <f>AD13/AD17</f>
        <v/>
      </c>
      <c r="AE18" s="400">
        <f>AE13/AE17</f>
        <v/>
      </c>
      <c r="AF18" s="400">
        <f>AF13/AF17</f>
        <v/>
      </c>
    </row>
    <row r="19" ht="19.5" customHeight="1" s="244">
      <c r="A19" s="261" t="n"/>
      <c r="B19" s="282" t="n"/>
      <c r="C19" s="394" t="n"/>
      <c r="D19" s="261" t="n"/>
      <c r="E19" s="259" t="n"/>
      <c r="F19" s="401">
        <f>F10+(F14/8.92)^0.91</f>
        <v/>
      </c>
      <c r="G19" s="401">
        <f>G10+(G14/8.92)^0.91</f>
        <v/>
      </c>
      <c r="H19" s="401">
        <f>H10+(H14/8.92)^0.91</f>
        <v/>
      </c>
      <c r="I19" s="401">
        <f>I10+(I14/8.92)^0.91</f>
        <v/>
      </c>
      <c r="J19" s="401">
        <f>J10+(J14/8.92)^0.91</f>
        <v/>
      </c>
      <c r="K19" s="401">
        <f>K10+(K14/8.92)^0.91</f>
        <v/>
      </c>
      <c r="L19" s="401">
        <f>L10+(L14/8.92)^0.91</f>
        <v/>
      </c>
      <c r="M19" s="401">
        <f>M10+(M14/8.92)^0.91</f>
        <v/>
      </c>
      <c r="N19" s="401">
        <f>N10+(N14/8.92)^0.91</f>
        <v/>
      </c>
      <c r="O19" s="401">
        <f>O10+(O14/8.92)^0.91</f>
        <v/>
      </c>
      <c r="P19" s="401">
        <f>P10+(P14/8.92)^0.91</f>
        <v/>
      </c>
      <c r="Q19" s="401">
        <f>Q10+(Q14/8.92)^0.91</f>
        <v/>
      </c>
      <c r="R19" s="401">
        <f>R10+(R14/8.92)^0.91</f>
        <v/>
      </c>
      <c r="S19" s="401">
        <f>S10+(S14/8.92)^0.91</f>
        <v/>
      </c>
      <c r="T19" s="401">
        <f>T10+(T14/8.92)^0.91</f>
        <v/>
      </c>
      <c r="U19" s="401">
        <f>U10+(U14/8.92)^0.91</f>
        <v/>
      </c>
      <c r="V19" s="401">
        <f>V10+(V14/8.92)^0.91</f>
        <v/>
      </c>
      <c r="W19" s="401">
        <f>W10+(W14/8.92)^0.91</f>
        <v/>
      </c>
      <c r="X19" s="401">
        <f>X10+(X14/8.92)^0.91</f>
        <v/>
      </c>
      <c r="Y19" s="401">
        <f>Y10+(Y14/8.92)^0.91</f>
        <v/>
      </c>
      <c r="Z19" s="401">
        <f>Z10+(Z14/8.92)^0.91</f>
        <v/>
      </c>
      <c r="AA19" s="401">
        <f>AA10+(AA14/8.92)^0.91</f>
        <v/>
      </c>
      <c r="AB19" s="401">
        <f>AB10+(AB14/8.92)^0.91</f>
        <v/>
      </c>
      <c r="AC19" s="401">
        <f>AC10+(AC14/8.92)^0.91</f>
        <v/>
      </c>
      <c r="AD19" s="401">
        <f>AD10+(AD14/8.92)^0.91</f>
        <v/>
      </c>
      <c r="AE19" s="401">
        <f>AE10+(AE14/8.92)^0.91</f>
        <v/>
      </c>
      <c r="AF19" s="401">
        <f>AF10+(AF14/8.92)^0.91</f>
        <v/>
      </c>
    </row>
    <row r="20" ht="12" customHeight="1" s="244">
      <c r="A20" s="261" t="n"/>
      <c r="B20" s="282" t="n"/>
      <c r="C20" s="394" t="n"/>
      <c r="D20" s="261" t="n"/>
      <c r="E20" s="259" t="n"/>
      <c r="F20" s="396" t="n">
        <v>45</v>
      </c>
      <c r="G20" s="396" t="n">
        <v>45</v>
      </c>
      <c r="H20" s="396" t="n">
        <v>45</v>
      </c>
      <c r="I20" s="396" t="n">
        <v>45</v>
      </c>
      <c r="J20" s="396" t="n">
        <v>45</v>
      </c>
      <c r="K20" s="396" t="n">
        <v>45</v>
      </c>
      <c r="L20" s="396" t="n">
        <v>45</v>
      </c>
      <c r="M20" s="396" t="n">
        <v>45</v>
      </c>
      <c r="N20" s="396" t="n">
        <v>45</v>
      </c>
      <c r="O20" s="396" t="n">
        <v>45</v>
      </c>
      <c r="P20" s="396" t="n">
        <v>45</v>
      </c>
      <c r="Q20" s="396" t="n">
        <v>45</v>
      </c>
      <c r="R20" s="396" t="n">
        <v>45</v>
      </c>
      <c r="S20" s="396" t="n">
        <v>45</v>
      </c>
      <c r="T20" s="396" t="n">
        <v>45</v>
      </c>
      <c r="U20" s="396" t="n">
        <v>45</v>
      </c>
      <c r="V20" s="396" t="n">
        <v>45</v>
      </c>
      <c r="W20" s="396" t="n">
        <v>45</v>
      </c>
      <c r="X20" s="396" t="n">
        <v>45</v>
      </c>
      <c r="Y20" s="396" t="n">
        <v>45</v>
      </c>
      <c r="Z20" s="396" t="n">
        <v>45</v>
      </c>
      <c r="AA20" s="396" t="n">
        <v>45</v>
      </c>
      <c r="AB20" s="396" t="n">
        <v>45</v>
      </c>
      <c r="AC20" s="396" t="n">
        <v>45</v>
      </c>
      <c r="AD20" s="396" t="n">
        <v>45</v>
      </c>
      <c r="AE20" s="396" t="n">
        <v>45</v>
      </c>
      <c r="AF20" s="396" t="n">
        <v>45</v>
      </c>
    </row>
    <row r="21" ht="12" customHeight="1" s="244">
      <c r="A21" s="261" t="n"/>
      <c r="B21" s="402" t="n"/>
      <c r="C21" s="394" t="n"/>
      <c r="D21" s="261" t="n"/>
      <c r="E21" s="259" t="n"/>
      <c r="F21" s="396">
        <f>F20-F10</f>
        <v/>
      </c>
      <c r="G21" s="396">
        <f>G20-G10</f>
        <v/>
      </c>
      <c r="H21" s="396">
        <f>H20-H10</f>
        <v/>
      </c>
      <c r="I21" s="396">
        <f>I20-I10</f>
        <v/>
      </c>
      <c r="J21" s="396">
        <f>J20-J10</f>
        <v/>
      </c>
      <c r="K21" s="396">
        <f>K20-K10</f>
        <v/>
      </c>
      <c r="L21" s="396">
        <f>L20-L10</f>
        <v/>
      </c>
      <c r="M21" s="396">
        <f>M20-M10</f>
        <v/>
      </c>
      <c r="N21" s="396">
        <f>N20-N10</f>
        <v/>
      </c>
      <c r="O21" s="396">
        <f>O20-O10</f>
        <v/>
      </c>
      <c r="P21" s="396">
        <f>P20-P10</f>
        <v/>
      </c>
      <c r="Q21" s="396">
        <f>Q20-Q10</f>
        <v/>
      </c>
      <c r="R21" s="396">
        <f>R20-R10</f>
        <v/>
      </c>
      <c r="S21" s="396">
        <f>S20-S10</f>
        <v/>
      </c>
      <c r="T21" s="396">
        <f>T20-T10</f>
        <v/>
      </c>
      <c r="U21" s="396">
        <f>U20-U10</f>
        <v/>
      </c>
      <c r="V21" s="396">
        <f>V20-V10</f>
        <v/>
      </c>
      <c r="W21" s="396">
        <f>W20-W10</f>
        <v/>
      </c>
      <c r="X21" s="396">
        <f>X20-X10</f>
        <v/>
      </c>
      <c r="Y21" s="396">
        <f>Y20-Y10</f>
        <v/>
      </c>
      <c r="Z21" s="396">
        <f>Z20-Z10</f>
        <v/>
      </c>
      <c r="AA21" s="396">
        <f>AA20-AA10</f>
        <v/>
      </c>
      <c r="AB21" s="396">
        <f>AB20-AB10</f>
        <v/>
      </c>
      <c r="AC21" s="396">
        <f>AC20-AC10</f>
        <v/>
      </c>
      <c r="AD21" s="396">
        <f>AD20-AD10</f>
        <v/>
      </c>
      <c r="AE21" s="396">
        <f>AE20-AE10</f>
        <v/>
      </c>
      <c r="AF21" s="396">
        <f>AF20-AF10</f>
        <v/>
      </c>
    </row>
    <row r="22" ht="12" customHeight="1" s="244">
      <c r="A22" s="261" t="n"/>
      <c r="B22" s="403" t="n"/>
      <c r="C22" s="394" t="n"/>
      <c r="D22" s="261" t="n"/>
      <c r="E22" s="259" t="n"/>
      <c r="F22" s="396" t="n">
        <v>15</v>
      </c>
      <c r="G22" s="396" t="n">
        <v>15</v>
      </c>
      <c r="H22" s="396" t="n">
        <v>15</v>
      </c>
      <c r="I22" s="396" t="n">
        <v>15</v>
      </c>
      <c r="J22" s="396" t="n">
        <v>15</v>
      </c>
      <c r="K22" s="396" t="n">
        <v>15</v>
      </c>
      <c r="L22" s="396" t="n">
        <v>15</v>
      </c>
      <c r="M22" s="396" t="n">
        <v>15</v>
      </c>
      <c r="N22" s="396" t="n">
        <v>15</v>
      </c>
      <c r="O22" s="396" t="n">
        <v>15</v>
      </c>
      <c r="P22" s="396" t="n">
        <v>15</v>
      </c>
      <c r="Q22" s="396" t="n">
        <v>15</v>
      </c>
      <c r="R22" s="396" t="n">
        <v>15</v>
      </c>
      <c r="S22" s="396" t="n">
        <v>15</v>
      </c>
      <c r="T22" s="396" t="n">
        <v>15</v>
      </c>
      <c r="U22" s="396" t="n">
        <v>15</v>
      </c>
      <c r="V22" s="396" t="n">
        <v>15</v>
      </c>
      <c r="W22" s="396" t="n">
        <v>15</v>
      </c>
      <c r="X22" s="396" t="n">
        <v>15</v>
      </c>
      <c r="Y22" s="396" t="n">
        <v>15</v>
      </c>
      <c r="Z22" s="396" t="n">
        <v>15</v>
      </c>
      <c r="AA22" s="396" t="n">
        <v>15</v>
      </c>
      <c r="AB22" s="396" t="n">
        <v>15</v>
      </c>
      <c r="AC22" s="396" t="n">
        <v>15</v>
      </c>
      <c r="AD22" s="396" t="n">
        <v>15</v>
      </c>
      <c r="AE22" s="396" t="n">
        <v>15</v>
      </c>
      <c r="AF22" s="396" t="n">
        <v>15</v>
      </c>
    </row>
    <row r="23" ht="12" customHeight="1" s="244">
      <c r="A23" s="261" t="n"/>
      <c r="B23" s="403" t="n"/>
      <c r="C23" s="394" t="n"/>
      <c r="D23" s="261" t="n"/>
      <c r="E23" s="259" t="n"/>
      <c r="F23" s="404" t="n">
        <v>40</v>
      </c>
      <c r="G23" s="404" t="n">
        <v>40</v>
      </c>
      <c r="H23" s="404" t="n">
        <v>40</v>
      </c>
      <c r="I23" s="404" t="n">
        <v>40</v>
      </c>
      <c r="J23" s="404" t="n">
        <v>40</v>
      </c>
      <c r="K23" s="404" t="n">
        <v>40</v>
      </c>
      <c r="L23" s="404" t="n">
        <v>40</v>
      </c>
      <c r="M23" s="404" t="n">
        <v>40</v>
      </c>
      <c r="N23" s="404" t="n">
        <v>40</v>
      </c>
      <c r="O23" s="404" t="n">
        <v>40</v>
      </c>
      <c r="P23" s="404" t="n">
        <v>40</v>
      </c>
      <c r="Q23" s="404" t="n">
        <v>40</v>
      </c>
      <c r="R23" s="404" t="n">
        <v>40</v>
      </c>
      <c r="S23" s="404" t="n">
        <v>40</v>
      </c>
      <c r="T23" s="404" t="n">
        <v>40</v>
      </c>
      <c r="U23" s="404" t="n">
        <v>40</v>
      </c>
      <c r="V23" s="404" t="n">
        <v>40</v>
      </c>
      <c r="W23" s="404" t="n">
        <v>40</v>
      </c>
      <c r="X23" s="404" t="n">
        <v>40</v>
      </c>
      <c r="Y23" s="404" t="n">
        <v>40</v>
      </c>
      <c r="Z23" s="404" t="n">
        <v>40</v>
      </c>
      <c r="AA23" s="404" t="n">
        <v>40</v>
      </c>
      <c r="AB23" s="404" t="n">
        <v>40</v>
      </c>
      <c r="AC23" s="404" t="n">
        <v>40</v>
      </c>
      <c r="AD23" s="404" t="n">
        <v>40</v>
      </c>
      <c r="AE23" s="404" t="n">
        <v>40</v>
      </c>
      <c r="AF23" s="404" t="n">
        <v>40</v>
      </c>
    </row>
    <row r="24" ht="12" customHeight="1" s="244">
      <c r="A24" s="261" t="n"/>
      <c r="B24" s="402" t="n"/>
      <c r="C24" s="394" t="n"/>
      <c r="D24" s="261" t="n"/>
      <c r="E24" s="259" t="n"/>
      <c r="F24" s="396">
        <f>F23-F10</f>
        <v/>
      </c>
      <c r="G24" s="396">
        <f>G23-G10</f>
        <v/>
      </c>
      <c r="H24" s="396">
        <f>H23-H10</f>
        <v/>
      </c>
      <c r="I24" s="396">
        <f>I23-I10</f>
        <v/>
      </c>
      <c r="J24" s="396">
        <f>J23-J10</f>
        <v/>
      </c>
      <c r="K24" s="396">
        <f>K23-K10</f>
        <v/>
      </c>
      <c r="L24" s="396">
        <f>L23-L10</f>
        <v/>
      </c>
      <c r="M24" s="396">
        <f>M23-M10</f>
        <v/>
      </c>
      <c r="N24" s="396">
        <f>N23-N10</f>
        <v/>
      </c>
      <c r="O24" s="396">
        <f>O23-O10</f>
        <v/>
      </c>
      <c r="P24" s="396">
        <f>P23-P10</f>
        <v/>
      </c>
      <c r="Q24" s="396">
        <f>Q23-Q10</f>
        <v/>
      </c>
      <c r="R24" s="396">
        <f>R23-R10</f>
        <v/>
      </c>
      <c r="S24" s="396">
        <f>S23-S10</f>
        <v/>
      </c>
      <c r="T24" s="396">
        <f>T23-T10</f>
        <v/>
      </c>
      <c r="U24" s="396">
        <f>U23-U10</f>
        <v/>
      </c>
      <c r="V24" s="396">
        <f>V23-V10</f>
        <v/>
      </c>
      <c r="W24" s="396">
        <f>W23-W10</f>
        <v/>
      </c>
      <c r="X24" s="396">
        <f>X23-X10</f>
        <v/>
      </c>
      <c r="Y24" s="396">
        <f>Y23-Y10</f>
        <v/>
      </c>
      <c r="Z24" s="396">
        <f>Z23-Z10</f>
        <v/>
      </c>
      <c r="AA24" s="396">
        <f>AA23-AA10</f>
        <v/>
      </c>
      <c r="AB24" s="396">
        <f>AB23-AB10</f>
        <v/>
      </c>
      <c r="AC24" s="396">
        <f>AC23-AC10</f>
        <v/>
      </c>
      <c r="AD24" s="396">
        <f>AD23-AD10</f>
        <v/>
      </c>
      <c r="AE24" s="396">
        <f>AE23-AE10</f>
        <v/>
      </c>
      <c r="AF24" s="396">
        <f>AF23-AF10</f>
        <v/>
      </c>
    </row>
    <row r="25" ht="12" customHeight="1" s="244">
      <c r="A25" s="261" t="n"/>
      <c r="B25" s="402" t="n"/>
      <c r="C25" s="394" t="n"/>
      <c r="D25" s="261" t="n"/>
      <c r="E25" s="259" t="n"/>
      <c r="F25" s="396">
        <f>2*(F21-F24)</f>
        <v/>
      </c>
      <c r="G25" s="396">
        <f>2*(G21-G24)</f>
        <v/>
      </c>
      <c r="H25" s="396">
        <f>2*(H21-H24)</f>
        <v/>
      </c>
      <c r="I25" s="396">
        <f>2*(I21-I24)</f>
        <v/>
      </c>
      <c r="J25" s="396">
        <f>2*(J21-J24)</f>
        <v/>
      </c>
      <c r="K25" s="396">
        <f>2*(K21-K24)</f>
        <v/>
      </c>
      <c r="L25" s="396">
        <f>2*(L21-L24)</f>
        <v/>
      </c>
      <c r="M25" s="396">
        <f>2*(M21-M24)</f>
        <v/>
      </c>
      <c r="N25" s="396">
        <f>2*(N21-N24)</f>
        <v/>
      </c>
      <c r="O25" s="396">
        <f>2*(O21-O24)</f>
        <v/>
      </c>
      <c r="P25" s="396">
        <f>2*(P21-P24)</f>
        <v/>
      </c>
      <c r="Q25" s="396">
        <f>2*(Q21-Q24)</f>
        <v/>
      </c>
      <c r="R25" s="396">
        <f>2*(R21-R24)</f>
        <v/>
      </c>
      <c r="S25" s="396">
        <f>2*(S21-S24)</f>
        <v/>
      </c>
      <c r="T25" s="396">
        <f>2*(T21-T24)</f>
        <v/>
      </c>
      <c r="U25" s="396">
        <f>2*(U21-U24)</f>
        <v/>
      </c>
      <c r="V25" s="396">
        <f>2*(V21-V24)</f>
        <v/>
      </c>
      <c r="W25" s="396">
        <f>2*(W21-W24)</f>
        <v/>
      </c>
      <c r="X25" s="396">
        <f>2*(X21-X24)</f>
        <v/>
      </c>
      <c r="Y25" s="396">
        <f>2*(Y21-Y24)</f>
        <v/>
      </c>
      <c r="Z25" s="396">
        <f>2*(Z21-Z24)</f>
        <v/>
      </c>
      <c r="AA25" s="396">
        <f>2*(AA21-AA24)</f>
        <v/>
      </c>
      <c r="AB25" s="396">
        <f>2*(AB21-AB24)</f>
        <v/>
      </c>
      <c r="AC25" s="396">
        <f>2*(AC21-AC24)</f>
        <v/>
      </c>
      <c r="AD25" s="396">
        <f>2*(AD21-AD24)</f>
        <v/>
      </c>
      <c r="AE25" s="396">
        <f>2*(AE21-AE24)</f>
        <v/>
      </c>
      <c r="AF25" s="396">
        <f>2*(AF21-AF24)</f>
        <v/>
      </c>
    </row>
    <row r="26" ht="12" customHeight="1" s="244">
      <c r="A26" s="261" t="n"/>
      <c r="B26" s="403" t="n"/>
      <c r="C26" s="394" t="n"/>
      <c r="D26" s="405" t="n"/>
      <c r="E26" s="259" t="n"/>
      <c r="F26" s="400">
        <f>0.2*F14</f>
        <v/>
      </c>
      <c r="G26" s="400">
        <f>0.2*G14</f>
        <v/>
      </c>
      <c r="H26" s="400">
        <f>0.2*H14</f>
        <v/>
      </c>
      <c r="I26" s="400">
        <f>0.2*I14</f>
        <v/>
      </c>
      <c r="J26" s="400">
        <f>0.2*J14</f>
        <v/>
      </c>
      <c r="K26" s="400">
        <f>0.2*K14</f>
        <v/>
      </c>
      <c r="L26" s="400">
        <f>0.2*L14</f>
        <v/>
      </c>
      <c r="M26" s="400">
        <f>0.2*M14</f>
        <v/>
      </c>
      <c r="N26" s="400">
        <f>0.2*N14</f>
        <v/>
      </c>
      <c r="O26" s="400">
        <f>0.2*O14</f>
        <v/>
      </c>
      <c r="P26" s="400">
        <f>0.2*P14</f>
        <v/>
      </c>
      <c r="Q26" s="400">
        <f>0.2*Q14</f>
        <v/>
      </c>
      <c r="R26" s="400">
        <f>0.2*R14</f>
        <v/>
      </c>
      <c r="S26" s="400">
        <f>0.2*S14</f>
        <v/>
      </c>
      <c r="T26" s="400">
        <f>0.2*T14</f>
        <v/>
      </c>
      <c r="U26" s="400">
        <f>0.2*U14</f>
        <v/>
      </c>
      <c r="V26" s="400">
        <f>0.2*V14</f>
        <v/>
      </c>
      <c r="W26" s="400">
        <f>0.2*W14</f>
        <v/>
      </c>
      <c r="X26" s="400">
        <f>0.2*X14</f>
        <v/>
      </c>
      <c r="Y26" s="400">
        <f>0.2*Y14</f>
        <v/>
      </c>
      <c r="Z26" s="400">
        <f>0.2*Z14</f>
        <v/>
      </c>
      <c r="AA26" s="400">
        <f>0.2*AA14</f>
        <v/>
      </c>
      <c r="AB26" s="400">
        <f>0.2*AB14</f>
        <v/>
      </c>
      <c r="AC26" s="400">
        <f>0.2*AC14</f>
        <v/>
      </c>
      <c r="AD26" s="400">
        <f>0.2*AD14</f>
        <v/>
      </c>
      <c r="AE26" s="400">
        <f>0.2*AE14</f>
        <v/>
      </c>
      <c r="AF26" s="400">
        <f>0.2*AF14</f>
        <v/>
      </c>
    </row>
    <row r="27" ht="12" customHeight="1" s="244">
      <c r="A27" s="261" t="n"/>
      <c r="B27" s="403" t="n"/>
      <c r="C27" s="394" t="n"/>
      <c r="D27" s="261" t="n"/>
      <c r="E27" s="259" t="n"/>
      <c r="F27" s="406">
        <f>F17*(F14+F26)</f>
        <v/>
      </c>
      <c r="G27" s="406">
        <f>G17*(G14+G26)</f>
        <v/>
      </c>
      <c r="H27" s="406">
        <f>H17*(H14+H26)</f>
        <v/>
      </c>
      <c r="I27" s="406">
        <f>I17*(I14+I26)</f>
        <v/>
      </c>
      <c r="J27" s="406">
        <f>J17*(J14+J26)</f>
        <v/>
      </c>
      <c r="K27" s="406">
        <f>K17*(K14+K26)</f>
        <v/>
      </c>
      <c r="L27" s="406">
        <f>L17*(L14+L26)</f>
        <v/>
      </c>
      <c r="M27" s="406">
        <f>M17*(M14+M26)</f>
        <v/>
      </c>
      <c r="N27" s="406">
        <f>N17*(N14+N26)</f>
        <v/>
      </c>
      <c r="O27" s="406">
        <f>O17*(O14+O26)</f>
        <v/>
      </c>
      <c r="P27" s="406">
        <f>P17*(P14+P26)</f>
        <v/>
      </c>
      <c r="Q27" s="406">
        <f>Q17*(Q14+Q26)</f>
        <v/>
      </c>
      <c r="R27" s="406">
        <f>R17*(R14+R26)</f>
        <v/>
      </c>
      <c r="S27" s="406">
        <f>S17*(S14+S26)</f>
        <v/>
      </c>
      <c r="T27" s="406">
        <f>T17*(T14+T26)</f>
        <v/>
      </c>
      <c r="U27" s="406">
        <f>U17*(U14+U26)</f>
        <v/>
      </c>
      <c r="V27" s="406">
        <f>V17*(V14+V26)</f>
        <v/>
      </c>
      <c r="W27" s="406">
        <f>W17*(W14+W26)</f>
        <v/>
      </c>
      <c r="X27" s="406">
        <f>X17*(X14+X26)</f>
        <v/>
      </c>
      <c r="Y27" s="406">
        <f>Y17*(Y14+Y26)</f>
        <v/>
      </c>
      <c r="Z27" s="406">
        <f>Z17*(Z14+Z26)</f>
        <v/>
      </c>
      <c r="AA27" s="406">
        <f>AA17*(AA14+AA26)</f>
        <v/>
      </c>
      <c r="AB27" s="406">
        <f>AB17*(AB14+AB26)</f>
        <v/>
      </c>
      <c r="AC27" s="406">
        <f>AC17*(AC14+AC26)</f>
        <v/>
      </c>
      <c r="AD27" s="406">
        <f>AD17*(AD14+AD26)</f>
        <v/>
      </c>
      <c r="AE27" s="406">
        <f>AE17*(AE14+AE26)</f>
        <v/>
      </c>
      <c r="AF27" s="406">
        <f>AF17*(AF14+AF26)</f>
        <v/>
      </c>
    </row>
    <row r="28" ht="12" customHeight="1" s="244">
      <c r="A28" s="261" t="n"/>
      <c r="B28" s="403" t="n"/>
      <c r="C28" s="394" t="n"/>
      <c r="D28" s="261" t="n"/>
      <c r="E28" s="259" t="n"/>
      <c r="F28" s="407">
        <f>F27/(1.163*F25)</f>
        <v/>
      </c>
      <c r="G28" s="407">
        <f>G27/(1.163*G25)</f>
        <v/>
      </c>
      <c r="H28" s="407">
        <f>H27/(1.163*H25)</f>
        <v/>
      </c>
      <c r="I28" s="407">
        <f>I27/(1.163*I25)</f>
        <v/>
      </c>
      <c r="J28" s="407">
        <f>J27/(1.163*J25)</f>
        <v/>
      </c>
      <c r="K28" s="407">
        <f>K27/(1.163*K25)</f>
        <v/>
      </c>
      <c r="L28" s="407">
        <f>L27/(1.163*L25)</f>
        <v/>
      </c>
      <c r="M28" s="407">
        <f>M27/(1.163*M25)</f>
        <v/>
      </c>
      <c r="N28" s="407">
        <f>N27/(1.163*N25)</f>
        <v/>
      </c>
      <c r="O28" s="407">
        <f>O27/(1.163*O25)</f>
        <v/>
      </c>
      <c r="P28" s="407">
        <f>P27/(1.163*P25)</f>
        <v/>
      </c>
      <c r="Q28" s="407">
        <f>Q27/(1.163*Q25)</f>
        <v/>
      </c>
      <c r="R28" s="407">
        <f>R27/(1.163*R25)</f>
        <v/>
      </c>
      <c r="S28" s="407">
        <f>S27/(1.163*S25)</f>
        <v/>
      </c>
      <c r="T28" s="407">
        <f>T27/(1.163*T25)</f>
        <v/>
      </c>
      <c r="U28" s="407">
        <f>U27/(1.163*U25)</f>
        <v/>
      </c>
      <c r="V28" s="407">
        <f>V27/(1.163*V25)</f>
        <v/>
      </c>
      <c r="W28" s="407">
        <f>W27/(1.163*W25)</f>
        <v/>
      </c>
      <c r="X28" s="407">
        <f>X27/(1.163*X25)</f>
        <v/>
      </c>
      <c r="Y28" s="407">
        <f>Y27/(1.163*Y25)</f>
        <v/>
      </c>
      <c r="Z28" s="407">
        <f>Z27/(1.163*Z25)</f>
        <v/>
      </c>
      <c r="AA28" s="407">
        <f>AA27/(1.163*AA25)</f>
        <v/>
      </c>
      <c r="AB28" s="407">
        <f>AB27/(1.163*AB25)</f>
        <v/>
      </c>
      <c r="AC28" s="407">
        <f>AC27/(1.163*AC25)</f>
        <v/>
      </c>
      <c r="AD28" s="407">
        <f>AD27/(1.163*AD25)</f>
        <v/>
      </c>
      <c r="AE28" s="407">
        <f>AE27/(1.163*AE25)</f>
        <v/>
      </c>
      <c r="AF28" s="407">
        <f>AF27/(1.163*AF25)</f>
        <v/>
      </c>
    </row>
    <row r="29" ht="12" customHeight="1" s="244">
      <c r="A29" s="261" t="n"/>
      <c r="B29" s="403" t="n"/>
      <c r="C29" s="394" t="n"/>
      <c r="D29" s="261" t="n"/>
      <c r="E29" s="259" t="n"/>
      <c r="F29" s="408">
        <f>F17/(F22*0.01)</f>
        <v/>
      </c>
      <c r="G29" s="408">
        <f>G17/(G22*0.01)</f>
        <v/>
      </c>
      <c r="H29" s="408">
        <f>H17/(H22*0.01)</f>
        <v/>
      </c>
      <c r="I29" s="408">
        <f>I17/(I22*0.01)</f>
        <v/>
      </c>
      <c r="J29" s="408">
        <f>J17/(J22*0.01)</f>
        <v/>
      </c>
      <c r="K29" s="408">
        <f>K17/(K22*0.01)</f>
        <v/>
      </c>
      <c r="L29" s="408">
        <f>L17/(L22*0.01)</f>
        <v/>
      </c>
      <c r="M29" s="408">
        <f>M17/(M22*0.01)</f>
        <v/>
      </c>
      <c r="N29" s="408">
        <f>N17/(N22*0.01)</f>
        <v/>
      </c>
      <c r="O29" s="408">
        <f>O17/(O22*0.01)</f>
        <v/>
      </c>
      <c r="P29" s="408">
        <f>P17/(P22*0.01)</f>
        <v/>
      </c>
      <c r="Q29" s="408">
        <f>Q17/(Q22*0.01)</f>
        <v/>
      </c>
      <c r="R29" s="408">
        <f>R17/(R22*0.01)</f>
        <v/>
      </c>
      <c r="S29" s="408">
        <f>S17/(S22*0.01)</f>
        <v/>
      </c>
      <c r="T29" s="408">
        <f>T17/(T22*0.01)</f>
        <v/>
      </c>
      <c r="U29" s="408">
        <f>U17/(U22*0.01)</f>
        <v/>
      </c>
      <c r="V29" s="408">
        <f>V17/(V22*0.01)</f>
        <v/>
      </c>
      <c r="W29" s="408">
        <f>W17/(W22*0.01)</f>
        <v/>
      </c>
      <c r="X29" s="408">
        <f>X17/(X22*0.01)</f>
        <v/>
      </c>
      <c r="Y29" s="408">
        <f>Y17/(Y22*0.01)</f>
        <v/>
      </c>
      <c r="Z29" s="408">
        <f>Z17/(Z22*0.01)</f>
        <v/>
      </c>
      <c r="AA29" s="408">
        <f>AA17/(AA22*0.01)</f>
        <v/>
      </c>
      <c r="AB29" s="408">
        <f>AB17/(AB22*0.01)</f>
        <v/>
      </c>
      <c r="AC29" s="408">
        <f>AC17/(AC22*0.01)</f>
        <v/>
      </c>
      <c r="AD29" s="408">
        <f>AD17/(AD22*0.01)</f>
        <v/>
      </c>
      <c r="AE29" s="408">
        <f>AE17/(AE22*0.01)</f>
        <v/>
      </c>
      <c r="AF29" s="408">
        <f>AF17/(AF22*0.01)</f>
        <v/>
      </c>
    </row>
    <row r="30" ht="12" customHeight="1" s="244">
      <c r="A30" s="261" t="n"/>
      <c r="B30" s="403" t="n"/>
      <c r="C30" s="394" t="inlineStr">
        <is>
          <t>BAĞLANTI BORULARI</t>
        </is>
      </c>
      <c r="D30" s="261" t="inlineStr">
        <is>
          <t>Kollektör ayakları planda çizilmedi (0)</t>
        </is>
      </c>
      <c r="E30" s="259" t="n"/>
      <c r="F30" s="409" t="n">
        <v>0</v>
      </c>
      <c r="G30" s="409" t="n">
        <v>0</v>
      </c>
      <c r="H30" s="409" t="n">
        <v>0</v>
      </c>
      <c r="I30" s="409" t="n">
        <v>0</v>
      </c>
      <c r="J30" s="409" t="n">
        <v>0</v>
      </c>
      <c r="K30" s="409" t="n">
        <v>0</v>
      </c>
      <c r="L30" s="409" t="n">
        <v>0</v>
      </c>
      <c r="M30" s="409" t="n">
        <v>0</v>
      </c>
      <c r="N30" s="409" t="n">
        <v>0</v>
      </c>
      <c r="O30" s="409" t="n">
        <v>0</v>
      </c>
      <c r="P30" s="409" t="n">
        <v>0</v>
      </c>
      <c r="Q30" s="409" t="n">
        <v>0</v>
      </c>
      <c r="R30" s="409" t="n">
        <v>0</v>
      </c>
      <c r="S30" s="409" t="n">
        <v>0</v>
      </c>
      <c r="T30" s="409" t="n">
        <v>0</v>
      </c>
      <c r="U30" s="409" t="n">
        <v>0</v>
      </c>
      <c r="V30" s="409" t="n">
        <v>0</v>
      </c>
      <c r="W30" s="409" t="n">
        <v>0</v>
      </c>
      <c r="X30" s="409" t="n">
        <v>0</v>
      </c>
      <c r="Y30" s="409" t="n">
        <v>0</v>
      </c>
      <c r="Z30" s="409" t="n">
        <v>0</v>
      </c>
      <c r="AA30" s="409" t="n">
        <v>0</v>
      </c>
      <c r="AB30" s="409" t="n">
        <v>0</v>
      </c>
      <c r="AC30" s="409" t="n">
        <v>0</v>
      </c>
      <c r="AD30" s="409" t="n">
        <v>0</v>
      </c>
      <c r="AE30" s="409" t="n">
        <v>0</v>
      </c>
      <c r="AF30" s="409" t="n">
        <v>0</v>
      </c>
    </row>
    <row r="31" ht="12" customHeight="1" s="244">
      <c r="A31" s="261" t="n"/>
      <c r="B31" s="403" t="n"/>
      <c r="C31" s="394" t="n"/>
      <c r="D31" s="261" t="n"/>
      <c r="E31" s="259" t="n"/>
      <c r="F31" s="396">
        <f>F29+F30</f>
        <v/>
      </c>
      <c r="G31" s="396">
        <f>G29+G30</f>
        <v/>
      </c>
      <c r="H31" s="396">
        <f>H29+H30</f>
        <v/>
      </c>
      <c r="I31" s="396">
        <f>I29+I30</f>
        <v/>
      </c>
      <c r="J31" s="396">
        <f>J29+J30</f>
        <v/>
      </c>
      <c r="K31" s="396">
        <f>K29+K30</f>
        <v/>
      </c>
      <c r="L31" s="396">
        <f>L29+L30</f>
        <v/>
      </c>
      <c r="M31" s="396">
        <f>M29+M30</f>
        <v/>
      </c>
      <c r="N31" s="396">
        <f>N29+N30</f>
        <v/>
      </c>
      <c r="O31" s="396">
        <f>O29+O30</f>
        <v/>
      </c>
      <c r="P31" s="396">
        <f>P29+P30</f>
        <v/>
      </c>
      <c r="Q31" s="396">
        <f>Q29+Q30</f>
        <v/>
      </c>
      <c r="R31" s="396">
        <f>R29+R30</f>
        <v/>
      </c>
      <c r="S31" s="396">
        <f>S29+S30</f>
        <v/>
      </c>
      <c r="T31" s="396">
        <f>T29+T30</f>
        <v/>
      </c>
      <c r="U31" s="396">
        <f>U29+U30</f>
        <v/>
      </c>
      <c r="V31" s="396">
        <f>V29+V30</f>
        <v/>
      </c>
      <c r="W31" s="396">
        <f>W29+W30</f>
        <v/>
      </c>
      <c r="X31" s="396">
        <f>X29+X30</f>
        <v/>
      </c>
      <c r="Y31" s="396">
        <f>Y29+Y30</f>
        <v/>
      </c>
      <c r="Z31" s="396">
        <f>Z29+Z30</f>
        <v/>
      </c>
      <c r="AA31" s="396">
        <f>AA29+AA30</f>
        <v/>
      </c>
      <c r="AB31" s="396">
        <f>AB29+AB30</f>
        <v/>
      </c>
      <c r="AC31" s="396">
        <f>AC29+AC30</f>
        <v/>
      </c>
      <c r="AD31" s="396">
        <f>AD29+AD30</f>
        <v/>
      </c>
      <c r="AE31" s="396">
        <f>AE29+AE30</f>
        <v/>
      </c>
      <c r="AF31" s="396">
        <f>AF29+AF30</f>
        <v/>
      </c>
    </row>
    <row r="32" ht="12" customHeight="1" s="244">
      <c r="A32" s="261" t="n"/>
      <c r="B32" s="402" t="n"/>
      <c r="C32" s="39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408" t="n">
        <v>8492</v>
      </c>
      <c r="G32" s="408" t="n">
        <v>8101</v>
      </c>
      <c r="H32" s="408" t="n">
        <v>9975</v>
      </c>
      <c r="I32" s="408" t="n">
        <v>16166</v>
      </c>
      <c r="J32" s="408" t="n">
        <v>16264</v>
      </c>
      <c r="K32" s="408" t="n">
        <v>20360</v>
      </c>
      <c r="L32" s="408" t="n">
        <v>22595</v>
      </c>
      <c r="M32" s="408" t="n">
        <v>36</v>
      </c>
      <c r="N32" s="408" t="n">
        <v>1390</v>
      </c>
      <c r="O32" s="408" t="n">
        <v>5141</v>
      </c>
      <c r="P32" s="408" t="n">
        <v>8120</v>
      </c>
      <c r="Q32" s="408" t="n">
        <v>10381</v>
      </c>
      <c r="R32" s="408" t="n">
        <v>16301</v>
      </c>
      <c r="S32" s="408" t="n">
        <v>15906</v>
      </c>
      <c r="T32" s="408" t="n">
        <v>20848</v>
      </c>
      <c r="U32" s="408" t="n">
        <v>22781</v>
      </c>
      <c r="V32" s="408" t="n">
        <v>30</v>
      </c>
      <c r="W32" s="408" t="n">
        <v>1476</v>
      </c>
      <c r="X32" s="408" t="n">
        <v>2205</v>
      </c>
      <c r="Y32" s="408" t="n">
        <v>10630</v>
      </c>
      <c r="Z32" s="408" t="n">
        <v>12934</v>
      </c>
      <c r="AA32" s="408" t="n">
        <v>19156</v>
      </c>
      <c r="AB32" s="408" t="n">
        <v>21370</v>
      </c>
      <c r="AC32" s="408" t="n">
        <v>14326</v>
      </c>
      <c r="AD32" s="408" t="n">
        <v>17767</v>
      </c>
      <c r="AE32" s="408" t="n">
        <v>1462</v>
      </c>
      <c r="AF32" s="408" t="n">
        <v>2478</v>
      </c>
    </row>
    <row r="33" ht="12" customHeight="1" s="244">
      <c r="A33" s="261" t="n"/>
      <c r="B33" s="402" t="n"/>
      <c r="C33" s="394" t="n"/>
      <c r="D33" s="261" t="n"/>
      <c r="E33" s="259" t="n"/>
      <c r="F33" s="396">
        <f>F32*0.05</f>
        <v/>
      </c>
      <c r="G33" s="396">
        <f>G32*0.05</f>
        <v/>
      </c>
      <c r="H33" s="396">
        <f>H32*0.05</f>
        <v/>
      </c>
      <c r="I33" s="396">
        <f>I32*0.05</f>
        <v/>
      </c>
      <c r="J33" s="396">
        <f>J32*0.05</f>
        <v/>
      </c>
      <c r="K33" s="396">
        <f>K32*0.05</f>
        <v/>
      </c>
      <c r="L33" s="396">
        <f>L32*0.05</f>
        <v/>
      </c>
      <c r="M33" s="396">
        <f>M32*0.05</f>
        <v/>
      </c>
      <c r="N33" s="396">
        <f>N32*0.05</f>
        <v/>
      </c>
      <c r="O33" s="396">
        <f>O32*0.05</f>
        <v/>
      </c>
      <c r="P33" s="396">
        <f>P32*0.05</f>
        <v/>
      </c>
      <c r="Q33" s="396">
        <f>Q32*0.05</f>
        <v/>
      </c>
      <c r="R33" s="396">
        <f>R32*0.05</f>
        <v/>
      </c>
      <c r="S33" s="396">
        <f>S32*0.05</f>
        <v/>
      </c>
      <c r="T33" s="396">
        <f>T32*0.05</f>
        <v/>
      </c>
      <c r="U33" s="396">
        <f>U32*0.05</f>
        <v/>
      </c>
      <c r="V33" s="396">
        <f>V32*0.05</f>
        <v/>
      </c>
      <c r="W33" s="396">
        <f>W32*0.05</f>
        <v/>
      </c>
      <c r="X33" s="396">
        <f>X32*0.05</f>
        <v/>
      </c>
      <c r="Y33" s="396">
        <f>Y32*0.05</f>
        <v/>
      </c>
      <c r="Z33" s="396">
        <f>Z32*0.05</f>
        <v/>
      </c>
      <c r="AA33" s="396">
        <f>AA32*0.05</f>
        <v/>
      </c>
      <c r="AB33" s="396">
        <f>AB32*0.05</f>
        <v/>
      </c>
      <c r="AC33" s="396">
        <f>AC32*0.05</f>
        <v/>
      </c>
      <c r="AD33" s="396">
        <f>AD32*0.05</f>
        <v/>
      </c>
      <c r="AE33" s="396">
        <f>AE32*0.05</f>
        <v/>
      </c>
      <c r="AF33" s="396">
        <f>AF32*0.05</f>
        <v/>
      </c>
    </row>
    <row r="34" ht="12" customHeight="1" s="244">
      <c r="A34" s="261" t="n"/>
      <c r="B34" s="402" t="n"/>
      <c r="C34" s="394" t="n"/>
      <c r="D34" s="261" t="n"/>
      <c r="E34" s="259" t="n"/>
      <c r="F34" s="396">
        <f>F32+F33</f>
        <v/>
      </c>
      <c r="G34" s="396">
        <f>G32+G33</f>
        <v/>
      </c>
      <c r="H34" s="396">
        <f>H32+H33</f>
        <v/>
      </c>
      <c r="I34" s="396">
        <f>I32+I33</f>
        <v/>
      </c>
      <c r="J34" s="396">
        <f>J32+J33</f>
        <v/>
      </c>
      <c r="K34" s="396">
        <f>K32+K33</f>
        <v/>
      </c>
      <c r="L34" s="396">
        <f>L32+L33</f>
        <v/>
      </c>
      <c r="M34" s="396">
        <f>M32+M33</f>
        <v/>
      </c>
      <c r="N34" s="396">
        <f>N32+N33</f>
        <v/>
      </c>
      <c r="O34" s="396">
        <f>O32+O33</f>
        <v/>
      </c>
      <c r="P34" s="396">
        <f>P32+P33</f>
        <v/>
      </c>
      <c r="Q34" s="396">
        <f>Q32+Q33</f>
        <v/>
      </c>
      <c r="R34" s="396">
        <f>R32+R33</f>
        <v/>
      </c>
      <c r="S34" s="396">
        <f>S32+S33</f>
        <v/>
      </c>
      <c r="T34" s="396">
        <f>T32+T33</f>
        <v/>
      </c>
      <c r="U34" s="396">
        <f>U32+U33</f>
        <v/>
      </c>
      <c r="V34" s="396">
        <f>V32+V33</f>
        <v/>
      </c>
      <c r="W34" s="396">
        <f>W32+W33</f>
        <v/>
      </c>
      <c r="X34" s="396">
        <f>X32+X33</f>
        <v/>
      </c>
      <c r="Y34" s="396">
        <f>Y32+Y33</f>
        <v/>
      </c>
      <c r="Z34" s="396">
        <f>Z32+Z33</f>
        <v/>
      </c>
      <c r="AA34" s="396">
        <f>AA32+AA33</f>
        <v/>
      </c>
      <c r="AB34" s="396">
        <f>AB32+AB33</f>
        <v/>
      </c>
      <c r="AC34" s="396">
        <f>AC32+AC33</f>
        <v/>
      </c>
      <c r="AD34" s="396">
        <f>AD32+AD33</f>
        <v/>
      </c>
      <c r="AE34" s="396">
        <f>AE32+AE33</f>
        <v/>
      </c>
      <c r="AF34" s="396">
        <f>AF32+AF33</f>
        <v/>
      </c>
    </row>
    <row r="35" ht="12" customHeight="1" s="244">
      <c r="A35" s="261" t="n"/>
      <c r="B35" s="402" t="n"/>
      <c r="C35" s="282" t="n"/>
      <c r="D35" s="261" t="n"/>
      <c r="E35" s="259" t="n"/>
      <c r="F35" s="410">
        <f>MAX(F34:AF34)-F34</f>
        <v/>
      </c>
      <c r="G35" s="410">
        <f>MAX(F34:AF34)-G34</f>
        <v/>
      </c>
      <c r="H35" s="410">
        <f>MAX(F34:AF34)-H34</f>
        <v/>
      </c>
      <c r="I35" s="410">
        <f>MAX(F34:AF34)-I34</f>
        <v/>
      </c>
      <c r="J35" s="410">
        <f>MAX(F34:AF34)-J34</f>
        <v/>
      </c>
      <c r="K35" s="410">
        <f>MAX(F34:AF34)-K34</f>
        <v/>
      </c>
      <c r="L35" s="410">
        <f>MAX(F34:AF34)-L34</f>
        <v/>
      </c>
      <c r="M35" s="410">
        <f>MAX(F34:AF34)-M34</f>
        <v/>
      </c>
      <c r="N35" s="410">
        <f>MAX(F34:AF34)-N34</f>
        <v/>
      </c>
      <c r="O35" s="410">
        <f>MAX(F34:AF34)-O34</f>
        <v/>
      </c>
      <c r="P35" s="410">
        <f>MAX(F34:AF34)-P34</f>
        <v/>
      </c>
      <c r="Q35" s="410">
        <f>MAX(F34:AF34)-Q34</f>
        <v/>
      </c>
      <c r="R35" s="410">
        <f>MAX(F34:AF34)-R34</f>
        <v/>
      </c>
      <c r="S35" s="410">
        <f>MAX(F34:AF34)-S34</f>
        <v/>
      </c>
      <c r="T35" s="410">
        <f>MAX(F34:AF34)-T34</f>
        <v/>
      </c>
      <c r="U35" s="410">
        <f>MAX(F34:AF34)-U34</f>
        <v/>
      </c>
      <c r="V35" s="410">
        <f>MAX(F34:AF34)-V34</f>
        <v/>
      </c>
      <c r="W35" s="410">
        <f>MAX(F34:AF34)-W34</f>
        <v/>
      </c>
      <c r="X35" s="410">
        <f>MAX(F34:AF34)-X34</f>
        <v/>
      </c>
      <c r="Y35" s="410">
        <f>MAX(F34:AF34)-Y34</f>
        <v/>
      </c>
      <c r="Z35" s="410">
        <f>MAX(F34:AF34)-Z34</f>
        <v/>
      </c>
      <c r="AA35" s="410">
        <f>MAX(F34:AF34)-AA34</f>
        <v/>
      </c>
      <c r="AB35" s="410">
        <f>MAX(F34:AF34)-AB34</f>
        <v/>
      </c>
      <c r="AC35" s="410">
        <f>MAX(F34:AF34)-AC34</f>
        <v/>
      </c>
      <c r="AD35" s="410">
        <f>MAX(F34:AF34)-AD34</f>
        <v/>
      </c>
      <c r="AE35" s="410">
        <f>MAX(F34:AF34)-AE34</f>
        <v/>
      </c>
      <c r="AF35" s="410">
        <f>MAX(F34:AF34)-AF34</f>
        <v/>
      </c>
    </row>
    <row r="36" ht="18" customHeight="1" s="244">
      <c r="D36" s="266" t="inlineStr">
        <is>
          <t>Δpmax = 9828 Pa</t>
        </is>
      </c>
      <c r="H36" s="243" t="n"/>
    </row>
    <row r="37" ht="18" customHeight="1" s="244">
      <c r="H37" s="243" t="n"/>
    </row>
    <row r="38" ht="12.75" customHeight="1" s="244">
      <c r="B38" s="411" t="inlineStr">
        <is>
          <t>UYARI: 35 W/m × L esasında döşeme yüzey sıcaklığı sınırı aşılıyor (27 devre): Z01-1 (39.9 °C), Z02-2 (40.8 °C), Z02-3 (40.8 °C), Z03-4 (39.8 °C), Z04-5 (39.7 °C), Z05-6 (39.2 °C), Z05-7 (39.2 °C), Z06-8 (29.8 °C) ...</t>
        </is>
      </c>
      <c r="H38" s="243" t="n"/>
    </row>
    <row r="39" ht="12.75" customHeight="1" s="244">
      <c r="B39" s="412" t="inlineStr">
        <is>
          <t>Sınır içinde kalmak için q" ≤ 100 W/m² (oturma) gerekir; 35 W/m ile bu, boru aralığı ≈ 35 cm demektir. Boru aralığı 15 cm (kullanıcı seçimi) değiştirilmemiştir — ısı kaybı ile qh girilmelidir.</t>
        </is>
      </c>
      <c r="H39" s="413" t="n"/>
      <c r="I39" s="413" t="n"/>
      <c r="J39" s="413" t="n"/>
      <c r="K39" s="413" t="n"/>
      <c r="L39" s="413" t="n"/>
      <c r="M39" s="413" t="n"/>
      <c r="N39" s="413" t="n"/>
      <c r="O39" s="413" t="n"/>
      <c r="P39" s="413" t="n"/>
    </row>
    <row r="40" ht="12.75" customHeight="1" s="244">
      <c r="A40" s="414" t="inlineStr">
        <is>
          <t xml:space="preserve"> (1)</t>
        </is>
      </c>
      <c r="B40" s="243" t="inlineStr">
        <is>
          <t>Şek. 19.7.1 den seçilmiştir.</t>
        </is>
      </c>
      <c r="H40" s="413" t="n"/>
      <c r="I40" s="413" t="n"/>
      <c r="J40" s="413" t="n"/>
      <c r="K40" s="413" t="n"/>
      <c r="L40" s="413" t="n"/>
      <c r="M40" s="413" t="n"/>
      <c r="N40" s="413" t="n"/>
      <c r="O40" s="413" t="n"/>
      <c r="P40" s="413" t="n"/>
    </row>
    <row r="41" ht="12.75" customHeight="1" s="244">
      <c r="A41" s="414" t="inlineStr">
        <is>
          <t xml:space="preserve"> (2)</t>
        </is>
      </c>
      <c r="B41" s="243" t="inlineStr">
        <is>
          <t>Kombi gidiş suyu sıcaklığı 45 °C, dönüş 35 °C seçilmiştir.</t>
        </is>
      </c>
      <c r="H41" s="413" t="n"/>
      <c r="I41" s="413" t="n"/>
      <c r="J41" s="413" t="n"/>
      <c r="K41" s="413" t="n"/>
      <c r="L41" s="413" t="n"/>
      <c r="M41" s="413" t="n"/>
      <c r="N41" s="413" t="n"/>
      <c r="O41" s="413" t="n"/>
      <c r="P41" s="413" t="n"/>
    </row>
    <row r="42" ht="12.75" customHeight="1" s="244">
      <c r="A42" s="414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414" t="inlineStr">
        <is>
          <t xml:space="preserve"> (4)</t>
        </is>
      </c>
      <c r="B43" s="243" t="inlineStr">
        <is>
          <t>Alta geçen ısı 0,2 q" olarak alınmıştır. qh = 35 W/m × devre boyu (plan etiketi ve kolon şeması ile aynı esas); ayrı ısı kaybı hesabı yapılmamıştır.</t>
        </is>
      </c>
    </row>
    <row r="44" ht="12.75" customHeight="1" s="244">
      <c r="A44" s="414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414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414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415" t="n"/>
    </row>
  </sheetData>
  <mergeCells count="7">
    <mergeCell ref="E3:I4"/>
    <mergeCell ref="A2:B5"/>
    <mergeCell ref="D5:I5"/>
    <mergeCell ref="E2:I2"/>
    <mergeCell ref="C2:C5"/>
    <mergeCell ref="A1:I1"/>
    <mergeCell ref="D3:D4"/>
  </mergeCells>
  <printOptions horizontalCentered="0" verticalCentered="0" headings="0" gridLines="0" gridLinesSet="1"/>
  <pageMargins left="0" right="0" top="0" bottom="0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:J5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377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37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416" t="n"/>
      <c r="Q1" s="417" t="n"/>
      <c r="R1" s="417" t="n"/>
      <c r="S1" s="417" t="n"/>
      <c r="T1" s="417" t="n"/>
      <c r="U1" s="417" t="n"/>
      <c r="V1" s="417" t="n"/>
      <c r="W1" s="417" t="n"/>
      <c r="X1" s="418" t="n"/>
      <c r="Y1" s="418" t="n"/>
    </row>
    <row r="2" ht="12.75" customFormat="1" customHeight="1" s="329">
      <c r="A2" s="380" t="inlineStr">
        <is>
          <t>1. KAT</t>
        </is>
      </c>
      <c r="B2" s="333" t="n"/>
      <c r="C2" s="381" t="inlineStr">
        <is>
          <t>DÖŞEMEDEN ISITMA HESAP ÖZETİ</t>
        </is>
      </c>
      <c r="D2" s="382" t="inlineStr">
        <is>
          <t>Ts.g  = 45 °C</t>
        </is>
      </c>
      <c r="E2" s="383" t="inlineStr">
        <is>
          <t>TOPLAM ISI = 44033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355" t="n"/>
      <c r="AA2" s="355" t="n"/>
      <c r="AB2" s="355" t="n"/>
      <c r="AC2" s="355" t="n"/>
    </row>
    <row r="3" ht="8.25" customFormat="1" customHeight="1" s="329">
      <c r="A3" s="332" t="n"/>
      <c r="B3" s="333" t="n"/>
      <c r="C3" s="337" t="n"/>
      <c r="D3" s="385" t="inlineStr">
        <is>
          <t>Isıtma Çevrim Sayısı : 27</t>
        </is>
      </c>
      <c r="E3" s="383" t="inlineStr">
        <is>
          <t>MAX. BASINÇ KAYBI = 27393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355" t="n"/>
      <c r="AA3" s="355" t="n"/>
      <c r="AB3" s="355" t="n"/>
      <c r="AC3" s="355" t="n"/>
    </row>
    <row r="4" ht="5.25" customFormat="1" customHeight="1" s="329">
      <c r="A4" s="332" t="n"/>
      <c r="B4" s="333" t="n"/>
      <c r="C4" s="337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355" t="n"/>
      <c r="AA4" s="355" t="n"/>
      <c r="AB4" s="355" t="n"/>
      <c r="AC4" s="355" t="n"/>
    </row>
    <row r="5" ht="15" customFormat="1" customHeight="1" s="329">
      <c r="A5" s="278" t="n"/>
      <c r="B5" s="277" t="n"/>
      <c r="C5" s="303" t="n"/>
      <c r="D5" s="331" t="inlineStr">
        <is>
          <t>Mak. Müh. CAN ÖZKAYA</t>
        </is>
      </c>
      <c r="E5" s="264" t="n"/>
      <c r="F5" s="264" t="n"/>
      <c r="G5" s="264" t="n"/>
      <c r="H5" s="264" t="n"/>
      <c r="I5" s="264" t="n"/>
      <c r="J5" s="260" t="n"/>
      <c r="K5" s="331" t="n"/>
      <c r="L5" s="331" t="n"/>
      <c r="M5" s="419" t="n"/>
      <c r="N5" s="419" t="n"/>
      <c r="O5" s="420" t="n"/>
      <c r="P5" s="420" t="n"/>
      <c r="Q5" s="420" t="n"/>
      <c r="R5" s="420" t="n"/>
      <c r="S5" s="420" t="n"/>
      <c r="T5" s="420" t="n"/>
      <c r="U5" s="420" t="n"/>
      <c r="V5" s="420" t="n"/>
      <c r="W5" s="420" t="n"/>
      <c r="X5" s="421" t="n"/>
      <c r="Y5" s="421" t="n"/>
      <c r="Z5" s="355" t="n"/>
      <c r="AA5" s="355" t="n"/>
      <c r="AB5" s="355" t="n"/>
      <c r="AC5" s="355" t="n"/>
    </row>
    <row r="6" ht="12" customHeight="1" s="244">
      <c r="A6" s="387" t="n"/>
      <c r="B6" s="387" t="n"/>
      <c r="C6" s="387" t="n"/>
      <c r="D6" s="387" t="n"/>
      <c r="E6" s="388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389" t="n"/>
      <c r="C7" s="390" t="n"/>
      <c r="D7" s="389" t="n"/>
      <c r="E7" s="391" t="n"/>
      <c r="F7" s="392" t="n">
        <v>1</v>
      </c>
      <c r="G7" s="392" t="n">
        <v>2</v>
      </c>
      <c r="H7" s="392" t="n">
        <v>3</v>
      </c>
      <c r="I7" s="392" t="n">
        <v>4</v>
      </c>
      <c r="J7" s="392" t="n">
        <v>5</v>
      </c>
      <c r="K7" s="392" t="n">
        <v>6</v>
      </c>
      <c r="L7" s="392" t="n">
        <v>7</v>
      </c>
      <c r="M7" s="392" t="n">
        <v>8</v>
      </c>
      <c r="N7" s="392" t="n">
        <v>9</v>
      </c>
      <c r="O7" s="392" t="n">
        <v>10</v>
      </c>
      <c r="P7" s="392" t="n">
        <v>11</v>
      </c>
      <c r="Q7" s="392" t="n">
        <v>12</v>
      </c>
      <c r="R7" s="392" t="n">
        <v>13</v>
      </c>
      <c r="S7" s="392" t="n">
        <v>14</v>
      </c>
      <c r="T7" s="392" t="n">
        <v>15</v>
      </c>
      <c r="U7" s="392" t="n">
        <v>16</v>
      </c>
      <c r="V7" s="392" t="n">
        <v>17</v>
      </c>
      <c r="W7" s="392" t="n">
        <v>18</v>
      </c>
      <c r="X7" s="392" t="n">
        <v>19</v>
      </c>
      <c r="Y7" s="392" t="n">
        <v>20</v>
      </c>
      <c r="Z7" s="392" t="n">
        <v>21</v>
      </c>
      <c r="AA7" s="392" t="n">
        <v>22</v>
      </c>
      <c r="AB7" s="392" t="n">
        <v>23</v>
      </c>
      <c r="AC7" s="392" t="n">
        <v>24</v>
      </c>
      <c r="AD7" s="392" t="n">
        <v>25</v>
      </c>
      <c r="AE7" s="392" t="n">
        <v>26</v>
      </c>
      <c r="AF7" s="392" t="n">
        <v>27</v>
      </c>
      <c r="AG7" s="391" t="n"/>
      <c r="AH7" s="391" t="n"/>
      <c r="AI7" s="391" t="n"/>
      <c r="AJ7" s="391" t="n"/>
      <c r="AK7" s="391" t="n"/>
      <c r="AL7" s="391" t="n"/>
      <c r="AM7" s="391" t="n"/>
      <c r="AN7" s="391" t="n"/>
      <c r="AO7" s="391" t="n"/>
      <c r="AP7" s="391" t="n"/>
      <c r="AQ7" s="391" t="n"/>
      <c r="AR7" s="391" t="n"/>
      <c r="AS7" s="391" t="n"/>
      <c r="AT7" s="391" t="n"/>
      <c r="AU7" s="391" t="n"/>
      <c r="AV7" s="391" t="n"/>
      <c r="AW7" s="391" t="n"/>
    </row>
    <row r="8" ht="12" customHeight="1" s="244">
      <c r="A8" s="261" t="n"/>
      <c r="B8" s="389" t="n"/>
      <c r="C8" s="390" t="n"/>
      <c r="D8" s="389" t="n"/>
      <c r="E8" s="391" t="n"/>
      <c r="F8" s="393" t="inlineStr">
        <is>
          <t>101</t>
        </is>
      </c>
      <c r="G8" s="393" t="inlineStr">
        <is>
          <t>102</t>
        </is>
      </c>
      <c r="H8" s="393" t="inlineStr">
        <is>
          <t>102</t>
        </is>
      </c>
      <c r="I8" s="393" t="inlineStr">
        <is>
          <t>103</t>
        </is>
      </c>
      <c r="J8" s="393" t="inlineStr">
        <is>
          <t>104</t>
        </is>
      </c>
      <c r="K8" s="393" t="inlineStr">
        <is>
          <t>105</t>
        </is>
      </c>
      <c r="L8" s="393" t="inlineStr">
        <is>
          <t>105</t>
        </is>
      </c>
      <c r="M8" s="393" t="inlineStr">
        <is>
          <t>106</t>
        </is>
      </c>
      <c r="N8" s="393" t="inlineStr">
        <is>
          <t>107</t>
        </is>
      </c>
      <c r="O8" s="393" t="inlineStr">
        <is>
          <t>108</t>
        </is>
      </c>
      <c r="P8" s="393" t="inlineStr">
        <is>
          <t>109</t>
        </is>
      </c>
      <c r="Q8" s="393" t="inlineStr">
        <is>
          <t>109</t>
        </is>
      </c>
      <c r="R8" s="393" t="inlineStr">
        <is>
          <t>110</t>
        </is>
      </c>
      <c r="S8" s="393" t="inlineStr">
        <is>
          <t>111</t>
        </is>
      </c>
      <c r="T8" s="393" t="inlineStr">
        <is>
          <t>111</t>
        </is>
      </c>
      <c r="U8" s="393" t="inlineStr">
        <is>
          <t>112</t>
        </is>
      </c>
      <c r="V8" s="393" t="inlineStr">
        <is>
          <t>113</t>
        </is>
      </c>
      <c r="W8" s="393" t="inlineStr">
        <is>
          <t>114</t>
        </is>
      </c>
      <c r="X8" s="393" t="inlineStr">
        <is>
          <t>115</t>
        </is>
      </c>
      <c r="Y8" s="393" t="inlineStr">
        <is>
          <t>116</t>
        </is>
      </c>
      <c r="Z8" s="393" t="inlineStr">
        <is>
          <t>116</t>
        </is>
      </c>
      <c r="AA8" s="393" t="inlineStr">
        <is>
          <t>117</t>
        </is>
      </c>
      <c r="AB8" s="393" t="inlineStr">
        <is>
          <t>118</t>
        </is>
      </c>
      <c r="AC8" s="393" t="inlineStr">
        <is>
          <t>119</t>
        </is>
      </c>
      <c r="AD8" s="393" t="inlineStr">
        <is>
          <t>119</t>
        </is>
      </c>
      <c r="AE8" s="393" t="inlineStr">
        <is>
          <t>120</t>
        </is>
      </c>
      <c r="AF8" s="393" t="inlineStr">
        <is>
          <t>121</t>
        </is>
      </c>
      <c r="AG8" s="391" t="n"/>
      <c r="AH8" s="391" t="n"/>
      <c r="AI8" s="391" t="n"/>
      <c r="AJ8" s="391" t="n"/>
      <c r="AK8" s="391" t="n"/>
      <c r="AL8" s="391" t="n"/>
      <c r="AM8" s="391" t="n"/>
      <c r="AN8" s="391" t="n"/>
      <c r="AO8" s="391" t="n"/>
      <c r="AP8" s="391" t="n"/>
      <c r="AQ8" s="391" t="n"/>
      <c r="AR8" s="422" t="n"/>
      <c r="AS8" s="391" t="n"/>
      <c r="AT8" s="391" t="n"/>
      <c r="AU8" s="391" t="n"/>
      <c r="AV8" s="391" t="n"/>
      <c r="AW8" s="422" t="n"/>
    </row>
    <row r="9" ht="30" customHeight="1" s="244">
      <c r="A9" s="261" t="n"/>
      <c r="B9" s="282" t="n"/>
      <c r="C9" s="394" t="n"/>
      <c r="D9" s="261" t="n"/>
      <c r="E9" s="259" t="n"/>
      <c r="F9" s="395" t="inlineStr">
        <is>
          <t>D4 mutfak</t>
        </is>
      </c>
      <c r="G9" s="395" t="inlineStr">
        <is>
          <t>D4 yatak od.</t>
        </is>
      </c>
      <c r="H9" s="395" t="inlineStr">
        <is>
          <t>D4 yatak od.</t>
        </is>
      </c>
      <c r="I9" s="395" t="inlineStr">
        <is>
          <t>D4 yatak od.</t>
        </is>
      </c>
      <c r="J9" s="395" t="inlineStr">
        <is>
          <t>D4 yatak od.</t>
        </is>
      </c>
      <c r="K9" s="395" t="inlineStr">
        <is>
          <t>D4 salon</t>
        </is>
      </c>
      <c r="L9" s="395" t="inlineStr">
        <is>
          <t>D4 salon</t>
        </is>
      </c>
      <c r="M9" s="395" t="inlineStr">
        <is>
          <t>D4 antre-kor.</t>
        </is>
      </c>
      <c r="N9" s="395" t="inlineStr">
        <is>
          <t>D4 banyo</t>
        </is>
      </c>
      <c r="O9" s="395" t="inlineStr">
        <is>
          <t>D5 mutfak</t>
        </is>
      </c>
      <c r="P9" s="395" t="inlineStr">
        <is>
          <t>D5 yatak od.</t>
        </is>
      </c>
      <c r="Q9" s="395" t="inlineStr">
        <is>
          <t>D5 yatak od.</t>
        </is>
      </c>
      <c r="R9" s="395" t="inlineStr">
        <is>
          <t>D5 yatak od.</t>
        </is>
      </c>
      <c r="S9" s="395" t="inlineStr">
        <is>
          <t>D5 salon</t>
        </is>
      </c>
      <c r="T9" s="395" t="inlineStr">
        <is>
          <t>D5 salon</t>
        </is>
      </c>
      <c r="U9" s="395" t="inlineStr">
        <is>
          <t>D5 oda</t>
        </is>
      </c>
      <c r="V9" s="395" t="inlineStr">
        <is>
          <t>D5 antre-kor.</t>
        </is>
      </c>
      <c r="W9" s="395" t="inlineStr">
        <is>
          <t>D5 wc-banyo</t>
        </is>
      </c>
      <c r="X9" s="395" t="inlineStr">
        <is>
          <t>D6 mutfak</t>
        </is>
      </c>
      <c r="Y9" s="395" t="inlineStr">
        <is>
          <t>D6 yatak od.</t>
        </is>
      </c>
      <c r="Z9" s="395" t="inlineStr">
        <is>
          <t>D6 yatak od.</t>
        </is>
      </c>
      <c r="AA9" s="395" t="inlineStr">
        <is>
          <t>D6 yatak od.</t>
        </is>
      </c>
      <c r="AB9" s="395" t="inlineStr">
        <is>
          <t>D6 yatak od.</t>
        </is>
      </c>
      <c r="AC9" s="395" t="inlineStr">
        <is>
          <t>D6 salon</t>
        </is>
      </c>
      <c r="AD9" s="395" t="inlineStr">
        <is>
          <t>D6 salon</t>
        </is>
      </c>
      <c r="AE9" s="395" t="inlineStr">
        <is>
          <t>D6 antre-kor.</t>
        </is>
      </c>
      <c r="AF9" s="395" t="inlineStr">
        <is>
          <t>D6 banyo</t>
        </is>
      </c>
      <c r="AG9" s="423" t="n"/>
      <c r="AH9" s="423" t="n"/>
      <c r="AI9" s="423" t="n"/>
      <c r="AJ9" s="391" t="n"/>
      <c r="AK9" s="391" t="n"/>
      <c r="AL9" s="391" t="n"/>
      <c r="AM9" s="391" t="n"/>
      <c r="AN9" s="391" t="n"/>
      <c r="AO9" s="424" t="n"/>
      <c r="AP9" s="424" t="n"/>
      <c r="AQ9" s="424" t="n"/>
      <c r="AR9" s="425" t="n"/>
      <c r="AS9" s="425" t="n"/>
      <c r="AT9" s="424" t="n"/>
      <c r="AU9" s="424" t="n"/>
      <c r="AV9" s="424" t="n"/>
      <c r="AW9" s="424" t="n"/>
    </row>
    <row r="10" ht="12" customHeight="1" s="244">
      <c r="A10" s="261" t="n"/>
      <c r="B10" s="282" t="n"/>
      <c r="C10" s="394" t="n"/>
      <c r="D10" s="261" t="n"/>
      <c r="E10" s="259" t="n"/>
      <c r="F10" s="396" t="n">
        <v>20</v>
      </c>
      <c r="G10" s="396" t="n">
        <v>20</v>
      </c>
      <c r="H10" s="396" t="n">
        <v>20</v>
      </c>
      <c r="I10" s="396" t="n">
        <v>20</v>
      </c>
      <c r="J10" s="396" t="n">
        <v>20</v>
      </c>
      <c r="K10" s="396" t="n">
        <v>20</v>
      </c>
      <c r="L10" s="396" t="n">
        <v>20</v>
      </c>
      <c r="M10" s="396" t="n">
        <v>15</v>
      </c>
      <c r="N10" s="396" t="n">
        <v>24</v>
      </c>
      <c r="O10" s="396" t="n">
        <v>20</v>
      </c>
      <c r="P10" s="396" t="n">
        <v>20</v>
      </c>
      <c r="Q10" s="396" t="n">
        <v>20</v>
      </c>
      <c r="R10" s="396" t="n">
        <v>20</v>
      </c>
      <c r="S10" s="396" t="n">
        <v>20</v>
      </c>
      <c r="T10" s="396" t="n">
        <v>20</v>
      </c>
      <c r="U10" s="396" t="n">
        <v>20</v>
      </c>
      <c r="V10" s="396" t="n">
        <v>15</v>
      </c>
      <c r="W10" s="396" t="n">
        <v>24</v>
      </c>
      <c r="X10" s="396" t="n">
        <v>20</v>
      </c>
      <c r="Y10" s="396" t="n">
        <v>20</v>
      </c>
      <c r="Z10" s="396" t="n">
        <v>20</v>
      </c>
      <c r="AA10" s="396" t="n">
        <v>20</v>
      </c>
      <c r="AB10" s="396" t="n">
        <v>20</v>
      </c>
      <c r="AC10" s="396" t="n">
        <v>20</v>
      </c>
      <c r="AD10" s="396" t="n">
        <v>20</v>
      </c>
      <c r="AE10" s="396" t="n">
        <v>15</v>
      </c>
      <c r="AF10" s="396" t="n">
        <v>24</v>
      </c>
      <c r="AG10" s="259" t="n"/>
      <c r="AH10" s="259" t="n"/>
      <c r="AI10" s="259" t="n"/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394" t="n"/>
      <c r="D11" s="261" t="n"/>
      <c r="E11" s="259" t="n"/>
      <c r="F11" s="396" t="n">
        <v>20</v>
      </c>
      <c r="G11" s="396" t="n">
        <v>20</v>
      </c>
      <c r="H11" s="396" t="n">
        <v>20</v>
      </c>
      <c r="I11" s="396" t="n">
        <v>20</v>
      </c>
      <c r="J11" s="396" t="n">
        <v>20</v>
      </c>
      <c r="K11" s="396" t="n">
        <v>20</v>
      </c>
      <c r="L11" s="396" t="n">
        <v>20</v>
      </c>
      <c r="M11" s="396" t="n">
        <v>20</v>
      </c>
      <c r="N11" s="396" t="n">
        <v>20</v>
      </c>
      <c r="O11" s="396" t="n">
        <v>20</v>
      </c>
      <c r="P11" s="396" t="n">
        <v>20</v>
      </c>
      <c r="Q11" s="396" t="n">
        <v>20</v>
      </c>
      <c r="R11" s="396" t="n">
        <v>20</v>
      </c>
      <c r="S11" s="396" t="n">
        <v>20</v>
      </c>
      <c r="T11" s="396" t="n">
        <v>20</v>
      </c>
      <c r="U11" s="396" t="n">
        <v>20</v>
      </c>
      <c r="V11" s="396" t="n">
        <v>20</v>
      </c>
      <c r="W11" s="396" t="n">
        <v>20</v>
      </c>
      <c r="X11" s="396" t="n">
        <v>20</v>
      </c>
      <c r="Y11" s="396" t="n">
        <v>20</v>
      </c>
      <c r="Z11" s="396" t="n">
        <v>20</v>
      </c>
      <c r="AA11" s="396" t="n">
        <v>20</v>
      </c>
      <c r="AB11" s="396" t="n">
        <v>20</v>
      </c>
      <c r="AC11" s="396" t="n">
        <v>20</v>
      </c>
      <c r="AD11" s="396" t="n">
        <v>20</v>
      </c>
      <c r="AE11" s="396" t="n">
        <v>20</v>
      </c>
      <c r="AF11" s="396" t="n">
        <v>20</v>
      </c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>
        <v>6</v>
      </c>
      <c r="B12" s="282" t="n"/>
      <c r="C12" s="394" t="n"/>
      <c r="D12" s="261" t="n"/>
      <c r="E12" s="259" t="n"/>
      <c r="F12" s="397" t="n">
        <v>5.76</v>
      </c>
      <c r="G12" s="397" t="n">
        <v>6.37</v>
      </c>
      <c r="H12" s="397" t="n">
        <v>6.96</v>
      </c>
      <c r="I12" s="397" t="n">
        <v>8.779999999999999</v>
      </c>
      <c r="J12" s="397" t="n">
        <v>8.83</v>
      </c>
      <c r="K12" s="397" t="n">
        <v>9.880000000000001</v>
      </c>
      <c r="L12" s="397" t="n">
        <v>10.25</v>
      </c>
      <c r="M12" s="397" t="n">
        <v>1.12</v>
      </c>
      <c r="N12" s="397" t="n">
        <v>3.59</v>
      </c>
      <c r="O12" s="397" t="n">
        <v>5.54</v>
      </c>
      <c r="P12" s="397" t="n">
        <v>6.79</v>
      </c>
      <c r="Q12" s="397" t="n">
        <v>7.35</v>
      </c>
      <c r="R12" s="397" t="n">
        <v>8.640000000000001</v>
      </c>
      <c r="S12" s="397" t="n">
        <v>9.880000000000001</v>
      </c>
      <c r="T12" s="397" t="n">
        <v>10.87</v>
      </c>
      <c r="U12" s="397" t="n">
        <v>7.29</v>
      </c>
      <c r="V12" s="397" t="n">
        <v>2.07</v>
      </c>
      <c r="W12" s="397" t="n">
        <v>2.41</v>
      </c>
      <c r="X12" s="397" t="n">
        <v>6.9</v>
      </c>
      <c r="Y12" s="397" t="n">
        <v>6.49</v>
      </c>
      <c r="Z12" s="397" t="n">
        <v>6.98</v>
      </c>
      <c r="AA12" s="397" t="n">
        <v>8.800000000000001</v>
      </c>
      <c r="AB12" s="397" t="n">
        <v>8.880000000000001</v>
      </c>
      <c r="AC12" s="397" t="n">
        <v>9.880000000000001</v>
      </c>
      <c r="AD12" s="397" t="n">
        <v>10.26</v>
      </c>
      <c r="AE12" s="397" t="n">
        <v>1.17</v>
      </c>
      <c r="AF12" s="397" t="n">
        <v>2.93</v>
      </c>
      <c r="AG12" s="426" t="n"/>
      <c r="AH12" s="426" t="n"/>
      <c r="AI12" s="426" t="n"/>
      <c r="AJ12" s="426" t="n"/>
      <c r="AK12" s="427" t="n"/>
      <c r="AL12" s="427" t="n"/>
      <c r="AM12" s="427" t="n"/>
      <c r="AN12" s="426" t="n"/>
      <c r="AO12" s="426" t="n"/>
      <c r="AP12" s="426" t="n"/>
      <c r="AQ12" s="426" t="n"/>
      <c r="AR12" s="426" t="n"/>
      <c r="AS12" s="426" t="n"/>
      <c r="AT12" s="426" t="n"/>
      <c r="AU12" s="426" t="n"/>
      <c r="AV12" s="426" t="n"/>
      <c r="AW12" s="426" t="n"/>
    </row>
    <row r="13" ht="12" customHeight="1" s="244">
      <c r="A13" s="261" t="n"/>
      <c r="B13" s="282" t="n"/>
      <c r="C13" s="394" t="inlineStr">
        <is>
          <t>DEVRE ISIL GÜCÜ</t>
        </is>
      </c>
      <c r="D13" s="261" t="inlineStr">
        <is>
          <t>35 W/m × L (planla aynı)</t>
        </is>
      </c>
      <c r="E13" s="259" t="n"/>
      <c r="F13" s="398" t="n">
        <v>1375.5</v>
      </c>
      <c r="G13" s="398" t="n">
        <v>1622.6</v>
      </c>
      <c r="H13" s="398" t="n">
        <v>1774.1</v>
      </c>
      <c r="I13" s="398" t="n">
        <v>2090.5</v>
      </c>
      <c r="J13" s="398" t="n">
        <v>2072</v>
      </c>
      <c r="K13" s="398" t="n">
        <v>2274.6</v>
      </c>
      <c r="L13" s="398" t="n">
        <v>2359.3</v>
      </c>
      <c r="M13" s="398" t="n">
        <v>183.4</v>
      </c>
      <c r="N13" s="398" t="n">
        <v>872.2</v>
      </c>
      <c r="O13" s="398" t="n">
        <v>1285.2</v>
      </c>
      <c r="P13" s="398" t="n">
        <v>1569</v>
      </c>
      <c r="Q13" s="398" t="n">
        <v>1697.2</v>
      </c>
      <c r="R13" s="398" t="n">
        <v>1985.9</v>
      </c>
      <c r="S13" s="398" t="n">
        <v>2253</v>
      </c>
      <c r="T13" s="398" t="n">
        <v>2480.5</v>
      </c>
      <c r="U13" s="398" t="n">
        <v>1931.3</v>
      </c>
      <c r="V13" s="398" t="n">
        <v>641.5</v>
      </c>
      <c r="W13" s="398" t="n">
        <v>791.7</v>
      </c>
      <c r="X13" s="398" t="n">
        <v>1653</v>
      </c>
      <c r="Y13" s="398" t="n">
        <v>1625.4</v>
      </c>
      <c r="Z13" s="398" t="n">
        <v>1750</v>
      </c>
      <c r="AA13" s="398" t="n">
        <v>2089.8</v>
      </c>
      <c r="AB13" s="398" t="n">
        <v>2095.4</v>
      </c>
      <c r="AC13" s="398" t="n">
        <v>2269.4</v>
      </c>
      <c r="AD13" s="398" t="n">
        <v>2356.9</v>
      </c>
      <c r="AE13" s="398" t="n">
        <v>202.3</v>
      </c>
      <c r="AF13" s="398" t="n">
        <v>731.1</v>
      </c>
      <c r="AG13" s="428" t="n"/>
      <c r="AH13" s="428" t="n"/>
      <c r="AI13" s="428" t="n"/>
      <c r="AJ13" s="428" t="n"/>
      <c r="AK13" s="428" t="n"/>
      <c r="AL13" s="428" t="n"/>
      <c r="AM13" s="428" t="n"/>
      <c r="AN13" s="428" t="n"/>
      <c r="AO13" s="428" t="n"/>
      <c r="AP13" s="428" t="n"/>
      <c r="AQ13" s="428" t="n"/>
      <c r="AR13" s="428" t="n"/>
      <c r="AS13" s="428" t="n"/>
      <c r="AT13" s="428" t="n"/>
      <c r="AU13" s="428" t="n"/>
      <c r="AV13" s="428" t="n"/>
      <c r="AW13" s="428" t="n"/>
    </row>
    <row r="14" ht="12" customHeight="1" s="244">
      <c r="A14" s="261" t="n"/>
      <c r="B14" s="282" t="n"/>
      <c r="C14" s="394" t="n"/>
      <c r="D14" s="261" t="n"/>
      <c r="E14" s="259" t="n"/>
      <c r="F14" s="399">
        <f>F13/F12</f>
        <v/>
      </c>
      <c r="G14" s="399">
        <f>G13/G12</f>
        <v/>
      </c>
      <c r="H14" s="399">
        <f>H13/H12</f>
        <v/>
      </c>
      <c r="I14" s="399">
        <f>I13/I12</f>
        <v/>
      </c>
      <c r="J14" s="399">
        <f>J13/J12</f>
        <v/>
      </c>
      <c r="K14" s="399">
        <f>K13/K12</f>
        <v/>
      </c>
      <c r="L14" s="399">
        <f>L13/L12</f>
        <v/>
      </c>
      <c r="M14" s="399">
        <f>M13/M12</f>
        <v/>
      </c>
      <c r="N14" s="399">
        <f>N13/N12</f>
        <v/>
      </c>
      <c r="O14" s="399">
        <f>O13/O12</f>
        <v/>
      </c>
      <c r="P14" s="399">
        <f>P13/P12</f>
        <v/>
      </c>
      <c r="Q14" s="399">
        <f>Q13/Q12</f>
        <v/>
      </c>
      <c r="R14" s="399">
        <f>R13/R12</f>
        <v/>
      </c>
      <c r="S14" s="399">
        <f>S13/S12</f>
        <v/>
      </c>
      <c r="T14" s="399">
        <f>T13/T12</f>
        <v/>
      </c>
      <c r="U14" s="399">
        <f>U13/U12</f>
        <v/>
      </c>
      <c r="V14" s="399">
        <f>V13/V12</f>
        <v/>
      </c>
      <c r="W14" s="399">
        <f>W13/W12</f>
        <v/>
      </c>
      <c r="X14" s="399">
        <f>X13/X12</f>
        <v/>
      </c>
      <c r="Y14" s="399">
        <f>Y13/Y12</f>
        <v/>
      </c>
      <c r="Z14" s="399">
        <f>Z13/Z12</f>
        <v/>
      </c>
      <c r="AA14" s="399">
        <f>AA13/AA12</f>
        <v/>
      </c>
      <c r="AB14" s="399">
        <f>AB13/AB12</f>
        <v/>
      </c>
      <c r="AC14" s="399">
        <f>AC13/AC12</f>
        <v/>
      </c>
      <c r="AD14" s="399">
        <f>AD13/AD12</f>
        <v/>
      </c>
      <c r="AE14" s="399">
        <f>AE13/AE12</f>
        <v/>
      </c>
      <c r="AF14" s="399">
        <f>AF13/AF12</f>
        <v/>
      </c>
      <c r="AG14" s="429" t="n"/>
      <c r="AH14" s="429" t="n"/>
      <c r="AI14" s="429" t="n"/>
      <c r="AJ14" s="429" t="n"/>
      <c r="AK14" s="429" t="n"/>
      <c r="AL14" s="429" t="n"/>
      <c r="AM14" s="429" t="n"/>
      <c r="AN14" s="429" t="n"/>
      <c r="AO14" s="429" t="n"/>
      <c r="AP14" s="429" t="n"/>
      <c r="AQ14" s="429" t="n"/>
      <c r="AR14" s="429" t="n"/>
      <c r="AS14" s="429" t="n"/>
      <c r="AT14" s="429" t="n"/>
      <c r="AU14" s="429" t="n"/>
      <c r="AV14" s="429" t="n"/>
      <c r="AW14" s="429" t="n"/>
    </row>
    <row r="15" ht="12" customHeight="1" s="244">
      <c r="A15" s="261" t="n"/>
      <c r="B15" s="282" t="n"/>
      <c r="C15" s="394" t="n"/>
      <c r="D15" s="261" t="n"/>
      <c r="E15" s="259" t="n"/>
      <c r="F15" s="396" t="n">
        <v>0.012</v>
      </c>
      <c r="G15" s="396" t="n">
        <v>0.012</v>
      </c>
      <c r="H15" s="396" t="n">
        <v>0.012</v>
      </c>
      <c r="I15" s="396" t="n">
        <v>0.012</v>
      </c>
      <c r="J15" s="396" t="n">
        <v>0.012</v>
      </c>
      <c r="K15" s="396" t="n">
        <v>0.012</v>
      </c>
      <c r="L15" s="396" t="n">
        <v>0.012</v>
      </c>
      <c r="M15" s="396" t="n">
        <v>0.012</v>
      </c>
      <c r="N15" s="396" t="n">
        <v>0.012</v>
      </c>
      <c r="O15" s="396" t="n">
        <v>0.012</v>
      </c>
      <c r="P15" s="396" t="n">
        <v>0.012</v>
      </c>
      <c r="Q15" s="396" t="n">
        <v>0.012</v>
      </c>
      <c r="R15" s="396" t="n">
        <v>0.012</v>
      </c>
      <c r="S15" s="396" t="n">
        <v>0.012</v>
      </c>
      <c r="T15" s="396" t="n">
        <v>0.012</v>
      </c>
      <c r="U15" s="396" t="n">
        <v>0.012</v>
      </c>
      <c r="V15" s="396" t="n">
        <v>0.012</v>
      </c>
      <c r="W15" s="396" t="n">
        <v>0.012</v>
      </c>
      <c r="X15" s="396" t="n">
        <v>0.012</v>
      </c>
      <c r="Y15" s="396" t="n">
        <v>0.012</v>
      </c>
      <c r="Z15" s="396" t="n">
        <v>0.012</v>
      </c>
      <c r="AA15" s="396" t="n">
        <v>0.012</v>
      </c>
      <c r="AB15" s="396" t="n">
        <v>0.012</v>
      </c>
      <c r="AC15" s="396" t="n">
        <v>0.012</v>
      </c>
      <c r="AD15" s="396" t="n">
        <v>0.012</v>
      </c>
      <c r="AE15" s="396" t="n">
        <v>0.012</v>
      </c>
      <c r="AF15" s="396" t="n">
        <v>0.012</v>
      </c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394" t="n"/>
      <c r="D16" s="261" t="n"/>
      <c r="E16" s="259" t="n"/>
      <c r="F16" s="397" t="n">
        <v>1</v>
      </c>
      <c r="G16" s="397" t="n">
        <v>1</v>
      </c>
      <c r="H16" s="397" t="n">
        <v>1</v>
      </c>
      <c r="I16" s="397" t="n">
        <v>1</v>
      </c>
      <c r="J16" s="397" t="n">
        <v>1</v>
      </c>
      <c r="K16" s="397" t="n">
        <v>1</v>
      </c>
      <c r="L16" s="397" t="n">
        <v>1</v>
      </c>
      <c r="M16" s="397" t="n">
        <v>1</v>
      </c>
      <c r="N16" s="397" t="n">
        <v>1</v>
      </c>
      <c r="O16" s="397" t="n">
        <v>1</v>
      </c>
      <c r="P16" s="397" t="n">
        <v>1</v>
      </c>
      <c r="Q16" s="397" t="n">
        <v>1</v>
      </c>
      <c r="R16" s="397" t="n">
        <v>1</v>
      </c>
      <c r="S16" s="397" t="n">
        <v>1</v>
      </c>
      <c r="T16" s="397" t="n">
        <v>1</v>
      </c>
      <c r="U16" s="397" t="n">
        <v>1</v>
      </c>
      <c r="V16" s="397" t="n">
        <v>1</v>
      </c>
      <c r="W16" s="397" t="n">
        <v>1</v>
      </c>
      <c r="X16" s="397" t="n">
        <v>1</v>
      </c>
      <c r="Y16" s="397" t="n">
        <v>1</v>
      </c>
      <c r="Z16" s="397" t="n">
        <v>1</v>
      </c>
      <c r="AA16" s="397" t="n">
        <v>1</v>
      </c>
      <c r="AB16" s="397" t="n">
        <v>1</v>
      </c>
      <c r="AC16" s="397" t="n">
        <v>1</v>
      </c>
      <c r="AD16" s="397" t="n">
        <v>1</v>
      </c>
      <c r="AE16" s="397" t="n">
        <v>1</v>
      </c>
      <c r="AF16" s="397" t="n">
        <v>1</v>
      </c>
      <c r="AG16" s="426" t="n"/>
      <c r="AH16" s="426" t="n"/>
      <c r="AI16" s="426" t="n"/>
      <c r="AJ16" s="426" t="n"/>
      <c r="AK16" s="426" t="n"/>
      <c r="AL16" s="426" t="n"/>
      <c r="AM16" s="426" t="n"/>
      <c r="AN16" s="426" t="n"/>
      <c r="AO16" s="426" t="n"/>
      <c r="AP16" s="426" t="n"/>
      <c r="AQ16" s="426" t="n"/>
      <c r="AR16" s="426" t="n"/>
      <c r="AS16" s="426" t="n"/>
      <c r="AT16" s="426" t="n"/>
      <c r="AU16" s="426" t="n"/>
      <c r="AV16" s="426" t="n"/>
      <c r="AW16" s="426" t="n"/>
    </row>
    <row r="17" ht="12" customHeight="1" s="244">
      <c r="A17" s="261" t="n"/>
      <c r="B17" s="282" t="n"/>
      <c r="C17" s="394" t="n"/>
      <c r="D17" s="261" t="n"/>
      <c r="E17" s="259" t="n"/>
      <c r="F17" s="396">
        <f>F12</f>
        <v/>
      </c>
      <c r="G17" s="396">
        <f>G12</f>
        <v/>
      </c>
      <c r="H17" s="396">
        <f>H12</f>
        <v/>
      </c>
      <c r="I17" s="396">
        <f>I12</f>
        <v/>
      </c>
      <c r="J17" s="396">
        <f>J12</f>
        <v/>
      </c>
      <c r="K17" s="396">
        <f>K12</f>
        <v/>
      </c>
      <c r="L17" s="396">
        <f>L12</f>
        <v/>
      </c>
      <c r="M17" s="396">
        <f>M12</f>
        <v/>
      </c>
      <c r="N17" s="396">
        <f>N12</f>
        <v/>
      </c>
      <c r="O17" s="396">
        <f>O12</f>
        <v/>
      </c>
      <c r="P17" s="396">
        <f>P12</f>
        <v/>
      </c>
      <c r="Q17" s="396">
        <f>Q12</f>
        <v/>
      </c>
      <c r="R17" s="396">
        <f>R12</f>
        <v/>
      </c>
      <c r="S17" s="396">
        <f>S12</f>
        <v/>
      </c>
      <c r="T17" s="396">
        <f>T12</f>
        <v/>
      </c>
      <c r="U17" s="396">
        <f>U12</f>
        <v/>
      </c>
      <c r="V17" s="396">
        <f>V12</f>
        <v/>
      </c>
      <c r="W17" s="396">
        <f>W12</f>
        <v/>
      </c>
      <c r="X17" s="396">
        <f>X12</f>
        <v/>
      </c>
      <c r="Y17" s="396">
        <f>Y12</f>
        <v/>
      </c>
      <c r="Z17" s="396">
        <f>Z12</f>
        <v/>
      </c>
      <c r="AA17" s="396">
        <f>AA12</f>
        <v/>
      </c>
      <c r="AB17" s="396">
        <f>AB12</f>
        <v/>
      </c>
      <c r="AC17" s="396">
        <f>AC12</f>
        <v/>
      </c>
      <c r="AD17" s="396">
        <f>AD12</f>
        <v/>
      </c>
      <c r="AE17" s="396">
        <f>AE12</f>
        <v/>
      </c>
      <c r="AF17" s="396">
        <f>AF12</f>
        <v/>
      </c>
      <c r="AG17" s="259" t="n"/>
      <c r="AH17" s="259" t="n"/>
      <c r="AI17" s="259" t="n"/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394" t="n"/>
      <c r="D18" s="261" t="n"/>
      <c r="E18" s="259" t="n"/>
      <c r="F18" s="400">
        <f>F13/F17</f>
        <v/>
      </c>
      <c r="G18" s="400">
        <f>G13/G17</f>
        <v/>
      </c>
      <c r="H18" s="400">
        <f>H13/H17</f>
        <v/>
      </c>
      <c r="I18" s="400">
        <f>I13/I17</f>
        <v/>
      </c>
      <c r="J18" s="400">
        <f>J13/J17</f>
        <v/>
      </c>
      <c r="K18" s="400">
        <f>K13/K17</f>
        <v/>
      </c>
      <c r="L18" s="400">
        <f>L13/L17</f>
        <v/>
      </c>
      <c r="M18" s="400">
        <f>M13/M17</f>
        <v/>
      </c>
      <c r="N18" s="400">
        <f>N13/N17</f>
        <v/>
      </c>
      <c r="O18" s="400">
        <f>O13/O17</f>
        <v/>
      </c>
      <c r="P18" s="400">
        <f>P13/P17</f>
        <v/>
      </c>
      <c r="Q18" s="400">
        <f>Q13/Q17</f>
        <v/>
      </c>
      <c r="R18" s="400">
        <f>R13/R17</f>
        <v/>
      </c>
      <c r="S18" s="400">
        <f>S13/S17</f>
        <v/>
      </c>
      <c r="T18" s="400">
        <f>T13/T17</f>
        <v/>
      </c>
      <c r="U18" s="400">
        <f>U13/U17</f>
        <v/>
      </c>
      <c r="V18" s="400">
        <f>V13/V17</f>
        <v/>
      </c>
      <c r="W18" s="400">
        <f>W13/W17</f>
        <v/>
      </c>
      <c r="X18" s="400">
        <f>X13/X17</f>
        <v/>
      </c>
      <c r="Y18" s="400">
        <f>Y13/Y17</f>
        <v/>
      </c>
      <c r="Z18" s="400">
        <f>Z13/Z17</f>
        <v/>
      </c>
      <c r="AA18" s="400">
        <f>AA13/AA17</f>
        <v/>
      </c>
      <c r="AB18" s="400">
        <f>AB13/AB17</f>
        <v/>
      </c>
      <c r="AC18" s="400">
        <f>AC13/AC17</f>
        <v/>
      </c>
      <c r="AD18" s="400">
        <f>AD13/AD17</f>
        <v/>
      </c>
      <c r="AE18" s="400">
        <f>AE13/AE17</f>
        <v/>
      </c>
      <c r="AF18" s="400">
        <f>AF13/AF17</f>
        <v/>
      </c>
      <c r="AG18" s="430" t="n"/>
      <c r="AH18" s="430" t="n"/>
      <c r="AI18" s="430" t="n"/>
      <c r="AJ18" s="430" t="n"/>
      <c r="AK18" s="430" t="n"/>
      <c r="AL18" s="430" t="n"/>
      <c r="AM18" s="430" t="n"/>
      <c r="AN18" s="430" t="n"/>
      <c r="AO18" s="430" t="n"/>
      <c r="AP18" s="430" t="n"/>
      <c r="AQ18" s="430" t="n"/>
      <c r="AR18" s="430" t="n"/>
      <c r="AS18" s="430" t="n"/>
      <c r="AT18" s="430" t="n"/>
      <c r="AU18" s="430" t="n"/>
      <c r="AV18" s="430" t="n"/>
      <c r="AW18" s="430" t="n"/>
    </row>
    <row r="19" ht="19.5" customHeight="1" s="244">
      <c r="A19" s="261" t="n"/>
      <c r="B19" s="282" t="n"/>
      <c r="C19" s="394" t="n"/>
      <c r="D19" s="261" t="n"/>
      <c r="E19" s="259" t="n"/>
      <c r="F19" s="401">
        <f>F10+(F14/8.92)^0.91</f>
        <v/>
      </c>
      <c r="G19" s="401">
        <f>G10+(G14/8.92)^0.91</f>
        <v/>
      </c>
      <c r="H19" s="401">
        <f>H10+(H14/8.92)^0.91</f>
        <v/>
      </c>
      <c r="I19" s="401">
        <f>I10+(I14/8.92)^0.91</f>
        <v/>
      </c>
      <c r="J19" s="401">
        <f>J10+(J14/8.92)^0.91</f>
        <v/>
      </c>
      <c r="K19" s="401">
        <f>K10+(K14/8.92)^0.91</f>
        <v/>
      </c>
      <c r="L19" s="401">
        <f>L10+(L14/8.92)^0.91</f>
        <v/>
      </c>
      <c r="M19" s="401">
        <f>M10+(M14/8.92)^0.91</f>
        <v/>
      </c>
      <c r="N19" s="401">
        <f>N10+(N14/8.92)^0.91</f>
        <v/>
      </c>
      <c r="O19" s="401">
        <f>O10+(O14/8.92)^0.91</f>
        <v/>
      </c>
      <c r="P19" s="401">
        <f>P10+(P14/8.92)^0.91</f>
        <v/>
      </c>
      <c r="Q19" s="401">
        <f>Q10+(Q14/8.92)^0.91</f>
        <v/>
      </c>
      <c r="R19" s="401">
        <f>R10+(R14/8.92)^0.91</f>
        <v/>
      </c>
      <c r="S19" s="401">
        <f>S10+(S14/8.92)^0.91</f>
        <v/>
      </c>
      <c r="T19" s="401">
        <f>T10+(T14/8.92)^0.91</f>
        <v/>
      </c>
      <c r="U19" s="401">
        <f>U10+(U14/8.92)^0.91</f>
        <v/>
      </c>
      <c r="V19" s="401">
        <f>V10+(V14/8.92)^0.91</f>
        <v/>
      </c>
      <c r="W19" s="401">
        <f>W10+(W14/8.92)^0.91</f>
        <v/>
      </c>
      <c r="X19" s="401">
        <f>X10+(X14/8.92)^0.91</f>
        <v/>
      </c>
      <c r="Y19" s="401">
        <f>Y10+(Y14/8.92)^0.91</f>
        <v/>
      </c>
      <c r="Z19" s="401">
        <f>Z10+(Z14/8.92)^0.91</f>
        <v/>
      </c>
      <c r="AA19" s="401">
        <f>AA10+(AA14/8.92)^0.91</f>
        <v/>
      </c>
      <c r="AB19" s="401">
        <f>AB10+(AB14/8.92)^0.91</f>
        <v/>
      </c>
      <c r="AC19" s="401">
        <f>AC10+(AC14/8.92)^0.91</f>
        <v/>
      </c>
      <c r="AD19" s="401">
        <f>AD10+(AD14/8.92)^0.91</f>
        <v/>
      </c>
      <c r="AE19" s="401">
        <f>AE10+(AE14/8.92)^0.91</f>
        <v/>
      </c>
      <c r="AF19" s="401">
        <f>AF10+(AF14/8.92)^0.91</f>
        <v/>
      </c>
      <c r="AG19" s="430" t="n"/>
      <c r="AH19" s="430" t="n"/>
      <c r="AI19" s="430" t="n"/>
      <c r="AJ19" s="430" t="n"/>
      <c r="AK19" s="430" t="n"/>
      <c r="AL19" s="430" t="n"/>
      <c r="AM19" s="430" t="n"/>
      <c r="AN19" s="430" t="n"/>
      <c r="AO19" s="430" t="n"/>
      <c r="AP19" s="430" t="n"/>
      <c r="AQ19" s="430" t="n"/>
      <c r="AR19" s="430" t="n"/>
      <c r="AS19" s="430" t="n"/>
      <c r="AT19" s="430" t="n"/>
      <c r="AU19" s="430" t="n"/>
      <c r="AV19" s="430" t="n"/>
      <c r="AW19" s="430" t="n"/>
    </row>
    <row r="20" ht="12" customHeight="1" s="244">
      <c r="A20" s="261" t="n"/>
      <c r="B20" s="282" t="n"/>
      <c r="C20" s="394" t="n"/>
      <c r="D20" s="261" t="n"/>
      <c r="E20" s="259" t="n"/>
      <c r="F20" s="396" t="n">
        <v>45</v>
      </c>
      <c r="G20" s="396" t="n">
        <v>45</v>
      </c>
      <c r="H20" s="396" t="n">
        <v>45</v>
      </c>
      <c r="I20" s="396" t="n">
        <v>45</v>
      </c>
      <c r="J20" s="396" t="n">
        <v>45</v>
      </c>
      <c r="K20" s="396" t="n">
        <v>45</v>
      </c>
      <c r="L20" s="396" t="n">
        <v>45</v>
      </c>
      <c r="M20" s="396" t="n">
        <v>45</v>
      </c>
      <c r="N20" s="396" t="n">
        <v>45</v>
      </c>
      <c r="O20" s="396" t="n">
        <v>45</v>
      </c>
      <c r="P20" s="396" t="n">
        <v>45</v>
      </c>
      <c r="Q20" s="396" t="n">
        <v>45</v>
      </c>
      <c r="R20" s="396" t="n">
        <v>45</v>
      </c>
      <c r="S20" s="396" t="n">
        <v>45</v>
      </c>
      <c r="T20" s="396" t="n">
        <v>45</v>
      </c>
      <c r="U20" s="396" t="n">
        <v>45</v>
      </c>
      <c r="V20" s="396" t="n">
        <v>45</v>
      </c>
      <c r="W20" s="396" t="n">
        <v>45</v>
      </c>
      <c r="X20" s="396" t="n">
        <v>45</v>
      </c>
      <c r="Y20" s="396" t="n">
        <v>45</v>
      </c>
      <c r="Z20" s="396" t="n">
        <v>45</v>
      </c>
      <c r="AA20" s="396" t="n">
        <v>45</v>
      </c>
      <c r="AB20" s="396" t="n">
        <v>45</v>
      </c>
      <c r="AC20" s="396" t="n">
        <v>45</v>
      </c>
      <c r="AD20" s="396" t="n">
        <v>45</v>
      </c>
      <c r="AE20" s="396" t="n">
        <v>45</v>
      </c>
      <c r="AF20" s="396" t="n">
        <v>45</v>
      </c>
      <c r="AG20" s="259" t="n"/>
      <c r="AH20" s="259" t="n"/>
      <c r="AI20" s="259" t="n"/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402" t="n"/>
      <c r="C21" s="394" t="n"/>
      <c r="D21" s="261" t="n"/>
      <c r="E21" s="259" t="n"/>
      <c r="F21" s="396">
        <f>F20-F10</f>
        <v/>
      </c>
      <c r="G21" s="396">
        <f>G20-G10</f>
        <v/>
      </c>
      <c r="H21" s="396">
        <f>H20-H10</f>
        <v/>
      </c>
      <c r="I21" s="396">
        <f>I20-I10</f>
        <v/>
      </c>
      <c r="J21" s="396">
        <f>J20-J10</f>
        <v/>
      </c>
      <c r="K21" s="396">
        <f>K20-K10</f>
        <v/>
      </c>
      <c r="L21" s="396">
        <f>L20-L10</f>
        <v/>
      </c>
      <c r="M21" s="396">
        <f>M20-M10</f>
        <v/>
      </c>
      <c r="N21" s="396">
        <f>N20-N10</f>
        <v/>
      </c>
      <c r="O21" s="396">
        <f>O20-O10</f>
        <v/>
      </c>
      <c r="P21" s="396">
        <f>P20-P10</f>
        <v/>
      </c>
      <c r="Q21" s="396">
        <f>Q20-Q10</f>
        <v/>
      </c>
      <c r="R21" s="396">
        <f>R20-R10</f>
        <v/>
      </c>
      <c r="S21" s="396">
        <f>S20-S10</f>
        <v/>
      </c>
      <c r="T21" s="396">
        <f>T20-T10</f>
        <v/>
      </c>
      <c r="U21" s="396">
        <f>U20-U10</f>
        <v/>
      </c>
      <c r="V21" s="396">
        <f>V20-V10</f>
        <v/>
      </c>
      <c r="W21" s="396">
        <f>W20-W10</f>
        <v/>
      </c>
      <c r="X21" s="396">
        <f>X20-X10</f>
        <v/>
      </c>
      <c r="Y21" s="396">
        <f>Y20-Y10</f>
        <v/>
      </c>
      <c r="Z21" s="396">
        <f>Z20-Z10</f>
        <v/>
      </c>
      <c r="AA21" s="396">
        <f>AA20-AA10</f>
        <v/>
      </c>
      <c r="AB21" s="396">
        <f>AB20-AB10</f>
        <v/>
      </c>
      <c r="AC21" s="396">
        <f>AC20-AC10</f>
        <v/>
      </c>
      <c r="AD21" s="396">
        <f>AD20-AD10</f>
        <v/>
      </c>
      <c r="AE21" s="396">
        <f>AE20-AE10</f>
        <v/>
      </c>
      <c r="AF21" s="396">
        <f>AF20-AF10</f>
        <v/>
      </c>
      <c r="AG21" s="259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403" t="n"/>
      <c r="C22" s="394" t="n"/>
      <c r="D22" s="261" t="n"/>
      <c r="E22" s="259" t="n"/>
      <c r="F22" s="396" t="n">
        <v>15</v>
      </c>
      <c r="G22" s="396" t="n">
        <v>15</v>
      </c>
      <c r="H22" s="396" t="n">
        <v>15</v>
      </c>
      <c r="I22" s="396" t="n">
        <v>15</v>
      </c>
      <c r="J22" s="396" t="n">
        <v>15</v>
      </c>
      <c r="K22" s="396" t="n">
        <v>15</v>
      </c>
      <c r="L22" s="396" t="n">
        <v>15</v>
      </c>
      <c r="M22" s="396" t="n">
        <v>15</v>
      </c>
      <c r="N22" s="396" t="n">
        <v>15</v>
      </c>
      <c r="O22" s="396" t="n">
        <v>15</v>
      </c>
      <c r="P22" s="396" t="n">
        <v>15</v>
      </c>
      <c r="Q22" s="396" t="n">
        <v>15</v>
      </c>
      <c r="R22" s="396" t="n">
        <v>15</v>
      </c>
      <c r="S22" s="396" t="n">
        <v>15</v>
      </c>
      <c r="T22" s="396" t="n">
        <v>15</v>
      </c>
      <c r="U22" s="396" t="n">
        <v>15</v>
      </c>
      <c r="V22" s="396" t="n">
        <v>15</v>
      </c>
      <c r="W22" s="396" t="n">
        <v>15</v>
      </c>
      <c r="X22" s="396" t="n">
        <v>15</v>
      </c>
      <c r="Y22" s="396" t="n">
        <v>15</v>
      </c>
      <c r="Z22" s="396" t="n">
        <v>15</v>
      </c>
      <c r="AA22" s="396" t="n">
        <v>15</v>
      </c>
      <c r="AB22" s="396" t="n">
        <v>15</v>
      </c>
      <c r="AC22" s="396" t="n">
        <v>15</v>
      </c>
      <c r="AD22" s="396" t="n">
        <v>15</v>
      </c>
      <c r="AE22" s="396" t="n">
        <v>15</v>
      </c>
      <c r="AF22" s="396" t="n">
        <v>15</v>
      </c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403" t="n"/>
      <c r="C23" s="394" t="n"/>
      <c r="D23" s="261" t="n"/>
      <c r="E23" s="259" t="n"/>
      <c r="F23" s="404" t="n">
        <v>40</v>
      </c>
      <c r="G23" s="404" t="n">
        <v>40</v>
      </c>
      <c r="H23" s="404" t="n">
        <v>40</v>
      </c>
      <c r="I23" s="404" t="n">
        <v>40</v>
      </c>
      <c r="J23" s="404" t="n">
        <v>40</v>
      </c>
      <c r="K23" s="404" t="n">
        <v>40</v>
      </c>
      <c r="L23" s="404" t="n">
        <v>40</v>
      </c>
      <c r="M23" s="404" t="n">
        <v>40</v>
      </c>
      <c r="N23" s="404" t="n">
        <v>40</v>
      </c>
      <c r="O23" s="404" t="n">
        <v>40</v>
      </c>
      <c r="P23" s="404" t="n">
        <v>40</v>
      </c>
      <c r="Q23" s="404" t="n">
        <v>40</v>
      </c>
      <c r="R23" s="404" t="n">
        <v>40</v>
      </c>
      <c r="S23" s="404" t="n">
        <v>40</v>
      </c>
      <c r="T23" s="404" t="n">
        <v>40</v>
      </c>
      <c r="U23" s="404" t="n">
        <v>40</v>
      </c>
      <c r="V23" s="404" t="n">
        <v>40</v>
      </c>
      <c r="W23" s="404" t="n">
        <v>40</v>
      </c>
      <c r="X23" s="404" t="n">
        <v>40</v>
      </c>
      <c r="Y23" s="404" t="n">
        <v>40</v>
      </c>
      <c r="Z23" s="404" t="n">
        <v>40</v>
      </c>
      <c r="AA23" s="404" t="n">
        <v>40</v>
      </c>
      <c r="AB23" s="404" t="n">
        <v>40</v>
      </c>
      <c r="AC23" s="404" t="n">
        <v>40</v>
      </c>
      <c r="AD23" s="404" t="n">
        <v>40</v>
      </c>
      <c r="AE23" s="404" t="n">
        <v>40</v>
      </c>
      <c r="AF23" s="404" t="n">
        <v>40</v>
      </c>
      <c r="AG23" s="431" t="n"/>
      <c r="AH23" s="431" t="n"/>
      <c r="AI23" s="431" t="n"/>
      <c r="AJ23" s="431" t="n"/>
      <c r="AK23" s="431" t="n"/>
      <c r="AL23" s="431" t="n"/>
      <c r="AM23" s="431" t="n"/>
      <c r="AN23" s="431" t="n"/>
      <c r="AO23" s="431" t="n"/>
      <c r="AP23" s="431" t="n"/>
      <c r="AQ23" s="431" t="n"/>
      <c r="AR23" s="431" t="n"/>
      <c r="AS23" s="431" t="n"/>
      <c r="AT23" s="431" t="n"/>
      <c r="AU23" s="431" t="n"/>
      <c r="AV23" s="431" t="n"/>
      <c r="AW23" s="431" t="n"/>
    </row>
    <row r="24" ht="12" customHeight="1" s="244">
      <c r="A24" s="261" t="n"/>
      <c r="B24" s="402" t="n"/>
      <c r="C24" s="394" t="n"/>
      <c r="D24" s="261" t="n"/>
      <c r="E24" s="259" t="n"/>
      <c r="F24" s="396">
        <f>F23-F10</f>
        <v/>
      </c>
      <c r="G24" s="396">
        <f>G23-G10</f>
        <v/>
      </c>
      <c r="H24" s="396">
        <f>H23-H10</f>
        <v/>
      </c>
      <c r="I24" s="396">
        <f>I23-I10</f>
        <v/>
      </c>
      <c r="J24" s="396">
        <f>J23-J10</f>
        <v/>
      </c>
      <c r="K24" s="396">
        <f>K23-K10</f>
        <v/>
      </c>
      <c r="L24" s="396">
        <f>L23-L10</f>
        <v/>
      </c>
      <c r="M24" s="396">
        <f>M23-M10</f>
        <v/>
      </c>
      <c r="N24" s="396">
        <f>N23-N10</f>
        <v/>
      </c>
      <c r="O24" s="396">
        <f>O23-O10</f>
        <v/>
      </c>
      <c r="P24" s="396">
        <f>P23-P10</f>
        <v/>
      </c>
      <c r="Q24" s="396">
        <f>Q23-Q10</f>
        <v/>
      </c>
      <c r="R24" s="396">
        <f>R23-R10</f>
        <v/>
      </c>
      <c r="S24" s="396">
        <f>S23-S10</f>
        <v/>
      </c>
      <c r="T24" s="396">
        <f>T23-T10</f>
        <v/>
      </c>
      <c r="U24" s="396">
        <f>U23-U10</f>
        <v/>
      </c>
      <c r="V24" s="396">
        <f>V23-V10</f>
        <v/>
      </c>
      <c r="W24" s="396">
        <f>W23-W10</f>
        <v/>
      </c>
      <c r="X24" s="396">
        <f>X23-X10</f>
        <v/>
      </c>
      <c r="Y24" s="396">
        <f>Y23-Y10</f>
        <v/>
      </c>
      <c r="Z24" s="396">
        <f>Z23-Z10</f>
        <v/>
      </c>
      <c r="AA24" s="396">
        <f>AA23-AA10</f>
        <v/>
      </c>
      <c r="AB24" s="396">
        <f>AB23-AB10</f>
        <v/>
      </c>
      <c r="AC24" s="396">
        <f>AC23-AC10</f>
        <v/>
      </c>
      <c r="AD24" s="396">
        <f>AD23-AD10</f>
        <v/>
      </c>
      <c r="AE24" s="396">
        <f>AE23-AE10</f>
        <v/>
      </c>
      <c r="AF24" s="396">
        <f>AF23-AF10</f>
        <v/>
      </c>
      <c r="AG24" s="259" t="n"/>
      <c r="AH24" s="259" t="n"/>
      <c r="AI24" s="259" t="n"/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402" t="n"/>
      <c r="C25" s="394" t="n"/>
      <c r="D25" s="261" t="n"/>
      <c r="E25" s="259" t="n"/>
      <c r="F25" s="396">
        <f>2*(F21-F24)</f>
        <v/>
      </c>
      <c r="G25" s="396">
        <f>2*(G21-G24)</f>
        <v/>
      </c>
      <c r="H25" s="396">
        <f>2*(H21-H24)</f>
        <v/>
      </c>
      <c r="I25" s="396">
        <f>2*(I21-I24)</f>
        <v/>
      </c>
      <c r="J25" s="396">
        <f>2*(J21-J24)</f>
        <v/>
      </c>
      <c r="K25" s="396">
        <f>2*(K21-K24)</f>
        <v/>
      </c>
      <c r="L25" s="396">
        <f>2*(L21-L24)</f>
        <v/>
      </c>
      <c r="M25" s="396">
        <f>2*(M21-M24)</f>
        <v/>
      </c>
      <c r="N25" s="396">
        <f>2*(N21-N24)</f>
        <v/>
      </c>
      <c r="O25" s="396">
        <f>2*(O21-O24)</f>
        <v/>
      </c>
      <c r="P25" s="396">
        <f>2*(P21-P24)</f>
        <v/>
      </c>
      <c r="Q25" s="396">
        <f>2*(Q21-Q24)</f>
        <v/>
      </c>
      <c r="R25" s="396">
        <f>2*(R21-R24)</f>
        <v/>
      </c>
      <c r="S25" s="396">
        <f>2*(S21-S24)</f>
        <v/>
      </c>
      <c r="T25" s="396">
        <f>2*(T21-T24)</f>
        <v/>
      </c>
      <c r="U25" s="396">
        <f>2*(U21-U24)</f>
        <v/>
      </c>
      <c r="V25" s="396">
        <f>2*(V21-V24)</f>
        <v/>
      </c>
      <c r="W25" s="396">
        <f>2*(W21-W24)</f>
        <v/>
      </c>
      <c r="X25" s="396">
        <f>2*(X21-X24)</f>
        <v/>
      </c>
      <c r="Y25" s="396">
        <f>2*(Y21-Y24)</f>
        <v/>
      </c>
      <c r="Z25" s="396">
        <f>2*(Z21-Z24)</f>
        <v/>
      </c>
      <c r="AA25" s="396">
        <f>2*(AA21-AA24)</f>
        <v/>
      </c>
      <c r="AB25" s="396">
        <f>2*(AB21-AB24)</f>
        <v/>
      </c>
      <c r="AC25" s="396">
        <f>2*(AC21-AC24)</f>
        <v/>
      </c>
      <c r="AD25" s="396">
        <f>2*(AD21-AD24)</f>
        <v/>
      </c>
      <c r="AE25" s="396">
        <f>2*(AE21-AE24)</f>
        <v/>
      </c>
      <c r="AF25" s="396">
        <f>2*(AF21-AF24)</f>
        <v/>
      </c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403" t="n"/>
      <c r="C26" s="394" t="n"/>
      <c r="D26" s="405" t="n"/>
      <c r="E26" s="259" t="n"/>
      <c r="F26" s="400">
        <f>0.2*F14</f>
        <v/>
      </c>
      <c r="G26" s="400">
        <f>0.2*G14</f>
        <v/>
      </c>
      <c r="H26" s="400">
        <f>0.2*H14</f>
        <v/>
      </c>
      <c r="I26" s="400">
        <f>0.2*I14</f>
        <v/>
      </c>
      <c r="J26" s="400">
        <f>0.2*J14</f>
        <v/>
      </c>
      <c r="K26" s="400">
        <f>0.2*K14</f>
        <v/>
      </c>
      <c r="L26" s="400">
        <f>0.2*L14</f>
        <v/>
      </c>
      <c r="M26" s="400">
        <f>0.2*M14</f>
        <v/>
      </c>
      <c r="N26" s="400">
        <f>0.2*N14</f>
        <v/>
      </c>
      <c r="O26" s="400">
        <f>0.2*O14</f>
        <v/>
      </c>
      <c r="P26" s="400">
        <f>0.2*P14</f>
        <v/>
      </c>
      <c r="Q26" s="400">
        <f>0.2*Q14</f>
        <v/>
      </c>
      <c r="R26" s="400">
        <f>0.2*R14</f>
        <v/>
      </c>
      <c r="S26" s="400">
        <f>0.2*S14</f>
        <v/>
      </c>
      <c r="T26" s="400">
        <f>0.2*T14</f>
        <v/>
      </c>
      <c r="U26" s="400">
        <f>0.2*U14</f>
        <v/>
      </c>
      <c r="V26" s="400">
        <f>0.2*V14</f>
        <v/>
      </c>
      <c r="W26" s="400">
        <f>0.2*W14</f>
        <v/>
      </c>
      <c r="X26" s="400">
        <f>0.2*X14</f>
        <v/>
      </c>
      <c r="Y26" s="400">
        <f>0.2*Y14</f>
        <v/>
      </c>
      <c r="Z26" s="400">
        <f>0.2*Z14</f>
        <v/>
      </c>
      <c r="AA26" s="400">
        <f>0.2*AA14</f>
        <v/>
      </c>
      <c r="AB26" s="400">
        <f>0.2*AB14</f>
        <v/>
      </c>
      <c r="AC26" s="400">
        <f>0.2*AC14</f>
        <v/>
      </c>
      <c r="AD26" s="400">
        <f>0.2*AD14</f>
        <v/>
      </c>
      <c r="AE26" s="400">
        <f>0.2*AE14</f>
        <v/>
      </c>
      <c r="AF26" s="400">
        <f>0.2*AF14</f>
        <v/>
      </c>
      <c r="AG26" s="430" t="n"/>
      <c r="AH26" s="430" t="n"/>
      <c r="AI26" s="430" t="n"/>
      <c r="AJ26" s="430" t="n"/>
      <c r="AK26" s="430" t="n"/>
      <c r="AL26" s="430" t="n"/>
      <c r="AM26" s="430" t="n"/>
      <c r="AN26" s="430" t="n"/>
      <c r="AO26" s="430" t="n"/>
      <c r="AP26" s="430" t="n"/>
      <c r="AQ26" s="430" t="n"/>
      <c r="AR26" s="430" t="n"/>
      <c r="AS26" s="430" t="n"/>
      <c r="AT26" s="430" t="n"/>
      <c r="AU26" s="430" t="n"/>
      <c r="AV26" s="430" t="n"/>
      <c r="AW26" s="430" t="n"/>
    </row>
    <row r="27" ht="12" customHeight="1" s="244">
      <c r="A27" s="261" t="n"/>
      <c r="B27" s="403" t="n"/>
      <c r="C27" s="394" t="n"/>
      <c r="D27" s="261" t="n"/>
      <c r="E27" s="259" t="n"/>
      <c r="F27" s="406">
        <f>F17*(F14+F26)</f>
        <v/>
      </c>
      <c r="G27" s="406">
        <f>G17*(G14+G26)</f>
        <v/>
      </c>
      <c r="H27" s="406">
        <f>H17*(H14+H26)</f>
        <v/>
      </c>
      <c r="I27" s="406">
        <f>I17*(I14+I26)</f>
        <v/>
      </c>
      <c r="J27" s="406">
        <f>J17*(J14+J26)</f>
        <v/>
      </c>
      <c r="K27" s="406">
        <f>K17*(K14+K26)</f>
        <v/>
      </c>
      <c r="L27" s="406">
        <f>L17*(L14+L26)</f>
        <v/>
      </c>
      <c r="M27" s="406">
        <f>M17*(M14+M26)</f>
        <v/>
      </c>
      <c r="N27" s="406">
        <f>N17*(N14+N26)</f>
        <v/>
      </c>
      <c r="O27" s="406">
        <f>O17*(O14+O26)</f>
        <v/>
      </c>
      <c r="P27" s="406">
        <f>P17*(P14+P26)</f>
        <v/>
      </c>
      <c r="Q27" s="406">
        <f>Q17*(Q14+Q26)</f>
        <v/>
      </c>
      <c r="R27" s="406">
        <f>R17*(R14+R26)</f>
        <v/>
      </c>
      <c r="S27" s="406">
        <f>S17*(S14+S26)</f>
        <v/>
      </c>
      <c r="T27" s="406">
        <f>T17*(T14+T26)</f>
        <v/>
      </c>
      <c r="U27" s="406">
        <f>U17*(U14+U26)</f>
        <v/>
      </c>
      <c r="V27" s="406">
        <f>V17*(V14+V26)</f>
        <v/>
      </c>
      <c r="W27" s="406">
        <f>W17*(W14+W26)</f>
        <v/>
      </c>
      <c r="X27" s="406">
        <f>X17*(X14+X26)</f>
        <v/>
      </c>
      <c r="Y27" s="406">
        <f>Y17*(Y14+Y26)</f>
        <v/>
      </c>
      <c r="Z27" s="406">
        <f>Z17*(Z14+Z26)</f>
        <v/>
      </c>
      <c r="AA27" s="406">
        <f>AA17*(AA14+AA26)</f>
        <v/>
      </c>
      <c r="AB27" s="406">
        <f>AB17*(AB14+AB26)</f>
        <v/>
      </c>
      <c r="AC27" s="406">
        <f>AC17*(AC14+AC26)</f>
        <v/>
      </c>
      <c r="AD27" s="406">
        <f>AD17*(AD14+AD26)</f>
        <v/>
      </c>
      <c r="AE27" s="406">
        <f>AE17*(AE14+AE26)</f>
        <v/>
      </c>
      <c r="AF27" s="406">
        <f>AF17*(AF14+AF26)</f>
        <v/>
      </c>
      <c r="AG27" s="432" t="n"/>
      <c r="AH27" s="432" t="n"/>
      <c r="AI27" s="432" t="n"/>
      <c r="AJ27" s="432" t="n"/>
      <c r="AK27" s="432" t="n"/>
      <c r="AL27" s="432" t="n"/>
      <c r="AM27" s="432" t="n"/>
      <c r="AN27" s="432" t="n"/>
      <c r="AO27" s="432" t="n"/>
      <c r="AP27" s="432" t="n"/>
      <c r="AQ27" s="432" t="n"/>
      <c r="AR27" s="432" t="n"/>
      <c r="AS27" s="432" t="n"/>
      <c r="AT27" s="432" t="n"/>
      <c r="AU27" s="432" t="n"/>
      <c r="AV27" s="432" t="n"/>
      <c r="AW27" s="432" t="n"/>
    </row>
    <row r="28" ht="12" customHeight="1" s="244">
      <c r="A28" s="261" t="n"/>
      <c r="B28" s="403" t="n"/>
      <c r="C28" s="394" t="n"/>
      <c r="D28" s="261" t="n"/>
      <c r="E28" s="259" t="n"/>
      <c r="F28" s="407">
        <f>F27/(1.163*F25)</f>
        <v/>
      </c>
      <c r="G28" s="407">
        <f>G27/(1.163*G25)</f>
        <v/>
      </c>
      <c r="H28" s="407">
        <f>H27/(1.163*H25)</f>
        <v/>
      </c>
      <c r="I28" s="407">
        <f>I27/(1.163*I25)</f>
        <v/>
      </c>
      <c r="J28" s="407">
        <f>J27/(1.163*J25)</f>
        <v/>
      </c>
      <c r="K28" s="407">
        <f>K27/(1.163*K25)</f>
        <v/>
      </c>
      <c r="L28" s="407">
        <f>L27/(1.163*L25)</f>
        <v/>
      </c>
      <c r="M28" s="407">
        <f>M27/(1.163*M25)</f>
        <v/>
      </c>
      <c r="N28" s="407">
        <f>N27/(1.163*N25)</f>
        <v/>
      </c>
      <c r="O28" s="407">
        <f>O27/(1.163*O25)</f>
        <v/>
      </c>
      <c r="P28" s="407">
        <f>P27/(1.163*P25)</f>
        <v/>
      </c>
      <c r="Q28" s="407">
        <f>Q27/(1.163*Q25)</f>
        <v/>
      </c>
      <c r="R28" s="407">
        <f>R27/(1.163*R25)</f>
        <v/>
      </c>
      <c r="S28" s="407">
        <f>S27/(1.163*S25)</f>
        <v/>
      </c>
      <c r="T28" s="407">
        <f>T27/(1.163*T25)</f>
        <v/>
      </c>
      <c r="U28" s="407">
        <f>U27/(1.163*U25)</f>
        <v/>
      </c>
      <c r="V28" s="407">
        <f>V27/(1.163*V25)</f>
        <v/>
      </c>
      <c r="W28" s="407">
        <f>W27/(1.163*W25)</f>
        <v/>
      </c>
      <c r="X28" s="407">
        <f>X27/(1.163*X25)</f>
        <v/>
      </c>
      <c r="Y28" s="407">
        <f>Y27/(1.163*Y25)</f>
        <v/>
      </c>
      <c r="Z28" s="407">
        <f>Z27/(1.163*Z25)</f>
        <v/>
      </c>
      <c r="AA28" s="407">
        <f>AA27/(1.163*AA25)</f>
        <v/>
      </c>
      <c r="AB28" s="407">
        <f>AB27/(1.163*AB25)</f>
        <v/>
      </c>
      <c r="AC28" s="407">
        <f>AC27/(1.163*AC25)</f>
        <v/>
      </c>
      <c r="AD28" s="407">
        <f>AD27/(1.163*AD25)</f>
        <v/>
      </c>
      <c r="AE28" s="407">
        <f>AE27/(1.163*AE25)</f>
        <v/>
      </c>
      <c r="AF28" s="407">
        <f>AF27/(1.163*AF25)</f>
        <v/>
      </c>
      <c r="AG28" s="433" t="n"/>
      <c r="AH28" s="433" t="n"/>
      <c r="AI28" s="433" t="n"/>
      <c r="AJ28" s="433" t="n"/>
      <c r="AK28" s="433" t="n"/>
      <c r="AL28" s="433" t="n"/>
      <c r="AM28" s="433" t="n"/>
      <c r="AN28" s="433" t="n"/>
      <c r="AO28" s="433" t="n"/>
      <c r="AP28" s="433" t="n"/>
      <c r="AQ28" s="433" t="n"/>
      <c r="AR28" s="433" t="n"/>
      <c r="AS28" s="433" t="n"/>
      <c r="AT28" s="433" t="n"/>
      <c r="AU28" s="433" t="n"/>
      <c r="AV28" s="433" t="n"/>
      <c r="AW28" s="433" t="n"/>
    </row>
    <row r="29" ht="12" customHeight="1" s="244">
      <c r="A29" s="261" t="n"/>
      <c r="B29" s="403" t="n"/>
      <c r="C29" s="394" t="n"/>
      <c r="D29" s="261" t="n"/>
      <c r="E29" s="259" t="n"/>
      <c r="F29" s="408">
        <f>F17/(F22*0.01)</f>
        <v/>
      </c>
      <c r="G29" s="408">
        <f>G17/(G22*0.01)</f>
        <v/>
      </c>
      <c r="H29" s="408">
        <f>H17/(H22*0.01)</f>
        <v/>
      </c>
      <c r="I29" s="408">
        <f>I17/(I22*0.01)</f>
        <v/>
      </c>
      <c r="J29" s="408">
        <f>J17/(J22*0.01)</f>
        <v/>
      </c>
      <c r="K29" s="408">
        <f>K17/(K22*0.01)</f>
        <v/>
      </c>
      <c r="L29" s="408">
        <f>L17/(L22*0.01)</f>
        <v/>
      </c>
      <c r="M29" s="408">
        <f>M17/(M22*0.01)</f>
        <v/>
      </c>
      <c r="N29" s="408">
        <f>N17/(N22*0.01)</f>
        <v/>
      </c>
      <c r="O29" s="408">
        <f>O17/(O22*0.01)</f>
        <v/>
      </c>
      <c r="P29" s="408">
        <f>P17/(P22*0.01)</f>
        <v/>
      </c>
      <c r="Q29" s="408">
        <f>Q17/(Q22*0.01)</f>
        <v/>
      </c>
      <c r="R29" s="408">
        <f>R17/(R22*0.01)</f>
        <v/>
      </c>
      <c r="S29" s="408">
        <f>S17/(S22*0.01)</f>
        <v/>
      </c>
      <c r="T29" s="408">
        <f>T17/(T22*0.01)</f>
        <v/>
      </c>
      <c r="U29" s="408">
        <f>U17/(U22*0.01)</f>
        <v/>
      </c>
      <c r="V29" s="408">
        <f>V17/(V22*0.01)</f>
        <v/>
      </c>
      <c r="W29" s="408">
        <f>W17/(W22*0.01)</f>
        <v/>
      </c>
      <c r="X29" s="408">
        <f>X17/(X22*0.01)</f>
        <v/>
      </c>
      <c r="Y29" s="408">
        <f>Y17/(Y22*0.01)</f>
        <v/>
      </c>
      <c r="Z29" s="408">
        <f>Z17/(Z22*0.01)</f>
        <v/>
      </c>
      <c r="AA29" s="408">
        <f>AA17/(AA22*0.01)</f>
        <v/>
      </c>
      <c r="AB29" s="408">
        <f>AB17/(AB22*0.01)</f>
        <v/>
      </c>
      <c r="AC29" s="408">
        <f>AC17/(AC22*0.01)</f>
        <v/>
      </c>
      <c r="AD29" s="408">
        <f>AD17/(AD22*0.01)</f>
        <v/>
      </c>
      <c r="AE29" s="408">
        <f>AE17/(AE22*0.01)</f>
        <v/>
      </c>
      <c r="AF29" s="408">
        <f>AF17/(AF22*0.01)</f>
        <v/>
      </c>
      <c r="AG29" s="434" t="n"/>
      <c r="AH29" s="434" t="n"/>
      <c r="AI29" s="434" t="n"/>
      <c r="AJ29" s="434" t="n"/>
      <c r="AK29" s="434" t="n"/>
      <c r="AL29" s="434" t="n"/>
      <c r="AM29" s="434" t="n"/>
      <c r="AN29" s="434" t="n"/>
      <c r="AO29" s="434" t="n"/>
      <c r="AP29" s="434" t="n"/>
      <c r="AQ29" s="434" t="n"/>
      <c r="AR29" s="434" t="n"/>
      <c r="AS29" s="434" t="n"/>
      <c r="AT29" s="434" t="n"/>
      <c r="AU29" s="434" t="n"/>
      <c r="AV29" s="434" t="n"/>
      <c r="AW29" s="434" t="n"/>
    </row>
    <row r="30" ht="12" customHeight="1" s="244">
      <c r="A30" s="261" t="n"/>
      <c r="B30" s="403" t="n"/>
      <c r="C30" s="394" t="inlineStr">
        <is>
          <t>BAĞLANTI BORULARI</t>
        </is>
      </c>
      <c r="D30" s="261" t="inlineStr">
        <is>
          <t>Kollektör ayakları planda çizilmedi (0)</t>
        </is>
      </c>
      <c r="E30" s="259" t="n"/>
      <c r="F30" s="409" t="n">
        <v>0</v>
      </c>
      <c r="G30" s="409" t="n">
        <v>0</v>
      </c>
      <c r="H30" s="409" t="n">
        <v>0</v>
      </c>
      <c r="I30" s="409" t="n">
        <v>0</v>
      </c>
      <c r="J30" s="409" t="n">
        <v>0</v>
      </c>
      <c r="K30" s="409" t="n">
        <v>0</v>
      </c>
      <c r="L30" s="409" t="n">
        <v>0</v>
      </c>
      <c r="M30" s="409" t="n">
        <v>0</v>
      </c>
      <c r="N30" s="409" t="n">
        <v>0</v>
      </c>
      <c r="O30" s="409" t="n">
        <v>0</v>
      </c>
      <c r="P30" s="409" t="n">
        <v>0</v>
      </c>
      <c r="Q30" s="409" t="n">
        <v>0</v>
      </c>
      <c r="R30" s="409" t="n">
        <v>0</v>
      </c>
      <c r="S30" s="409" t="n">
        <v>0</v>
      </c>
      <c r="T30" s="409" t="n">
        <v>0</v>
      </c>
      <c r="U30" s="409" t="n">
        <v>0</v>
      </c>
      <c r="V30" s="409" t="n">
        <v>0</v>
      </c>
      <c r="W30" s="409" t="n">
        <v>0</v>
      </c>
      <c r="X30" s="409" t="n">
        <v>0</v>
      </c>
      <c r="Y30" s="409" t="n">
        <v>0</v>
      </c>
      <c r="Z30" s="409" t="n">
        <v>0</v>
      </c>
      <c r="AA30" s="409" t="n">
        <v>0</v>
      </c>
      <c r="AB30" s="409" t="n">
        <v>0</v>
      </c>
      <c r="AC30" s="409" t="n">
        <v>0</v>
      </c>
      <c r="AD30" s="409" t="n">
        <v>0</v>
      </c>
      <c r="AE30" s="409" t="n">
        <v>0</v>
      </c>
      <c r="AF30" s="409" t="n">
        <v>0</v>
      </c>
      <c r="AG30" s="435" t="n"/>
      <c r="AO30" s="435" t="n"/>
      <c r="AP30" s="435" t="n"/>
      <c r="AQ30" s="435" t="n"/>
      <c r="AR30" s="435" t="n"/>
      <c r="AS30" s="435" t="n"/>
      <c r="AT30" s="435" t="n"/>
      <c r="AU30" s="435" t="n"/>
      <c r="AV30" s="435" t="n"/>
      <c r="AW30" s="435" t="n"/>
    </row>
    <row r="31" ht="12" customHeight="1" s="244">
      <c r="A31" s="261" t="n"/>
      <c r="B31" s="403" t="n"/>
      <c r="C31" s="394" t="n"/>
      <c r="D31" s="261" t="n"/>
      <c r="E31" s="259" t="n"/>
      <c r="F31" s="396">
        <f>F29+F30</f>
        <v/>
      </c>
      <c r="G31" s="396">
        <f>G29+G30</f>
        <v/>
      </c>
      <c r="H31" s="396">
        <f>H29+H30</f>
        <v/>
      </c>
      <c r="I31" s="396">
        <f>I29+I30</f>
        <v/>
      </c>
      <c r="J31" s="396">
        <f>J29+J30</f>
        <v/>
      </c>
      <c r="K31" s="396">
        <f>K29+K30</f>
        <v/>
      </c>
      <c r="L31" s="396">
        <f>L29+L30</f>
        <v/>
      </c>
      <c r="M31" s="396">
        <f>M29+M30</f>
        <v/>
      </c>
      <c r="N31" s="396">
        <f>N29+N30</f>
        <v/>
      </c>
      <c r="O31" s="396">
        <f>O29+O30</f>
        <v/>
      </c>
      <c r="P31" s="396">
        <f>P29+P30</f>
        <v/>
      </c>
      <c r="Q31" s="396">
        <f>Q29+Q30</f>
        <v/>
      </c>
      <c r="R31" s="396">
        <f>R29+R30</f>
        <v/>
      </c>
      <c r="S31" s="396">
        <f>S29+S30</f>
        <v/>
      </c>
      <c r="T31" s="396">
        <f>T29+T30</f>
        <v/>
      </c>
      <c r="U31" s="396">
        <f>U29+U30</f>
        <v/>
      </c>
      <c r="V31" s="396">
        <f>V29+V30</f>
        <v/>
      </c>
      <c r="W31" s="396">
        <f>W29+W30</f>
        <v/>
      </c>
      <c r="X31" s="396">
        <f>X29+X30</f>
        <v/>
      </c>
      <c r="Y31" s="396">
        <f>Y29+Y30</f>
        <v/>
      </c>
      <c r="Z31" s="396">
        <f>Z29+Z30</f>
        <v/>
      </c>
      <c r="AA31" s="396">
        <f>AA29+AA30</f>
        <v/>
      </c>
      <c r="AB31" s="396">
        <f>AB29+AB30</f>
        <v/>
      </c>
      <c r="AC31" s="396">
        <f>AC29+AC30</f>
        <v/>
      </c>
      <c r="AD31" s="396">
        <f>AD29+AD30</f>
        <v/>
      </c>
      <c r="AE31" s="396">
        <f>AE29+AE30</f>
        <v/>
      </c>
      <c r="AF31" s="396">
        <f>AF29+AF30</f>
        <v/>
      </c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402" t="n"/>
      <c r="C32" s="39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408" t="n">
        <v>5155</v>
      </c>
      <c r="G32" s="408" t="n">
        <v>8120</v>
      </c>
      <c r="H32" s="408" t="n">
        <v>10381</v>
      </c>
      <c r="I32" s="408" t="n">
        <v>16301</v>
      </c>
      <c r="J32" s="408" t="n">
        <v>15906</v>
      </c>
      <c r="K32" s="408" t="n">
        <v>20560</v>
      </c>
      <c r="L32" s="408" t="n">
        <v>22734</v>
      </c>
      <c r="M32" s="408" t="n">
        <v>30</v>
      </c>
      <c r="N32" s="408" t="n">
        <v>1473</v>
      </c>
      <c r="O32" s="408" t="n">
        <v>4277</v>
      </c>
      <c r="P32" s="408" t="n">
        <v>7405</v>
      </c>
      <c r="Q32" s="408" t="n">
        <v>9188</v>
      </c>
      <c r="R32" s="408" t="n">
        <v>14154</v>
      </c>
      <c r="S32" s="408" t="n">
        <v>20025</v>
      </c>
      <c r="T32" s="408" t="n">
        <v>26089</v>
      </c>
      <c r="U32" s="408" t="n">
        <v>13109</v>
      </c>
      <c r="V32" s="408" t="n">
        <v>633</v>
      </c>
      <c r="W32" s="408" t="n">
        <v>1129</v>
      </c>
      <c r="X32" s="408" t="n">
        <v>8546</v>
      </c>
      <c r="Y32" s="408" t="n">
        <v>8159</v>
      </c>
      <c r="Z32" s="408" t="n">
        <v>9997</v>
      </c>
      <c r="AA32" s="408" t="n">
        <v>16286</v>
      </c>
      <c r="AB32" s="408" t="n">
        <v>16406</v>
      </c>
      <c r="AC32" s="408" t="n">
        <v>20429</v>
      </c>
      <c r="AD32" s="408" t="n">
        <v>22669</v>
      </c>
      <c r="AE32" s="408" t="n">
        <v>36</v>
      </c>
      <c r="AF32" s="408" t="n">
        <v>907</v>
      </c>
      <c r="AG32" s="434" t="n"/>
      <c r="AH32" s="434" t="n"/>
      <c r="AI32" s="434" t="n"/>
      <c r="AJ32" s="434" t="n"/>
      <c r="AK32" s="434" t="n"/>
      <c r="AL32" s="434" t="n"/>
      <c r="AM32" s="434" t="n"/>
      <c r="AN32" s="434" t="n"/>
      <c r="AO32" s="434" t="n"/>
      <c r="AP32" s="434" t="n"/>
      <c r="AQ32" s="434" t="n"/>
      <c r="AR32" s="434" t="n"/>
      <c r="AS32" s="434" t="n"/>
      <c r="AT32" s="434" t="n"/>
      <c r="AU32" s="434" t="n"/>
      <c r="AV32" s="434" t="n"/>
      <c r="AW32" s="434" t="n"/>
    </row>
    <row r="33" ht="12" customHeight="1" s="244">
      <c r="A33" s="261" t="n"/>
      <c r="B33" s="402" t="n"/>
      <c r="C33" s="394" t="n"/>
      <c r="D33" s="261" t="n"/>
      <c r="E33" s="259" t="n"/>
      <c r="F33" s="396">
        <f>F32*0.05</f>
        <v/>
      </c>
      <c r="G33" s="396">
        <f>G32*0.05</f>
        <v/>
      </c>
      <c r="H33" s="396">
        <f>H32*0.05</f>
        <v/>
      </c>
      <c r="I33" s="396">
        <f>I32*0.05</f>
        <v/>
      </c>
      <c r="J33" s="396">
        <f>J32*0.05</f>
        <v/>
      </c>
      <c r="K33" s="396">
        <f>K32*0.05</f>
        <v/>
      </c>
      <c r="L33" s="396">
        <f>L32*0.05</f>
        <v/>
      </c>
      <c r="M33" s="396">
        <f>M32*0.05</f>
        <v/>
      </c>
      <c r="N33" s="396">
        <f>N32*0.05</f>
        <v/>
      </c>
      <c r="O33" s="396">
        <f>O32*0.05</f>
        <v/>
      </c>
      <c r="P33" s="396">
        <f>P32*0.05</f>
        <v/>
      </c>
      <c r="Q33" s="396">
        <f>Q32*0.05</f>
        <v/>
      </c>
      <c r="R33" s="396">
        <f>R32*0.05</f>
        <v/>
      </c>
      <c r="S33" s="396">
        <f>S32*0.05</f>
        <v/>
      </c>
      <c r="T33" s="396">
        <f>T32*0.05</f>
        <v/>
      </c>
      <c r="U33" s="396">
        <f>U32*0.05</f>
        <v/>
      </c>
      <c r="V33" s="396">
        <f>V32*0.05</f>
        <v/>
      </c>
      <c r="W33" s="396">
        <f>W32*0.05</f>
        <v/>
      </c>
      <c r="X33" s="396">
        <f>X32*0.05</f>
        <v/>
      </c>
      <c r="Y33" s="396">
        <f>Y32*0.05</f>
        <v/>
      </c>
      <c r="Z33" s="396">
        <f>Z32*0.05</f>
        <v/>
      </c>
      <c r="AA33" s="396">
        <f>AA32*0.05</f>
        <v/>
      </c>
      <c r="AB33" s="396">
        <f>AB32*0.05</f>
        <v/>
      </c>
      <c r="AC33" s="396">
        <f>AC32*0.05</f>
        <v/>
      </c>
      <c r="AD33" s="396">
        <f>AD32*0.05</f>
        <v/>
      </c>
      <c r="AE33" s="396">
        <f>AE32*0.05</f>
        <v/>
      </c>
      <c r="AF33" s="396">
        <f>AF32*0.05</f>
        <v/>
      </c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402" t="n"/>
      <c r="C34" s="394" t="n"/>
      <c r="D34" s="261" t="n"/>
      <c r="E34" s="259" t="n"/>
      <c r="F34" s="396">
        <f>F32+F33</f>
        <v/>
      </c>
      <c r="G34" s="396">
        <f>G32+G33</f>
        <v/>
      </c>
      <c r="H34" s="396">
        <f>H32+H33</f>
        <v/>
      </c>
      <c r="I34" s="396">
        <f>I32+I33</f>
        <v/>
      </c>
      <c r="J34" s="396">
        <f>J32+J33</f>
        <v/>
      </c>
      <c r="K34" s="396">
        <f>K32+K33</f>
        <v/>
      </c>
      <c r="L34" s="396">
        <f>L32+L33</f>
        <v/>
      </c>
      <c r="M34" s="396">
        <f>M32+M33</f>
        <v/>
      </c>
      <c r="N34" s="396">
        <f>N32+N33</f>
        <v/>
      </c>
      <c r="O34" s="396">
        <f>O32+O33</f>
        <v/>
      </c>
      <c r="P34" s="396">
        <f>P32+P33</f>
        <v/>
      </c>
      <c r="Q34" s="396">
        <f>Q32+Q33</f>
        <v/>
      </c>
      <c r="R34" s="396">
        <f>R32+R33</f>
        <v/>
      </c>
      <c r="S34" s="396">
        <f>S32+S33</f>
        <v/>
      </c>
      <c r="T34" s="396">
        <f>T32+T33</f>
        <v/>
      </c>
      <c r="U34" s="396">
        <f>U32+U33</f>
        <v/>
      </c>
      <c r="V34" s="396">
        <f>V32+V33</f>
        <v/>
      </c>
      <c r="W34" s="396">
        <f>W32+W33</f>
        <v/>
      </c>
      <c r="X34" s="396">
        <f>X32+X33</f>
        <v/>
      </c>
      <c r="Y34" s="396">
        <f>Y32+Y33</f>
        <v/>
      </c>
      <c r="Z34" s="396">
        <f>Z32+Z33</f>
        <v/>
      </c>
      <c r="AA34" s="396">
        <f>AA32+AA33</f>
        <v/>
      </c>
      <c r="AB34" s="396">
        <f>AB32+AB33</f>
        <v/>
      </c>
      <c r="AC34" s="396">
        <f>AC32+AC33</f>
        <v/>
      </c>
      <c r="AD34" s="396">
        <f>AD32+AD33</f>
        <v/>
      </c>
      <c r="AE34" s="396">
        <f>AE32+AE33</f>
        <v/>
      </c>
      <c r="AF34" s="396">
        <f>AF32+AF33</f>
        <v/>
      </c>
      <c r="AG34" s="430" t="n"/>
      <c r="AH34" s="259" t="n"/>
      <c r="AI34" s="259" t="n"/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402" t="n"/>
      <c r="C35" s="282" t="n"/>
      <c r="D35" s="261" t="n"/>
      <c r="E35" s="259" t="n"/>
      <c r="F35" s="410">
        <f>MAX(F34:AF34)-F34</f>
        <v/>
      </c>
      <c r="G35" s="410">
        <f>MAX(F34:AF34)-G34</f>
        <v/>
      </c>
      <c r="H35" s="410">
        <f>MAX(F34:AF34)-H34</f>
        <v/>
      </c>
      <c r="I35" s="410">
        <f>MAX(F34:AF34)-I34</f>
        <v/>
      </c>
      <c r="J35" s="410">
        <f>MAX(F34:AF34)-J34</f>
        <v/>
      </c>
      <c r="K35" s="410">
        <f>MAX(F34:AF34)-K34</f>
        <v/>
      </c>
      <c r="L35" s="410">
        <f>MAX(F34:AF34)-L34</f>
        <v/>
      </c>
      <c r="M35" s="410">
        <f>MAX(F34:AF34)-M34</f>
        <v/>
      </c>
      <c r="N35" s="410">
        <f>MAX(F34:AF34)-N34</f>
        <v/>
      </c>
      <c r="O35" s="410">
        <f>MAX(F34:AF34)-O34</f>
        <v/>
      </c>
      <c r="P35" s="410">
        <f>MAX(F34:AF34)-P34</f>
        <v/>
      </c>
      <c r="Q35" s="410">
        <f>MAX(F34:AF34)-Q34</f>
        <v/>
      </c>
      <c r="R35" s="410">
        <f>MAX(F34:AF34)-R34</f>
        <v/>
      </c>
      <c r="S35" s="410">
        <f>MAX(F34:AF34)-S34</f>
        <v/>
      </c>
      <c r="T35" s="410">
        <f>MAX(F34:AF34)-T34</f>
        <v/>
      </c>
      <c r="U35" s="410">
        <f>MAX(F34:AF34)-U34</f>
        <v/>
      </c>
      <c r="V35" s="410">
        <f>MAX(F34:AF34)-V34</f>
        <v/>
      </c>
      <c r="W35" s="410">
        <f>MAX(F34:AF34)-W34</f>
        <v/>
      </c>
      <c r="X35" s="410">
        <f>MAX(F34:AF34)-X34</f>
        <v/>
      </c>
      <c r="Y35" s="410">
        <f>MAX(F34:AF34)-Y34</f>
        <v/>
      </c>
      <c r="Z35" s="410">
        <f>MAX(F34:AF34)-Z34</f>
        <v/>
      </c>
      <c r="AA35" s="410">
        <f>MAX(F34:AF34)-AA34</f>
        <v/>
      </c>
      <c r="AB35" s="410">
        <f>MAX(F34:AF34)-AB34</f>
        <v/>
      </c>
      <c r="AC35" s="410">
        <f>MAX(F34:AF34)-AC34</f>
        <v/>
      </c>
      <c r="AD35" s="410">
        <f>MAX(F34:AF34)-AD34</f>
        <v/>
      </c>
      <c r="AE35" s="410">
        <f>MAX(F34:AF34)-AE34</f>
        <v/>
      </c>
      <c r="AF35" s="410">
        <f>MAX(F34:AF34)-AF34</f>
        <v/>
      </c>
      <c r="AG35" s="436" t="n"/>
      <c r="AH35" s="436" t="n"/>
      <c r="AI35" s="436" t="n"/>
      <c r="AJ35" s="436" t="n"/>
      <c r="AK35" s="436" t="n"/>
      <c r="AL35" s="436" t="n"/>
      <c r="AM35" s="436" t="n"/>
      <c r="AN35" s="436" t="n"/>
      <c r="AO35" s="436" t="n"/>
      <c r="AP35" s="436" t="n"/>
      <c r="AQ35" s="436" t="n"/>
      <c r="AR35" s="436" t="n"/>
      <c r="AS35" s="436" t="n"/>
      <c r="AT35" s="436" t="n"/>
      <c r="AU35" s="436" t="n"/>
      <c r="AV35" s="436" t="n"/>
      <c r="AW35" s="436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B38" s="411" t="inlineStr">
        <is>
          <t>UYARI: 35 W/m × L esasında döşeme yüzey sıcaklığı sınırı aşılıyor (27 devre): 101-1 (39.9 °C), 102-2 (41.1 °C), 102-3 (41.1 °C), 103-4 (39.9 °C), 104-5 (39.6 °C), 105-6 (39.3 °C), 105-7 (39.3 °C), 106-8 (29.1 °C) ...</t>
        </is>
      </c>
      <c r="F38" s="243" t="inlineStr">
        <is>
          <t>GÖRE AYARLANMALIDIR….</t>
        </is>
      </c>
    </row>
    <row r="39" ht="12.75" customHeight="1" s="244">
      <c r="B39" s="412" t="inlineStr">
        <is>
          <t>Sınır içinde kalmak için q" ≤ 100 W/m² (oturma) gerekir; 35 W/m ile bu, boru aralığı ≈ 35 cm demektir. Boru aralığı 15 cm (kullanıcı seçimi) değiştirilmemiştir — ısı kaybı ile qh girilmelidir.</t>
        </is>
      </c>
      <c r="F39" s="413" t="inlineStr">
        <is>
          <t>Δpö</t>
        </is>
      </c>
      <c r="G39" s="413" t="inlineStr">
        <is>
          <t>EK VI-14i Tablosundan q değeri m³/h çevrilir DN10 borusu için</t>
        </is>
      </c>
      <c r="H39" s="413" t="n"/>
      <c r="I39" s="413" t="n"/>
    </row>
    <row r="40" ht="12.75" customHeight="1" s="244">
      <c r="A40" s="414" t="inlineStr">
        <is>
          <t xml:space="preserve"> (1)</t>
        </is>
      </c>
      <c r="B40" s="243" t="inlineStr">
        <is>
          <t>Şek. 19.7.1 den seçilmiştir.</t>
        </is>
      </c>
      <c r="F40" s="413" t="n"/>
      <c r="G40" s="413" t="inlineStr">
        <is>
          <t>R (Pa/m) 1metre borudaki basın. Kaybı bulunur..</t>
        </is>
      </c>
      <c r="H40" s="413" t="n"/>
      <c r="I40" s="413" t="n"/>
    </row>
    <row r="41" ht="12.75" customHeight="1" s="244">
      <c r="A41" s="414" t="inlineStr">
        <is>
          <t xml:space="preserve"> (2)</t>
        </is>
      </c>
      <c r="B41" s="243" t="inlineStr">
        <is>
          <t>Kombi gidiş suyu sıcaklığı 45 °C, dönüş 35 °C seçilmiştir.</t>
        </is>
      </c>
      <c r="F41" s="413" t="n"/>
      <c r="G41" s="413" t="inlineStr">
        <is>
          <t xml:space="preserve">toplam boru boyu ile çarpımından Δpö (Pa) bulunur.  </t>
        </is>
      </c>
      <c r="H41" s="413" t="n"/>
      <c r="I41" s="413" t="n"/>
    </row>
    <row r="42" ht="12.75" customHeight="1" s="244">
      <c r="A42" s="414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414" t="inlineStr">
        <is>
          <t xml:space="preserve"> (4)</t>
        </is>
      </c>
      <c r="B43" s="243" t="inlineStr">
        <is>
          <t>Alta geçen ısı 0,2 q" olarak alınmıştır. qh = 35 W/m × devre boyu (plan etiketi ve kolon şeması ile aynı esas); ayrı ısı kaybı hesabı yapılmamıştır.</t>
        </is>
      </c>
    </row>
    <row r="44" ht="12.75" customHeight="1" s="244">
      <c r="A44" s="414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414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414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415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B47"/>
  <sheetViews>
    <sheetView workbookViewId="0">
      <selection activeCell="A1" sqref="A1"/>
    </sheetView>
  </sheetViews>
  <sheetFormatPr baseColWidth="8" defaultColWidth="9.0546875" defaultRowHeight="12.75" zeroHeight="0" outlineLevelRow="0"/>
  <cols>
    <col width="4.14" customWidth="1" style="243" min="1" max="1"/>
    <col width="9.699999999999999" customWidth="1" style="243" min="2" max="2"/>
    <col width="34.71" customWidth="1" style="243" min="3" max="3"/>
    <col width="25.13" customWidth="1" style="266" min="4" max="4"/>
    <col width="6.41" customWidth="1" style="377" min="5" max="5"/>
    <col hidden="1" width="7.56" customWidth="1" style="243" min="6" max="6"/>
    <col hidden="1" width="7.7" customWidth="1" style="243" min="7" max="8"/>
    <col hidden="1" width="6.28" customWidth="1" style="243" min="9" max="14"/>
    <col width="6.99" customWidth="1" style="243" min="15" max="15"/>
    <col width="6.28" customWidth="1" style="243" min="16" max="16"/>
    <col width="6.85" customWidth="1" style="243" min="17" max="24"/>
    <col hidden="1" width="9.06" customWidth="1" style="243" min="25" max="25"/>
    <col hidden="1" width="7.56" customWidth="1" style="243" min="26" max="27"/>
    <col hidden="1" width="8.85" customWidth="1" style="243" min="28" max="28"/>
    <col hidden="1" width="9.140000000000001" customWidth="1" style="243" min="29" max="30"/>
    <col hidden="1" width="9.06" customWidth="1" style="243" min="31" max="40"/>
  </cols>
  <sheetData>
    <row r="1" ht="12.75" customHeight="1" s="244">
      <c r="A1" s="378" t="inlineStr">
        <is>
          <t>YERDEN ISITMA HESABI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416" t="n"/>
      <c r="Q1" s="417" t="n"/>
      <c r="R1" s="417" t="n"/>
      <c r="S1" s="417" t="n"/>
      <c r="T1" s="417" t="n"/>
      <c r="U1" s="417" t="n"/>
      <c r="V1" s="417" t="n"/>
      <c r="W1" s="417" t="n"/>
      <c r="X1" s="418" t="n"/>
      <c r="Y1" s="418" t="n"/>
    </row>
    <row r="2" ht="12.75" customFormat="1" customHeight="1" s="329">
      <c r="A2" s="380" t="inlineStr">
        <is>
          <t>2. KAT</t>
        </is>
      </c>
      <c r="B2" s="333" t="n"/>
      <c r="C2" s="381" t="inlineStr">
        <is>
          <t>DÖŞEMEDEN ISITMA HESAP ÖZETİ</t>
        </is>
      </c>
      <c r="D2" s="382" t="inlineStr">
        <is>
          <t>Ts.g  = 45 °C</t>
        </is>
      </c>
      <c r="E2" s="383" t="inlineStr">
        <is>
          <t>TOPLAM ISI = 44344 W</t>
        </is>
      </c>
      <c r="F2" s="264" t="n"/>
      <c r="G2" s="264" t="n"/>
      <c r="H2" s="264" t="n"/>
      <c r="I2" s="264" t="n"/>
      <c r="J2" s="264" t="n"/>
      <c r="K2" s="264" t="n"/>
      <c r="L2" s="264" t="n"/>
      <c r="M2" s="264" t="n"/>
      <c r="N2" s="264" t="n"/>
      <c r="O2" s="264" t="n"/>
      <c r="P2" s="264" t="n"/>
      <c r="Q2" s="264" t="n"/>
      <c r="R2" s="264" t="n"/>
      <c r="S2" s="264" t="n"/>
      <c r="T2" s="264" t="n"/>
      <c r="U2" s="264" t="n"/>
      <c r="V2" s="264" t="n"/>
      <c r="W2" s="264" t="n"/>
      <c r="X2" s="264" t="n"/>
      <c r="Y2" s="260" t="n"/>
      <c r="Z2" s="355" t="n"/>
      <c r="AA2" s="355" t="n"/>
      <c r="AB2" s="355" t="n"/>
      <c r="AC2" s="355" t="n"/>
    </row>
    <row r="3" ht="8.25" customFormat="1" customHeight="1" s="329">
      <c r="A3" s="332" t="n"/>
      <c r="B3" s="333" t="n"/>
      <c r="C3" s="337" t="n"/>
      <c r="D3" s="385" t="inlineStr">
        <is>
          <t>Isıtma Çevrim Sayısı : 27</t>
        </is>
      </c>
      <c r="E3" s="383" t="inlineStr">
        <is>
          <t>MAX. BASINÇ KAYBI = 28470 Pa</t>
        </is>
      </c>
      <c r="F3" s="250" t="n"/>
      <c r="G3" s="250" t="n"/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50" t="n"/>
      <c r="U3" s="250" t="n"/>
      <c r="V3" s="250" t="n"/>
      <c r="W3" s="250" t="n"/>
      <c r="X3" s="250" t="n"/>
      <c r="Y3" s="275" t="n"/>
      <c r="Z3" s="355" t="n"/>
      <c r="AA3" s="355" t="n"/>
      <c r="AB3" s="355" t="n"/>
      <c r="AC3" s="355" t="n"/>
    </row>
    <row r="4" ht="5.25" customFormat="1" customHeight="1" s="329">
      <c r="A4" s="332" t="n"/>
      <c r="B4" s="333" t="n"/>
      <c r="C4" s="337" t="n"/>
      <c r="D4" s="303" t="n"/>
      <c r="E4" s="278" t="n"/>
      <c r="F4" s="256" t="n"/>
      <c r="G4" s="256" t="n"/>
      <c r="H4" s="256" t="n"/>
      <c r="I4" s="256" t="n"/>
      <c r="J4" s="256" t="n"/>
      <c r="K4" s="256" t="n"/>
      <c r="L4" s="256" t="n"/>
      <c r="M4" s="256" t="n"/>
      <c r="N4" s="256" t="n"/>
      <c r="O4" s="256" t="n"/>
      <c r="P4" s="256" t="n"/>
      <c r="Q4" s="256" t="n"/>
      <c r="R4" s="256" t="n"/>
      <c r="S4" s="256" t="n"/>
      <c r="T4" s="256" t="n"/>
      <c r="U4" s="256" t="n"/>
      <c r="V4" s="256" t="n"/>
      <c r="W4" s="256" t="n"/>
      <c r="X4" s="256" t="n"/>
      <c r="Y4" s="277" t="n"/>
      <c r="Z4" s="355" t="n"/>
      <c r="AA4" s="355" t="n"/>
      <c r="AB4" s="355" t="n"/>
      <c r="AC4" s="355" t="n"/>
    </row>
    <row r="5" ht="15" customFormat="1" customHeight="1" s="329">
      <c r="A5" s="278" t="n"/>
      <c r="B5" s="277" t="n"/>
      <c r="C5" s="303" t="n"/>
      <c r="D5" s="331" t="inlineStr">
        <is>
          <t>Mak. Müh. CAN ÖZKAYA</t>
        </is>
      </c>
      <c r="E5" s="264" t="n"/>
      <c r="F5" s="264" t="n"/>
      <c r="G5" s="264" t="n"/>
      <c r="H5" s="264" t="n"/>
      <c r="I5" s="264" t="n"/>
      <c r="J5" s="260" t="n"/>
      <c r="K5" s="331" t="n"/>
      <c r="L5" s="331" t="n"/>
      <c r="M5" s="419" t="n"/>
      <c r="N5" s="419" t="n"/>
      <c r="O5" s="420" t="n"/>
      <c r="P5" s="420" t="n"/>
      <c r="Q5" s="420" t="n"/>
      <c r="R5" s="420" t="n"/>
      <c r="S5" s="420" t="n"/>
      <c r="T5" s="420" t="n"/>
      <c r="U5" s="420" t="n"/>
      <c r="V5" s="420" t="n"/>
      <c r="W5" s="420" t="n"/>
      <c r="X5" s="421" t="n"/>
      <c r="Y5" s="421" t="n"/>
      <c r="Z5" s="355" t="n"/>
      <c r="AA5" s="355" t="n"/>
      <c r="AB5" s="355" t="n"/>
      <c r="AC5" s="355" t="n"/>
    </row>
    <row r="6" ht="12" customHeight="1" s="244">
      <c r="A6" s="387" t="n"/>
      <c r="B6" s="387" t="n"/>
      <c r="C6" s="387" t="n"/>
      <c r="D6" s="387" t="n"/>
      <c r="E6" s="388" t="n"/>
      <c r="F6" s="243" t="n"/>
      <c r="G6" s="243" t="n"/>
      <c r="H6" s="243" t="n"/>
      <c r="I6" s="243" t="n"/>
      <c r="J6" s="243" t="n"/>
      <c r="K6" s="243" t="n"/>
      <c r="L6" s="243" t="n"/>
      <c r="M6" s="243" t="n"/>
      <c r="N6" s="243" t="n"/>
      <c r="O6" s="243" t="n"/>
      <c r="P6" s="243" t="n"/>
    </row>
    <row r="7" ht="12" customHeight="1" s="244">
      <c r="A7" s="261" t="n"/>
      <c r="B7" s="389" t="n"/>
      <c r="C7" s="390" t="n"/>
      <c r="D7" s="389" t="n"/>
      <c r="E7" s="391" t="n"/>
      <c r="F7" s="392" t="n">
        <v>1</v>
      </c>
      <c r="G7" s="392" t="n">
        <v>2</v>
      </c>
      <c r="H7" s="392" t="n">
        <v>3</v>
      </c>
      <c r="I7" s="392" t="n">
        <v>4</v>
      </c>
      <c r="J7" s="392" t="n">
        <v>5</v>
      </c>
      <c r="K7" s="392" t="n">
        <v>6</v>
      </c>
      <c r="L7" s="392" t="n">
        <v>7</v>
      </c>
      <c r="M7" s="392" t="n">
        <v>8</v>
      </c>
      <c r="N7" s="392" t="n">
        <v>9</v>
      </c>
      <c r="O7" s="392" t="n">
        <v>10</v>
      </c>
      <c r="P7" s="392" t="n">
        <v>11</v>
      </c>
      <c r="Q7" s="392" t="n">
        <v>12</v>
      </c>
      <c r="R7" s="392" t="n">
        <v>13</v>
      </c>
      <c r="S7" s="392" t="n">
        <v>14</v>
      </c>
      <c r="T7" s="392" t="n">
        <v>15</v>
      </c>
      <c r="U7" s="392" t="n">
        <v>16</v>
      </c>
      <c r="V7" s="392" t="n">
        <v>17</v>
      </c>
      <c r="W7" s="392" t="n">
        <v>18</v>
      </c>
      <c r="X7" s="392" t="n">
        <v>19</v>
      </c>
      <c r="Y7" s="392" t="n">
        <v>20</v>
      </c>
      <c r="Z7" s="392" t="n">
        <v>21</v>
      </c>
      <c r="AA7" s="392" t="n">
        <v>22</v>
      </c>
      <c r="AB7" s="392" t="n">
        <v>23</v>
      </c>
      <c r="AC7" s="392" t="n">
        <v>24</v>
      </c>
      <c r="AD7" s="392" t="n">
        <v>25</v>
      </c>
      <c r="AE7" s="392" t="n">
        <v>26</v>
      </c>
      <c r="AF7" s="392" t="n">
        <v>27</v>
      </c>
      <c r="AG7" s="391" t="n"/>
      <c r="AH7" s="391" t="n"/>
      <c r="AI7" s="391" t="n"/>
      <c r="AJ7" s="391" t="n"/>
      <c r="AK7" s="391" t="n"/>
      <c r="AL7" s="391" t="n"/>
      <c r="AM7" s="391" t="n"/>
      <c r="AN7" s="391" t="n"/>
      <c r="AO7" s="391" t="n"/>
      <c r="AP7" s="391" t="n"/>
      <c r="AQ7" s="391" t="n"/>
      <c r="AR7" s="391" t="n"/>
      <c r="AS7" s="391" t="n"/>
      <c r="AT7" s="391" t="n"/>
      <c r="AU7" s="391" t="n"/>
      <c r="AV7" s="391" t="n"/>
      <c r="AW7" s="391" t="n"/>
    </row>
    <row r="8" ht="12" customHeight="1" s="244">
      <c r="A8" s="261" t="n"/>
      <c r="B8" s="389" t="n"/>
      <c r="C8" s="390" t="n"/>
      <c r="D8" s="389" t="n"/>
      <c r="E8" s="391" t="n"/>
      <c r="F8" s="393" t="inlineStr">
        <is>
          <t>201</t>
        </is>
      </c>
      <c r="G8" s="393" t="inlineStr">
        <is>
          <t>202</t>
        </is>
      </c>
      <c r="H8" s="393" t="inlineStr">
        <is>
          <t>202</t>
        </is>
      </c>
      <c r="I8" s="393" t="inlineStr">
        <is>
          <t>203</t>
        </is>
      </c>
      <c r="J8" s="393" t="inlineStr">
        <is>
          <t>204</t>
        </is>
      </c>
      <c r="K8" s="393" t="inlineStr">
        <is>
          <t>205</t>
        </is>
      </c>
      <c r="L8" s="393" t="inlineStr">
        <is>
          <t>205</t>
        </is>
      </c>
      <c r="M8" s="393" t="inlineStr">
        <is>
          <t>206</t>
        </is>
      </c>
      <c r="N8" s="393" t="inlineStr">
        <is>
          <t>207</t>
        </is>
      </c>
      <c r="O8" s="393" t="inlineStr">
        <is>
          <t>208</t>
        </is>
      </c>
      <c r="P8" s="393" t="inlineStr">
        <is>
          <t>209</t>
        </is>
      </c>
      <c r="Q8" s="393" t="inlineStr">
        <is>
          <t>209</t>
        </is>
      </c>
      <c r="R8" s="393" t="inlineStr">
        <is>
          <t>210</t>
        </is>
      </c>
      <c r="S8" s="393" t="inlineStr">
        <is>
          <t>211</t>
        </is>
      </c>
      <c r="T8" s="393" t="inlineStr">
        <is>
          <t>211</t>
        </is>
      </c>
      <c r="U8" s="393" t="inlineStr">
        <is>
          <t>212</t>
        </is>
      </c>
      <c r="V8" s="393" t="inlineStr">
        <is>
          <t>213</t>
        </is>
      </c>
      <c r="W8" s="393" t="inlineStr">
        <is>
          <t>214</t>
        </is>
      </c>
      <c r="X8" s="393" t="inlineStr">
        <is>
          <t>215</t>
        </is>
      </c>
      <c r="Y8" s="393" t="inlineStr">
        <is>
          <t>216</t>
        </is>
      </c>
      <c r="Z8" s="393" t="inlineStr">
        <is>
          <t>216</t>
        </is>
      </c>
      <c r="AA8" s="393" t="inlineStr">
        <is>
          <t>217</t>
        </is>
      </c>
      <c r="AB8" s="393" t="inlineStr">
        <is>
          <t>218</t>
        </is>
      </c>
      <c r="AC8" s="393" t="inlineStr">
        <is>
          <t>219</t>
        </is>
      </c>
      <c r="AD8" s="393" t="inlineStr">
        <is>
          <t>219</t>
        </is>
      </c>
      <c r="AE8" s="393" t="inlineStr">
        <is>
          <t>220</t>
        </is>
      </c>
      <c r="AF8" s="393" t="inlineStr">
        <is>
          <t>221</t>
        </is>
      </c>
      <c r="AG8" s="391" t="n"/>
      <c r="AH8" s="391" t="n"/>
      <c r="AI8" s="391" t="n"/>
      <c r="AJ8" s="391" t="n"/>
      <c r="AK8" s="391" t="n"/>
      <c r="AL8" s="391" t="n"/>
      <c r="AM8" s="391" t="n"/>
      <c r="AN8" s="391" t="n"/>
      <c r="AO8" s="391" t="n"/>
      <c r="AP8" s="391" t="n"/>
      <c r="AQ8" s="391" t="n"/>
      <c r="AR8" s="422" t="n"/>
      <c r="AS8" s="391" t="n"/>
      <c r="AT8" s="391" t="n"/>
      <c r="AU8" s="391" t="n"/>
      <c r="AV8" s="391" t="n"/>
      <c r="AW8" s="422" t="n"/>
    </row>
    <row r="9" ht="30" customHeight="1" s="244">
      <c r="A9" s="261" t="n"/>
      <c r="B9" s="282" t="n"/>
      <c r="C9" s="394" t="n"/>
      <c r="D9" s="261" t="n"/>
      <c r="E9" s="259" t="n"/>
      <c r="F9" s="395" t="inlineStr">
        <is>
          <t>D7 mutfak</t>
        </is>
      </c>
      <c r="G9" s="395" t="inlineStr">
        <is>
          <t>D7 yatak od.</t>
        </is>
      </c>
      <c r="H9" s="395" t="inlineStr">
        <is>
          <t>D7 yatak od.</t>
        </is>
      </c>
      <c r="I9" s="395" t="inlineStr">
        <is>
          <t>D7 yatak od.</t>
        </is>
      </c>
      <c r="J9" s="395" t="inlineStr">
        <is>
          <t>D7 yatak od.</t>
        </is>
      </c>
      <c r="K9" s="395" t="inlineStr">
        <is>
          <t>D7 salon</t>
        </is>
      </c>
      <c r="L9" s="395" t="inlineStr">
        <is>
          <t>D7 salon</t>
        </is>
      </c>
      <c r="M9" s="395" t="inlineStr">
        <is>
          <t>D7 antre-kor.</t>
        </is>
      </c>
      <c r="N9" s="395" t="inlineStr">
        <is>
          <t>D7 banyo</t>
        </is>
      </c>
      <c r="O9" s="395" t="inlineStr">
        <is>
          <t>D8 mutfak</t>
        </is>
      </c>
      <c r="P9" s="395" t="inlineStr">
        <is>
          <t>D8 yatak od.</t>
        </is>
      </c>
      <c r="Q9" s="395" t="inlineStr">
        <is>
          <t>D8 yatak od.</t>
        </is>
      </c>
      <c r="R9" s="395" t="inlineStr">
        <is>
          <t>D8 yatak od.</t>
        </is>
      </c>
      <c r="S9" s="395" t="inlineStr">
        <is>
          <t>D8 salon</t>
        </is>
      </c>
      <c r="T9" s="395" t="inlineStr">
        <is>
          <t>D8 salon</t>
        </is>
      </c>
      <c r="U9" s="395" t="inlineStr">
        <is>
          <t>D8 oda</t>
        </is>
      </c>
      <c r="V9" s="395" t="inlineStr">
        <is>
          <t>D8 antre-kor.</t>
        </is>
      </c>
      <c r="W9" s="395" t="inlineStr">
        <is>
          <t>D8 wc-banyo</t>
        </is>
      </c>
      <c r="X9" s="395" t="inlineStr">
        <is>
          <t>D9 mutfak</t>
        </is>
      </c>
      <c r="Y9" s="395" t="inlineStr">
        <is>
          <t>D9 yatak od.</t>
        </is>
      </c>
      <c r="Z9" s="395" t="inlineStr">
        <is>
          <t>D9 yatak od.</t>
        </is>
      </c>
      <c r="AA9" s="395" t="inlineStr">
        <is>
          <t>D9 yatak od.</t>
        </is>
      </c>
      <c r="AB9" s="395" t="inlineStr">
        <is>
          <t>D9 yatak od.</t>
        </is>
      </c>
      <c r="AC9" s="395" t="inlineStr">
        <is>
          <t>D9 salon</t>
        </is>
      </c>
      <c r="AD9" s="395" t="inlineStr">
        <is>
          <t>D9 salon</t>
        </is>
      </c>
      <c r="AE9" s="395" t="inlineStr">
        <is>
          <t>D9 antre-kor.</t>
        </is>
      </c>
      <c r="AF9" s="395" t="inlineStr">
        <is>
          <t>D9 banyo</t>
        </is>
      </c>
      <c r="AG9" s="423" t="n"/>
      <c r="AH9" s="423" t="n"/>
      <c r="AI9" s="423" t="n"/>
      <c r="AJ9" s="391" t="n"/>
      <c r="AK9" s="391" t="n"/>
      <c r="AL9" s="391" t="n"/>
      <c r="AM9" s="391" t="n"/>
      <c r="AN9" s="391" t="n"/>
      <c r="AO9" s="424" t="n"/>
      <c r="AP9" s="424" t="n"/>
      <c r="AQ9" s="424" t="n"/>
      <c r="AR9" s="425" t="n"/>
      <c r="AS9" s="425" t="n"/>
      <c r="AT9" s="424" t="n"/>
      <c r="AU9" s="424" t="n"/>
      <c r="AV9" s="424" t="n"/>
      <c r="AW9" s="424" t="n"/>
    </row>
    <row r="10" ht="12" customHeight="1" s="244">
      <c r="A10" s="261" t="n"/>
      <c r="B10" s="282" t="n"/>
      <c r="C10" s="394" t="n"/>
      <c r="D10" s="261" t="n"/>
      <c r="E10" s="259" t="n"/>
      <c r="F10" s="396" t="n">
        <v>20</v>
      </c>
      <c r="G10" s="396" t="n">
        <v>20</v>
      </c>
      <c r="H10" s="396" t="n">
        <v>20</v>
      </c>
      <c r="I10" s="396" t="n">
        <v>20</v>
      </c>
      <c r="J10" s="396" t="n">
        <v>20</v>
      </c>
      <c r="K10" s="396" t="n">
        <v>20</v>
      </c>
      <c r="L10" s="396" t="n">
        <v>20</v>
      </c>
      <c r="M10" s="396" t="n">
        <v>15</v>
      </c>
      <c r="N10" s="396" t="n">
        <v>24</v>
      </c>
      <c r="O10" s="396" t="n">
        <v>20</v>
      </c>
      <c r="P10" s="396" t="n">
        <v>20</v>
      </c>
      <c r="Q10" s="396" t="n">
        <v>20</v>
      </c>
      <c r="R10" s="396" t="n">
        <v>20</v>
      </c>
      <c r="S10" s="396" t="n">
        <v>20</v>
      </c>
      <c r="T10" s="396" t="n">
        <v>20</v>
      </c>
      <c r="U10" s="396" t="n">
        <v>20</v>
      </c>
      <c r="V10" s="396" t="n">
        <v>15</v>
      </c>
      <c r="W10" s="396" t="n">
        <v>24</v>
      </c>
      <c r="X10" s="396" t="n">
        <v>20</v>
      </c>
      <c r="Y10" s="396" t="n">
        <v>20</v>
      </c>
      <c r="Z10" s="396" t="n">
        <v>20</v>
      </c>
      <c r="AA10" s="396" t="n">
        <v>20</v>
      </c>
      <c r="AB10" s="396" t="n">
        <v>20</v>
      </c>
      <c r="AC10" s="396" t="n">
        <v>20</v>
      </c>
      <c r="AD10" s="396" t="n">
        <v>20</v>
      </c>
      <c r="AE10" s="396" t="n">
        <v>15</v>
      </c>
      <c r="AF10" s="396" t="n">
        <v>24</v>
      </c>
      <c r="AG10" s="259" t="n"/>
      <c r="AH10" s="259" t="n"/>
      <c r="AI10" s="259" t="n"/>
      <c r="AJ10" s="259" t="n"/>
      <c r="AK10" s="259" t="n"/>
      <c r="AL10" s="259" t="n"/>
      <c r="AM10" s="259" t="n"/>
      <c r="AN10" s="259" t="n"/>
      <c r="AO10" s="259" t="n"/>
      <c r="AP10" s="259" t="n"/>
      <c r="AQ10" s="259" t="n"/>
      <c r="AR10" s="259" t="n"/>
      <c r="AS10" s="259" t="n"/>
      <c r="AT10" s="259" t="n"/>
      <c r="AU10" s="259" t="n"/>
      <c r="AV10" s="259" t="n"/>
      <c r="AW10" s="259" t="n"/>
    </row>
    <row r="11" ht="12" customHeight="1" s="244">
      <c r="A11" s="261" t="n"/>
      <c r="B11" s="282" t="n"/>
      <c r="C11" s="394" t="n"/>
      <c r="D11" s="261" t="n"/>
      <c r="E11" s="259" t="n"/>
      <c r="F11" s="396" t="n">
        <v>20</v>
      </c>
      <c r="G11" s="396" t="n">
        <v>20</v>
      </c>
      <c r="H11" s="396" t="n">
        <v>20</v>
      </c>
      <c r="I11" s="396" t="n">
        <v>20</v>
      </c>
      <c r="J11" s="396" t="n">
        <v>20</v>
      </c>
      <c r="K11" s="396" t="n">
        <v>20</v>
      </c>
      <c r="L11" s="396" t="n">
        <v>20</v>
      </c>
      <c r="M11" s="396" t="n">
        <v>20</v>
      </c>
      <c r="N11" s="396" t="n">
        <v>20</v>
      </c>
      <c r="O11" s="396" t="n">
        <v>20</v>
      </c>
      <c r="P11" s="396" t="n">
        <v>20</v>
      </c>
      <c r="Q11" s="396" t="n">
        <v>20</v>
      </c>
      <c r="R11" s="396" t="n">
        <v>20</v>
      </c>
      <c r="S11" s="396" t="n">
        <v>20</v>
      </c>
      <c r="T11" s="396" t="n">
        <v>20</v>
      </c>
      <c r="U11" s="396" t="n">
        <v>20</v>
      </c>
      <c r="V11" s="396" t="n">
        <v>20</v>
      </c>
      <c r="W11" s="396" t="n">
        <v>20</v>
      </c>
      <c r="X11" s="396" t="n">
        <v>20</v>
      </c>
      <c r="Y11" s="396" t="n">
        <v>20</v>
      </c>
      <c r="Z11" s="396" t="n">
        <v>20</v>
      </c>
      <c r="AA11" s="396" t="n">
        <v>20</v>
      </c>
      <c r="AB11" s="396" t="n">
        <v>20</v>
      </c>
      <c r="AC11" s="396" t="n">
        <v>20</v>
      </c>
      <c r="AD11" s="396" t="n">
        <v>20</v>
      </c>
      <c r="AE11" s="396" t="n">
        <v>20</v>
      </c>
      <c r="AF11" s="396" t="n">
        <v>20</v>
      </c>
      <c r="AG11" s="259" t="n"/>
      <c r="AH11" s="259" t="n"/>
      <c r="AI11" s="259" t="n"/>
      <c r="AJ11" s="259" t="n"/>
      <c r="AK11" s="259" t="n"/>
      <c r="AL11" s="259" t="n"/>
      <c r="AM11" s="259" t="n"/>
      <c r="AN11" s="259" t="n"/>
      <c r="AO11" s="259" t="n"/>
      <c r="AP11" s="259" t="n"/>
      <c r="AQ11" s="259" t="n"/>
      <c r="AR11" s="259" t="n"/>
      <c r="AS11" s="259" t="n"/>
      <c r="AT11" s="259" t="n"/>
      <c r="AU11" s="259" t="n"/>
      <c r="AV11" s="259" t="n"/>
      <c r="AW11" s="259" t="n"/>
    </row>
    <row r="12" ht="12" customHeight="1" s="244">
      <c r="A12" s="261" t="n">
        <v>6</v>
      </c>
      <c r="B12" s="282" t="n"/>
      <c r="C12" s="394" t="n"/>
      <c r="D12" s="261" t="n"/>
      <c r="E12" s="259" t="n"/>
      <c r="F12" s="397" t="n">
        <v>7.57</v>
      </c>
      <c r="G12" s="397" t="n">
        <v>6.35</v>
      </c>
      <c r="H12" s="397" t="n">
        <v>6.95</v>
      </c>
      <c r="I12" s="397" t="n">
        <v>8.76</v>
      </c>
      <c r="J12" s="397" t="n">
        <v>8.83</v>
      </c>
      <c r="K12" s="397" t="n">
        <v>9.800000000000001</v>
      </c>
      <c r="L12" s="397" t="n">
        <v>10.23</v>
      </c>
      <c r="M12" s="397" t="n">
        <v>1.24</v>
      </c>
      <c r="N12" s="397" t="n">
        <v>3.64</v>
      </c>
      <c r="O12" s="397" t="n">
        <v>5.7</v>
      </c>
      <c r="P12" s="397" t="n">
        <v>6.78</v>
      </c>
      <c r="Q12" s="397" t="n">
        <v>7.38</v>
      </c>
      <c r="R12" s="397" t="n">
        <v>8.66</v>
      </c>
      <c r="S12" s="397" t="n">
        <v>11.08</v>
      </c>
      <c r="T12" s="397" t="n">
        <v>9.68</v>
      </c>
      <c r="U12" s="397" t="n">
        <v>7.28</v>
      </c>
      <c r="V12" s="397" t="n">
        <v>2.81</v>
      </c>
      <c r="W12" s="397" t="n">
        <v>2.37</v>
      </c>
      <c r="X12" s="397" t="n">
        <v>6.9</v>
      </c>
      <c r="Y12" s="397" t="n">
        <v>6.47</v>
      </c>
      <c r="Z12" s="397" t="n">
        <v>6.96</v>
      </c>
      <c r="AA12" s="397" t="n">
        <v>8.77</v>
      </c>
      <c r="AB12" s="397" t="n">
        <v>8.85</v>
      </c>
      <c r="AC12" s="397" t="n">
        <v>9.720000000000001</v>
      </c>
      <c r="AD12" s="397" t="n">
        <v>10.26</v>
      </c>
      <c r="AE12" s="397" t="n">
        <v>1.1</v>
      </c>
      <c r="AF12" s="397" t="n">
        <v>3.67</v>
      </c>
      <c r="AG12" s="426" t="n"/>
      <c r="AH12" s="426" t="n"/>
      <c r="AI12" s="426" t="n"/>
      <c r="AJ12" s="426" t="n"/>
      <c r="AK12" s="427" t="n"/>
      <c r="AL12" s="427" t="n"/>
      <c r="AM12" s="427" t="n"/>
      <c r="AN12" s="426" t="n"/>
      <c r="AO12" s="426" t="n"/>
      <c r="AP12" s="426" t="n"/>
      <c r="AQ12" s="426" t="n"/>
      <c r="AR12" s="426" t="n"/>
      <c r="AS12" s="426" t="n"/>
      <c r="AT12" s="426" t="n"/>
      <c r="AU12" s="426" t="n"/>
      <c r="AV12" s="426" t="n"/>
      <c r="AW12" s="426" t="n"/>
    </row>
    <row r="13" ht="12" customHeight="1" s="244">
      <c r="A13" s="261" t="n"/>
      <c r="B13" s="282" t="n"/>
      <c r="C13" s="394" t="inlineStr">
        <is>
          <t>DEVRE ISIL GÜCÜ</t>
        </is>
      </c>
      <c r="D13" s="261" t="inlineStr">
        <is>
          <t>35 W/m × L (planla aynı)</t>
        </is>
      </c>
      <c r="E13" s="259" t="n"/>
      <c r="F13" s="398" t="n">
        <v>1760.5</v>
      </c>
      <c r="G13" s="398" t="n">
        <v>1616</v>
      </c>
      <c r="H13" s="398" t="n">
        <v>1767.5</v>
      </c>
      <c r="I13" s="398" t="n">
        <v>2087.8</v>
      </c>
      <c r="J13" s="398" t="n">
        <v>2075.8</v>
      </c>
      <c r="K13" s="398" t="n">
        <v>2256.4</v>
      </c>
      <c r="L13" s="398" t="n">
        <v>2355.2</v>
      </c>
      <c r="M13" s="398" t="n">
        <v>255.8</v>
      </c>
      <c r="N13" s="398" t="n">
        <v>897.8</v>
      </c>
      <c r="O13" s="398" t="n">
        <v>1253</v>
      </c>
      <c r="P13" s="398" t="n">
        <v>1561.7</v>
      </c>
      <c r="Q13" s="398" t="n">
        <v>1699.2</v>
      </c>
      <c r="R13" s="398" t="n">
        <v>1982.4</v>
      </c>
      <c r="S13" s="398" t="n">
        <v>2515.5</v>
      </c>
      <c r="T13" s="398" t="n">
        <v>2199</v>
      </c>
      <c r="U13" s="398" t="n">
        <v>1927.1</v>
      </c>
      <c r="V13" s="398" t="n">
        <v>450.8</v>
      </c>
      <c r="W13" s="398" t="n">
        <v>786.4</v>
      </c>
      <c r="X13" s="398" t="n">
        <v>1660</v>
      </c>
      <c r="Y13" s="398" t="n">
        <v>1622.6</v>
      </c>
      <c r="Z13" s="398" t="n">
        <v>1747.5</v>
      </c>
      <c r="AA13" s="398" t="n">
        <v>2094.8</v>
      </c>
      <c r="AB13" s="398" t="n">
        <v>2088.8</v>
      </c>
      <c r="AC13" s="398" t="n">
        <v>2239.7</v>
      </c>
      <c r="AD13" s="398" t="n">
        <v>2364.2</v>
      </c>
      <c r="AE13" s="398" t="n">
        <v>174.3</v>
      </c>
      <c r="AF13" s="398" t="n">
        <v>904</v>
      </c>
      <c r="AG13" s="428" t="n"/>
      <c r="AH13" s="428" t="n"/>
      <c r="AI13" s="428" t="n"/>
      <c r="AJ13" s="428" t="n"/>
      <c r="AK13" s="428" t="n"/>
      <c r="AL13" s="428" t="n"/>
      <c r="AM13" s="428" t="n"/>
      <c r="AN13" s="428" t="n"/>
      <c r="AO13" s="428" t="n"/>
      <c r="AP13" s="428" t="n"/>
      <c r="AQ13" s="428" t="n"/>
      <c r="AR13" s="428" t="n"/>
      <c r="AS13" s="428" t="n"/>
      <c r="AT13" s="428" t="n"/>
      <c r="AU13" s="428" t="n"/>
      <c r="AV13" s="428" t="n"/>
      <c r="AW13" s="428" t="n"/>
    </row>
    <row r="14" ht="12" customHeight="1" s="244">
      <c r="A14" s="261" t="n"/>
      <c r="B14" s="282" t="n"/>
      <c r="C14" s="394" t="n"/>
      <c r="D14" s="261" t="n"/>
      <c r="E14" s="259" t="n"/>
      <c r="F14" s="399">
        <f>F13/F12</f>
        <v/>
      </c>
      <c r="G14" s="399">
        <f>G13/G12</f>
        <v/>
      </c>
      <c r="H14" s="399">
        <f>H13/H12</f>
        <v/>
      </c>
      <c r="I14" s="399">
        <f>I13/I12</f>
        <v/>
      </c>
      <c r="J14" s="399">
        <f>J13/J12</f>
        <v/>
      </c>
      <c r="K14" s="399">
        <f>K13/K12</f>
        <v/>
      </c>
      <c r="L14" s="399">
        <f>L13/L12</f>
        <v/>
      </c>
      <c r="M14" s="399">
        <f>M13/M12</f>
        <v/>
      </c>
      <c r="N14" s="399">
        <f>N13/N12</f>
        <v/>
      </c>
      <c r="O14" s="399">
        <f>O13/O12</f>
        <v/>
      </c>
      <c r="P14" s="399">
        <f>P13/P12</f>
        <v/>
      </c>
      <c r="Q14" s="399">
        <f>Q13/Q12</f>
        <v/>
      </c>
      <c r="R14" s="399">
        <f>R13/R12</f>
        <v/>
      </c>
      <c r="S14" s="399">
        <f>S13/S12</f>
        <v/>
      </c>
      <c r="T14" s="399">
        <f>T13/T12</f>
        <v/>
      </c>
      <c r="U14" s="399">
        <f>U13/U12</f>
        <v/>
      </c>
      <c r="V14" s="399">
        <f>V13/V12</f>
        <v/>
      </c>
      <c r="W14" s="399">
        <f>W13/W12</f>
        <v/>
      </c>
      <c r="X14" s="399">
        <f>X13/X12</f>
        <v/>
      </c>
      <c r="Y14" s="399">
        <f>Y13/Y12</f>
        <v/>
      </c>
      <c r="Z14" s="399">
        <f>Z13/Z12</f>
        <v/>
      </c>
      <c r="AA14" s="399">
        <f>AA13/AA12</f>
        <v/>
      </c>
      <c r="AB14" s="399">
        <f>AB13/AB12</f>
        <v/>
      </c>
      <c r="AC14" s="399">
        <f>AC13/AC12</f>
        <v/>
      </c>
      <c r="AD14" s="399">
        <f>AD13/AD12</f>
        <v/>
      </c>
      <c r="AE14" s="399">
        <f>AE13/AE12</f>
        <v/>
      </c>
      <c r="AF14" s="399">
        <f>AF13/AF12</f>
        <v/>
      </c>
      <c r="AG14" s="429" t="n"/>
      <c r="AH14" s="429" t="n"/>
      <c r="AI14" s="429" t="n"/>
      <c r="AJ14" s="429" t="n"/>
      <c r="AK14" s="429" t="n"/>
      <c r="AL14" s="429" t="n"/>
      <c r="AM14" s="429" t="n"/>
      <c r="AN14" s="429" t="n"/>
      <c r="AO14" s="429" t="n"/>
      <c r="AP14" s="429" t="n"/>
      <c r="AQ14" s="429" t="n"/>
      <c r="AR14" s="429" t="n"/>
      <c r="AS14" s="429" t="n"/>
      <c r="AT14" s="429" t="n"/>
      <c r="AU14" s="429" t="n"/>
      <c r="AV14" s="429" t="n"/>
      <c r="AW14" s="429" t="n"/>
    </row>
    <row r="15" ht="12" customHeight="1" s="244">
      <c r="A15" s="261" t="n"/>
      <c r="B15" s="282" t="n"/>
      <c r="C15" s="394" t="n"/>
      <c r="D15" s="261" t="n"/>
      <c r="E15" s="259" t="n"/>
      <c r="F15" s="396" t="n">
        <v>0.012</v>
      </c>
      <c r="G15" s="396" t="n">
        <v>0.012</v>
      </c>
      <c r="H15" s="396" t="n">
        <v>0.012</v>
      </c>
      <c r="I15" s="396" t="n">
        <v>0.012</v>
      </c>
      <c r="J15" s="396" t="n">
        <v>0.012</v>
      </c>
      <c r="K15" s="396" t="n">
        <v>0.012</v>
      </c>
      <c r="L15" s="396" t="n">
        <v>0.012</v>
      </c>
      <c r="M15" s="396" t="n">
        <v>0.012</v>
      </c>
      <c r="N15" s="396" t="n">
        <v>0.012</v>
      </c>
      <c r="O15" s="396" t="n">
        <v>0.012</v>
      </c>
      <c r="P15" s="396" t="n">
        <v>0.012</v>
      </c>
      <c r="Q15" s="396" t="n">
        <v>0.012</v>
      </c>
      <c r="R15" s="396" t="n">
        <v>0.012</v>
      </c>
      <c r="S15" s="396" t="n">
        <v>0.012</v>
      </c>
      <c r="T15" s="396" t="n">
        <v>0.012</v>
      </c>
      <c r="U15" s="396" t="n">
        <v>0.012</v>
      </c>
      <c r="V15" s="396" t="n">
        <v>0.012</v>
      </c>
      <c r="W15" s="396" t="n">
        <v>0.012</v>
      </c>
      <c r="X15" s="396" t="n">
        <v>0.012</v>
      </c>
      <c r="Y15" s="396" t="n">
        <v>0.012</v>
      </c>
      <c r="Z15" s="396" t="n">
        <v>0.012</v>
      </c>
      <c r="AA15" s="396" t="n">
        <v>0.012</v>
      </c>
      <c r="AB15" s="396" t="n">
        <v>0.012</v>
      </c>
      <c r="AC15" s="396" t="n">
        <v>0.012</v>
      </c>
      <c r="AD15" s="396" t="n">
        <v>0.012</v>
      </c>
      <c r="AE15" s="396" t="n">
        <v>0.012</v>
      </c>
      <c r="AF15" s="396" t="n">
        <v>0.012</v>
      </c>
      <c r="AG15" s="259" t="n"/>
      <c r="AH15" s="259" t="n"/>
      <c r="AI15" s="259" t="n"/>
      <c r="AJ15" s="259" t="n"/>
      <c r="AK15" s="259" t="n"/>
      <c r="AL15" s="259" t="n"/>
      <c r="AM15" s="259" t="n"/>
      <c r="AN15" s="259" t="n"/>
      <c r="AO15" s="259" t="n"/>
      <c r="AP15" s="259" t="n"/>
      <c r="AQ15" s="259" t="n"/>
      <c r="AR15" s="259" t="n"/>
      <c r="AS15" s="259" t="n"/>
      <c r="AT15" s="259" t="n"/>
      <c r="AU15" s="259" t="n"/>
      <c r="AV15" s="259" t="n"/>
      <c r="AW15" s="259" t="n"/>
    </row>
    <row r="16" ht="12" customHeight="1" s="244">
      <c r="A16" s="261" t="n"/>
      <c r="B16" s="282" t="n"/>
      <c r="C16" s="394" t="n"/>
      <c r="D16" s="261" t="n"/>
      <c r="E16" s="259" t="n"/>
      <c r="F16" s="397" t="n">
        <v>1</v>
      </c>
      <c r="G16" s="397" t="n">
        <v>1</v>
      </c>
      <c r="H16" s="397" t="n">
        <v>1</v>
      </c>
      <c r="I16" s="397" t="n">
        <v>1</v>
      </c>
      <c r="J16" s="397" t="n">
        <v>1</v>
      </c>
      <c r="K16" s="397" t="n">
        <v>1</v>
      </c>
      <c r="L16" s="397" t="n">
        <v>1</v>
      </c>
      <c r="M16" s="397" t="n">
        <v>1</v>
      </c>
      <c r="N16" s="397" t="n">
        <v>1</v>
      </c>
      <c r="O16" s="397" t="n">
        <v>1</v>
      </c>
      <c r="P16" s="397" t="n">
        <v>1</v>
      </c>
      <c r="Q16" s="397" t="n">
        <v>1</v>
      </c>
      <c r="R16" s="397" t="n">
        <v>1</v>
      </c>
      <c r="S16" s="397" t="n">
        <v>1</v>
      </c>
      <c r="T16" s="397" t="n">
        <v>1</v>
      </c>
      <c r="U16" s="397" t="n">
        <v>1</v>
      </c>
      <c r="V16" s="397" t="n">
        <v>1</v>
      </c>
      <c r="W16" s="397" t="n">
        <v>1</v>
      </c>
      <c r="X16" s="397" t="n">
        <v>1</v>
      </c>
      <c r="Y16" s="397" t="n">
        <v>1</v>
      </c>
      <c r="Z16" s="397" t="n">
        <v>1</v>
      </c>
      <c r="AA16" s="397" t="n">
        <v>1</v>
      </c>
      <c r="AB16" s="397" t="n">
        <v>1</v>
      </c>
      <c r="AC16" s="397" t="n">
        <v>1</v>
      </c>
      <c r="AD16" s="397" t="n">
        <v>1</v>
      </c>
      <c r="AE16" s="397" t="n">
        <v>1</v>
      </c>
      <c r="AF16" s="397" t="n">
        <v>1</v>
      </c>
      <c r="AG16" s="426" t="n"/>
      <c r="AH16" s="426" t="n"/>
      <c r="AI16" s="426" t="n"/>
      <c r="AJ16" s="426" t="n"/>
      <c r="AK16" s="426" t="n"/>
      <c r="AL16" s="426" t="n"/>
      <c r="AM16" s="426" t="n"/>
      <c r="AN16" s="426" t="n"/>
      <c r="AO16" s="426" t="n"/>
      <c r="AP16" s="426" t="n"/>
      <c r="AQ16" s="426" t="n"/>
      <c r="AR16" s="426" t="n"/>
      <c r="AS16" s="426" t="n"/>
      <c r="AT16" s="426" t="n"/>
      <c r="AU16" s="426" t="n"/>
      <c r="AV16" s="426" t="n"/>
      <c r="AW16" s="426" t="n"/>
    </row>
    <row r="17" ht="12" customHeight="1" s="244">
      <c r="A17" s="261" t="n"/>
      <c r="B17" s="282" t="n"/>
      <c r="C17" s="394" t="n"/>
      <c r="D17" s="261" t="n"/>
      <c r="E17" s="259" t="n"/>
      <c r="F17" s="396">
        <f>F12</f>
        <v/>
      </c>
      <c r="G17" s="396">
        <f>G12</f>
        <v/>
      </c>
      <c r="H17" s="396">
        <f>H12</f>
        <v/>
      </c>
      <c r="I17" s="396">
        <f>I12</f>
        <v/>
      </c>
      <c r="J17" s="396">
        <f>J12</f>
        <v/>
      </c>
      <c r="K17" s="396">
        <f>K12</f>
        <v/>
      </c>
      <c r="L17" s="396">
        <f>L12</f>
        <v/>
      </c>
      <c r="M17" s="396">
        <f>M12</f>
        <v/>
      </c>
      <c r="N17" s="396">
        <f>N12</f>
        <v/>
      </c>
      <c r="O17" s="396">
        <f>O12</f>
        <v/>
      </c>
      <c r="P17" s="396">
        <f>P12</f>
        <v/>
      </c>
      <c r="Q17" s="396">
        <f>Q12</f>
        <v/>
      </c>
      <c r="R17" s="396">
        <f>R12</f>
        <v/>
      </c>
      <c r="S17" s="396">
        <f>S12</f>
        <v/>
      </c>
      <c r="T17" s="396">
        <f>T12</f>
        <v/>
      </c>
      <c r="U17" s="396">
        <f>U12</f>
        <v/>
      </c>
      <c r="V17" s="396">
        <f>V12</f>
        <v/>
      </c>
      <c r="W17" s="396">
        <f>W12</f>
        <v/>
      </c>
      <c r="X17" s="396">
        <f>X12</f>
        <v/>
      </c>
      <c r="Y17" s="396">
        <f>Y12</f>
        <v/>
      </c>
      <c r="Z17" s="396">
        <f>Z12</f>
        <v/>
      </c>
      <c r="AA17" s="396">
        <f>AA12</f>
        <v/>
      </c>
      <c r="AB17" s="396">
        <f>AB12</f>
        <v/>
      </c>
      <c r="AC17" s="396">
        <f>AC12</f>
        <v/>
      </c>
      <c r="AD17" s="396">
        <f>AD12</f>
        <v/>
      </c>
      <c r="AE17" s="396">
        <f>AE12</f>
        <v/>
      </c>
      <c r="AF17" s="396">
        <f>AF12</f>
        <v/>
      </c>
      <c r="AG17" s="259" t="n"/>
      <c r="AH17" s="259" t="n"/>
      <c r="AI17" s="259" t="n"/>
      <c r="AJ17" s="259" t="n"/>
      <c r="AK17" s="259" t="n"/>
      <c r="AL17" s="259" t="n"/>
      <c r="AM17" s="259" t="n"/>
      <c r="AN17" s="259" t="n"/>
      <c r="AO17" s="259" t="n"/>
      <c r="AP17" s="259" t="n"/>
      <c r="AQ17" s="259" t="n"/>
      <c r="AR17" s="259" t="n"/>
      <c r="AS17" s="259" t="n"/>
      <c r="AT17" s="259" t="n"/>
      <c r="AU17" s="259" t="n"/>
      <c r="AV17" s="259" t="n"/>
      <c r="AW17" s="259" t="n"/>
    </row>
    <row r="18" ht="16.5" customHeight="1" s="244">
      <c r="A18" s="261" t="n"/>
      <c r="B18" s="282" t="n"/>
      <c r="C18" s="394" t="n"/>
      <c r="D18" s="261" t="n"/>
      <c r="E18" s="259" t="n"/>
      <c r="F18" s="400">
        <f>F13/F17</f>
        <v/>
      </c>
      <c r="G18" s="400">
        <f>G13/G17</f>
        <v/>
      </c>
      <c r="H18" s="400">
        <f>H13/H17</f>
        <v/>
      </c>
      <c r="I18" s="400">
        <f>I13/I17</f>
        <v/>
      </c>
      <c r="J18" s="400">
        <f>J13/J17</f>
        <v/>
      </c>
      <c r="K18" s="400">
        <f>K13/K17</f>
        <v/>
      </c>
      <c r="L18" s="400">
        <f>L13/L17</f>
        <v/>
      </c>
      <c r="M18" s="400">
        <f>M13/M17</f>
        <v/>
      </c>
      <c r="N18" s="400">
        <f>N13/N17</f>
        <v/>
      </c>
      <c r="O18" s="400">
        <f>O13/O17</f>
        <v/>
      </c>
      <c r="P18" s="400">
        <f>P13/P17</f>
        <v/>
      </c>
      <c r="Q18" s="400">
        <f>Q13/Q17</f>
        <v/>
      </c>
      <c r="R18" s="400">
        <f>R13/R17</f>
        <v/>
      </c>
      <c r="S18" s="400">
        <f>S13/S17</f>
        <v/>
      </c>
      <c r="T18" s="400">
        <f>T13/T17</f>
        <v/>
      </c>
      <c r="U18" s="400">
        <f>U13/U17</f>
        <v/>
      </c>
      <c r="V18" s="400">
        <f>V13/V17</f>
        <v/>
      </c>
      <c r="W18" s="400">
        <f>W13/W17</f>
        <v/>
      </c>
      <c r="X18" s="400">
        <f>X13/X17</f>
        <v/>
      </c>
      <c r="Y18" s="400">
        <f>Y13/Y17</f>
        <v/>
      </c>
      <c r="Z18" s="400">
        <f>Z13/Z17</f>
        <v/>
      </c>
      <c r="AA18" s="400">
        <f>AA13/AA17</f>
        <v/>
      </c>
      <c r="AB18" s="400">
        <f>AB13/AB17</f>
        <v/>
      </c>
      <c r="AC18" s="400">
        <f>AC13/AC17</f>
        <v/>
      </c>
      <c r="AD18" s="400">
        <f>AD13/AD17</f>
        <v/>
      </c>
      <c r="AE18" s="400">
        <f>AE13/AE17</f>
        <v/>
      </c>
      <c r="AF18" s="400">
        <f>AF13/AF17</f>
        <v/>
      </c>
      <c r="AG18" s="430" t="n"/>
      <c r="AH18" s="430" t="n"/>
      <c r="AI18" s="430" t="n"/>
      <c r="AJ18" s="430" t="n"/>
      <c r="AK18" s="430" t="n"/>
      <c r="AL18" s="430" t="n"/>
      <c r="AM18" s="430" t="n"/>
      <c r="AN18" s="430" t="n"/>
      <c r="AO18" s="430" t="n"/>
      <c r="AP18" s="430" t="n"/>
      <c r="AQ18" s="430" t="n"/>
      <c r="AR18" s="430" t="n"/>
      <c r="AS18" s="430" t="n"/>
      <c r="AT18" s="430" t="n"/>
      <c r="AU18" s="430" t="n"/>
      <c r="AV18" s="430" t="n"/>
      <c r="AW18" s="430" t="n"/>
    </row>
    <row r="19" ht="19.5" customHeight="1" s="244">
      <c r="A19" s="261" t="n"/>
      <c r="B19" s="282" t="n"/>
      <c r="C19" s="394" t="n"/>
      <c r="D19" s="261" t="n"/>
      <c r="E19" s="259" t="n"/>
      <c r="F19" s="401">
        <f>F10+(F14/8.92)^0.91</f>
        <v/>
      </c>
      <c r="G19" s="401">
        <f>G10+(G14/8.92)^0.91</f>
        <v/>
      </c>
      <c r="H19" s="401">
        <f>H10+(H14/8.92)^0.91</f>
        <v/>
      </c>
      <c r="I19" s="401">
        <f>I10+(I14/8.92)^0.91</f>
        <v/>
      </c>
      <c r="J19" s="401">
        <f>J10+(J14/8.92)^0.91</f>
        <v/>
      </c>
      <c r="K19" s="401">
        <f>K10+(K14/8.92)^0.91</f>
        <v/>
      </c>
      <c r="L19" s="401">
        <f>L10+(L14/8.92)^0.91</f>
        <v/>
      </c>
      <c r="M19" s="401">
        <f>M10+(M14/8.92)^0.91</f>
        <v/>
      </c>
      <c r="N19" s="401">
        <f>N10+(N14/8.92)^0.91</f>
        <v/>
      </c>
      <c r="O19" s="401">
        <f>O10+(O14/8.92)^0.91</f>
        <v/>
      </c>
      <c r="P19" s="401">
        <f>P10+(P14/8.92)^0.91</f>
        <v/>
      </c>
      <c r="Q19" s="401">
        <f>Q10+(Q14/8.92)^0.91</f>
        <v/>
      </c>
      <c r="R19" s="401">
        <f>R10+(R14/8.92)^0.91</f>
        <v/>
      </c>
      <c r="S19" s="401">
        <f>S10+(S14/8.92)^0.91</f>
        <v/>
      </c>
      <c r="T19" s="401">
        <f>T10+(T14/8.92)^0.91</f>
        <v/>
      </c>
      <c r="U19" s="401">
        <f>U10+(U14/8.92)^0.91</f>
        <v/>
      </c>
      <c r="V19" s="400">
        <f>V10+(V14/8.92)^0.91</f>
        <v/>
      </c>
      <c r="W19" s="401">
        <f>W10+(W14/8.92)^0.91</f>
        <v/>
      </c>
      <c r="X19" s="401">
        <f>X10+(X14/8.92)^0.91</f>
        <v/>
      </c>
      <c r="Y19" s="401">
        <f>Y10+(Y14/8.92)^0.91</f>
        <v/>
      </c>
      <c r="Z19" s="401">
        <f>Z10+(Z14/8.92)^0.91</f>
        <v/>
      </c>
      <c r="AA19" s="401">
        <f>AA10+(AA14/8.92)^0.91</f>
        <v/>
      </c>
      <c r="AB19" s="401">
        <f>AB10+(AB14/8.92)^0.91</f>
        <v/>
      </c>
      <c r="AC19" s="401">
        <f>AC10+(AC14/8.92)^0.91</f>
        <v/>
      </c>
      <c r="AD19" s="401">
        <f>AD10+(AD14/8.92)^0.91</f>
        <v/>
      </c>
      <c r="AE19" s="400">
        <f>AE10+(AE14/8.92)^0.91</f>
        <v/>
      </c>
      <c r="AF19" s="401">
        <f>AF10+(AF14/8.92)^0.91</f>
        <v/>
      </c>
      <c r="AG19" s="430" t="n"/>
      <c r="AH19" s="430" t="n"/>
      <c r="AI19" s="430" t="n"/>
      <c r="AJ19" s="430" t="n"/>
      <c r="AK19" s="430" t="n"/>
      <c r="AL19" s="430" t="n"/>
      <c r="AM19" s="430" t="n"/>
      <c r="AN19" s="430" t="n"/>
      <c r="AO19" s="430" t="n"/>
      <c r="AP19" s="430" t="n"/>
      <c r="AQ19" s="430" t="n"/>
      <c r="AR19" s="430" t="n"/>
      <c r="AS19" s="430" t="n"/>
      <c r="AT19" s="430" t="n"/>
      <c r="AU19" s="430" t="n"/>
      <c r="AV19" s="430" t="n"/>
      <c r="AW19" s="430" t="n"/>
    </row>
    <row r="20" ht="12" customHeight="1" s="244">
      <c r="A20" s="261" t="n"/>
      <c r="B20" s="282" t="n"/>
      <c r="C20" s="394" t="n"/>
      <c r="D20" s="261" t="n"/>
      <c r="E20" s="259" t="n"/>
      <c r="F20" s="396" t="n">
        <v>45</v>
      </c>
      <c r="G20" s="396" t="n">
        <v>45</v>
      </c>
      <c r="H20" s="396" t="n">
        <v>45</v>
      </c>
      <c r="I20" s="396" t="n">
        <v>45</v>
      </c>
      <c r="J20" s="396" t="n">
        <v>45</v>
      </c>
      <c r="K20" s="396" t="n">
        <v>45</v>
      </c>
      <c r="L20" s="396" t="n">
        <v>45</v>
      </c>
      <c r="M20" s="396" t="n">
        <v>45</v>
      </c>
      <c r="N20" s="396" t="n">
        <v>45</v>
      </c>
      <c r="O20" s="396" t="n">
        <v>45</v>
      </c>
      <c r="P20" s="396" t="n">
        <v>45</v>
      </c>
      <c r="Q20" s="396" t="n">
        <v>45</v>
      </c>
      <c r="R20" s="396" t="n">
        <v>45</v>
      </c>
      <c r="S20" s="396" t="n">
        <v>45</v>
      </c>
      <c r="T20" s="396" t="n">
        <v>45</v>
      </c>
      <c r="U20" s="396" t="n">
        <v>45</v>
      </c>
      <c r="V20" s="396" t="n">
        <v>45</v>
      </c>
      <c r="W20" s="396" t="n">
        <v>45</v>
      </c>
      <c r="X20" s="396" t="n">
        <v>45</v>
      </c>
      <c r="Y20" s="396" t="n">
        <v>45</v>
      </c>
      <c r="Z20" s="396" t="n">
        <v>45</v>
      </c>
      <c r="AA20" s="396" t="n">
        <v>45</v>
      </c>
      <c r="AB20" s="396" t="n">
        <v>45</v>
      </c>
      <c r="AC20" s="396" t="n">
        <v>45</v>
      </c>
      <c r="AD20" s="396" t="n">
        <v>45</v>
      </c>
      <c r="AE20" s="396" t="n">
        <v>45</v>
      </c>
      <c r="AF20" s="396" t="n">
        <v>45</v>
      </c>
      <c r="AG20" s="259" t="n"/>
      <c r="AH20" s="259" t="n"/>
      <c r="AI20" s="259" t="n"/>
      <c r="AJ20" s="259" t="n"/>
      <c r="AK20" s="259" t="n"/>
      <c r="AL20" s="259" t="n"/>
      <c r="AM20" s="259" t="n"/>
      <c r="AN20" s="259" t="n"/>
      <c r="AO20" s="259" t="n"/>
      <c r="AP20" s="259" t="n"/>
      <c r="AQ20" s="259" t="n"/>
      <c r="AR20" s="259" t="n"/>
      <c r="AS20" s="259" t="n"/>
      <c r="AT20" s="259" t="n"/>
      <c r="AU20" s="259" t="n"/>
      <c r="AV20" s="259" t="n"/>
      <c r="AW20" s="259" t="n"/>
    </row>
    <row r="21" ht="12" customHeight="1" s="244">
      <c r="A21" s="261" t="n"/>
      <c r="B21" s="402" t="n"/>
      <c r="C21" s="394" t="n"/>
      <c r="D21" s="261" t="n"/>
      <c r="E21" s="259" t="n"/>
      <c r="F21" s="396">
        <f>F20-F10</f>
        <v/>
      </c>
      <c r="G21" s="396">
        <f>G20-G10</f>
        <v/>
      </c>
      <c r="H21" s="396">
        <f>H20-H10</f>
        <v/>
      </c>
      <c r="I21" s="396">
        <f>I20-I10</f>
        <v/>
      </c>
      <c r="J21" s="396">
        <f>J20-J10</f>
        <v/>
      </c>
      <c r="K21" s="396">
        <f>K20-K10</f>
        <v/>
      </c>
      <c r="L21" s="396">
        <f>L20-L10</f>
        <v/>
      </c>
      <c r="M21" s="396">
        <f>M20-M10</f>
        <v/>
      </c>
      <c r="N21" s="396">
        <f>N20-N10</f>
        <v/>
      </c>
      <c r="O21" s="396">
        <f>O20-O10</f>
        <v/>
      </c>
      <c r="P21" s="396">
        <f>P20-P10</f>
        <v/>
      </c>
      <c r="Q21" s="396">
        <f>Q20-Q10</f>
        <v/>
      </c>
      <c r="R21" s="396">
        <f>R20-R10</f>
        <v/>
      </c>
      <c r="S21" s="396">
        <f>S20-S10</f>
        <v/>
      </c>
      <c r="T21" s="396">
        <f>T20-T10</f>
        <v/>
      </c>
      <c r="U21" s="396">
        <f>U20-U10</f>
        <v/>
      </c>
      <c r="V21" s="396">
        <f>V20-V10</f>
        <v/>
      </c>
      <c r="W21" s="396">
        <f>W20-W10</f>
        <v/>
      </c>
      <c r="X21" s="396">
        <f>X20-X10</f>
        <v/>
      </c>
      <c r="Y21" s="396">
        <f>Y20-Y10</f>
        <v/>
      </c>
      <c r="Z21" s="396">
        <f>Z20-Z10</f>
        <v/>
      </c>
      <c r="AA21" s="396">
        <f>AA20-AA10</f>
        <v/>
      </c>
      <c r="AB21" s="396">
        <f>AB20-AB10</f>
        <v/>
      </c>
      <c r="AC21" s="396">
        <f>AC20-AC10</f>
        <v/>
      </c>
      <c r="AD21" s="396">
        <f>AD20-AD10</f>
        <v/>
      </c>
      <c r="AE21" s="396">
        <f>AE20-AE10</f>
        <v/>
      </c>
      <c r="AF21" s="396">
        <f>AF20-AF10</f>
        <v/>
      </c>
      <c r="AG21" s="259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</row>
    <row r="22" ht="12" customHeight="1" s="244">
      <c r="A22" s="261" t="n"/>
      <c r="B22" s="403" t="n"/>
      <c r="C22" s="394" t="n"/>
      <c r="D22" s="261" t="n"/>
      <c r="E22" s="259" t="n"/>
      <c r="F22" s="396" t="n">
        <v>15</v>
      </c>
      <c r="G22" s="396" t="n">
        <v>15</v>
      </c>
      <c r="H22" s="396" t="n">
        <v>15</v>
      </c>
      <c r="I22" s="396" t="n">
        <v>15</v>
      </c>
      <c r="J22" s="396" t="n">
        <v>15</v>
      </c>
      <c r="K22" s="396" t="n">
        <v>15</v>
      </c>
      <c r="L22" s="396" t="n">
        <v>15</v>
      </c>
      <c r="M22" s="396" t="n">
        <v>15</v>
      </c>
      <c r="N22" s="396" t="n">
        <v>15</v>
      </c>
      <c r="O22" s="396" t="n">
        <v>15</v>
      </c>
      <c r="P22" s="396" t="n">
        <v>15</v>
      </c>
      <c r="Q22" s="396" t="n">
        <v>15</v>
      </c>
      <c r="R22" s="396" t="n">
        <v>15</v>
      </c>
      <c r="S22" s="396" t="n">
        <v>15</v>
      </c>
      <c r="T22" s="396" t="n">
        <v>15</v>
      </c>
      <c r="U22" s="396" t="n">
        <v>15</v>
      </c>
      <c r="V22" s="396" t="n">
        <v>15</v>
      </c>
      <c r="W22" s="396" t="n">
        <v>15</v>
      </c>
      <c r="X22" s="396" t="n">
        <v>15</v>
      </c>
      <c r="Y22" s="396" t="n">
        <v>15</v>
      </c>
      <c r="Z22" s="396" t="n">
        <v>15</v>
      </c>
      <c r="AA22" s="396" t="n">
        <v>15</v>
      </c>
      <c r="AB22" s="396" t="n">
        <v>15</v>
      </c>
      <c r="AC22" s="396" t="n">
        <v>15</v>
      </c>
      <c r="AD22" s="396" t="n">
        <v>15</v>
      </c>
      <c r="AE22" s="396" t="n">
        <v>15</v>
      </c>
      <c r="AF22" s="396" t="n">
        <v>15</v>
      </c>
      <c r="AG22" s="259" t="n"/>
      <c r="AH22" s="259" t="n"/>
      <c r="AI22" s="259" t="n"/>
      <c r="AJ22" s="259" t="n"/>
      <c r="AK22" s="259" t="n"/>
      <c r="AL22" s="259" t="n"/>
      <c r="AM22" s="259" t="n"/>
      <c r="AN22" s="259" t="n"/>
      <c r="AO22" s="259" t="n"/>
      <c r="AP22" s="259" t="n"/>
      <c r="AQ22" s="259" t="n"/>
      <c r="AR22" s="259" t="n"/>
      <c r="AS22" s="259" t="n"/>
      <c r="AT22" s="259" t="n"/>
      <c r="AU22" s="259" t="n"/>
      <c r="AV22" s="259" t="n"/>
      <c r="AW22" s="259" t="n"/>
    </row>
    <row r="23" ht="12" customHeight="1" s="244">
      <c r="A23" s="261" t="n"/>
      <c r="B23" s="403" t="n"/>
      <c r="C23" s="394" t="n"/>
      <c r="D23" s="261" t="n"/>
      <c r="E23" s="259" t="n"/>
      <c r="F23" s="404" t="n">
        <v>40</v>
      </c>
      <c r="G23" s="404" t="n">
        <v>40</v>
      </c>
      <c r="H23" s="404" t="n">
        <v>40</v>
      </c>
      <c r="I23" s="404" t="n">
        <v>40</v>
      </c>
      <c r="J23" s="404" t="n">
        <v>40</v>
      </c>
      <c r="K23" s="404" t="n">
        <v>40</v>
      </c>
      <c r="L23" s="404" t="n">
        <v>40</v>
      </c>
      <c r="M23" s="404" t="n">
        <v>40</v>
      </c>
      <c r="N23" s="404" t="n">
        <v>40</v>
      </c>
      <c r="O23" s="404" t="n">
        <v>40</v>
      </c>
      <c r="P23" s="404" t="n">
        <v>40</v>
      </c>
      <c r="Q23" s="404" t="n">
        <v>40</v>
      </c>
      <c r="R23" s="404" t="n">
        <v>40</v>
      </c>
      <c r="S23" s="404" t="n">
        <v>40</v>
      </c>
      <c r="T23" s="404" t="n">
        <v>40</v>
      </c>
      <c r="U23" s="404" t="n">
        <v>40</v>
      </c>
      <c r="V23" s="404" t="n">
        <v>40</v>
      </c>
      <c r="W23" s="404" t="n">
        <v>40</v>
      </c>
      <c r="X23" s="404" t="n">
        <v>40</v>
      </c>
      <c r="Y23" s="404" t="n">
        <v>40</v>
      </c>
      <c r="Z23" s="404" t="n">
        <v>40</v>
      </c>
      <c r="AA23" s="404" t="n">
        <v>40</v>
      </c>
      <c r="AB23" s="404" t="n">
        <v>40</v>
      </c>
      <c r="AC23" s="404" t="n">
        <v>40</v>
      </c>
      <c r="AD23" s="404" t="n">
        <v>40</v>
      </c>
      <c r="AE23" s="404" t="n">
        <v>40</v>
      </c>
      <c r="AF23" s="404" t="n">
        <v>40</v>
      </c>
      <c r="AG23" s="431" t="n"/>
      <c r="AH23" s="431" t="n"/>
      <c r="AI23" s="431" t="n"/>
      <c r="AJ23" s="431" t="n"/>
      <c r="AK23" s="431" t="n"/>
      <c r="AL23" s="431" t="n"/>
      <c r="AM23" s="431" t="n"/>
      <c r="AN23" s="431" t="n"/>
      <c r="AO23" s="431" t="n"/>
      <c r="AP23" s="431" t="n"/>
      <c r="AQ23" s="431" t="n"/>
      <c r="AR23" s="431" t="n"/>
      <c r="AS23" s="431" t="n"/>
      <c r="AT23" s="431" t="n"/>
      <c r="AU23" s="431" t="n"/>
      <c r="AV23" s="431" t="n"/>
      <c r="AW23" s="431" t="n"/>
    </row>
    <row r="24" ht="12" customHeight="1" s="244">
      <c r="A24" s="261" t="n"/>
      <c r="B24" s="402" t="n"/>
      <c r="C24" s="394" t="n"/>
      <c r="D24" s="261" t="n"/>
      <c r="E24" s="259" t="n"/>
      <c r="F24" s="396">
        <f>F23-F10</f>
        <v/>
      </c>
      <c r="G24" s="396">
        <f>G23-G10</f>
        <v/>
      </c>
      <c r="H24" s="396">
        <f>H23-H10</f>
        <v/>
      </c>
      <c r="I24" s="396">
        <f>I23-I10</f>
        <v/>
      </c>
      <c r="J24" s="396">
        <f>J23-J10</f>
        <v/>
      </c>
      <c r="K24" s="396">
        <f>K23-K10</f>
        <v/>
      </c>
      <c r="L24" s="396">
        <f>L23-L10</f>
        <v/>
      </c>
      <c r="M24" s="396">
        <f>M23-M10</f>
        <v/>
      </c>
      <c r="N24" s="396">
        <f>N23-N10</f>
        <v/>
      </c>
      <c r="O24" s="396">
        <f>O23-O10</f>
        <v/>
      </c>
      <c r="P24" s="396">
        <f>P23-P10</f>
        <v/>
      </c>
      <c r="Q24" s="396">
        <f>Q23-Q10</f>
        <v/>
      </c>
      <c r="R24" s="396">
        <f>R23-R10</f>
        <v/>
      </c>
      <c r="S24" s="396">
        <f>S23-S10</f>
        <v/>
      </c>
      <c r="T24" s="396">
        <f>T23-T10</f>
        <v/>
      </c>
      <c r="U24" s="396">
        <f>U23-U10</f>
        <v/>
      </c>
      <c r="V24" s="396">
        <f>V23-V10</f>
        <v/>
      </c>
      <c r="W24" s="396">
        <f>W23-W10</f>
        <v/>
      </c>
      <c r="X24" s="396">
        <f>X23-X10</f>
        <v/>
      </c>
      <c r="Y24" s="396">
        <f>Y23-Y10</f>
        <v/>
      </c>
      <c r="Z24" s="396">
        <f>Z23-Z10</f>
        <v/>
      </c>
      <c r="AA24" s="396">
        <f>AA23-AA10</f>
        <v/>
      </c>
      <c r="AB24" s="396">
        <f>AB23-AB10</f>
        <v/>
      </c>
      <c r="AC24" s="396">
        <f>AC23-AC10</f>
        <v/>
      </c>
      <c r="AD24" s="396">
        <f>AD23-AD10</f>
        <v/>
      </c>
      <c r="AE24" s="396">
        <f>AE23-AE10</f>
        <v/>
      </c>
      <c r="AF24" s="396">
        <f>AF23-AF10</f>
        <v/>
      </c>
      <c r="AG24" s="259" t="n"/>
      <c r="AH24" s="259" t="n"/>
      <c r="AI24" s="259" t="n"/>
      <c r="AJ24" s="259" t="n"/>
      <c r="AK24" s="259" t="n"/>
      <c r="AL24" s="259" t="n"/>
      <c r="AM24" s="259" t="n"/>
      <c r="AN24" s="259" t="n"/>
      <c r="AO24" s="259" t="n"/>
      <c r="AP24" s="259" t="n"/>
      <c r="AQ24" s="259" t="n"/>
      <c r="AR24" s="259" t="n"/>
      <c r="AS24" s="259" t="n"/>
      <c r="AT24" s="259" t="n"/>
      <c r="AU24" s="259" t="n"/>
      <c r="AV24" s="259" t="n"/>
      <c r="AW24" s="259" t="n"/>
    </row>
    <row r="25" ht="12" customHeight="1" s="244">
      <c r="A25" s="261" t="n"/>
      <c r="B25" s="402" t="n"/>
      <c r="C25" s="394" t="n"/>
      <c r="D25" s="261" t="n"/>
      <c r="E25" s="259" t="n"/>
      <c r="F25" s="396">
        <f>2*(F21-F24)</f>
        <v/>
      </c>
      <c r="G25" s="396">
        <f>2*(G21-G24)</f>
        <v/>
      </c>
      <c r="H25" s="396">
        <f>2*(H21-H24)</f>
        <v/>
      </c>
      <c r="I25" s="396">
        <f>2*(I21-I24)</f>
        <v/>
      </c>
      <c r="J25" s="396">
        <f>2*(J21-J24)</f>
        <v/>
      </c>
      <c r="K25" s="396">
        <f>2*(K21-K24)</f>
        <v/>
      </c>
      <c r="L25" s="396">
        <f>2*(L21-L24)</f>
        <v/>
      </c>
      <c r="M25" s="396">
        <f>2*(M21-M24)</f>
        <v/>
      </c>
      <c r="N25" s="396">
        <f>2*(N21-N24)</f>
        <v/>
      </c>
      <c r="O25" s="396">
        <f>2*(O21-O24)</f>
        <v/>
      </c>
      <c r="P25" s="396">
        <f>2*(P21-P24)</f>
        <v/>
      </c>
      <c r="Q25" s="396">
        <f>2*(Q21-Q24)</f>
        <v/>
      </c>
      <c r="R25" s="396">
        <f>2*(R21-R24)</f>
        <v/>
      </c>
      <c r="S25" s="396">
        <f>2*(S21-S24)</f>
        <v/>
      </c>
      <c r="T25" s="396">
        <f>2*(T21-T24)</f>
        <v/>
      </c>
      <c r="U25" s="396">
        <f>2*(U21-U24)</f>
        <v/>
      </c>
      <c r="V25" s="396">
        <f>2*(V21-V24)</f>
        <v/>
      </c>
      <c r="W25" s="396">
        <f>2*(W21-W24)</f>
        <v/>
      </c>
      <c r="X25" s="396">
        <f>2*(X21-X24)</f>
        <v/>
      </c>
      <c r="Y25" s="396">
        <f>2*(Y21-Y24)</f>
        <v/>
      </c>
      <c r="Z25" s="396">
        <f>2*(Z21-Z24)</f>
        <v/>
      </c>
      <c r="AA25" s="396">
        <f>2*(AA21-AA24)</f>
        <v/>
      </c>
      <c r="AB25" s="396">
        <f>2*(AB21-AB24)</f>
        <v/>
      </c>
      <c r="AC25" s="396">
        <f>2*(AC21-AC24)</f>
        <v/>
      </c>
      <c r="AD25" s="396">
        <f>2*(AD21-AD24)</f>
        <v/>
      </c>
      <c r="AE25" s="396">
        <f>2*(AE21-AE24)</f>
        <v/>
      </c>
      <c r="AF25" s="396">
        <f>2*(AF21-AF24)</f>
        <v/>
      </c>
      <c r="AG25" s="259" t="n"/>
      <c r="AH25" s="259" t="n"/>
      <c r="AI25" s="259" t="n"/>
      <c r="AJ25" s="259" t="n"/>
      <c r="AK25" s="259" t="n"/>
      <c r="AL25" s="259" t="n"/>
      <c r="AM25" s="259" t="n"/>
      <c r="AN25" s="259" t="n"/>
      <c r="AO25" s="259" t="n"/>
      <c r="AP25" s="259" t="n"/>
      <c r="AQ25" s="259" t="n"/>
      <c r="AR25" s="259" t="n"/>
      <c r="AS25" s="259" t="n"/>
      <c r="AT25" s="259" t="n"/>
      <c r="AU25" s="259" t="n"/>
      <c r="AV25" s="259" t="n"/>
      <c r="AW25" s="259" t="n"/>
    </row>
    <row r="26" ht="12" customHeight="1" s="244">
      <c r="A26" s="261" t="n"/>
      <c r="B26" s="403" t="n"/>
      <c r="C26" s="394" t="n"/>
      <c r="D26" s="405" t="n"/>
      <c r="E26" s="259" t="n"/>
      <c r="F26" s="400">
        <f>0.2*F14</f>
        <v/>
      </c>
      <c r="G26" s="400">
        <f>0.2*G14</f>
        <v/>
      </c>
      <c r="H26" s="400">
        <f>0.2*H14</f>
        <v/>
      </c>
      <c r="I26" s="400">
        <f>0.2*I14</f>
        <v/>
      </c>
      <c r="J26" s="400">
        <f>0.2*J14</f>
        <v/>
      </c>
      <c r="K26" s="400">
        <f>0.2*K14</f>
        <v/>
      </c>
      <c r="L26" s="400">
        <f>0.2*L14</f>
        <v/>
      </c>
      <c r="M26" s="400">
        <f>0.2*M14</f>
        <v/>
      </c>
      <c r="N26" s="400">
        <f>0.2*N14</f>
        <v/>
      </c>
      <c r="O26" s="400">
        <f>0.2*O14</f>
        <v/>
      </c>
      <c r="P26" s="400">
        <f>0.2*P14</f>
        <v/>
      </c>
      <c r="Q26" s="400">
        <f>0.2*Q14</f>
        <v/>
      </c>
      <c r="R26" s="400">
        <f>0.2*R14</f>
        <v/>
      </c>
      <c r="S26" s="400">
        <f>0.2*S14</f>
        <v/>
      </c>
      <c r="T26" s="400">
        <f>0.2*T14</f>
        <v/>
      </c>
      <c r="U26" s="400">
        <f>0.2*U14</f>
        <v/>
      </c>
      <c r="V26" s="400">
        <f>0.2*V14</f>
        <v/>
      </c>
      <c r="W26" s="400">
        <f>0.2*W14</f>
        <v/>
      </c>
      <c r="X26" s="400">
        <f>0.2*X14</f>
        <v/>
      </c>
      <c r="Y26" s="400">
        <f>0.2*Y14</f>
        <v/>
      </c>
      <c r="Z26" s="400">
        <f>0.2*Z14</f>
        <v/>
      </c>
      <c r="AA26" s="400">
        <f>0.2*AA14</f>
        <v/>
      </c>
      <c r="AB26" s="400">
        <f>0.2*AB14</f>
        <v/>
      </c>
      <c r="AC26" s="400">
        <f>0.2*AC14</f>
        <v/>
      </c>
      <c r="AD26" s="400">
        <f>0.2*AD14</f>
        <v/>
      </c>
      <c r="AE26" s="400">
        <f>0.2*AE14</f>
        <v/>
      </c>
      <c r="AF26" s="400">
        <f>0.2*AF14</f>
        <v/>
      </c>
      <c r="AG26" s="430" t="n"/>
      <c r="AH26" s="430" t="n"/>
      <c r="AI26" s="430" t="n"/>
      <c r="AJ26" s="430" t="n"/>
      <c r="AK26" s="430" t="n"/>
      <c r="AL26" s="430" t="n"/>
      <c r="AM26" s="430" t="n"/>
      <c r="AN26" s="430" t="n"/>
      <c r="AO26" s="430" t="n"/>
      <c r="AP26" s="430" t="n"/>
      <c r="AQ26" s="430" t="n"/>
      <c r="AR26" s="430" t="n"/>
      <c r="AS26" s="430" t="n"/>
      <c r="AT26" s="430" t="n"/>
      <c r="AU26" s="430" t="n"/>
      <c r="AV26" s="430" t="n"/>
      <c r="AW26" s="430" t="n"/>
    </row>
    <row r="27" ht="12" customHeight="1" s="244">
      <c r="A27" s="261" t="n"/>
      <c r="B27" s="403" t="n"/>
      <c r="C27" s="394" t="n"/>
      <c r="D27" s="261" t="n"/>
      <c r="E27" s="259" t="n"/>
      <c r="F27" s="406">
        <f>F17*(F14+F26)</f>
        <v/>
      </c>
      <c r="G27" s="406">
        <f>G17*(G14+G26)</f>
        <v/>
      </c>
      <c r="H27" s="406">
        <f>H17*(H14+H26)</f>
        <v/>
      </c>
      <c r="I27" s="406">
        <f>I17*(I14+I26)</f>
        <v/>
      </c>
      <c r="J27" s="406">
        <f>J17*(J14+J26)</f>
        <v/>
      </c>
      <c r="K27" s="406">
        <f>K17*(K14+K26)</f>
        <v/>
      </c>
      <c r="L27" s="406">
        <f>L17*(L14+L26)</f>
        <v/>
      </c>
      <c r="M27" s="406">
        <f>M17*(M14+M26)</f>
        <v/>
      </c>
      <c r="N27" s="406">
        <f>N17*(N14+N26)</f>
        <v/>
      </c>
      <c r="O27" s="406">
        <f>O17*(O14+O26)</f>
        <v/>
      </c>
      <c r="P27" s="406">
        <f>P17*(P14+P26)</f>
        <v/>
      </c>
      <c r="Q27" s="406">
        <f>Q17*(Q14+Q26)</f>
        <v/>
      </c>
      <c r="R27" s="406">
        <f>R17*(R14+R26)</f>
        <v/>
      </c>
      <c r="S27" s="406">
        <f>S17*(S14+S26)</f>
        <v/>
      </c>
      <c r="T27" s="406">
        <f>T17*(T14+T26)</f>
        <v/>
      </c>
      <c r="U27" s="406">
        <f>U17*(U14+U26)</f>
        <v/>
      </c>
      <c r="V27" s="406">
        <f>V17*(V14+V26)</f>
        <v/>
      </c>
      <c r="W27" s="406">
        <f>W17*(W14+W26)</f>
        <v/>
      </c>
      <c r="X27" s="406">
        <f>X17*(X14+X26)</f>
        <v/>
      </c>
      <c r="Y27" s="406">
        <f>Y17*(Y14+Y26)</f>
        <v/>
      </c>
      <c r="Z27" s="406">
        <f>Z17*(Z14+Z26)</f>
        <v/>
      </c>
      <c r="AA27" s="406">
        <f>AA17*(AA14+AA26)</f>
        <v/>
      </c>
      <c r="AB27" s="406">
        <f>AB17*(AB14+AB26)</f>
        <v/>
      </c>
      <c r="AC27" s="406">
        <f>AC17*(AC14+AC26)</f>
        <v/>
      </c>
      <c r="AD27" s="406">
        <f>AD17*(AD14+AD26)</f>
        <v/>
      </c>
      <c r="AE27" s="406">
        <f>AE17*(AE14+AE26)</f>
        <v/>
      </c>
      <c r="AF27" s="406">
        <f>AF17*(AF14+AF26)</f>
        <v/>
      </c>
      <c r="AG27" s="432" t="n"/>
      <c r="AH27" s="432" t="n"/>
      <c r="AI27" s="432" t="n"/>
      <c r="AJ27" s="432" t="n"/>
      <c r="AK27" s="432" t="n"/>
      <c r="AL27" s="432" t="n"/>
      <c r="AM27" s="432" t="n"/>
      <c r="AN27" s="432" t="n"/>
      <c r="AO27" s="432" t="n"/>
      <c r="AP27" s="432" t="n"/>
      <c r="AQ27" s="432" t="n"/>
      <c r="AR27" s="432" t="n"/>
      <c r="AS27" s="432" t="n"/>
      <c r="AT27" s="432" t="n"/>
      <c r="AU27" s="432" t="n"/>
      <c r="AV27" s="432" t="n"/>
      <c r="AW27" s="432" t="n"/>
    </row>
    <row r="28" ht="12" customHeight="1" s="244">
      <c r="A28" s="261" t="n"/>
      <c r="B28" s="403" t="n"/>
      <c r="C28" s="394" t="n"/>
      <c r="D28" s="261" t="n"/>
      <c r="E28" s="259" t="n"/>
      <c r="F28" s="407">
        <f>F27/(1.163*F25)</f>
        <v/>
      </c>
      <c r="G28" s="407">
        <f>G27/(1.163*G25)</f>
        <v/>
      </c>
      <c r="H28" s="407">
        <f>H27/(1.163*H25)</f>
        <v/>
      </c>
      <c r="I28" s="407">
        <f>I27/(1.163*I25)</f>
        <v/>
      </c>
      <c r="J28" s="407">
        <f>J27/(1.163*J25)</f>
        <v/>
      </c>
      <c r="K28" s="407">
        <f>K27/(1.163*K25)</f>
        <v/>
      </c>
      <c r="L28" s="407">
        <f>L27/(1.163*L25)</f>
        <v/>
      </c>
      <c r="M28" s="407">
        <f>M27/(1.163*M25)</f>
        <v/>
      </c>
      <c r="N28" s="407">
        <f>N27/(1.163*N25)</f>
        <v/>
      </c>
      <c r="O28" s="407">
        <f>O27/(1.163*O25)</f>
        <v/>
      </c>
      <c r="P28" s="407">
        <f>P27/(1.163*P25)</f>
        <v/>
      </c>
      <c r="Q28" s="407">
        <f>Q27/(1.163*Q25)</f>
        <v/>
      </c>
      <c r="R28" s="407">
        <f>R27/(1.163*R25)</f>
        <v/>
      </c>
      <c r="S28" s="407">
        <f>S27/(1.163*S25)</f>
        <v/>
      </c>
      <c r="T28" s="407">
        <f>T27/(1.163*T25)</f>
        <v/>
      </c>
      <c r="U28" s="407">
        <f>U27/(1.163*U25)</f>
        <v/>
      </c>
      <c r="V28" s="407">
        <f>V27/(1.163*V25)</f>
        <v/>
      </c>
      <c r="W28" s="407">
        <f>W27/(1.163*W25)</f>
        <v/>
      </c>
      <c r="X28" s="407">
        <f>X27/(1.163*X25)</f>
        <v/>
      </c>
      <c r="Y28" s="407">
        <f>Y27/(1.163*Y25)</f>
        <v/>
      </c>
      <c r="Z28" s="407">
        <f>Z27/(1.163*Z25)</f>
        <v/>
      </c>
      <c r="AA28" s="407">
        <f>AA27/(1.163*AA25)</f>
        <v/>
      </c>
      <c r="AB28" s="407">
        <f>AB27/(1.163*AB25)</f>
        <v/>
      </c>
      <c r="AC28" s="407">
        <f>AC27/(1.163*AC25)</f>
        <v/>
      </c>
      <c r="AD28" s="407">
        <f>AD27/(1.163*AD25)</f>
        <v/>
      </c>
      <c r="AE28" s="407">
        <f>AE27/(1.163*AE25)</f>
        <v/>
      </c>
      <c r="AF28" s="407">
        <f>AF27/(1.163*AF25)</f>
        <v/>
      </c>
      <c r="AG28" s="433" t="n"/>
      <c r="AH28" s="433" t="n"/>
      <c r="AI28" s="433" t="n"/>
      <c r="AJ28" s="433" t="n"/>
      <c r="AK28" s="433" t="n"/>
      <c r="AL28" s="433" t="n"/>
      <c r="AM28" s="433" t="n"/>
      <c r="AN28" s="433" t="n"/>
      <c r="AO28" s="433" t="n"/>
      <c r="AP28" s="433" t="n"/>
      <c r="AQ28" s="433" t="n"/>
      <c r="AR28" s="433" t="n"/>
      <c r="AS28" s="433" t="n"/>
      <c r="AT28" s="433" t="n"/>
      <c r="AU28" s="433" t="n"/>
      <c r="AV28" s="433" t="n"/>
      <c r="AW28" s="433" t="n"/>
    </row>
    <row r="29" ht="12" customHeight="1" s="244">
      <c r="A29" s="261" t="n"/>
      <c r="B29" s="403" t="n"/>
      <c r="C29" s="394" t="n"/>
      <c r="D29" s="261" t="n"/>
      <c r="E29" s="259" t="n"/>
      <c r="F29" s="408">
        <f>F17/(F22*0.01)</f>
        <v/>
      </c>
      <c r="G29" s="408">
        <f>G17/(G22*0.01)</f>
        <v/>
      </c>
      <c r="H29" s="408">
        <f>H17/(H22*0.01)</f>
        <v/>
      </c>
      <c r="I29" s="408">
        <f>I17/(I22*0.01)</f>
        <v/>
      </c>
      <c r="J29" s="408">
        <f>J17/(J22*0.01)</f>
        <v/>
      </c>
      <c r="K29" s="408">
        <f>K17/(K22*0.01)</f>
        <v/>
      </c>
      <c r="L29" s="408">
        <f>L17/(L22*0.01)</f>
        <v/>
      </c>
      <c r="M29" s="408">
        <f>M17/(M22*0.01)</f>
        <v/>
      </c>
      <c r="N29" s="408">
        <f>N17/(N22*0.01)</f>
        <v/>
      </c>
      <c r="O29" s="408">
        <f>O17/(O22*0.01)</f>
        <v/>
      </c>
      <c r="P29" s="408">
        <f>P17/(P22*0.01)</f>
        <v/>
      </c>
      <c r="Q29" s="408">
        <f>Q17/(Q22*0.01)</f>
        <v/>
      </c>
      <c r="R29" s="408">
        <f>R17/(R22*0.01)</f>
        <v/>
      </c>
      <c r="S29" s="408">
        <f>S17/(S22*0.01)</f>
        <v/>
      </c>
      <c r="T29" s="408">
        <f>T17/(T22*0.01)</f>
        <v/>
      </c>
      <c r="U29" s="408">
        <f>U17/(U22*0.01)</f>
        <v/>
      </c>
      <c r="V29" s="408">
        <f>V17/(V22*0.01)</f>
        <v/>
      </c>
      <c r="W29" s="408">
        <f>W17/(W22*0.01)</f>
        <v/>
      </c>
      <c r="X29" s="408">
        <f>X17/(X22*0.01)</f>
        <v/>
      </c>
      <c r="Y29" s="408">
        <f>Y17/(Y22*0.01)</f>
        <v/>
      </c>
      <c r="Z29" s="408">
        <f>Z17/(Z22*0.01)</f>
        <v/>
      </c>
      <c r="AA29" s="408">
        <f>AA17/(AA22*0.01)</f>
        <v/>
      </c>
      <c r="AB29" s="408">
        <f>AB17/(AB22*0.01)</f>
        <v/>
      </c>
      <c r="AC29" s="408">
        <f>AC17/(AC22*0.01)</f>
        <v/>
      </c>
      <c r="AD29" s="408">
        <f>AD17/(AD22*0.01)</f>
        <v/>
      </c>
      <c r="AE29" s="408">
        <f>AE17/(AE22*0.01)</f>
        <v/>
      </c>
      <c r="AF29" s="408">
        <f>AF17/(AF22*0.01)</f>
        <v/>
      </c>
      <c r="AG29" s="434" t="n"/>
      <c r="AH29" s="434" t="n"/>
      <c r="AI29" s="434" t="n"/>
      <c r="AJ29" s="434" t="n"/>
      <c r="AK29" s="434" t="n"/>
      <c r="AL29" s="434" t="n"/>
      <c r="AM29" s="434" t="n"/>
      <c r="AN29" s="434" t="n"/>
      <c r="AO29" s="434" t="n"/>
      <c r="AP29" s="434" t="n"/>
      <c r="AQ29" s="434" t="n"/>
      <c r="AR29" s="434" t="n"/>
      <c r="AS29" s="434" t="n"/>
      <c r="AT29" s="434" t="n"/>
      <c r="AU29" s="434" t="n"/>
      <c r="AV29" s="434" t="n"/>
      <c r="AW29" s="434" t="n"/>
    </row>
    <row r="30" ht="12" customHeight="1" s="244">
      <c r="A30" s="261" t="n"/>
      <c r="B30" s="403" t="n"/>
      <c r="C30" s="394" t="inlineStr">
        <is>
          <t>BAĞLANTI BORULARI</t>
        </is>
      </c>
      <c r="D30" s="261" t="inlineStr">
        <is>
          <t>Kollektör ayakları planda çizilmedi (0)</t>
        </is>
      </c>
      <c r="E30" s="259" t="n"/>
      <c r="F30" s="409" t="n">
        <v>0</v>
      </c>
      <c r="G30" s="409" t="n">
        <v>0</v>
      </c>
      <c r="H30" s="409" t="n">
        <v>0</v>
      </c>
      <c r="I30" s="409" t="n">
        <v>0</v>
      </c>
      <c r="J30" s="409" t="n">
        <v>0</v>
      </c>
      <c r="K30" s="409" t="n">
        <v>0</v>
      </c>
      <c r="L30" s="409" t="n">
        <v>0</v>
      </c>
      <c r="M30" s="409" t="n">
        <v>0</v>
      </c>
      <c r="N30" s="409" t="n">
        <v>0</v>
      </c>
      <c r="O30" s="409" t="n">
        <v>0</v>
      </c>
      <c r="P30" s="409" t="n">
        <v>0</v>
      </c>
      <c r="Q30" s="409" t="n">
        <v>0</v>
      </c>
      <c r="R30" s="409" t="n">
        <v>0</v>
      </c>
      <c r="S30" s="409" t="n">
        <v>0</v>
      </c>
      <c r="T30" s="409" t="n">
        <v>0</v>
      </c>
      <c r="U30" s="409" t="n">
        <v>0</v>
      </c>
      <c r="V30" s="409" t="n">
        <v>0</v>
      </c>
      <c r="W30" s="409" t="n">
        <v>0</v>
      </c>
      <c r="X30" s="409" t="n">
        <v>0</v>
      </c>
      <c r="Y30" s="409" t="n">
        <v>0</v>
      </c>
      <c r="Z30" s="409" t="n">
        <v>0</v>
      </c>
      <c r="AA30" s="409" t="n">
        <v>0</v>
      </c>
      <c r="AB30" s="409" t="n">
        <v>0</v>
      </c>
      <c r="AC30" s="409" t="n">
        <v>0</v>
      </c>
      <c r="AD30" s="409" t="n">
        <v>0</v>
      </c>
      <c r="AE30" s="409" t="n">
        <v>0</v>
      </c>
      <c r="AF30" s="409" t="n">
        <v>0</v>
      </c>
      <c r="AG30" s="435" t="n"/>
      <c r="AO30" s="435" t="n"/>
      <c r="AP30" s="435" t="n"/>
      <c r="AQ30" s="435" t="n"/>
      <c r="AR30" s="435" t="n"/>
      <c r="AS30" s="435" t="n"/>
      <c r="AT30" s="435" t="n"/>
      <c r="AU30" s="435" t="n"/>
      <c r="AV30" s="435" t="n"/>
      <c r="AW30" s="435" t="n"/>
    </row>
    <row r="31" ht="12" customHeight="1" s="244">
      <c r="A31" s="261" t="n"/>
      <c r="B31" s="403" t="n"/>
      <c r="C31" s="394" t="n"/>
      <c r="D31" s="261" t="n"/>
      <c r="E31" s="259" t="n"/>
      <c r="F31" s="396">
        <f>F29+F30</f>
        <v/>
      </c>
      <c r="G31" s="396">
        <f>G29+G30</f>
        <v/>
      </c>
      <c r="H31" s="396">
        <f>H29+H30</f>
        <v/>
      </c>
      <c r="I31" s="396">
        <f>I29+I30</f>
        <v/>
      </c>
      <c r="J31" s="396">
        <f>J29+J30</f>
        <v/>
      </c>
      <c r="K31" s="396">
        <f>K29+K30</f>
        <v/>
      </c>
      <c r="L31" s="396">
        <f>L29+L30</f>
        <v/>
      </c>
      <c r="M31" s="396">
        <f>M29+M30</f>
        <v/>
      </c>
      <c r="N31" s="396">
        <f>N29+N30</f>
        <v/>
      </c>
      <c r="O31" s="396">
        <f>O29+O30</f>
        <v/>
      </c>
      <c r="P31" s="396">
        <f>P29+P30</f>
        <v/>
      </c>
      <c r="Q31" s="396">
        <f>Q29+Q30</f>
        <v/>
      </c>
      <c r="R31" s="396">
        <f>R29+R30</f>
        <v/>
      </c>
      <c r="S31" s="396">
        <f>S29+S30</f>
        <v/>
      </c>
      <c r="T31" s="396">
        <f>T29+T30</f>
        <v/>
      </c>
      <c r="U31" s="396">
        <f>U29+U30</f>
        <v/>
      </c>
      <c r="V31" s="396">
        <f>V29+V30</f>
        <v/>
      </c>
      <c r="W31" s="396">
        <f>W29+W30</f>
        <v/>
      </c>
      <c r="X31" s="396">
        <f>X29+X30</f>
        <v/>
      </c>
      <c r="Y31" s="396">
        <f>Y29+Y30</f>
        <v/>
      </c>
      <c r="Z31" s="396">
        <f>Z29+Z30</f>
        <v/>
      </c>
      <c r="AA31" s="396">
        <f>AA29+AA30</f>
        <v/>
      </c>
      <c r="AB31" s="396">
        <f>AB29+AB30</f>
        <v/>
      </c>
      <c r="AC31" s="396">
        <f>AC29+AC30</f>
        <v/>
      </c>
      <c r="AD31" s="396">
        <f>AD29+AD30</f>
        <v/>
      </c>
      <c r="AE31" s="396">
        <f>AE29+AE30</f>
        <v/>
      </c>
      <c r="AF31" s="396">
        <f>AF29+AF30</f>
        <v/>
      </c>
      <c r="AG31" s="259" t="n"/>
      <c r="AH31" s="259" t="n"/>
      <c r="AI31" s="259" t="n"/>
      <c r="AJ31" s="259" t="n"/>
      <c r="AK31" s="259" t="n"/>
      <c r="AL31" s="259" t="n"/>
      <c r="AM31" s="259" t="n"/>
      <c r="AN31" s="259" t="n"/>
      <c r="AO31" s="259" t="n"/>
      <c r="AP31" s="259" t="n"/>
      <c r="AQ31" s="259" t="n"/>
      <c r="AR31" s="259" t="n"/>
      <c r="AS31" s="259" t="n"/>
      <c r="AT31" s="259" t="n"/>
      <c r="AU31" s="259" t="n"/>
      <c r="AV31" s="259" t="n"/>
      <c r="AW31" s="259" t="n"/>
    </row>
    <row r="32" ht="12" customHeight="1" s="244">
      <c r="A32" s="261" t="n"/>
      <c r="B32" s="402" t="n"/>
      <c r="C32" s="394" t="inlineStr">
        <is>
          <t>DÜZ BORU BASINÇ KAYBI (5)</t>
        </is>
      </c>
      <c r="D32" s="261" t="inlineStr">
        <is>
          <t>R.L (PEX 16x2,0, çizimden ölçülen L)</t>
        </is>
      </c>
      <c r="E32" s="259" t="n"/>
      <c r="F32" s="408" t="n">
        <v>10162</v>
      </c>
      <c r="G32" s="408" t="n">
        <v>8029</v>
      </c>
      <c r="H32" s="408" t="n">
        <v>10274</v>
      </c>
      <c r="I32" s="408" t="n">
        <v>16241</v>
      </c>
      <c r="J32" s="408" t="n">
        <v>15988</v>
      </c>
      <c r="K32" s="408" t="n">
        <v>20110</v>
      </c>
      <c r="L32" s="408" t="n">
        <v>22623</v>
      </c>
      <c r="M32" s="408" t="n">
        <v>58</v>
      </c>
      <c r="N32" s="408" t="n">
        <v>1595</v>
      </c>
      <c r="O32" s="408" t="n">
        <v>3989</v>
      </c>
      <c r="P32" s="408" t="n">
        <v>7310</v>
      </c>
      <c r="Q32" s="408" t="n">
        <v>9219</v>
      </c>
      <c r="R32" s="408" t="n">
        <v>14086</v>
      </c>
      <c r="S32" s="408" t="n">
        <v>27114</v>
      </c>
      <c r="T32" s="408" t="n">
        <v>18735</v>
      </c>
      <c r="U32" s="408" t="n">
        <v>13031</v>
      </c>
      <c r="V32" s="408" t="n">
        <v>179</v>
      </c>
      <c r="W32" s="408" t="n">
        <v>1108</v>
      </c>
      <c r="X32" s="408" t="n">
        <v>8646</v>
      </c>
      <c r="Y32" s="408" t="n">
        <v>8120</v>
      </c>
      <c r="Z32" s="408" t="n">
        <v>9958</v>
      </c>
      <c r="AA32" s="408" t="n">
        <v>16391</v>
      </c>
      <c r="AB32" s="408" t="n">
        <v>16264</v>
      </c>
      <c r="AC32" s="408" t="n">
        <v>19701</v>
      </c>
      <c r="AD32" s="408" t="n">
        <v>22864</v>
      </c>
      <c r="AE32" s="408" t="n">
        <v>27</v>
      </c>
      <c r="AF32" s="408" t="n">
        <v>1626</v>
      </c>
      <c r="AG32" s="434" t="n"/>
      <c r="AH32" s="434" t="n"/>
      <c r="AI32" s="434" t="n"/>
      <c r="AJ32" s="434" t="n"/>
      <c r="AK32" s="434" t="n"/>
      <c r="AL32" s="434" t="n"/>
      <c r="AM32" s="434" t="n"/>
      <c r="AN32" s="434" t="n"/>
      <c r="AO32" s="434" t="n"/>
      <c r="AP32" s="434" t="n"/>
      <c r="AQ32" s="434" t="n"/>
      <c r="AR32" s="434" t="n"/>
      <c r="AS32" s="434" t="n"/>
      <c r="AT32" s="434" t="n"/>
      <c r="AU32" s="434" t="n"/>
      <c r="AV32" s="434" t="n"/>
      <c r="AW32" s="434" t="n"/>
    </row>
    <row r="33" ht="12" customHeight="1" s="244">
      <c r="A33" s="261" t="n"/>
      <c r="B33" s="402" t="n"/>
      <c r="C33" s="394" t="n"/>
      <c r="D33" s="261" t="n"/>
      <c r="E33" s="259" t="n"/>
      <c r="F33" s="396">
        <f>F32*0.05</f>
        <v/>
      </c>
      <c r="G33" s="396">
        <f>G32*0.05</f>
        <v/>
      </c>
      <c r="H33" s="396">
        <f>H32*0.05</f>
        <v/>
      </c>
      <c r="I33" s="396">
        <f>I32*0.05</f>
        <v/>
      </c>
      <c r="J33" s="396">
        <f>J32*0.05</f>
        <v/>
      </c>
      <c r="K33" s="396">
        <f>K32*0.05</f>
        <v/>
      </c>
      <c r="L33" s="396">
        <f>L32*0.05</f>
        <v/>
      </c>
      <c r="M33" s="396">
        <f>M32*0.05</f>
        <v/>
      </c>
      <c r="N33" s="396">
        <f>N32*0.05</f>
        <v/>
      </c>
      <c r="O33" s="396">
        <f>O32*0.05</f>
        <v/>
      </c>
      <c r="P33" s="396">
        <f>P32*0.05</f>
        <v/>
      </c>
      <c r="Q33" s="396">
        <f>Q32*0.05</f>
        <v/>
      </c>
      <c r="R33" s="396">
        <f>R32*0.05</f>
        <v/>
      </c>
      <c r="S33" s="396">
        <f>S32*0.05</f>
        <v/>
      </c>
      <c r="T33" s="396">
        <f>T32*0.05</f>
        <v/>
      </c>
      <c r="U33" s="396">
        <f>U32*0.05</f>
        <v/>
      </c>
      <c r="V33" s="396">
        <f>V32*0.05</f>
        <v/>
      </c>
      <c r="W33" s="396">
        <f>W32*0.05</f>
        <v/>
      </c>
      <c r="X33" s="396">
        <f>X32*0.05</f>
        <v/>
      </c>
      <c r="Y33" s="396">
        <f>Y32*0.05</f>
        <v/>
      </c>
      <c r="Z33" s="396">
        <f>Z32*0.05</f>
        <v/>
      </c>
      <c r="AA33" s="396">
        <f>AA32*0.05</f>
        <v/>
      </c>
      <c r="AB33" s="396">
        <f>AB32*0.05</f>
        <v/>
      </c>
      <c r="AC33" s="396">
        <f>AC32*0.05</f>
        <v/>
      </c>
      <c r="AD33" s="396">
        <f>AD32*0.05</f>
        <v/>
      </c>
      <c r="AE33" s="396">
        <f>AE32*0.05</f>
        <v/>
      </c>
      <c r="AF33" s="396">
        <f>AF32*0.05</f>
        <v/>
      </c>
      <c r="AG33" s="259" t="n"/>
      <c r="AH33" s="259" t="n"/>
      <c r="AI33" s="259" t="n"/>
      <c r="AJ33" s="259" t="n"/>
      <c r="AK33" s="259" t="n"/>
      <c r="AL33" s="259" t="n"/>
      <c r="AM33" s="259" t="n"/>
      <c r="AN33" s="259" t="n"/>
      <c r="AO33" s="259" t="n"/>
      <c r="AP33" s="259" t="n"/>
      <c r="AQ33" s="259" t="n"/>
      <c r="AR33" s="259" t="n"/>
      <c r="AS33" s="259" t="n"/>
      <c r="AT33" s="259" t="n"/>
      <c r="AU33" s="259" t="n"/>
      <c r="AV33" s="259" t="n"/>
      <c r="AW33" s="259" t="n"/>
    </row>
    <row r="34" ht="12" customHeight="1" s="244">
      <c r="A34" s="261" t="n"/>
      <c r="B34" s="402" t="n"/>
      <c r="C34" s="394" t="n"/>
      <c r="D34" s="261" t="n"/>
      <c r="E34" s="259" t="n"/>
      <c r="F34" s="396">
        <f>F32+F33</f>
        <v/>
      </c>
      <c r="G34" s="396">
        <f>G32+G33</f>
        <v/>
      </c>
      <c r="H34" s="396">
        <f>H32+H33</f>
        <v/>
      </c>
      <c r="I34" s="396">
        <f>I32+I33</f>
        <v/>
      </c>
      <c r="J34" s="396">
        <f>J32+J33</f>
        <v/>
      </c>
      <c r="K34" s="396">
        <f>K32+K33</f>
        <v/>
      </c>
      <c r="L34" s="396">
        <f>L32+L33</f>
        <v/>
      </c>
      <c r="M34" s="396">
        <f>M32+M33</f>
        <v/>
      </c>
      <c r="N34" s="396">
        <f>N32+N33</f>
        <v/>
      </c>
      <c r="O34" s="396">
        <f>O32+O33</f>
        <v/>
      </c>
      <c r="P34" s="396">
        <f>P32+P33</f>
        <v/>
      </c>
      <c r="Q34" s="396">
        <f>Q32+Q33</f>
        <v/>
      </c>
      <c r="R34" s="396">
        <f>R32+R33</f>
        <v/>
      </c>
      <c r="S34" s="396">
        <f>S32+S33</f>
        <v/>
      </c>
      <c r="T34" s="396">
        <f>T32+T33</f>
        <v/>
      </c>
      <c r="U34" s="396">
        <f>U32+U33</f>
        <v/>
      </c>
      <c r="V34" s="396">
        <f>V32+V33</f>
        <v/>
      </c>
      <c r="W34" s="396">
        <f>W32+W33</f>
        <v/>
      </c>
      <c r="X34" s="396">
        <f>X32+X33</f>
        <v/>
      </c>
      <c r="Y34" s="396">
        <f>Y32+Y33</f>
        <v/>
      </c>
      <c r="Z34" s="396">
        <f>Z32+Z33</f>
        <v/>
      </c>
      <c r="AA34" s="396">
        <f>AA32+AA33</f>
        <v/>
      </c>
      <c r="AB34" s="396">
        <f>AB32+AB33</f>
        <v/>
      </c>
      <c r="AC34" s="396">
        <f>AC32+AC33</f>
        <v/>
      </c>
      <c r="AD34" s="396">
        <f>AD32+AD33</f>
        <v/>
      </c>
      <c r="AE34" s="396">
        <f>AE32+AE33</f>
        <v/>
      </c>
      <c r="AF34" s="396">
        <f>AF32+AF33</f>
        <v/>
      </c>
      <c r="AG34" s="430" t="n"/>
      <c r="AH34" s="259" t="n"/>
      <c r="AI34" s="259" t="n"/>
      <c r="AJ34" s="259" t="n"/>
      <c r="AK34" s="259" t="n"/>
      <c r="AL34" s="259" t="n"/>
      <c r="AM34" s="259" t="n"/>
      <c r="AN34" s="259" t="n"/>
      <c r="AO34" s="259" t="n"/>
      <c r="AP34" s="259" t="n"/>
      <c r="AQ34" s="259" t="n"/>
      <c r="AR34" s="259" t="n"/>
      <c r="AS34" s="259" t="n"/>
      <c r="AT34" s="259" t="n"/>
      <c r="AU34" s="259" t="n"/>
      <c r="AV34" s="259" t="n"/>
      <c r="AW34" s="259" t="n"/>
    </row>
    <row r="35" ht="12" customHeight="1" s="244">
      <c r="A35" s="261" t="n"/>
      <c r="B35" s="402" t="n"/>
      <c r="C35" s="282" t="n"/>
      <c r="D35" s="261" t="n"/>
      <c r="E35" s="259" t="n"/>
      <c r="F35" s="410">
        <f>MAX(F34:AF34)-F34</f>
        <v/>
      </c>
      <c r="G35" s="410">
        <f>MAX(F34:AF34)-G34</f>
        <v/>
      </c>
      <c r="H35" s="410">
        <f>MAX(F34:AF34)-H34</f>
        <v/>
      </c>
      <c r="I35" s="410">
        <f>MAX(F34:AF34)-I34</f>
        <v/>
      </c>
      <c r="J35" s="410">
        <f>MAX(F34:AF34)-J34</f>
        <v/>
      </c>
      <c r="K35" s="410">
        <f>MAX(F34:AF34)-K34</f>
        <v/>
      </c>
      <c r="L35" s="410">
        <f>MAX(F34:AF34)-L34</f>
        <v/>
      </c>
      <c r="M35" s="410">
        <f>MAX(F34:AF34)-M34</f>
        <v/>
      </c>
      <c r="N35" s="410">
        <f>MAX(F34:AF34)-N34</f>
        <v/>
      </c>
      <c r="O35" s="410">
        <f>MAX(F34:AF34)-O34</f>
        <v/>
      </c>
      <c r="P35" s="410">
        <f>MAX(F34:AF34)-P34</f>
        <v/>
      </c>
      <c r="Q35" s="410">
        <f>MAX(F34:AF34)-Q34</f>
        <v/>
      </c>
      <c r="R35" s="410">
        <f>MAX(F34:AF34)-R34</f>
        <v/>
      </c>
      <c r="S35" s="410">
        <f>MAX(F34:AF34)-S34</f>
        <v/>
      </c>
      <c r="T35" s="410">
        <f>MAX(F34:AF34)-T34</f>
        <v/>
      </c>
      <c r="U35" s="410">
        <f>MAX(F34:AF34)-U34</f>
        <v/>
      </c>
      <c r="V35" s="410">
        <f>MAX(F34:AF34)-V34</f>
        <v/>
      </c>
      <c r="W35" s="410">
        <f>MAX(F34:AF34)-W34</f>
        <v/>
      </c>
      <c r="X35" s="410">
        <f>MAX(F34:AF34)-X34</f>
        <v/>
      </c>
      <c r="Y35" s="410">
        <f>MAX(F34:AF34)-Y34</f>
        <v/>
      </c>
      <c r="Z35" s="410">
        <f>MAX(F34:AF34)-Z34</f>
        <v/>
      </c>
      <c r="AA35" s="410">
        <f>MAX(F34:AF34)-AA34</f>
        <v/>
      </c>
      <c r="AB35" s="410">
        <f>MAX(F34:AF34)-AB34</f>
        <v/>
      </c>
      <c r="AC35" s="410">
        <f>MAX(F34:AF34)-AC34</f>
        <v/>
      </c>
      <c r="AD35" s="410">
        <f>MAX(F34:AF34)-AD34</f>
        <v/>
      </c>
      <c r="AE35" s="410">
        <f>MAX(F34:AF34)-AE34</f>
        <v/>
      </c>
      <c r="AF35" s="410">
        <f>MAX(F34:AF34)-AF34</f>
        <v/>
      </c>
      <c r="AG35" s="436" t="n"/>
      <c r="AH35" s="436" t="n"/>
      <c r="AI35" s="436" t="n"/>
      <c r="AJ35" s="436" t="n"/>
      <c r="AK35" s="436" t="n"/>
      <c r="AL35" s="436" t="n"/>
      <c r="AM35" s="436" t="n"/>
      <c r="AN35" s="436" t="n"/>
      <c r="AO35" s="436" t="n"/>
      <c r="AP35" s="436" t="n"/>
      <c r="AQ35" s="436" t="n"/>
      <c r="AR35" s="436" t="n"/>
      <c r="AS35" s="436" t="n"/>
      <c r="AT35" s="436" t="n"/>
      <c r="AU35" s="436" t="n"/>
      <c r="AV35" s="436" t="n"/>
      <c r="AW35" s="436" t="n"/>
    </row>
    <row r="36" ht="18" customHeight="1" s="244">
      <c r="D36" s="266" t="inlineStr">
        <is>
          <t>Δpmax = 9828 Pa</t>
        </is>
      </c>
      <c r="F36" s="243" t="inlineStr">
        <is>
          <t>BASINÇ AYARLI KOLLEKTÖRDEN HERBİR</t>
        </is>
      </c>
    </row>
    <row r="37" ht="18" customHeight="1" s="244">
      <c r="F37" s="243" t="inlineStr">
        <is>
          <t>HATTA GİDEN BASINÇ BU BASINÇ DEĞERLERİNE</t>
        </is>
      </c>
    </row>
    <row r="38" ht="12.75" customHeight="1" s="244">
      <c r="B38" s="411" t="inlineStr">
        <is>
          <t>UYARI: 35 W/m × L esasında döşeme yüzey sıcaklığı sınırı aşılıyor (25 devre): 201-1 (39.4 °C), 202-2 (41.1 °C), 202-3 (41.1 °C), 203-4 (39.9 °C), 204-5 (39.6 °C), 205-6 (39.3 °C), 205-7 (39.3 °C), 206-8 (32.4 °C) ...</t>
        </is>
      </c>
      <c r="F38" s="243" t="inlineStr">
        <is>
          <t>GÖRE AYARLANMALIDIR….</t>
        </is>
      </c>
    </row>
    <row r="39" ht="12.75" customHeight="1" s="244">
      <c r="B39" s="412" t="inlineStr">
        <is>
          <t>Sınır içinde kalmak için q" ≤ 100 W/m² (oturma) gerekir; 35 W/m ile bu, boru aralığı ≈ 35 cm demektir. Boru aralığı 15 cm (kullanıcı seçimi) değiştirilmemiştir — ısı kaybı ile qh girilmelidir.</t>
        </is>
      </c>
      <c r="F39" s="413" t="inlineStr">
        <is>
          <t>Δpö</t>
        </is>
      </c>
      <c r="G39" s="413" t="inlineStr">
        <is>
          <t>EK VI-14i Tablosundan q değeri m³/h çevrilir DN10 borusu için</t>
        </is>
      </c>
      <c r="H39" s="413" t="n"/>
      <c r="I39" s="413" t="n"/>
    </row>
    <row r="40" ht="12.75" customHeight="1" s="244">
      <c r="A40" s="414" t="inlineStr">
        <is>
          <t xml:space="preserve"> (1)</t>
        </is>
      </c>
      <c r="B40" s="243" t="inlineStr">
        <is>
          <t>Şek. 19.7.1 den seçilmiştir.</t>
        </is>
      </c>
      <c r="F40" s="413" t="n"/>
      <c r="G40" s="413" t="inlineStr">
        <is>
          <t>R (Pa/m) 1metre borudaki basın. Kaybı bulunur..</t>
        </is>
      </c>
      <c r="H40" s="413" t="n"/>
      <c r="I40" s="413" t="n"/>
    </row>
    <row r="41" ht="12.75" customHeight="1" s="244">
      <c r="A41" s="414" t="inlineStr">
        <is>
          <t xml:space="preserve"> (2)</t>
        </is>
      </c>
      <c r="B41" s="243" t="inlineStr">
        <is>
          <t>Kombi gidiş suyu sıcaklığı 45 °C, dönüş 35 °C seçilmiştir.</t>
        </is>
      </c>
      <c r="F41" s="413" t="n"/>
      <c r="G41" s="413" t="inlineStr">
        <is>
          <t xml:space="preserve">toplam boru boyu ile çarpımından Δpö (Pa) bulunur.  </t>
        </is>
      </c>
      <c r="H41" s="413" t="n"/>
      <c r="I41" s="413" t="n"/>
    </row>
    <row r="42" ht="12.75" customHeight="1" s="244">
      <c r="A42" s="414" t="inlineStr">
        <is>
          <t xml:space="preserve"> (3)</t>
        </is>
      </c>
      <c r="B42" s="243" t="inlineStr">
        <is>
          <t>Ortalama su sıcaklığı 40 °C alınmıştır.</t>
        </is>
      </c>
    </row>
    <row r="43" ht="12.75" customHeight="1" s="244">
      <c r="A43" s="414" t="inlineStr">
        <is>
          <t xml:space="preserve"> (4)</t>
        </is>
      </c>
      <c r="B43" s="243" t="inlineStr">
        <is>
          <t>Alta geçen ısı 0,2 q" olarak alınmıştır. qh = 35 W/m × devre boyu (plan etiketi ve kolon şeması ile aynı esas); ayrı ısı kaybı hesabı yapılmamıştır.</t>
        </is>
      </c>
    </row>
    <row r="44" ht="12.75" customHeight="1" s="244">
      <c r="A44" s="414" t="inlineStr">
        <is>
          <t xml:space="preserve"> (5)</t>
        </is>
      </c>
      <c r="B44" s="243" t="inlineStr">
        <is>
          <t>R (Pa/m): PEX 16x2,0 (iç çap 12 mm), 40 °C su, Blasius / laminer bağıntısı; L = çizimdeki devre boyu.</t>
        </is>
      </c>
    </row>
    <row r="45" ht="12.75" customHeight="1" s="244">
      <c r="A45" s="414" t="inlineStr">
        <is>
          <t xml:space="preserve"> (6)</t>
        </is>
      </c>
      <c r="B45" s="243" t="inlineStr">
        <is>
          <t>kollektörden sonraki özel basınç kayıpları, düz boru kayıpları yanında çok küçük olduğundan düz boru basınç kaybının % 5 i kabul edilmiştir.</t>
        </is>
      </c>
    </row>
    <row r="46" ht="12.75" customHeight="1" s="244">
      <c r="A46" s="414" t="inlineStr">
        <is>
          <t xml:space="preserve"> (7)</t>
        </is>
      </c>
      <c r="B46" s="243" t="inlineStr">
        <is>
          <t>Isıtma devrelerinin basıncı kollektördeki debimetreli reglaj vanası ile ayarlanmalıdır.</t>
        </is>
      </c>
    </row>
    <row r="47" ht="12.75" customHeight="1" s="244">
      <c r="A47" s="415" t="n"/>
    </row>
  </sheetData>
  <mergeCells count="7">
    <mergeCell ref="E3:Y4"/>
    <mergeCell ref="A2:B5"/>
    <mergeCell ref="E2:Y2"/>
    <mergeCell ref="C2:C5"/>
    <mergeCell ref="A1:O1"/>
    <mergeCell ref="D3:D4"/>
    <mergeCell ref="D5:J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ROTAŞ MÜHENDİSLİK - CAN ÖZKAYA</dc:creator>
  <dc:title xmlns:dc="http://purl.org/dc/elements/1.1/">YERDEN ISITMA HESAPLARI</dc:title>
  <dc:language xmlns:dc="http://purl.org/dc/elements/1.1/">en-US</dc:language>
  <dcterms:created xmlns:dcterms="http://purl.org/dc/terms/" xmlns:xsi="http://www.w3.org/2001/XMLSchema-instance" xsi:type="dcterms:W3CDTF">2003-04-27T12:58:31Z</dcterms:created>
  <dcterms:modified xmlns:dcterms="http://purl.org/dc/terms/" xmlns:xsi="http://www.w3.org/2001/XMLSchema-instance" xsi:type="dcterms:W3CDTF">2026-10-15T15:42:20Z</dcterms:modified>
  <cp:lastModifiedBy>ROTAŞ MÜHENDİSLİK</cp:lastModifiedBy>
  <cp:revision>0</cp:revision>
  <cp:lastPrinted>2022-06-03T11:29:57Z</cp:lastPrinted>
</cp:coreProperties>
</file>