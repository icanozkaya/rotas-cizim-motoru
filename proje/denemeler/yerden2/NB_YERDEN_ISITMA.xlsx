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2">'PETEK LİST'!$A$1:$P$77</definedName>
    <definedName name="_xlnm.Print_Area" localSheetId="3">'YERDEN ISITMA'!$A$1:$N$77</definedName>
    <definedName name="_xlnm.Print_Area" localSheetId="4">'MMO YERDEN ISITMA'!$A$1:$AF$47</definedName>
    <definedName name="_xlnm.Print_Area" localSheetId="5">'YERDEN ISITMA- DEVAMI'!$A$1:$AG$47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5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4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&lt; 2 m² wc-lavabo / duş,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
KAYBI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W/h</t>
        </is>
      </c>
      <c r="E9" s="331" t="inlineStr">
        <is>
          <t>W/m2K</t>
        </is>
      </c>
      <c r="F9" s="331" t="inlineStr">
        <is>
          <t>W/m2K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1604.4</v>
      </c>
      <c r="E10" s="344" t="n">
        <v>17.5</v>
      </c>
      <c r="F10" s="343">
        <f>'YERDEN ISITMA'!N10</f>
        <v/>
      </c>
      <c r="G10" s="340" t="n">
        <v>45.84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2551.9</v>
      </c>
      <c r="E11" s="344" t="n">
        <v>17.5</v>
      </c>
      <c r="F11" s="343">
        <f>'YERDEN ISITMA'!N11</f>
        <v/>
      </c>
      <c r="G11" s="340" t="n">
        <v>72.91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1365.3</v>
      </c>
      <c r="E12" s="344" t="n">
        <v>17.5</v>
      </c>
      <c r="F12" s="343">
        <f>'YERDEN ISITMA'!N12</f>
        <v/>
      </c>
      <c r="G12" s="340" t="n">
        <v>39.01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1544.2</v>
      </c>
      <c r="E13" s="344" t="n">
        <v>17.5</v>
      </c>
      <c r="F13" s="343">
        <f>'YERDEN ISITMA'!N13</f>
        <v/>
      </c>
      <c r="G13" s="340" t="n">
        <v>44.12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3600.5</v>
      </c>
      <c r="E14" s="344" t="n">
        <v>17.5</v>
      </c>
      <c r="F14" s="343">
        <f>'YERDEN ISITMA'!N14</f>
        <v/>
      </c>
      <c r="G14" s="340" t="n">
        <v>102.87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1519.3</v>
      </c>
      <c r="E15" s="344" t="n">
        <v>17.5</v>
      </c>
      <c r="F15" s="343">
        <f>'YERDEN ISITMA'!N15</f>
        <v/>
      </c>
      <c r="G15" s="340" t="n">
        <v>43.41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391.6</v>
      </c>
      <c r="E16" s="344" t="n">
        <v>17.5</v>
      </c>
      <c r="F16" s="343">
        <f>'YERDEN ISITMA'!N16</f>
        <v/>
      </c>
      <c r="G16" s="340" t="n">
        <v>11.19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17.5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2125.2</v>
      </c>
      <c r="E18" s="344" t="n">
        <v>17.5</v>
      </c>
      <c r="F18" s="343">
        <f>'YERDEN ISITMA'!N18</f>
        <v/>
      </c>
      <c r="G18" s="340" t="n">
        <v>60.72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1365.3</v>
      </c>
      <c r="E19" s="344" t="n">
        <v>17.5</v>
      </c>
      <c r="F19" s="343">
        <f>'YERDEN ISITMA'!N19</f>
        <v/>
      </c>
      <c r="G19" s="340" t="n">
        <v>39.01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1481.9</v>
      </c>
      <c r="E20" s="344" t="n">
        <v>17.5</v>
      </c>
      <c r="F20" s="343">
        <f>'YERDEN ISITMA'!N20</f>
        <v/>
      </c>
      <c r="G20" s="340" t="n">
        <v>42.34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3933.3</v>
      </c>
      <c r="E21" s="344" t="n">
        <v>17.5</v>
      </c>
      <c r="F21" s="343">
        <f>'YERDEN ISITMA'!N21</f>
        <v/>
      </c>
      <c r="G21" s="340" t="n">
        <v>112.38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1521.8</v>
      </c>
      <c r="E22" s="344" t="n">
        <v>17.5</v>
      </c>
      <c r="F22" s="343">
        <f>'YERDEN ISITMA'!N22</f>
        <v/>
      </c>
      <c r="G22" s="340" t="n">
        <v>43.48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385.7</v>
      </c>
      <c r="E23" s="344" t="n">
        <v>17.5</v>
      </c>
      <c r="F23" s="343">
        <f>'YERDEN ISITMA'!N23</f>
        <v/>
      </c>
      <c r="G23" s="340" t="n">
        <v>11.02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1006.6</v>
      </c>
      <c r="E24" s="344" t="n">
        <v>17.5</v>
      </c>
      <c r="F24" s="343">
        <f>'YERDEN ISITMA'!N24</f>
        <v/>
      </c>
      <c r="G24" s="340" t="n">
        <v>28.76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2011</v>
      </c>
      <c r="E25" s="349" t="n">
        <v>17.5</v>
      </c>
      <c r="F25" s="348">
        <f>'YERDEN ISITMA'!N25</f>
        <v/>
      </c>
      <c r="G25" s="345" t="n">
        <v>57.46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1504.7</v>
      </c>
      <c r="E26" s="349" t="n">
        <v>17.5</v>
      </c>
      <c r="F26" s="348">
        <f>'YERDEN ISITMA'!N26</f>
        <v/>
      </c>
      <c r="G26" s="345" t="n">
        <v>42.99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3407</v>
      </c>
      <c r="E27" s="349" t="n">
        <v>17.5</v>
      </c>
      <c r="F27" s="348">
        <f>'YERDEN ISITMA'!N27</f>
        <v/>
      </c>
      <c r="G27" s="345" t="n">
        <v>97.34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1254.4</v>
      </c>
      <c r="E28" s="349" t="n">
        <v>17.5</v>
      </c>
      <c r="F28" s="348">
        <f>'YERDEN ISITMA'!N28</f>
        <v/>
      </c>
      <c r="G28" s="345" t="n">
        <v>35.84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1577.8</v>
      </c>
      <c r="E29" s="349" t="n">
        <v>17.5</v>
      </c>
      <c r="F29" s="348">
        <f>'YERDEN ISITMA'!N29</f>
        <v/>
      </c>
      <c r="G29" s="345" t="n">
        <v>45.08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249.5</v>
      </c>
      <c r="E30" s="349" t="n">
        <v>17.5</v>
      </c>
      <c r="F30" s="348">
        <f>'YERDEN ISITMA'!N30</f>
        <v/>
      </c>
      <c r="G30" s="345" t="n">
        <v>7.13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17.5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2538.2</v>
      </c>
      <c r="E33" s="349" t="n">
        <v>17.5</v>
      </c>
      <c r="F33" s="348">
        <f>'YERDEN ISITMA'!N33</f>
        <v/>
      </c>
      <c r="G33" s="345" t="n">
        <v>72.52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1365.3</v>
      </c>
      <c r="E34" s="349" t="n">
        <v>17.5</v>
      </c>
      <c r="F34" s="348">
        <f>'YERDEN ISITMA'!N34</f>
        <v/>
      </c>
      <c r="G34" s="345" t="n">
        <v>39.01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1481.9</v>
      </c>
      <c r="E35" s="349" t="n">
        <v>17.5</v>
      </c>
      <c r="F35" s="348">
        <f>'YERDEN ISITMA'!N35</f>
        <v/>
      </c>
      <c r="G35" s="345" t="n">
        <v>42.34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3919.3</v>
      </c>
      <c r="E36" s="349" t="n">
        <v>17.5</v>
      </c>
      <c r="F36" s="348">
        <f>'YERDEN ISITMA'!N36</f>
        <v/>
      </c>
      <c r="G36" s="345" t="n">
        <v>111.98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1521.8</v>
      </c>
      <c r="E37" s="349" t="n">
        <v>17.5</v>
      </c>
      <c r="F37" s="348">
        <f>'YERDEN ISITMA'!N37</f>
        <v/>
      </c>
      <c r="G37" s="345" t="n">
        <v>43.48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385</v>
      </c>
      <c r="E38" s="349" t="n">
        <v>17.5</v>
      </c>
      <c r="F38" s="348">
        <f>'YERDEN ISITMA'!N38</f>
        <v/>
      </c>
      <c r="G38" s="345" t="n">
        <v>11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1176.7</v>
      </c>
      <c r="E39" s="349" t="n">
        <v>17.5</v>
      </c>
      <c r="F39" s="348">
        <f>'YERDEN ISITMA'!N39</f>
        <v/>
      </c>
      <c r="G39" s="345" t="n">
        <v>33.62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2112.3</v>
      </c>
      <c r="E40" s="349" t="n">
        <v>17.5</v>
      </c>
      <c r="F40" s="348">
        <f>'YERDEN ISITMA'!N40</f>
        <v/>
      </c>
      <c r="G40" s="345" t="n">
        <v>60.35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1504.7</v>
      </c>
      <c r="E41" s="349" t="n">
        <v>17.5</v>
      </c>
      <c r="F41" s="348">
        <f>'YERDEN ISITMA'!N41</f>
        <v/>
      </c>
      <c r="G41" s="345" t="n">
        <v>42.99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3226.3</v>
      </c>
      <c r="E42" s="349" t="n">
        <v>17.5</v>
      </c>
      <c r="F42" s="348">
        <f>'YERDEN ISITMA'!N42</f>
        <v/>
      </c>
      <c r="G42" s="345" t="n">
        <v>92.18000000000001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1086.8</v>
      </c>
      <c r="E43" s="349" t="n">
        <v>17.5</v>
      </c>
      <c r="F43" s="348">
        <f>'YERDEN ISITMA'!N43</f>
        <v/>
      </c>
      <c r="G43" s="345" t="n">
        <v>31.05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1577.5</v>
      </c>
      <c r="E44" s="349" t="n">
        <v>17.5</v>
      </c>
      <c r="F44" s="348">
        <f>'YERDEN ISITMA'!N44</f>
        <v/>
      </c>
      <c r="G44" s="345" t="n">
        <v>45.07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249.9</v>
      </c>
      <c r="E45" s="349" t="n">
        <v>17.5</v>
      </c>
      <c r="F45" s="348">
        <f>'YERDEN ISITMA'!N45</f>
        <v/>
      </c>
      <c r="G45" s="345" t="n">
        <v>7.14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17.5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2557.5</v>
      </c>
      <c r="E47" s="349" t="n">
        <v>17.5</v>
      </c>
      <c r="F47" s="348">
        <f>'YERDEN ISITMA'!N47</f>
        <v/>
      </c>
      <c r="G47" s="345" t="n">
        <v>73.06999999999999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1421.3</v>
      </c>
      <c r="E48" s="349" t="n">
        <v>17.5</v>
      </c>
      <c r="F48" s="348">
        <f>'YERDEN ISITMA'!N48</f>
        <v/>
      </c>
      <c r="G48" s="345" t="n">
        <v>40.61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1499.4</v>
      </c>
      <c r="E49" s="349" t="n">
        <v>17.5</v>
      </c>
      <c r="F49" s="348">
        <f>'YERDEN ISITMA'!N49</f>
        <v/>
      </c>
      <c r="G49" s="345" t="n">
        <v>42.84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3606.1</v>
      </c>
      <c r="E50" s="349" t="n">
        <v>17.5</v>
      </c>
      <c r="F50" s="348">
        <f>'YERDEN ISITMA'!N50</f>
        <v/>
      </c>
      <c r="G50" s="345" t="n">
        <v>103.03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1519.3</v>
      </c>
      <c r="E51" s="349" t="n">
        <v>17.5</v>
      </c>
      <c r="F51" s="348">
        <f>'YERDEN ISITMA'!N51</f>
        <v/>
      </c>
      <c r="G51" s="345" t="n">
        <v>43.41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WC-DUŞ</t>
        </is>
      </c>
      <c r="C52" s="347" t="inlineStr">
        <is>
          <t>24</t>
        </is>
      </c>
      <c r="D52" s="348" t="n">
        <v>58.1</v>
      </c>
      <c r="E52" s="349" t="n">
        <v>17.5</v>
      </c>
      <c r="F52" s="348">
        <f>'YERDEN ISITMA'!N52</f>
        <v/>
      </c>
      <c r="G52" s="345" t="n">
        <v>1.66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inlineStr">
        <is>
          <t>122</t>
        </is>
      </c>
      <c r="B53" s="346" t="inlineStr">
        <is>
          <t>D6 BANYO</t>
        </is>
      </c>
      <c r="C53" s="347" t="inlineStr">
        <is>
          <t>24</t>
        </is>
      </c>
      <c r="D53" s="348" t="n">
        <v>249.5</v>
      </c>
      <c r="E53" s="349" t="n">
        <v>17.5</v>
      </c>
      <c r="F53" s="348">
        <f>'YERDEN ISITMA'!N53</f>
        <v/>
      </c>
      <c r="G53" s="345" t="n">
        <v>7.13</v>
      </c>
      <c r="H53" s="345" t="n">
        <v>1</v>
      </c>
      <c r="I53" s="345" t="inlineStr">
        <is>
          <t>ZEMİNDEN ISITMA</t>
        </is>
      </c>
      <c r="J53" s="264" t="n"/>
      <c r="K53" s="264" t="n"/>
      <c r="L53" s="264" t="n"/>
      <c r="M53" s="264" t="n"/>
      <c r="N53" s="264" t="n"/>
      <c r="O53" s="264" t="n"/>
      <c r="P53" s="260" t="n"/>
    </row>
    <row r="54">
      <c r="A54" s="345" t="n"/>
      <c r="B54" s="345" t="inlineStr">
        <is>
          <t>1. KAT</t>
        </is>
      </c>
      <c r="C54" s="347" t="n"/>
      <c r="D54" s="348" t="n"/>
      <c r="E54" s="350" t="inlineStr">
        <is>
          <t>TOPLAM =</t>
        </is>
      </c>
      <c r="F54" s="351">
        <f>SUM(F32:F53)</f>
        <v/>
      </c>
      <c r="G54" s="345" t="inlineStr">
        <is>
          <t>watt</t>
        </is>
      </c>
      <c r="H54" s="345" t="n"/>
      <c r="I54" s="345" t="n"/>
      <c r="J54" s="345" t="n"/>
      <c r="K54" s="345" t="n"/>
      <c r="L54" s="345" t="n"/>
      <c r="M54" s="345" t="n"/>
      <c r="N54" s="345" t="n"/>
      <c r="O54" s="345" t="n"/>
      <c r="P54" s="345" t="n"/>
    </row>
    <row r="55">
      <c r="A55" s="345" t="inlineStr">
        <is>
          <t>201</t>
        </is>
      </c>
      <c r="B55" s="346" t="inlineStr">
        <is>
          <t>D7 MUTFAK</t>
        </is>
      </c>
      <c r="C55" s="347" t="inlineStr">
        <is>
          <t>20</t>
        </is>
      </c>
      <c r="D55" s="348" t="n">
        <v>1586.9</v>
      </c>
      <c r="E55" s="349" t="n">
        <v>17.5</v>
      </c>
      <c r="F55" s="348">
        <f>'YERDEN ISITMA'!N55</f>
        <v/>
      </c>
      <c r="G55" s="345" t="n">
        <v>45.34</v>
      </c>
      <c r="H55" s="345" t="n">
        <v>1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202</t>
        </is>
      </c>
      <c r="B56" s="346" t="inlineStr">
        <is>
          <t>D7 YATAK OD.</t>
        </is>
      </c>
      <c r="C56" s="347" t="inlineStr">
        <is>
          <t>20</t>
        </is>
      </c>
      <c r="D56" s="348" t="n">
        <v>2443.7</v>
      </c>
      <c r="E56" s="349" t="n">
        <v>17.5</v>
      </c>
      <c r="F56" s="348">
        <f>'YERDEN ISITMA'!N56</f>
        <v/>
      </c>
      <c r="G56" s="345" t="n">
        <v>69.81999999999999</v>
      </c>
      <c r="H56" s="345" t="n">
        <v>2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203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1361.2</v>
      </c>
      <c r="E57" s="349" t="n">
        <v>17.5</v>
      </c>
      <c r="F57" s="348">
        <f>'YERDEN ISITMA'!N57</f>
        <v/>
      </c>
      <c r="G57" s="345" t="n">
        <v>38.89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204</t>
        </is>
      </c>
      <c r="B58" s="346" t="inlineStr">
        <is>
          <t>D7 YATAK OD.</t>
        </is>
      </c>
      <c r="C58" s="347" t="inlineStr">
        <is>
          <t>20</t>
        </is>
      </c>
      <c r="D58" s="348" t="n">
        <v>1490.3</v>
      </c>
      <c r="E58" s="349" t="n">
        <v>17.5</v>
      </c>
      <c r="F58" s="348">
        <f>'YERDEN ISITMA'!N58</f>
        <v/>
      </c>
      <c r="G58" s="345" t="n">
        <v>42.58</v>
      </c>
      <c r="H58" s="345" t="n">
        <v>1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205</t>
        </is>
      </c>
      <c r="B59" s="346" t="inlineStr">
        <is>
          <t>D7 SALON</t>
        </is>
      </c>
      <c r="C59" s="347" t="inlineStr">
        <is>
          <t>20</t>
        </is>
      </c>
      <c r="D59" s="348" t="n">
        <v>3576.6</v>
      </c>
      <c r="E59" s="349" t="n">
        <v>17.5</v>
      </c>
      <c r="F59" s="348">
        <f>'YERDEN ISITMA'!N59</f>
        <v/>
      </c>
      <c r="G59" s="345" t="n">
        <v>102.19</v>
      </c>
      <c r="H59" s="345" t="n">
        <v>2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206</t>
        </is>
      </c>
      <c r="B60" s="346" t="inlineStr">
        <is>
          <t>D7 ANTRE-KOR.</t>
        </is>
      </c>
      <c r="C60" s="347" t="inlineStr">
        <is>
          <t>15</t>
        </is>
      </c>
      <c r="D60" s="348" t="n">
        <v>1505.3</v>
      </c>
      <c r="E60" s="349" t="n">
        <v>17.5</v>
      </c>
      <c r="F60" s="348">
        <f>'YERDEN ISITMA'!N60</f>
        <v/>
      </c>
      <c r="G60" s="345" t="n">
        <v>43.01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207</t>
        </is>
      </c>
      <c r="B61" s="346" t="inlineStr">
        <is>
          <t>D7 BANYO</t>
        </is>
      </c>
      <c r="C61" s="347" t="inlineStr">
        <is>
          <t>24</t>
        </is>
      </c>
      <c r="D61" s="348" t="n">
        <v>389.2</v>
      </c>
      <c r="E61" s="349" t="n">
        <v>17.5</v>
      </c>
      <c r="F61" s="348">
        <f>'YERDEN ISITMA'!N61</f>
        <v/>
      </c>
      <c r="G61" s="345" t="n">
        <v>11.12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208</t>
        </is>
      </c>
      <c r="B62" s="346" t="inlineStr">
        <is>
          <t>D8 MUTFAK</t>
        </is>
      </c>
      <c r="C62" s="347" t="inlineStr">
        <is>
          <t>20</t>
        </is>
      </c>
      <c r="D62" s="348" t="n">
        <v>1189.3</v>
      </c>
      <c r="E62" s="349" t="n">
        <v>17.5</v>
      </c>
      <c r="F62" s="348">
        <f>'YERDEN ISITMA'!N62</f>
        <v/>
      </c>
      <c r="G62" s="345" t="n">
        <v>33.98</v>
      </c>
      <c r="H62" s="345" t="n">
        <v>1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209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1210.3</v>
      </c>
      <c r="E63" s="349" t="n">
        <v>17.5</v>
      </c>
      <c r="F63" s="348">
        <f>'YERDEN ISITMA'!N63</f>
        <v/>
      </c>
      <c r="G63" s="345" t="n">
        <v>34.58</v>
      </c>
      <c r="H63" s="345" t="n">
        <v>2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210</t>
        </is>
      </c>
      <c r="B64" s="346" t="inlineStr">
        <is>
          <t>D8 YATAK OD.</t>
        </is>
      </c>
      <c r="C64" s="347" t="inlineStr">
        <is>
          <t>20</t>
        </is>
      </c>
      <c r="D64" s="348" t="n">
        <v>1539</v>
      </c>
      <c r="E64" s="349" t="n">
        <v>17.5</v>
      </c>
      <c r="F64" s="348">
        <f>'YERDEN ISITMA'!N64</f>
        <v/>
      </c>
      <c r="G64" s="345" t="n">
        <v>43.97</v>
      </c>
      <c r="H64" s="345" t="n">
        <v>1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211</t>
        </is>
      </c>
      <c r="B65" s="346" t="inlineStr">
        <is>
          <t>D8 SALON</t>
        </is>
      </c>
      <c r="C65" s="347" t="inlineStr">
        <is>
          <t>20</t>
        </is>
      </c>
      <c r="D65" s="348" t="n">
        <v>2985.5</v>
      </c>
      <c r="E65" s="349" t="n">
        <v>17.5</v>
      </c>
      <c r="F65" s="348">
        <f>'YERDEN ISITMA'!N65</f>
        <v/>
      </c>
      <c r="G65" s="345" t="n">
        <v>85.3</v>
      </c>
      <c r="H65" s="345" t="n">
        <v>2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212</t>
        </is>
      </c>
      <c r="B66" s="346" t="inlineStr">
        <is>
          <t>D8 ODA</t>
        </is>
      </c>
      <c r="C66" s="347" t="inlineStr">
        <is>
          <t>20</t>
        </is>
      </c>
      <c r="D66" s="348" t="n">
        <v>1244.6</v>
      </c>
      <c r="E66" s="349" t="n">
        <v>17.5</v>
      </c>
      <c r="F66" s="348">
        <f>'YERDEN ISITMA'!N66</f>
        <v/>
      </c>
      <c r="G66" s="345" t="n">
        <v>35.56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213</t>
        </is>
      </c>
      <c r="B67" s="346" t="inlineStr">
        <is>
          <t>D8 ANTRE-KOR.</t>
        </is>
      </c>
      <c r="C67" s="347" t="inlineStr">
        <is>
          <t>15</t>
        </is>
      </c>
      <c r="D67" s="348" t="n">
        <v>1575.7</v>
      </c>
      <c r="E67" s="349" t="n">
        <v>17.5</v>
      </c>
      <c r="F67" s="348">
        <f>'YERDEN ISITMA'!N67</f>
        <v/>
      </c>
      <c r="G67" s="345" t="n">
        <v>45.02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214</t>
        </is>
      </c>
      <c r="B68" s="346" t="inlineStr">
        <is>
          <t>D8 WC-BANYO</t>
        </is>
      </c>
      <c r="C68" s="347" t="inlineStr">
        <is>
          <t>24</t>
        </is>
      </c>
      <c r="D68" s="348" t="n">
        <v>247.5</v>
      </c>
      <c r="E68" s="349" t="n">
        <v>17.5</v>
      </c>
      <c r="F68" s="348">
        <f>'YERDEN ISITMA'!N68</f>
        <v/>
      </c>
      <c r="G68" s="345" t="n">
        <v>7.07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215</t>
        </is>
      </c>
      <c r="B69" s="346" t="inlineStr">
        <is>
          <t>D9 MUTFAK</t>
        </is>
      </c>
      <c r="C69" s="347" t="inlineStr">
        <is>
          <t>20</t>
        </is>
      </c>
      <c r="D69" s="348" t="n">
        <v>1677.9</v>
      </c>
      <c r="E69" s="349" t="n">
        <v>17.5</v>
      </c>
      <c r="F69" s="348">
        <f>'YERDEN ISITMA'!N69</f>
        <v/>
      </c>
      <c r="G69" s="345" t="n">
        <v>47.94</v>
      </c>
      <c r="H69" s="345" t="n">
        <v>1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216</t>
        </is>
      </c>
      <c r="B70" s="346" t="inlineStr">
        <is>
          <t>D9 YATAK OD.</t>
        </is>
      </c>
      <c r="C70" s="347" t="inlineStr">
        <is>
          <t>20</t>
        </is>
      </c>
      <c r="D70" s="348" t="n">
        <v>2544.2</v>
      </c>
      <c r="E70" s="349" t="n">
        <v>17.5</v>
      </c>
      <c r="F70" s="348">
        <f>'YERDEN ISITMA'!N70</f>
        <v/>
      </c>
      <c r="G70" s="345" t="n">
        <v>72.69</v>
      </c>
      <c r="H70" s="345" t="n">
        <v>2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217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1372.4</v>
      </c>
      <c r="E71" s="349" t="n">
        <v>17.5</v>
      </c>
      <c r="F71" s="348">
        <f>'YERDEN ISITMA'!N71</f>
        <v/>
      </c>
      <c r="G71" s="345" t="n">
        <v>39.21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218</t>
        </is>
      </c>
      <c r="B72" s="346" t="inlineStr">
        <is>
          <t>D9 YATAK OD.</t>
        </is>
      </c>
      <c r="C72" s="347" t="inlineStr">
        <is>
          <t>20</t>
        </is>
      </c>
      <c r="D72" s="348" t="n">
        <v>1542.8</v>
      </c>
      <c r="E72" s="349" t="n">
        <v>17.5</v>
      </c>
      <c r="F72" s="348">
        <f>'YERDEN ISITMA'!N72</f>
        <v/>
      </c>
      <c r="G72" s="345" t="n">
        <v>44.08</v>
      </c>
      <c r="H72" s="345" t="n">
        <v>1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219</t>
        </is>
      </c>
      <c r="B73" s="346" t="inlineStr">
        <is>
          <t>D9 SALON</t>
        </is>
      </c>
      <c r="C73" s="347" t="inlineStr">
        <is>
          <t>20</t>
        </is>
      </c>
      <c r="D73" s="348" t="n">
        <v>3559.8</v>
      </c>
      <c r="E73" s="349" t="n">
        <v>17.5</v>
      </c>
      <c r="F73" s="348">
        <f>'YERDEN ISITMA'!N73</f>
        <v/>
      </c>
      <c r="G73" s="345" t="n">
        <v>101.71</v>
      </c>
      <c r="H73" s="345" t="n">
        <v>2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220</t>
        </is>
      </c>
      <c r="B74" s="346" t="inlineStr">
        <is>
          <t>D9 ANTRE-KOR.</t>
        </is>
      </c>
      <c r="C74" s="347" t="inlineStr">
        <is>
          <t>15</t>
        </is>
      </c>
      <c r="D74" s="348" t="n">
        <v>1505.7</v>
      </c>
      <c r="E74" s="349" t="n">
        <v>17.5</v>
      </c>
      <c r="F74" s="348">
        <f>'YERDEN ISITMA'!N74</f>
        <v/>
      </c>
      <c r="G74" s="345" t="n">
        <v>43.02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inlineStr">
        <is>
          <t>221</t>
        </is>
      </c>
      <c r="B75" s="346" t="inlineStr">
        <is>
          <t>D9 BANYO</t>
        </is>
      </c>
      <c r="C75" s="347" t="inlineStr">
        <is>
          <t>24</t>
        </is>
      </c>
      <c r="D75" s="348" t="n">
        <v>362.6</v>
      </c>
      <c r="E75" s="349" t="n">
        <v>17.5</v>
      </c>
      <c r="F75" s="348">
        <f>'YERDEN ISITMA'!N75</f>
        <v/>
      </c>
      <c r="G75" s="345" t="n">
        <v>10.36</v>
      </c>
      <c r="H75" s="345" t="n">
        <v>1</v>
      </c>
      <c r="I75" s="345" t="inlineStr">
        <is>
          <t>ZEMİNDEN ISITMA</t>
        </is>
      </c>
      <c r="J75" s="264" t="n"/>
      <c r="K75" s="264" t="n"/>
      <c r="L75" s="264" t="n"/>
      <c r="M75" s="264" t="n"/>
      <c r="N75" s="264" t="n"/>
      <c r="O75" s="264" t="n"/>
      <c r="P75" s="260" t="n"/>
    </row>
    <row r="76">
      <c r="A76" s="345" t="n"/>
      <c r="B76" s="345" t="inlineStr">
        <is>
          <t>2. KAT</t>
        </is>
      </c>
      <c r="C76" s="347" t="n"/>
      <c r="D76" s="348" t="n"/>
      <c r="E76" s="350" t="inlineStr">
        <is>
          <t>TOPLAM =</t>
        </is>
      </c>
      <c r="F76" s="351">
        <f>SUM(F55:F75)</f>
        <v/>
      </c>
      <c r="G76" s="345" t="inlineStr">
        <is>
          <t>watt</t>
        </is>
      </c>
      <c r="H76" s="345" t="n"/>
      <c r="I76" s="345" t="n"/>
      <c r="J76" s="345" t="n"/>
      <c r="K76" s="345" t="n"/>
      <c r="L76" s="345" t="n"/>
      <c r="M76" s="345" t="n"/>
      <c r="N76" s="345" t="n"/>
      <c r="O76" s="345" t="n"/>
      <c r="P76" s="345" t="n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1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I75:P75"/>
    <mergeCell ref="I53:P53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17.5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17.5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17.5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17.5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17.5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17.5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17.5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17.5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17.5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17.5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17.5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17.5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17.5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17.5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17.5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17.5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17.5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17.5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17.5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17.5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17.5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17.5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17.5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17.5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17.5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17.5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17.5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17.5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17.5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17.5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17.5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17.5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17.5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17.5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17.5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17.5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17.5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17.5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17.5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17.5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17.5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2.65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17.5</v>
      </c>
      <c r="N52" s="373">
        <f>J52*M52</f>
        <v/>
      </c>
    </row>
    <row r="53">
      <c r="A53" s="368">
        <f>'PETEK LİST'!A53</f>
        <v/>
      </c>
      <c r="B53" s="369">
        <f>'PETEK LİST'!B53</f>
        <v/>
      </c>
      <c r="C53" s="370">
        <f>'PETEK LİST'!C53</f>
        <v/>
      </c>
      <c r="D53" s="348">
        <f>'PETEK LİST'!D53</f>
        <v/>
      </c>
      <c r="E53" s="371" t="n">
        <v>4.37</v>
      </c>
      <c r="F53" s="372">
        <f>D53/E53</f>
        <v/>
      </c>
      <c r="G53" s="372">
        <f>76.263-0.539*F53</f>
        <v/>
      </c>
      <c r="H53" s="372">
        <f>D53/G53</f>
        <v/>
      </c>
      <c r="I53" s="368" t="n">
        <v>15</v>
      </c>
      <c r="J53" s="345">
        <f>'PETEK LİST'!G53</f>
        <v/>
      </c>
      <c r="K53" s="372">
        <f>J53/80</f>
        <v/>
      </c>
      <c r="L53" s="368">
        <f>CEILING(K53,1)</f>
        <v/>
      </c>
      <c r="M53" s="368" t="n">
        <v>17.5</v>
      </c>
      <c r="N53" s="373">
        <f>J53*M53</f>
        <v/>
      </c>
    </row>
    <row r="54"/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11.07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17.5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14.25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17.5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17.5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9.31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17.5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21.18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17.5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7.77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17.5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5.04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17.5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10.11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17.5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15.44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17.5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9.050000000000001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17.5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22.31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17.5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7.75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17.5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11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17.5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4.37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17.5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11.07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17.5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14.25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17.5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17.5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9.31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17.5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21.18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17.5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7.77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17.5</v>
      </c>
      <c r="N74" s="373">
        <f>J74*M74</f>
        <v/>
      </c>
    </row>
    <row r="75">
      <c r="A75" s="368">
        <f>'PETEK LİST'!A75</f>
        <v/>
      </c>
      <c r="B75" s="369">
        <f>'PETEK LİST'!B75</f>
        <v/>
      </c>
      <c r="C75" s="370">
        <f>'PETEK LİST'!C75</f>
        <v/>
      </c>
      <c r="D75" s="348">
        <f>'PETEK LİST'!D75</f>
        <v/>
      </c>
      <c r="E75" s="371" t="n">
        <v>5.04</v>
      </c>
      <c r="F75" s="372">
        <f>D75/E75</f>
        <v/>
      </c>
      <c r="G75" s="372">
        <f>76.263-0.539*F75</f>
        <v/>
      </c>
      <c r="H75" s="372">
        <f>D75/G75</f>
        <v/>
      </c>
      <c r="I75" s="368" t="n">
        <v>15</v>
      </c>
      <c r="J75" s="345">
        <f>'PETEK LİST'!G75</f>
        <v/>
      </c>
      <c r="K75" s="372">
        <f>J75/80</f>
        <v/>
      </c>
      <c r="L75" s="368">
        <f>CEILING(K75,1)</f>
        <v/>
      </c>
      <c r="M75" s="368" t="n">
        <v>17.5</v>
      </c>
      <c r="N75" s="373">
        <f>J75*M75</f>
        <v/>
      </c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36095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16935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</v>
      </c>
      <c r="G12" s="397" t="n">
        <v>6.28</v>
      </c>
      <c r="H12" s="397" t="n">
        <v>7.29</v>
      </c>
      <c r="I12" s="397" t="n">
        <v>8.74</v>
      </c>
      <c r="J12" s="397" t="n">
        <v>8.84</v>
      </c>
      <c r="K12" s="397" t="n">
        <v>9.77</v>
      </c>
      <c r="L12" s="397" t="n">
        <v>10.33</v>
      </c>
      <c r="M12" s="397" t="n">
        <v>7.61</v>
      </c>
      <c r="N12" s="397" t="n">
        <v>3.34</v>
      </c>
      <c r="O12" s="397" t="n">
        <v>7.87</v>
      </c>
      <c r="P12" s="397" t="n">
        <v>6.92</v>
      </c>
      <c r="Q12" s="397" t="n">
        <v>6.55</v>
      </c>
      <c r="R12" s="397" t="n">
        <v>8.73</v>
      </c>
      <c r="S12" s="397" t="n">
        <v>8.800000000000001</v>
      </c>
      <c r="T12" s="397" t="n">
        <v>10.68</v>
      </c>
      <c r="U12" s="397" t="n">
        <v>9.49</v>
      </c>
      <c r="V12" s="397" t="n">
        <v>7.63</v>
      </c>
      <c r="W12" s="397" t="n">
        <v>3.29</v>
      </c>
      <c r="X12" s="397" t="n">
        <v>6.79</v>
      </c>
      <c r="Y12" s="397" t="n">
        <v>6.73</v>
      </c>
      <c r="Z12" s="397" t="n">
        <v>7.53</v>
      </c>
      <c r="AA12" s="397" t="n">
        <v>8.619999999999999</v>
      </c>
      <c r="AB12" s="397" t="n">
        <v>11.03</v>
      </c>
      <c r="AC12" s="397" t="n">
        <v>9.74</v>
      </c>
      <c r="AD12" s="397" t="n">
        <v>7.14</v>
      </c>
      <c r="AE12" s="397" t="n">
        <v>10</v>
      </c>
      <c r="AF12" s="397" t="n">
        <v>1.93</v>
      </c>
    </row>
    <row r="13" ht="12" customHeight="1" s="244">
      <c r="A13" s="261" t="n"/>
      <c r="B13" s="282" t="n"/>
      <c r="C13" s="394" t="n"/>
      <c r="D13" s="261" t="n"/>
      <c r="E13" s="259" t="n"/>
      <c r="F13" s="398" t="n">
        <v>1604.4</v>
      </c>
      <c r="G13" s="398" t="n">
        <v>1180.9</v>
      </c>
      <c r="H13" s="398" t="n">
        <v>1371</v>
      </c>
      <c r="I13" s="398" t="n">
        <v>1365.3</v>
      </c>
      <c r="J13" s="398" t="n">
        <v>1544.2</v>
      </c>
      <c r="K13" s="398" t="n">
        <v>1749.7</v>
      </c>
      <c r="L13" s="398" t="n">
        <v>1850.8</v>
      </c>
      <c r="M13" s="398" t="n">
        <v>1519.3</v>
      </c>
      <c r="N13" s="398" t="n">
        <v>391.6</v>
      </c>
      <c r="O13" s="398" t="n">
        <v>1694</v>
      </c>
      <c r="P13" s="398" t="n">
        <v>1091.3</v>
      </c>
      <c r="Q13" s="398" t="n">
        <v>1033.9</v>
      </c>
      <c r="R13" s="398" t="n">
        <v>1365.3</v>
      </c>
      <c r="S13" s="398" t="n">
        <v>1481.9</v>
      </c>
      <c r="T13" s="398" t="n">
        <v>2082.5</v>
      </c>
      <c r="U13" s="398" t="n">
        <v>1850.8</v>
      </c>
      <c r="V13" s="398" t="n">
        <v>1521.8</v>
      </c>
      <c r="W13" s="398" t="n">
        <v>385.7</v>
      </c>
      <c r="X13" s="398" t="n">
        <v>1006.6</v>
      </c>
      <c r="Y13" s="398" t="n">
        <v>949.5</v>
      </c>
      <c r="Z13" s="398" t="n">
        <v>1061.5</v>
      </c>
      <c r="AA13" s="398" t="n">
        <v>1504.7</v>
      </c>
      <c r="AB13" s="398" t="n">
        <v>1808.5</v>
      </c>
      <c r="AC13" s="398" t="n">
        <v>1598.5</v>
      </c>
      <c r="AD13" s="398" t="n">
        <v>1254.4</v>
      </c>
      <c r="AE13" s="398" t="n">
        <v>1577.8</v>
      </c>
      <c r="AF13" s="398" t="n">
        <v>249.5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7872</v>
      </c>
      <c r="G32" s="407" t="n">
        <v>3389</v>
      </c>
      <c r="H32" s="407" t="n">
        <v>5109</v>
      </c>
      <c r="I32" s="407" t="n">
        <v>5051</v>
      </c>
      <c r="J32" s="407" t="n">
        <v>7087</v>
      </c>
      <c r="K32" s="407" t="n">
        <v>9992</v>
      </c>
      <c r="L32" s="407" t="n">
        <v>11661</v>
      </c>
      <c r="M32" s="407" t="n">
        <v>6777</v>
      </c>
      <c r="N32" s="407" t="n">
        <v>135</v>
      </c>
      <c r="O32" s="407" t="n">
        <v>9141</v>
      </c>
      <c r="P32" s="407" t="n">
        <v>2728</v>
      </c>
      <c r="Q32" s="407" t="n">
        <v>2351</v>
      </c>
      <c r="R32" s="407" t="n">
        <v>5051</v>
      </c>
      <c r="S32" s="407" t="n">
        <v>6328</v>
      </c>
      <c r="T32" s="407" t="n">
        <v>16129</v>
      </c>
      <c r="U32" s="407" t="n">
        <v>11661</v>
      </c>
      <c r="V32" s="407" t="n">
        <v>6807</v>
      </c>
      <c r="W32" s="407" t="n">
        <v>131</v>
      </c>
      <c r="X32" s="407" t="n">
        <v>2185</v>
      </c>
      <c r="Y32" s="407" t="n">
        <v>1861</v>
      </c>
      <c r="Z32" s="407" t="n">
        <v>2528</v>
      </c>
      <c r="AA32" s="407" t="n">
        <v>6599</v>
      </c>
      <c r="AB32" s="407" t="n">
        <v>10942</v>
      </c>
      <c r="AC32" s="407" t="n">
        <v>7793</v>
      </c>
      <c r="AD32" s="407" t="n">
        <v>4001</v>
      </c>
      <c r="AE32" s="407" t="n">
        <v>7519</v>
      </c>
      <c r="AF32" s="407" t="n">
        <v>55</v>
      </c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410" t="n"/>
      <c r="I39" s="410" t="n"/>
      <c r="J39" s="410" t="n"/>
      <c r="K39" s="410" t="n"/>
      <c r="L39" s="410" t="n"/>
      <c r="M39" s="410" t="n"/>
      <c r="N39" s="410" t="n"/>
      <c r="O39" s="410" t="n"/>
      <c r="P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H40" s="410" t="n"/>
      <c r="I40" s="410" t="n"/>
      <c r="J40" s="410" t="n"/>
      <c r="K40" s="410" t="n"/>
      <c r="L40" s="410" t="n"/>
      <c r="M40" s="410" t="n"/>
      <c r="N40" s="410" t="n"/>
      <c r="O40" s="410" t="n"/>
      <c r="P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0" t="n"/>
      <c r="I41" s="410" t="n"/>
      <c r="J41" s="410" t="n"/>
      <c r="K41" s="410" t="n"/>
      <c r="L41" s="410" t="n"/>
      <c r="M41" s="410" t="n"/>
      <c r="N41" s="410" t="n"/>
      <c r="O41" s="410" t="n"/>
      <c r="P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36441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28</t>
        </is>
      </c>
      <c r="E3" s="383" t="inlineStr">
        <is>
          <t>MAX. BASINÇ KAYBI = 16624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2" t="n">
        <v>28</v>
      </c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3" t="inlineStr">
        <is>
          <t>122</t>
        </is>
      </c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wc-duş</t>
        </is>
      </c>
      <c r="AG9" s="395" t="inlineStr">
        <is>
          <t>D6 banyo</t>
        </is>
      </c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396" t="n">
        <v>24</v>
      </c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396" t="n">
        <v>20</v>
      </c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7.86</v>
      </c>
      <c r="H12" s="397" t="n">
        <v>5.62</v>
      </c>
      <c r="I12" s="397" t="n">
        <v>8.74</v>
      </c>
      <c r="J12" s="397" t="n">
        <v>8.789999999999999</v>
      </c>
      <c r="K12" s="397" t="n">
        <v>10.62</v>
      </c>
      <c r="L12" s="397" t="n">
        <v>9.51</v>
      </c>
      <c r="M12" s="397" t="n">
        <v>7.61</v>
      </c>
      <c r="N12" s="397" t="n">
        <v>3.28</v>
      </c>
      <c r="O12" s="397" t="n">
        <v>6.43</v>
      </c>
      <c r="P12" s="397" t="n">
        <v>6.55</v>
      </c>
      <c r="Q12" s="397" t="n">
        <v>7.54</v>
      </c>
      <c r="R12" s="397" t="n">
        <v>8.619999999999999</v>
      </c>
      <c r="S12" s="397" t="n">
        <v>10.99</v>
      </c>
      <c r="T12" s="397" t="n">
        <v>9.76</v>
      </c>
      <c r="U12" s="397" t="n">
        <v>7.29</v>
      </c>
      <c r="V12" s="397" t="n">
        <v>10.21</v>
      </c>
      <c r="W12" s="397" t="n">
        <v>1.93</v>
      </c>
      <c r="X12" s="397" t="n">
        <v>7.83</v>
      </c>
      <c r="Y12" s="397" t="n">
        <v>6.31</v>
      </c>
      <c r="Z12" s="397" t="n">
        <v>7.31</v>
      </c>
      <c r="AA12" s="397" t="n">
        <v>8.800000000000001</v>
      </c>
      <c r="AB12" s="397" t="n">
        <v>8.84</v>
      </c>
      <c r="AC12" s="397" t="n">
        <v>9.789999999999999</v>
      </c>
      <c r="AD12" s="397" t="n">
        <v>10.35</v>
      </c>
      <c r="AE12" s="397" t="n">
        <v>7.61</v>
      </c>
      <c r="AF12" s="397" t="n">
        <v>1.18</v>
      </c>
      <c r="AG12" s="397" t="n">
        <v>2.58</v>
      </c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1695.4</v>
      </c>
      <c r="G13" s="398" t="n">
        <v>1480.5</v>
      </c>
      <c r="H13" s="398" t="n">
        <v>1057.7</v>
      </c>
      <c r="I13" s="398" t="n">
        <v>1365.3</v>
      </c>
      <c r="J13" s="398" t="n">
        <v>1481.9</v>
      </c>
      <c r="K13" s="398" t="n">
        <v>2068.5</v>
      </c>
      <c r="L13" s="398" t="n">
        <v>1850.8</v>
      </c>
      <c r="M13" s="398" t="n">
        <v>1521.8</v>
      </c>
      <c r="N13" s="398" t="n">
        <v>385</v>
      </c>
      <c r="O13" s="398" t="n">
        <v>1176.7</v>
      </c>
      <c r="P13" s="398" t="n">
        <v>981.8</v>
      </c>
      <c r="Q13" s="398" t="n">
        <v>1130.5</v>
      </c>
      <c r="R13" s="398" t="n">
        <v>1504.7</v>
      </c>
      <c r="S13" s="398" t="n">
        <v>1708</v>
      </c>
      <c r="T13" s="398" t="n">
        <v>1518.3</v>
      </c>
      <c r="U13" s="398" t="n">
        <v>1086.8</v>
      </c>
      <c r="V13" s="398" t="n">
        <v>1577.5</v>
      </c>
      <c r="W13" s="398" t="n">
        <v>249.9</v>
      </c>
      <c r="X13" s="398" t="n">
        <v>1688.4</v>
      </c>
      <c r="Y13" s="398" t="n">
        <v>1185.1</v>
      </c>
      <c r="Z13" s="398" t="n">
        <v>1372.4</v>
      </c>
      <c r="AA13" s="398" t="n">
        <v>1421.3</v>
      </c>
      <c r="AB13" s="398" t="n">
        <v>1499.4</v>
      </c>
      <c r="AC13" s="398" t="n">
        <v>1752.5</v>
      </c>
      <c r="AD13" s="398" t="n">
        <v>1853.6</v>
      </c>
      <c r="AE13" s="398" t="n">
        <v>1519.3</v>
      </c>
      <c r="AF13" s="398" t="n">
        <v>58.1</v>
      </c>
      <c r="AG13" s="398" t="n">
        <v>249.5</v>
      </c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399">
        <f>AG13/AG12</f>
        <v/>
      </c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396" t="n">
        <v>0.012</v>
      </c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397" t="n">
        <v>1</v>
      </c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396">
        <f>AG12</f>
        <v/>
      </c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00">
        <f>AG13/AG17</f>
        <v/>
      </c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00">
        <f>AG10+(AG14/8.92)^0.91</f>
        <v/>
      </c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396" t="n">
        <v>45</v>
      </c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396">
        <f>AG20-AG10</f>
        <v/>
      </c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396" t="n">
        <v>15</v>
      </c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03" t="n">
        <v>40</v>
      </c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396">
        <f>AG23-AG10</f>
        <v/>
      </c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396">
        <f>2*(AG21-AG24)</f>
        <v/>
      </c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00">
        <f>0.2*AG14</f>
        <v/>
      </c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05">
        <f>AG17*(AG14+AG26)</f>
        <v/>
      </c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06">
        <f>AG27/(1.163*AG25)</f>
        <v/>
      </c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07">
        <f>AG17/(AG22*0.01)</f>
        <v/>
      </c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08" t="n">
        <v>0</v>
      </c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396">
        <f>AG29+AG30</f>
        <v/>
      </c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9162</v>
      </c>
      <c r="G32" s="407" t="n">
        <v>6311</v>
      </c>
      <c r="H32" s="407" t="n">
        <v>2503</v>
      </c>
      <c r="I32" s="407" t="n">
        <v>5051</v>
      </c>
      <c r="J32" s="407" t="n">
        <v>6328</v>
      </c>
      <c r="K32" s="407" t="n">
        <v>15833</v>
      </c>
      <c r="L32" s="407" t="n">
        <v>11661</v>
      </c>
      <c r="M32" s="407" t="n">
        <v>6807</v>
      </c>
      <c r="N32" s="407" t="n">
        <v>131</v>
      </c>
      <c r="O32" s="407" t="n">
        <v>3356</v>
      </c>
      <c r="P32" s="407" t="n">
        <v>2040</v>
      </c>
      <c r="Q32" s="407" t="n">
        <v>3006</v>
      </c>
      <c r="R32" s="407" t="n">
        <v>6599</v>
      </c>
      <c r="S32" s="407" t="n">
        <v>9351</v>
      </c>
      <c r="T32" s="407" t="n">
        <v>6764</v>
      </c>
      <c r="U32" s="407" t="n">
        <v>2697</v>
      </c>
      <c r="V32" s="407" t="n">
        <v>7515</v>
      </c>
      <c r="W32" s="407" t="n">
        <v>55</v>
      </c>
      <c r="X32" s="407" t="n">
        <v>9058</v>
      </c>
      <c r="Y32" s="407" t="n">
        <v>3422</v>
      </c>
      <c r="Z32" s="407" t="n">
        <v>5123</v>
      </c>
      <c r="AA32" s="407" t="n">
        <v>5642</v>
      </c>
      <c r="AB32" s="407" t="n">
        <v>6535</v>
      </c>
      <c r="AC32" s="407" t="n">
        <v>10036</v>
      </c>
      <c r="AD32" s="407" t="n">
        <v>11710</v>
      </c>
      <c r="AE32" s="407" t="n">
        <v>6777</v>
      </c>
      <c r="AF32" s="407" t="n">
        <v>3</v>
      </c>
      <c r="AG32" s="407" t="n">
        <v>55</v>
      </c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396">
        <f>AG32*0.05</f>
        <v/>
      </c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396">
        <f>AG32+AG33</f>
        <v/>
      </c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MAX(F34:AG34)-F34</f>
        <v/>
      </c>
      <c r="G35" s="409">
        <f>MAX(F34:AG34)-G34</f>
        <v/>
      </c>
      <c r="H35" s="409">
        <f>MAX(F34:AG34)-H34</f>
        <v/>
      </c>
      <c r="I35" s="409">
        <f>MAX(F34:AG34)-I34</f>
        <v/>
      </c>
      <c r="J35" s="409">
        <f>MAX(F34:AG34)-J34</f>
        <v/>
      </c>
      <c r="K35" s="409">
        <f>MAX(F34:AG34)-K34</f>
        <v/>
      </c>
      <c r="L35" s="409">
        <f>MAX(F34:AG34)-L34</f>
        <v/>
      </c>
      <c r="M35" s="409">
        <f>MAX(F34:AG34)-M34</f>
        <v/>
      </c>
      <c r="N35" s="409">
        <f>MAX(F34:AG34)-N34</f>
        <v/>
      </c>
      <c r="O35" s="409">
        <f>MAX(F34:AG34)-O34</f>
        <v/>
      </c>
      <c r="P35" s="409">
        <f>MAX(F34:AG34)-P34</f>
        <v/>
      </c>
      <c r="Q35" s="409">
        <f>MAX(F34:AG34)-Q34</f>
        <v/>
      </c>
      <c r="R35" s="409">
        <f>MAX(F34:AG34)-R34</f>
        <v/>
      </c>
      <c r="S35" s="409">
        <f>MAX(F34:AG34)-S34</f>
        <v/>
      </c>
      <c r="T35" s="409">
        <f>MAX(F34:AG34)-T34</f>
        <v/>
      </c>
      <c r="U35" s="409">
        <f>MAX(F34:AG34)-U34</f>
        <v/>
      </c>
      <c r="V35" s="409">
        <f>MAX(F34:AG34)-V34</f>
        <v/>
      </c>
      <c r="W35" s="409">
        <f>MAX(F34:AG34)-W34</f>
        <v/>
      </c>
      <c r="X35" s="409">
        <f>MAX(F34:AG34)-X34</f>
        <v/>
      </c>
      <c r="Y35" s="409">
        <f>MAX(F34:AG34)-Y34</f>
        <v/>
      </c>
      <c r="Z35" s="409">
        <f>MAX(F34:AG34)-Z34</f>
        <v/>
      </c>
      <c r="AA35" s="409">
        <f>MAX(F34:AG34)-AA34</f>
        <v/>
      </c>
      <c r="AB35" s="409">
        <f>MAX(F34:AG34)-AB34</f>
        <v/>
      </c>
      <c r="AC35" s="409">
        <f>MAX(F34:AG34)-AC34</f>
        <v/>
      </c>
      <c r="AD35" s="409">
        <f>MAX(F34:AG34)-AD34</f>
        <v/>
      </c>
      <c r="AE35" s="409">
        <f>MAX(F34:AG34)-AE34</f>
        <v/>
      </c>
      <c r="AF35" s="409">
        <f>MAX(F34:AG34)-AF34</f>
        <v/>
      </c>
      <c r="AG35" s="409">
        <f>MAX(F34:AG34)-AG34</f>
        <v/>
      </c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3" t="n"/>
      <c r="Q1" s="414" t="n"/>
      <c r="R1" s="414" t="n"/>
      <c r="S1" s="414" t="n"/>
      <c r="T1" s="414" t="n"/>
      <c r="U1" s="414" t="n"/>
      <c r="V1" s="414" t="n"/>
      <c r="W1" s="414" t="n"/>
      <c r="X1" s="415" t="n"/>
      <c r="Y1" s="415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34910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12168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6" t="n"/>
      <c r="N5" s="416" t="n"/>
      <c r="O5" s="417" t="n"/>
      <c r="P5" s="417" t="n"/>
      <c r="Q5" s="417" t="n"/>
      <c r="R5" s="417" t="n"/>
      <c r="S5" s="417" t="n"/>
      <c r="T5" s="417" t="n"/>
      <c r="U5" s="417" t="n"/>
      <c r="V5" s="417" t="n"/>
      <c r="W5" s="417" t="n"/>
      <c r="X5" s="418" t="n"/>
      <c r="Y5" s="418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19" t="n"/>
      <c r="AS8" s="391" t="n"/>
      <c r="AT8" s="391" t="n"/>
      <c r="AU8" s="391" t="n"/>
      <c r="AV8" s="391" t="n"/>
      <c r="AW8" s="419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0" t="n"/>
      <c r="AH9" s="420" t="n"/>
      <c r="AI9" s="420" t="n"/>
      <c r="AJ9" s="391" t="n"/>
      <c r="AK9" s="391" t="n"/>
      <c r="AL9" s="391" t="n"/>
      <c r="AM9" s="391" t="n"/>
      <c r="AN9" s="391" t="n"/>
      <c r="AO9" s="421" t="n"/>
      <c r="AP9" s="421" t="n"/>
      <c r="AQ9" s="421" t="n"/>
      <c r="AR9" s="422" t="n"/>
      <c r="AS9" s="422" t="n"/>
      <c r="AT9" s="421" t="n"/>
      <c r="AU9" s="421" t="n"/>
      <c r="AV9" s="421" t="n"/>
      <c r="AW9" s="421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6.05</v>
      </c>
      <c r="H12" s="397" t="n">
        <v>7.39</v>
      </c>
      <c r="I12" s="397" t="n">
        <v>8.73</v>
      </c>
      <c r="J12" s="397" t="n">
        <v>8.800000000000001</v>
      </c>
      <c r="K12" s="397" t="n">
        <v>9.69</v>
      </c>
      <c r="L12" s="397" t="n">
        <v>10.34</v>
      </c>
      <c r="M12" s="397" t="n">
        <v>7.57</v>
      </c>
      <c r="N12" s="397" t="n">
        <v>3.33</v>
      </c>
      <c r="O12" s="397" t="n">
        <v>6.92</v>
      </c>
      <c r="P12" s="397" t="n">
        <v>6.75</v>
      </c>
      <c r="Q12" s="397" t="n">
        <v>7.27</v>
      </c>
      <c r="R12" s="397" t="n">
        <v>8.66</v>
      </c>
      <c r="S12" s="397" t="n">
        <v>10.87</v>
      </c>
      <c r="T12" s="397" t="n">
        <v>9.779999999999999</v>
      </c>
      <c r="U12" s="397" t="n">
        <v>7.11</v>
      </c>
      <c r="V12" s="397" t="n">
        <v>10.43</v>
      </c>
      <c r="W12" s="397" t="n">
        <v>1.91</v>
      </c>
      <c r="X12" s="397" t="n">
        <v>7.8</v>
      </c>
      <c r="Y12" s="397" t="n">
        <v>6.29</v>
      </c>
      <c r="Z12" s="397" t="n">
        <v>7.29</v>
      </c>
      <c r="AA12" s="397" t="n">
        <v>8.74</v>
      </c>
      <c r="AB12" s="397" t="n">
        <v>8.85</v>
      </c>
      <c r="AC12" s="397" t="n">
        <v>9.619999999999999</v>
      </c>
      <c r="AD12" s="397" t="n">
        <v>10.36</v>
      </c>
      <c r="AE12" s="397" t="n">
        <v>7.54</v>
      </c>
      <c r="AF12" s="397" t="n">
        <v>3.35</v>
      </c>
      <c r="AG12" s="423" t="n"/>
      <c r="AH12" s="423" t="n"/>
      <c r="AI12" s="423" t="n"/>
      <c r="AJ12" s="423" t="n"/>
      <c r="AK12" s="424" t="n"/>
      <c r="AL12" s="424" t="n"/>
      <c r="AM12" s="424" t="n"/>
      <c r="AN12" s="423" t="n"/>
      <c r="AO12" s="423" t="n"/>
      <c r="AP12" s="423" t="n"/>
      <c r="AQ12" s="423" t="n"/>
      <c r="AR12" s="423" t="n"/>
      <c r="AS12" s="423" t="n"/>
      <c r="AT12" s="423" t="n"/>
      <c r="AU12" s="423" t="n"/>
      <c r="AV12" s="423" t="n"/>
      <c r="AW12" s="423" t="n"/>
    </row>
    <row r="13" ht="12" customHeight="1" s="244">
      <c r="A13" s="261" t="n"/>
      <c r="B13" s="282" t="n"/>
      <c r="C13" s="394" t="n"/>
      <c r="D13" s="261" t="n"/>
      <c r="E13" s="259" t="n"/>
      <c r="F13" s="398" t="n">
        <v>1586.9</v>
      </c>
      <c r="G13" s="398" t="n">
        <v>1100</v>
      </c>
      <c r="H13" s="398" t="n">
        <v>1343.7</v>
      </c>
      <c r="I13" s="398" t="n">
        <v>1361.2</v>
      </c>
      <c r="J13" s="398" t="n">
        <v>1490.3</v>
      </c>
      <c r="K13" s="398" t="n">
        <v>1730</v>
      </c>
      <c r="L13" s="398" t="n">
        <v>1846.6</v>
      </c>
      <c r="M13" s="398" t="n">
        <v>1505.3</v>
      </c>
      <c r="N13" s="398" t="n">
        <v>389.2</v>
      </c>
      <c r="O13" s="398" t="n">
        <v>1189.3</v>
      </c>
      <c r="P13" s="398" t="n">
        <v>583.1</v>
      </c>
      <c r="Q13" s="398" t="n">
        <v>627.2</v>
      </c>
      <c r="R13" s="398" t="n">
        <v>1539</v>
      </c>
      <c r="S13" s="398" t="n">
        <v>1571.2</v>
      </c>
      <c r="T13" s="398" t="n">
        <v>1414.3</v>
      </c>
      <c r="U13" s="398" t="n">
        <v>1244.6</v>
      </c>
      <c r="V13" s="398" t="n">
        <v>1575.7</v>
      </c>
      <c r="W13" s="398" t="n">
        <v>247.5</v>
      </c>
      <c r="X13" s="398" t="n">
        <v>1677.9</v>
      </c>
      <c r="Y13" s="398" t="n">
        <v>1177.8</v>
      </c>
      <c r="Z13" s="398" t="n">
        <v>1366.4</v>
      </c>
      <c r="AA13" s="398" t="n">
        <v>1372.4</v>
      </c>
      <c r="AB13" s="398" t="n">
        <v>1542.8</v>
      </c>
      <c r="AC13" s="398" t="n">
        <v>1713.2</v>
      </c>
      <c r="AD13" s="398" t="n">
        <v>1846.6</v>
      </c>
      <c r="AE13" s="398" t="n">
        <v>1505.7</v>
      </c>
      <c r="AF13" s="398" t="n">
        <v>362.6</v>
      </c>
      <c r="AG13" s="425" t="n"/>
      <c r="AH13" s="425" t="n"/>
      <c r="AI13" s="425" t="n"/>
      <c r="AJ13" s="425" t="n"/>
      <c r="AK13" s="425" t="n"/>
      <c r="AL13" s="425" t="n"/>
      <c r="AM13" s="425" t="n"/>
      <c r="AN13" s="425" t="n"/>
      <c r="AO13" s="425" t="n"/>
      <c r="AP13" s="425" t="n"/>
      <c r="AQ13" s="425" t="n"/>
      <c r="AR13" s="425" t="n"/>
      <c r="AS13" s="425" t="n"/>
      <c r="AT13" s="425" t="n"/>
      <c r="AU13" s="425" t="n"/>
      <c r="AV13" s="425" t="n"/>
      <c r="AW13" s="425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6" t="n"/>
      <c r="AH14" s="426" t="n"/>
      <c r="AI14" s="426" t="n"/>
      <c r="AJ14" s="426" t="n"/>
      <c r="AK14" s="426" t="n"/>
      <c r="AL14" s="426" t="n"/>
      <c r="AM14" s="426" t="n"/>
      <c r="AN14" s="426" t="n"/>
      <c r="AO14" s="426" t="n"/>
      <c r="AP14" s="426" t="n"/>
      <c r="AQ14" s="426" t="n"/>
      <c r="AR14" s="426" t="n"/>
      <c r="AS14" s="426" t="n"/>
      <c r="AT14" s="426" t="n"/>
      <c r="AU14" s="426" t="n"/>
      <c r="AV14" s="426" t="n"/>
      <c r="AW14" s="426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3" t="n"/>
      <c r="AH16" s="423" t="n"/>
      <c r="AI16" s="423" t="n"/>
      <c r="AJ16" s="423" t="n"/>
      <c r="AK16" s="423" t="n"/>
      <c r="AL16" s="423" t="n"/>
      <c r="AM16" s="423" t="n"/>
      <c r="AN16" s="423" t="n"/>
      <c r="AO16" s="423" t="n"/>
      <c r="AP16" s="423" t="n"/>
      <c r="AQ16" s="423" t="n"/>
      <c r="AR16" s="423" t="n"/>
      <c r="AS16" s="423" t="n"/>
      <c r="AT16" s="423" t="n"/>
      <c r="AU16" s="423" t="n"/>
      <c r="AV16" s="423" t="n"/>
      <c r="AW16" s="423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27" t="n"/>
      <c r="AH18" s="427" t="n"/>
      <c r="AI18" s="427" t="n"/>
      <c r="AJ18" s="427" t="n"/>
      <c r="AK18" s="427" t="n"/>
      <c r="AL18" s="427" t="n"/>
      <c r="AM18" s="427" t="n"/>
      <c r="AN18" s="427" t="n"/>
      <c r="AO18" s="427" t="n"/>
      <c r="AP18" s="427" t="n"/>
      <c r="AQ18" s="427" t="n"/>
      <c r="AR18" s="427" t="n"/>
      <c r="AS18" s="427" t="n"/>
      <c r="AT18" s="427" t="n"/>
      <c r="AU18" s="427" t="n"/>
      <c r="AV18" s="427" t="n"/>
      <c r="AW18" s="427" t="n"/>
    </row>
    <row r="19" ht="19.5" customHeight="1" s="244">
      <c r="A19" s="261" t="n"/>
      <c r="B19" s="282" t="n"/>
      <c r="C19" s="394" t="n"/>
      <c r="D19" s="261" t="n"/>
      <c r="E19" s="259" t="n"/>
      <c r="F19" s="400">
        <f>F10+(F14/8.92)^0.91</f>
        <v/>
      </c>
      <c r="G19" s="400">
        <f>G10+(G14/8.92)^0.91</f>
        <v/>
      </c>
      <c r="H19" s="400">
        <f>H10+(H14/8.92)^0.91</f>
        <v/>
      </c>
      <c r="I19" s="400">
        <f>I10+(I14/8.92)^0.91</f>
        <v/>
      </c>
      <c r="J19" s="400">
        <f>J10+(J14/8.92)^0.91</f>
        <v/>
      </c>
      <c r="K19" s="400">
        <f>K10+(K14/8.92)^0.91</f>
        <v/>
      </c>
      <c r="L19" s="400">
        <f>L10+(L14/8.92)^0.91</f>
        <v/>
      </c>
      <c r="M19" s="400">
        <f>M10+(M14/8.92)^0.91</f>
        <v/>
      </c>
      <c r="N19" s="400">
        <f>N10+(N14/8.92)^0.91</f>
        <v/>
      </c>
      <c r="O19" s="400">
        <f>O10+(O14/8.92)^0.91</f>
        <v/>
      </c>
      <c r="P19" s="400">
        <f>P10+(P14/8.92)^0.91</f>
        <v/>
      </c>
      <c r="Q19" s="400">
        <f>Q10+(Q14/8.92)^0.91</f>
        <v/>
      </c>
      <c r="R19" s="400">
        <f>R10+(R14/8.92)^0.91</f>
        <v/>
      </c>
      <c r="S19" s="400">
        <f>S10+(S14/8.92)^0.91</f>
        <v/>
      </c>
      <c r="T19" s="400">
        <f>T10+(T14/8.92)^0.91</f>
        <v/>
      </c>
      <c r="U19" s="400">
        <f>U10+(U14/8.92)^0.91</f>
        <v/>
      </c>
      <c r="V19" s="400">
        <f>V10+(V14/8.92)^0.91</f>
        <v/>
      </c>
      <c r="W19" s="400">
        <f>W10+(W14/8.92)^0.91</f>
        <v/>
      </c>
      <c r="X19" s="400">
        <f>X10+(X14/8.92)^0.91</f>
        <v/>
      </c>
      <c r="Y19" s="400">
        <f>Y10+(Y14/8.92)^0.91</f>
        <v/>
      </c>
      <c r="Z19" s="400">
        <f>Z10+(Z14/8.92)^0.91</f>
        <v/>
      </c>
      <c r="AA19" s="400">
        <f>AA10+(AA14/8.92)^0.91</f>
        <v/>
      </c>
      <c r="AB19" s="400">
        <f>AB10+(AB14/8.92)^0.91</f>
        <v/>
      </c>
      <c r="AC19" s="400">
        <f>AC10+(AC14/8.92)^0.91</f>
        <v/>
      </c>
      <c r="AD19" s="400">
        <f>AD10+(AD14/8.92)^0.91</f>
        <v/>
      </c>
      <c r="AE19" s="400">
        <f>AE10+(AE14/8.92)^0.91</f>
        <v/>
      </c>
      <c r="AF19" s="400">
        <f>AF10+(AF14/8.92)^0.91</f>
        <v/>
      </c>
      <c r="AG19" s="427" t="n"/>
      <c r="AH19" s="427" t="n"/>
      <c r="AI19" s="427" t="n"/>
      <c r="AJ19" s="427" t="n"/>
      <c r="AK19" s="427" t="n"/>
      <c r="AL19" s="427" t="n"/>
      <c r="AM19" s="427" t="n"/>
      <c r="AN19" s="427" t="n"/>
      <c r="AO19" s="427" t="n"/>
      <c r="AP19" s="427" t="n"/>
      <c r="AQ19" s="427" t="n"/>
      <c r="AR19" s="427" t="n"/>
      <c r="AS19" s="427" t="n"/>
      <c r="AT19" s="427" t="n"/>
      <c r="AU19" s="427" t="n"/>
      <c r="AV19" s="427" t="n"/>
      <c r="AW19" s="427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1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2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2" t="n"/>
      <c r="C23" s="394" t="n"/>
      <c r="D23" s="261" t="n"/>
      <c r="E23" s="259" t="n"/>
      <c r="F23" s="403" t="n">
        <v>40</v>
      </c>
      <c r="G23" s="403" t="n">
        <v>40</v>
      </c>
      <c r="H23" s="403" t="n">
        <v>40</v>
      </c>
      <c r="I23" s="403" t="n">
        <v>40</v>
      </c>
      <c r="J23" s="403" t="n">
        <v>40</v>
      </c>
      <c r="K23" s="403" t="n">
        <v>40</v>
      </c>
      <c r="L23" s="403" t="n">
        <v>40</v>
      </c>
      <c r="M23" s="403" t="n">
        <v>40</v>
      </c>
      <c r="N23" s="403" t="n">
        <v>40</v>
      </c>
      <c r="O23" s="403" t="n">
        <v>40</v>
      </c>
      <c r="P23" s="403" t="n">
        <v>40</v>
      </c>
      <c r="Q23" s="403" t="n">
        <v>40</v>
      </c>
      <c r="R23" s="403" t="n">
        <v>40</v>
      </c>
      <c r="S23" s="403" t="n">
        <v>40</v>
      </c>
      <c r="T23" s="403" t="n">
        <v>40</v>
      </c>
      <c r="U23" s="403" t="n">
        <v>40</v>
      </c>
      <c r="V23" s="403" t="n">
        <v>40</v>
      </c>
      <c r="W23" s="403" t="n">
        <v>40</v>
      </c>
      <c r="X23" s="403" t="n">
        <v>40</v>
      </c>
      <c r="Y23" s="403" t="n">
        <v>40</v>
      </c>
      <c r="Z23" s="403" t="n">
        <v>40</v>
      </c>
      <c r="AA23" s="403" t="n">
        <v>40</v>
      </c>
      <c r="AB23" s="403" t="n">
        <v>40</v>
      </c>
      <c r="AC23" s="403" t="n">
        <v>40</v>
      </c>
      <c r="AD23" s="403" t="n">
        <v>40</v>
      </c>
      <c r="AE23" s="403" t="n">
        <v>40</v>
      </c>
      <c r="AF23" s="403" t="n">
        <v>40</v>
      </c>
      <c r="AG23" s="428" t="n"/>
      <c r="AH23" s="428" t="n"/>
      <c r="AI23" s="428" t="n"/>
      <c r="AJ23" s="428" t="n"/>
      <c r="AK23" s="428" t="n"/>
      <c r="AL23" s="428" t="n"/>
      <c r="AM23" s="428" t="n"/>
      <c r="AN23" s="428" t="n"/>
      <c r="AO23" s="428" t="n"/>
      <c r="AP23" s="428" t="n"/>
      <c r="AQ23" s="428" t="n"/>
      <c r="AR23" s="428" t="n"/>
      <c r="AS23" s="428" t="n"/>
      <c r="AT23" s="428" t="n"/>
      <c r="AU23" s="428" t="n"/>
      <c r="AV23" s="428" t="n"/>
      <c r="AW23" s="428" t="n"/>
    </row>
    <row r="24" ht="12" customHeight="1" s="244">
      <c r="A24" s="261" t="n"/>
      <c r="B24" s="401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1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2" t="n"/>
      <c r="C26" s="394" t="n"/>
      <c r="D26" s="404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27" t="n"/>
      <c r="AH26" s="427" t="n"/>
      <c r="AI26" s="427" t="n"/>
      <c r="AJ26" s="427" t="n"/>
      <c r="AK26" s="427" t="n"/>
      <c r="AL26" s="427" t="n"/>
      <c r="AM26" s="427" t="n"/>
      <c r="AN26" s="427" t="n"/>
      <c r="AO26" s="427" t="n"/>
      <c r="AP26" s="427" t="n"/>
      <c r="AQ26" s="427" t="n"/>
      <c r="AR26" s="427" t="n"/>
      <c r="AS26" s="427" t="n"/>
      <c r="AT26" s="427" t="n"/>
      <c r="AU26" s="427" t="n"/>
      <c r="AV26" s="427" t="n"/>
      <c r="AW26" s="427" t="n"/>
    </row>
    <row r="27" ht="12" customHeight="1" s="244">
      <c r="A27" s="261" t="n"/>
      <c r="B27" s="402" t="n"/>
      <c r="C27" s="394" t="n"/>
      <c r="D27" s="261" t="n"/>
      <c r="E27" s="259" t="n"/>
      <c r="F27" s="405">
        <f>F17*(F14+F26)</f>
        <v/>
      </c>
      <c r="G27" s="405">
        <f>G17*(G14+G26)</f>
        <v/>
      </c>
      <c r="H27" s="405">
        <f>H17*(H14+H26)</f>
        <v/>
      </c>
      <c r="I27" s="405">
        <f>I17*(I14+I26)</f>
        <v/>
      </c>
      <c r="J27" s="405">
        <f>J17*(J14+J26)</f>
        <v/>
      </c>
      <c r="K27" s="405">
        <f>K17*(K14+K26)</f>
        <v/>
      </c>
      <c r="L27" s="405">
        <f>L17*(L14+L26)</f>
        <v/>
      </c>
      <c r="M27" s="405">
        <f>M17*(M14+M26)</f>
        <v/>
      </c>
      <c r="N27" s="405">
        <f>N17*(N14+N26)</f>
        <v/>
      </c>
      <c r="O27" s="405">
        <f>O17*(O14+O26)</f>
        <v/>
      </c>
      <c r="P27" s="405">
        <f>P17*(P14+P26)</f>
        <v/>
      </c>
      <c r="Q27" s="405">
        <f>Q17*(Q14+Q26)</f>
        <v/>
      </c>
      <c r="R27" s="405">
        <f>R17*(R14+R26)</f>
        <v/>
      </c>
      <c r="S27" s="405">
        <f>S17*(S14+S26)</f>
        <v/>
      </c>
      <c r="T27" s="405">
        <f>T17*(T14+T26)</f>
        <v/>
      </c>
      <c r="U27" s="405">
        <f>U17*(U14+U26)</f>
        <v/>
      </c>
      <c r="V27" s="405">
        <f>V17*(V14+V26)</f>
        <v/>
      </c>
      <c r="W27" s="405">
        <f>W17*(W14+W26)</f>
        <v/>
      </c>
      <c r="X27" s="405">
        <f>X17*(X14+X26)</f>
        <v/>
      </c>
      <c r="Y27" s="405">
        <f>Y17*(Y14+Y26)</f>
        <v/>
      </c>
      <c r="Z27" s="405">
        <f>Z17*(Z14+Z26)</f>
        <v/>
      </c>
      <c r="AA27" s="405">
        <f>AA17*(AA14+AA26)</f>
        <v/>
      </c>
      <c r="AB27" s="405">
        <f>AB17*(AB14+AB26)</f>
        <v/>
      </c>
      <c r="AC27" s="405">
        <f>AC17*(AC14+AC26)</f>
        <v/>
      </c>
      <c r="AD27" s="405">
        <f>AD17*(AD14+AD26)</f>
        <v/>
      </c>
      <c r="AE27" s="405">
        <f>AE17*(AE14+AE26)</f>
        <v/>
      </c>
      <c r="AF27" s="405">
        <f>AF17*(AF14+AF26)</f>
        <v/>
      </c>
      <c r="AG27" s="429" t="n"/>
      <c r="AH27" s="429" t="n"/>
      <c r="AI27" s="429" t="n"/>
      <c r="AJ27" s="429" t="n"/>
      <c r="AK27" s="429" t="n"/>
      <c r="AL27" s="429" t="n"/>
      <c r="AM27" s="429" t="n"/>
      <c r="AN27" s="429" t="n"/>
      <c r="AO27" s="429" t="n"/>
      <c r="AP27" s="429" t="n"/>
      <c r="AQ27" s="429" t="n"/>
      <c r="AR27" s="429" t="n"/>
      <c r="AS27" s="429" t="n"/>
      <c r="AT27" s="429" t="n"/>
      <c r="AU27" s="429" t="n"/>
      <c r="AV27" s="429" t="n"/>
      <c r="AW27" s="429" t="n"/>
    </row>
    <row r="28" ht="12" customHeight="1" s="244">
      <c r="A28" s="261" t="n"/>
      <c r="B28" s="402" t="n"/>
      <c r="C28" s="394" t="n"/>
      <c r="D28" s="261" t="n"/>
      <c r="E28" s="259" t="n"/>
      <c r="F28" s="406">
        <f>F27/(1.163*F25)</f>
        <v/>
      </c>
      <c r="G28" s="406">
        <f>G27/(1.163*G25)</f>
        <v/>
      </c>
      <c r="H28" s="406">
        <f>H27/(1.163*H25)</f>
        <v/>
      </c>
      <c r="I28" s="406">
        <f>I27/(1.163*I25)</f>
        <v/>
      </c>
      <c r="J28" s="406">
        <f>J27/(1.163*J25)</f>
        <v/>
      </c>
      <c r="K28" s="406">
        <f>K27/(1.163*K25)</f>
        <v/>
      </c>
      <c r="L28" s="406">
        <f>L27/(1.163*L25)</f>
        <v/>
      </c>
      <c r="M28" s="406">
        <f>M27/(1.163*M25)</f>
        <v/>
      </c>
      <c r="N28" s="406">
        <f>N27/(1.163*N25)</f>
        <v/>
      </c>
      <c r="O28" s="406">
        <f>O27/(1.163*O25)</f>
        <v/>
      </c>
      <c r="P28" s="406">
        <f>P27/(1.163*P25)</f>
        <v/>
      </c>
      <c r="Q28" s="406">
        <f>Q27/(1.163*Q25)</f>
        <v/>
      </c>
      <c r="R28" s="406">
        <f>R27/(1.163*R25)</f>
        <v/>
      </c>
      <c r="S28" s="406">
        <f>S27/(1.163*S25)</f>
        <v/>
      </c>
      <c r="T28" s="406">
        <f>T27/(1.163*T25)</f>
        <v/>
      </c>
      <c r="U28" s="406">
        <f>U27/(1.163*U25)</f>
        <v/>
      </c>
      <c r="V28" s="406">
        <f>V27/(1.163*V25)</f>
        <v/>
      </c>
      <c r="W28" s="406">
        <f>W27/(1.163*W25)</f>
        <v/>
      </c>
      <c r="X28" s="406">
        <f>X27/(1.163*X25)</f>
        <v/>
      </c>
      <c r="Y28" s="406">
        <f>Y27/(1.163*Y25)</f>
        <v/>
      </c>
      <c r="Z28" s="406">
        <f>Z27/(1.163*Z25)</f>
        <v/>
      </c>
      <c r="AA28" s="406">
        <f>AA27/(1.163*AA25)</f>
        <v/>
      </c>
      <c r="AB28" s="406">
        <f>AB27/(1.163*AB25)</f>
        <v/>
      </c>
      <c r="AC28" s="406">
        <f>AC27/(1.163*AC25)</f>
        <v/>
      </c>
      <c r="AD28" s="406">
        <f>AD27/(1.163*AD25)</f>
        <v/>
      </c>
      <c r="AE28" s="406">
        <f>AE27/(1.163*AE25)</f>
        <v/>
      </c>
      <c r="AF28" s="406">
        <f>AF27/(1.163*AF25)</f>
        <v/>
      </c>
      <c r="AG28" s="430" t="n"/>
      <c r="AH28" s="430" t="n"/>
      <c r="AI28" s="430" t="n"/>
      <c r="AJ28" s="430" t="n"/>
      <c r="AK28" s="430" t="n"/>
      <c r="AL28" s="430" t="n"/>
      <c r="AM28" s="430" t="n"/>
      <c r="AN28" s="430" t="n"/>
      <c r="AO28" s="430" t="n"/>
      <c r="AP28" s="430" t="n"/>
      <c r="AQ28" s="430" t="n"/>
      <c r="AR28" s="430" t="n"/>
      <c r="AS28" s="430" t="n"/>
      <c r="AT28" s="430" t="n"/>
      <c r="AU28" s="430" t="n"/>
      <c r="AV28" s="430" t="n"/>
      <c r="AW28" s="430" t="n"/>
    </row>
    <row r="29" ht="12" customHeight="1" s="244">
      <c r="A29" s="261" t="n"/>
      <c r="B29" s="402" t="n"/>
      <c r="C29" s="394" t="n"/>
      <c r="D29" s="261" t="n"/>
      <c r="E29" s="259" t="n"/>
      <c r="F29" s="407">
        <f>F17/(F22*0.01)</f>
        <v/>
      </c>
      <c r="G29" s="407">
        <f>G17/(G22*0.01)</f>
        <v/>
      </c>
      <c r="H29" s="407">
        <f>H17/(H22*0.01)</f>
        <v/>
      </c>
      <c r="I29" s="407">
        <f>I17/(I22*0.01)</f>
        <v/>
      </c>
      <c r="J29" s="407">
        <f>J17/(J22*0.01)</f>
        <v/>
      </c>
      <c r="K29" s="407">
        <f>K17/(K22*0.01)</f>
        <v/>
      </c>
      <c r="L29" s="407">
        <f>L17/(L22*0.01)</f>
        <v/>
      </c>
      <c r="M29" s="407">
        <f>M17/(M22*0.01)</f>
        <v/>
      </c>
      <c r="N29" s="407">
        <f>N17/(N22*0.01)</f>
        <v/>
      </c>
      <c r="O29" s="407">
        <f>O17/(O22*0.01)</f>
        <v/>
      </c>
      <c r="P29" s="407">
        <f>P17/(P22*0.01)</f>
        <v/>
      </c>
      <c r="Q29" s="407">
        <f>Q17/(Q22*0.01)</f>
        <v/>
      </c>
      <c r="R29" s="407">
        <f>R17/(R22*0.01)</f>
        <v/>
      </c>
      <c r="S29" s="407">
        <f>S17/(S22*0.01)</f>
        <v/>
      </c>
      <c r="T29" s="407">
        <f>T17/(T22*0.01)</f>
        <v/>
      </c>
      <c r="U29" s="407">
        <f>U17/(U22*0.01)</f>
        <v/>
      </c>
      <c r="V29" s="407">
        <f>V17/(V22*0.01)</f>
        <v/>
      </c>
      <c r="W29" s="407">
        <f>W17/(W22*0.01)</f>
        <v/>
      </c>
      <c r="X29" s="407">
        <f>X17/(X22*0.01)</f>
        <v/>
      </c>
      <c r="Y29" s="407">
        <f>Y17/(Y22*0.01)</f>
        <v/>
      </c>
      <c r="Z29" s="407">
        <f>Z17/(Z22*0.01)</f>
        <v/>
      </c>
      <c r="AA29" s="407">
        <f>AA17/(AA22*0.01)</f>
        <v/>
      </c>
      <c r="AB29" s="407">
        <f>AB17/(AB22*0.01)</f>
        <v/>
      </c>
      <c r="AC29" s="407">
        <f>AC17/(AC22*0.01)</f>
        <v/>
      </c>
      <c r="AD29" s="407">
        <f>AD17/(AD22*0.01)</f>
        <v/>
      </c>
      <c r="AE29" s="407">
        <f>AE17/(AE22*0.01)</f>
        <v/>
      </c>
      <c r="AF29" s="407">
        <f>AF17/(AF22*0.01)</f>
        <v/>
      </c>
      <c r="AG29" s="431" t="n"/>
      <c r="AH29" s="431" t="n"/>
      <c r="AI29" s="431" t="n"/>
      <c r="AJ29" s="431" t="n"/>
      <c r="AK29" s="431" t="n"/>
      <c r="AL29" s="431" t="n"/>
      <c r="AM29" s="431" t="n"/>
      <c r="AN29" s="431" t="n"/>
      <c r="AO29" s="431" t="n"/>
      <c r="AP29" s="431" t="n"/>
      <c r="AQ29" s="431" t="n"/>
      <c r="AR29" s="431" t="n"/>
      <c r="AS29" s="431" t="n"/>
      <c r="AT29" s="431" t="n"/>
      <c r="AU29" s="431" t="n"/>
      <c r="AV29" s="431" t="n"/>
      <c r="AW29" s="431" t="n"/>
    </row>
    <row r="30" ht="12" customHeight="1" s="244">
      <c r="A30" s="261" t="n"/>
      <c r="B30" s="402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8" t="n">
        <v>0</v>
      </c>
      <c r="G30" s="408" t="n">
        <v>0</v>
      </c>
      <c r="H30" s="408" t="n">
        <v>0</v>
      </c>
      <c r="I30" s="408" t="n">
        <v>0</v>
      </c>
      <c r="J30" s="408" t="n">
        <v>0</v>
      </c>
      <c r="K30" s="408" t="n">
        <v>0</v>
      </c>
      <c r="L30" s="408" t="n">
        <v>0</v>
      </c>
      <c r="M30" s="408" t="n">
        <v>0</v>
      </c>
      <c r="N30" s="408" t="n">
        <v>0</v>
      </c>
      <c r="O30" s="408" t="n">
        <v>0</v>
      </c>
      <c r="P30" s="408" t="n">
        <v>0</v>
      </c>
      <c r="Q30" s="408" t="n">
        <v>0</v>
      </c>
      <c r="R30" s="408" t="n">
        <v>0</v>
      </c>
      <c r="S30" s="408" t="n">
        <v>0</v>
      </c>
      <c r="T30" s="408" t="n">
        <v>0</v>
      </c>
      <c r="U30" s="408" t="n">
        <v>0</v>
      </c>
      <c r="V30" s="408" t="n">
        <v>0</v>
      </c>
      <c r="W30" s="408" t="n">
        <v>0</v>
      </c>
      <c r="X30" s="408" t="n">
        <v>0</v>
      </c>
      <c r="Y30" s="408" t="n">
        <v>0</v>
      </c>
      <c r="Z30" s="408" t="n">
        <v>0</v>
      </c>
      <c r="AA30" s="408" t="n">
        <v>0</v>
      </c>
      <c r="AB30" s="408" t="n">
        <v>0</v>
      </c>
      <c r="AC30" s="408" t="n">
        <v>0</v>
      </c>
      <c r="AD30" s="408" t="n">
        <v>0</v>
      </c>
      <c r="AE30" s="408" t="n">
        <v>0</v>
      </c>
      <c r="AF30" s="408" t="n">
        <v>0</v>
      </c>
      <c r="AG30" s="432" t="n"/>
      <c r="AO30" s="432" t="n"/>
      <c r="AP30" s="432" t="n"/>
      <c r="AQ30" s="432" t="n"/>
      <c r="AR30" s="432" t="n"/>
      <c r="AS30" s="432" t="n"/>
      <c r="AT30" s="432" t="n"/>
      <c r="AU30" s="432" t="n"/>
      <c r="AV30" s="432" t="n"/>
      <c r="AW30" s="432" t="n"/>
    </row>
    <row r="31" ht="12" customHeight="1" s="244">
      <c r="A31" s="261" t="n"/>
      <c r="B31" s="402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1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7" t="n">
        <v>7639</v>
      </c>
      <c r="G32" s="407" t="n">
        <v>2788</v>
      </c>
      <c r="H32" s="407" t="n">
        <v>4834</v>
      </c>
      <c r="I32" s="407" t="n">
        <v>5009</v>
      </c>
      <c r="J32" s="407" t="n">
        <v>6427</v>
      </c>
      <c r="K32" s="407" t="n">
        <v>9686</v>
      </c>
      <c r="L32" s="407" t="n">
        <v>11588</v>
      </c>
      <c r="M32" s="407" t="n">
        <v>6607</v>
      </c>
      <c r="N32" s="407" t="n">
        <v>134</v>
      </c>
      <c r="O32" s="407" t="n">
        <v>3456</v>
      </c>
      <c r="P32" s="407" t="n">
        <v>300</v>
      </c>
      <c r="Q32" s="407" t="n">
        <v>595</v>
      </c>
      <c r="R32" s="407" t="n">
        <v>7021</v>
      </c>
      <c r="S32" s="407" t="n">
        <v>7432</v>
      </c>
      <c r="T32" s="407" t="n">
        <v>5565</v>
      </c>
      <c r="U32" s="407" t="n">
        <v>3916</v>
      </c>
      <c r="V32" s="407" t="n">
        <v>7491</v>
      </c>
      <c r="W32" s="407" t="n">
        <v>54</v>
      </c>
      <c r="X32" s="407" t="n">
        <v>8904</v>
      </c>
      <c r="Y32" s="407" t="n">
        <v>3365</v>
      </c>
      <c r="Z32" s="407" t="n">
        <v>5062</v>
      </c>
      <c r="AA32" s="407" t="n">
        <v>5123</v>
      </c>
      <c r="AB32" s="407" t="n">
        <v>7069</v>
      </c>
      <c r="AC32" s="407" t="n">
        <v>9429</v>
      </c>
      <c r="AD32" s="407" t="n">
        <v>11588</v>
      </c>
      <c r="AE32" s="407" t="n">
        <v>6611</v>
      </c>
      <c r="AF32" s="407" t="n">
        <v>116</v>
      </c>
      <c r="AG32" s="431" t="n"/>
      <c r="AH32" s="431" t="n"/>
      <c r="AI32" s="431" t="n"/>
      <c r="AJ32" s="431" t="n"/>
      <c r="AK32" s="431" t="n"/>
      <c r="AL32" s="431" t="n"/>
      <c r="AM32" s="431" t="n"/>
      <c r="AN32" s="431" t="n"/>
      <c r="AO32" s="431" t="n"/>
      <c r="AP32" s="431" t="n"/>
      <c r="AQ32" s="431" t="n"/>
      <c r="AR32" s="431" t="n"/>
      <c r="AS32" s="431" t="n"/>
      <c r="AT32" s="431" t="n"/>
      <c r="AU32" s="431" t="n"/>
      <c r="AV32" s="431" t="n"/>
      <c r="AW32" s="431" t="n"/>
    </row>
    <row r="33" ht="12" customHeight="1" s="244">
      <c r="A33" s="261" t="n"/>
      <c r="B33" s="401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1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27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1" t="n"/>
      <c r="C35" s="282" t="n"/>
      <c r="D35" s="261" t="n"/>
      <c r="E35" s="259" t="n"/>
      <c r="F35" s="409">
        <f>MAX(F34:AF34)-F34</f>
        <v/>
      </c>
      <c r="G35" s="409">
        <f>MAX(F34:AF34)-G34</f>
        <v/>
      </c>
      <c r="H35" s="409">
        <f>MAX(F34:AF34)-H34</f>
        <v/>
      </c>
      <c r="I35" s="409">
        <f>MAX(F34:AF34)-I34</f>
        <v/>
      </c>
      <c r="J35" s="409">
        <f>MAX(F34:AF34)-J34</f>
        <v/>
      </c>
      <c r="K35" s="409">
        <f>MAX(F34:AF34)-K34</f>
        <v/>
      </c>
      <c r="L35" s="409">
        <f>MAX(F34:AF34)-L34</f>
        <v/>
      </c>
      <c r="M35" s="409">
        <f>MAX(F34:AF34)-M34</f>
        <v/>
      </c>
      <c r="N35" s="409">
        <f>MAX(F34:AF34)-N34</f>
        <v/>
      </c>
      <c r="O35" s="409">
        <f>MAX(F34:AF34)-O34</f>
        <v/>
      </c>
      <c r="P35" s="409">
        <f>MAX(F34:AF34)-P34</f>
        <v/>
      </c>
      <c r="Q35" s="409">
        <f>MAX(F34:AF34)-Q34</f>
        <v/>
      </c>
      <c r="R35" s="409">
        <f>MAX(F34:AF34)-R34</f>
        <v/>
      </c>
      <c r="S35" s="409">
        <f>MAX(F34:AF34)-S34</f>
        <v/>
      </c>
      <c r="T35" s="409">
        <f>MAX(F34:AF34)-T34</f>
        <v/>
      </c>
      <c r="U35" s="409">
        <f>MAX(F34:AF34)-U34</f>
        <v/>
      </c>
      <c r="V35" s="409">
        <f>MAX(F34:AF34)-V34</f>
        <v/>
      </c>
      <c r="W35" s="409">
        <f>MAX(F34:AF34)-W34</f>
        <v/>
      </c>
      <c r="X35" s="409">
        <f>MAX(F34:AF34)-X34</f>
        <v/>
      </c>
      <c r="Y35" s="409">
        <f>MAX(F34:AF34)-Y34</f>
        <v/>
      </c>
      <c r="Z35" s="409">
        <f>MAX(F34:AF34)-Z34</f>
        <v/>
      </c>
      <c r="AA35" s="409">
        <f>MAX(F34:AF34)-AA34</f>
        <v/>
      </c>
      <c r="AB35" s="409">
        <f>MAX(F34:AF34)-AB34</f>
        <v/>
      </c>
      <c r="AC35" s="409">
        <f>MAX(F34:AF34)-AC34</f>
        <v/>
      </c>
      <c r="AD35" s="409">
        <f>MAX(F34:AF34)-AD34</f>
        <v/>
      </c>
      <c r="AE35" s="409">
        <f>MAX(F34:AF34)-AE34</f>
        <v/>
      </c>
      <c r="AF35" s="409">
        <f>MAX(F34:AF34)-AF34</f>
        <v/>
      </c>
      <c r="AG35" s="433" t="n"/>
      <c r="AH35" s="433" t="n"/>
      <c r="AI35" s="433" t="n"/>
      <c r="AJ35" s="433" t="n"/>
      <c r="AK35" s="433" t="n"/>
      <c r="AL35" s="433" t="n"/>
      <c r="AM35" s="433" t="n"/>
      <c r="AN35" s="433" t="n"/>
      <c r="AO35" s="433" t="n"/>
      <c r="AP35" s="433" t="n"/>
      <c r="AQ35" s="433" t="n"/>
      <c r="AR35" s="433" t="n"/>
      <c r="AS35" s="433" t="n"/>
      <c r="AT35" s="433" t="n"/>
      <c r="AU35" s="433" t="n"/>
      <c r="AV35" s="433" t="n"/>
      <c r="AW35" s="433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10" t="inlineStr">
        <is>
          <t>Δpö</t>
        </is>
      </c>
      <c r="G39" s="410" t="inlineStr">
        <is>
          <t>EK VI-14i Tablosundan q değeri m³/h çevrilir DN10 borusu için</t>
        </is>
      </c>
      <c r="H39" s="410" t="n"/>
      <c r="I39" s="410" t="n"/>
    </row>
    <row r="40" ht="12.75" customHeight="1" s="244">
      <c r="A40" s="411" t="inlineStr">
        <is>
          <t xml:space="preserve"> (1)</t>
        </is>
      </c>
      <c r="B40" s="243" t="inlineStr">
        <is>
          <t>Şek. 19.7.1 den seçilmiştir.</t>
        </is>
      </c>
      <c r="F40" s="410" t="n"/>
      <c r="G40" s="410" t="inlineStr">
        <is>
          <t>R (Pa/m) 1metre borudaki basın. Kaybı bulunur..</t>
        </is>
      </c>
      <c r="H40" s="410" t="n"/>
      <c r="I40" s="410" t="n"/>
    </row>
    <row r="41" ht="12.75" customHeight="1" s="244">
      <c r="A41" s="411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0" t="n"/>
      <c r="G41" s="410" t="inlineStr">
        <is>
          <t xml:space="preserve">toplam boru boyu ile çarpımından Δpö (Pa) bulunur.  </t>
        </is>
      </c>
      <c r="H41" s="410" t="n"/>
      <c r="I41" s="410" t="n"/>
    </row>
    <row r="42" ht="12.75" customHeight="1" s="244">
      <c r="A42" s="411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1" t="inlineStr">
        <is>
          <t xml:space="preserve"> (4)</t>
        </is>
      </c>
      <c r="B43" s="243" t="inlineStr">
        <is>
          <t>Alta geçen ısı 0,2 q" olarak alınmıştır.</t>
        </is>
      </c>
    </row>
    <row r="44" ht="12.75" customHeight="1" s="244">
      <c r="A44" s="411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1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1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2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2026-10-14T22:08:46Z</dcterms:modified>
  <cp:lastModifiedBy>Can Özkaya</cp:lastModifiedBy>
  <cp:revision>0</cp:revision>
  <cp:lastPrinted>2022-06-03T11:29:57Z</cp:lastPrinted>
</cp:coreProperties>
</file>