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RAPOR'!$A$1:$H$48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 (dar ıslak hacimlerde 5-6 cm);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Not — "YERDEN ISITMA" (modülasyon) sayfasındaki negatif değerler: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inlineStr">
        <is>
          <t>Sayfadaki G sütunu (MODÜL) şablon formülüdür: G = 76,263 − 0,539 × F, F = q = Q / A (W/m²). Şablon 17,5 W/m esası için kurulmuştur;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inlineStr">
        <is>
          <t>q &gt; 141,5 W/m² olduğunda G negatif çıkar. Bu projede Q = 35 W/m × L ve boru yoğunluğu ≈ 6 m/m² olduğundan q ≈ 200-215 W/m² olur;</t>
        </is>
      </c>
      <c r="E44" s="243" t="n"/>
      <c r="F44" s="317" t="n"/>
      <c r="G44" s="323" t="n"/>
      <c r="H44" s="280" t="n"/>
    </row>
    <row r="45" ht="15" customHeight="1" s="244">
      <c r="A45" s="310" t="n"/>
      <c r="B45" s="313" t="inlineStr">
        <is>
          <t>bu yüzden G (MODÜL) ve H = D / G (m²) sütunlarında negatif değerler görünür. Bunlar bir ölçü değildir, yalnız formülün geçerlilik aralığı dışında olunduğunu gösterir.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inlineStr">
        <is>
          <t>Formüller bozulmadan bırakılmıştır. Aynı esasla MMO sayfasında yüzey sıcaklığı ≈ 37,8 °C ve devre basınç kaybı Δpmax üstünde çıkar (sayfadaki uyarı satırları).</t>
        </is>
      </c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inlineStr">
        <is>
          <t>Devre gücü esası (35 W/m × L, plan etiketleriyle aynı) proje sahibinin kararına bırakılmıştır; 17,5 W/m ya da ısı kaybı esasına geçilirse bu değerler olağan aralığa döner.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602.4</v>
      </c>
      <c r="E16" s="344" t="n">
        <v>35</v>
      </c>
      <c r="F16" s="343">
        <f>'YERDEN ISITMA'!N16</f>
        <v/>
      </c>
      <c r="G16" s="340" t="n">
        <v>17.21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2889.9</v>
      </c>
      <c r="E18" s="344" t="n">
        <v>35</v>
      </c>
      <c r="F18" s="343">
        <f>'YERDEN ISITMA'!N18</f>
        <v/>
      </c>
      <c r="G18" s="340" t="n">
        <v>82.56999999999999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611.4</v>
      </c>
      <c r="E23" s="344" t="n">
        <v>35</v>
      </c>
      <c r="F23" s="343">
        <f>'YERDEN ISITMA'!N23</f>
        <v/>
      </c>
      <c r="G23" s="340" t="n">
        <v>17.47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349</v>
      </c>
      <c r="E30" s="349" t="n">
        <v>35</v>
      </c>
      <c r="F30" s="348">
        <f>'YERDEN ISITMA'!N30</f>
        <v/>
      </c>
      <c r="G30" s="345" t="n">
        <v>9.970000000000001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2889.9</v>
      </c>
      <c r="E33" s="349" t="n">
        <v>35</v>
      </c>
      <c r="F33" s="348">
        <f>'YERDEN ISITMA'!N33</f>
        <v/>
      </c>
      <c r="G33" s="345" t="n">
        <v>82.56999999999999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582</v>
      </c>
      <c r="E38" s="349" t="n">
        <v>35</v>
      </c>
      <c r="F38" s="348">
        <f>'YERDEN ISITMA'!N38</f>
        <v/>
      </c>
      <c r="G38" s="345" t="n">
        <v>16.63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349.3</v>
      </c>
      <c r="E45" s="349" t="n">
        <v>35</v>
      </c>
      <c r="F45" s="348">
        <f>'YERDEN ISITMA'!N45</f>
        <v/>
      </c>
      <c r="G45" s="345" t="n">
        <v>9.98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524.6</v>
      </c>
      <c r="E52" s="349" t="n">
        <v>35</v>
      </c>
      <c r="F52" s="348">
        <f>'YERDEN ISITMA'!N52</f>
        <v/>
      </c>
      <c r="G52" s="345" t="n">
        <v>14.99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2867.2</v>
      </c>
      <c r="E55" s="349" t="n">
        <v>35</v>
      </c>
      <c r="F55" s="348">
        <f>'YERDEN ISITMA'!N55</f>
        <v/>
      </c>
      <c r="G55" s="345" t="n">
        <v>81.92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627.5</v>
      </c>
      <c r="E60" s="349" t="n">
        <v>35</v>
      </c>
      <c r="F60" s="348">
        <f>'YERDEN ISITMA'!N60</f>
        <v/>
      </c>
      <c r="G60" s="345" t="n">
        <v>17.93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344.1</v>
      </c>
      <c r="E67" s="349" t="n">
        <v>35</v>
      </c>
      <c r="F67" s="348">
        <f>'YERDEN ISITMA'!N67</f>
        <v/>
      </c>
      <c r="G67" s="345" t="n">
        <v>9.83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646.8</v>
      </c>
      <c r="E74" s="349" t="n">
        <v>35</v>
      </c>
      <c r="F74" s="348">
        <f>'YERDEN ISITMA'!N74</f>
        <v/>
      </c>
      <c r="G74" s="345" t="n">
        <v>18.48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44002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3.39</v>
      </c>
      <c r="O12" s="397" t="n">
        <v>7.87</v>
      </c>
      <c r="P12" s="397" t="n">
        <v>6.98</v>
      </c>
      <c r="Q12" s="397" t="n">
        <v>6.49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3.44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2.13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602.4</v>
      </c>
      <c r="O13" s="398" t="n">
        <v>1694</v>
      </c>
      <c r="P13" s="398" t="n">
        <v>1498</v>
      </c>
      <c r="Q13" s="398" t="n">
        <v>1392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611.4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349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532</v>
      </c>
      <c r="O32" s="408" t="n">
        <v>9141</v>
      </c>
      <c r="P32" s="408" t="n">
        <v>6519</v>
      </c>
      <c r="Q32" s="408" t="n">
        <v>5327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555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107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43738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6.98</v>
      </c>
      <c r="H12" s="397" t="n">
        <v>6.49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3.44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2.13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2.77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1498</v>
      </c>
      <c r="H13" s="398" t="n">
        <v>1392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582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349.3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524.6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6519</v>
      </c>
      <c r="H32" s="408" t="n">
        <v>5327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299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108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243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(38.1 °C), 102-3 (38.1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43519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3.49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2.11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3.52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1488.9</v>
      </c>
      <c r="H13" s="398" t="n">
        <v>1378.3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627.5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344.1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646.8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6410</v>
      </c>
      <c r="H32" s="408" t="n">
        <v>5184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596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104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647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(38.0 °C), 202-3 (38.0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2026-10-15T02:00:06Z</dcterms:modified>
  <cp:lastModifiedBy>ROTAŞ MÜHENDİSLİK</cp:lastModifiedBy>
  <cp:revision>0</cp:revision>
  <cp:lastPrinted>2022-06-03T11:29:57Z</cp:lastPrinted>
</cp:coreProperties>
</file>