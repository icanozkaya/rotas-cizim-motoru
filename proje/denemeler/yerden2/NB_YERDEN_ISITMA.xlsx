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definedNames>
    <definedName name="_xlnm.Print_Area" localSheetId="0">'kapak'!$A$1:$I$42</definedName>
    <definedName name="_xlnm.Print_Area" localSheetId="1">'TEKNİK RAPOR'!$A$1:$H$40</definedName>
    <definedName name="_xlnm.Print_Area" localSheetId="2">'PETEK LİST'!$A$1:$P$76</definedName>
    <definedName name="_xlnm.Print_Area" localSheetId="3">'YERDEN ISITMA'!$A$1:$N$76</definedName>
    <definedName name="_xlnm.Print_Area" localSheetId="4">'MMO YERDEN ISITMA'!$A$1:$AF$47</definedName>
    <definedName name="_xlnm.Print_Area" localSheetId="5">'YERDEN ISITMA- DEVAMI'!$A$1:$AF$47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color rgb="00C00000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FFC7CE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7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wc-lavabo / duş / wc-duş (≤ 2,7 m²),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Devre Isıl Gücü Esası: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Plan etiketlerindeki, kolon şemasındaki ve bu hesaptaki devre ısıl gücü aynı esastan alınmıştır: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inlineStr">
        <is>
          <t xml:space="preserve">   Q (W) = 35 W/m × hat uzunluğu L (m); L = plandaki serpantinin yaylar dahil gerçek boyu.</t>
        </is>
      </c>
      <c r="E36" s="243" t="n"/>
      <c r="F36" s="317" t="n"/>
      <c r="G36" s="323" t="n"/>
      <c r="H36" s="280" t="n"/>
    </row>
    <row r="37" ht="15" customHeight="1" s="244">
      <c r="A37" s="310" t="n"/>
      <c r="B37" s="313" t="inlineStr">
        <is>
          <t>Bu projede ayrı ısı kaybı hesabı yapılmamıştır; "ısı ihtiyacı" sütunları boru boyundan hesaplanmıştır.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inlineStr">
        <is>
          <t>Boru PEX 16 x 2,0, boru aralığı 15 cm, duvardan kenar mesafesi 7,5 cm; devre boyu en çok 80 m.</t>
        </is>
      </c>
      <c r="E38" s="243" t="n"/>
      <c r="F38" s="317" t="n"/>
      <c r="G38" s="323" t="n"/>
      <c r="H38" s="280" t="n"/>
    </row>
    <row r="39" ht="15" customHeight="1" s="244">
      <c r="A39" s="310" t="n"/>
      <c r="B39" s="313" t="inlineStr">
        <is>
          <t>Döşeme yüzey sıcaklığı kontrolü MMO sayfalarındadır (sınır: oturma 29 °C, banyo 33 °C).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n"/>
      <c r="B41" s="313" t="n"/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n"/>
      <c r="B43" s="313" t="n"/>
      <c r="E43" s="243" t="n"/>
      <c r="F43" s="317" t="n"/>
      <c r="G43" s="323" t="n"/>
      <c r="H43" s="280" t="n"/>
    </row>
    <row r="44" ht="15" customHeight="1" s="244">
      <c r="A44" s="310" t="n"/>
      <c r="B44" s="313" t="n"/>
      <c r="E44" s="243" t="n"/>
      <c r="F44" s="317" t="n"/>
      <c r="G44" s="323" t="n"/>
      <c r="H44" s="280" t="n"/>
    </row>
    <row r="45" ht="15" customHeight="1" s="244">
      <c r="A45" s="310" t="n"/>
      <c r="B45" s="313" t="n"/>
      <c r="E45" s="243" t="n"/>
      <c r="F45" s="317" t="n"/>
      <c r="G45" s="323" t="n"/>
      <c r="H45" s="280" t="n"/>
    </row>
    <row r="46" ht="15" customHeight="1" s="244">
      <c r="A46" s="310" t="n"/>
      <c r="B46" s="313" t="n"/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n"/>
      <c r="B47" s="313" t="n"/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ISIL GÜÇ
35 W/m × L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</t>
        </is>
      </c>
      <c r="E9" s="331" t="inlineStr">
        <is>
          <t>W/m</t>
        </is>
      </c>
      <c r="F9" s="331" t="inlineStr">
        <is>
          <t>W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1688.4</v>
      </c>
      <c r="E10" s="344" t="n">
        <v>35</v>
      </c>
      <c r="F10" s="343">
        <f>'YERDEN ISITMA'!N10</f>
        <v/>
      </c>
      <c r="G10" s="340" t="n">
        <v>48.24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2872.1</v>
      </c>
      <c r="E11" s="344" t="n">
        <v>35</v>
      </c>
      <c r="F11" s="343">
        <f>'YERDEN ISITMA'!N11</f>
        <v/>
      </c>
      <c r="G11" s="340" t="n">
        <v>82.06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1850.8</v>
      </c>
      <c r="E12" s="344" t="n">
        <v>35</v>
      </c>
      <c r="F12" s="343">
        <f>'YERDEN ISITMA'!N12</f>
        <v/>
      </c>
      <c r="G12" s="340" t="n">
        <v>52.88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1866.2</v>
      </c>
      <c r="E13" s="344" t="n">
        <v>35</v>
      </c>
      <c r="F13" s="343">
        <f>'YERDEN ISITMA'!N13</f>
        <v/>
      </c>
      <c r="G13" s="340" t="n">
        <v>53.32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4240.9</v>
      </c>
      <c r="E14" s="344" t="n">
        <v>35</v>
      </c>
      <c r="F14" s="343">
        <f>'YERDEN ISITMA'!N14</f>
        <v/>
      </c>
      <c r="G14" s="340" t="n">
        <v>121.17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1522.5</v>
      </c>
      <c r="E15" s="344" t="n">
        <v>35</v>
      </c>
      <c r="F15" s="343">
        <f>'YERDEN ISITMA'!N15</f>
        <v/>
      </c>
      <c r="G15" s="340" t="n">
        <v>43.5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602.4</v>
      </c>
      <c r="E16" s="344" t="n">
        <v>35</v>
      </c>
      <c r="F16" s="343">
        <f>'YERDEN ISITMA'!N16</f>
        <v/>
      </c>
      <c r="G16" s="340" t="n">
        <v>17.21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35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2889.9</v>
      </c>
      <c r="E18" s="344" t="n">
        <v>35</v>
      </c>
      <c r="F18" s="343">
        <f>'YERDEN ISITMA'!N18</f>
        <v/>
      </c>
      <c r="G18" s="340" t="n">
        <v>82.56999999999999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1850.8</v>
      </c>
      <c r="E19" s="344" t="n">
        <v>35</v>
      </c>
      <c r="F19" s="343">
        <f>'YERDEN ISITMA'!N19</f>
        <v/>
      </c>
      <c r="G19" s="340" t="n">
        <v>52.88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1860.6</v>
      </c>
      <c r="E20" s="344" t="n">
        <v>35</v>
      </c>
      <c r="F20" s="343">
        <f>'YERDEN ISITMA'!N20</f>
        <v/>
      </c>
      <c r="G20" s="340" t="n">
        <v>53.16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4253.6</v>
      </c>
      <c r="E21" s="344" t="n">
        <v>35</v>
      </c>
      <c r="F21" s="343">
        <f>'YERDEN ISITMA'!N21</f>
        <v/>
      </c>
      <c r="G21" s="340" t="n">
        <v>121.53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1533</v>
      </c>
      <c r="E22" s="344" t="n">
        <v>35</v>
      </c>
      <c r="F22" s="343">
        <f>'YERDEN ISITMA'!N22</f>
        <v/>
      </c>
      <c r="G22" s="340" t="n">
        <v>43.8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611.4</v>
      </c>
      <c r="E23" s="344" t="n">
        <v>35</v>
      </c>
      <c r="F23" s="343">
        <f>'YERDEN ISITMA'!N23</f>
        <v/>
      </c>
      <c r="G23" s="340" t="n">
        <v>17.47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1370.6</v>
      </c>
      <c r="E24" s="344" t="n">
        <v>35</v>
      </c>
      <c r="F24" s="343">
        <f>'YERDEN ISITMA'!N24</f>
        <v/>
      </c>
      <c r="G24" s="340" t="n">
        <v>39.16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3031.7</v>
      </c>
      <c r="E25" s="349" t="n">
        <v>35</v>
      </c>
      <c r="F25" s="348">
        <f>'YERDEN ISITMA'!N25</f>
        <v/>
      </c>
      <c r="G25" s="345" t="n">
        <v>86.62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1859.2</v>
      </c>
      <c r="E26" s="349" t="n">
        <v>35</v>
      </c>
      <c r="F26" s="348">
        <f>'YERDEN ISITMA'!N26</f>
        <v/>
      </c>
      <c r="G26" s="345" t="n">
        <v>53.12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4437.3</v>
      </c>
      <c r="E27" s="349" t="n">
        <v>35</v>
      </c>
      <c r="F27" s="348">
        <f>'YERDEN ISITMA'!N27</f>
        <v/>
      </c>
      <c r="G27" s="345" t="n">
        <v>126.78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1619.1</v>
      </c>
      <c r="E28" s="349" t="n">
        <v>35</v>
      </c>
      <c r="F28" s="348">
        <f>'YERDEN ISITMA'!N28</f>
        <v/>
      </c>
      <c r="G28" s="345" t="n">
        <v>46.26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1998.8</v>
      </c>
      <c r="E29" s="349" t="n">
        <v>35</v>
      </c>
      <c r="F29" s="348">
        <f>'YERDEN ISITMA'!N29</f>
        <v/>
      </c>
      <c r="G29" s="345" t="n">
        <v>57.11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349</v>
      </c>
      <c r="E30" s="349" t="n">
        <v>35</v>
      </c>
      <c r="F30" s="348">
        <f>'YERDEN ISITMA'!N30</f>
        <v/>
      </c>
      <c r="G30" s="345" t="n">
        <v>9.970000000000001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35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2889.9</v>
      </c>
      <c r="E33" s="349" t="n">
        <v>35</v>
      </c>
      <c r="F33" s="348">
        <f>'YERDEN ISITMA'!N33</f>
        <v/>
      </c>
      <c r="G33" s="345" t="n">
        <v>82.56999999999999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1850.8</v>
      </c>
      <c r="E34" s="349" t="n">
        <v>35</v>
      </c>
      <c r="F34" s="348">
        <f>'YERDEN ISITMA'!N34</f>
        <v/>
      </c>
      <c r="G34" s="345" t="n">
        <v>52.88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1860.6</v>
      </c>
      <c r="E35" s="349" t="n">
        <v>35</v>
      </c>
      <c r="F35" s="348">
        <f>'YERDEN ISITMA'!N35</f>
        <v/>
      </c>
      <c r="G35" s="345" t="n">
        <v>53.16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4235.7</v>
      </c>
      <c r="E36" s="349" t="n">
        <v>35</v>
      </c>
      <c r="F36" s="348">
        <f>'YERDEN ISITMA'!N36</f>
        <v/>
      </c>
      <c r="G36" s="345" t="n">
        <v>121.02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1533</v>
      </c>
      <c r="E37" s="349" t="n">
        <v>35</v>
      </c>
      <c r="F37" s="348">
        <f>'YERDEN ISITMA'!N37</f>
        <v/>
      </c>
      <c r="G37" s="345" t="n">
        <v>43.8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582</v>
      </c>
      <c r="E38" s="349" t="n">
        <v>35</v>
      </c>
      <c r="F38" s="348">
        <f>'YERDEN ISITMA'!N38</f>
        <v/>
      </c>
      <c r="G38" s="345" t="n">
        <v>16.63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1341.2</v>
      </c>
      <c r="E39" s="349" t="n">
        <v>35</v>
      </c>
      <c r="F39" s="348">
        <f>'YERDEN ISITMA'!N39</f>
        <v/>
      </c>
      <c r="G39" s="345" t="n">
        <v>38.32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3031.7</v>
      </c>
      <c r="E40" s="349" t="n">
        <v>35</v>
      </c>
      <c r="F40" s="348">
        <f>'YERDEN ISITMA'!N40</f>
        <v/>
      </c>
      <c r="G40" s="345" t="n">
        <v>86.62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1859.2</v>
      </c>
      <c r="E41" s="349" t="n">
        <v>35</v>
      </c>
      <c r="F41" s="348">
        <f>'YERDEN ISITMA'!N41</f>
        <v/>
      </c>
      <c r="G41" s="345" t="n">
        <v>53.12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4299.8</v>
      </c>
      <c r="E42" s="349" t="n">
        <v>35</v>
      </c>
      <c r="F42" s="348">
        <f>'YERDEN ISITMA'!N42</f>
        <v/>
      </c>
      <c r="G42" s="345" t="n">
        <v>122.85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1614.9</v>
      </c>
      <c r="E43" s="349" t="n">
        <v>35</v>
      </c>
      <c r="F43" s="348">
        <f>'YERDEN ISITMA'!N43</f>
        <v/>
      </c>
      <c r="G43" s="345" t="n">
        <v>46.14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2005.1</v>
      </c>
      <c r="E44" s="349" t="n">
        <v>35</v>
      </c>
      <c r="F44" s="348">
        <f>'YERDEN ISITMA'!N44</f>
        <v/>
      </c>
      <c r="G44" s="345" t="n">
        <v>57.29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349.3</v>
      </c>
      <c r="E45" s="349" t="n">
        <v>35</v>
      </c>
      <c r="F45" s="348">
        <f>'YERDEN ISITMA'!N45</f>
        <v/>
      </c>
      <c r="G45" s="345" t="n">
        <v>9.98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35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2877.7</v>
      </c>
      <c r="E47" s="349" t="n">
        <v>35</v>
      </c>
      <c r="F47" s="348">
        <f>'YERDEN ISITMA'!N47</f>
        <v/>
      </c>
      <c r="G47" s="345" t="n">
        <v>82.22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1856.4</v>
      </c>
      <c r="E48" s="349" t="n">
        <v>35</v>
      </c>
      <c r="F48" s="348">
        <f>'YERDEN ISITMA'!N48</f>
        <v/>
      </c>
      <c r="G48" s="345" t="n">
        <v>53.04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1872.8</v>
      </c>
      <c r="E49" s="349" t="n">
        <v>35</v>
      </c>
      <c r="F49" s="348">
        <f>'YERDEN ISITMA'!N49</f>
        <v/>
      </c>
      <c r="G49" s="345" t="n">
        <v>53.51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4246.6</v>
      </c>
      <c r="E50" s="349" t="n">
        <v>35</v>
      </c>
      <c r="F50" s="348">
        <f>'YERDEN ISITMA'!N50</f>
        <v/>
      </c>
      <c r="G50" s="345" t="n">
        <v>121.33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1522.5</v>
      </c>
      <c r="E51" s="349" t="n">
        <v>35</v>
      </c>
      <c r="F51" s="348">
        <f>'YERDEN ISITMA'!N51</f>
        <v/>
      </c>
      <c r="G51" s="345" t="n">
        <v>43.5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BANYO</t>
        </is>
      </c>
      <c r="C52" s="347" t="inlineStr">
        <is>
          <t>24</t>
        </is>
      </c>
      <c r="D52" s="348" t="n">
        <v>524.6</v>
      </c>
      <c r="E52" s="349" t="n">
        <v>35</v>
      </c>
      <c r="F52" s="348">
        <f>'YERDEN ISITMA'!N52</f>
        <v/>
      </c>
      <c r="G52" s="345" t="n">
        <v>14.99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n"/>
      <c r="B53" s="345" t="inlineStr">
        <is>
          <t>1. KAT</t>
        </is>
      </c>
      <c r="C53" s="347" t="n"/>
      <c r="D53" s="348" t="n"/>
      <c r="E53" s="350" t="inlineStr">
        <is>
          <t>TOPLAM =</t>
        </is>
      </c>
      <c r="F53" s="351">
        <f>SUM(F32:F52)</f>
        <v/>
      </c>
      <c r="G53" s="345" t="inlineStr">
        <is>
          <t>watt</t>
        </is>
      </c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</row>
    <row r="54">
      <c r="A54" s="345" t="inlineStr">
        <is>
          <t>201</t>
        </is>
      </c>
      <c r="B54" s="346" t="inlineStr">
        <is>
          <t>D7 MUTFAK</t>
        </is>
      </c>
      <c r="C54" s="347" t="inlineStr">
        <is>
          <t>20</t>
        </is>
      </c>
      <c r="D54" s="348" t="n">
        <v>1597.8</v>
      </c>
      <c r="E54" s="349" t="n">
        <v>35</v>
      </c>
      <c r="F54" s="348">
        <f>'YERDEN ISITMA'!N54</f>
        <v/>
      </c>
      <c r="G54" s="345" t="n">
        <v>45.65</v>
      </c>
      <c r="H54" s="345" t="n">
        <v>1</v>
      </c>
      <c r="I54" s="345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345" t="inlineStr">
        <is>
          <t>202</t>
        </is>
      </c>
      <c r="B55" s="346" t="inlineStr">
        <is>
          <t>D7 YATAK OD.</t>
        </is>
      </c>
      <c r="C55" s="347" t="inlineStr">
        <is>
          <t>20</t>
        </is>
      </c>
      <c r="D55" s="348" t="n">
        <v>2867.2</v>
      </c>
      <c r="E55" s="349" t="n">
        <v>35</v>
      </c>
      <c r="F55" s="348">
        <f>'YERDEN ISITMA'!N55</f>
        <v/>
      </c>
      <c r="G55" s="345" t="n">
        <v>81.92</v>
      </c>
      <c r="H55" s="345" t="n">
        <v>2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203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1848</v>
      </c>
      <c r="E56" s="349" t="n">
        <v>35</v>
      </c>
      <c r="F56" s="348">
        <f>'YERDEN ISITMA'!N56</f>
        <v/>
      </c>
      <c r="G56" s="345" t="n">
        <v>52.8</v>
      </c>
      <c r="H56" s="345" t="n">
        <v>1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204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1859.2</v>
      </c>
      <c r="E57" s="349" t="n">
        <v>35</v>
      </c>
      <c r="F57" s="348">
        <f>'YERDEN ISITMA'!N57</f>
        <v/>
      </c>
      <c r="G57" s="345" t="n">
        <v>53.12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205</t>
        </is>
      </c>
      <c r="B58" s="346" t="inlineStr">
        <is>
          <t>D7 SALON</t>
        </is>
      </c>
      <c r="C58" s="347" t="inlineStr">
        <is>
          <t>20</t>
        </is>
      </c>
      <c r="D58" s="348" t="n">
        <v>4213.3</v>
      </c>
      <c r="E58" s="349" t="n">
        <v>35</v>
      </c>
      <c r="F58" s="348">
        <f>'YERDEN ISITMA'!N58</f>
        <v/>
      </c>
      <c r="G58" s="345" t="n">
        <v>120.38</v>
      </c>
      <c r="H58" s="345" t="n">
        <v>2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206</t>
        </is>
      </c>
      <c r="B59" s="346" t="inlineStr">
        <is>
          <t>D7 ANTRE-KOR.</t>
        </is>
      </c>
      <c r="C59" s="347" t="inlineStr">
        <is>
          <t>15</t>
        </is>
      </c>
      <c r="D59" s="348" t="n">
        <v>1526.3</v>
      </c>
      <c r="E59" s="349" t="n">
        <v>35</v>
      </c>
      <c r="F59" s="348">
        <f>'YERDEN ISITMA'!N59</f>
        <v/>
      </c>
      <c r="G59" s="345" t="n">
        <v>43.61</v>
      </c>
      <c r="H59" s="345" t="n">
        <v>1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207</t>
        </is>
      </c>
      <c r="B60" s="346" t="inlineStr">
        <is>
          <t>D7 BANYO</t>
        </is>
      </c>
      <c r="C60" s="347" t="inlineStr">
        <is>
          <t>24</t>
        </is>
      </c>
      <c r="D60" s="348" t="n">
        <v>627.5</v>
      </c>
      <c r="E60" s="349" t="n">
        <v>35</v>
      </c>
      <c r="F60" s="348">
        <f>'YERDEN ISITMA'!N60</f>
        <v/>
      </c>
      <c r="G60" s="345" t="n">
        <v>17.93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208</t>
        </is>
      </c>
      <c r="B61" s="346" t="inlineStr">
        <is>
          <t>D8 MUTFAK</t>
        </is>
      </c>
      <c r="C61" s="347" t="inlineStr">
        <is>
          <t>20</t>
        </is>
      </c>
      <c r="D61" s="348" t="n">
        <v>1288.4</v>
      </c>
      <c r="E61" s="349" t="n">
        <v>35</v>
      </c>
      <c r="F61" s="348">
        <f>'YERDEN ISITMA'!N61</f>
        <v/>
      </c>
      <c r="G61" s="345" t="n">
        <v>36.81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209</t>
        </is>
      </c>
      <c r="B62" s="346" t="inlineStr">
        <is>
          <t>D8 YATAK OD.</t>
        </is>
      </c>
      <c r="C62" s="347" t="inlineStr">
        <is>
          <t>20</t>
        </is>
      </c>
      <c r="D62" s="348" t="n">
        <v>2937.2</v>
      </c>
      <c r="E62" s="349" t="n">
        <v>35</v>
      </c>
      <c r="F62" s="348">
        <f>'YERDEN ISITMA'!N62</f>
        <v/>
      </c>
      <c r="G62" s="345" t="n">
        <v>83.92</v>
      </c>
      <c r="H62" s="345" t="n">
        <v>2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210</t>
        </is>
      </c>
      <c r="B63" s="346" t="inlineStr">
        <is>
          <t>D8 YATAK OD.</t>
        </is>
      </c>
      <c r="C63" s="347" t="inlineStr">
        <is>
          <t>20</t>
        </is>
      </c>
      <c r="D63" s="348" t="n">
        <v>1859.2</v>
      </c>
      <c r="E63" s="349" t="n">
        <v>35</v>
      </c>
      <c r="F63" s="348">
        <f>'YERDEN ISITMA'!N63</f>
        <v/>
      </c>
      <c r="G63" s="345" t="n">
        <v>53.12</v>
      </c>
      <c r="H63" s="345" t="n">
        <v>1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211</t>
        </is>
      </c>
      <c r="B64" s="346" t="inlineStr">
        <is>
          <t>D8 SALON</t>
        </is>
      </c>
      <c r="C64" s="347" t="inlineStr">
        <is>
          <t>20</t>
        </is>
      </c>
      <c r="D64" s="348" t="n">
        <v>4288.6</v>
      </c>
      <c r="E64" s="349" t="n">
        <v>35</v>
      </c>
      <c r="F64" s="348">
        <f>'YERDEN ISITMA'!N64</f>
        <v/>
      </c>
      <c r="G64" s="345" t="n">
        <v>122.53</v>
      </c>
      <c r="H64" s="345" t="n">
        <v>2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212</t>
        </is>
      </c>
      <c r="B65" s="346" t="inlineStr">
        <is>
          <t>D8 ODA</t>
        </is>
      </c>
      <c r="C65" s="347" t="inlineStr">
        <is>
          <t>20</t>
        </is>
      </c>
      <c r="D65" s="348" t="n">
        <v>1610.7</v>
      </c>
      <c r="E65" s="349" t="n">
        <v>35</v>
      </c>
      <c r="F65" s="348">
        <f>'YERDEN ISITMA'!N65</f>
        <v/>
      </c>
      <c r="G65" s="345" t="n">
        <v>46.02</v>
      </c>
      <c r="H65" s="345" t="n">
        <v>1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213</t>
        </is>
      </c>
      <c r="B66" s="346" t="inlineStr">
        <is>
          <t>D8 ANTRE-KOR.</t>
        </is>
      </c>
      <c r="C66" s="347" t="inlineStr">
        <is>
          <t>15</t>
        </is>
      </c>
      <c r="D66" s="348" t="n">
        <v>2005.9</v>
      </c>
      <c r="E66" s="349" t="n">
        <v>35</v>
      </c>
      <c r="F66" s="348">
        <f>'YERDEN ISITMA'!N66</f>
        <v/>
      </c>
      <c r="G66" s="345" t="n">
        <v>57.31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214</t>
        </is>
      </c>
      <c r="B67" s="346" t="inlineStr">
        <is>
          <t>D8 WC-BANYO</t>
        </is>
      </c>
      <c r="C67" s="347" t="inlineStr">
        <is>
          <t>24</t>
        </is>
      </c>
      <c r="D67" s="348" t="n">
        <v>344.1</v>
      </c>
      <c r="E67" s="349" t="n">
        <v>35</v>
      </c>
      <c r="F67" s="348">
        <f>'YERDEN ISITMA'!N67</f>
        <v/>
      </c>
      <c r="G67" s="345" t="n">
        <v>9.83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215</t>
        </is>
      </c>
      <c r="B68" s="346" t="inlineStr">
        <is>
          <t>D9 MUTFAK</t>
        </is>
      </c>
      <c r="C68" s="347" t="inlineStr">
        <is>
          <t>20</t>
        </is>
      </c>
      <c r="D68" s="348" t="n">
        <v>1679.7</v>
      </c>
      <c r="E68" s="349" t="n">
        <v>35</v>
      </c>
      <c r="F68" s="348">
        <f>'YERDEN ISITMA'!N68</f>
        <v/>
      </c>
      <c r="G68" s="345" t="n">
        <v>47.99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216</t>
        </is>
      </c>
      <c r="B69" s="346" t="inlineStr">
        <is>
          <t>D9 YATAK OD.</t>
        </is>
      </c>
      <c r="C69" s="347" t="inlineStr">
        <is>
          <t>20</t>
        </is>
      </c>
      <c r="D69" s="348" t="n">
        <v>2864.4</v>
      </c>
      <c r="E69" s="349" t="n">
        <v>35</v>
      </c>
      <c r="F69" s="348">
        <f>'YERDEN ISITMA'!N69</f>
        <v/>
      </c>
      <c r="G69" s="345" t="n">
        <v>81.84</v>
      </c>
      <c r="H69" s="345" t="n">
        <v>2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217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1848</v>
      </c>
      <c r="E70" s="349" t="n">
        <v>35</v>
      </c>
      <c r="F70" s="348">
        <f>'YERDEN ISITMA'!N70</f>
        <v/>
      </c>
      <c r="G70" s="345" t="n">
        <v>52.8</v>
      </c>
      <c r="H70" s="345" t="n">
        <v>1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218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1864.8</v>
      </c>
      <c r="E71" s="349" t="n">
        <v>35</v>
      </c>
      <c r="F71" s="348">
        <f>'YERDEN ISITMA'!N71</f>
        <v/>
      </c>
      <c r="G71" s="345" t="n">
        <v>53.28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219</t>
        </is>
      </c>
      <c r="B72" s="346" t="inlineStr">
        <is>
          <t>D9 SALON</t>
        </is>
      </c>
      <c r="C72" s="347" t="inlineStr">
        <is>
          <t>20</t>
        </is>
      </c>
      <c r="D72" s="348" t="n">
        <v>4196.5</v>
      </c>
      <c r="E72" s="349" t="n">
        <v>35</v>
      </c>
      <c r="F72" s="348">
        <f>'YERDEN ISITMA'!N72</f>
        <v/>
      </c>
      <c r="G72" s="345" t="n">
        <v>119.9</v>
      </c>
      <c r="H72" s="345" t="n">
        <v>2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220</t>
        </is>
      </c>
      <c r="B73" s="346" t="inlineStr">
        <is>
          <t>D9 ANTRE-KOR.</t>
        </is>
      </c>
      <c r="C73" s="347" t="inlineStr">
        <is>
          <t>15</t>
        </is>
      </c>
      <c r="D73" s="348" t="n">
        <v>1545.2</v>
      </c>
      <c r="E73" s="349" t="n">
        <v>35</v>
      </c>
      <c r="F73" s="348">
        <f>'YERDEN ISITMA'!N73</f>
        <v/>
      </c>
      <c r="G73" s="345" t="n">
        <v>44.15</v>
      </c>
      <c r="H73" s="345" t="n">
        <v>1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221</t>
        </is>
      </c>
      <c r="B74" s="346" t="inlineStr">
        <is>
          <t>D9 BANYO</t>
        </is>
      </c>
      <c r="C74" s="347" t="inlineStr">
        <is>
          <t>24</t>
        </is>
      </c>
      <c r="D74" s="348" t="n">
        <v>646.8</v>
      </c>
      <c r="E74" s="349" t="n">
        <v>35</v>
      </c>
      <c r="F74" s="348">
        <f>'YERDEN ISITMA'!N74</f>
        <v/>
      </c>
      <c r="G74" s="345" t="n">
        <v>18.48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n"/>
      <c r="B75" s="345" t="inlineStr">
        <is>
          <t>2. KAT</t>
        </is>
      </c>
      <c r="C75" s="347" t="n"/>
      <c r="D75" s="348" t="n"/>
      <c r="E75" s="350" t="inlineStr">
        <is>
          <t>TOPLAM =</t>
        </is>
      </c>
      <c r="F75" s="351">
        <f>SUM(F54:F74)</f>
        <v/>
      </c>
      <c r="G75" s="345" t="inlineStr">
        <is>
          <t>watt</t>
        </is>
      </c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0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 (boru boyundan: 35 W/m × L)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W/m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35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35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35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35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35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35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35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35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35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35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35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35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35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35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35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35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35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35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35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35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35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35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35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35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35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35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35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35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35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35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35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35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35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35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35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35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35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35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35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35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35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4.37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35</v>
      </c>
      <c r="N52" s="373">
        <f>J52*M52</f>
        <v/>
      </c>
    </row>
    <row r="53"/>
    <row r="54">
      <c r="A54" s="368">
        <f>'PETEK LİST'!A54</f>
        <v/>
      </c>
      <c r="B54" s="369">
        <f>'PETEK LİST'!B54</f>
        <v/>
      </c>
      <c r="C54" s="370">
        <f>'PETEK LİST'!C54</f>
        <v/>
      </c>
      <c r="D54" s="348">
        <f>'PETEK LİST'!D54</f>
        <v/>
      </c>
      <c r="E54" s="371" t="n">
        <v>11.07</v>
      </c>
      <c r="F54" s="372">
        <f>D54/E54</f>
        <v/>
      </c>
      <c r="G54" s="372">
        <f>76.263-0.539*F54</f>
        <v/>
      </c>
      <c r="H54" s="372">
        <f>D54/G54</f>
        <v/>
      </c>
      <c r="I54" s="368" t="n">
        <v>15</v>
      </c>
      <c r="J54" s="345">
        <f>'PETEK LİST'!G54</f>
        <v/>
      </c>
      <c r="K54" s="372">
        <f>J54/80</f>
        <v/>
      </c>
      <c r="L54" s="368">
        <f>CEILING(K54,1)</f>
        <v/>
      </c>
      <c r="M54" s="368" t="n">
        <v>35</v>
      </c>
      <c r="N54" s="373">
        <f>J54*M54</f>
        <v/>
      </c>
    </row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14.25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35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9.31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35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35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21.18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35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7.77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35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5.04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35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10.11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35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15.44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35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9.050000000000001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35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22.31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35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7.75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35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11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35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4.37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35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11.07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35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14.25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35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9.31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35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35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21.18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35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7.77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35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5.04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35</v>
      </c>
      <c r="N74" s="373">
        <f>J74*M74</f>
        <v/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44002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22298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7.83</v>
      </c>
      <c r="G12" s="397" t="n">
        <v>7.11</v>
      </c>
      <c r="H12" s="397" t="n">
        <v>6.49</v>
      </c>
      <c r="I12" s="397" t="n">
        <v>8.779999999999999</v>
      </c>
      <c r="J12" s="397" t="n">
        <v>8.84</v>
      </c>
      <c r="K12" s="397" t="n">
        <v>9.81</v>
      </c>
      <c r="L12" s="397" t="n">
        <v>10.29</v>
      </c>
      <c r="M12" s="397" t="n">
        <v>7.61</v>
      </c>
      <c r="N12" s="397" t="n">
        <v>3.39</v>
      </c>
      <c r="O12" s="397" t="n">
        <v>7.87</v>
      </c>
      <c r="P12" s="397" t="n">
        <v>6.98</v>
      </c>
      <c r="Q12" s="397" t="n">
        <v>6.49</v>
      </c>
      <c r="R12" s="397" t="n">
        <v>8.76</v>
      </c>
      <c r="S12" s="397" t="n">
        <v>8.83</v>
      </c>
      <c r="T12" s="397" t="n">
        <v>9.880000000000001</v>
      </c>
      <c r="U12" s="397" t="n">
        <v>10.29</v>
      </c>
      <c r="V12" s="397" t="n">
        <v>7.67</v>
      </c>
      <c r="W12" s="397" t="n">
        <v>3.44</v>
      </c>
      <c r="X12" s="397" t="n">
        <v>7.23</v>
      </c>
      <c r="Y12" s="397" t="n">
        <v>7.24</v>
      </c>
      <c r="Z12" s="397" t="n">
        <v>7.08</v>
      </c>
      <c r="AA12" s="397" t="n">
        <v>8.640000000000001</v>
      </c>
      <c r="AB12" s="397" t="n">
        <v>10.87</v>
      </c>
      <c r="AC12" s="397" t="n">
        <v>10.08</v>
      </c>
      <c r="AD12" s="397" t="n">
        <v>7.31</v>
      </c>
      <c r="AE12" s="397" t="n">
        <v>10.28</v>
      </c>
      <c r="AF12" s="397" t="n">
        <v>2.13</v>
      </c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1688.4</v>
      </c>
      <c r="G13" s="398" t="n">
        <v>1501.2</v>
      </c>
      <c r="H13" s="398" t="n">
        <v>1371</v>
      </c>
      <c r="I13" s="398" t="n">
        <v>1850.8</v>
      </c>
      <c r="J13" s="398" t="n">
        <v>1866.2</v>
      </c>
      <c r="K13" s="398" t="n">
        <v>2069.9</v>
      </c>
      <c r="L13" s="398" t="n">
        <v>2171.1</v>
      </c>
      <c r="M13" s="398" t="n">
        <v>1522.5</v>
      </c>
      <c r="N13" s="398" t="n">
        <v>602.4</v>
      </c>
      <c r="O13" s="398" t="n">
        <v>1694</v>
      </c>
      <c r="P13" s="398" t="n">
        <v>1498</v>
      </c>
      <c r="Q13" s="398" t="n">
        <v>1392</v>
      </c>
      <c r="R13" s="398" t="n">
        <v>1850.8</v>
      </c>
      <c r="S13" s="398" t="n">
        <v>1860.6</v>
      </c>
      <c r="T13" s="398" t="n">
        <v>2082.5</v>
      </c>
      <c r="U13" s="398" t="n">
        <v>2171.1</v>
      </c>
      <c r="V13" s="398" t="n">
        <v>1533</v>
      </c>
      <c r="W13" s="398" t="n">
        <v>611.4</v>
      </c>
      <c r="X13" s="398" t="n">
        <v>1370.6</v>
      </c>
      <c r="Y13" s="398" t="n">
        <v>1533</v>
      </c>
      <c r="Z13" s="398" t="n">
        <v>1498.7</v>
      </c>
      <c r="AA13" s="398" t="n">
        <v>1859.2</v>
      </c>
      <c r="AB13" s="398" t="n">
        <v>2301.6</v>
      </c>
      <c r="AC13" s="398" t="n">
        <v>2135.7</v>
      </c>
      <c r="AD13" s="398" t="n">
        <v>1619.1</v>
      </c>
      <c r="AE13" s="398" t="n">
        <v>1998.8</v>
      </c>
      <c r="AF13" s="398" t="n">
        <v>349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9058</v>
      </c>
      <c r="G32" s="408" t="n">
        <v>6556</v>
      </c>
      <c r="H32" s="408" t="n">
        <v>5109</v>
      </c>
      <c r="I32" s="408" t="n">
        <v>11661</v>
      </c>
      <c r="J32" s="408" t="n">
        <v>11930</v>
      </c>
      <c r="K32" s="408" t="n">
        <v>15862</v>
      </c>
      <c r="L32" s="408" t="n">
        <v>18086</v>
      </c>
      <c r="M32" s="408" t="n">
        <v>6816</v>
      </c>
      <c r="N32" s="408" t="n">
        <v>532</v>
      </c>
      <c r="O32" s="408" t="n">
        <v>9141</v>
      </c>
      <c r="P32" s="408" t="n">
        <v>6519</v>
      </c>
      <c r="Q32" s="408" t="n">
        <v>5327</v>
      </c>
      <c r="R32" s="408" t="n">
        <v>11661</v>
      </c>
      <c r="S32" s="408" t="n">
        <v>11832</v>
      </c>
      <c r="T32" s="408" t="n">
        <v>16129</v>
      </c>
      <c r="U32" s="408" t="n">
        <v>18086</v>
      </c>
      <c r="V32" s="408" t="n">
        <v>6946</v>
      </c>
      <c r="W32" s="408" t="n">
        <v>555</v>
      </c>
      <c r="X32" s="408" t="n">
        <v>5105</v>
      </c>
      <c r="Y32" s="408" t="n">
        <v>6946</v>
      </c>
      <c r="Z32" s="408" t="n">
        <v>6527</v>
      </c>
      <c r="AA32" s="408" t="n">
        <v>11807</v>
      </c>
      <c r="AB32" s="408" t="n">
        <v>21236</v>
      </c>
      <c r="AC32" s="408" t="n">
        <v>17288</v>
      </c>
      <c r="AD32" s="408" t="n">
        <v>8072</v>
      </c>
      <c r="AE32" s="408" t="n">
        <v>14409</v>
      </c>
      <c r="AF32" s="408" t="n">
        <v>107</v>
      </c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B38" s="411" t="inlineStr">
        <is>
          <t>UYARI: 35 W/m × L esasında döşeme yüzey sıcaklığı sınırı aşılıyor (27 devre): Z01-1 (38.1 °C), Z02-2 (37.8 °C), Z02-3 (37.8 °C), Z03-4 (37.8 °C), Z04-5 (37.8 °C), Z05-6 (37.8 °C), Z05-7 (37.8 °C), Z06-8 (32.0 °C) ...</t>
        </is>
      </c>
      <c r="H38" s="243" t="n"/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H39" s="413" t="n"/>
      <c r="I39" s="413" t="n"/>
      <c r="J39" s="413" t="n"/>
      <c r="K39" s="413" t="n"/>
      <c r="L39" s="413" t="n"/>
      <c r="M39" s="413" t="n"/>
      <c r="N39" s="413" t="n"/>
      <c r="O39" s="413" t="n"/>
      <c r="P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H40" s="413" t="n"/>
      <c r="I40" s="413" t="n"/>
      <c r="J40" s="413" t="n"/>
      <c r="K40" s="413" t="n"/>
      <c r="L40" s="413" t="n"/>
      <c r="M40" s="413" t="n"/>
      <c r="N40" s="413" t="n"/>
      <c r="O40" s="413" t="n"/>
      <c r="P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3" t="n"/>
      <c r="I41" s="413" t="n"/>
      <c r="J41" s="413" t="n"/>
      <c r="K41" s="413" t="n"/>
      <c r="L41" s="413" t="n"/>
      <c r="M41" s="413" t="n"/>
      <c r="N41" s="413" t="n"/>
      <c r="O41" s="413" t="n"/>
      <c r="P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43738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19058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6.98</v>
      </c>
      <c r="H12" s="397" t="n">
        <v>6.49</v>
      </c>
      <c r="I12" s="397" t="n">
        <v>8.779999999999999</v>
      </c>
      <c r="J12" s="397" t="n">
        <v>8.83</v>
      </c>
      <c r="K12" s="397" t="n">
        <v>9.83</v>
      </c>
      <c r="L12" s="397" t="n">
        <v>10.3</v>
      </c>
      <c r="M12" s="397" t="n">
        <v>7.66</v>
      </c>
      <c r="N12" s="397" t="n">
        <v>3.44</v>
      </c>
      <c r="O12" s="397" t="n">
        <v>7.11</v>
      </c>
      <c r="P12" s="397" t="n">
        <v>7.24</v>
      </c>
      <c r="Q12" s="397" t="n">
        <v>7.07</v>
      </c>
      <c r="R12" s="397" t="n">
        <v>8.640000000000001</v>
      </c>
      <c r="S12" s="397" t="n">
        <v>10.38</v>
      </c>
      <c r="T12" s="397" t="n">
        <v>10.55</v>
      </c>
      <c r="U12" s="397" t="n">
        <v>7.29</v>
      </c>
      <c r="V12" s="397" t="n">
        <v>10.3</v>
      </c>
      <c r="W12" s="397" t="n">
        <v>2.13</v>
      </c>
      <c r="X12" s="397" t="n">
        <v>7.83</v>
      </c>
      <c r="Y12" s="397" t="n">
        <v>7.12</v>
      </c>
      <c r="Z12" s="397" t="n">
        <v>6.5</v>
      </c>
      <c r="AA12" s="397" t="n">
        <v>8.800000000000001</v>
      </c>
      <c r="AB12" s="397" t="n">
        <v>8.880000000000001</v>
      </c>
      <c r="AC12" s="397" t="n">
        <v>9.83</v>
      </c>
      <c r="AD12" s="397" t="n">
        <v>10.31</v>
      </c>
      <c r="AE12" s="397" t="n">
        <v>7.61</v>
      </c>
      <c r="AF12" s="397" t="n">
        <v>2.77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1695.4</v>
      </c>
      <c r="G13" s="398" t="n">
        <v>1498</v>
      </c>
      <c r="H13" s="398" t="n">
        <v>1392</v>
      </c>
      <c r="I13" s="398" t="n">
        <v>1850.8</v>
      </c>
      <c r="J13" s="398" t="n">
        <v>1860.6</v>
      </c>
      <c r="K13" s="398" t="n">
        <v>2068.5</v>
      </c>
      <c r="L13" s="398" t="n">
        <v>2167.2</v>
      </c>
      <c r="M13" s="398" t="n">
        <v>1533</v>
      </c>
      <c r="N13" s="398" t="n">
        <v>582</v>
      </c>
      <c r="O13" s="398" t="n">
        <v>1341.2</v>
      </c>
      <c r="P13" s="398" t="n">
        <v>1533</v>
      </c>
      <c r="Q13" s="398" t="n">
        <v>1498.7</v>
      </c>
      <c r="R13" s="398" t="n">
        <v>1859.2</v>
      </c>
      <c r="S13" s="398" t="n">
        <v>2132.2</v>
      </c>
      <c r="T13" s="398" t="n">
        <v>2167.6</v>
      </c>
      <c r="U13" s="398" t="n">
        <v>1614.9</v>
      </c>
      <c r="V13" s="398" t="n">
        <v>2005.1</v>
      </c>
      <c r="W13" s="398" t="n">
        <v>349.3</v>
      </c>
      <c r="X13" s="398" t="n">
        <v>1688.4</v>
      </c>
      <c r="Y13" s="398" t="n">
        <v>1505.3</v>
      </c>
      <c r="Z13" s="398" t="n">
        <v>1372.4</v>
      </c>
      <c r="AA13" s="398" t="n">
        <v>1856.4</v>
      </c>
      <c r="AB13" s="398" t="n">
        <v>1872.8</v>
      </c>
      <c r="AC13" s="398" t="n">
        <v>2072.7</v>
      </c>
      <c r="AD13" s="398" t="n">
        <v>2173.8</v>
      </c>
      <c r="AE13" s="398" t="n">
        <v>1522.5</v>
      </c>
      <c r="AF13" s="398" t="n">
        <v>524.6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9162</v>
      </c>
      <c r="G32" s="408" t="n">
        <v>6519</v>
      </c>
      <c r="H32" s="408" t="n">
        <v>5327</v>
      </c>
      <c r="I32" s="408" t="n">
        <v>11661</v>
      </c>
      <c r="J32" s="408" t="n">
        <v>11832</v>
      </c>
      <c r="K32" s="408" t="n">
        <v>15833</v>
      </c>
      <c r="L32" s="408" t="n">
        <v>17998</v>
      </c>
      <c r="M32" s="408" t="n">
        <v>6946</v>
      </c>
      <c r="N32" s="408" t="n">
        <v>299</v>
      </c>
      <c r="O32" s="408" t="n">
        <v>4810</v>
      </c>
      <c r="P32" s="408" t="n">
        <v>6946</v>
      </c>
      <c r="Q32" s="408" t="n">
        <v>6527</v>
      </c>
      <c r="R32" s="408" t="n">
        <v>11807</v>
      </c>
      <c r="S32" s="408" t="n">
        <v>17210</v>
      </c>
      <c r="T32" s="408" t="n">
        <v>18006</v>
      </c>
      <c r="U32" s="408" t="n">
        <v>8015</v>
      </c>
      <c r="V32" s="408" t="n">
        <v>14535</v>
      </c>
      <c r="W32" s="408" t="n">
        <v>108</v>
      </c>
      <c r="X32" s="408" t="n">
        <v>9058</v>
      </c>
      <c r="Y32" s="408" t="n">
        <v>6607</v>
      </c>
      <c r="Z32" s="408" t="n">
        <v>5123</v>
      </c>
      <c r="AA32" s="408" t="n">
        <v>11758</v>
      </c>
      <c r="AB32" s="408" t="n">
        <v>12047</v>
      </c>
      <c r="AC32" s="408" t="n">
        <v>15921</v>
      </c>
      <c r="AD32" s="408" t="n">
        <v>18150</v>
      </c>
      <c r="AE32" s="408" t="n">
        <v>6816</v>
      </c>
      <c r="AF32" s="408" t="n">
        <v>243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101-1 (38.1 °C), 102-2 (38.1 °C), 102-3 (38.1 °C), 103-4 (37.8 °C), 104-5 (37.8 °C), 105-6 (37.7 °C), 105-7 (37.7 °C), 106-8 (32.0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43519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18806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6.98</v>
      </c>
      <c r="H12" s="397" t="n">
        <v>6.46</v>
      </c>
      <c r="I12" s="397" t="n">
        <v>8.76</v>
      </c>
      <c r="J12" s="397" t="n">
        <v>8.83</v>
      </c>
      <c r="K12" s="397" t="n">
        <v>9.75</v>
      </c>
      <c r="L12" s="397" t="n">
        <v>10.28</v>
      </c>
      <c r="M12" s="397" t="n">
        <v>7.64</v>
      </c>
      <c r="N12" s="397" t="n">
        <v>3.49</v>
      </c>
      <c r="O12" s="397" t="n">
        <v>6.92</v>
      </c>
      <c r="P12" s="397" t="n">
        <v>7.03</v>
      </c>
      <c r="Q12" s="397" t="n">
        <v>7.18</v>
      </c>
      <c r="R12" s="397" t="n">
        <v>8.66</v>
      </c>
      <c r="S12" s="397" t="n">
        <v>10.32</v>
      </c>
      <c r="T12" s="397" t="n">
        <v>10.5</v>
      </c>
      <c r="U12" s="397" t="n">
        <v>7.28</v>
      </c>
      <c r="V12" s="397" t="n">
        <v>10.51</v>
      </c>
      <c r="W12" s="397" t="n">
        <v>2.11</v>
      </c>
      <c r="X12" s="397" t="n">
        <v>7.8</v>
      </c>
      <c r="Y12" s="397" t="n">
        <v>7.1</v>
      </c>
      <c r="Z12" s="397" t="n">
        <v>6.48</v>
      </c>
      <c r="AA12" s="397" t="n">
        <v>8.77</v>
      </c>
      <c r="AB12" s="397" t="n">
        <v>8.85</v>
      </c>
      <c r="AC12" s="397" t="n">
        <v>9.68</v>
      </c>
      <c r="AD12" s="397" t="n">
        <v>10.3</v>
      </c>
      <c r="AE12" s="397" t="n">
        <v>8.07</v>
      </c>
      <c r="AF12" s="397" t="n">
        <v>3.52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1597.8</v>
      </c>
      <c r="G13" s="398" t="n">
        <v>1488.9</v>
      </c>
      <c r="H13" s="398" t="n">
        <v>1378.3</v>
      </c>
      <c r="I13" s="398" t="n">
        <v>1848</v>
      </c>
      <c r="J13" s="398" t="n">
        <v>1859.2</v>
      </c>
      <c r="K13" s="398" t="n">
        <v>2050.3</v>
      </c>
      <c r="L13" s="398" t="n">
        <v>2163</v>
      </c>
      <c r="M13" s="398" t="n">
        <v>1526.3</v>
      </c>
      <c r="N13" s="398" t="n">
        <v>627.5</v>
      </c>
      <c r="O13" s="398" t="n">
        <v>1288.4</v>
      </c>
      <c r="P13" s="398" t="n">
        <v>1453.5</v>
      </c>
      <c r="Q13" s="398" t="n">
        <v>1483.7</v>
      </c>
      <c r="R13" s="398" t="n">
        <v>1859.2</v>
      </c>
      <c r="S13" s="398" t="n">
        <v>2125.2</v>
      </c>
      <c r="T13" s="398" t="n">
        <v>2163.3</v>
      </c>
      <c r="U13" s="398" t="n">
        <v>1610.7</v>
      </c>
      <c r="V13" s="398" t="n">
        <v>2005.9</v>
      </c>
      <c r="W13" s="398" t="n">
        <v>344.1</v>
      </c>
      <c r="X13" s="398" t="n">
        <v>1679.7</v>
      </c>
      <c r="Y13" s="398" t="n">
        <v>1498</v>
      </c>
      <c r="Z13" s="398" t="n">
        <v>1366.4</v>
      </c>
      <c r="AA13" s="398" t="n">
        <v>1848</v>
      </c>
      <c r="AB13" s="398" t="n">
        <v>1864.8</v>
      </c>
      <c r="AC13" s="398" t="n">
        <v>2033.5</v>
      </c>
      <c r="AD13" s="398" t="n">
        <v>2163</v>
      </c>
      <c r="AE13" s="398" t="n">
        <v>1545.2</v>
      </c>
      <c r="AF13" s="398" t="n">
        <v>646.8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7783</v>
      </c>
      <c r="G32" s="408" t="n">
        <v>6410</v>
      </c>
      <c r="H32" s="408" t="n">
        <v>5184</v>
      </c>
      <c r="I32" s="408" t="n">
        <v>11613</v>
      </c>
      <c r="J32" s="408" t="n">
        <v>11807</v>
      </c>
      <c r="K32" s="408" t="n">
        <v>15452</v>
      </c>
      <c r="L32" s="408" t="n">
        <v>17902</v>
      </c>
      <c r="M32" s="408" t="n">
        <v>6864</v>
      </c>
      <c r="N32" s="408" t="n">
        <v>596</v>
      </c>
      <c r="O32" s="408" t="n">
        <v>4306</v>
      </c>
      <c r="P32" s="408" t="n">
        <v>6000</v>
      </c>
      <c r="Q32" s="408" t="n">
        <v>6348</v>
      </c>
      <c r="R32" s="408" t="n">
        <v>11807</v>
      </c>
      <c r="S32" s="408" t="n">
        <v>17055</v>
      </c>
      <c r="T32" s="408" t="n">
        <v>17910</v>
      </c>
      <c r="U32" s="408" t="n">
        <v>7958</v>
      </c>
      <c r="V32" s="408" t="n">
        <v>14549</v>
      </c>
      <c r="W32" s="408" t="n">
        <v>104</v>
      </c>
      <c r="X32" s="408" t="n">
        <v>8930</v>
      </c>
      <c r="Y32" s="408" t="n">
        <v>6519</v>
      </c>
      <c r="Z32" s="408" t="n">
        <v>5062</v>
      </c>
      <c r="AA32" s="408" t="n">
        <v>11613</v>
      </c>
      <c r="AB32" s="408" t="n">
        <v>11905</v>
      </c>
      <c r="AC32" s="408" t="n">
        <v>15107</v>
      </c>
      <c r="AD32" s="408" t="n">
        <v>17902</v>
      </c>
      <c r="AE32" s="408" t="n">
        <v>7100</v>
      </c>
      <c r="AF32" s="408" t="n">
        <v>647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201-1 (37.8 °C), 202-2 (38.0 °C), 202-3 (38.0 °C), 203-4 (37.8 °C), 204-5 (37.8 °C), 205-6 (37.7 °C), 205-7 (37.7 °C), 206-8 (31.9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ROTAŞ MÜHENDİSLİK - CAN ÖZKAYA</dc:creator>
  <dc:title xmlns:dc="http://purl.org/dc/elements/1.1/">YERDEN ISITMA HESAPLARI</dc:title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2026-10-15T01:53:12Z</dcterms:modified>
  <cp:lastModifiedBy>ROTAŞ MÜHENDİSLİK</cp:lastModifiedBy>
  <cp:revision>0</cp:revision>
  <cp:lastPrinted>2022-06-03T11:29:57Z</cp:lastPrinted>
</cp:coreProperties>
</file>