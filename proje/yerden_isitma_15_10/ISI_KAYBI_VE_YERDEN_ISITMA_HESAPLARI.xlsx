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ISI KAYBI ZEMİN KAT" sheetId="3" state="visible" r:id="rId3"/>
    <sheet xmlns:r="http://schemas.openxmlformats.org/officeDocument/2006/relationships" name="ISI KAYBI 1. KAT" sheetId="4" state="visible" r:id="rId4"/>
    <sheet xmlns:r="http://schemas.openxmlformats.org/officeDocument/2006/relationships" name="ISI KAYBI 2. KAT" sheetId="5" state="visible" r:id="rId5"/>
    <sheet xmlns:r="http://schemas.openxmlformats.org/officeDocument/2006/relationships" name="PETEK LİST" sheetId="6" state="visible" r:id="rId6"/>
    <sheet xmlns:r="http://schemas.openxmlformats.org/officeDocument/2006/relationships" name="YERDEN ISITMA" sheetId="7" state="visible" r:id="rId7"/>
    <sheet xmlns:r="http://schemas.openxmlformats.org/officeDocument/2006/relationships" name="MMO YERDEN ISITMA" sheetId="8" state="visible" r:id="rId8"/>
    <sheet xmlns:r="http://schemas.openxmlformats.org/officeDocument/2006/relationships" name="YERDEN ISITMA- DEVAMI" sheetId="9" state="visible" r:id="rId9"/>
    <sheet xmlns:r="http://schemas.openxmlformats.org/officeDocument/2006/relationships" name="YERDEN ISITMA- DEVAMI (2)" sheetId="10" state="visible" r:id="rId10"/>
  </sheets>
  <definedNames>
    <definedName name="_xlnm.Print_Area" localSheetId="0">'kapak'!$A$1:$I$42</definedName>
    <definedName name="_xlnm.Print_Area" localSheetId="1">'TEKNİK RAPOR'!$A$1:$H$48</definedName>
    <definedName name="_xlnm.Print_Titles" localSheetId="2">'ISI KAYBI ZEMİN KAT'!$1:$7</definedName>
    <definedName name="_xlnm.Print_Area" localSheetId="2">'ISI KAYBI ZEMİN KAT'!$A$1:$Q$208</definedName>
    <definedName name="_xlnm.Print_Titles" localSheetId="3">'ISI KAYBI 1. KAT'!$1:$7</definedName>
    <definedName name="_xlnm.Print_Area" localSheetId="3">'ISI KAYBI 1. KAT'!$A$1:$Q$188</definedName>
    <definedName name="_xlnm.Print_Titles" localSheetId="4">'ISI KAYBI 2. KAT'!$1:$7</definedName>
    <definedName name="_xlnm.Print_Area" localSheetId="4">'ISI KAYBI 2. KAT'!$A$1:$Q$207</definedName>
    <definedName name="_xlnm.Print_Area" localSheetId="5">'PETEK LİST'!$A$1:$P$67</definedName>
    <definedName name="_xlnm.Print_Area" localSheetId="6">'YERDEN ISITMA'!$A$1:$N$67</definedName>
    <definedName name="_xlnm.Print_Area" localSheetId="7">'MMO YERDEN ISITMA'!$A$1:$AC$47</definedName>
    <definedName name="_xlnm.Print_Area" localSheetId="8">'YERDEN ISITMA- DEVAMI'!$A$1:$AC$47</definedName>
    <definedName name="_xlnm.Print_Area" localSheetId="9">'YERDEN ISITMA- DEVAMI (2)'!$A$1:$AC$47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</numFmts>
  <fonts count="55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FFC7CE"/>
      </patternFill>
    </fill>
  </fills>
  <borders count="54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605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2" applyAlignment="1" applyProtection="1" pivotButton="0" quotePrefix="0" xfId="0">
      <alignment horizontal="center" vertical="center"/>
      <protection locked="0" hidden="0"/>
    </xf>
    <xf numFmtId="167" fontId="28" fillId="0" borderId="23" applyAlignment="1" applyProtection="1" pivotButton="0" quotePrefix="0" xfId="0">
      <alignment horizontal="center" vertical="center"/>
      <protection locked="0" hidden="0"/>
    </xf>
    <xf numFmtId="4" fontId="28" fillId="0" borderId="23" applyAlignment="1" applyProtection="1" pivotButton="0" quotePrefix="0" xfId="0">
      <alignment horizontal="center" vertical="center"/>
      <protection locked="0" hidden="0"/>
    </xf>
    <xf numFmtId="4" fontId="28" fillId="0" borderId="23" applyAlignment="1" pivotButton="0" quotePrefix="0" xfId="0">
      <alignment horizontal="center" vertical="center"/>
    </xf>
    <xf numFmtId="3" fontId="28" fillId="0" borderId="23" applyAlignment="1" applyProtection="1" pivotButton="0" quotePrefix="0" xfId="0">
      <alignment horizontal="center" vertical="center"/>
      <protection locked="0" hidden="0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applyProtection="1" pivotButton="0" quotePrefix="0" xfId="0">
      <alignment horizontal="center" vertical="center"/>
      <protection locked="0" hidden="0"/>
    </xf>
    <xf numFmtId="49" fontId="28" fillId="0" borderId="19" applyAlignment="1" applyProtection="1" pivotButton="0" quotePrefix="0" xfId="0">
      <alignment horizontal="center" vertical="center"/>
      <protection locked="0" hidden="0"/>
    </xf>
    <xf numFmtId="4" fontId="28" fillId="0" borderId="19" applyAlignment="1" applyProtection="1" pivotButton="0" quotePrefix="0" xfId="0">
      <alignment horizontal="left" vertical="center"/>
      <protection locked="0" hidden="0"/>
    </xf>
    <xf numFmtId="4" fontId="35" fillId="0" borderId="19" applyAlignment="1" applyProtection="1" pivotButton="0" quotePrefix="0" xfId="0">
      <alignment horizontal="left" vertical="center"/>
      <protection locked="0" hidden="0"/>
    </xf>
    <xf numFmtId="4" fontId="28" fillId="0" borderId="19" applyAlignment="1" pivotButton="0" quotePrefix="0" xfId="0">
      <alignment horizontal="center" vertical="center"/>
    </xf>
    <xf numFmtId="3" fontId="28" fillId="0" borderId="19" applyAlignment="1" applyProtection="1" pivotButton="0" quotePrefix="0" xfId="0">
      <alignment horizontal="center" vertical="center"/>
      <protection locked="0" hidden="0"/>
    </xf>
    <xf numFmtId="4" fontId="28" fillId="0" borderId="19" applyAlignment="1" applyProtection="1" pivotButton="0" quotePrefix="0" xfId="0">
      <alignment horizontal="center" vertical="center"/>
      <protection locked="0" hidden="0"/>
    </xf>
    <xf numFmtId="4" fontId="31" fillId="0" borderId="19" applyAlignment="1" pivotButton="0" quotePrefix="0" xfId="0">
      <alignment horizontal="right" vertical="center"/>
    </xf>
    <xf numFmtId="4" fontId="32" fillId="0" borderId="0" applyAlignment="1" applyProtection="1" pivotButton="0" quotePrefix="0" xfId="0">
      <alignment horizontal="right" vertical="center"/>
      <protection locked="0" hidden="0"/>
    </xf>
    <xf numFmtId="4" fontId="31" fillId="0" borderId="19" applyAlignment="1" applyProtection="1" pivotButton="0" quotePrefix="0" xfId="0">
      <alignment horizontal="right" vertical="center"/>
      <protection locked="0" hidden="0"/>
    </xf>
    <xf numFmtId="168" fontId="28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applyProtection="1" pivotButton="0" quotePrefix="0" xfId="0">
      <alignment horizontal="center" vertical="center"/>
      <protection locked="0" hidden="0"/>
    </xf>
    <xf numFmtId="3" fontId="28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applyProtection="1" pivotButton="0" quotePrefix="0" xfId="0">
      <alignment horizontal="left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0" applyAlignment="1" applyProtection="1" pivotButton="0" quotePrefix="0" xfId="0">
      <alignment horizontal="left" vertical="center"/>
      <protection locked="0" hidden="0"/>
    </xf>
    <xf numFmtId="4" fontId="36" fillId="0" borderId="0" applyAlignment="1" applyProtection="1" pivotButton="0" quotePrefix="0" xfId="0">
      <alignment horizontal="right" vertical="center"/>
      <protection locked="0" hidden="0"/>
    </xf>
    <xf numFmtId="4" fontId="37" fillId="0" borderId="0" applyAlignment="1" pivotButton="0" quotePrefix="0" xfId="0">
      <alignment horizontal="left" vertical="center"/>
    </xf>
    <xf numFmtId="3" fontId="37" fillId="0" borderId="25" applyAlignment="1" applyProtection="1" pivotButton="0" quotePrefix="0" xfId="0">
      <alignment horizontal="left" vertical="center"/>
      <protection locked="0" hidden="0"/>
    </xf>
    <xf numFmtId="4" fontId="37" fillId="0" borderId="27" applyAlignment="1" applyProtection="1" pivotButton="0" quotePrefix="0" xfId="0">
      <alignment horizontal="left" vertical="center"/>
      <protection locked="0" hidden="0"/>
    </xf>
    <xf numFmtId="4" fontId="28" fillId="0" borderId="27" applyAlignment="1" pivotButton="0" quotePrefix="0" xfId="0">
      <alignment horizontal="center" vertical="center"/>
    </xf>
    <xf numFmtId="4" fontId="32" fillId="0" borderId="26" applyAlignment="1" applyProtection="1" pivotButton="0" quotePrefix="0" xfId="0">
      <alignment horizontal="right" vertical="center"/>
      <protection locked="0" hidden="0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left" vertical="center"/>
      <protection locked="0" hidden="0"/>
    </xf>
    <xf numFmtId="0" fontId="28" fillId="0" borderId="0" applyAlignment="1" applyProtection="1" pivotButton="0" quotePrefix="0" xfId="0">
      <alignment horizontal="left" vertical="center"/>
      <protection locked="0" hidden="0"/>
    </xf>
    <xf numFmtId="3" fontId="28" fillId="0" borderId="0" applyAlignment="1" applyProtection="1" pivotButton="0" quotePrefix="0" xfId="0">
      <alignment horizontal="left" vertical="center"/>
      <protection locked="0" hidden="0"/>
    </xf>
    <xf numFmtId="4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applyProtection="1" pivotButton="0" quotePrefix="0" xfId="0">
      <alignment horizontal="left" vertical="center"/>
      <protection locked="0" hidden="0"/>
    </xf>
    <xf numFmtId="3" fontId="38" fillId="0" borderId="0" applyAlignment="1" applyProtection="1" pivotButton="0" quotePrefix="0" xfId="0">
      <alignment horizontal="left" vertical="center"/>
      <protection locked="0" hidden="0"/>
    </xf>
    <xf numFmtId="4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7" applyAlignment="1" pivotButton="0" quotePrefix="0" xfId="0">
      <alignment horizontal="right" vertical="center"/>
    </xf>
    <xf numFmtId="0" fontId="34" fillId="0" borderId="27" applyAlignment="1" pivotButton="0" quotePrefix="0" xfId="0">
      <alignment horizontal="center" vertical="center"/>
    </xf>
    <xf numFmtId="0" fontId="0" fillId="0" borderId="27" applyProtection="1" pivotButton="0" quotePrefix="0" xfId="0">
      <protection locked="0" hidden="0"/>
    </xf>
    <xf numFmtId="0" fontId="28" fillId="0" borderId="27" applyAlignment="1" pivotButton="0" quotePrefix="0" xfId="0">
      <alignment horizontal="general" vertical="center"/>
    </xf>
    <xf numFmtId="0" fontId="28" fillId="0" borderId="26" applyAlignment="1" pivotButton="0" quotePrefix="0" xfId="0">
      <alignment horizontal="general" vertical="center"/>
    </xf>
    <xf numFmtId="0" fontId="35" fillId="0" borderId="21" applyAlignment="1" pivotButton="0" quotePrefix="0" xfId="0">
      <alignment horizontal="left" vertical="center"/>
    </xf>
    <xf numFmtId="167" fontId="28" fillId="0" borderId="23" applyAlignment="1" pivotButton="0" quotePrefix="0" xfId="0">
      <alignment horizontal="center" vertical="center"/>
    </xf>
    <xf numFmtId="4" fontId="36" fillId="0" borderId="0" applyAlignment="1" pivotButton="0" quotePrefix="0" xfId="0">
      <alignment horizontal="righ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32" fillId="0" borderId="26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0" fontId="28" fillId="0" borderId="2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3" fontId="28" fillId="0" borderId="4" applyAlignment="1" applyProtection="1" pivotButton="0" quotePrefix="0" xfId="0">
      <alignment horizontal="center" vertical="center"/>
      <protection locked="0" hidden="0"/>
    </xf>
    <xf numFmtId="168" fontId="28" fillId="0" borderId="4" applyAlignment="1" pivotButton="0" quotePrefix="0" xfId="0">
      <alignment horizontal="right" vertical="center"/>
    </xf>
    <xf numFmtId="0" fontId="28" fillId="0" borderId="25" applyAlignment="1" pivotButton="0" quotePrefix="0" xfId="0">
      <alignment horizontal="general" vertical="center"/>
    </xf>
    <xf numFmtId="0" fontId="28" fillId="0" borderId="27" applyAlignment="1" pivotButton="0" quotePrefix="0" xfId="0">
      <alignment horizontal="center" vertical="center"/>
    </xf>
    <xf numFmtId="168" fontId="28" fillId="0" borderId="31" applyAlignment="1" applyProtection="1" pivotButton="0" quotePrefix="0" xfId="0">
      <alignment horizontal="right" vertical="center"/>
      <protection locked="0" hidden="0"/>
    </xf>
    <xf numFmtId="168" fontId="28" fillId="0" borderId="30" applyAlignment="1" applyProtection="1" pivotButton="0" quotePrefix="0" xfId="0">
      <alignment horizontal="right" vertical="center"/>
      <protection locked="0" hidden="0"/>
    </xf>
    <xf numFmtId="0" fontId="28" fillId="0" borderId="22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4" fontId="28" fillId="0" borderId="4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167" fontId="28" fillId="0" borderId="29" applyAlignment="1" pivotButton="0" quotePrefix="0" xfId="0">
      <alignment horizontal="center" vertical="center"/>
    </xf>
    <xf numFmtId="167" fontId="28" fillId="0" borderId="30" applyAlignment="1" pivotButton="0" quotePrefix="0" xfId="0">
      <alignment horizontal="center" vertical="center"/>
    </xf>
    <xf numFmtId="3" fontId="28" fillId="0" borderId="29" applyAlignment="1" pivotButton="0" quotePrefix="0" xfId="0">
      <alignment horizontal="center" vertical="center"/>
    </xf>
    <xf numFmtId="4" fontId="28" fillId="0" borderId="30" applyAlignment="1" pivotButton="0" quotePrefix="0" xfId="0">
      <alignment horizontal="center" vertical="center"/>
    </xf>
    <xf numFmtId="3" fontId="28" fillId="0" borderId="32" applyAlignment="1" pivotButton="0" quotePrefix="0" xfId="0">
      <alignment horizontal="center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applyProtection="1" pivotButton="0" quotePrefix="0" xfId="0">
      <alignment horizontal="right" vertical="center"/>
      <protection locked="0" hidden="0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3" fontId="28" fillId="0" borderId="4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center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" fontId="0" fillId="0" borderId="0" pivotButton="0" quotePrefix="0" xfId="0"/>
    <xf numFmtId="168" fontId="28" fillId="0" borderId="33" applyAlignment="1" pivotButton="0" quotePrefix="0" xfId="0">
      <alignment horizontal="right" vertical="center"/>
    </xf>
    <xf numFmtId="168" fontId="28" fillId="0" borderId="20" applyAlignment="1" applyProtection="1" pivotButton="0" quotePrefix="0" xfId="0">
      <alignment horizontal="center" vertical="center"/>
      <protection locked="0" hidden="0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9" fontId="28" fillId="0" borderId="19" applyAlignment="1" pivotButton="0" quotePrefix="0" xfId="0">
      <alignment horizontal="center" vertical="center"/>
    </xf>
    <xf numFmtId="3" fontId="38" fillId="0" borderId="0" applyAlignment="1" applyProtection="1" pivotButton="0" quotePrefix="0" xfId="0">
      <alignment horizontal="right" vertical="center"/>
      <protection locked="0" hidden="0"/>
    </xf>
    <xf numFmtId="168" fontId="28" fillId="0" borderId="4" applyAlignment="1" applyProtection="1" pivotButton="0" quotePrefix="0" xfId="0">
      <alignment horizontal="right" vertical="center"/>
      <protection locked="0" hidden="0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7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164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Semerciler Mah. Sait Faik Sk. No:22/C Z01 Adapazarı/Sakarya
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CAN ÖZKAYA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YERDEN ISITMA TESİSATI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METRA MİMARLIK — TEKELER 4739/4 (new_block)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-</t>
        </is>
      </c>
      <c r="B36" s="282" t="inlineStr">
        <is>
          <t>-</t>
        </is>
      </c>
      <c r="C36" s="282">
        <f>B36</f>
        <v/>
      </c>
      <c r="D36" s="282" t="inlineStr">
        <is>
          <t>-</t>
        </is>
      </c>
      <c r="E36" s="261" t="n"/>
      <c r="F36" s="260" t="n"/>
      <c r="G36" s="262" t="inlineStr">
        <is>
          <t>-</t>
        </is>
      </c>
      <c r="H36" s="282" t="inlineStr">
        <is>
          <t>-</t>
        </is>
      </c>
      <c r="I36" s="263" t="inlineStr">
        <is>
          <t>4739/4</t>
        </is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n"/>
      <c r="C41" s="289" t="n">
        <v>9</v>
      </c>
      <c r="D41" s="290" t="inlineStr">
        <is>
          <t>ZEMİN + 2</t>
        </is>
      </c>
      <c r="E41" s="275" t="n"/>
      <c r="F41" s="289" t="n"/>
      <c r="G41" s="291" t="n">
        <v>46310</v>
      </c>
      <c r="H41" s="292" t="inlineStr">
        <is>
          <t>KONUT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9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YERDEN ISITMA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n"/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:2.Bölge</t>
        </is>
      </c>
      <c r="F9" s="318" t="inlineStr">
        <is>
          <t xml:space="preserve"> -9 Rüzgarlı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Konut (Z+2, 9 daire)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Duvar tipi yoğuşmalı kombi (her dairede 1 adet, 24 kW)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°C, boru aralığı 15 cm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:Korunmuş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Zemin + 2 normal kat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20°C</t>
        </is>
      </c>
      <c r="H21" s="321" t="n"/>
      <c r="I21" s="313" t="n"/>
    </row>
    <row r="22" ht="15" customHeight="1" s="244">
      <c r="A22" s="310" t="n"/>
      <c r="B22" s="313" t="inlineStr">
        <is>
          <t>Oda / Yatak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Mutfak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24°C</t>
        </is>
      </c>
      <c r="H24" s="321" t="n"/>
      <c r="I24" s="313" t="n"/>
    </row>
    <row r="25" ht="15" customHeight="1" s="244">
      <c r="A25" s="310" t="n"/>
      <c r="B25" s="313" t="inlineStr">
        <is>
          <t>Antre - Koridor</t>
        </is>
      </c>
      <c r="F25" s="317" t="inlineStr">
        <is>
          <t>: yerden ısıtma yok (hesapta 15°C)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 0°C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Isıtılmayan</t>
        </is>
      </c>
      <c r="F31" s="317" t="inlineStr">
        <is>
          <t>: antre-koridor (hol), balkon, yüklük, wc-lavabo / duş (≤ 2,7 m²), merdiven, asansör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Isı Kaybı Hesabı Esasları: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Dış hava sıcaklığı : -3 °C (Sakarya / Adapazarı, TS 825 2. bölge)</t>
        </is>
      </c>
      <c r="E35" s="243" t="n"/>
      <c r="F35" s="317" t="n"/>
      <c r="G35" s="323" t="n"/>
      <c r="H35" s="280" t="n"/>
    </row>
    <row r="36" ht="15" customHeight="1" s="244">
      <c r="A36" s="310" t="n"/>
      <c r="B36" s="313" t="inlineStr">
        <is>
          <t>Kat yüksekliği : 3.00 m (duvar alanları bu yükseklikle hesaplanmıştır)</t>
        </is>
      </c>
      <c r="E36" s="243" t="n"/>
      <c r="F36" s="317" t="n"/>
      <c r="G36" s="323" t="n"/>
      <c r="H36" s="280" t="n"/>
    </row>
    <row r="37" ht="15" customHeight="1" s="244">
      <c r="A37" s="310" t="n"/>
      <c r="B37" s="313" t="inlineStr">
        <is>
          <t>Isı geçirme katsayıları (W/m²K) : dış duvar 0.479, pencere / balkon kapısı 2.40, toprağa oturan döşeme 0.269, çatı arası tavanı 0.30, iç duvar 0.814</t>
        </is>
      </c>
      <c r="E37" s="243" t="n"/>
      <c r="F37" s="317" t="n"/>
      <c r="G37" s="323" t="n"/>
      <c r="H37" s="280" t="n"/>
    </row>
    <row r="38" ht="15" customHeight="1" s="244">
      <c r="A38" s="310" t="n"/>
      <c r="B38" s="313" t="inlineStr">
        <is>
          <t>Komşu hacim sıcaklıkları : merdiven / asansör 10 °C, daire holü 15 °C (holde yerden ısıtma yoktur), toprak 6 °C</t>
        </is>
      </c>
      <c r="E38" s="243" t="n"/>
      <c r="F38" s="317" t="n"/>
      <c r="G38" s="323" t="n"/>
      <c r="H38" s="280" t="n"/>
    </row>
    <row r="39" ht="15" customHeight="1" s="244">
      <c r="A39" s="310" t="n"/>
      <c r="B39" s="313" t="inlineStr">
        <is>
          <t>Zamlar : işletme %7, yön K +%5 / G -%5 / D-B 0; sızıntı Qs = a·Σl·R·H·ΔT·Ze (a 2, R 0,9, H 0,67, Ze 1,2)</t>
        </is>
      </c>
      <c r="E39" s="243" t="n"/>
      <c r="F39" s="317" t="n"/>
      <c r="G39" s="323" t="n"/>
      <c r="H39" s="280" t="n"/>
    </row>
    <row r="40" ht="15" customHeight="1" s="244">
      <c r="A40" s="310" t="n"/>
      <c r="B40" s="313" t="inlineStr">
        <is>
          <t>Pencere ve balkon kapısı ölçüleri mimari plandaki ölçü yazılarından (genişlik / yükseklik) alınmıştır.</t>
        </is>
      </c>
      <c r="E40" s="243" t="n"/>
      <c r="F40" s="317" t="n"/>
      <c r="G40" s="323" t="n"/>
      <c r="H40" s="280" t="n"/>
    </row>
    <row r="41" ht="15" customHeight="1" s="244">
      <c r="A41" s="310" t="n"/>
      <c r="B41" s="313" t="inlineStr">
        <is>
          <t>Yerden ısıtma devre gücü : mahal ısı kaybı, mahaldeki devrelere boru boyu oranında dağıtılmıştır (plan etiketi, kolon şeması ve bu hesap aynıdır).</t>
        </is>
      </c>
      <c r="E41" s="243" t="n"/>
      <c r="F41" s="317" t="n"/>
      <c r="G41" s="323" t="n"/>
      <c r="H41" s="280" t="n"/>
    </row>
    <row r="42" ht="15" customHeight="1" s="244">
      <c r="A42" s="310" t="n"/>
      <c r="B42" s="313" t="inlineStr">
        <is>
          <t>Boru PEX 16 x 2,0, boru aralığı 15 cm, devre boyu en çok 80 m; holler (antre-koridor) yerden ısıtılmaz.</t>
        </is>
      </c>
      <c r="E42" s="243" t="n"/>
      <c r="F42" s="317" t="n"/>
      <c r="G42" s="323" t="n"/>
      <c r="H42" s="280" t="n"/>
    </row>
    <row r="43" ht="15" customHeight="1" s="244">
      <c r="A43" s="310" t="n"/>
      <c r="B43" s="313" t="inlineStr">
        <is>
          <t>Döşeme yüzey sıcaklığı kontrolü MMO sayfalarındadır (sınır: oturma 29 °C, banyo 33 °C).</t>
        </is>
      </c>
      <c r="E43" s="243" t="n"/>
      <c r="F43" s="317" t="n"/>
      <c r="G43" s="323" t="n"/>
      <c r="H43" s="280" t="n"/>
    </row>
    <row r="44" ht="15" customHeight="1" s="244">
      <c r="A44" s="310" t="n"/>
      <c r="B44" s="313" t="n"/>
      <c r="E44" s="243" t="n"/>
      <c r="F44" s="317" t="n"/>
      <c r="G44" s="323" t="n"/>
      <c r="H44" s="280" t="n"/>
    </row>
    <row r="45" ht="15" customHeight="1" s="244">
      <c r="A45" s="310" t="n"/>
      <c r="B45" s="313" t="n"/>
      <c r="E45" s="243" t="n"/>
      <c r="F45" s="317" t="n"/>
      <c r="G45" s="323" t="n"/>
      <c r="H45" s="280" t="n"/>
    </row>
    <row r="46" ht="15" customHeight="1" s="244">
      <c r="A46" s="310" t="n"/>
      <c r="B46" s="313" t="n"/>
      <c r="C46" s="324" t="n"/>
      <c r="D46" s="323" t="n"/>
      <c r="E46" s="243" t="n"/>
      <c r="F46" s="317" t="n"/>
      <c r="G46" s="323" t="n"/>
      <c r="H46" s="280" t="n"/>
    </row>
    <row r="47" ht="15" customHeight="1" s="244">
      <c r="A47" s="310" t="n"/>
      <c r="B47" s="313" t="n"/>
      <c r="C47" s="324" t="n"/>
      <c r="D47" s="323" t="n"/>
      <c r="E47" s="243" t="n"/>
      <c r="F47" s="317" t="n"/>
      <c r="G47" s="323" t="n"/>
      <c r="H47" s="280" t="n"/>
    </row>
    <row r="48" ht="15" customHeight="1" s="244">
      <c r="A48" s="310" t="n"/>
      <c r="B48" s="313" t="n"/>
      <c r="C48" s="324" t="n"/>
      <c r="D48" s="323" t="n"/>
      <c r="E48" s="243" t="n"/>
      <c r="F48" s="317" t="n"/>
      <c r="G48" s="323" t="n"/>
      <c r="H48" s="280" t="n"/>
    </row>
    <row r="49" ht="15.75" customHeight="1" s="244">
      <c r="A49" s="310" t="n"/>
      <c r="B49" s="315" t="n"/>
      <c r="D49" s="323" t="n"/>
      <c r="H49" s="280" t="n"/>
    </row>
    <row r="50" ht="15" customHeight="1" s="244">
      <c r="A50" s="310" t="n"/>
      <c r="B50" s="313" t="n"/>
      <c r="D50" s="323" t="n"/>
      <c r="E50" s="317" t="n"/>
      <c r="H50" s="280" t="n"/>
    </row>
    <row r="51" ht="15" customHeight="1" s="244">
      <c r="A51" s="310" t="n"/>
      <c r="B51" s="313" t="n"/>
      <c r="D51" s="323" t="n"/>
      <c r="E51" s="317" t="n"/>
      <c r="H51" s="280" t="n"/>
    </row>
    <row r="52" ht="15" customHeight="1" s="244">
      <c r="A52" s="310" t="n"/>
      <c r="B52" s="313" t="n"/>
      <c r="E52" s="317" t="n"/>
      <c r="H52" s="280" t="n"/>
    </row>
    <row r="53" ht="15" customHeight="1" s="244">
      <c r="A53" s="310" t="n"/>
      <c r="B53" s="313" t="n"/>
      <c r="E53" s="317" t="n"/>
      <c r="H53" s="280" t="n"/>
    </row>
    <row r="54" ht="15" customHeight="1" s="244">
      <c r="A54" s="310" t="n"/>
      <c r="B54" s="313" t="n"/>
      <c r="E54" s="317" t="n"/>
      <c r="H54" s="280" t="n"/>
    </row>
    <row r="55" ht="15" customHeight="1" s="244">
      <c r="A55" s="310" t="n"/>
      <c r="B55" s="313" t="n"/>
      <c r="E55" s="317" t="n"/>
      <c r="H55" s="280" t="n"/>
    </row>
    <row r="56" ht="15" customHeight="1" s="244">
      <c r="A56" s="310" t="n"/>
      <c r="B56" s="313" t="n"/>
      <c r="E56" s="317" t="n"/>
      <c r="H56" s="280" t="n"/>
    </row>
    <row r="57" ht="15" customHeight="1" s="244">
      <c r="A57" s="310" t="n"/>
      <c r="B57" s="313" t="n"/>
      <c r="E57" s="317" t="n"/>
      <c r="H57" s="280" t="n"/>
    </row>
    <row r="58" ht="15" customHeight="1" s="244">
      <c r="A58" s="310" t="n"/>
      <c r="B58" s="313" t="n"/>
      <c r="E58" s="317" t="n"/>
      <c r="H58" s="280" t="n"/>
    </row>
    <row r="59" ht="15" customHeight="1" s="244">
      <c r="A59" s="310" t="n"/>
      <c r="B59" s="313" t="n"/>
      <c r="E59" s="317" t="n"/>
      <c r="H59" s="280" t="n"/>
    </row>
    <row r="60" ht="15" customHeight="1" s="244">
      <c r="A60" s="310" t="n"/>
      <c r="B60" s="313" t="n"/>
      <c r="E60" s="317" t="n"/>
      <c r="H60" s="280" t="n"/>
    </row>
    <row r="61" ht="15" customHeight="1" s="244">
      <c r="A61" s="310" t="n"/>
      <c r="B61" s="313" t="n"/>
      <c r="E61" s="317" t="n"/>
      <c r="H61" s="280" t="n"/>
    </row>
    <row r="62" ht="15" customHeight="1" s="244">
      <c r="A62" s="310" t="n"/>
      <c r="B62" s="313" t="n"/>
      <c r="E62" s="317" t="n"/>
      <c r="H62" s="280" t="n"/>
    </row>
    <row r="63" ht="15" customHeight="1" s="244">
      <c r="A63" s="279" t="n"/>
      <c r="B63" s="313" t="n"/>
      <c r="E63" s="317" t="n"/>
      <c r="H63" s="280" t="n"/>
    </row>
    <row r="64" ht="15" customHeight="1" s="244">
      <c r="A64" s="279" t="n"/>
      <c r="B64" s="313" t="n"/>
      <c r="E64" s="317" t="n"/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  <row r="67"/>
    <row r="68"/>
    <row r="69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208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ZEMİN KAT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Z01</t>
        </is>
      </c>
      <c r="G8" s="362" t="n"/>
      <c r="H8" s="360" t="n"/>
      <c r="I8" s="363" t="inlineStr">
        <is>
          <t>D1 MUTFAK</t>
        </is>
      </c>
      <c r="J8" s="2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4" t="n"/>
    </row>
    <row r="9" ht="9.949999999999999" customFormat="1" customHeight="1" s="356">
      <c r="A9" s="365" t="inlineStr">
        <is>
          <t>DD</t>
        </is>
      </c>
      <c r="B9" s="366" t="inlineStr">
        <is>
          <t>K</t>
        </is>
      </c>
      <c r="C9" s="367" t="n"/>
      <c r="D9" s="368" t="n">
        <v>0.67</v>
      </c>
      <c r="E9" s="368" t="n">
        <v>3</v>
      </c>
      <c r="F9" s="369">
        <f>IF(D9=0," ",D9*E9)</f>
        <v/>
      </c>
      <c r="G9" s="370" t="n">
        <v>1</v>
      </c>
      <c r="H9" s="371" t="n"/>
      <c r="I9" s="369">
        <f>IF(F9=" "," ",F9*G9-H9)</f>
        <v/>
      </c>
      <c r="J9" s="368" t="n">
        <v>0.479</v>
      </c>
      <c r="K9" s="370" t="n">
        <v>23</v>
      </c>
      <c r="L9" s="372">
        <f>IF(I9=" "," ",I9*J9*K9)</f>
        <v/>
      </c>
      <c r="M9" s="373" t="n">
        <v>7</v>
      </c>
      <c r="N9" s="370" t="n">
        <v>0</v>
      </c>
      <c r="O9" s="373" t="n">
        <v>5</v>
      </c>
      <c r="P9" s="369">
        <f>IF(M9=" "," ",(1+(M9+N9+O9)/100))</f>
        <v/>
      </c>
      <c r="Q9" s="374">
        <f>IF(L9=" "," ",L9*P9)</f>
        <v/>
      </c>
    </row>
    <row r="10" ht="9.949999999999999" customFormat="1" customHeight="1" s="356">
      <c r="A10" s="365" t="inlineStr">
        <is>
          <t>DD</t>
        </is>
      </c>
      <c r="B10" s="366" t="inlineStr">
        <is>
          <t>G</t>
        </is>
      </c>
      <c r="C10" s="367" t="n"/>
      <c r="D10" s="368" t="n">
        <v>2.34</v>
      </c>
      <c r="E10" s="368" t="n">
        <v>3</v>
      </c>
      <c r="F10" s="369">
        <f>IF(D10=0," ",D10*E10)</f>
        <v/>
      </c>
      <c r="G10" s="370" t="n">
        <v>1</v>
      </c>
      <c r="H10" s="371">
        <f>F11*G11</f>
        <v/>
      </c>
      <c r="I10" s="369">
        <f>IF(F10=" "," ",F10*G10-H10)</f>
        <v/>
      </c>
      <c r="J10" s="368" t="n">
        <v>0.479</v>
      </c>
      <c r="K10" s="370" t="n">
        <v>23</v>
      </c>
      <c r="L10" s="372">
        <f>IF(I10=" "," ",I10*J10*K10)</f>
        <v/>
      </c>
      <c r="M10" s="373" t="n">
        <v>7</v>
      </c>
      <c r="N10" s="370" t="n">
        <v>0</v>
      </c>
      <c r="O10" s="373" t="n">
        <v>-5</v>
      </c>
      <c r="P10" s="369">
        <f>IF(M10=" "," ",(1+(M10+N10+O10)/100))</f>
        <v/>
      </c>
      <c r="Q10" s="374">
        <f>IF(L10=" "," ",L10*P10)</f>
        <v/>
      </c>
    </row>
    <row r="11" ht="9.949999999999999" customFormat="1" customHeight="1" s="356">
      <c r="A11" s="365" t="inlineStr">
        <is>
          <t>ÇP</t>
        </is>
      </c>
      <c r="B11" s="366" t="inlineStr">
        <is>
          <t>G</t>
        </is>
      </c>
      <c r="C11" s="367" t="n"/>
      <c r="D11" s="368" t="n">
        <v>1.6</v>
      </c>
      <c r="E11" s="368" t="n">
        <v>2.3</v>
      </c>
      <c r="F11" s="369">
        <f>IF(D11=0," ",D11*E11)</f>
        <v/>
      </c>
      <c r="G11" s="370" t="n">
        <v>1</v>
      </c>
      <c r="H11" s="371" t="n"/>
      <c r="I11" s="369">
        <f>IF(F11=" "," ",F11*G11-H11)</f>
        <v/>
      </c>
      <c r="J11" s="368" t="n">
        <v>2.4</v>
      </c>
      <c r="K11" s="370" t="n">
        <v>23</v>
      </c>
      <c r="L11" s="372">
        <f>IF(I11=" "," ",I11*J11*K11)</f>
        <v/>
      </c>
      <c r="M11" s="373" t="n">
        <v>7</v>
      </c>
      <c r="N11" s="370" t="n">
        <v>0</v>
      </c>
      <c r="O11" s="373" t="n">
        <v>-5</v>
      </c>
      <c r="P11" s="369">
        <f>IF(M11=" "," ",(1+(M11+N11+O11)/100))</f>
        <v/>
      </c>
      <c r="Q11" s="374">
        <f>IF(L11=" "," ",L11*P11)</f>
        <v/>
      </c>
    </row>
    <row r="12" ht="9.949999999999999" customFormat="1" customHeight="1" s="356">
      <c r="A12" s="365" t="inlineStr">
        <is>
          <t>DD</t>
        </is>
      </c>
      <c r="B12" s="366" t="inlineStr">
        <is>
          <t>B</t>
        </is>
      </c>
      <c r="C12" s="367" t="n"/>
      <c r="D12" s="368" t="n">
        <v>1.39</v>
      </c>
      <c r="E12" s="368" t="n">
        <v>3</v>
      </c>
      <c r="F12" s="369">
        <f>IF(D12=0," ",D12*E12)</f>
        <v/>
      </c>
      <c r="G12" s="370" t="n">
        <v>1</v>
      </c>
      <c r="H12" s="371" t="n"/>
      <c r="I12" s="369">
        <f>IF(F12=" "," ",F12*G12-H12)</f>
        <v/>
      </c>
      <c r="J12" s="368" t="n">
        <v>0.479</v>
      </c>
      <c r="K12" s="370" t="n">
        <v>23</v>
      </c>
      <c r="L12" s="372">
        <f>IF(I12=" "," ",I12*J12*K12)</f>
        <v/>
      </c>
      <c r="M12" s="373" t="n">
        <v>7</v>
      </c>
      <c r="N12" s="370" t="n">
        <v>0</v>
      </c>
      <c r="O12" s="373" t="n">
        <v>0</v>
      </c>
      <c r="P12" s="369">
        <f>IF(M12=" "," ",(1+(M12+N12+O12)/100))</f>
        <v/>
      </c>
      <c r="Q12" s="374">
        <f>IF(L12=" "," ",L12*P12)</f>
        <v/>
      </c>
    </row>
    <row r="13" ht="9.949999999999999" customFormat="1" customHeight="1" s="356">
      <c r="A13" s="365" t="inlineStr">
        <is>
          <t>İD</t>
        </is>
      </c>
      <c r="B13" s="366" t="n"/>
      <c r="C13" s="367" t="n"/>
      <c r="D13" s="368" t="n">
        <v>1.1</v>
      </c>
      <c r="E13" s="368" t="n">
        <v>3</v>
      </c>
      <c r="F13" s="369">
        <f>IF(D13=0," ",D13*E13)</f>
        <v/>
      </c>
      <c r="G13" s="370" t="n">
        <v>1</v>
      </c>
      <c r="H13" s="371" t="n"/>
      <c r="I13" s="369">
        <f>IF(F13=" "," ",F13*G13-H13)</f>
        <v/>
      </c>
      <c r="J13" s="368" t="n">
        <v>0.8139999999999999</v>
      </c>
      <c r="K13" s="370" t="n">
        <v>5</v>
      </c>
      <c r="L13" s="372">
        <f>IF(I13=" "," ",I13*J13*K13)</f>
        <v/>
      </c>
      <c r="M13" s="373" t="n">
        <v>7</v>
      </c>
      <c r="N13" s="370" t="n">
        <v>0</v>
      </c>
      <c r="O13" s="373" t="n">
        <v>0</v>
      </c>
      <c r="P13" s="369">
        <f>IF(M13=" "," ",(1+(M13+N13+O13)/100))</f>
        <v/>
      </c>
      <c r="Q13" s="374">
        <f>IF(L13=" "," ",L13*P13)</f>
        <v/>
      </c>
    </row>
    <row r="14" ht="9.949999999999999" customFormat="1" customHeight="1" s="356">
      <c r="A14" s="365" t="inlineStr">
        <is>
          <t>Dö</t>
        </is>
      </c>
      <c r="B14" s="366" t="n"/>
      <c r="C14" s="367" t="n"/>
      <c r="D14" s="368" t="n">
        <v>8.99</v>
      </c>
      <c r="E14" s="368" t="n">
        <v>1</v>
      </c>
      <c r="F14" s="369">
        <f>IF(D14=0," ",D14*E14)</f>
        <v/>
      </c>
      <c r="G14" s="370" t="n">
        <v>1</v>
      </c>
      <c r="H14" s="371" t="n"/>
      <c r="I14" s="369">
        <f>IF(F14=" "," ",F14*G14-H14)</f>
        <v/>
      </c>
      <c r="J14" s="368" t="n">
        <v>0.269</v>
      </c>
      <c r="K14" s="370" t="n">
        <v>14</v>
      </c>
      <c r="L14" s="372">
        <f>IF(I14=" "," ",I14*J14*K14)</f>
        <v/>
      </c>
      <c r="M14" s="373" t="n">
        <v>7</v>
      </c>
      <c r="N14" s="370" t="n">
        <v>0</v>
      </c>
      <c r="O14" s="373" t="n">
        <v>0</v>
      </c>
      <c r="P14" s="369">
        <f>IF(M14=" "," ",(1+(M14+N14+O14)/100))</f>
        <v/>
      </c>
      <c r="Q14" s="374">
        <f>IF(L14=" "," ",L14*P14)</f>
        <v/>
      </c>
    </row>
    <row r="15" ht="9.949999999999999" customFormat="1" customHeight="1" s="356">
      <c r="A15" s="375" t="n"/>
      <c r="B15" s="376" t="n"/>
      <c r="C15" s="376" t="n"/>
      <c r="D15" s="377" t="n"/>
      <c r="E15" s="377" t="n"/>
      <c r="F15" s="378" t="n"/>
      <c r="G15" s="379" t="n"/>
      <c r="H15" s="377" t="n"/>
      <c r="I15" s="378" t="n"/>
      <c r="J15" s="377" t="n"/>
      <c r="K15" s="379" t="n"/>
      <c r="L15" s="380" t="n"/>
      <c r="M15" s="381" t="n"/>
      <c r="N15" s="381" t="n"/>
      <c r="O15" s="381" t="n"/>
      <c r="P15" s="382" t="n"/>
      <c r="Q15" s="383">
        <f>SUM(Q9:Q14)</f>
        <v/>
      </c>
    </row>
    <row r="16" ht="9.949999999999999" customFormat="1" customHeight="1" s="356">
      <c r="A16" s="384" t="n"/>
      <c r="B16" s="385" t="n"/>
      <c r="C16" s="385" t="n"/>
      <c r="D16" s="386" t="n"/>
      <c r="E16" s="387" t="n"/>
      <c r="F16" s="388" t="n"/>
      <c r="G16" s="389" t="n"/>
      <c r="H16" s="390" t="n"/>
      <c r="I16" s="391" t="n"/>
      <c r="J16" s="392" t="inlineStr">
        <is>
          <t>Qs=</t>
        </is>
      </c>
      <c r="K16" s="393" t="inlineStr">
        <is>
          <t>a</t>
        </is>
      </c>
      <c r="L16" s="388" t="inlineStr">
        <is>
          <t>L</t>
        </is>
      </c>
      <c r="M16" s="389" t="inlineStr">
        <is>
          <t>R</t>
        </is>
      </c>
      <c r="N16" s="394" t="inlineStr">
        <is>
          <t>H</t>
        </is>
      </c>
      <c r="O16" s="395" t="inlineStr">
        <is>
          <t>D  T</t>
        </is>
      </c>
      <c r="P16" s="396" t="inlineStr">
        <is>
          <t>Ze</t>
        </is>
      </c>
      <c r="Q16" s="397" t="n"/>
    </row>
    <row r="17" ht="9.949999999999999" customFormat="1" customHeight="1" s="356">
      <c r="A17" s="398" t="n"/>
      <c r="B17" s="399" t="n"/>
      <c r="C17" s="400" t="n"/>
      <c r="D17" s="400" t="n"/>
      <c r="E17" s="401" t="n"/>
      <c r="F17" s="402" t="n"/>
      <c r="G17" s="403" t="n"/>
      <c r="H17" s="404" t="n"/>
      <c r="I17" s="405" t="n"/>
      <c r="J17" s="406" t="inlineStr">
        <is>
          <t>Qs  =</t>
        </is>
      </c>
      <c r="K17" s="407" t="n">
        <v>2</v>
      </c>
      <c r="L17" s="382">
        <f>(D11+E11)*2*G11</f>
        <v/>
      </c>
      <c r="M17" s="407" t="n">
        <v>0.9</v>
      </c>
      <c r="N17" s="407" t="n">
        <v>0.67</v>
      </c>
      <c r="O17" s="381" t="n">
        <v>23</v>
      </c>
      <c r="P17" s="382" t="n">
        <v>1.2</v>
      </c>
      <c r="Q17" s="383">
        <f>K17*L17*M17*N17*O17*P17</f>
        <v/>
      </c>
    </row>
    <row r="18" ht="9.949999999999999" customFormat="1" customHeight="1" s="356">
      <c r="A18" s="408" t="n"/>
      <c r="B18" s="409" t="n"/>
      <c r="C18" s="400" t="n"/>
      <c r="D18" s="400" t="n"/>
      <c r="E18" s="377" t="n"/>
      <c r="F18" s="256" t="n"/>
      <c r="G18" s="410" t="n"/>
      <c r="H18" s="400" t="n"/>
      <c r="I18" s="411" t="n"/>
      <c r="J18" s="400" t="n"/>
      <c r="K18" s="410" t="n"/>
      <c r="L18" s="412" t="n"/>
      <c r="M18" s="413" t="inlineStr">
        <is>
          <t xml:space="preserve">   TOPLAM ISI KAYBI =</t>
        </is>
      </c>
      <c r="N18" s="413" t="n"/>
      <c r="O18" s="414" t="n"/>
      <c r="P18" s="415" t="n"/>
      <c r="Q18" s="416">
        <f>Q15+Q17</f>
        <v/>
      </c>
    </row>
    <row r="19" ht="9.949999999999999" customFormat="1" customHeight="1" s="356">
      <c r="A19" s="417" t="n"/>
      <c r="B19" s="399" t="n"/>
      <c r="C19" s="418" t="n"/>
      <c r="D19" s="419" t="n"/>
      <c r="E19" s="419" t="n"/>
      <c r="F19" s="420" t="n"/>
      <c r="G19" s="421" t="n"/>
      <c r="H19" s="422" t="n"/>
      <c r="I19" s="420" t="n"/>
      <c r="J19" s="419" t="n"/>
      <c r="K19" s="421" t="n"/>
      <c r="L19" s="423" t="n"/>
      <c r="M19" s="424" t="n"/>
      <c r="N19" s="421" t="n"/>
      <c r="O19" s="424" t="n"/>
      <c r="P19" s="420" t="n"/>
      <c r="Q19" s="425" t="n"/>
    </row>
    <row r="20" ht="9.949999999999999" customFormat="1" customHeight="1" s="356">
      <c r="A20" s="359" t="n"/>
      <c r="B20" s="360" t="n"/>
      <c r="C20" s="360" t="n"/>
      <c r="D20" s="360" t="n"/>
      <c r="E20" s="360" t="n"/>
      <c r="F20" s="426" t="inlineStr">
        <is>
          <t>Z02</t>
        </is>
      </c>
      <c r="G20" s="362" t="n"/>
      <c r="H20" s="360" t="n"/>
      <c r="I20" s="427" t="inlineStr">
        <is>
          <t>D1 YATAK OD.</t>
        </is>
      </c>
      <c r="J20" s="428" t="n"/>
      <c r="K20" s="360" t="inlineStr">
        <is>
          <t>20ºC</t>
        </is>
      </c>
      <c r="L20" s="429" t="n"/>
      <c r="M20" s="360" t="n"/>
      <c r="N20" s="360" t="n"/>
      <c r="O20" s="360" t="n"/>
      <c r="P20" s="429" t="n"/>
      <c r="Q20" s="430" t="n"/>
    </row>
    <row r="21" ht="9.949999999999999" customFormat="1" customHeight="1" s="356">
      <c r="A21" s="365" t="inlineStr">
        <is>
          <t>DD</t>
        </is>
      </c>
      <c r="B21" s="366" t="inlineStr">
        <is>
          <t>K</t>
        </is>
      </c>
      <c r="C21" s="367" t="n"/>
      <c r="D21" s="368" t="n">
        <v>2.24</v>
      </c>
      <c r="E21" s="368" t="n">
        <v>3</v>
      </c>
      <c r="F21" s="369">
        <f>IF(D21=0," ",D21*E21)</f>
        <v/>
      </c>
      <c r="G21" s="370" t="n">
        <v>1</v>
      </c>
      <c r="H21" s="371" t="n"/>
      <c r="I21" s="369">
        <f>IF(F21=" "," ",F21*G21-H21)</f>
        <v/>
      </c>
      <c r="J21" s="368" t="n">
        <v>0.479</v>
      </c>
      <c r="K21" s="370" t="n">
        <v>23</v>
      </c>
      <c r="L21" s="372">
        <f>IF(I21=" "," ",I21*J21*K21)</f>
        <v/>
      </c>
      <c r="M21" s="373" t="n">
        <v>7</v>
      </c>
      <c r="N21" s="370" t="n">
        <v>0</v>
      </c>
      <c r="O21" s="373" t="n">
        <v>5</v>
      </c>
      <c r="P21" s="369">
        <f>IF(M21=" "," ",(1+(M21+N21+O21)/100))</f>
        <v/>
      </c>
      <c r="Q21" s="374">
        <f>IF(L21=" "," ",L21*P21)</f>
        <v/>
      </c>
    </row>
    <row r="22" ht="9.949999999999999" customFormat="1" customHeight="1" s="356">
      <c r="A22" s="365" t="inlineStr">
        <is>
          <t>DD</t>
        </is>
      </c>
      <c r="B22" s="366" t="inlineStr">
        <is>
          <t>D</t>
        </is>
      </c>
      <c r="C22" s="367" t="n"/>
      <c r="D22" s="368" t="n">
        <v>2.78</v>
      </c>
      <c r="E22" s="368" t="n">
        <v>3</v>
      </c>
      <c r="F22" s="369">
        <f>IF(D22=0," ",D22*E22)</f>
        <v/>
      </c>
      <c r="G22" s="370" t="n">
        <v>1</v>
      </c>
      <c r="H22" s="371">
        <f>F23*G23</f>
        <v/>
      </c>
      <c r="I22" s="369">
        <f>IF(F22=" "," ",F22*G22-H22)</f>
        <v/>
      </c>
      <c r="J22" s="368" t="n">
        <v>0.479</v>
      </c>
      <c r="K22" s="370" t="n">
        <v>23</v>
      </c>
      <c r="L22" s="372">
        <f>IF(I22=" "," ",I22*J22*K22)</f>
        <v/>
      </c>
      <c r="M22" s="373" t="n">
        <v>7</v>
      </c>
      <c r="N22" s="370" t="n">
        <v>0</v>
      </c>
      <c r="O22" s="373" t="n">
        <v>0</v>
      </c>
      <c r="P22" s="369">
        <f>IF(M22=" "," ",(1+(M22+N22+O22)/100))</f>
        <v/>
      </c>
      <c r="Q22" s="374">
        <f>IF(L22=" "," ",L22*P22)</f>
        <v/>
      </c>
    </row>
    <row r="23" ht="9.949999999999999" customFormat="1" customHeight="1" s="356">
      <c r="A23" s="365" t="inlineStr">
        <is>
          <t>ÇP</t>
        </is>
      </c>
      <c r="B23" s="366" t="inlineStr">
        <is>
          <t>D</t>
        </is>
      </c>
      <c r="C23" s="367" t="n"/>
      <c r="D23" s="368" t="n">
        <v>1.6</v>
      </c>
      <c r="E23" s="368" t="n">
        <v>2.3</v>
      </c>
      <c r="F23" s="369">
        <f>IF(D23=0," ",D23*E23)</f>
        <v/>
      </c>
      <c r="G23" s="370" t="n">
        <v>1</v>
      </c>
      <c r="H23" s="371" t="n"/>
      <c r="I23" s="369">
        <f>IF(F23=" "," ",F23*G23-H23)</f>
        <v/>
      </c>
      <c r="J23" s="368" t="n">
        <v>2.4</v>
      </c>
      <c r="K23" s="370" t="n">
        <v>23</v>
      </c>
      <c r="L23" s="372">
        <f>IF(I23=" "," ",I23*J23*K23)</f>
        <v/>
      </c>
      <c r="M23" s="373" t="n">
        <v>7</v>
      </c>
      <c r="N23" s="370" t="n">
        <v>0</v>
      </c>
      <c r="O23" s="373" t="n">
        <v>0</v>
      </c>
      <c r="P23" s="369">
        <f>IF(M23=" "," ",(1+(M23+N23+O23)/100))</f>
        <v/>
      </c>
      <c r="Q23" s="374">
        <f>IF(L23=" "," ",L23*P23)</f>
        <v/>
      </c>
    </row>
    <row r="24" ht="9.949999999999999" customFormat="1" customHeight="1" s="356">
      <c r="A24" s="365" t="inlineStr">
        <is>
          <t>İD</t>
        </is>
      </c>
      <c r="B24" s="366" t="n"/>
      <c r="C24" s="367" t="n"/>
      <c r="D24" s="368" t="n">
        <v>1.7</v>
      </c>
      <c r="E24" s="368" t="n">
        <v>3</v>
      </c>
      <c r="F24" s="369">
        <f>IF(D24=0," ",D24*E24)</f>
        <v/>
      </c>
      <c r="G24" s="370" t="n">
        <v>1</v>
      </c>
      <c r="H24" s="371" t="n"/>
      <c r="I24" s="369">
        <f>IF(F24=" "," ",F24*G24-H24)</f>
        <v/>
      </c>
      <c r="J24" s="368" t="n">
        <v>0.8139999999999999</v>
      </c>
      <c r="K24" s="370" t="n">
        <v>10</v>
      </c>
      <c r="L24" s="372">
        <f>IF(I24=" "," ",I24*J24*K24)</f>
        <v/>
      </c>
      <c r="M24" s="373" t="n">
        <v>7</v>
      </c>
      <c r="N24" s="370" t="n">
        <v>0</v>
      </c>
      <c r="O24" s="373" t="n">
        <v>0</v>
      </c>
      <c r="P24" s="369">
        <f>IF(M24=" "," ",(1+(M24+N24+O24)/100))</f>
        <v/>
      </c>
      <c r="Q24" s="374">
        <f>IF(L24=" "," ",L24*P24)</f>
        <v/>
      </c>
    </row>
    <row r="25" ht="9.949999999999999" customFormat="1" customHeight="1" s="356">
      <c r="A25" s="365" t="inlineStr">
        <is>
          <t>İD</t>
        </is>
      </c>
      <c r="B25" s="366" t="n"/>
      <c r="C25" s="367" t="n"/>
      <c r="D25" s="368" t="n">
        <v>1.92</v>
      </c>
      <c r="E25" s="368" t="n">
        <v>3</v>
      </c>
      <c r="F25" s="369">
        <f>IF(D25=0," ",D25*E25)</f>
        <v/>
      </c>
      <c r="G25" s="370" t="n">
        <v>1</v>
      </c>
      <c r="H25" s="371" t="n"/>
      <c r="I25" s="369">
        <f>IF(F25=" "," ",F25*G25-H25)</f>
        <v/>
      </c>
      <c r="J25" s="368" t="n">
        <v>0.8139999999999999</v>
      </c>
      <c r="K25" s="370" t="n">
        <v>5</v>
      </c>
      <c r="L25" s="372">
        <f>IF(I25=" "," ",I25*J25*K25)</f>
        <v/>
      </c>
      <c r="M25" s="373" t="n">
        <v>7</v>
      </c>
      <c r="N25" s="370" t="n">
        <v>0</v>
      </c>
      <c r="O25" s="373" t="n">
        <v>0</v>
      </c>
      <c r="P25" s="369">
        <f>IF(M25=" "," ",(1+(M25+N25+O25)/100))</f>
        <v/>
      </c>
      <c r="Q25" s="374">
        <f>IF(L25=" "," ",L25*P25)</f>
        <v/>
      </c>
    </row>
    <row r="26" ht="9.949999999999999" customFormat="1" customHeight="1" s="356">
      <c r="A26" s="365" t="inlineStr">
        <is>
          <t>Dö</t>
        </is>
      </c>
      <c r="B26" s="366" t="n"/>
      <c r="C26" s="367" t="n"/>
      <c r="D26" s="368" t="n">
        <v>13.76</v>
      </c>
      <c r="E26" s="368" t="n">
        <v>1</v>
      </c>
      <c r="F26" s="369">
        <f>IF(D26=0," ",D26*E26)</f>
        <v/>
      </c>
      <c r="G26" s="370" t="n">
        <v>1</v>
      </c>
      <c r="H26" s="371" t="n"/>
      <c r="I26" s="369">
        <f>IF(F26=" "," ",F26*G26-H26)</f>
        <v/>
      </c>
      <c r="J26" s="368" t="n">
        <v>0.269</v>
      </c>
      <c r="K26" s="370" t="n">
        <v>14</v>
      </c>
      <c r="L26" s="372">
        <f>IF(I26=" "," ",I26*J26*K26)</f>
        <v/>
      </c>
      <c r="M26" s="373" t="n">
        <v>7</v>
      </c>
      <c r="N26" s="370" t="n">
        <v>0</v>
      </c>
      <c r="O26" s="373" t="n">
        <v>0</v>
      </c>
      <c r="P26" s="369">
        <f>IF(M26=" "," ",(1+(M26+N26+O26)/100))</f>
        <v/>
      </c>
      <c r="Q26" s="374">
        <f>IF(L26=" "," ",L26*P26)</f>
        <v/>
      </c>
    </row>
    <row r="27" ht="9.949999999999999" customFormat="1" customHeight="1" s="356">
      <c r="A27" s="375" t="n"/>
      <c r="B27" s="376" t="n"/>
      <c r="C27" s="376" t="n"/>
      <c r="D27" s="377" t="n"/>
      <c r="E27" s="377" t="n"/>
      <c r="F27" s="378" t="n"/>
      <c r="G27" s="379" t="n"/>
      <c r="H27" s="377" t="n"/>
      <c r="I27" s="378" t="n"/>
      <c r="J27" s="377" t="n"/>
      <c r="K27" s="379" t="n"/>
      <c r="L27" s="380" t="n"/>
      <c r="M27" s="381" t="n"/>
      <c r="N27" s="381" t="n"/>
      <c r="O27" s="381" t="n"/>
      <c r="P27" s="382" t="n"/>
      <c r="Q27" s="383">
        <f>SUM(Q21:Q26)</f>
        <v/>
      </c>
    </row>
    <row r="28" ht="9.949999999999999" customFormat="1" customHeight="1" s="356">
      <c r="A28" s="384" t="n"/>
      <c r="B28" s="385" t="n"/>
      <c r="C28" s="385" t="n"/>
      <c r="D28" s="386" t="n"/>
      <c r="E28" s="387" t="n"/>
      <c r="F28" s="388" t="n"/>
      <c r="G28" s="389" t="n"/>
      <c r="H28" s="390" t="n"/>
      <c r="I28" s="391" t="n"/>
      <c r="J28" s="392" t="inlineStr">
        <is>
          <t>Qs=</t>
        </is>
      </c>
      <c r="K28" s="393" t="inlineStr">
        <is>
          <t>a</t>
        </is>
      </c>
      <c r="L28" s="388" t="inlineStr">
        <is>
          <t>L</t>
        </is>
      </c>
      <c r="M28" s="389" t="inlineStr">
        <is>
          <t>R</t>
        </is>
      </c>
      <c r="N28" s="394" t="inlineStr">
        <is>
          <t>H</t>
        </is>
      </c>
      <c r="O28" s="395" t="inlineStr">
        <is>
          <t>D  T</t>
        </is>
      </c>
      <c r="P28" s="396" t="inlineStr">
        <is>
          <t>Ze</t>
        </is>
      </c>
      <c r="Q28" s="397" t="n"/>
    </row>
    <row r="29" ht="9.949999999999999" customFormat="1" customHeight="1" s="356">
      <c r="A29" s="431" t="n"/>
      <c r="B29" s="432" t="n"/>
      <c r="C29" s="411" t="n"/>
      <c r="D29" s="411" t="n"/>
      <c r="E29" s="433" t="n"/>
      <c r="F29" s="402" t="n"/>
      <c r="G29" s="434" t="n"/>
      <c r="H29" s="435" t="n"/>
      <c r="I29" s="405" t="n"/>
      <c r="J29" s="436" t="inlineStr">
        <is>
          <t>Qs  =</t>
        </is>
      </c>
      <c r="K29" s="382" t="n">
        <v>2</v>
      </c>
      <c r="L29" s="382">
        <f>(D23+E23)*2*G23</f>
        <v/>
      </c>
      <c r="M29" s="407" t="n">
        <v>0.9</v>
      </c>
      <c r="N29" s="407" t="n">
        <v>0.67</v>
      </c>
      <c r="O29" s="381" t="n">
        <v>23</v>
      </c>
      <c r="P29" s="382" t="n">
        <v>1.2</v>
      </c>
      <c r="Q29" s="383">
        <f>K29*L29*M29*N29*O29*P29</f>
        <v/>
      </c>
    </row>
    <row r="30" ht="9.949999999999999" customFormat="1" customHeight="1" s="437">
      <c r="A30" s="438" t="n"/>
      <c r="B30" s="439" t="n"/>
      <c r="C30" s="411" t="n"/>
      <c r="D30" s="411" t="n"/>
      <c r="E30" s="378" t="n"/>
      <c r="F30" s="256" t="n"/>
      <c r="G30" s="440" t="n"/>
      <c r="H30" s="411" t="n"/>
      <c r="I30" s="411" t="n"/>
      <c r="J30" s="411" t="n"/>
      <c r="K30" s="440" t="n"/>
      <c r="L30" s="412" t="n"/>
      <c r="M30" s="415" t="inlineStr">
        <is>
          <t xml:space="preserve">   TOPLAM ISI KAYBI =</t>
        </is>
      </c>
      <c r="N30" s="415" t="n"/>
      <c r="O30" s="441" t="n"/>
      <c r="P30" s="415" t="n"/>
      <c r="Q30" s="416">
        <f>Q27+Q29</f>
        <v/>
      </c>
    </row>
    <row r="31" ht="9.949999999999999" customFormat="1" customHeight="1" s="437">
      <c r="A31" s="442" t="n"/>
      <c r="C31" s="443" t="n"/>
      <c r="D31" s="443" t="n"/>
      <c r="E31" s="444" t="n"/>
      <c r="F31" s="445" t="n"/>
      <c r="G31" s="446" t="n"/>
      <c r="H31" s="447" t="n"/>
      <c r="I31" s="448" t="n"/>
      <c r="J31" s="449" t="n"/>
      <c r="K31" s="450" t="n"/>
      <c r="L31" s="450" t="n"/>
      <c r="M31" s="450" t="n"/>
      <c r="N31" s="450" t="n"/>
      <c r="O31" s="451" t="n"/>
      <c r="P31" s="450" t="n"/>
      <c r="Q31" s="452" t="n"/>
    </row>
    <row r="32" ht="9.949999999999999" customFormat="1" customHeight="1" s="351">
      <c r="A32" s="453" t="n"/>
      <c r="B32" s="429" t="n"/>
      <c r="C32" s="429" t="n"/>
      <c r="D32" s="429" t="n"/>
      <c r="E32" s="429" t="n"/>
      <c r="F32" s="426" t="inlineStr">
        <is>
          <t>Z03</t>
        </is>
      </c>
      <c r="G32" s="454" t="n"/>
      <c r="H32" s="429" t="n"/>
      <c r="I32" s="427" t="inlineStr">
        <is>
          <t>D1 YATAK OD.</t>
        </is>
      </c>
      <c r="J32" s="264" t="n"/>
      <c r="K32" s="429" t="inlineStr">
        <is>
          <t>20ºC</t>
        </is>
      </c>
      <c r="L32" s="429" t="n"/>
      <c r="M32" s="429" t="n"/>
      <c r="N32" s="429" t="n"/>
      <c r="O32" s="429" t="n"/>
      <c r="P32" s="429" t="n"/>
      <c r="Q32" s="430" t="n"/>
    </row>
    <row r="33" ht="9.75" customFormat="1" customHeight="1" s="356">
      <c r="A33" s="365" t="inlineStr">
        <is>
          <t>DD</t>
        </is>
      </c>
      <c r="B33" s="366" t="inlineStr">
        <is>
          <t>D</t>
        </is>
      </c>
      <c r="C33" s="367" t="n"/>
      <c r="D33" s="368" t="n">
        <v>2.26</v>
      </c>
      <c r="E33" s="368" t="n">
        <v>3</v>
      </c>
      <c r="F33" s="368">
        <f>IF(D33=0," ",D33*E33)</f>
        <v/>
      </c>
      <c r="G33" s="370" t="n">
        <v>1</v>
      </c>
      <c r="H33" s="371">
        <f>F34*G34</f>
        <v/>
      </c>
      <c r="I33" s="368">
        <f>IF(F33=" "," ",F33*G33-H33)</f>
        <v/>
      </c>
      <c r="J33" s="369" t="n">
        <v>0.479</v>
      </c>
      <c r="K33" s="370" t="n">
        <v>23</v>
      </c>
      <c r="L33" s="455">
        <f>IF(I33=" "," ",I33*J33*K33)</f>
        <v/>
      </c>
      <c r="M33" s="373" t="n">
        <v>7</v>
      </c>
      <c r="N33" s="370" t="n">
        <v>0</v>
      </c>
      <c r="O33" s="373" t="n">
        <v>0</v>
      </c>
      <c r="P33" s="368">
        <f>IF(M33=" "," ",(1+(M33+N33+O33)/100))</f>
        <v/>
      </c>
      <c r="Q33" s="456">
        <f>IF(L33=" "," ",L33*P33)</f>
        <v/>
      </c>
    </row>
    <row r="34" ht="9.949999999999999" customFormat="1" customHeight="1" s="356">
      <c r="A34" s="365" t="inlineStr">
        <is>
          <t>ÇP</t>
        </is>
      </c>
      <c r="B34" s="366" t="inlineStr">
        <is>
          <t>D</t>
        </is>
      </c>
      <c r="C34" s="367" t="n"/>
      <c r="D34" s="368" t="n">
        <v>1.6</v>
      </c>
      <c r="E34" s="368" t="n">
        <v>2.3</v>
      </c>
      <c r="F34" s="369">
        <f>IF(D34=0," ",D34*E34)</f>
        <v/>
      </c>
      <c r="G34" s="370" t="n">
        <v>1</v>
      </c>
      <c r="H34" s="371" t="n"/>
      <c r="I34" s="369">
        <f>IF(F34=" "," ",F34*G34-H34)</f>
        <v/>
      </c>
      <c r="J34" s="368" t="n">
        <v>2.4</v>
      </c>
      <c r="K34" s="370" t="n">
        <v>23</v>
      </c>
      <c r="L34" s="372">
        <f>IF(I34=" "," ",I34*J34*K34)</f>
        <v/>
      </c>
      <c r="M34" s="373" t="n">
        <v>7</v>
      </c>
      <c r="N34" s="370" t="n">
        <v>0</v>
      </c>
      <c r="O34" s="373" t="n">
        <v>0</v>
      </c>
      <c r="P34" s="369">
        <f>IF(M34=" "," ",(1+(M34+N34+O34)/100))</f>
        <v/>
      </c>
      <c r="Q34" s="374">
        <f>IF(L34=" "," ",L34*P34)</f>
        <v/>
      </c>
    </row>
    <row r="35" ht="9.949999999999999" customFormat="1" customHeight="1" s="356">
      <c r="A35" s="365" t="inlineStr">
        <is>
          <t>İD</t>
        </is>
      </c>
      <c r="B35" s="366" t="n"/>
      <c r="C35" s="367" t="n"/>
      <c r="D35" s="368" t="n">
        <v>2.5</v>
      </c>
      <c r="E35" s="368" t="n">
        <v>3</v>
      </c>
      <c r="F35" s="369">
        <f>IF(D35=0," ",D35*E35)</f>
        <v/>
      </c>
      <c r="G35" s="370" t="n">
        <v>1</v>
      </c>
      <c r="H35" s="371" t="n"/>
      <c r="I35" s="369">
        <f>IF(F35=" "," ",F35*G35-H35)</f>
        <v/>
      </c>
      <c r="J35" s="368" t="n">
        <v>0.8139999999999999</v>
      </c>
      <c r="K35" s="370" t="n">
        <v>5</v>
      </c>
      <c r="L35" s="372">
        <f>IF(I35=" "," ",I35*J35*K35)</f>
        <v/>
      </c>
      <c r="M35" s="373" t="n">
        <v>7</v>
      </c>
      <c r="N35" s="370" t="n">
        <v>0</v>
      </c>
      <c r="O35" s="373" t="n">
        <v>0</v>
      </c>
      <c r="P35" s="369">
        <f>IF(M35=" "," ",(1+(M35+N35+O35)/100))</f>
        <v/>
      </c>
      <c r="Q35" s="374">
        <f>IF(L35=" "," ",L35*P35)</f>
        <v/>
      </c>
    </row>
    <row r="36" ht="9.949999999999999" customFormat="1" customHeight="1" s="356">
      <c r="A36" s="365" t="inlineStr">
        <is>
          <t>Dö</t>
        </is>
      </c>
      <c r="B36" s="366" t="n"/>
      <c r="C36" s="367" t="n"/>
      <c r="D36" s="368" t="n">
        <v>8.9</v>
      </c>
      <c r="E36" s="368" t="n">
        <v>1</v>
      </c>
      <c r="F36" s="369">
        <f>IF(D36=0," ",D36*E36)</f>
        <v/>
      </c>
      <c r="G36" s="370" t="n">
        <v>1</v>
      </c>
      <c r="H36" s="371" t="n"/>
      <c r="I36" s="369">
        <f>IF(F36=" "," ",F36*G36-H36)</f>
        <v/>
      </c>
      <c r="J36" s="368" t="n">
        <v>0.269</v>
      </c>
      <c r="K36" s="370" t="n">
        <v>14</v>
      </c>
      <c r="L36" s="372">
        <f>IF(I36=" "," ",I36*J36*K36)</f>
        <v/>
      </c>
      <c r="M36" s="373" t="n">
        <v>7</v>
      </c>
      <c r="N36" s="370" t="n">
        <v>0</v>
      </c>
      <c r="O36" s="373" t="n">
        <v>0</v>
      </c>
      <c r="P36" s="369">
        <f>IF(M36=" "," ",(1+(M36+N36+O36)/100))</f>
        <v/>
      </c>
      <c r="Q36" s="374">
        <f>IF(L36=" "," ",L36*P36)</f>
        <v/>
      </c>
    </row>
    <row r="37" ht="9.949999999999999" customFormat="1" customHeight="1" s="356">
      <c r="A37" s="375" t="n"/>
      <c r="B37" s="376" t="n"/>
      <c r="C37" s="376" t="n"/>
      <c r="D37" s="377" t="n"/>
      <c r="E37" s="377" t="n"/>
      <c r="F37" s="378" t="n"/>
      <c r="G37" s="379" t="n"/>
      <c r="H37" s="377" t="n"/>
      <c r="I37" s="378" t="n"/>
      <c r="J37" s="377" t="n"/>
      <c r="K37" s="379" t="n"/>
      <c r="L37" s="380" t="n"/>
      <c r="M37" s="381" t="n"/>
      <c r="N37" s="381" t="n"/>
      <c r="O37" s="381" t="n"/>
      <c r="P37" s="382" t="n"/>
      <c r="Q37" s="383">
        <f>SUM(Q33:Q36)</f>
        <v/>
      </c>
    </row>
    <row r="38" ht="9.949999999999999" customFormat="1" customHeight="1" s="356">
      <c r="A38" s="384" t="n"/>
      <c r="B38" s="385" t="n"/>
      <c r="C38" s="385" t="n"/>
      <c r="D38" s="386" t="n"/>
      <c r="E38" s="387" t="n"/>
      <c r="F38" s="388" t="n"/>
      <c r="G38" s="389" t="n"/>
      <c r="H38" s="390" t="n"/>
      <c r="I38" s="391" t="n"/>
      <c r="J38" s="392" t="inlineStr">
        <is>
          <t>Qs=</t>
        </is>
      </c>
      <c r="K38" s="393" t="inlineStr">
        <is>
          <t>a</t>
        </is>
      </c>
      <c r="L38" s="388" t="inlineStr">
        <is>
          <t>L</t>
        </is>
      </c>
      <c r="M38" s="389" t="inlineStr">
        <is>
          <t>R</t>
        </is>
      </c>
      <c r="N38" s="394" t="inlineStr">
        <is>
          <t>H</t>
        </is>
      </c>
      <c r="O38" s="395" t="inlineStr">
        <is>
          <t>D  T</t>
        </is>
      </c>
      <c r="P38" s="396" t="inlineStr">
        <is>
          <t>Ze</t>
        </is>
      </c>
      <c r="Q38" s="397" t="n"/>
    </row>
    <row r="39" ht="9.949999999999999" customFormat="1" customHeight="1" s="356">
      <c r="A39" s="398" t="n"/>
      <c r="B39" s="399" t="n"/>
      <c r="C39" s="400" t="n"/>
      <c r="D39" s="400" t="n"/>
      <c r="E39" s="401" t="n"/>
      <c r="F39" s="402" t="n"/>
      <c r="G39" s="403" t="n"/>
      <c r="H39" s="404" t="n"/>
      <c r="I39" s="405" t="n"/>
      <c r="J39" s="406" t="inlineStr">
        <is>
          <t>Qs  =</t>
        </is>
      </c>
      <c r="K39" s="407" t="n">
        <v>2</v>
      </c>
      <c r="L39" s="382">
        <f>(D34+E34)*2*G34</f>
        <v/>
      </c>
      <c r="M39" s="407" t="n">
        <v>0.9</v>
      </c>
      <c r="N39" s="407" t="n">
        <v>0.67</v>
      </c>
      <c r="O39" s="381" t="n">
        <v>23</v>
      </c>
      <c r="P39" s="382" t="n">
        <v>1.2</v>
      </c>
      <c r="Q39" s="383">
        <f>K39*L39*M39*N39*O39*P39</f>
        <v/>
      </c>
    </row>
    <row r="40" ht="9.949999999999999" customFormat="1" customHeight="1" s="356">
      <c r="A40" s="408" t="n"/>
      <c r="B40" s="409" t="n"/>
      <c r="C40" s="400" t="n"/>
      <c r="D40" s="400" t="n"/>
      <c r="E40" s="377" t="n"/>
      <c r="F40" s="256" t="n"/>
      <c r="G40" s="410" t="n"/>
      <c r="H40" s="400" t="n"/>
      <c r="I40" s="411" t="n"/>
      <c r="J40" s="400" t="n"/>
      <c r="K40" s="410" t="n"/>
      <c r="L40" s="412" t="n"/>
      <c r="M40" s="413" t="inlineStr">
        <is>
          <t xml:space="preserve">   TOPLAM ISI KAYBI =</t>
        </is>
      </c>
      <c r="N40" s="413" t="n"/>
      <c r="O40" s="414" t="n"/>
      <c r="P40" s="415" t="n"/>
      <c r="Q40" s="416">
        <f>Q37+Q39</f>
        <v/>
      </c>
    </row>
    <row r="41" ht="9.949999999999999" customFormat="1" customHeight="1" s="356">
      <c r="A41" s="457" t="n"/>
      <c r="B41" s="432" t="n"/>
      <c r="C41" s="432" t="n"/>
      <c r="D41" s="458" t="n"/>
      <c r="E41" s="458" t="n"/>
      <c r="F41" s="458" t="n"/>
      <c r="G41" s="459" t="n"/>
      <c r="H41" s="458" t="n"/>
      <c r="I41" s="458" t="n"/>
      <c r="J41" s="458" t="n"/>
      <c r="K41" s="459" t="n"/>
      <c r="L41" s="460" t="n"/>
      <c r="M41" s="451" t="n"/>
      <c r="N41" s="451" t="n"/>
      <c r="O41" s="451" t="n"/>
      <c r="P41" s="461" t="n"/>
      <c r="Q41" s="452" t="n"/>
    </row>
    <row r="42" ht="9.949999999999999" customFormat="1" customHeight="1" s="437">
      <c r="A42" s="453" t="n"/>
      <c r="B42" s="429" t="n"/>
      <c r="C42" s="429" t="n"/>
      <c r="D42" s="429" t="n"/>
      <c r="E42" s="429" t="n"/>
      <c r="F42" s="426" t="inlineStr">
        <is>
          <t>Z04</t>
        </is>
      </c>
      <c r="G42" s="454" t="n"/>
      <c r="H42" s="429" t="n"/>
      <c r="I42" s="427" t="inlineStr">
        <is>
          <t>D1 YATAK OD.</t>
        </is>
      </c>
      <c r="J42" s="264" t="n"/>
      <c r="K42" s="429" t="inlineStr">
        <is>
          <t>20ºC</t>
        </is>
      </c>
      <c r="L42" s="429" t="n"/>
      <c r="M42" s="429" t="n"/>
      <c r="N42" s="429" t="n"/>
      <c r="O42" s="429" t="n"/>
      <c r="P42" s="429" t="n"/>
      <c r="Q42" s="430" t="n"/>
    </row>
    <row r="43" ht="9.949999999999999" customFormat="1" customHeight="1" s="437">
      <c r="A43" s="462" t="inlineStr">
        <is>
          <t>DD</t>
        </is>
      </c>
      <c r="B43" s="463" t="inlineStr">
        <is>
          <t>D</t>
        </is>
      </c>
      <c r="C43" s="464" t="n"/>
      <c r="D43" s="369" t="n">
        <v>2.56</v>
      </c>
      <c r="E43" s="369" t="n">
        <v>3</v>
      </c>
      <c r="F43" s="369">
        <f>IF(D43=0," ",D43*E43)</f>
        <v/>
      </c>
      <c r="G43" s="465" t="n">
        <v>1</v>
      </c>
      <c r="H43" s="466">
        <f>F44*G44</f>
        <v/>
      </c>
      <c r="I43" s="369">
        <f>IF(F43=" "," ",F43*G43-H43)</f>
        <v/>
      </c>
      <c r="J43" s="369" t="n">
        <v>0.479</v>
      </c>
      <c r="K43" s="370" t="n">
        <v>23</v>
      </c>
      <c r="L43" s="455">
        <f>IF(I43=" "," ",I43*J43*K43)</f>
        <v/>
      </c>
      <c r="M43" s="373" t="n">
        <v>7</v>
      </c>
      <c r="N43" s="370" t="n">
        <v>0</v>
      </c>
      <c r="O43" s="373" t="n">
        <v>0</v>
      </c>
      <c r="P43" s="368">
        <f>IF(M43=" "," ",(1+(M43+N43+O43)/100))</f>
        <v/>
      </c>
      <c r="Q43" s="374">
        <f>IF(L43=" "," ",L43*P43)</f>
        <v/>
      </c>
    </row>
    <row r="44" ht="9.949999999999999" customFormat="1" customHeight="1" s="351">
      <c r="A44" s="462" t="inlineStr">
        <is>
          <t>ÇP</t>
        </is>
      </c>
      <c r="B44" s="463" t="inlineStr">
        <is>
          <t>D</t>
        </is>
      </c>
      <c r="C44" s="464" t="n"/>
      <c r="D44" s="369" t="n">
        <v>1.6</v>
      </c>
      <c r="E44" s="369" t="n">
        <v>2.3</v>
      </c>
      <c r="F44" s="369">
        <f>IF(D44=0," ",D44*E44)</f>
        <v/>
      </c>
      <c r="G44" s="465" t="n">
        <v>1</v>
      </c>
      <c r="H44" s="466" t="n"/>
      <c r="I44" s="369">
        <f>IF(F44=" "," ",F44*G44-H44)</f>
        <v/>
      </c>
      <c r="J44" s="369" t="n">
        <v>2.4</v>
      </c>
      <c r="K44" s="465" t="n">
        <v>23</v>
      </c>
      <c r="L44" s="372">
        <f>IF(I44=" "," ",I44*J44*K44)</f>
        <v/>
      </c>
      <c r="M44" s="467" t="n">
        <v>7</v>
      </c>
      <c r="N44" s="465" t="n">
        <v>0</v>
      </c>
      <c r="O44" s="467" t="n">
        <v>0</v>
      </c>
      <c r="P44" s="369">
        <f>IF(M44=" "," ",(1+(M44+N44+O44)/100))</f>
        <v/>
      </c>
      <c r="Q44" s="374">
        <f>IF(L44=" "," ",L44*P44)</f>
        <v/>
      </c>
    </row>
    <row r="45" ht="9.949999999999999" customFormat="1" customHeight="1" s="356">
      <c r="A45" s="365" t="inlineStr">
        <is>
          <t>İD</t>
        </is>
      </c>
      <c r="B45" s="366" t="n"/>
      <c r="C45" s="367" t="n"/>
      <c r="D45" s="368" t="n">
        <v>1.22</v>
      </c>
      <c r="E45" s="368" t="n">
        <v>3</v>
      </c>
      <c r="F45" s="368">
        <f>IF(D45=0," ",D45*E45)</f>
        <v/>
      </c>
      <c r="G45" s="370" t="n">
        <v>1</v>
      </c>
      <c r="H45" s="371" t="n"/>
      <c r="I45" s="368">
        <f>IF(F45=" "," ",F45*G45-H45)</f>
        <v/>
      </c>
      <c r="J45" s="369" t="n">
        <v>0.8139999999999999</v>
      </c>
      <c r="K45" s="370" t="n">
        <v>5</v>
      </c>
      <c r="L45" s="455">
        <f>IF(I45=" "," ",I45*J45*K45)</f>
        <v/>
      </c>
      <c r="M45" s="373" t="n">
        <v>7</v>
      </c>
      <c r="N45" s="370" t="n">
        <v>0</v>
      </c>
      <c r="O45" s="373" t="n">
        <v>0</v>
      </c>
      <c r="P45" s="368">
        <f>IF(M45=" "," ",(1+(M45+N45+O45)/100))</f>
        <v/>
      </c>
      <c r="Q45" s="456">
        <f>IF(L45=" "," ",L45*P45)</f>
        <v/>
      </c>
    </row>
    <row r="46" ht="9.949999999999999" customFormat="1" customHeight="1" s="356">
      <c r="A46" s="365" t="inlineStr">
        <is>
          <t>Dö</t>
        </is>
      </c>
      <c r="B46" s="366" t="n"/>
      <c r="C46" s="367" t="n"/>
      <c r="D46" s="368" t="n">
        <v>8.970000000000001</v>
      </c>
      <c r="E46" s="368" t="n">
        <v>1</v>
      </c>
      <c r="F46" s="369">
        <f>IF(D46=0," ",D46*E46)</f>
        <v/>
      </c>
      <c r="G46" s="370" t="n">
        <v>1</v>
      </c>
      <c r="H46" s="371" t="n"/>
      <c r="I46" s="369">
        <f>IF(F46=" "," ",F46*G46-H46)</f>
        <v/>
      </c>
      <c r="J46" s="368" t="n">
        <v>0.269</v>
      </c>
      <c r="K46" s="370" t="n">
        <v>14</v>
      </c>
      <c r="L46" s="372">
        <f>IF(I46=" "," ",I46*J46*K46)</f>
        <v/>
      </c>
      <c r="M46" s="373" t="n">
        <v>7</v>
      </c>
      <c r="N46" s="370" t="n">
        <v>0</v>
      </c>
      <c r="O46" s="373" t="n">
        <v>0</v>
      </c>
      <c r="P46" s="369">
        <f>IF(M46=" "," ",(1+(M46+N46+O46)/100))</f>
        <v/>
      </c>
      <c r="Q46" s="374">
        <f>IF(L46=" "," ",L46*P46)</f>
        <v/>
      </c>
    </row>
    <row r="47" ht="9.949999999999999" customFormat="1" customHeight="1" s="356">
      <c r="A47" s="375" t="n"/>
      <c r="B47" s="376" t="n"/>
      <c r="C47" s="376" t="n"/>
      <c r="D47" s="377" t="n"/>
      <c r="E47" s="377" t="n"/>
      <c r="F47" s="378" t="n"/>
      <c r="G47" s="379" t="n"/>
      <c r="H47" s="377" t="n"/>
      <c r="I47" s="378" t="n"/>
      <c r="J47" s="377" t="n"/>
      <c r="K47" s="379" t="n"/>
      <c r="L47" s="380" t="n"/>
      <c r="M47" s="381" t="n"/>
      <c r="N47" s="381" t="n"/>
      <c r="O47" s="381" t="n"/>
      <c r="P47" s="382" t="n"/>
      <c r="Q47" s="383">
        <f>SUM(Q43:Q46)</f>
        <v/>
      </c>
    </row>
    <row r="48" ht="9.949999999999999" customFormat="1" customHeight="1" s="356">
      <c r="A48" s="384" t="n"/>
      <c r="B48" s="385" t="n"/>
      <c r="C48" s="385" t="n"/>
      <c r="D48" s="386" t="n"/>
      <c r="E48" s="387" t="n"/>
      <c r="F48" s="388" t="n"/>
      <c r="G48" s="389" t="n"/>
      <c r="H48" s="390" t="n"/>
      <c r="I48" s="391" t="n"/>
      <c r="J48" s="392" t="inlineStr">
        <is>
          <t>Qs=</t>
        </is>
      </c>
      <c r="K48" s="393" t="inlineStr">
        <is>
          <t>a</t>
        </is>
      </c>
      <c r="L48" s="388" t="inlineStr">
        <is>
          <t>L</t>
        </is>
      </c>
      <c r="M48" s="389" t="inlineStr">
        <is>
          <t>R</t>
        </is>
      </c>
      <c r="N48" s="394" t="inlineStr">
        <is>
          <t>H</t>
        </is>
      </c>
      <c r="O48" s="395" t="inlineStr">
        <is>
          <t>D  T</t>
        </is>
      </c>
      <c r="P48" s="396" t="inlineStr">
        <is>
          <t>Ze</t>
        </is>
      </c>
      <c r="Q48" s="397" t="n"/>
    </row>
    <row r="49" ht="9.949999999999999" customFormat="1" customHeight="1" s="356">
      <c r="A49" s="398" t="n"/>
      <c r="B49" s="399" t="n"/>
      <c r="C49" s="400" t="n"/>
      <c r="D49" s="400" t="n"/>
      <c r="E49" s="401" t="n"/>
      <c r="F49" s="402" t="n"/>
      <c r="G49" s="403" t="n"/>
      <c r="H49" s="404" t="n"/>
      <c r="I49" s="405" t="n"/>
      <c r="J49" s="406" t="inlineStr">
        <is>
          <t>Qs  =</t>
        </is>
      </c>
      <c r="K49" s="407" t="n">
        <v>2</v>
      </c>
      <c r="L49" s="382">
        <f>(D44+E44)*2*G44</f>
        <v/>
      </c>
      <c r="M49" s="407" t="n">
        <v>0.9</v>
      </c>
      <c r="N49" s="407" t="n">
        <v>0.67</v>
      </c>
      <c r="O49" s="381" t="n">
        <v>23</v>
      </c>
      <c r="P49" s="382" t="n">
        <v>1.2</v>
      </c>
      <c r="Q49" s="383">
        <f>K49*L49*M49*N49*O49*P49</f>
        <v/>
      </c>
    </row>
    <row r="50" ht="9.949999999999999" customFormat="1" customHeight="1" s="356">
      <c r="A50" s="408" t="n"/>
      <c r="B50" s="409" t="n"/>
      <c r="C50" s="400" t="n"/>
      <c r="D50" s="400" t="n"/>
      <c r="E50" s="377" t="n"/>
      <c r="F50" s="256" t="n"/>
      <c r="G50" s="410" t="n"/>
      <c r="H50" s="400" t="n"/>
      <c r="I50" s="411" t="n"/>
      <c r="J50" s="400" t="n"/>
      <c r="K50" s="410" t="n"/>
      <c r="L50" s="412" t="n"/>
      <c r="M50" s="413" t="inlineStr">
        <is>
          <t xml:space="preserve">   TOPLAM ISI KAYBI =</t>
        </is>
      </c>
      <c r="N50" s="413" t="n"/>
      <c r="O50" s="414" t="n"/>
      <c r="P50" s="415" t="n"/>
      <c r="Q50" s="416">
        <f>Q47+Q49</f>
        <v/>
      </c>
    </row>
    <row r="51" ht="9.949999999999999" customFormat="1" customHeight="1" s="356">
      <c r="A51" s="417" t="n"/>
      <c r="B51" s="399" t="n"/>
      <c r="C51" s="418" t="n"/>
      <c r="D51" s="419" t="n"/>
      <c r="E51" s="419" t="n"/>
      <c r="F51" s="420" t="n"/>
      <c r="G51" s="421" t="n"/>
      <c r="H51" s="422" t="n"/>
      <c r="I51" s="420" t="n"/>
      <c r="J51" s="419" t="n"/>
      <c r="K51" s="421" t="n"/>
      <c r="L51" s="423" t="n"/>
      <c r="M51" s="424" t="n"/>
      <c r="N51" s="421" t="n"/>
      <c r="O51" s="424" t="n"/>
      <c r="P51" s="420" t="n"/>
      <c r="Q51" s="425" t="n"/>
    </row>
    <row r="52" ht="9.949999999999999" customFormat="1" customHeight="1" s="356">
      <c r="A52" s="359" t="n"/>
      <c r="B52" s="360" t="n"/>
      <c r="C52" s="360" t="n"/>
      <c r="D52" s="360" t="n"/>
      <c r="E52" s="360" t="n"/>
      <c r="F52" s="426" t="inlineStr">
        <is>
          <t>Z05</t>
        </is>
      </c>
      <c r="G52" s="362" t="n"/>
      <c r="H52" s="360" t="n"/>
      <c r="I52" s="427" t="inlineStr">
        <is>
          <t>D1 SALON</t>
        </is>
      </c>
      <c r="J52" s="428" t="n"/>
      <c r="K52" s="360" t="inlineStr">
        <is>
          <t>20ºC</t>
        </is>
      </c>
      <c r="L52" s="429" t="n"/>
      <c r="M52" s="360" t="n"/>
      <c r="N52" s="360" t="n"/>
      <c r="O52" s="360" t="n"/>
      <c r="P52" s="429" t="n"/>
      <c r="Q52" s="430" t="n"/>
    </row>
    <row r="53" ht="9.949999999999999" customFormat="1" customHeight="1" s="356">
      <c r="A53" s="365" t="inlineStr">
        <is>
          <t>DD</t>
        </is>
      </c>
      <c r="B53" s="366" t="inlineStr">
        <is>
          <t>D</t>
        </is>
      </c>
      <c r="C53" s="367" t="n"/>
      <c r="D53" s="368" t="n">
        <v>3.38</v>
      </c>
      <c r="E53" s="368" t="n">
        <v>3</v>
      </c>
      <c r="F53" s="369">
        <f>IF(D53=0," ",D53*E53)</f>
        <v/>
      </c>
      <c r="G53" s="370" t="n">
        <v>1</v>
      </c>
      <c r="H53" s="371">
        <f>F54*G54</f>
        <v/>
      </c>
      <c r="I53" s="369">
        <f>IF(F53=" "," ",F53*G53-H53)</f>
        <v/>
      </c>
      <c r="J53" s="368" t="n">
        <v>0.479</v>
      </c>
      <c r="K53" s="370" t="n">
        <v>23</v>
      </c>
      <c r="L53" s="372">
        <f>IF(I53=" "," ",I53*J53*K53)</f>
        <v/>
      </c>
      <c r="M53" s="373" t="n">
        <v>7</v>
      </c>
      <c r="N53" s="370" t="n">
        <v>0</v>
      </c>
      <c r="O53" s="373" t="n">
        <v>0</v>
      </c>
      <c r="P53" s="369">
        <f>IF(M53=" "," ",(1+(M53+N53+O53)/100))</f>
        <v/>
      </c>
      <c r="Q53" s="374">
        <f>IF(L53=" "," ",L53*P53)</f>
        <v/>
      </c>
    </row>
    <row r="54" ht="9.949999999999999" customFormat="1" customHeight="1" s="356">
      <c r="A54" s="462" t="inlineStr">
        <is>
          <t>ÇP</t>
        </is>
      </c>
      <c r="B54" s="463" t="inlineStr">
        <is>
          <t>D</t>
        </is>
      </c>
      <c r="C54" s="464" t="n"/>
      <c r="D54" s="369" t="n">
        <v>1.6</v>
      </c>
      <c r="E54" s="369" t="n">
        <v>2.3</v>
      </c>
      <c r="F54" s="369">
        <f>IF(D54=0," ",D54*E54)</f>
        <v/>
      </c>
      <c r="G54" s="465" t="n">
        <v>1</v>
      </c>
      <c r="H54" s="466" t="n"/>
      <c r="I54" s="369">
        <f>IF(F54=" "," ",F54*G54-H54)</f>
        <v/>
      </c>
      <c r="J54" s="369" t="n">
        <v>2.4</v>
      </c>
      <c r="K54" s="465" t="n">
        <v>23</v>
      </c>
      <c r="L54" s="372">
        <f>IF(I54=" "," ",I54*J54*K54)</f>
        <v/>
      </c>
      <c r="M54" s="373" t="n">
        <v>7</v>
      </c>
      <c r="N54" s="370" t="n">
        <v>0</v>
      </c>
      <c r="O54" s="373" t="n">
        <v>0</v>
      </c>
      <c r="P54" s="369">
        <f>IF(M54=" "," ",(1+(M54+N54+O54)/100))</f>
        <v/>
      </c>
      <c r="Q54" s="374">
        <f>IF(L54=" "," ",L54*P54)</f>
        <v/>
      </c>
    </row>
    <row r="55" ht="9.949999999999999" customFormat="1" customHeight="1" s="437">
      <c r="A55" s="462" t="inlineStr">
        <is>
          <t>DD</t>
        </is>
      </c>
      <c r="B55" s="463" t="inlineStr">
        <is>
          <t>G</t>
        </is>
      </c>
      <c r="C55" s="464" t="n"/>
      <c r="D55" s="369" t="n">
        <v>4.68</v>
      </c>
      <c r="E55" s="369" t="n">
        <v>3</v>
      </c>
      <c r="F55" s="369">
        <f>IF(D55=0," ",D55*E55)</f>
        <v/>
      </c>
      <c r="G55" s="465" t="n">
        <v>1</v>
      </c>
      <c r="H55" s="466">
        <f>F56*G56</f>
        <v/>
      </c>
      <c r="I55" s="369">
        <f>IF(F55=" "," ",F55*G55-H55)</f>
        <v/>
      </c>
      <c r="J55" s="369" t="n">
        <v>0.479</v>
      </c>
      <c r="K55" s="465" t="n">
        <v>23</v>
      </c>
      <c r="L55" s="372">
        <f>IF(I55=" "," ",I55*J55*K55)</f>
        <v/>
      </c>
      <c r="M55" s="467" t="n">
        <v>7</v>
      </c>
      <c r="N55" s="465" t="n">
        <v>0</v>
      </c>
      <c r="O55" s="467" t="n">
        <v>-5</v>
      </c>
      <c r="P55" s="369">
        <f>IF(M55=" "," ",(1+(M55+N55+O55)/100))</f>
        <v/>
      </c>
      <c r="Q55" s="374">
        <f>IF(L55=" "," ",L55*P55)</f>
        <v/>
      </c>
    </row>
    <row r="56" ht="9.949999999999999" customFormat="1" customHeight="1" s="437">
      <c r="A56" s="462" t="inlineStr">
        <is>
          <t>ÇP</t>
        </is>
      </c>
      <c r="B56" s="463" t="inlineStr">
        <is>
          <t>G</t>
        </is>
      </c>
      <c r="C56" s="464" t="n"/>
      <c r="D56" s="369" t="n">
        <v>1.6</v>
      </c>
      <c r="E56" s="369" t="n">
        <v>2.3</v>
      </c>
      <c r="F56" s="369">
        <f>IF(D56=0," ",D56*E56)</f>
        <v/>
      </c>
      <c r="G56" s="465" t="n">
        <v>1</v>
      </c>
      <c r="H56" s="466" t="n"/>
      <c r="I56" s="369">
        <f>IF(F56=" "," ",F56*G56-H56)</f>
        <v/>
      </c>
      <c r="J56" s="369" t="n">
        <v>2.4</v>
      </c>
      <c r="K56" s="370" t="n">
        <v>23</v>
      </c>
      <c r="L56" s="455">
        <f>IF(I56=" "," ",I56*J56*K56)</f>
        <v/>
      </c>
      <c r="M56" s="373" t="n">
        <v>7</v>
      </c>
      <c r="N56" s="370" t="n">
        <v>0</v>
      </c>
      <c r="O56" s="373" t="n">
        <v>-5</v>
      </c>
      <c r="P56" s="368">
        <f>IF(M56=" "," ",(1+(M56+N56+O56)/100))</f>
        <v/>
      </c>
      <c r="Q56" s="374">
        <f>IF(L56=" "," ",L56*P56)</f>
        <v/>
      </c>
    </row>
    <row r="57" ht="9.949999999999999" customFormat="1" customHeight="1" s="351">
      <c r="A57" s="462" t="inlineStr">
        <is>
          <t>DD</t>
        </is>
      </c>
      <c r="B57" s="463" t="inlineStr">
        <is>
          <t>B</t>
        </is>
      </c>
      <c r="C57" s="464" t="n"/>
      <c r="D57" s="369" t="n">
        <v>0.63</v>
      </c>
      <c r="E57" s="369" t="n">
        <v>3</v>
      </c>
      <c r="F57" s="369">
        <f>IF(D57=0," ",D57*E57)</f>
        <v/>
      </c>
      <c r="G57" s="465" t="n">
        <v>1</v>
      </c>
      <c r="H57" s="466" t="n"/>
      <c r="I57" s="369">
        <f>IF(F57=" "," ",F57*G57-H57)</f>
        <v/>
      </c>
      <c r="J57" s="369" t="n">
        <v>0.479</v>
      </c>
      <c r="K57" s="465" t="n">
        <v>23</v>
      </c>
      <c r="L57" s="372">
        <f>IF(I57=" "," ",I57*J57*K57)</f>
        <v/>
      </c>
      <c r="M57" s="467" t="n">
        <v>7</v>
      </c>
      <c r="N57" s="465" t="n">
        <v>0</v>
      </c>
      <c r="O57" s="467" t="n">
        <v>0</v>
      </c>
      <c r="P57" s="369">
        <f>IF(M57=" "," ",(1+(M57+N57+O57)/100))</f>
        <v/>
      </c>
      <c r="Q57" s="374">
        <f>IF(L57=" "," ",L57*P57)</f>
        <v/>
      </c>
    </row>
    <row r="58" ht="9.949999999999999" customFormat="1" customHeight="1" s="356">
      <c r="A58" s="365" t="inlineStr">
        <is>
          <t>İD</t>
        </is>
      </c>
      <c r="B58" s="366" t="n"/>
      <c r="C58" s="367" t="n"/>
      <c r="D58" s="368" t="n">
        <v>1.06</v>
      </c>
      <c r="E58" s="368" t="n">
        <v>3</v>
      </c>
      <c r="F58" s="368">
        <f>IF(D58=0," ",D58*E58)</f>
        <v/>
      </c>
      <c r="G58" s="370" t="n">
        <v>1</v>
      </c>
      <c r="H58" s="371" t="n"/>
      <c r="I58" s="368">
        <f>IF(F58=" "," ",F58*G58-H58)</f>
        <v/>
      </c>
      <c r="J58" s="369" t="n">
        <v>0.8139999999999999</v>
      </c>
      <c r="K58" s="370" t="n">
        <v>5</v>
      </c>
      <c r="L58" s="455">
        <f>IF(I58=" "," ",I58*J58*K58)</f>
        <v/>
      </c>
      <c r="M58" s="373" t="n">
        <v>7</v>
      </c>
      <c r="N58" s="370" t="n">
        <v>0</v>
      </c>
      <c r="O58" s="373" t="n">
        <v>0</v>
      </c>
      <c r="P58" s="368">
        <f>IF(M58=" "," ",(1+(M58+N58+O58)/100))</f>
        <v/>
      </c>
      <c r="Q58" s="456">
        <f>IF(L58=" "," ",L58*P58)</f>
        <v/>
      </c>
    </row>
    <row r="59" ht="9.949999999999999" customFormat="1" customHeight="1" s="356">
      <c r="A59" s="365" t="inlineStr">
        <is>
          <t>Dö</t>
        </is>
      </c>
      <c r="B59" s="366" t="n"/>
      <c r="C59" s="367" t="n"/>
      <c r="D59" s="368" t="n">
        <v>20.36</v>
      </c>
      <c r="E59" s="368" t="n">
        <v>1</v>
      </c>
      <c r="F59" s="369">
        <f>IF(D59=0," ",D59*E59)</f>
        <v/>
      </c>
      <c r="G59" s="370" t="n">
        <v>1</v>
      </c>
      <c r="H59" s="371" t="n"/>
      <c r="I59" s="369">
        <f>IF(F59=" "," ",F59*G59-H59)</f>
        <v/>
      </c>
      <c r="J59" s="368" t="n">
        <v>0.269</v>
      </c>
      <c r="K59" s="370" t="n">
        <v>14</v>
      </c>
      <c r="L59" s="372">
        <f>IF(I59=" "," ",I59*J59*K59)</f>
        <v/>
      </c>
      <c r="M59" s="373" t="n">
        <v>7</v>
      </c>
      <c r="N59" s="370" t="n">
        <v>0</v>
      </c>
      <c r="O59" s="373" t="n">
        <v>0</v>
      </c>
      <c r="P59" s="369">
        <f>IF(M59=" "," ",(1+(M59+N59+O59)/100))</f>
        <v/>
      </c>
      <c r="Q59" s="374">
        <f>IF(L59=" "," ",L59*P59)</f>
        <v/>
      </c>
    </row>
    <row r="60" ht="9.949999999999999" customFormat="1" customHeight="1" s="356">
      <c r="A60" s="375" t="n"/>
      <c r="B60" s="376" t="n"/>
      <c r="C60" s="376" t="n"/>
      <c r="D60" s="377" t="n"/>
      <c r="E60" s="377" t="n"/>
      <c r="F60" s="378" t="n"/>
      <c r="G60" s="379" t="n"/>
      <c r="H60" s="377" t="n"/>
      <c r="I60" s="378" t="n"/>
      <c r="J60" s="377" t="n"/>
      <c r="K60" s="379" t="n"/>
      <c r="L60" s="380" t="n"/>
      <c r="M60" s="381" t="n"/>
      <c r="N60" s="381" t="n"/>
      <c r="O60" s="381" t="n"/>
      <c r="P60" s="382" t="n"/>
      <c r="Q60" s="383">
        <f>SUM(Q53:Q59)</f>
        <v/>
      </c>
    </row>
    <row r="61" ht="9.949999999999999" customFormat="1" customHeight="1" s="356">
      <c r="A61" s="384" t="n"/>
      <c r="B61" s="385" t="n"/>
      <c r="C61" s="385" t="n"/>
      <c r="D61" s="386" t="n"/>
      <c r="E61" s="387" t="n"/>
      <c r="F61" s="388" t="n"/>
      <c r="G61" s="389" t="n"/>
      <c r="H61" s="390" t="n"/>
      <c r="I61" s="391" t="n"/>
      <c r="J61" s="392" t="inlineStr">
        <is>
          <t>Qs=</t>
        </is>
      </c>
      <c r="K61" s="393" t="inlineStr">
        <is>
          <t>a</t>
        </is>
      </c>
      <c r="L61" s="388" t="inlineStr">
        <is>
          <t>L</t>
        </is>
      </c>
      <c r="M61" s="389" t="inlineStr">
        <is>
          <t>R</t>
        </is>
      </c>
      <c r="N61" s="394" t="inlineStr">
        <is>
          <t>H</t>
        </is>
      </c>
      <c r="O61" s="395" t="inlineStr">
        <is>
          <t>D  T</t>
        </is>
      </c>
      <c r="P61" s="396" t="inlineStr">
        <is>
          <t>Ze</t>
        </is>
      </c>
      <c r="Q61" s="397" t="n"/>
    </row>
    <row r="62" ht="9.949999999999999" customFormat="1" customHeight="1" s="356">
      <c r="A62" s="398" t="n"/>
      <c r="B62" s="399" t="n"/>
      <c r="C62" s="400" t="n"/>
      <c r="D62" s="400" t="n"/>
      <c r="E62" s="401" t="n"/>
      <c r="F62" s="402" t="n"/>
      <c r="G62" s="403" t="n"/>
      <c r="H62" s="404" t="n"/>
      <c r="I62" s="405" t="n"/>
      <c r="J62" s="406" t="inlineStr">
        <is>
          <t>Qs  =</t>
        </is>
      </c>
      <c r="K62" s="407" t="n">
        <v>2</v>
      </c>
      <c r="L62" s="382">
        <f>(D54+E54)*2*G54+(D56+E56)*2*G56</f>
        <v/>
      </c>
      <c r="M62" s="407" t="n">
        <v>0.9</v>
      </c>
      <c r="N62" s="407" t="n">
        <v>0.67</v>
      </c>
      <c r="O62" s="381" t="n">
        <v>23</v>
      </c>
      <c r="P62" s="382" t="n">
        <v>1.2</v>
      </c>
      <c r="Q62" s="383">
        <f>K62*L62*M62*N62*O62*P62</f>
        <v/>
      </c>
    </row>
    <row r="63" ht="9.949999999999999" customFormat="1" customHeight="1" s="356">
      <c r="A63" s="408" t="n"/>
      <c r="B63" s="409" t="n"/>
      <c r="C63" s="400" t="n"/>
      <c r="D63" s="400" t="n"/>
      <c r="E63" s="377" t="n"/>
      <c r="F63" s="256" t="n"/>
      <c r="G63" s="410" t="n"/>
      <c r="H63" s="400" t="n"/>
      <c r="I63" s="411" t="n"/>
      <c r="J63" s="400" t="n"/>
      <c r="K63" s="410" t="n"/>
      <c r="L63" s="412" t="n"/>
      <c r="M63" s="413" t="inlineStr">
        <is>
          <t xml:space="preserve">   TOPLAM ISI KAYBI =</t>
        </is>
      </c>
      <c r="N63" s="413" t="n"/>
      <c r="O63" s="414" t="n"/>
      <c r="P63" s="415" t="n"/>
      <c r="Q63" s="416">
        <f>Q60+Q62</f>
        <v/>
      </c>
    </row>
    <row r="64" ht="9.949999999999999" customFormat="1" customHeight="1" s="356">
      <c r="A64" s="417" t="n"/>
      <c r="B64" s="399" t="n"/>
      <c r="C64" s="418" t="n"/>
      <c r="D64" s="419" t="n"/>
      <c r="E64" s="419" t="n"/>
      <c r="F64" s="420" t="n"/>
      <c r="G64" s="421" t="n"/>
      <c r="H64" s="422" t="n"/>
      <c r="I64" s="420" t="n"/>
      <c r="J64" s="419" t="n"/>
      <c r="K64" s="421" t="n"/>
      <c r="L64" s="423" t="n"/>
      <c r="M64" s="424" t="n"/>
      <c r="N64" s="421" t="n"/>
      <c r="O64" s="424" t="n"/>
      <c r="P64" s="420" t="n"/>
      <c r="Q64" s="425" t="n"/>
    </row>
    <row r="65" ht="9.949999999999999" customFormat="1" customHeight="1" s="356">
      <c r="A65" s="359" t="n"/>
      <c r="B65" s="360" t="n"/>
      <c r="C65" s="360" t="n"/>
      <c r="D65" s="360" t="n"/>
      <c r="E65" s="360" t="n"/>
      <c r="F65" s="426" t="inlineStr">
        <is>
          <t>Z06</t>
        </is>
      </c>
      <c r="G65" s="362" t="n"/>
      <c r="H65" s="360" t="n"/>
      <c r="I65" s="427" t="inlineStr">
        <is>
          <t>D1 BANYO</t>
        </is>
      </c>
      <c r="J65" s="428" t="n"/>
      <c r="K65" s="360" t="inlineStr">
        <is>
          <t>24ºC</t>
        </is>
      </c>
      <c r="L65" s="429" t="n"/>
      <c r="M65" s="360" t="n"/>
      <c r="N65" s="360" t="n"/>
      <c r="O65" s="360" t="n"/>
      <c r="P65" s="429" t="n"/>
      <c r="Q65" s="430" t="n"/>
    </row>
    <row r="66" ht="9.949999999999999" customFormat="1" customHeight="1" s="356">
      <c r="A66" s="365" t="inlineStr">
        <is>
          <t>İD</t>
        </is>
      </c>
      <c r="B66" s="366" t="n"/>
      <c r="C66" s="367" t="n"/>
      <c r="D66" s="368" t="n">
        <v>2.64</v>
      </c>
      <c r="E66" s="368" t="n">
        <v>3</v>
      </c>
      <c r="F66" s="369">
        <f>IF(D66=0," ",D66*E66)</f>
        <v/>
      </c>
      <c r="G66" s="370" t="n">
        <v>1</v>
      </c>
      <c r="H66" s="371" t="n"/>
      <c r="I66" s="369">
        <f>IF(F66=" "," ",F66*G66-H66)</f>
        <v/>
      </c>
      <c r="J66" s="368" t="n">
        <v>0.8139999999999999</v>
      </c>
      <c r="K66" s="370" t="n">
        <v>14</v>
      </c>
      <c r="L66" s="372">
        <f>IF(I66=" "," ",I66*J66*K66)</f>
        <v/>
      </c>
      <c r="M66" s="373" t="n">
        <v>7</v>
      </c>
      <c r="N66" s="370" t="n">
        <v>0</v>
      </c>
      <c r="O66" s="373" t="n">
        <v>0</v>
      </c>
      <c r="P66" s="369">
        <f>IF(M66=" "," ",(1+(M66+N66+O66)/100))</f>
        <v/>
      </c>
      <c r="Q66" s="374">
        <f>IF(L66=" "," ",L66*P66)</f>
        <v/>
      </c>
    </row>
    <row r="67" ht="9.949999999999999" customFormat="1" customHeight="1" s="356">
      <c r="A67" s="365" t="inlineStr">
        <is>
          <t>İD</t>
        </is>
      </c>
      <c r="B67" s="366" t="n"/>
      <c r="C67" s="367" t="n"/>
      <c r="D67" s="368" t="n">
        <v>2.16</v>
      </c>
      <c r="E67" s="368" t="n">
        <v>3</v>
      </c>
      <c r="F67" s="369">
        <f>IF(D67=0," ",D67*E67)</f>
        <v/>
      </c>
      <c r="G67" s="370" t="n">
        <v>1</v>
      </c>
      <c r="H67" s="371" t="n"/>
      <c r="I67" s="369">
        <f>IF(F67=" "," ",F67*G67-H67)</f>
        <v/>
      </c>
      <c r="J67" s="368" t="n">
        <v>0.8139999999999999</v>
      </c>
      <c r="K67" s="370" t="n">
        <v>9</v>
      </c>
      <c r="L67" s="372">
        <f>IF(I67=" "," ",I67*J67*K67)</f>
        <v/>
      </c>
      <c r="M67" s="373" t="n">
        <v>7</v>
      </c>
      <c r="N67" s="370" t="n">
        <v>0</v>
      </c>
      <c r="O67" s="373" t="n">
        <v>0</v>
      </c>
      <c r="P67" s="369">
        <f>IF(M67=" "," ",(1+(M67+N67+O67)/100))</f>
        <v/>
      </c>
      <c r="Q67" s="374">
        <f>IF(L67=" "," ",L67*P67)</f>
        <v/>
      </c>
    </row>
    <row r="68" ht="9.949999999999999" customFormat="1" customHeight="1" s="356">
      <c r="A68" s="462" t="inlineStr">
        <is>
          <t>İD</t>
        </is>
      </c>
      <c r="B68" s="463" t="n"/>
      <c r="C68" s="464" t="n"/>
      <c r="D68" s="369" t="n">
        <v>2.54</v>
      </c>
      <c r="E68" s="369" t="n">
        <v>3</v>
      </c>
      <c r="F68" s="369">
        <f>IF(D68=0," ",D68*E68)</f>
        <v/>
      </c>
      <c r="G68" s="465" t="n">
        <v>1</v>
      </c>
      <c r="H68" s="466" t="n"/>
      <c r="I68" s="369">
        <f>IF(F68=" "," ",F68*G68-H68)</f>
        <v/>
      </c>
      <c r="J68" s="369" t="n">
        <v>0.8139999999999999</v>
      </c>
      <c r="K68" s="465" t="n">
        <v>4</v>
      </c>
      <c r="L68" s="372">
        <f>IF(I68=" "," ",I68*J68*K68)</f>
        <v/>
      </c>
      <c r="M68" s="373" t="n">
        <v>7</v>
      </c>
      <c r="N68" s="370" t="n">
        <v>0</v>
      </c>
      <c r="O68" s="373" t="n">
        <v>0</v>
      </c>
      <c r="P68" s="369">
        <f>IF(M68=" "," ",(1+(M68+N68+O68)/100))</f>
        <v/>
      </c>
      <c r="Q68" s="374">
        <f>IF(L68=" "," ",L68*P68)</f>
        <v/>
      </c>
    </row>
    <row r="69" ht="9.949999999999999" customFormat="1" customHeight="1" s="437">
      <c r="A69" s="462" t="inlineStr">
        <is>
          <t>Dö</t>
        </is>
      </c>
      <c r="B69" s="463" t="n"/>
      <c r="C69" s="464" t="n"/>
      <c r="D69" s="369" t="n">
        <v>4.96</v>
      </c>
      <c r="E69" s="369" t="n">
        <v>1</v>
      </c>
      <c r="F69" s="369">
        <f>IF(D69=0," ",D69*E69)</f>
        <v/>
      </c>
      <c r="G69" s="465" t="n">
        <v>1</v>
      </c>
      <c r="H69" s="466" t="n"/>
      <c r="I69" s="369">
        <f>IF(F69=" "," ",F69*G69-H69)</f>
        <v/>
      </c>
      <c r="J69" s="369" t="n">
        <v>0.269</v>
      </c>
      <c r="K69" s="465" t="n">
        <v>18</v>
      </c>
      <c r="L69" s="372">
        <f>IF(I69=" "," ",I69*J69*K69)</f>
        <v/>
      </c>
      <c r="M69" s="467" t="n">
        <v>7</v>
      </c>
      <c r="N69" s="465" t="n">
        <v>0</v>
      </c>
      <c r="O69" s="467" t="n">
        <v>0</v>
      </c>
      <c r="P69" s="369">
        <f>IF(M69=" "," ",(1+(M69+N69+O69)/100))</f>
        <v/>
      </c>
      <c r="Q69" s="374">
        <f>IF(L69=" "," ",L69*P69)</f>
        <v/>
      </c>
    </row>
    <row r="70" ht="9.949999999999999" customFormat="1" customHeight="1" s="437">
      <c r="A70" s="468" t="n"/>
      <c r="B70" s="469" t="n"/>
      <c r="C70" s="469" t="n"/>
      <c r="D70" s="378" t="n"/>
      <c r="E70" s="378" t="n"/>
      <c r="F70" s="378" t="n"/>
      <c r="G70" s="470" t="n"/>
      <c r="H70" s="378" t="n"/>
      <c r="I70" s="378" t="n"/>
      <c r="J70" s="378" t="n"/>
      <c r="K70" s="379" t="n"/>
      <c r="L70" s="471" t="n"/>
      <c r="M70" s="381" t="n"/>
      <c r="N70" s="381" t="n"/>
      <c r="O70" s="381" t="n"/>
      <c r="P70" s="407" t="n"/>
      <c r="Q70" s="383">
        <f>SUM(Q66:Q69)</f>
        <v/>
      </c>
    </row>
    <row r="71" ht="9.949999999999999" customFormat="1" customHeight="1" s="351">
      <c r="A71" s="472" t="n"/>
      <c r="B71" s="473" t="n"/>
      <c r="C71" s="473" t="n"/>
      <c r="D71" s="474" t="n"/>
      <c r="E71" s="475" t="n"/>
      <c r="F71" s="388" t="n"/>
      <c r="G71" s="396" t="n"/>
      <c r="H71" s="388" t="n"/>
      <c r="I71" s="391" t="n"/>
      <c r="J71" s="476" t="inlineStr">
        <is>
          <t>Qs=</t>
        </is>
      </c>
      <c r="K71" s="391" t="inlineStr">
        <is>
          <t>a</t>
        </is>
      </c>
      <c r="L71" s="388" t="inlineStr">
        <is>
          <t>L</t>
        </is>
      </c>
      <c r="M71" s="396" t="inlineStr">
        <is>
          <t>R</t>
        </is>
      </c>
      <c r="N71" s="477" t="inlineStr">
        <is>
          <t>H</t>
        </is>
      </c>
      <c r="O71" s="478" t="inlineStr">
        <is>
          <t>D  T</t>
        </is>
      </c>
      <c r="P71" s="396" t="inlineStr">
        <is>
          <t>Ze</t>
        </is>
      </c>
      <c r="Q71" s="397" t="n"/>
    </row>
    <row r="72" ht="9.949999999999999" customFormat="1" customHeight="1" s="351">
      <c r="A72" s="431" t="n"/>
      <c r="B72" s="437" t="n"/>
      <c r="C72" s="411" t="n"/>
      <c r="D72" s="411" t="n"/>
      <c r="E72" s="433" t="n"/>
      <c r="F72" s="402" t="n"/>
      <c r="G72" s="434" t="n"/>
      <c r="H72" s="435" t="n"/>
      <c r="I72" s="405" t="n"/>
      <c r="J72" s="436" t="inlineStr">
        <is>
          <t>Qs  =</t>
        </is>
      </c>
      <c r="K72" s="382" t="n">
        <v>2</v>
      </c>
      <c r="L72" s="382" t="n">
        <v>0</v>
      </c>
      <c r="M72" s="382" t="n">
        <v>0.9</v>
      </c>
      <c r="N72" s="382" t="n">
        <v>0.67</v>
      </c>
      <c r="O72" s="479" t="n">
        <v>27</v>
      </c>
      <c r="P72" s="382" t="n">
        <v>1.2</v>
      </c>
      <c r="Q72" s="383">
        <f>K72*L72*M72*N72*O72*P72</f>
        <v/>
      </c>
    </row>
    <row r="73" ht="9.949999999999999" customFormat="1" customHeight="1" s="351">
      <c r="A73" s="438" t="n"/>
      <c r="B73" s="439" t="n"/>
      <c r="C73" s="411" t="n"/>
      <c r="D73" s="411" t="n"/>
      <c r="E73" s="378" t="n"/>
      <c r="F73" s="256" t="n"/>
      <c r="G73" s="440" t="n"/>
      <c r="H73" s="411" t="n"/>
      <c r="I73" s="411" t="n"/>
      <c r="J73" s="411" t="n"/>
      <c r="K73" s="440" t="n"/>
      <c r="L73" s="412" t="n"/>
      <c r="M73" s="415" t="inlineStr">
        <is>
          <t xml:space="preserve">   TOPLAM ISI KAYBI =</t>
        </is>
      </c>
      <c r="N73" s="415" t="n"/>
      <c r="O73" s="441" t="n"/>
      <c r="P73" s="415" t="n"/>
      <c r="Q73" s="416">
        <f>Q70+Q72</f>
        <v/>
      </c>
    </row>
    <row r="74" ht="9.949999999999999" customFormat="1" customHeight="1" s="351">
      <c r="A74" s="480" t="n"/>
      <c r="B74" s="437" t="n"/>
      <c r="C74" s="443" t="n"/>
      <c r="D74" s="443" t="n"/>
      <c r="E74" s="481" t="n"/>
      <c r="F74" s="481" t="n"/>
      <c r="G74" s="482" t="n"/>
      <c r="H74" s="443" t="n"/>
      <c r="I74" s="443" t="n"/>
      <c r="J74" s="443" t="n"/>
      <c r="K74" s="482" t="n"/>
      <c r="L74" s="483" t="n"/>
      <c r="M74" s="484" t="n"/>
      <c r="N74" s="484" t="n"/>
      <c r="O74" s="485" t="n"/>
      <c r="P74" s="484" t="n"/>
      <c r="Q74" s="486" t="n"/>
    </row>
    <row r="75" ht="9.949999999999999" customFormat="1" customHeight="1" s="351">
      <c r="A75" s="453" t="n"/>
      <c r="B75" s="429" t="n"/>
      <c r="C75" s="429" t="n"/>
      <c r="D75" s="429" t="n"/>
      <c r="E75" s="429" t="n"/>
      <c r="F75" s="426" t="inlineStr">
        <is>
          <t>Z07</t>
        </is>
      </c>
      <c r="G75" s="454" t="n"/>
      <c r="H75" s="429" t="n"/>
      <c r="I75" s="427" t="inlineStr">
        <is>
          <t>D2 MUTFAK</t>
        </is>
      </c>
      <c r="J75" s="264" t="n"/>
      <c r="K75" s="429" t="inlineStr">
        <is>
          <t>20ºC</t>
        </is>
      </c>
      <c r="L75" s="429" t="n"/>
      <c r="M75" s="429" t="n"/>
      <c r="N75" s="429" t="n"/>
      <c r="O75" s="429" t="n"/>
      <c r="P75" s="429" t="n"/>
      <c r="Q75" s="430" t="n"/>
    </row>
    <row r="76">
      <c r="A76" s="462" t="inlineStr">
        <is>
          <t>DD</t>
        </is>
      </c>
      <c r="B76" s="463" t="inlineStr">
        <is>
          <t>K</t>
        </is>
      </c>
      <c r="C76" s="464" t="n"/>
      <c r="D76" s="369" t="n">
        <v>0.65</v>
      </c>
      <c r="E76" s="369" t="n">
        <v>3</v>
      </c>
      <c r="F76" s="369">
        <f>IF(D76=0," ",D76*E76)</f>
        <v/>
      </c>
      <c r="G76" s="465" t="n">
        <v>1</v>
      </c>
      <c r="H76" s="466" t="n"/>
      <c r="I76" s="369">
        <f>IF(F76=" "," ",F76*G76-H76)</f>
        <v/>
      </c>
      <c r="J76" s="369" t="n">
        <v>0.479</v>
      </c>
      <c r="K76" s="465" t="n">
        <v>23</v>
      </c>
      <c r="L76" s="372">
        <f>IF(I76=" "," ",I76*J76*K76)</f>
        <v/>
      </c>
      <c r="M76" s="467" t="n">
        <v>7</v>
      </c>
      <c r="N76" s="465" t="n">
        <v>0</v>
      </c>
      <c r="O76" s="467" t="n">
        <v>5</v>
      </c>
      <c r="P76" s="369">
        <f>IF(M76=" "," ",(1+(M76+N76+O76)/100))</f>
        <v/>
      </c>
      <c r="Q76" s="374">
        <f>IF(L76=" "," ",L76*P76)</f>
        <v/>
      </c>
    </row>
    <row r="77">
      <c r="A77" s="462" t="inlineStr">
        <is>
          <t>DD</t>
        </is>
      </c>
      <c r="B77" s="463" t="inlineStr">
        <is>
          <t>D</t>
        </is>
      </c>
      <c r="C77" s="464" t="n"/>
      <c r="D77" s="369" t="n">
        <v>1.34</v>
      </c>
      <c r="E77" s="369" t="n">
        <v>3</v>
      </c>
      <c r="F77" s="369">
        <f>IF(D77=0," ",D77*E77)</f>
        <v/>
      </c>
      <c r="G77" s="465" t="n">
        <v>1</v>
      </c>
      <c r="H77" s="466" t="n"/>
      <c r="I77" s="369">
        <f>IF(F77=" "," ",F77*G77-H77)</f>
        <v/>
      </c>
      <c r="J77" s="369" t="n">
        <v>0.479</v>
      </c>
      <c r="K77" s="465" t="n">
        <v>23</v>
      </c>
      <c r="L77" s="372">
        <f>IF(I77=" "," ",I77*J77*K77)</f>
        <v/>
      </c>
      <c r="M77" s="467" t="n">
        <v>7</v>
      </c>
      <c r="N77" s="465" t="n">
        <v>0</v>
      </c>
      <c r="O77" s="467" t="n">
        <v>0</v>
      </c>
      <c r="P77" s="369">
        <f>IF(M77=" "," ",(1+(M77+N77+O77)/100))</f>
        <v/>
      </c>
      <c r="Q77" s="374">
        <f>IF(L77=" "," ",L77*P77)</f>
        <v/>
      </c>
    </row>
    <row r="78">
      <c r="A78" s="462" t="inlineStr">
        <is>
          <t>DD</t>
        </is>
      </c>
      <c r="B78" s="463" t="inlineStr">
        <is>
          <t>G</t>
        </is>
      </c>
      <c r="C78" s="464" t="n"/>
      <c r="D78" s="369" t="n">
        <v>2.32</v>
      </c>
      <c r="E78" s="369" t="n">
        <v>3</v>
      </c>
      <c r="F78" s="369">
        <f>IF(D78=0," ",D78*E78)</f>
        <v/>
      </c>
      <c r="G78" s="465" t="n">
        <v>1</v>
      </c>
      <c r="H78" s="466">
        <f>F79*G79</f>
        <v/>
      </c>
      <c r="I78" s="369">
        <f>IF(F78=" "," ",F78*G78-H78)</f>
        <v/>
      </c>
      <c r="J78" s="369" t="n">
        <v>0.479</v>
      </c>
      <c r="K78" s="465" t="n">
        <v>23</v>
      </c>
      <c r="L78" s="372">
        <f>IF(I78=" "," ",I78*J78*K78)</f>
        <v/>
      </c>
      <c r="M78" s="467" t="n">
        <v>7</v>
      </c>
      <c r="N78" s="465" t="n">
        <v>0</v>
      </c>
      <c r="O78" s="467" t="n">
        <v>-5</v>
      </c>
      <c r="P78" s="369">
        <f>IF(M78=" "," ",(1+(M78+N78+O78)/100))</f>
        <v/>
      </c>
      <c r="Q78" s="374">
        <f>IF(L78=" "," ",L78*P78)</f>
        <v/>
      </c>
    </row>
    <row r="79">
      <c r="A79" s="462" t="inlineStr">
        <is>
          <t>ÇP</t>
        </is>
      </c>
      <c r="B79" s="463" t="inlineStr">
        <is>
          <t>G</t>
        </is>
      </c>
      <c r="C79" s="464" t="n"/>
      <c r="D79" s="369" t="n">
        <v>1.6</v>
      </c>
      <c r="E79" s="369" t="n">
        <v>2.3</v>
      </c>
      <c r="F79" s="369">
        <f>IF(D79=0," ",D79*E79)</f>
        <v/>
      </c>
      <c r="G79" s="465" t="n">
        <v>1</v>
      </c>
      <c r="H79" s="466" t="n"/>
      <c r="I79" s="369">
        <f>IF(F79=" "," ",F79*G79-H79)</f>
        <v/>
      </c>
      <c r="J79" s="369" t="n">
        <v>2.4</v>
      </c>
      <c r="K79" s="465" t="n">
        <v>23</v>
      </c>
      <c r="L79" s="372">
        <f>IF(I79=" "," ",I79*J79*K79)</f>
        <v/>
      </c>
      <c r="M79" s="467" t="n">
        <v>7</v>
      </c>
      <c r="N79" s="465" t="n">
        <v>0</v>
      </c>
      <c r="O79" s="467" t="n">
        <v>-5</v>
      </c>
      <c r="P79" s="369">
        <f>IF(M79=" "," ",(1+(M79+N79+O79)/100))</f>
        <v/>
      </c>
      <c r="Q79" s="374">
        <f>IF(L79=" "," ",L79*P79)</f>
        <v/>
      </c>
    </row>
    <row r="80" ht="9.75" customFormat="1" customHeight="1" s="329">
      <c r="A80" s="462" t="inlineStr">
        <is>
          <t>İD</t>
        </is>
      </c>
      <c r="B80" s="463" t="n"/>
      <c r="C80" s="464" t="n"/>
      <c r="D80" s="369" t="n">
        <v>1.1</v>
      </c>
      <c r="E80" s="369" t="n">
        <v>3</v>
      </c>
      <c r="F80" s="369">
        <f>IF(D80=0," ",D80*E80)</f>
        <v/>
      </c>
      <c r="G80" s="465" t="n">
        <v>1</v>
      </c>
      <c r="H80" s="466" t="n"/>
      <c r="I80" s="369">
        <f>IF(F80=" "," ",F80*G80-H80)</f>
        <v/>
      </c>
      <c r="J80" s="369" t="n">
        <v>0.8139999999999999</v>
      </c>
      <c r="K80" s="465" t="n">
        <v>5</v>
      </c>
      <c r="L80" s="372">
        <f>IF(I80=" "," ",I80*J80*K80)</f>
        <v/>
      </c>
      <c r="M80" s="467" t="n">
        <v>7</v>
      </c>
      <c r="N80" s="465" t="n">
        <v>0</v>
      </c>
      <c r="O80" s="373" t="n">
        <v>0</v>
      </c>
      <c r="P80" s="368">
        <f>IF(M80=" "," ",(1+(M80+N80+O80)/100))</f>
        <v/>
      </c>
      <c r="Q80" s="456">
        <f>IF(L80=" "," ",L80*P80)</f>
        <v/>
      </c>
    </row>
    <row r="81" ht="10.5" customFormat="1" customHeight="1" s="339">
      <c r="A81" s="462" t="inlineStr">
        <is>
          <t>Dö</t>
        </is>
      </c>
      <c r="B81" s="463" t="n"/>
      <c r="C81" s="464" t="n"/>
      <c r="D81" s="369" t="n">
        <v>9.050000000000001</v>
      </c>
      <c r="E81" s="369" t="n">
        <v>1</v>
      </c>
      <c r="F81" s="369">
        <f>IF(D81=0," ",D81*E81)</f>
        <v/>
      </c>
      <c r="G81" s="465" t="n">
        <v>1</v>
      </c>
      <c r="H81" s="371" t="n"/>
      <c r="I81" s="368">
        <f>IF(F81=" "," ",F81*G81-H81)</f>
        <v/>
      </c>
      <c r="J81" s="368" t="n">
        <v>0.269</v>
      </c>
      <c r="K81" s="370" t="n">
        <v>14</v>
      </c>
      <c r="L81" s="455">
        <f>IF(I81=" "," ",I81*J81*K81)</f>
        <v/>
      </c>
      <c r="M81" s="467" t="n">
        <v>7</v>
      </c>
      <c r="N81" s="465" t="n">
        <v>0</v>
      </c>
      <c r="O81" s="373" t="n">
        <v>0</v>
      </c>
      <c r="P81" s="368">
        <f>IF(M81=" "," ",(1+(M81+N81+O81)/100))</f>
        <v/>
      </c>
      <c r="Q81" s="456">
        <f>IF(L81=" "," ",L81*P81)</f>
        <v/>
      </c>
    </row>
    <row r="82" ht="8.25" customFormat="1" customHeight="1" s="339">
      <c r="A82" s="468" t="n"/>
      <c r="B82" s="469" t="n"/>
      <c r="C82" s="469" t="n"/>
      <c r="D82" s="378" t="n"/>
      <c r="E82" s="378" t="n"/>
      <c r="F82" s="378" t="n"/>
      <c r="G82" s="470" t="n"/>
      <c r="H82" s="378" t="n"/>
      <c r="I82" s="378" t="n"/>
      <c r="J82" s="378" t="n"/>
      <c r="K82" s="470" t="n"/>
      <c r="L82" s="380" t="n"/>
      <c r="M82" s="479" t="n"/>
      <c r="N82" s="479" t="n"/>
      <c r="O82" s="479" t="n"/>
      <c r="P82" s="382" t="n"/>
      <c r="Q82" s="383">
        <f>SUM(Q76:Q81)</f>
        <v/>
      </c>
    </row>
    <row r="83" ht="31.5" customFormat="1" customHeight="1" s="351">
      <c r="A83" s="472" t="n"/>
      <c r="B83" s="473" t="n"/>
      <c r="C83" s="473" t="n"/>
      <c r="D83" s="474" t="n"/>
      <c r="E83" s="475" t="n"/>
      <c r="F83" s="388" t="n"/>
      <c r="G83" s="396" t="n"/>
      <c r="H83" s="388" t="n"/>
      <c r="I83" s="391" t="n"/>
      <c r="J83" s="476" t="inlineStr">
        <is>
          <t>Qs=</t>
        </is>
      </c>
      <c r="K83" s="391" t="inlineStr">
        <is>
          <t>a</t>
        </is>
      </c>
      <c r="L83" s="388" t="inlineStr">
        <is>
          <t>L</t>
        </is>
      </c>
      <c r="M83" s="396" t="inlineStr">
        <is>
          <t>R</t>
        </is>
      </c>
      <c r="N83" s="477" t="inlineStr">
        <is>
          <t>H</t>
        </is>
      </c>
      <c r="O83" s="478" t="inlineStr">
        <is>
          <t>D  T</t>
        </is>
      </c>
      <c r="P83" s="396" t="inlineStr">
        <is>
          <t>Ze</t>
        </is>
      </c>
      <c r="Q83" s="397" t="n"/>
    </row>
    <row r="84" ht="9.75" customFormat="1" customHeight="1" s="351">
      <c r="A84" s="431" t="n"/>
      <c r="B84" s="354" t="n"/>
      <c r="C84" s="411" t="n"/>
      <c r="D84" s="411" t="n"/>
      <c r="E84" s="433" t="n"/>
      <c r="F84" s="402" t="n"/>
      <c r="G84" s="434" t="n"/>
      <c r="H84" s="435" t="n"/>
      <c r="I84" s="405" t="n"/>
      <c r="J84" s="436" t="inlineStr">
        <is>
          <t>Qs  =</t>
        </is>
      </c>
      <c r="K84" s="382" t="n">
        <v>2</v>
      </c>
      <c r="L84" s="382">
        <f>(D79+E79)*2*G79</f>
        <v/>
      </c>
      <c r="M84" s="382" t="n">
        <v>0.9</v>
      </c>
      <c r="N84" s="382" t="n">
        <v>0.67</v>
      </c>
      <c r="O84" s="479" t="n">
        <v>23</v>
      </c>
      <c r="P84" s="382" t="n">
        <v>1.2</v>
      </c>
      <c r="Q84" s="383">
        <f>K84*L84*M84*N84*O84*P84</f>
        <v/>
      </c>
    </row>
    <row r="85" ht="15.75" customFormat="1" customHeight="1" s="356">
      <c r="A85" s="438" t="n"/>
      <c r="B85" s="439" t="n"/>
      <c r="C85" s="411" t="n"/>
      <c r="D85" s="411" t="n"/>
      <c r="E85" s="378" t="n"/>
      <c r="F85" s="256" t="n"/>
      <c r="G85" s="440" t="n"/>
      <c r="H85" s="411" t="n"/>
      <c r="I85" s="411" t="n"/>
      <c r="J85" s="411" t="n"/>
      <c r="K85" s="440" t="n"/>
      <c r="L85" s="412" t="n"/>
      <c r="M85" s="415" t="inlineStr">
        <is>
          <t xml:space="preserve">   TOPLAM ISI KAYBI =</t>
        </is>
      </c>
      <c r="N85" s="415" t="n"/>
      <c r="O85" s="441" t="n"/>
      <c r="P85" s="415" t="n"/>
      <c r="Q85" s="416">
        <f>Q82+Q84</f>
        <v/>
      </c>
    </row>
    <row r="86" ht="11.25" customFormat="1" customHeight="1" s="356">
      <c r="A86" s="346" t="n"/>
      <c r="B86" s="346" t="n"/>
      <c r="C86" s="346" t="n"/>
      <c r="D86" s="346" t="n"/>
      <c r="E86" s="346" t="n"/>
      <c r="F86" s="346" t="n"/>
      <c r="G86" s="346" t="n"/>
      <c r="H86" s="346" t="n"/>
      <c r="I86" s="346" t="n"/>
      <c r="J86" s="346" t="n"/>
      <c r="K86" s="346" t="n"/>
      <c r="L86" s="346" t="n"/>
      <c r="M86" s="346" t="n"/>
      <c r="N86" s="346" t="n"/>
      <c r="O86" s="346" t="n"/>
      <c r="P86" s="346" t="n"/>
      <c r="Q86" s="346" t="n"/>
    </row>
    <row r="87" ht="9.75" customFormat="1" customHeight="1" s="356">
      <c r="A87" s="359" t="n"/>
      <c r="B87" s="360" t="n"/>
      <c r="C87" s="360" t="n"/>
      <c r="D87" s="360" t="n"/>
      <c r="E87" s="360" t="n"/>
      <c r="F87" s="361" t="inlineStr">
        <is>
          <t>Z08</t>
        </is>
      </c>
      <c r="G87" s="362" t="n"/>
      <c r="H87" s="360" t="n"/>
      <c r="I87" s="363" t="inlineStr">
        <is>
          <t>D2 YATAK OD.</t>
        </is>
      </c>
      <c r="J87" s="264" t="n"/>
      <c r="K87" s="360" t="inlineStr">
        <is>
          <t>20ºC</t>
        </is>
      </c>
      <c r="L87" s="360" t="n"/>
      <c r="M87" s="360" t="n"/>
      <c r="N87" s="360" t="n"/>
      <c r="O87" s="360" t="n"/>
      <c r="P87" s="360" t="n"/>
      <c r="Q87" s="364" t="n"/>
    </row>
    <row r="88" ht="9.949999999999999" customFormat="1" customHeight="1" s="356">
      <c r="A88" s="365" t="inlineStr">
        <is>
          <t>DD</t>
        </is>
      </c>
      <c r="B88" s="366" t="inlineStr">
        <is>
          <t>B</t>
        </is>
      </c>
      <c r="C88" s="367" t="n"/>
      <c r="D88" s="368" t="n">
        <v>2.72</v>
      </c>
      <c r="E88" s="368" t="n">
        <v>3</v>
      </c>
      <c r="F88" s="369">
        <f>IF(D88=0," ",D88*E88)</f>
        <v/>
      </c>
      <c r="G88" s="370" t="n">
        <v>1</v>
      </c>
      <c r="H88" s="371">
        <f>F89*G89</f>
        <v/>
      </c>
      <c r="I88" s="369">
        <f>IF(F88=" "," ",F88*G88-H88)</f>
        <v/>
      </c>
      <c r="J88" s="368" t="n">
        <v>0.479</v>
      </c>
      <c r="K88" s="370" t="n">
        <v>23</v>
      </c>
      <c r="L88" s="372">
        <f>IF(I88=" "," ",I88*J88*K88)</f>
        <v/>
      </c>
      <c r="M88" s="373" t="n">
        <v>7</v>
      </c>
      <c r="N88" s="370" t="n">
        <v>0</v>
      </c>
      <c r="O88" s="373" t="n">
        <v>0</v>
      </c>
      <c r="P88" s="369">
        <f>IF(M88=" "," ",(1+(M88+N88+O88)/100))</f>
        <v/>
      </c>
      <c r="Q88" s="374">
        <f>IF(L88=" "," ",L88*P88)</f>
        <v/>
      </c>
    </row>
    <row r="89" ht="9.949999999999999" customFormat="1" customHeight="1" s="356">
      <c r="A89" s="365" t="inlineStr">
        <is>
          <t>ÇP</t>
        </is>
      </c>
      <c r="B89" s="366" t="inlineStr">
        <is>
          <t>B</t>
        </is>
      </c>
      <c r="C89" s="367" t="n"/>
      <c r="D89" s="368" t="n">
        <v>1.6</v>
      </c>
      <c r="E89" s="368" t="n">
        <v>2.3</v>
      </c>
      <c r="F89" s="369">
        <f>IF(D89=0," ",D89*E89)</f>
        <v/>
      </c>
      <c r="G89" s="370" t="n">
        <v>1</v>
      </c>
      <c r="H89" s="371" t="n"/>
      <c r="I89" s="369">
        <f>IF(F89=" "," ",F89*G89-H89)</f>
        <v/>
      </c>
      <c r="J89" s="368" t="n">
        <v>2.4</v>
      </c>
      <c r="K89" s="370" t="n">
        <v>23</v>
      </c>
      <c r="L89" s="372">
        <f>IF(I89=" "," ",I89*J89*K89)</f>
        <v/>
      </c>
      <c r="M89" s="373" t="n">
        <v>7</v>
      </c>
      <c r="N89" s="370" t="n">
        <v>0</v>
      </c>
      <c r="O89" s="373" t="n">
        <v>0</v>
      </c>
      <c r="P89" s="369">
        <f>IF(M89=" "," ",(1+(M89+N89+O89)/100))</f>
        <v/>
      </c>
      <c r="Q89" s="374">
        <f>IF(L89=" "," ",L89*P89)</f>
        <v/>
      </c>
    </row>
    <row r="90" ht="9.949999999999999" customFormat="1" customHeight="1" s="356">
      <c r="A90" s="365" t="inlineStr">
        <is>
          <t>İD</t>
        </is>
      </c>
      <c r="B90" s="366" t="n"/>
      <c r="C90" s="367" t="n"/>
      <c r="D90" s="368" t="n">
        <v>2.35</v>
      </c>
      <c r="E90" s="368" t="n">
        <v>3</v>
      </c>
      <c r="F90" s="369">
        <f>IF(D90=0," ",D90*E90)</f>
        <v/>
      </c>
      <c r="G90" s="370" t="n">
        <v>1</v>
      </c>
      <c r="H90" s="371" t="n"/>
      <c r="I90" s="369">
        <f>IF(F90=" "," ",F90*G90-H90)</f>
        <v/>
      </c>
      <c r="J90" s="368" t="n">
        <v>0.8139999999999999</v>
      </c>
      <c r="K90" s="370" t="n">
        <v>5</v>
      </c>
      <c r="L90" s="372">
        <f>IF(I90=" "," ",I90*J90*K90)</f>
        <v/>
      </c>
      <c r="M90" s="373" t="n">
        <v>7</v>
      </c>
      <c r="N90" s="370" t="n">
        <v>0</v>
      </c>
      <c r="O90" s="373" t="n">
        <v>0</v>
      </c>
      <c r="P90" s="369">
        <f>IF(M90=" "," ",(1+(M90+N90+O90)/100))</f>
        <v/>
      </c>
      <c r="Q90" s="374">
        <f>IF(L90=" "," ",L90*P90)</f>
        <v/>
      </c>
    </row>
    <row r="91" ht="9.949999999999999" customFormat="1" customHeight="1" s="356">
      <c r="A91" s="365" t="inlineStr">
        <is>
          <t>Dö</t>
        </is>
      </c>
      <c r="B91" s="366" t="n"/>
      <c r="C91" s="367" t="n"/>
      <c r="D91" s="368" t="n">
        <v>13.64</v>
      </c>
      <c r="E91" s="368" t="n">
        <v>1</v>
      </c>
      <c r="F91" s="369">
        <f>IF(D91=0," ",D91*E91)</f>
        <v/>
      </c>
      <c r="G91" s="370" t="n">
        <v>1</v>
      </c>
      <c r="H91" s="371" t="n"/>
      <c r="I91" s="369">
        <f>IF(F91=" "," ",F91*G91-H91)</f>
        <v/>
      </c>
      <c r="J91" s="368" t="n">
        <v>0.269</v>
      </c>
      <c r="K91" s="370" t="n">
        <v>14</v>
      </c>
      <c r="L91" s="372">
        <f>IF(I91=" "," ",I91*J91*K91)</f>
        <v/>
      </c>
      <c r="M91" s="373" t="n">
        <v>7</v>
      </c>
      <c r="N91" s="370" t="n">
        <v>0</v>
      </c>
      <c r="O91" s="373" t="n">
        <v>0</v>
      </c>
      <c r="P91" s="369">
        <f>IF(M91=" "," ",(1+(M91+N91+O91)/100))</f>
        <v/>
      </c>
      <c r="Q91" s="374">
        <f>IF(L91=" "," ",L91*P91)</f>
        <v/>
      </c>
    </row>
    <row r="92" ht="9.949999999999999" customFormat="1" customHeight="1" s="356">
      <c r="A92" s="375" t="n"/>
      <c r="B92" s="376" t="n"/>
      <c r="C92" s="376" t="n"/>
      <c r="D92" s="377" t="n"/>
      <c r="E92" s="377" t="n"/>
      <c r="F92" s="378" t="n"/>
      <c r="G92" s="379" t="n"/>
      <c r="H92" s="377" t="n"/>
      <c r="I92" s="378" t="n"/>
      <c r="J92" s="377" t="n"/>
      <c r="K92" s="379" t="n"/>
      <c r="L92" s="380" t="n"/>
      <c r="M92" s="381" t="n"/>
      <c r="N92" s="381" t="n"/>
      <c r="O92" s="381" t="n"/>
      <c r="P92" s="382" t="n"/>
      <c r="Q92" s="383">
        <f>SUM(Q88:Q91)</f>
        <v/>
      </c>
    </row>
    <row r="93" ht="9.949999999999999" customFormat="1" customHeight="1" s="356">
      <c r="A93" s="384" t="n"/>
      <c r="B93" s="385" t="n"/>
      <c r="C93" s="385" t="n"/>
      <c r="D93" s="386" t="n"/>
      <c r="E93" s="387" t="n"/>
      <c r="F93" s="388" t="n"/>
      <c r="G93" s="389" t="n"/>
      <c r="H93" s="390" t="n"/>
      <c r="I93" s="391" t="n"/>
      <c r="J93" s="392" t="inlineStr">
        <is>
          <t>Qs=</t>
        </is>
      </c>
      <c r="K93" s="393" t="inlineStr">
        <is>
          <t>a</t>
        </is>
      </c>
      <c r="L93" s="388" t="inlineStr">
        <is>
          <t>L</t>
        </is>
      </c>
      <c r="M93" s="389" t="inlineStr">
        <is>
          <t>R</t>
        </is>
      </c>
      <c r="N93" s="394" t="inlineStr">
        <is>
          <t>H</t>
        </is>
      </c>
      <c r="O93" s="395" t="inlineStr">
        <is>
          <t>D  T</t>
        </is>
      </c>
      <c r="P93" s="396" t="inlineStr">
        <is>
          <t>Ze</t>
        </is>
      </c>
      <c r="Q93" s="397" t="n"/>
    </row>
    <row r="94" ht="9.949999999999999" customFormat="1" customHeight="1" s="356">
      <c r="A94" s="398" t="n"/>
      <c r="B94" s="399" t="n"/>
      <c r="C94" s="400" t="n"/>
      <c r="D94" s="400" t="n"/>
      <c r="E94" s="401" t="n"/>
      <c r="F94" s="402" t="n"/>
      <c r="G94" s="403" t="n"/>
      <c r="H94" s="404" t="n"/>
      <c r="I94" s="405" t="n"/>
      <c r="J94" s="406" t="inlineStr">
        <is>
          <t>Qs  =</t>
        </is>
      </c>
      <c r="K94" s="407" t="n">
        <v>2</v>
      </c>
      <c r="L94" s="382">
        <f>(D89+E89)*2*G89</f>
        <v/>
      </c>
      <c r="M94" s="407" t="n">
        <v>0.9</v>
      </c>
      <c r="N94" s="407" t="n">
        <v>0.67</v>
      </c>
      <c r="O94" s="381" t="n">
        <v>23</v>
      </c>
      <c r="P94" s="382" t="n">
        <v>1.2</v>
      </c>
      <c r="Q94" s="383">
        <f>K94*L94*M94*N94*O94*P94</f>
        <v/>
      </c>
    </row>
    <row r="95" ht="9.949999999999999" customFormat="1" customHeight="1" s="356">
      <c r="A95" s="408" t="n"/>
      <c r="B95" s="409" t="n"/>
      <c r="C95" s="400" t="n"/>
      <c r="D95" s="400" t="n"/>
      <c r="E95" s="377" t="n"/>
      <c r="F95" s="256" t="n"/>
      <c r="G95" s="410" t="n"/>
      <c r="H95" s="400" t="n"/>
      <c r="I95" s="411" t="n"/>
      <c r="J95" s="400" t="n"/>
      <c r="K95" s="410" t="n"/>
      <c r="L95" s="412" t="n"/>
      <c r="M95" s="413" t="inlineStr">
        <is>
          <t xml:space="preserve">   TOPLAM ISI KAYBI =</t>
        </is>
      </c>
      <c r="N95" s="413" t="n"/>
      <c r="O95" s="414" t="n"/>
      <c r="P95" s="415" t="n"/>
      <c r="Q95" s="416">
        <f>Q92+Q94</f>
        <v/>
      </c>
    </row>
    <row r="96" ht="9.949999999999999" customFormat="1" customHeight="1" s="356">
      <c r="A96" s="457" t="n"/>
      <c r="B96" s="432" t="n"/>
      <c r="C96" s="432" t="n"/>
      <c r="D96" s="458" t="n"/>
      <c r="E96" s="458" t="n"/>
      <c r="F96" s="458" t="n"/>
      <c r="G96" s="459" t="n"/>
      <c r="H96" s="458" t="n"/>
      <c r="I96" s="458" t="n"/>
      <c r="J96" s="458" t="n"/>
      <c r="K96" s="459" t="n"/>
      <c r="L96" s="460" t="n"/>
      <c r="M96" s="451" t="n"/>
      <c r="N96" s="451" t="n"/>
      <c r="O96" s="451" t="n"/>
      <c r="P96" s="461" t="n"/>
      <c r="Q96" s="452" t="n"/>
    </row>
    <row r="97" ht="9.949999999999999" customFormat="1" customHeight="1" s="437">
      <c r="A97" s="453" t="n"/>
      <c r="B97" s="429" t="n"/>
      <c r="C97" s="429" t="n"/>
      <c r="D97" s="429" t="n"/>
      <c r="E97" s="429" t="n"/>
      <c r="F97" s="426" t="inlineStr">
        <is>
          <t>Z09</t>
        </is>
      </c>
      <c r="G97" s="454" t="n"/>
      <c r="H97" s="429" t="n"/>
      <c r="I97" s="427" t="inlineStr">
        <is>
          <t>D2 YATAK OD.</t>
        </is>
      </c>
      <c r="J97" s="264" t="n"/>
      <c r="K97" s="429" t="inlineStr">
        <is>
          <t>20ºC</t>
        </is>
      </c>
      <c r="L97" s="429" t="n"/>
      <c r="M97" s="429" t="n"/>
      <c r="N97" s="429" t="n"/>
      <c r="O97" s="429" t="n"/>
      <c r="P97" s="429" t="n"/>
      <c r="Q97" s="430" t="n"/>
    </row>
    <row r="98" ht="9.949999999999999" customFormat="1" customHeight="1" s="437">
      <c r="A98" s="462" t="inlineStr">
        <is>
          <t>DD</t>
        </is>
      </c>
      <c r="B98" s="463" t="inlineStr">
        <is>
          <t>B</t>
        </is>
      </c>
      <c r="C98" s="464" t="n"/>
      <c r="D98" s="369" t="n">
        <v>2.3</v>
      </c>
      <c r="E98" s="369" t="n">
        <v>3</v>
      </c>
      <c r="F98" s="369">
        <f>IF(D98=0," ",D98*E98)</f>
        <v/>
      </c>
      <c r="G98" s="465" t="n">
        <v>1</v>
      </c>
      <c r="H98" s="466">
        <f>F99*G99</f>
        <v/>
      </c>
      <c r="I98" s="369">
        <f>IF(F98=" "," ",F98*G98-H98)</f>
        <v/>
      </c>
      <c r="J98" s="369" t="n">
        <v>0.479</v>
      </c>
      <c r="K98" s="370" t="n">
        <v>23</v>
      </c>
      <c r="L98" s="455">
        <f>IF(I98=" "," ",I98*J98*K98)</f>
        <v/>
      </c>
      <c r="M98" s="373" t="n">
        <v>7</v>
      </c>
      <c r="N98" s="370" t="n">
        <v>0</v>
      </c>
      <c r="O98" s="373" t="n">
        <v>0</v>
      </c>
      <c r="P98" s="368">
        <f>IF(M98=" "," ",(1+(M98+N98+O98)/100))</f>
        <v/>
      </c>
      <c r="Q98" s="374">
        <f>IF(L98=" "," ",L98*P98)</f>
        <v/>
      </c>
    </row>
    <row r="99" ht="9.949999999999999" customFormat="1" customHeight="1" s="351">
      <c r="A99" s="462" t="inlineStr">
        <is>
          <t>ÇP</t>
        </is>
      </c>
      <c r="B99" s="463" t="inlineStr">
        <is>
          <t>B</t>
        </is>
      </c>
      <c r="C99" s="464" t="n"/>
      <c r="D99" s="369" t="n">
        <v>1.6</v>
      </c>
      <c r="E99" s="369" t="n">
        <v>2.3</v>
      </c>
      <c r="F99" s="369">
        <f>IF(D99=0," ",D99*E99)</f>
        <v/>
      </c>
      <c r="G99" s="465" t="n">
        <v>1</v>
      </c>
      <c r="H99" s="466" t="n"/>
      <c r="I99" s="369">
        <f>IF(F99=" "," ",F99*G99-H99)</f>
        <v/>
      </c>
      <c r="J99" s="369" t="n">
        <v>2.4</v>
      </c>
      <c r="K99" s="465" t="n">
        <v>23</v>
      </c>
      <c r="L99" s="372">
        <f>IF(I99=" "," ",I99*J99*K99)</f>
        <v/>
      </c>
      <c r="M99" s="467" t="n">
        <v>7</v>
      </c>
      <c r="N99" s="465" t="n">
        <v>0</v>
      </c>
      <c r="O99" s="467" t="n">
        <v>0</v>
      </c>
      <c r="P99" s="369">
        <f>IF(M99=" "," ",(1+(M99+N99+O99)/100))</f>
        <v/>
      </c>
      <c r="Q99" s="374">
        <f>IF(L99=" "," ",L99*P99)</f>
        <v/>
      </c>
    </row>
    <row r="100">
      <c r="A100" s="462" t="inlineStr">
        <is>
          <t>İD</t>
        </is>
      </c>
      <c r="B100" s="463" t="n"/>
      <c r="C100" s="464" t="n"/>
      <c r="D100" s="369" t="n">
        <v>2.5</v>
      </c>
      <c r="E100" s="369" t="n">
        <v>3</v>
      </c>
      <c r="F100" s="369">
        <f>IF(D100=0," ",D100*E100)</f>
        <v/>
      </c>
      <c r="G100" s="465" t="n">
        <v>1</v>
      </c>
      <c r="H100" s="466" t="n"/>
      <c r="I100" s="369">
        <f>IF(F100=" "," ",F100*G100-H100)</f>
        <v/>
      </c>
      <c r="J100" s="369" t="n">
        <v>0.8139999999999999</v>
      </c>
      <c r="K100" s="465" t="n">
        <v>5</v>
      </c>
      <c r="L100" s="372">
        <f>IF(I100=" "," ",I100*J100*K100)</f>
        <v/>
      </c>
      <c r="M100" s="467" t="n">
        <v>7</v>
      </c>
      <c r="N100" s="465" t="n">
        <v>0</v>
      </c>
      <c r="O100" s="467" t="n">
        <v>0</v>
      </c>
      <c r="P100" s="369">
        <f>IF(M100=" "," ",(1+(M100+N100+O100)/100))</f>
        <v/>
      </c>
      <c r="Q100" s="374">
        <f>IF(L100=" "," ",L100*P100)</f>
        <v/>
      </c>
    </row>
    <row r="101">
      <c r="A101" s="462" t="inlineStr">
        <is>
          <t>Dö</t>
        </is>
      </c>
      <c r="B101" s="463" t="n"/>
      <c r="C101" s="464" t="n"/>
      <c r="D101" s="369" t="n">
        <v>8.890000000000001</v>
      </c>
      <c r="E101" s="369" t="n">
        <v>1</v>
      </c>
      <c r="F101" s="369">
        <f>IF(D101=0," ",D101*E101)</f>
        <v/>
      </c>
      <c r="G101" s="465" t="n">
        <v>1</v>
      </c>
      <c r="H101" s="466" t="n"/>
      <c r="I101" s="369">
        <f>IF(F101=" "," ",F101*G101-H101)</f>
        <v/>
      </c>
      <c r="J101" s="369" t="n">
        <v>0.269</v>
      </c>
      <c r="K101" s="465" t="n">
        <v>14</v>
      </c>
      <c r="L101" s="372">
        <f>IF(I101=" "," ",I101*J101*K101)</f>
        <v/>
      </c>
      <c r="M101" s="467" t="n">
        <v>7</v>
      </c>
      <c r="N101" s="465" t="n">
        <v>0</v>
      </c>
      <c r="O101" s="467" t="n">
        <v>0</v>
      </c>
      <c r="P101" s="369">
        <f>IF(M101=" "," ",(1+(M101+N101+O101)/100))</f>
        <v/>
      </c>
      <c r="Q101" s="374">
        <f>IF(L101=" "," ",L101*P101)</f>
        <v/>
      </c>
    </row>
    <row r="102">
      <c r="A102" s="468" t="n"/>
      <c r="B102" s="469" t="n"/>
      <c r="C102" s="469" t="n"/>
      <c r="D102" s="378" t="n"/>
      <c r="E102" s="378" t="n"/>
      <c r="F102" s="378" t="n"/>
      <c r="G102" s="470" t="n"/>
      <c r="H102" s="378" t="n"/>
      <c r="I102" s="378" t="n"/>
      <c r="J102" s="378" t="n"/>
      <c r="K102" s="470" t="n"/>
      <c r="L102" s="380" t="n"/>
      <c r="M102" s="479" t="n"/>
      <c r="N102" s="479" t="n"/>
      <c r="O102" s="479" t="n"/>
      <c r="P102" s="382" t="n"/>
      <c r="Q102" s="383">
        <f>SUM(Q98:Q101)</f>
        <v/>
      </c>
    </row>
    <row r="103">
      <c r="A103" s="472" t="n"/>
      <c r="B103" s="473" t="n"/>
      <c r="C103" s="473" t="n"/>
      <c r="D103" s="474" t="n"/>
      <c r="E103" s="475" t="n"/>
      <c r="F103" s="388" t="n"/>
      <c r="G103" s="396" t="n"/>
      <c r="H103" s="388" t="n"/>
      <c r="I103" s="391" t="n"/>
      <c r="J103" s="476" t="inlineStr">
        <is>
          <t>Qs=</t>
        </is>
      </c>
      <c r="K103" s="391" t="inlineStr">
        <is>
          <t>a</t>
        </is>
      </c>
      <c r="L103" s="388" t="inlineStr">
        <is>
          <t>L</t>
        </is>
      </c>
      <c r="M103" s="396" t="inlineStr">
        <is>
          <t>R</t>
        </is>
      </c>
      <c r="N103" s="477" t="inlineStr">
        <is>
          <t>H</t>
        </is>
      </c>
      <c r="O103" s="478" t="inlineStr">
        <is>
          <t>D  T</t>
        </is>
      </c>
      <c r="P103" s="396" t="inlineStr">
        <is>
          <t>Ze</t>
        </is>
      </c>
      <c r="Q103" s="397" t="n"/>
    </row>
    <row r="104">
      <c r="A104" s="431" t="n"/>
      <c r="C104" s="411" t="n"/>
      <c r="D104" s="411" t="n"/>
      <c r="E104" s="433" t="n"/>
      <c r="F104" s="402" t="n"/>
      <c r="G104" s="434" t="n"/>
      <c r="H104" s="435" t="n"/>
      <c r="I104" s="405" t="n"/>
      <c r="J104" s="436" t="inlineStr">
        <is>
          <t>Qs  =</t>
        </is>
      </c>
      <c r="K104" s="382" t="n">
        <v>2</v>
      </c>
      <c r="L104" s="382">
        <f>(D99+E99)*2*G99</f>
        <v/>
      </c>
      <c r="M104" s="382" t="n">
        <v>0.9</v>
      </c>
      <c r="N104" s="382" t="n">
        <v>0.67</v>
      </c>
      <c r="O104" s="479" t="n">
        <v>23</v>
      </c>
      <c r="P104" s="382" t="n">
        <v>1.2</v>
      </c>
      <c r="Q104" s="383">
        <f>K104*L104*M104*N104*O104*P104</f>
        <v/>
      </c>
    </row>
    <row r="105">
      <c r="A105" s="438" t="n"/>
      <c r="B105" s="439" t="n"/>
      <c r="C105" s="411" t="n"/>
      <c r="D105" s="411" t="n"/>
      <c r="E105" s="378" t="n"/>
      <c r="F105" s="256" t="n"/>
      <c r="G105" s="440" t="n"/>
      <c r="H105" s="411" t="n"/>
      <c r="I105" s="411" t="n"/>
      <c r="J105" s="411" t="n"/>
      <c r="K105" s="440" t="n"/>
      <c r="L105" s="412" t="n"/>
      <c r="M105" s="415" t="inlineStr">
        <is>
          <t xml:space="preserve">   TOPLAM ISI KAYBI =</t>
        </is>
      </c>
      <c r="N105" s="415" t="n"/>
      <c r="O105" s="441" t="n"/>
      <c r="P105" s="415" t="n"/>
      <c r="Q105" s="416">
        <f>Q102+Q104</f>
        <v/>
      </c>
    </row>
    <row r="106"/>
    <row r="107">
      <c r="A107" s="453" t="n"/>
      <c r="B107" s="429" t="n"/>
      <c r="C107" s="429" t="n"/>
      <c r="D107" s="429" t="n"/>
      <c r="E107" s="429" t="n"/>
      <c r="F107" s="426" t="inlineStr">
        <is>
          <t>Z10</t>
        </is>
      </c>
      <c r="G107" s="454" t="n"/>
      <c r="H107" s="429" t="n"/>
      <c r="I107" s="427" t="inlineStr">
        <is>
          <t>D2 YATAK OD.</t>
        </is>
      </c>
      <c r="J107" s="264" t="n"/>
      <c r="K107" s="429" t="inlineStr">
        <is>
          <t>20ºC</t>
        </is>
      </c>
      <c r="L107" s="429" t="n"/>
      <c r="M107" s="429" t="n"/>
      <c r="N107" s="429" t="n"/>
      <c r="O107" s="429" t="n"/>
      <c r="P107" s="429" t="n"/>
      <c r="Q107" s="430" t="n"/>
    </row>
    <row r="108">
      <c r="A108" s="462" t="inlineStr">
        <is>
          <t>DD</t>
        </is>
      </c>
      <c r="B108" s="463" t="inlineStr">
        <is>
          <t>B</t>
        </is>
      </c>
      <c r="C108" s="464" t="n"/>
      <c r="D108" s="369" t="n">
        <v>2.44</v>
      </c>
      <c r="E108" s="369" t="n">
        <v>3</v>
      </c>
      <c r="F108" s="369">
        <f>IF(D108=0," ",D108*E108)</f>
        <v/>
      </c>
      <c r="G108" s="465" t="n">
        <v>1</v>
      </c>
      <c r="H108" s="466">
        <f>F109*G109</f>
        <v/>
      </c>
      <c r="I108" s="369">
        <f>IF(F108=" "," ",F108*G108-H108)</f>
        <v/>
      </c>
      <c r="J108" s="369" t="n">
        <v>0.479</v>
      </c>
      <c r="K108" s="465" t="n">
        <v>23</v>
      </c>
      <c r="L108" s="372">
        <f>IF(I108=" "," ",I108*J108*K108)</f>
        <v/>
      </c>
      <c r="M108" s="467" t="n">
        <v>7</v>
      </c>
      <c r="N108" s="465" t="n">
        <v>0</v>
      </c>
      <c r="O108" s="467" t="n">
        <v>0</v>
      </c>
      <c r="P108" s="369">
        <f>IF(M108=" "," ",(1+(M108+N108+O108)/100))</f>
        <v/>
      </c>
      <c r="Q108" s="374">
        <f>IF(L108=" "," ",L108*P108)</f>
        <v/>
      </c>
    </row>
    <row r="109">
      <c r="A109" s="462" t="inlineStr">
        <is>
          <t>ÇP</t>
        </is>
      </c>
      <c r="B109" s="463" t="inlineStr">
        <is>
          <t>B</t>
        </is>
      </c>
      <c r="C109" s="464" t="n"/>
      <c r="D109" s="369" t="n">
        <v>1.6</v>
      </c>
      <c r="E109" s="369" t="n">
        <v>2.3</v>
      </c>
      <c r="F109" s="369">
        <f>IF(D109=0," ",D109*E109)</f>
        <v/>
      </c>
      <c r="G109" s="465" t="n">
        <v>1</v>
      </c>
      <c r="H109" s="466" t="n"/>
      <c r="I109" s="369">
        <f>IF(F109=" "," ",F109*G109-H109)</f>
        <v/>
      </c>
      <c r="J109" s="369" t="n">
        <v>2.4</v>
      </c>
      <c r="K109" s="465" t="n">
        <v>23</v>
      </c>
      <c r="L109" s="372">
        <f>IF(I109=" "," ",I109*J109*K109)</f>
        <v/>
      </c>
      <c r="M109" s="467" t="n">
        <v>7</v>
      </c>
      <c r="N109" s="465" t="n">
        <v>0</v>
      </c>
      <c r="O109" s="467" t="n">
        <v>0</v>
      </c>
      <c r="P109" s="369">
        <f>IF(M109=" "," ",(1+(M109+N109+O109)/100))</f>
        <v/>
      </c>
      <c r="Q109" s="374">
        <f>IF(L109=" "," ",L109*P109)</f>
        <v/>
      </c>
    </row>
    <row r="110">
      <c r="A110" s="462" t="inlineStr">
        <is>
          <t>İD</t>
        </is>
      </c>
      <c r="B110" s="463" t="n"/>
      <c r="C110" s="464" t="n"/>
      <c r="D110" s="369" t="n">
        <v>1.2</v>
      </c>
      <c r="E110" s="369" t="n">
        <v>3</v>
      </c>
      <c r="F110" s="369">
        <f>IF(D110=0," ",D110*E110)</f>
        <v/>
      </c>
      <c r="G110" s="465" t="n">
        <v>1</v>
      </c>
      <c r="H110" s="466" t="n"/>
      <c r="I110" s="369">
        <f>IF(F110=" "," ",F110*G110-H110)</f>
        <v/>
      </c>
      <c r="J110" s="369" t="n">
        <v>0.8139999999999999</v>
      </c>
      <c r="K110" s="465" t="n">
        <v>5</v>
      </c>
      <c r="L110" s="372">
        <f>IF(I110=" "," ",I110*J110*K110)</f>
        <v/>
      </c>
      <c r="M110" s="467" t="n">
        <v>7</v>
      </c>
      <c r="N110" s="465" t="n">
        <v>0</v>
      </c>
      <c r="O110" s="467" t="n">
        <v>0</v>
      </c>
      <c r="P110" s="369">
        <f>IF(M110=" "," ",(1+(M110+N110+O110)/100))</f>
        <v/>
      </c>
      <c r="Q110" s="374">
        <f>IF(L110=" "," ",L110*P110)</f>
        <v/>
      </c>
    </row>
    <row r="111">
      <c r="A111" s="462" t="inlineStr">
        <is>
          <t>Dö</t>
        </is>
      </c>
      <c r="B111" s="463" t="n"/>
      <c r="C111" s="464" t="n"/>
      <c r="D111" s="369" t="n">
        <v>8.960000000000001</v>
      </c>
      <c r="E111" s="369" t="n">
        <v>1</v>
      </c>
      <c r="F111" s="369">
        <f>IF(D111=0," ",D111*E111)</f>
        <v/>
      </c>
      <c r="G111" s="465" t="n">
        <v>1</v>
      </c>
      <c r="H111" s="466" t="n"/>
      <c r="I111" s="369">
        <f>IF(F111=" "," ",F111*G111-H111)</f>
        <v/>
      </c>
      <c r="J111" s="369" t="n">
        <v>0.269</v>
      </c>
      <c r="K111" s="465" t="n">
        <v>14</v>
      </c>
      <c r="L111" s="372">
        <f>IF(I111=" "," ",I111*J111*K111)</f>
        <v/>
      </c>
      <c r="M111" s="467" t="n">
        <v>7</v>
      </c>
      <c r="N111" s="465" t="n">
        <v>0</v>
      </c>
      <c r="O111" s="467" t="n">
        <v>0</v>
      </c>
      <c r="P111" s="369">
        <f>IF(M111=" "," ",(1+(M111+N111+O111)/100))</f>
        <v/>
      </c>
      <c r="Q111" s="374">
        <f>IF(L111=" "," ",L111*P111)</f>
        <v/>
      </c>
    </row>
    <row r="112">
      <c r="A112" s="468" t="n"/>
      <c r="B112" s="469" t="n"/>
      <c r="C112" s="469" t="n"/>
      <c r="D112" s="378" t="n"/>
      <c r="E112" s="378" t="n"/>
      <c r="F112" s="378" t="n"/>
      <c r="G112" s="470" t="n"/>
      <c r="H112" s="378" t="n"/>
      <c r="I112" s="378" t="n"/>
      <c r="J112" s="378" t="n"/>
      <c r="K112" s="470" t="n"/>
      <c r="L112" s="380" t="n"/>
      <c r="M112" s="479" t="n"/>
      <c r="N112" s="479" t="n"/>
      <c r="O112" s="479" t="n"/>
      <c r="P112" s="382" t="n"/>
      <c r="Q112" s="383">
        <f>SUM(Q108:Q111)</f>
        <v/>
      </c>
    </row>
    <row r="113">
      <c r="A113" s="472" t="n"/>
      <c r="B113" s="473" t="n"/>
      <c r="C113" s="473" t="n"/>
      <c r="D113" s="474" t="n"/>
      <c r="E113" s="475" t="n"/>
      <c r="F113" s="388" t="n"/>
      <c r="G113" s="396" t="n"/>
      <c r="H113" s="388" t="n"/>
      <c r="I113" s="391" t="n"/>
      <c r="J113" s="476" t="inlineStr">
        <is>
          <t>Qs=</t>
        </is>
      </c>
      <c r="K113" s="391" t="inlineStr">
        <is>
          <t>a</t>
        </is>
      </c>
      <c r="L113" s="388" t="inlineStr">
        <is>
          <t>L</t>
        </is>
      </c>
      <c r="M113" s="396" t="inlineStr">
        <is>
          <t>R</t>
        </is>
      </c>
      <c r="N113" s="477" t="inlineStr">
        <is>
          <t>H</t>
        </is>
      </c>
      <c r="O113" s="478" t="inlineStr">
        <is>
          <t>D  T</t>
        </is>
      </c>
      <c r="P113" s="396" t="inlineStr">
        <is>
          <t>Ze</t>
        </is>
      </c>
      <c r="Q113" s="397" t="n"/>
    </row>
    <row r="114">
      <c r="A114" s="431" t="n"/>
      <c r="C114" s="411" t="n"/>
      <c r="D114" s="411" t="n"/>
      <c r="E114" s="433" t="n"/>
      <c r="F114" s="402" t="n"/>
      <c r="G114" s="434" t="n"/>
      <c r="H114" s="435" t="n"/>
      <c r="I114" s="405" t="n"/>
      <c r="J114" s="436" t="inlineStr">
        <is>
          <t>Qs  =</t>
        </is>
      </c>
      <c r="K114" s="382" t="n">
        <v>2</v>
      </c>
      <c r="L114" s="382">
        <f>(D109+E109)*2*G109</f>
        <v/>
      </c>
      <c r="M114" s="382" t="n">
        <v>0.9</v>
      </c>
      <c r="N114" s="382" t="n">
        <v>0.67</v>
      </c>
      <c r="O114" s="479" t="n">
        <v>23</v>
      </c>
      <c r="P114" s="382" t="n">
        <v>1.2</v>
      </c>
      <c r="Q114" s="383">
        <f>K114*L114*M114*N114*O114*P114</f>
        <v/>
      </c>
    </row>
    <row r="115">
      <c r="A115" s="438" t="n"/>
      <c r="B115" s="439" t="n"/>
      <c r="C115" s="411" t="n"/>
      <c r="D115" s="411" t="n"/>
      <c r="E115" s="378" t="n"/>
      <c r="F115" s="256" t="n"/>
      <c r="G115" s="440" t="n"/>
      <c r="H115" s="411" t="n"/>
      <c r="I115" s="411" t="n"/>
      <c r="J115" s="411" t="n"/>
      <c r="K115" s="440" t="n"/>
      <c r="L115" s="412" t="n"/>
      <c r="M115" s="415" t="inlineStr">
        <is>
          <t xml:space="preserve">   TOPLAM ISI KAYBI =</t>
        </is>
      </c>
      <c r="N115" s="415" t="n"/>
      <c r="O115" s="441" t="n"/>
      <c r="P115" s="415" t="n"/>
      <c r="Q115" s="416">
        <f>Q112+Q114</f>
        <v/>
      </c>
    </row>
    <row r="116"/>
    <row r="117">
      <c r="A117" s="453" t="n"/>
      <c r="B117" s="429" t="n"/>
      <c r="C117" s="429" t="n"/>
      <c r="D117" s="429" t="n"/>
      <c r="E117" s="429" t="n"/>
      <c r="F117" s="426" t="inlineStr">
        <is>
          <t>Z11</t>
        </is>
      </c>
      <c r="G117" s="454" t="n"/>
      <c r="H117" s="429" t="n"/>
      <c r="I117" s="427" t="inlineStr">
        <is>
          <t>D2 SALON</t>
        </is>
      </c>
      <c r="J117" s="264" t="n"/>
      <c r="K117" s="429" t="inlineStr">
        <is>
          <t>20ºC</t>
        </is>
      </c>
      <c r="L117" s="429" t="n"/>
      <c r="M117" s="429" t="n"/>
      <c r="N117" s="429" t="n"/>
      <c r="O117" s="429" t="n"/>
      <c r="P117" s="429" t="n"/>
      <c r="Q117" s="430" t="n"/>
    </row>
    <row r="118">
      <c r="A118" s="462" t="inlineStr">
        <is>
          <t>DD</t>
        </is>
      </c>
      <c r="B118" s="463" t="inlineStr">
        <is>
          <t>D</t>
        </is>
      </c>
      <c r="C118" s="464" t="n"/>
      <c r="D118" s="369" t="n">
        <v>0.63</v>
      </c>
      <c r="E118" s="369" t="n">
        <v>3</v>
      </c>
      <c r="F118" s="369">
        <f>IF(D118=0," ",D118*E118)</f>
        <v/>
      </c>
      <c r="G118" s="465" t="n">
        <v>1</v>
      </c>
      <c r="H118" s="466" t="n"/>
      <c r="I118" s="369">
        <f>IF(F118=" "," ",F118*G118-H118)</f>
        <v/>
      </c>
      <c r="J118" s="369" t="n">
        <v>0.479</v>
      </c>
      <c r="K118" s="465" t="n">
        <v>23</v>
      </c>
      <c r="L118" s="372">
        <f>IF(I118=" "," ",I118*J118*K118)</f>
        <v/>
      </c>
      <c r="M118" s="467" t="n">
        <v>7</v>
      </c>
      <c r="N118" s="465" t="n">
        <v>0</v>
      </c>
      <c r="O118" s="467" t="n">
        <v>0</v>
      </c>
      <c r="P118" s="369">
        <f>IF(M118=" "," ",(1+(M118+N118+O118)/100))</f>
        <v/>
      </c>
      <c r="Q118" s="374">
        <f>IF(L118=" "," ",L118*P118)</f>
        <v/>
      </c>
    </row>
    <row r="119">
      <c r="A119" s="462" t="inlineStr">
        <is>
          <t>DD</t>
        </is>
      </c>
      <c r="B119" s="463" t="inlineStr">
        <is>
          <t>G</t>
        </is>
      </c>
      <c r="C119" s="464" t="n"/>
      <c r="D119" s="369" t="n">
        <v>4.68</v>
      </c>
      <c r="E119" s="369" t="n">
        <v>3</v>
      </c>
      <c r="F119" s="369">
        <f>IF(D119=0," ",D119*E119)</f>
        <v/>
      </c>
      <c r="G119" s="465" t="n">
        <v>1</v>
      </c>
      <c r="H119" s="466">
        <f>F120*G120</f>
        <v/>
      </c>
      <c r="I119" s="369">
        <f>IF(F119=" "," ",F119*G119-H119)</f>
        <v/>
      </c>
      <c r="J119" s="369" t="n">
        <v>0.479</v>
      </c>
      <c r="K119" s="465" t="n">
        <v>23</v>
      </c>
      <c r="L119" s="372">
        <f>IF(I119=" "," ",I119*J119*K119)</f>
        <v/>
      </c>
      <c r="M119" s="467" t="n">
        <v>7</v>
      </c>
      <c r="N119" s="465" t="n">
        <v>0</v>
      </c>
      <c r="O119" s="467" t="n">
        <v>-5</v>
      </c>
      <c r="P119" s="369">
        <f>IF(M119=" "," ",(1+(M119+N119+O119)/100))</f>
        <v/>
      </c>
      <c r="Q119" s="374">
        <f>IF(L119=" "," ",L119*P119)</f>
        <v/>
      </c>
    </row>
    <row r="120">
      <c r="A120" s="462" t="inlineStr">
        <is>
          <t>ÇP</t>
        </is>
      </c>
      <c r="B120" s="463" t="inlineStr">
        <is>
          <t>G</t>
        </is>
      </c>
      <c r="C120" s="464" t="n"/>
      <c r="D120" s="369" t="n">
        <v>1.6</v>
      </c>
      <c r="E120" s="369" t="n">
        <v>2.3</v>
      </c>
      <c r="F120" s="369">
        <f>IF(D120=0," ",D120*E120)</f>
        <v/>
      </c>
      <c r="G120" s="465" t="n">
        <v>1</v>
      </c>
      <c r="H120" s="466" t="n"/>
      <c r="I120" s="369">
        <f>IF(F120=" "," ",F120*G120-H120)</f>
        <v/>
      </c>
      <c r="J120" s="369" t="n">
        <v>2.4</v>
      </c>
      <c r="K120" s="465" t="n">
        <v>23</v>
      </c>
      <c r="L120" s="372">
        <f>IF(I120=" "," ",I120*J120*K120)</f>
        <v/>
      </c>
      <c r="M120" s="467" t="n">
        <v>7</v>
      </c>
      <c r="N120" s="465" t="n">
        <v>0</v>
      </c>
      <c r="O120" s="467" t="n">
        <v>-5</v>
      </c>
      <c r="P120" s="369">
        <f>IF(M120=" "," ",(1+(M120+N120+O120)/100))</f>
        <v/>
      </c>
      <c r="Q120" s="374">
        <f>IF(L120=" "," ",L120*P120)</f>
        <v/>
      </c>
    </row>
    <row r="121">
      <c r="A121" s="462" t="inlineStr">
        <is>
          <t>DD</t>
        </is>
      </c>
      <c r="B121" s="463" t="inlineStr">
        <is>
          <t>B</t>
        </is>
      </c>
      <c r="C121" s="464" t="n"/>
      <c r="D121" s="369" t="n">
        <v>3.4</v>
      </c>
      <c r="E121" s="369" t="n">
        <v>3</v>
      </c>
      <c r="F121" s="369">
        <f>IF(D121=0," ",D121*E121)</f>
        <v/>
      </c>
      <c r="G121" s="465" t="n">
        <v>1</v>
      </c>
      <c r="H121" s="466">
        <f>F122*G122</f>
        <v/>
      </c>
      <c r="I121" s="369">
        <f>IF(F121=" "," ",F121*G121-H121)</f>
        <v/>
      </c>
      <c r="J121" s="369" t="n">
        <v>0.479</v>
      </c>
      <c r="K121" s="465" t="n">
        <v>23</v>
      </c>
      <c r="L121" s="372">
        <f>IF(I121=" "," ",I121*J121*K121)</f>
        <v/>
      </c>
      <c r="M121" s="467" t="n">
        <v>7</v>
      </c>
      <c r="N121" s="465" t="n">
        <v>0</v>
      </c>
      <c r="O121" s="467" t="n">
        <v>0</v>
      </c>
      <c r="P121" s="369">
        <f>IF(M121=" "," ",(1+(M121+N121+O121)/100))</f>
        <v/>
      </c>
      <c r="Q121" s="374">
        <f>IF(L121=" "," ",L121*P121)</f>
        <v/>
      </c>
    </row>
    <row r="122">
      <c r="A122" s="462" t="inlineStr">
        <is>
          <t>ÇP</t>
        </is>
      </c>
      <c r="B122" s="463" t="inlineStr">
        <is>
          <t>B</t>
        </is>
      </c>
      <c r="C122" s="464" t="n"/>
      <c r="D122" s="369" t="n">
        <v>1.6</v>
      </c>
      <c r="E122" s="369" t="n">
        <v>2.3</v>
      </c>
      <c r="F122" s="369">
        <f>IF(D122=0," ",D122*E122)</f>
        <v/>
      </c>
      <c r="G122" s="465" t="n">
        <v>1</v>
      </c>
      <c r="H122" s="466" t="n"/>
      <c r="I122" s="369">
        <f>IF(F122=" "," ",F122*G122-H122)</f>
        <v/>
      </c>
      <c r="J122" s="369" t="n">
        <v>2.4</v>
      </c>
      <c r="K122" s="465" t="n">
        <v>23</v>
      </c>
      <c r="L122" s="372">
        <f>IF(I122=" "," ",I122*J122*K122)</f>
        <v/>
      </c>
      <c r="M122" s="467" t="n">
        <v>7</v>
      </c>
      <c r="N122" s="465" t="n">
        <v>0</v>
      </c>
      <c r="O122" s="467" t="n">
        <v>0</v>
      </c>
      <c r="P122" s="369">
        <f>IF(M122=" "," ",(1+(M122+N122+O122)/100))</f>
        <v/>
      </c>
      <c r="Q122" s="374">
        <f>IF(L122=" "," ",L122*P122)</f>
        <v/>
      </c>
    </row>
    <row r="123">
      <c r="A123" s="462" t="inlineStr">
        <is>
          <t>İD</t>
        </is>
      </c>
      <c r="B123" s="463" t="n"/>
      <c r="C123" s="464" t="n"/>
      <c r="D123" s="369" t="n">
        <v>1.06</v>
      </c>
      <c r="E123" s="369" t="n">
        <v>3</v>
      </c>
      <c r="F123" s="369">
        <f>IF(D123=0," ",D123*E123)</f>
        <v/>
      </c>
      <c r="G123" s="465" t="n">
        <v>1</v>
      </c>
      <c r="H123" s="466" t="n"/>
      <c r="I123" s="369">
        <f>IF(F123=" "," ",F123*G123-H123)</f>
        <v/>
      </c>
      <c r="J123" s="369" t="n">
        <v>0.8139999999999999</v>
      </c>
      <c r="K123" s="465" t="n">
        <v>5</v>
      </c>
      <c r="L123" s="372">
        <f>IF(I123=" "," ",I123*J123*K123)</f>
        <v/>
      </c>
      <c r="M123" s="467" t="n">
        <v>7</v>
      </c>
      <c r="N123" s="465" t="n">
        <v>0</v>
      </c>
      <c r="O123" s="467" t="n">
        <v>0</v>
      </c>
      <c r="P123" s="369">
        <f>IF(M123=" "," ",(1+(M123+N123+O123)/100))</f>
        <v/>
      </c>
      <c r="Q123" s="374">
        <f>IF(L123=" "," ",L123*P123)</f>
        <v/>
      </c>
    </row>
    <row r="124">
      <c r="A124" s="462" t="inlineStr">
        <is>
          <t>Dö</t>
        </is>
      </c>
      <c r="B124" s="463" t="n"/>
      <c r="C124" s="464" t="n"/>
      <c r="D124" s="369" t="n">
        <v>20.41</v>
      </c>
      <c r="E124" s="369" t="n">
        <v>1</v>
      </c>
      <c r="F124" s="369">
        <f>IF(D124=0," ",D124*E124)</f>
        <v/>
      </c>
      <c r="G124" s="465" t="n">
        <v>1</v>
      </c>
      <c r="H124" s="466" t="n"/>
      <c r="I124" s="369">
        <f>IF(F124=" "," ",F124*G124-H124)</f>
        <v/>
      </c>
      <c r="J124" s="369" t="n">
        <v>0.269</v>
      </c>
      <c r="K124" s="465" t="n">
        <v>14</v>
      </c>
      <c r="L124" s="372">
        <f>IF(I124=" "," ",I124*J124*K124)</f>
        <v/>
      </c>
      <c r="M124" s="467" t="n">
        <v>7</v>
      </c>
      <c r="N124" s="465" t="n">
        <v>0</v>
      </c>
      <c r="O124" s="467" t="n">
        <v>0</v>
      </c>
      <c r="P124" s="369">
        <f>IF(M124=" "," ",(1+(M124+N124+O124)/100))</f>
        <v/>
      </c>
      <c r="Q124" s="374">
        <f>IF(L124=" "," ",L124*P124)</f>
        <v/>
      </c>
    </row>
    <row r="125">
      <c r="A125" s="468" t="n"/>
      <c r="B125" s="469" t="n"/>
      <c r="C125" s="469" t="n"/>
      <c r="D125" s="378" t="n"/>
      <c r="E125" s="378" t="n"/>
      <c r="F125" s="378" t="n"/>
      <c r="G125" s="470" t="n"/>
      <c r="H125" s="378" t="n"/>
      <c r="I125" s="378" t="n"/>
      <c r="J125" s="378" t="n"/>
      <c r="K125" s="470" t="n"/>
      <c r="L125" s="380" t="n"/>
      <c r="M125" s="479" t="n"/>
      <c r="N125" s="479" t="n"/>
      <c r="O125" s="479" t="n"/>
      <c r="P125" s="382" t="n"/>
      <c r="Q125" s="383">
        <f>SUM(Q118:Q124)</f>
        <v/>
      </c>
    </row>
    <row r="126">
      <c r="A126" s="472" t="n"/>
      <c r="B126" s="473" t="n"/>
      <c r="C126" s="473" t="n"/>
      <c r="D126" s="474" t="n"/>
      <c r="E126" s="475" t="n"/>
      <c r="F126" s="388" t="n"/>
      <c r="G126" s="396" t="n"/>
      <c r="H126" s="388" t="n"/>
      <c r="I126" s="391" t="n"/>
      <c r="J126" s="476" t="inlineStr">
        <is>
          <t>Qs=</t>
        </is>
      </c>
      <c r="K126" s="391" t="inlineStr">
        <is>
          <t>a</t>
        </is>
      </c>
      <c r="L126" s="388" t="inlineStr">
        <is>
          <t>L</t>
        </is>
      </c>
      <c r="M126" s="396" t="inlineStr">
        <is>
          <t>R</t>
        </is>
      </c>
      <c r="N126" s="477" t="inlineStr">
        <is>
          <t>H</t>
        </is>
      </c>
      <c r="O126" s="478" t="inlineStr">
        <is>
          <t>D  T</t>
        </is>
      </c>
      <c r="P126" s="396" t="inlineStr">
        <is>
          <t>Ze</t>
        </is>
      </c>
      <c r="Q126" s="397" t="n"/>
    </row>
    <row r="127">
      <c r="A127" s="431" t="n"/>
      <c r="C127" s="411" t="n"/>
      <c r="D127" s="411" t="n"/>
      <c r="E127" s="433" t="n"/>
      <c r="F127" s="402" t="n"/>
      <c r="G127" s="434" t="n"/>
      <c r="H127" s="435" t="n"/>
      <c r="I127" s="405" t="n"/>
      <c r="J127" s="436" t="inlineStr">
        <is>
          <t>Qs  =</t>
        </is>
      </c>
      <c r="K127" s="382" t="n">
        <v>2</v>
      </c>
      <c r="L127" s="382">
        <f>(D120+E120)*2*G120+(D122+E122)*2*G122</f>
        <v/>
      </c>
      <c r="M127" s="382" t="n">
        <v>0.9</v>
      </c>
      <c r="N127" s="382" t="n">
        <v>0.67</v>
      </c>
      <c r="O127" s="479" t="n">
        <v>23</v>
      </c>
      <c r="P127" s="382" t="n">
        <v>1.2</v>
      </c>
      <c r="Q127" s="383">
        <f>K127*L127*M127*N127*O127*P127</f>
        <v/>
      </c>
    </row>
    <row r="128">
      <c r="A128" s="438" t="n"/>
      <c r="B128" s="439" t="n"/>
      <c r="C128" s="411" t="n"/>
      <c r="D128" s="411" t="n"/>
      <c r="E128" s="378" t="n"/>
      <c r="F128" s="256" t="n"/>
      <c r="G128" s="440" t="n"/>
      <c r="H128" s="411" t="n"/>
      <c r="I128" s="411" t="n"/>
      <c r="J128" s="411" t="n"/>
      <c r="K128" s="440" t="n"/>
      <c r="L128" s="412" t="n"/>
      <c r="M128" s="415" t="inlineStr">
        <is>
          <t xml:space="preserve">   TOPLAM ISI KAYBI =</t>
        </is>
      </c>
      <c r="N128" s="415" t="n"/>
      <c r="O128" s="441" t="n"/>
      <c r="P128" s="415" t="n"/>
      <c r="Q128" s="416">
        <f>Q125+Q127</f>
        <v/>
      </c>
    </row>
    <row r="129"/>
    <row r="130">
      <c r="A130" s="453" t="n"/>
      <c r="B130" s="429" t="n"/>
      <c r="C130" s="429" t="n"/>
      <c r="D130" s="429" t="n"/>
      <c r="E130" s="429" t="n"/>
      <c r="F130" s="426" t="inlineStr">
        <is>
          <t>Z12</t>
        </is>
      </c>
      <c r="G130" s="454" t="n"/>
      <c r="H130" s="429" t="n"/>
      <c r="I130" s="427" t="inlineStr">
        <is>
          <t>D2 BANYO</t>
        </is>
      </c>
      <c r="J130" s="264" t="n"/>
      <c r="K130" s="429" t="inlineStr">
        <is>
          <t>24ºC</t>
        </is>
      </c>
      <c r="L130" s="429" t="n"/>
      <c r="M130" s="429" t="n"/>
      <c r="N130" s="429" t="n"/>
      <c r="O130" s="429" t="n"/>
      <c r="P130" s="429" t="n"/>
      <c r="Q130" s="430" t="n"/>
    </row>
    <row r="131">
      <c r="A131" s="462" t="inlineStr">
        <is>
          <t>DD</t>
        </is>
      </c>
      <c r="B131" s="463" t="inlineStr">
        <is>
          <t>D</t>
        </is>
      </c>
      <c r="C131" s="464" t="n"/>
      <c r="D131" s="369" t="n">
        <v>1.32</v>
      </c>
      <c r="E131" s="369" t="n">
        <v>3</v>
      </c>
      <c r="F131" s="369">
        <f>IF(D131=0," ",D131*E131)</f>
        <v/>
      </c>
      <c r="G131" s="465" t="n">
        <v>1</v>
      </c>
      <c r="H131" s="466" t="n"/>
      <c r="I131" s="369">
        <f>IF(F131=" "," ",F131*G131-H131)</f>
        <v/>
      </c>
      <c r="J131" s="369" t="n">
        <v>0.479</v>
      </c>
      <c r="K131" s="465" t="n">
        <v>27</v>
      </c>
      <c r="L131" s="372">
        <f>IF(I131=" "," ",I131*J131*K131)</f>
        <v/>
      </c>
      <c r="M131" s="467" t="n">
        <v>7</v>
      </c>
      <c r="N131" s="465" t="n">
        <v>0</v>
      </c>
      <c r="O131" s="467" t="n">
        <v>0</v>
      </c>
      <c r="P131" s="369">
        <f>IF(M131=" "," ",(1+(M131+N131+O131)/100))</f>
        <v/>
      </c>
      <c r="Q131" s="374">
        <f>IF(L131=" "," ",L131*P131)</f>
        <v/>
      </c>
    </row>
    <row r="132">
      <c r="A132" s="462" t="inlineStr">
        <is>
          <t>İD</t>
        </is>
      </c>
      <c r="B132" s="463" t="n"/>
      <c r="C132" s="464" t="n"/>
      <c r="D132" s="369" t="n">
        <v>1.84</v>
      </c>
      <c r="E132" s="369" t="n">
        <v>3</v>
      </c>
      <c r="F132" s="369">
        <f>IF(D132=0," ",D132*E132)</f>
        <v/>
      </c>
      <c r="G132" s="465" t="n">
        <v>1</v>
      </c>
      <c r="H132" s="466" t="n"/>
      <c r="I132" s="369">
        <f>IF(F132=" "," ",F132*G132-H132)</f>
        <v/>
      </c>
      <c r="J132" s="369" t="n">
        <v>0.8139999999999999</v>
      </c>
      <c r="K132" s="465" t="n">
        <v>14</v>
      </c>
      <c r="L132" s="372">
        <f>IF(I132=" "," ",I132*J132*K132)</f>
        <v/>
      </c>
      <c r="M132" s="467" t="n">
        <v>7</v>
      </c>
      <c r="N132" s="465" t="n">
        <v>0</v>
      </c>
      <c r="O132" s="467" t="n">
        <v>0</v>
      </c>
      <c r="P132" s="369">
        <f>IF(M132=" "," ",(1+(M132+N132+O132)/100))</f>
        <v/>
      </c>
      <c r="Q132" s="374">
        <f>IF(L132=" "," ",L132*P132)</f>
        <v/>
      </c>
    </row>
    <row r="133">
      <c r="A133" s="462" t="inlineStr">
        <is>
          <t>İD</t>
        </is>
      </c>
      <c r="B133" s="463" t="n"/>
      <c r="C133" s="464" t="n"/>
      <c r="D133" s="369" t="n">
        <v>2.2</v>
      </c>
      <c r="E133" s="369" t="n">
        <v>3</v>
      </c>
      <c r="F133" s="369">
        <f>IF(D133=0," ",D133*E133)</f>
        <v/>
      </c>
      <c r="G133" s="465" t="n">
        <v>1</v>
      </c>
      <c r="H133" s="466" t="n"/>
      <c r="I133" s="369">
        <f>IF(F133=" "," ",F133*G133-H133)</f>
        <v/>
      </c>
      <c r="J133" s="369" t="n">
        <v>0.8139999999999999</v>
      </c>
      <c r="K133" s="465" t="n">
        <v>9</v>
      </c>
      <c r="L133" s="372">
        <f>IF(I133=" "," ",I133*J133*K133)</f>
        <v/>
      </c>
      <c r="M133" s="467" t="n">
        <v>7</v>
      </c>
      <c r="N133" s="465" t="n">
        <v>0</v>
      </c>
      <c r="O133" s="467" t="n">
        <v>0</v>
      </c>
      <c r="P133" s="369">
        <f>IF(M133=" "," ",(1+(M133+N133+O133)/100))</f>
        <v/>
      </c>
      <c r="Q133" s="374">
        <f>IF(L133=" "," ",L133*P133)</f>
        <v/>
      </c>
    </row>
    <row r="134">
      <c r="A134" s="462" t="inlineStr">
        <is>
          <t>İD</t>
        </is>
      </c>
      <c r="B134" s="463" t="n"/>
      <c r="C134" s="464" t="n"/>
      <c r="D134" s="369" t="n">
        <v>2.58</v>
      </c>
      <c r="E134" s="369" t="n">
        <v>3</v>
      </c>
      <c r="F134" s="369">
        <f>IF(D134=0," ",D134*E134)</f>
        <v/>
      </c>
      <c r="G134" s="465" t="n">
        <v>1</v>
      </c>
      <c r="H134" s="466" t="n"/>
      <c r="I134" s="369">
        <f>IF(F134=" "," ",F134*G134-H134)</f>
        <v/>
      </c>
      <c r="J134" s="369" t="n">
        <v>0.8139999999999999</v>
      </c>
      <c r="K134" s="465" t="n">
        <v>4</v>
      </c>
      <c r="L134" s="372">
        <f>IF(I134=" "," ",I134*J134*K134)</f>
        <v/>
      </c>
      <c r="M134" s="467" t="n">
        <v>7</v>
      </c>
      <c r="N134" s="465" t="n">
        <v>0</v>
      </c>
      <c r="O134" s="467" t="n">
        <v>0</v>
      </c>
      <c r="P134" s="369">
        <f>IF(M134=" "," ",(1+(M134+N134+O134)/100))</f>
        <v/>
      </c>
      <c r="Q134" s="374">
        <f>IF(L134=" "," ",L134*P134)</f>
        <v/>
      </c>
    </row>
    <row r="135">
      <c r="A135" s="462" t="inlineStr">
        <is>
          <t>Dö</t>
        </is>
      </c>
      <c r="B135" s="463" t="n"/>
      <c r="C135" s="464" t="n"/>
      <c r="D135" s="369" t="n">
        <v>4.91</v>
      </c>
      <c r="E135" s="369" t="n">
        <v>1</v>
      </c>
      <c r="F135" s="369">
        <f>IF(D135=0," ",D135*E135)</f>
        <v/>
      </c>
      <c r="G135" s="465" t="n">
        <v>1</v>
      </c>
      <c r="H135" s="466" t="n"/>
      <c r="I135" s="369">
        <f>IF(F135=" "," ",F135*G135-H135)</f>
        <v/>
      </c>
      <c r="J135" s="369" t="n">
        <v>0.269</v>
      </c>
      <c r="K135" s="465" t="n">
        <v>18</v>
      </c>
      <c r="L135" s="372">
        <f>IF(I135=" "," ",I135*J135*K135)</f>
        <v/>
      </c>
      <c r="M135" s="467" t="n">
        <v>7</v>
      </c>
      <c r="N135" s="465" t="n">
        <v>0</v>
      </c>
      <c r="O135" s="467" t="n">
        <v>0</v>
      </c>
      <c r="P135" s="369">
        <f>IF(M135=" "," ",(1+(M135+N135+O135)/100))</f>
        <v/>
      </c>
      <c r="Q135" s="374">
        <f>IF(L135=" "," ",L135*P135)</f>
        <v/>
      </c>
    </row>
    <row r="136">
      <c r="A136" s="468" t="n"/>
      <c r="B136" s="469" t="n"/>
      <c r="C136" s="469" t="n"/>
      <c r="D136" s="378" t="n"/>
      <c r="E136" s="378" t="n"/>
      <c r="F136" s="378" t="n"/>
      <c r="G136" s="470" t="n"/>
      <c r="H136" s="378" t="n"/>
      <c r="I136" s="378" t="n"/>
      <c r="J136" s="378" t="n"/>
      <c r="K136" s="470" t="n"/>
      <c r="L136" s="380" t="n"/>
      <c r="M136" s="479" t="n"/>
      <c r="N136" s="479" t="n"/>
      <c r="O136" s="479" t="n"/>
      <c r="P136" s="382" t="n"/>
      <c r="Q136" s="383">
        <f>SUM(Q131:Q135)</f>
        <v/>
      </c>
    </row>
    <row r="137">
      <c r="A137" s="472" t="n"/>
      <c r="B137" s="473" t="n"/>
      <c r="C137" s="473" t="n"/>
      <c r="D137" s="474" t="n"/>
      <c r="E137" s="475" t="n"/>
      <c r="F137" s="388" t="n"/>
      <c r="G137" s="396" t="n"/>
      <c r="H137" s="388" t="n"/>
      <c r="I137" s="391" t="n"/>
      <c r="J137" s="476" t="inlineStr">
        <is>
          <t>Qs=</t>
        </is>
      </c>
      <c r="K137" s="391" t="inlineStr">
        <is>
          <t>a</t>
        </is>
      </c>
      <c r="L137" s="388" t="inlineStr">
        <is>
          <t>L</t>
        </is>
      </c>
      <c r="M137" s="396" t="inlineStr">
        <is>
          <t>R</t>
        </is>
      </c>
      <c r="N137" s="477" t="inlineStr">
        <is>
          <t>H</t>
        </is>
      </c>
      <c r="O137" s="478" t="inlineStr">
        <is>
          <t>D  T</t>
        </is>
      </c>
      <c r="P137" s="396" t="inlineStr">
        <is>
          <t>Ze</t>
        </is>
      </c>
      <c r="Q137" s="397" t="n"/>
    </row>
    <row r="138">
      <c r="A138" s="431" t="n"/>
      <c r="C138" s="411" t="n"/>
      <c r="D138" s="411" t="n"/>
      <c r="E138" s="433" t="n"/>
      <c r="F138" s="402" t="n"/>
      <c r="G138" s="434" t="n"/>
      <c r="H138" s="435" t="n"/>
      <c r="I138" s="405" t="n"/>
      <c r="J138" s="436" t="inlineStr">
        <is>
          <t>Qs  =</t>
        </is>
      </c>
      <c r="K138" s="382" t="n">
        <v>2</v>
      </c>
      <c r="L138" s="382" t="n">
        <v>0</v>
      </c>
      <c r="M138" s="382" t="n">
        <v>0.9</v>
      </c>
      <c r="N138" s="382" t="n">
        <v>0.67</v>
      </c>
      <c r="O138" s="479" t="n">
        <v>27</v>
      </c>
      <c r="P138" s="382" t="n">
        <v>1.2</v>
      </c>
      <c r="Q138" s="383">
        <f>K138*L138*M138*N138*O138*P138</f>
        <v/>
      </c>
    </row>
    <row r="139">
      <c r="A139" s="438" t="n"/>
      <c r="B139" s="439" t="n"/>
      <c r="C139" s="411" t="n"/>
      <c r="D139" s="411" t="n"/>
      <c r="E139" s="378" t="n"/>
      <c r="F139" s="256" t="n"/>
      <c r="G139" s="440" t="n"/>
      <c r="H139" s="411" t="n"/>
      <c r="I139" s="411" t="n"/>
      <c r="J139" s="411" t="n"/>
      <c r="K139" s="440" t="n"/>
      <c r="L139" s="412" t="n"/>
      <c r="M139" s="415" t="inlineStr">
        <is>
          <t xml:space="preserve">   TOPLAM ISI KAYBI =</t>
        </is>
      </c>
      <c r="N139" s="415" t="n"/>
      <c r="O139" s="441" t="n"/>
      <c r="P139" s="415" t="n"/>
      <c r="Q139" s="416">
        <f>Q136+Q138</f>
        <v/>
      </c>
    </row>
    <row r="140"/>
    <row r="141">
      <c r="A141" s="453" t="n"/>
      <c r="B141" s="429" t="n"/>
      <c r="C141" s="429" t="n"/>
      <c r="D141" s="429" t="n"/>
      <c r="E141" s="429" t="n"/>
      <c r="F141" s="426" t="inlineStr">
        <is>
          <t>Z13</t>
        </is>
      </c>
      <c r="G141" s="454" t="n"/>
      <c r="H141" s="429" t="n"/>
      <c r="I141" s="427" t="inlineStr">
        <is>
          <t>D3 MUTFAK</t>
        </is>
      </c>
      <c r="J141" s="264" t="n"/>
      <c r="K141" s="429" t="inlineStr">
        <is>
          <t>20ºC</t>
        </is>
      </c>
      <c r="L141" s="429" t="n"/>
      <c r="M141" s="429" t="n"/>
      <c r="N141" s="429" t="n"/>
      <c r="O141" s="429" t="n"/>
      <c r="P141" s="429" t="n"/>
      <c r="Q141" s="430" t="n"/>
    </row>
    <row r="142">
      <c r="A142" s="462" t="inlineStr">
        <is>
          <t>DD</t>
        </is>
      </c>
      <c r="B142" s="463" t="inlineStr">
        <is>
          <t>K</t>
        </is>
      </c>
      <c r="C142" s="464" t="n"/>
      <c r="D142" s="369" t="n">
        <v>2.42</v>
      </c>
      <c r="E142" s="369" t="n">
        <v>3</v>
      </c>
      <c r="F142" s="369">
        <f>IF(D142=0," ",D142*E142)</f>
        <v/>
      </c>
      <c r="G142" s="465" t="n">
        <v>1</v>
      </c>
      <c r="H142" s="466">
        <f>F143*G143</f>
        <v/>
      </c>
      <c r="I142" s="369">
        <f>IF(F142=" "," ",F142*G142-H142)</f>
        <v/>
      </c>
      <c r="J142" s="369" t="n">
        <v>0.479</v>
      </c>
      <c r="K142" s="465" t="n">
        <v>23</v>
      </c>
      <c r="L142" s="372">
        <f>IF(I142=" "," ",I142*J142*K142)</f>
        <v/>
      </c>
      <c r="M142" s="467" t="n">
        <v>7</v>
      </c>
      <c r="N142" s="465" t="n">
        <v>0</v>
      </c>
      <c r="O142" s="467" t="n">
        <v>5</v>
      </c>
      <c r="P142" s="369">
        <f>IF(M142=" "," ",(1+(M142+N142+O142)/100))</f>
        <v/>
      </c>
      <c r="Q142" s="374">
        <f>IF(L142=" "," ",L142*P142)</f>
        <v/>
      </c>
    </row>
    <row r="143">
      <c r="A143" s="462" t="inlineStr">
        <is>
          <t>ÇP</t>
        </is>
      </c>
      <c r="B143" s="463" t="inlineStr">
        <is>
          <t>K</t>
        </is>
      </c>
      <c r="C143" s="464" t="n"/>
      <c r="D143" s="369" t="n">
        <v>1.6</v>
      </c>
      <c r="E143" s="369" t="n">
        <v>2.3</v>
      </c>
      <c r="F143" s="369">
        <f>IF(D143=0," ",D143*E143)</f>
        <v/>
      </c>
      <c r="G143" s="465" t="n">
        <v>1</v>
      </c>
      <c r="H143" s="466" t="n"/>
      <c r="I143" s="369">
        <f>IF(F143=" "," ",F143*G143-H143)</f>
        <v/>
      </c>
      <c r="J143" s="369" t="n">
        <v>2.4</v>
      </c>
      <c r="K143" s="465" t="n">
        <v>23</v>
      </c>
      <c r="L143" s="372">
        <f>IF(I143=" "," ",I143*J143*K143)</f>
        <v/>
      </c>
      <c r="M143" s="467" t="n">
        <v>7</v>
      </c>
      <c r="N143" s="465" t="n">
        <v>0</v>
      </c>
      <c r="O143" s="467" t="n">
        <v>5</v>
      </c>
      <c r="P143" s="369">
        <f>IF(M143=" "," ",(1+(M143+N143+O143)/100))</f>
        <v/>
      </c>
      <c r="Q143" s="374">
        <f>IF(L143=" "," ",L143*P143)</f>
        <v/>
      </c>
    </row>
    <row r="144">
      <c r="A144" s="462" t="inlineStr">
        <is>
          <t>İD</t>
        </is>
      </c>
      <c r="B144" s="463" t="n"/>
      <c r="C144" s="464" t="n"/>
      <c r="D144" s="369" t="n">
        <v>1.96</v>
      </c>
      <c r="E144" s="369" t="n">
        <v>3</v>
      </c>
      <c r="F144" s="369">
        <f>IF(D144=0," ",D144*E144)</f>
        <v/>
      </c>
      <c r="G144" s="465" t="n">
        <v>1</v>
      </c>
      <c r="H144" s="466" t="n"/>
      <c r="I144" s="369">
        <f>IF(F144=" "," ",F144*G144-H144)</f>
        <v/>
      </c>
      <c r="J144" s="369" t="n">
        <v>0.8139999999999999</v>
      </c>
      <c r="K144" s="465" t="n">
        <v>5</v>
      </c>
      <c r="L144" s="372">
        <f>IF(I144=" "," ",I144*J144*K144)</f>
        <v/>
      </c>
      <c r="M144" s="467" t="n">
        <v>7</v>
      </c>
      <c r="N144" s="465" t="n">
        <v>0</v>
      </c>
      <c r="O144" s="467" t="n">
        <v>0</v>
      </c>
      <c r="P144" s="369">
        <f>IF(M144=" "," ",(1+(M144+N144+O144)/100))</f>
        <v/>
      </c>
      <c r="Q144" s="374">
        <f>IF(L144=" "," ",L144*P144)</f>
        <v/>
      </c>
    </row>
    <row r="145">
      <c r="A145" s="462" t="inlineStr">
        <is>
          <t>Dö</t>
        </is>
      </c>
      <c r="B145" s="463" t="n"/>
      <c r="C145" s="464" t="n"/>
      <c r="D145" s="369" t="n">
        <v>7.79</v>
      </c>
      <c r="E145" s="369" t="n">
        <v>1</v>
      </c>
      <c r="F145" s="369">
        <f>IF(D145=0," ",D145*E145)</f>
        <v/>
      </c>
      <c r="G145" s="465" t="n">
        <v>1</v>
      </c>
      <c r="H145" s="466" t="n"/>
      <c r="I145" s="369">
        <f>IF(F145=" "," ",F145*G145-H145)</f>
        <v/>
      </c>
      <c r="J145" s="369" t="n">
        <v>0.269</v>
      </c>
      <c r="K145" s="465" t="n">
        <v>14</v>
      </c>
      <c r="L145" s="372">
        <f>IF(I145=" "," ",I145*J145*K145)</f>
        <v/>
      </c>
      <c r="M145" s="467" t="n">
        <v>7</v>
      </c>
      <c r="N145" s="465" t="n">
        <v>0</v>
      </c>
      <c r="O145" s="467" t="n">
        <v>0</v>
      </c>
      <c r="P145" s="369">
        <f>IF(M145=" "," ",(1+(M145+N145+O145)/100))</f>
        <v/>
      </c>
      <c r="Q145" s="374">
        <f>IF(L145=" "," ",L145*P145)</f>
        <v/>
      </c>
    </row>
    <row r="146">
      <c r="A146" s="468" t="n"/>
      <c r="B146" s="469" t="n"/>
      <c r="C146" s="469" t="n"/>
      <c r="D146" s="378" t="n"/>
      <c r="E146" s="378" t="n"/>
      <c r="F146" s="378" t="n"/>
      <c r="G146" s="470" t="n"/>
      <c r="H146" s="378" t="n"/>
      <c r="I146" s="378" t="n"/>
      <c r="J146" s="378" t="n"/>
      <c r="K146" s="470" t="n"/>
      <c r="L146" s="380" t="n"/>
      <c r="M146" s="479" t="n"/>
      <c r="N146" s="479" t="n"/>
      <c r="O146" s="479" t="n"/>
      <c r="P146" s="382" t="n"/>
      <c r="Q146" s="383">
        <f>SUM(Q142:Q145)</f>
        <v/>
      </c>
    </row>
    <row r="147">
      <c r="A147" s="472" t="n"/>
      <c r="B147" s="473" t="n"/>
      <c r="C147" s="473" t="n"/>
      <c r="D147" s="474" t="n"/>
      <c r="E147" s="475" t="n"/>
      <c r="F147" s="388" t="n"/>
      <c r="G147" s="396" t="n"/>
      <c r="H147" s="388" t="n"/>
      <c r="I147" s="391" t="n"/>
      <c r="J147" s="476" t="inlineStr">
        <is>
          <t>Qs=</t>
        </is>
      </c>
      <c r="K147" s="391" t="inlineStr">
        <is>
          <t>a</t>
        </is>
      </c>
      <c r="L147" s="388" t="inlineStr">
        <is>
          <t>L</t>
        </is>
      </c>
      <c r="M147" s="396" t="inlineStr">
        <is>
          <t>R</t>
        </is>
      </c>
      <c r="N147" s="477" t="inlineStr">
        <is>
          <t>H</t>
        </is>
      </c>
      <c r="O147" s="478" t="inlineStr">
        <is>
          <t>D  T</t>
        </is>
      </c>
      <c r="P147" s="396" t="inlineStr">
        <is>
          <t>Ze</t>
        </is>
      </c>
      <c r="Q147" s="397" t="n"/>
    </row>
    <row r="148">
      <c r="A148" s="431" t="n"/>
      <c r="C148" s="411" t="n"/>
      <c r="D148" s="411" t="n"/>
      <c r="E148" s="433" t="n"/>
      <c r="F148" s="402" t="n"/>
      <c r="G148" s="434" t="n"/>
      <c r="H148" s="435" t="n"/>
      <c r="I148" s="405" t="n"/>
      <c r="J148" s="436" t="inlineStr">
        <is>
          <t>Qs  =</t>
        </is>
      </c>
      <c r="K148" s="382" t="n">
        <v>2</v>
      </c>
      <c r="L148" s="382">
        <f>(D143+E143)*2*G143</f>
        <v/>
      </c>
      <c r="M148" s="382" t="n">
        <v>0.9</v>
      </c>
      <c r="N148" s="382" t="n">
        <v>0.67</v>
      </c>
      <c r="O148" s="479" t="n">
        <v>23</v>
      </c>
      <c r="P148" s="382" t="n">
        <v>1.2</v>
      </c>
      <c r="Q148" s="383">
        <f>K148*L148*M148*N148*O148*P148</f>
        <v/>
      </c>
    </row>
    <row r="149">
      <c r="A149" s="438" t="n"/>
      <c r="B149" s="439" t="n"/>
      <c r="C149" s="411" t="n"/>
      <c r="D149" s="411" t="n"/>
      <c r="E149" s="378" t="n"/>
      <c r="F149" s="256" t="n"/>
      <c r="G149" s="440" t="n"/>
      <c r="H149" s="411" t="n"/>
      <c r="I149" s="411" t="n"/>
      <c r="J149" s="411" t="n"/>
      <c r="K149" s="440" t="n"/>
      <c r="L149" s="412" t="n"/>
      <c r="M149" s="415" t="inlineStr">
        <is>
          <t xml:space="preserve">   TOPLAM ISI KAYBI =</t>
        </is>
      </c>
      <c r="N149" s="415" t="n"/>
      <c r="O149" s="441" t="n"/>
      <c r="P149" s="415" t="n"/>
      <c r="Q149" s="416">
        <f>Q146+Q148</f>
        <v/>
      </c>
    </row>
    <row r="150"/>
    <row r="151">
      <c r="A151" s="453" t="n"/>
      <c r="B151" s="429" t="n"/>
      <c r="C151" s="429" t="n"/>
      <c r="D151" s="429" t="n"/>
      <c r="E151" s="429" t="n"/>
      <c r="F151" s="426" t="inlineStr">
        <is>
          <t>Z14</t>
        </is>
      </c>
      <c r="G151" s="454" t="n"/>
      <c r="H151" s="429" t="n"/>
      <c r="I151" s="427" t="inlineStr">
        <is>
          <t>D3 YATAK OD.</t>
        </is>
      </c>
      <c r="J151" s="264" t="n"/>
      <c r="K151" s="429" t="inlineStr">
        <is>
          <t>20ºC</t>
        </is>
      </c>
      <c r="L151" s="429" t="n"/>
      <c r="M151" s="429" t="n"/>
      <c r="N151" s="429" t="n"/>
      <c r="O151" s="429" t="n"/>
      <c r="P151" s="429" t="n"/>
      <c r="Q151" s="430" t="n"/>
    </row>
    <row r="152">
      <c r="A152" s="462" t="inlineStr">
        <is>
          <t>DD</t>
        </is>
      </c>
      <c r="B152" s="463" t="inlineStr">
        <is>
          <t>K</t>
        </is>
      </c>
      <c r="C152" s="464" t="n"/>
      <c r="D152" s="369" t="n">
        <v>3.98</v>
      </c>
      <c r="E152" s="369" t="n">
        <v>3</v>
      </c>
      <c r="F152" s="369">
        <f>IF(D152=0," ",D152*E152)</f>
        <v/>
      </c>
      <c r="G152" s="465" t="n">
        <v>1</v>
      </c>
      <c r="H152" s="466" t="n"/>
      <c r="I152" s="369">
        <f>IF(F152=" "," ",F152*G152-H152)</f>
        <v/>
      </c>
      <c r="J152" s="369" t="n">
        <v>0.479</v>
      </c>
      <c r="K152" s="465" t="n">
        <v>23</v>
      </c>
      <c r="L152" s="372">
        <f>IF(I152=" "," ",I152*J152*K152)</f>
        <v/>
      </c>
      <c r="M152" s="467" t="n">
        <v>7</v>
      </c>
      <c r="N152" s="465" t="n">
        <v>0</v>
      </c>
      <c r="O152" s="467" t="n">
        <v>5</v>
      </c>
      <c r="P152" s="369">
        <f>IF(M152=" "," ",(1+(M152+N152+O152)/100))</f>
        <v/>
      </c>
      <c r="Q152" s="374">
        <f>IF(L152=" "," ",L152*P152)</f>
        <v/>
      </c>
    </row>
    <row r="153">
      <c r="A153" s="462" t="inlineStr">
        <is>
          <t>DD</t>
        </is>
      </c>
      <c r="B153" s="463" t="inlineStr">
        <is>
          <t>B</t>
        </is>
      </c>
      <c r="C153" s="464" t="n"/>
      <c r="D153" s="369" t="n">
        <v>3.2</v>
      </c>
      <c r="E153" s="369" t="n">
        <v>3</v>
      </c>
      <c r="F153" s="369">
        <f>IF(D153=0," ",D153*E153)</f>
        <v/>
      </c>
      <c r="G153" s="465" t="n">
        <v>1</v>
      </c>
      <c r="H153" s="466">
        <f>F154*G154</f>
        <v/>
      </c>
      <c r="I153" s="369">
        <f>IF(F153=" "," ",F153*G153-H153)</f>
        <v/>
      </c>
      <c r="J153" s="369" t="n">
        <v>0.479</v>
      </c>
      <c r="K153" s="465" t="n">
        <v>23</v>
      </c>
      <c r="L153" s="372">
        <f>IF(I153=" "," ",I153*J153*K153)</f>
        <v/>
      </c>
      <c r="M153" s="467" t="n">
        <v>7</v>
      </c>
      <c r="N153" s="465" t="n">
        <v>0</v>
      </c>
      <c r="O153" s="467" t="n">
        <v>0</v>
      </c>
      <c r="P153" s="369">
        <f>IF(M153=" "," ",(1+(M153+N153+O153)/100))</f>
        <v/>
      </c>
      <c r="Q153" s="374">
        <f>IF(L153=" "," ",L153*P153)</f>
        <v/>
      </c>
    </row>
    <row r="154">
      <c r="A154" s="462" t="inlineStr">
        <is>
          <t>ÇP</t>
        </is>
      </c>
      <c r="B154" s="463" t="inlineStr">
        <is>
          <t>B</t>
        </is>
      </c>
      <c r="C154" s="464" t="n"/>
      <c r="D154" s="369" t="n">
        <v>1.6</v>
      </c>
      <c r="E154" s="369" t="n">
        <v>2.3</v>
      </c>
      <c r="F154" s="369">
        <f>IF(D154=0," ",D154*E154)</f>
        <v/>
      </c>
      <c r="G154" s="465" t="n">
        <v>1</v>
      </c>
      <c r="H154" s="466" t="n"/>
      <c r="I154" s="369">
        <f>IF(F154=" "," ",F154*G154-H154)</f>
        <v/>
      </c>
      <c r="J154" s="369" t="n">
        <v>2.4</v>
      </c>
      <c r="K154" s="465" t="n">
        <v>23</v>
      </c>
      <c r="L154" s="372">
        <f>IF(I154=" "," ",I154*J154*K154)</f>
        <v/>
      </c>
      <c r="M154" s="467" t="n">
        <v>7</v>
      </c>
      <c r="N154" s="465" t="n">
        <v>0</v>
      </c>
      <c r="O154" s="467" t="n">
        <v>0</v>
      </c>
      <c r="P154" s="369">
        <f>IF(M154=" "," ",(1+(M154+N154+O154)/100))</f>
        <v/>
      </c>
      <c r="Q154" s="374">
        <f>IF(L154=" "," ",L154*P154)</f>
        <v/>
      </c>
    </row>
    <row r="155">
      <c r="A155" s="462" t="inlineStr">
        <is>
          <t>İD</t>
        </is>
      </c>
      <c r="B155" s="463" t="n"/>
      <c r="C155" s="464" t="n"/>
      <c r="D155" s="369" t="n">
        <v>1.42</v>
      </c>
      <c r="E155" s="369" t="n">
        <v>3</v>
      </c>
      <c r="F155" s="369">
        <f>IF(D155=0," ",D155*E155)</f>
        <v/>
      </c>
      <c r="G155" s="465" t="n">
        <v>1</v>
      </c>
      <c r="H155" s="466" t="n"/>
      <c r="I155" s="369">
        <f>IF(F155=" "," ",F155*G155-H155)</f>
        <v/>
      </c>
      <c r="J155" s="369" t="n">
        <v>0.8139999999999999</v>
      </c>
      <c r="K155" s="465" t="n">
        <v>5</v>
      </c>
      <c r="L155" s="372">
        <f>IF(I155=" "," ",I155*J155*K155)</f>
        <v/>
      </c>
      <c r="M155" s="467" t="n">
        <v>7</v>
      </c>
      <c r="N155" s="465" t="n">
        <v>0</v>
      </c>
      <c r="O155" s="467" t="n">
        <v>0</v>
      </c>
      <c r="P155" s="369">
        <f>IF(M155=" "," ",(1+(M155+N155+O155)/100))</f>
        <v/>
      </c>
      <c r="Q155" s="374">
        <f>IF(L155=" "," ",L155*P155)</f>
        <v/>
      </c>
    </row>
    <row r="156">
      <c r="A156" s="462" t="inlineStr">
        <is>
          <t>Dö</t>
        </is>
      </c>
      <c r="B156" s="463" t="n"/>
      <c r="C156" s="464" t="n"/>
      <c r="D156" s="369" t="n">
        <v>14.48</v>
      </c>
      <c r="E156" s="369" t="n">
        <v>1</v>
      </c>
      <c r="F156" s="369">
        <f>IF(D156=0," ",D156*E156)</f>
        <v/>
      </c>
      <c r="G156" s="465" t="n">
        <v>1</v>
      </c>
      <c r="H156" s="466" t="n"/>
      <c r="I156" s="369">
        <f>IF(F156=" "," ",F156*G156-H156)</f>
        <v/>
      </c>
      <c r="J156" s="369" t="n">
        <v>0.269</v>
      </c>
      <c r="K156" s="465" t="n">
        <v>14</v>
      </c>
      <c r="L156" s="372">
        <f>IF(I156=" "," ",I156*J156*K156)</f>
        <v/>
      </c>
      <c r="M156" s="467" t="n">
        <v>7</v>
      </c>
      <c r="N156" s="465" t="n">
        <v>0</v>
      </c>
      <c r="O156" s="467" t="n">
        <v>0</v>
      </c>
      <c r="P156" s="369">
        <f>IF(M156=" "," ",(1+(M156+N156+O156)/100))</f>
        <v/>
      </c>
      <c r="Q156" s="374">
        <f>IF(L156=" "," ",L156*P156)</f>
        <v/>
      </c>
    </row>
    <row r="157">
      <c r="A157" s="468" t="n"/>
      <c r="B157" s="469" t="n"/>
      <c r="C157" s="469" t="n"/>
      <c r="D157" s="378" t="n"/>
      <c r="E157" s="378" t="n"/>
      <c r="F157" s="378" t="n"/>
      <c r="G157" s="470" t="n"/>
      <c r="H157" s="378" t="n"/>
      <c r="I157" s="378" t="n"/>
      <c r="J157" s="378" t="n"/>
      <c r="K157" s="470" t="n"/>
      <c r="L157" s="380" t="n"/>
      <c r="M157" s="479" t="n"/>
      <c r="N157" s="479" t="n"/>
      <c r="O157" s="479" t="n"/>
      <c r="P157" s="382" t="n"/>
      <c r="Q157" s="383">
        <f>SUM(Q152:Q156)</f>
        <v/>
      </c>
    </row>
    <row r="158">
      <c r="A158" s="472" t="n"/>
      <c r="B158" s="473" t="n"/>
      <c r="C158" s="473" t="n"/>
      <c r="D158" s="474" t="n"/>
      <c r="E158" s="475" t="n"/>
      <c r="F158" s="388" t="n"/>
      <c r="G158" s="396" t="n"/>
      <c r="H158" s="388" t="n"/>
      <c r="I158" s="391" t="n"/>
      <c r="J158" s="476" t="inlineStr">
        <is>
          <t>Qs=</t>
        </is>
      </c>
      <c r="K158" s="391" t="inlineStr">
        <is>
          <t>a</t>
        </is>
      </c>
      <c r="L158" s="388" t="inlineStr">
        <is>
          <t>L</t>
        </is>
      </c>
      <c r="M158" s="396" t="inlineStr">
        <is>
          <t>R</t>
        </is>
      </c>
      <c r="N158" s="477" t="inlineStr">
        <is>
          <t>H</t>
        </is>
      </c>
      <c r="O158" s="478" t="inlineStr">
        <is>
          <t>D  T</t>
        </is>
      </c>
      <c r="P158" s="396" t="inlineStr">
        <is>
          <t>Ze</t>
        </is>
      </c>
      <c r="Q158" s="397" t="n"/>
    </row>
    <row r="159">
      <c r="A159" s="431" t="n"/>
      <c r="C159" s="411" t="n"/>
      <c r="D159" s="411" t="n"/>
      <c r="E159" s="433" t="n"/>
      <c r="F159" s="402" t="n"/>
      <c r="G159" s="434" t="n"/>
      <c r="H159" s="435" t="n"/>
      <c r="I159" s="405" t="n"/>
      <c r="J159" s="436" t="inlineStr">
        <is>
          <t>Qs  =</t>
        </is>
      </c>
      <c r="K159" s="382" t="n">
        <v>2</v>
      </c>
      <c r="L159" s="382">
        <f>(D154+E154)*2*G154</f>
        <v/>
      </c>
      <c r="M159" s="382" t="n">
        <v>0.9</v>
      </c>
      <c r="N159" s="382" t="n">
        <v>0.67</v>
      </c>
      <c r="O159" s="479" t="n">
        <v>23</v>
      </c>
      <c r="P159" s="382" t="n">
        <v>1.2</v>
      </c>
      <c r="Q159" s="383">
        <f>K159*L159*M159*N159*O159*P159</f>
        <v/>
      </c>
    </row>
    <row r="160">
      <c r="A160" s="438" t="n"/>
      <c r="B160" s="439" t="n"/>
      <c r="C160" s="411" t="n"/>
      <c r="D160" s="411" t="n"/>
      <c r="E160" s="378" t="n"/>
      <c r="F160" s="256" t="n"/>
      <c r="G160" s="440" t="n"/>
      <c r="H160" s="411" t="n"/>
      <c r="I160" s="411" t="n"/>
      <c r="J160" s="411" t="n"/>
      <c r="K160" s="440" t="n"/>
      <c r="L160" s="412" t="n"/>
      <c r="M160" s="415" t="inlineStr">
        <is>
          <t xml:space="preserve">   TOPLAM ISI KAYBI =</t>
        </is>
      </c>
      <c r="N160" s="415" t="n"/>
      <c r="O160" s="441" t="n"/>
      <c r="P160" s="415" t="n"/>
      <c r="Q160" s="416">
        <f>Q157+Q159</f>
        <v/>
      </c>
    </row>
    <row r="161"/>
    <row r="162">
      <c r="A162" s="453" t="n"/>
      <c r="B162" s="429" t="n"/>
      <c r="C162" s="429" t="n"/>
      <c r="D162" s="429" t="n"/>
      <c r="E162" s="429" t="n"/>
      <c r="F162" s="426" t="inlineStr">
        <is>
          <t>Z15</t>
        </is>
      </c>
      <c r="G162" s="454" t="n"/>
      <c r="H162" s="429" t="n"/>
      <c r="I162" s="427" t="inlineStr">
        <is>
          <t>D3 YATAK OD.</t>
        </is>
      </c>
      <c r="J162" s="264" t="n"/>
      <c r="K162" s="429" t="inlineStr">
        <is>
          <t>20ºC</t>
        </is>
      </c>
      <c r="L162" s="429" t="n"/>
      <c r="M162" s="429" t="n"/>
      <c r="N162" s="429" t="n"/>
      <c r="O162" s="429" t="n"/>
      <c r="P162" s="429" t="n"/>
      <c r="Q162" s="430" t="n"/>
    </row>
    <row r="163">
      <c r="A163" s="462" t="inlineStr">
        <is>
          <t>DD</t>
        </is>
      </c>
      <c r="B163" s="463" t="inlineStr">
        <is>
          <t>K</t>
        </is>
      </c>
      <c r="C163" s="464" t="n"/>
      <c r="D163" s="369" t="n">
        <v>2.42</v>
      </c>
      <c r="E163" s="369" t="n">
        <v>3</v>
      </c>
      <c r="F163" s="369">
        <f>IF(D163=0," ",D163*E163)</f>
        <v/>
      </c>
      <c r="G163" s="465" t="n">
        <v>1</v>
      </c>
      <c r="H163" s="466">
        <f>F164*G164</f>
        <v/>
      </c>
      <c r="I163" s="369">
        <f>IF(F163=" "," ",F163*G163-H163)</f>
        <v/>
      </c>
      <c r="J163" s="369" t="n">
        <v>0.479</v>
      </c>
      <c r="K163" s="465" t="n">
        <v>23</v>
      </c>
      <c r="L163" s="372">
        <f>IF(I163=" "," ",I163*J163*K163)</f>
        <v/>
      </c>
      <c r="M163" s="467" t="n">
        <v>7</v>
      </c>
      <c r="N163" s="465" t="n">
        <v>0</v>
      </c>
      <c r="O163" s="467" t="n">
        <v>5</v>
      </c>
      <c r="P163" s="369">
        <f>IF(M163=" "," ",(1+(M163+N163+O163)/100))</f>
        <v/>
      </c>
      <c r="Q163" s="374">
        <f>IF(L163=" "," ",L163*P163)</f>
        <v/>
      </c>
    </row>
    <row r="164">
      <c r="A164" s="462" t="inlineStr">
        <is>
          <t>ÇP</t>
        </is>
      </c>
      <c r="B164" s="463" t="inlineStr">
        <is>
          <t>K</t>
        </is>
      </c>
      <c r="C164" s="464" t="n"/>
      <c r="D164" s="369" t="n">
        <v>1.6</v>
      </c>
      <c r="E164" s="369" t="n">
        <v>2.3</v>
      </c>
      <c r="F164" s="369">
        <f>IF(D164=0," ",D164*E164)</f>
        <v/>
      </c>
      <c r="G164" s="465" t="n">
        <v>1</v>
      </c>
      <c r="H164" s="466" t="n"/>
      <c r="I164" s="369">
        <f>IF(F164=" "," ",F164*G164-H164)</f>
        <v/>
      </c>
      <c r="J164" s="369" t="n">
        <v>2.4</v>
      </c>
      <c r="K164" s="465" t="n">
        <v>23</v>
      </c>
      <c r="L164" s="372">
        <f>IF(I164=" "," ",I164*J164*K164)</f>
        <v/>
      </c>
      <c r="M164" s="467" t="n">
        <v>7</v>
      </c>
      <c r="N164" s="465" t="n">
        <v>0</v>
      </c>
      <c r="O164" s="467" t="n">
        <v>5</v>
      </c>
      <c r="P164" s="369">
        <f>IF(M164=" "," ",(1+(M164+N164+O164)/100))</f>
        <v/>
      </c>
      <c r="Q164" s="374">
        <f>IF(L164=" "," ",L164*P164)</f>
        <v/>
      </c>
    </row>
    <row r="165">
      <c r="A165" s="462" t="inlineStr">
        <is>
          <t>İD</t>
        </is>
      </c>
      <c r="B165" s="463" t="n"/>
      <c r="C165" s="464" t="n"/>
      <c r="D165" s="369" t="n">
        <v>2.34</v>
      </c>
      <c r="E165" s="369" t="n">
        <v>3</v>
      </c>
      <c r="F165" s="369">
        <f>IF(D165=0," ",D165*E165)</f>
        <v/>
      </c>
      <c r="G165" s="465" t="n">
        <v>1</v>
      </c>
      <c r="H165" s="466" t="n"/>
      <c r="I165" s="369">
        <f>IF(F165=" "," ",F165*G165-H165)</f>
        <v/>
      </c>
      <c r="J165" s="369" t="n">
        <v>0.8139999999999999</v>
      </c>
      <c r="K165" s="465" t="n">
        <v>5</v>
      </c>
      <c r="L165" s="372">
        <f>IF(I165=" "," ",I165*J165*K165)</f>
        <v/>
      </c>
      <c r="M165" s="467" t="n">
        <v>7</v>
      </c>
      <c r="N165" s="465" t="n">
        <v>0</v>
      </c>
      <c r="O165" s="467" t="n">
        <v>0</v>
      </c>
      <c r="P165" s="369">
        <f>IF(M165=" "," ",(1+(M165+N165+O165)/100))</f>
        <v/>
      </c>
      <c r="Q165" s="374">
        <f>IF(L165=" "," ",L165*P165)</f>
        <v/>
      </c>
    </row>
    <row r="166">
      <c r="A166" s="462" t="inlineStr">
        <is>
          <t>Dö</t>
        </is>
      </c>
      <c r="B166" s="463" t="n"/>
      <c r="C166" s="464" t="n"/>
      <c r="D166" s="369" t="n">
        <v>8.77</v>
      </c>
      <c r="E166" s="369" t="n">
        <v>1</v>
      </c>
      <c r="F166" s="369">
        <f>IF(D166=0," ",D166*E166)</f>
        <v/>
      </c>
      <c r="G166" s="465" t="n">
        <v>1</v>
      </c>
      <c r="H166" s="466" t="n"/>
      <c r="I166" s="369">
        <f>IF(F166=" "," ",F166*G166-H166)</f>
        <v/>
      </c>
      <c r="J166" s="369" t="n">
        <v>0.269</v>
      </c>
      <c r="K166" s="465" t="n">
        <v>14</v>
      </c>
      <c r="L166" s="372">
        <f>IF(I166=" "," ",I166*J166*K166)</f>
        <v/>
      </c>
      <c r="M166" s="467" t="n">
        <v>7</v>
      </c>
      <c r="N166" s="465" t="n">
        <v>0</v>
      </c>
      <c r="O166" s="467" t="n">
        <v>0</v>
      </c>
      <c r="P166" s="369">
        <f>IF(M166=" "," ",(1+(M166+N166+O166)/100))</f>
        <v/>
      </c>
      <c r="Q166" s="374">
        <f>IF(L166=" "," ",L166*P166)</f>
        <v/>
      </c>
    </row>
    <row r="167">
      <c r="A167" s="468" t="n"/>
      <c r="B167" s="469" t="n"/>
      <c r="C167" s="469" t="n"/>
      <c r="D167" s="378" t="n"/>
      <c r="E167" s="378" t="n"/>
      <c r="F167" s="378" t="n"/>
      <c r="G167" s="470" t="n"/>
      <c r="H167" s="378" t="n"/>
      <c r="I167" s="378" t="n"/>
      <c r="J167" s="378" t="n"/>
      <c r="K167" s="470" t="n"/>
      <c r="L167" s="380" t="n"/>
      <c r="M167" s="479" t="n"/>
      <c r="N167" s="479" t="n"/>
      <c r="O167" s="479" t="n"/>
      <c r="P167" s="382" t="n"/>
      <c r="Q167" s="383">
        <f>SUM(Q163:Q166)</f>
        <v/>
      </c>
    </row>
    <row r="168">
      <c r="A168" s="472" t="n"/>
      <c r="B168" s="473" t="n"/>
      <c r="C168" s="473" t="n"/>
      <c r="D168" s="474" t="n"/>
      <c r="E168" s="475" t="n"/>
      <c r="F168" s="388" t="n"/>
      <c r="G168" s="396" t="n"/>
      <c r="H168" s="388" t="n"/>
      <c r="I168" s="391" t="n"/>
      <c r="J168" s="476" t="inlineStr">
        <is>
          <t>Qs=</t>
        </is>
      </c>
      <c r="K168" s="391" t="inlineStr">
        <is>
          <t>a</t>
        </is>
      </c>
      <c r="L168" s="388" t="inlineStr">
        <is>
          <t>L</t>
        </is>
      </c>
      <c r="M168" s="396" t="inlineStr">
        <is>
          <t>R</t>
        </is>
      </c>
      <c r="N168" s="477" t="inlineStr">
        <is>
          <t>H</t>
        </is>
      </c>
      <c r="O168" s="478" t="inlineStr">
        <is>
          <t>D  T</t>
        </is>
      </c>
      <c r="P168" s="396" t="inlineStr">
        <is>
          <t>Ze</t>
        </is>
      </c>
      <c r="Q168" s="397" t="n"/>
    </row>
    <row r="169">
      <c r="A169" s="431" t="n"/>
      <c r="C169" s="411" t="n"/>
      <c r="D169" s="411" t="n"/>
      <c r="E169" s="433" t="n"/>
      <c r="F169" s="402" t="n"/>
      <c r="G169" s="434" t="n"/>
      <c r="H169" s="435" t="n"/>
      <c r="I169" s="405" t="n"/>
      <c r="J169" s="436" t="inlineStr">
        <is>
          <t>Qs  =</t>
        </is>
      </c>
      <c r="K169" s="382" t="n">
        <v>2</v>
      </c>
      <c r="L169" s="382">
        <f>(D164+E164)*2*G164</f>
        <v/>
      </c>
      <c r="M169" s="382" t="n">
        <v>0.9</v>
      </c>
      <c r="N169" s="382" t="n">
        <v>0.67</v>
      </c>
      <c r="O169" s="479" t="n">
        <v>23</v>
      </c>
      <c r="P169" s="382" t="n">
        <v>1.2</v>
      </c>
      <c r="Q169" s="383">
        <f>K169*L169*M169*N169*O169*P169</f>
        <v/>
      </c>
    </row>
    <row r="170">
      <c r="A170" s="438" t="n"/>
      <c r="B170" s="439" t="n"/>
      <c r="C170" s="411" t="n"/>
      <c r="D170" s="411" t="n"/>
      <c r="E170" s="378" t="n"/>
      <c r="F170" s="256" t="n"/>
      <c r="G170" s="440" t="n"/>
      <c r="H170" s="411" t="n"/>
      <c r="I170" s="411" t="n"/>
      <c r="J170" s="411" t="n"/>
      <c r="K170" s="440" t="n"/>
      <c r="L170" s="412" t="n"/>
      <c r="M170" s="415" t="inlineStr">
        <is>
          <t xml:space="preserve">   TOPLAM ISI KAYBI =</t>
        </is>
      </c>
      <c r="N170" s="415" t="n"/>
      <c r="O170" s="441" t="n"/>
      <c r="P170" s="415" t="n"/>
      <c r="Q170" s="416">
        <f>Q167+Q169</f>
        <v/>
      </c>
    </row>
    <row r="171"/>
    <row r="172">
      <c r="A172" s="453" t="n"/>
      <c r="B172" s="429" t="n"/>
      <c r="C172" s="429" t="n"/>
      <c r="D172" s="429" t="n"/>
      <c r="E172" s="429" t="n"/>
      <c r="F172" s="426" t="inlineStr">
        <is>
          <t>Z16</t>
        </is>
      </c>
      <c r="G172" s="454" t="n"/>
      <c r="H172" s="429" t="n"/>
      <c r="I172" s="427" t="inlineStr">
        <is>
          <t>D3 SALON</t>
        </is>
      </c>
      <c r="J172" s="264" t="n"/>
      <c r="K172" s="429" t="inlineStr">
        <is>
          <t>20ºC</t>
        </is>
      </c>
      <c r="L172" s="429" t="n"/>
      <c r="M172" s="429" t="n"/>
      <c r="N172" s="429" t="n"/>
      <c r="O172" s="429" t="n"/>
      <c r="P172" s="429" t="n"/>
      <c r="Q172" s="430" t="n"/>
    </row>
    <row r="173">
      <c r="A173" s="462" t="inlineStr">
        <is>
          <t>DD</t>
        </is>
      </c>
      <c r="B173" s="463" t="inlineStr">
        <is>
          <t>K</t>
        </is>
      </c>
      <c r="C173" s="464" t="n"/>
      <c r="D173" s="369" t="n">
        <v>3.68</v>
      </c>
      <c r="E173" s="369" t="n">
        <v>3</v>
      </c>
      <c r="F173" s="369">
        <f>IF(D173=0," ",D173*E173)</f>
        <v/>
      </c>
      <c r="G173" s="465" t="n">
        <v>1</v>
      </c>
      <c r="H173" s="466">
        <f>F174*G174</f>
        <v/>
      </c>
      <c r="I173" s="369">
        <f>IF(F173=" "," ",F173*G173-H173)</f>
        <v/>
      </c>
      <c r="J173" s="369" t="n">
        <v>0.479</v>
      </c>
      <c r="K173" s="465" t="n">
        <v>23</v>
      </c>
      <c r="L173" s="372">
        <f>IF(I173=" "," ",I173*J173*K173)</f>
        <v/>
      </c>
      <c r="M173" s="467" t="n">
        <v>7</v>
      </c>
      <c r="N173" s="465" t="n">
        <v>0</v>
      </c>
      <c r="O173" s="467" t="n">
        <v>5</v>
      </c>
      <c r="P173" s="369">
        <f>IF(M173=" "," ",(1+(M173+N173+O173)/100))</f>
        <v/>
      </c>
      <c r="Q173" s="374">
        <f>IF(L173=" "," ",L173*P173)</f>
        <v/>
      </c>
    </row>
    <row r="174">
      <c r="A174" s="462" t="inlineStr">
        <is>
          <t>ÇP</t>
        </is>
      </c>
      <c r="B174" s="463" t="inlineStr">
        <is>
          <t>K</t>
        </is>
      </c>
      <c r="C174" s="464" t="n"/>
      <c r="D174" s="369" t="n">
        <v>1.6</v>
      </c>
      <c r="E174" s="369" t="n">
        <v>2.3</v>
      </c>
      <c r="F174" s="369">
        <f>IF(D174=0," ",D174*E174)</f>
        <v/>
      </c>
      <c r="G174" s="465" t="n">
        <v>1</v>
      </c>
      <c r="H174" s="466" t="n"/>
      <c r="I174" s="369">
        <f>IF(F174=" "," ",F174*G174-H174)</f>
        <v/>
      </c>
      <c r="J174" s="369" t="n">
        <v>2.4</v>
      </c>
      <c r="K174" s="465" t="n">
        <v>23</v>
      </c>
      <c r="L174" s="372">
        <f>IF(I174=" "," ",I174*J174*K174)</f>
        <v/>
      </c>
      <c r="M174" s="467" t="n">
        <v>7</v>
      </c>
      <c r="N174" s="465" t="n">
        <v>0</v>
      </c>
      <c r="O174" s="467" t="n">
        <v>5</v>
      </c>
      <c r="P174" s="369">
        <f>IF(M174=" "," ",(1+(M174+N174+O174)/100))</f>
        <v/>
      </c>
      <c r="Q174" s="374">
        <f>IF(L174=" "," ",L174*P174)</f>
        <v/>
      </c>
    </row>
    <row r="175">
      <c r="A175" s="462" t="inlineStr">
        <is>
          <t>DD</t>
        </is>
      </c>
      <c r="B175" s="463" t="inlineStr">
        <is>
          <t>D</t>
        </is>
      </c>
      <c r="C175" s="464" t="n"/>
      <c r="D175" s="369" t="n">
        <v>4.7</v>
      </c>
      <c r="E175" s="369" t="n">
        <v>3</v>
      </c>
      <c r="F175" s="369">
        <f>IF(D175=0," ",D175*E175)</f>
        <v/>
      </c>
      <c r="G175" s="465" t="n">
        <v>1</v>
      </c>
      <c r="H175" s="466">
        <f>F176*G176</f>
        <v/>
      </c>
      <c r="I175" s="369">
        <f>IF(F175=" "," ",F175*G175-H175)</f>
        <v/>
      </c>
      <c r="J175" s="369" t="n">
        <v>0.479</v>
      </c>
      <c r="K175" s="465" t="n">
        <v>23</v>
      </c>
      <c r="L175" s="372">
        <f>IF(I175=" "," ",I175*J175*K175)</f>
        <v/>
      </c>
      <c r="M175" s="467" t="n">
        <v>7</v>
      </c>
      <c r="N175" s="465" t="n">
        <v>0</v>
      </c>
      <c r="O175" s="467" t="n">
        <v>0</v>
      </c>
      <c r="P175" s="369">
        <f>IF(M175=" "," ",(1+(M175+N175+O175)/100))</f>
        <v/>
      </c>
      <c r="Q175" s="374">
        <f>IF(L175=" "," ",L175*P175)</f>
        <v/>
      </c>
    </row>
    <row r="176">
      <c r="A176" s="462" t="inlineStr">
        <is>
          <t>ÇP</t>
        </is>
      </c>
      <c r="B176" s="463" t="inlineStr">
        <is>
          <t>D</t>
        </is>
      </c>
      <c r="C176" s="464" t="n"/>
      <c r="D176" s="369" t="n">
        <v>1.6</v>
      </c>
      <c r="E176" s="369" t="n">
        <v>2.3</v>
      </c>
      <c r="F176" s="369">
        <f>IF(D176=0," ",D176*E176)</f>
        <v/>
      </c>
      <c r="G176" s="465" t="n">
        <v>1</v>
      </c>
      <c r="H176" s="466" t="n"/>
      <c r="I176" s="369">
        <f>IF(F176=" "," ",F176*G176-H176)</f>
        <v/>
      </c>
      <c r="J176" s="369" t="n">
        <v>2.4</v>
      </c>
      <c r="K176" s="465" t="n">
        <v>23</v>
      </c>
      <c r="L176" s="372">
        <f>IF(I176=" "," ",I176*J176*K176)</f>
        <v/>
      </c>
      <c r="M176" s="467" t="n">
        <v>7</v>
      </c>
      <c r="N176" s="465" t="n">
        <v>0</v>
      </c>
      <c r="O176" s="467" t="n">
        <v>0</v>
      </c>
      <c r="P176" s="369">
        <f>IF(M176=" "," ",(1+(M176+N176+O176)/100))</f>
        <v/>
      </c>
      <c r="Q176" s="374">
        <f>IF(L176=" "," ",L176*P176)</f>
        <v/>
      </c>
    </row>
    <row r="177">
      <c r="A177" s="462" t="inlineStr">
        <is>
          <t>DD</t>
        </is>
      </c>
      <c r="B177" s="463" t="inlineStr">
        <is>
          <t>G</t>
        </is>
      </c>
      <c r="C177" s="464" t="n"/>
      <c r="D177" s="369" t="n">
        <v>0.66</v>
      </c>
      <c r="E177" s="369" t="n">
        <v>3</v>
      </c>
      <c r="F177" s="369">
        <f>IF(D177=0," ",D177*E177)</f>
        <v/>
      </c>
      <c r="G177" s="465" t="n">
        <v>1</v>
      </c>
      <c r="H177" s="466" t="n"/>
      <c r="I177" s="369">
        <f>IF(F177=" "," ",F177*G177-H177)</f>
        <v/>
      </c>
      <c r="J177" s="369" t="n">
        <v>0.479</v>
      </c>
      <c r="K177" s="465" t="n">
        <v>23</v>
      </c>
      <c r="L177" s="372">
        <f>IF(I177=" "," ",I177*J177*K177)</f>
        <v/>
      </c>
      <c r="M177" s="467" t="n">
        <v>7</v>
      </c>
      <c r="N177" s="465" t="n">
        <v>0</v>
      </c>
      <c r="O177" s="467" t="n">
        <v>-5</v>
      </c>
      <c r="P177" s="369">
        <f>IF(M177=" "," ",(1+(M177+N177+O177)/100))</f>
        <v/>
      </c>
      <c r="Q177" s="374">
        <f>IF(L177=" "," ",L177*P177)</f>
        <v/>
      </c>
    </row>
    <row r="178">
      <c r="A178" s="462" t="inlineStr">
        <is>
          <t>İD</t>
        </is>
      </c>
      <c r="B178" s="463" t="n"/>
      <c r="C178" s="464" t="n"/>
      <c r="D178" s="369" t="n">
        <v>3.02</v>
      </c>
      <c r="E178" s="369" t="n">
        <v>3</v>
      </c>
      <c r="F178" s="369">
        <f>IF(D178=0," ",D178*E178)</f>
        <v/>
      </c>
      <c r="G178" s="465" t="n">
        <v>1</v>
      </c>
      <c r="H178" s="466" t="n"/>
      <c r="I178" s="369">
        <f>IF(F178=" "," ",F178*G178-H178)</f>
        <v/>
      </c>
      <c r="J178" s="369" t="n">
        <v>0.8139999999999999</v>
      </c>
      <c r="K178" s="465" t="n">
        <v>10</v>
      </c>
      <c r="L178" s="372">
        <f>IF(I178=" "," ",I178*J178*K178)</f>
        <v/>
      </c>
      <c r="M178" s="467" t="n">
        <v>7</v>
      </c>
      <c r="N178" s="465" t="n">
        <v>0</v>
      </c>
      <c r="O178" s="467" t="n">
        <v>0</v>
      </c>
      <c r="P178" s="369">
        <f>IF(M178=" "," ",(1+(M178+N178+O178)/100))</f>
        <v/>
      </c>
      <c r="Q178" s="374">
        <f>IF(L178=" "," ",L178*P178)</f>
        <v/>
      </c>
    </row>
    <row r="179">
      <c r="A179" s="462" t="inlineStr">
        <is>
          <t>İD</t>
        </is>
      </c>
      <c r="B179" s="463" t="n"/>
      <c r="C179" s="464" t="n"/>
      <c r="D179" s="369" t="n">
        <v>1.14</v>
      </c>
      <c r="E179" s="369" t="n">
        <v>3</v>
      </c>
      <c r="F179" s="369">
        <f>IF(D179=0," ",D179*E179)</f>
        <v/>
      </c>
      <c r="G179" s="465" t="n">
        <v>1</v>
      </c>
      <c r="H179" s="466" t="n"/>
      <c r="I179" s="369">
        <f>IF(F179=" "," ",F179*G179-H179)</f>
        <v/>
      </c>
      <c r="J179" s="369" t="n">
        <v>0.8139999999999999</v>
      </c>
      <c r="K179" s="465" t="n">
        <v>5</v>
      </c>
      <c r="L179" s="372">
        <f>IF(I179=" "," ",I179*J179*K179)</f>
        <v/>
      </c>
      <c r="M179" s="467" t="n">
        <v>7</v>
      </c>
      <c r="N179" s="465" t="n">
        <v>0</v>
      </c>
      <c r="O179" s="467" t="n">
        <v>0</v>
      </c>
      <c r="P179" s="369">
        <f>IF(M179=" "," ",(1+(M179+N179+O179)/100))</f>
        <v/>
      </c>
      <c r="Q179" s="374">
        <f>IF(L179=" "," ",L179*P179)</f>
        <v/>
      </c>
    </row>
    <row r="180">
      <c r="A180" s="462" t="inlineStr">
        <is>
          <t>Dö</t>
        </is>
      </c>
      <c r="B180" s="463" t="n"/>
      <c r="C180" s="464" t="n"/>
      <c r="D180" s="369" t="n">
        <v>21.14</v>
      </c>
      <c r="E180" s="369" t="n">
        <v>1</v>
      </c>
      <c r="F180" s="369">
        <f>IF(D180=0," ",D180*E180)</f>
        <v/>
      </c>
      <c r="G180" s="465" t="n">
        <v>1</v>
      </c>
      <c r="H180" s="466" t="n"/>
      <c r="I180" s="369">
        <f>IF(F180=" "," ",F180*G180-H180)</f>
        <v/>
      </c>
      <c r="J180" s="369" t="n">
        <v>0.269</v>
      </c>
      <c r="K180" s="465" t="n">
        <v>14</v>
      </c>
      <c r="L180" s="372">
        <f>IF(I180=" "," ",I180*J180*K180)</f>
        <v/>
      </c>
      <c r="M180" s="467" t="n">
        <v>7</v>
      </c>
      <c r="N180" s="465" t="n">
        <v>0</v>
      </c>
      <c r="O180" s="467" t="n">
        <v>0</v>
      </c>
      <c r="P180" s="369">
        <f>IF(M180=" "," ",(1+(M180+N180+O180)/100))</f>
        <v/>
      </c>
      <c r="Q180" s="374">
        <f>IF(L180=" "," ",L180*P180)</f>
        <v/>
      </c>
    </row>
    <row r="181">
      <c r="A181" s="468" t="n"/>
      <c r="B181" s="469" t="n"/>
      <c r="C181" s="469" t="n"/>
      <c r="D181" s="378" t="n"/>
      <c r="E181" s="378" t="n"/>
      <c r="F181" s="378" t="n"/>
      <c r="G181" s="470" t="n"/>
      <c r="H181" s="378" t="n"/>
      <c r="I181" s="378" t="n"/>
      <c r="J181" s="378" t="n"/>
      <c r="K181" s="470" t="n"/>
      <c r="L181" s="380" t="n"/>
      <c r="M181" s="479" t="n"/>
      <c r="N181" s="479" t="n"/>
      <c r="O181" s="479" t="n"/>
      <c r="P181" s="382" t="n"/>
      <c r="Q181" s="383">
        <f>SUM(Q173:Q180)</f>
        <v/>
      </c>
    </row>
    <row r="182">
      <c r="A182" s="472" t="n"/>
      <c r="B182" s="473" t="n"/>
      <c r="C182" s="473" t="n"/>
      <c r="D182" s="474" t="n"/>
      <c r="E182" s="475" t="n"/>
      <c r="F182" s="388" t="n"/>
      <c r="G182" s="396" t="n"/>
      <c r="H182" s="388" t="n"/>
      <c r="I182" s="391" t="n"/>
      <c r="J182" s="476" t="inlineStr">
        <is>
          <t>Qs=</t>
        </is>
      </c>
      <c r="K182" s="391" t="inlineStr">
        <is>
          <t>a</t>
        </is>
      </c>
      <c r="L182" s="388" t="inlineStr">
        <is>
          <t>L</t>
        </is>
      </c>
      <c r="M182" s="396" t="inlineStr">
        <is>
          <t>R</t>
        </is>
      </c>
      <c r="N182" s="477" t="inlineStr">
        <is>
          <t>H</t>
        </is>
      </c>
      <c r="O182" s="478" t="inlineStr">
        <is>
          <t>D  T</t>
        </is>
      </c>
      <c r="P182" s="396" t="inlineStr">
        <is>
          <t>Ze</t>
        </is>
      </c>
      <c r="Q182" s="397" t="n"/>
    </row>
    <row r="183">
      <c r="A183" s="431" t="n"/>
      <c r="C183" s="411" t="n"/>
      <c r="D183" s="411" t="n"/>
      <c r="E183" s="433" t="n"/>
      <c r="F183" s="402" t="n"/>
      <c r="G183" s="434" t="n"/>
      <c r="H183" s="435" t="n"/>
      <c r="I183" s="405" t="n"/>
      <c r="J183" s="436" t="inlineStr">
        <is>
          <t>Qs  =</t>
        </is>
      </c>
      <c r="K183" s="382" t="n">
        <v>2</v>
      </c>
      <c r="L183" s="382">
        <f>(D174+E174)*2*G174+(D176+E176)*2*G176</f>
        <v/>
      </c>
      <c r="M183" s="382" t="n">
        <v>0.9</v>
      </c>
      <c r="N183" s="382" t="n">
        <v>0.67</v>
      </c>
      <c r="O183" s="479" t="n">
        <v>23</v>
      </c>
      <c r="P183" s="382" t="n">
        <v>1.2</v>
      </c>
      <c r="Q183" s="383">
        <f>K183*L183*M183*N183*O183*P183</f>
        <v/>
      </c>
    </row>
    <row r="184">
      <c r="A184" s="438" t="n"/>
      <c r="B184" s="439" t="n"/>
      <c r="C184" s="411" t="n"/>
      <c r="D184" s="411" t="n"/>
      <c r="E184" s="378" t="n"/>
      <c r="F184" s="256" t="n"/>
      <c r="G184" s="440" t="n"/>
      <c r="H184" s="411" t="n"/>
      <c r="I184" s="411" t="n"/>
      <c r="J184" s="411" t="n"/>
      <c r="K184" s="440" t="n"/>
      <c r="L184" s="412" t="n"/>
      <c r="M184" s="415" t="inlineStr">
        <is>
          <t xml:space="preserve">   TOPLAM ISI KAYBI =</t>
        </is>
      </c>
      <c r="N184" s="415" t="n"/>
      <c r="O184" s="441" t="n"/>
      <c r="P184" s="415" t="n"/>
      <c r="Q184" s="416">
        <f>Q181+Q183</f>
        <v/>
      </c>
    </row>
    <row r="185"/>
    <row r="186">
      <c r="A186" s="453" t="n"/>
      <c r="B186" s="429" t="n"/>
      <c r="C186" s="429" t="n"/>
      <c r="D186" s="429" t="n"/>
      <c r="E186" s="429" t="n"/>
      <c r="F186" s="426" t="inlineStr">
        <is>
          <t>Z17</t>
        </is>
      </c>
      <c r="G186" s="454" t="n"/>
      <c r="H186" s="429" t="n"/>
      <c r="I186" s="427" t="inlineStr">
        <is>
          <t>D3 ODA</t>
        </is>
      </c>
      <c r="J186" s="264" t="n"/>
      <c r="K186" s="429" t="inlineStr">
        <is>
          <t>20ºC</t>
        </is>
      </c>
      <c r="L186" s="429" t="n"/>
      <c r="M186" s="429" t="n"/>
      <c r="N186" s="429" t="n"/>
      <c r="O186" s="429" t="n"/>
      <c r="P186" s="429" t="n"/>
      <c r="Q186" s="430" t="n"/>
    </row>
    <row r="187">
      <c r="A187" s="462" t="inlineStr">
        <is>
          <t>DD</t>
        </is>
      </c>
      <c r="B187" s="463" t="inlineStr">
        <is>
          <t>K</t>
        </is>
      </c>
      <c r="C187" s="464" t="n"/>
      <c r="D187" s="369" t="n">
        <v>0.6</v>
      </c>
      <c r="E187" s="369" t="n">
        <v>3</v>
      </c>
      <c r="F187" s="369">
        <f>IF(D187=0," ",D187*E187)</f>
        <v/>
      </c>
      <c r="G187" s="465" t="n">
        <v>1</v>
      </c>
      <c r="H187" s="466">
        <f>F188*G188</f>
        <v/>
      </c>
      <c r="I187" s="369">
        <f>IF(F187=" "," ",F187*G187-H187)</f>
        <v/>
      </c>
      <c r="J187" s="369" t="n">
        <v>0.479</v>
      </c>
      <c r="K187" s="465" t="n">
        <v>23</v>
      </c>
      <c r="L187" s="372">
        <f>IF(I187=" "," ",I187*J187*K187)</f>
        <v/>
      </c>
      <c r="M187" s="467" t="n">
        <v>7</v>
      </c>
      <c r="N187" s="465" t="n">
        <v>0</v>
      </c>
      <c r="O187" s="467" t="n">
        <v>5</v>
      </c>
      <c r="P187" s="369">
        <f>IF(M187=" "," ",(1+(M187+N187+O187)/100))</f>
        <v/>
      </c>
      <c r="Q187" s="374">
        <f>IF(L187=" "," ",L187*P187)</f>
        <v/>
      </c>
    </row>
    <row r="188">
      <c r="A188" s="462" t="inlineStr">
        <is>
          <t>ÇP</t>
        </is>
      </c>
      <c r="B188" s="463" t="inlineStr">
        <is>
          <t>K</t>
        </is>
      </c>
      <c r="C188" s="464" t="n"/>
      <c r="D188" s="369" t="n">
        <v>0.6</v>
      </c>
      <c r="E188" s="369" t="n">
        <v>0.6</v>
      </c>
      <c r="F188" s="369">
        <f>IF(D188=0," ",D188*E188)</f>
        <v/>
      </c>
      <c r="G188" s="465" t="n">
        <v>1</v>
      </c>
      <c r="H188" s="466" t="n"/>
      <c r="I188" s="369">
        <f>IF(F188=" "," ",F188*G188-H188)</f>
        <v/>
      </c>
      <c r="J188" s="369" t="n">
        <v>2.4</v>
      </c>
      <c r="K188" s="465" t="n">
        <v>23</v>
      </c>
      <c r="L188" s="372">
        <f>IF(I188=" "," ",I188*J188*K188)</f>
        <v/>
      </c>
      <c r="M188" s="467" t="n">
        <v>7</v>
      </c>
      <c r="N188" s="465" t="n">
        <v>0</v>
      </c>
      <c r="O188" s="467" t="n">
        <v>5</v>
      </c>
      <c r="P188" s="369">
        <f>IF(M188=" "," ",(1+(M188+N188+O188)/100))</f>
        <v/>
      </c>
      <c r="Q188" s="374">
        <f>IF(L188=" "," ",L188*P188)</f>
        <v/>
      </c>
    </row>
    <row r="189">
      <c r="A189" s="462" t="inlineStr">
        <is>
          <t>DD</t>
        </is>
      </c>
      <c r="B189" s="463" t="inlineStr">
        <is>
          <t>B</t>
        </is>
      </c>
      <c r="C189" s="464" t="n"/>
      <c r="D189" s="369" t="n">
        <v>2.28</v>
      </c>
      <c r="E189" s="369" t="n">
        <v>3</v>
      </c>
      <c r="F189" s="369">
        <f>IF(D189=0," ",D189*E189)</f>
        <v/>
      </c>
      <c r="G189" s="465" t="n">
        <v>1</v>
      </c>
      <c r="H189" s="466">
        <f>F190*G190</f>
        <v/>
      </c>
      <c r="I189" s="369">
        <f>IF(F189=" "," ",F189*G189-H189)</f>
        <v/>
      </c>
      <c r="J189" s="369" t="n">
        <v>0.479</v>
      </c>
      <c r="K189" s="465" t="n">
        <v>23</v>
      </c>
      <c r="L189" s="372">
        <f>IF(I189=" "," ",I189*J189*K189)</f>
        <v/>
      </c>
      <c r="M189" s="467" t="n">
        <v>7</v>
      </c>
      <c r="N189" s="465" t="n">
        <v>0</v>
      </c>
      <c r="O189" s="467" t="n">
        <v>0</v>
      </c>
      <c r="P189" s="369">
        <f>IF(M189=" "," ",(1+(M189+N189+O189)/100))</f>
        <v/>
      </c>
      <c r="Q189" s="374">
        <f>IF(L189=" "," ",L189*P189)</f>
        <v/>
      </c>
    </row>
    <row r="190">
      <c r="A190" s="462" t="inlineStr">
        <is>
          <t>ÇP</t>
        </is>
      </c>
      <c r="B190" s="463" t="inlineStr">
        <is>
          <t>B</t>
        </is>
      </c>
      <c r="C190" s="464" t="n"/>
      <c r="D190" s="369" t="n">
        <v>1.6</v>
      </c>
      <c r="E190" s="369" t="n">
        <v>2.3</v>
      </c>
      <c r="F190" s="369">
        <f>IF(D190=0," ",D190*E190)</f>
        <v/>
      </c>
      <c r="G190" s="465" t="n">
        <v>1</v>
      </c>
      <c r="H190" s="466" t="n"/>
      <c r="I190" s="369">
        <f>IF(F190=" "," ",F190*G190-H190)</f>
        <v/>
      </c>
      <c r="J190" s="369" t="n">
        <v>2.4</v>
      </c>
      <c r="K190" s="465" t="n">
        <v>23</v>
      </c>
      <c r="L190" s="372">
        <f>IF(I190=" "," ",I190*J190*K190)</f>
        <v/>
      </c>
      <c r="M190" s="467" t="n">
        <v>7</v>
      </c>
      <c r="N190" s="465" t="n">
        <v>0</v>
      </c>
      <c r="O190" s="467" t="n">
        <v>0</v>
      </c>
      <c r="P190" s="369">
        <f>IF(M190=" "," ",(1+(M190+N190+O190)/100))</f>
        <v/>
      </c>
      <c r="Q190" s="374">
        <f>IF(L190=" "," ",L190*P190)</f>
        <v/>
      </c>
    </row>
    <row r="191">
      <c r="A191" s="462" t="inlineStr">
        <is>
          <t>İD</t>
        </is>
      </c>
      <c r="B191" s="463" t="n"/>
      <c r="C191" s="464" t="n"/>
      <c r="D191" s="369" t="n">
        <v>2.88</v>
      </c>
      <c r="E191" s="369" t="n">
        <v>3</v>
      </c>
      <c r="F191" s="369">
        <f>IF(D191=0," ",D191*E191)</f>
        <v/>
      </c>
      <c r="G191" s="465" t="n">
        <v>1</v>
      </c>
      <c r="H191" s="466" t="n"/>
      <c r="I191" s="369">
        <f>IF(F191=" "," ",F191*G191-H191)</f>
        <v/>
      </c>
      <c r="J191" s="369" t="n">
        <v>0.8139999999999999</v>
      </c>
      <c r="K191" s="465" t="n">
        <v>5</v>
      </c>
      <c r="L191" s="372">
        <f>IF(I191=" "," ",I191*J191*K191)</f>
        <v/>
      </c>
      <c r="M191" s="467" t="n">
        <v>7</v>
      </c>
      <c r="N191" s="465" t="n">
        <v>0</v>
      </c>
      <c r="O191" s="467" t="n">
        <v>0</v>
      </c>
      <c r="P191" s="369">
        <f>IF(M191=" "," ",(1+(M191+N191+O191)/100))</f>
        <v/>
      </c>
      <c r="Q191" s="374">
        <f>IF(L191=" "," ",L191*P191)</f>
        <v/>
      </c>
    </row>
    <row r="192">
      <c r="A192" s="462" t="inlineStr">
        <is>
          <t>Dö</t>
        </is>
      </c>
      <c r="B192" s="463" t="n"/>
      <c r="C192" s="464" t="n"/>
      <c r="D192" s="369" t="n">
        <v>7.47</v>
      </c>
      <c r="E192" s="369" t="n">
        <v>1</v>
      </c>
      <c r="F192" s="369">
        <f>IF(D192=0," ",D192*E192)</f>
        <v/>
      </c>
      <c r="G192" s="465" t="n">
        <v>1</v>
      </c>
      <c r="H192" s="466" t="n"/>
      <c r="I192" s="369">
        <f>IF(F192=" "," ",F192*G192-H192)</f>
        <v/>
      </c>
      <c r="J192" s="369" t="n">
        <v>0.269</v>
      </c>
      <c r="K192" s="465" t="n">
        <v>14</v>
      </c>
      <c r="L192" s="372">
        <f>IF(I192=" "," ",I192*J192*K192)</f>
        <v/>
      </c>
      <c r="M192" s="467" t="n">
        <v>7</v>
      </c>
      <c r="N192" s="465" t="n">
        <v>0</v>
      </c>
      <c r="O192" s="467" t="n">
        <v>0</v>
      </c>
      <c r="P192" s="369">
        <f>IF(M192=" "," ",(1+(M192+N192+O192)/100))</f>
        <v/>
      </c>
      <c r="Q192" s="374">
        <f>IF(L192=" "," ",L192*P192)</f>
        <v/>
      </c>
    </row>
    <row r="193">
      <c r="A193" s="468" t="n"/>
      <c r="B193" s="469" t="n"/>
      <c r="C193" s="469" t="n"/>
      <c r="D193" s="378" t="n"/>
      <c r="E193" s="378" t="n"/>
      <c r="F193" s="378" t="n"/>
      <c r="G193" s="470" t="n"/>
      <c r="H193" s="378" t="n"/>
      <c r="I193" s="378" t="n"/>
      <c r="J193" s="378" t="n"/>
      <c r="K193" s="470" t="n"/>
      <c r="L193" s="380" t="n"/>
      <c r="M193" s="479" t="n"/>
      <c r="N193" s="479" t="n"/>
      <c r="O193" s="479" t="n"/>
      <c r="P193" s="382" t="n"/>
      <c r="Q193" s="383">
        <f>SUM(Q187:Q192)</f>
        <v/>
      </c>
    </row>
    <row r="194">
      <c r="A194" s="472" t="n"/>
      <c r="B194" s="473" t="n"/>
      <c r="C194" s="473" t="n"/>
      <c r="D194" s="474" t="n"/>
      <c r="E194" s="475" t="n"/>
      <c r="F194" s="388" t="n"/>
      <c r="G194" s="396" t="n"/>
      <c r="H194" s="388" t="n"/>
      <c r="I194" s="391" t="n"/>
      <c r="J194" s="476" t="inlineStr">
        <is>
          <t>Qs=</t>
        </is>
      </c>
      <c r="K194" s="391" t="inlineStr">
        <is>
          <t>a</t>
        </is>
      </c>
      <c r="L194" s="388" t="inlineStr">
        <is>
          <t>L</t>
        </is>
      </c>
      <c r="M194" s="396" t="inlineStr">
        <is>
          <t>R</t>
        </is>
      </c>
      <c r="N194" s="477" t="inlineStr">
        <is>
          <t>H</t>
        </is>
      </c>
      <c r="O194" s="478" t="inlineStr">
        <is>
          <t>D  T</t>
        </is>
      </c>
      <c r="P194" s="396" t="inlineStr">
        <is>
          <t>Ze</t>
        </is>
      </c>
      <c r="Q194" s="397" t="n"/>
    </row>
    <row r="195">
      <c r="A195" s="431" t="n"/>
      <c r="C195" s="411" t="n"/>
      <c r="D195" s="411" t="n"/>
      <c r="E195" s="433" t="n"/>
      <c r="F195" s="402" t="n"/>
      <c r="G195" s="434" t="n"/>
      <c r="H195" s="435" t="n"/>
      <c r="I195" s="405" t="n"/>
      <c r="J195" s="436" t="inlineStr">
        <is>
          <t>Qs  =</t>
        </is>
      </c>
      <c r="K195" s="382" t="n">
        <v>2</v>
      </c>
      <c r="L195" s="382">
        <f>(D188+E188)*2*G188+(D190+E190)*2*G190</f>
        <v/>
      </c>
      <c r="M195" s="382" t="n">
        <v>0.9</v>
      </c>
      <c r="N195" s="382" t="n">
        <v>0.67</v>
      </c>
      <c r="O195" s="479" t="n">
        <v>23</v>
      </c>
      <c r="P195" s="382" t="n">
        <v>1.2</v>
      </c>
      <c r="Q195" s="383">
        <f>K195*L195*M195*N195*O195*P195</f>
        <v/>
      </c>
    </row>
    <row r="196">
      <c r="A196" s="438" t="n"/>
      <c r="B196" s="439" t="n"/>
      <c r="C196" s="411" t="n"/>
      <c r="D196" s="411" t="n"/>
      <c r="E196" s="378" t="n"/>
      <c r="F196" s="256" t="n"/>
      <c r="G196" s="440" t="n"/>
      <c r="H196" s="411" t="n"/>
      <c r="I196" s="411" t="n"/>
      <c r="J196" s="411" t="n"/>
      <c r="K196" s="440" t="n"/>
      <c r="L196" s="412" t="n"/>
      <c r="M196" s="415" t="inlineStr">
        <is>
          <t xml:space="preserve">   TOPLAM ISI KAYBI =</t>
        </is>
      </c>
      <c r="N196" s="415" t="n"/>
      <c r="O196" s="441" t="n"/>
      <c r="P196" s="415" t="n"/>
      <c r="Q196" s="416">
        <f>Q193+Q195</f>
        <v/>
      </c>
    </row>
    <row r="197"/>
    <row r="198">
      <c r="A198" s="453" t="n"/>
      <c r="B198" s="429" t="n"/>
      <c r="C198" s="429" t="n"/>
      <c r="D198" s="429" t="n"/>
      <c r="E198" s="429" t="n"/>
      <c r="F198" s="426" t="inlineStr">
        <is>
          <t>Z18</t>
        </is>
      </c>
      <c r="G198" s="454" t="n"/>
      <c r="H198" s="429" t="n"/>
      <c r="I198" s="427" t="inlineStr">
        <is>
          <t>D3 WC+BANYO</t>
        </is>
      </c>
      <c r="J198" s="264" t="n"/>
      <c r="K198" s="429" t="inlineStr">
        <is>
          <t>24ºC</t>
        </is>
      </c>
      <c r="L198" s="429" t="n"/>
      <c r="M198" s="429" t="n"/>
      <c r="N198" s="429" t="n"/>
      <c r="O198" s="429" t="n"/>
      <c r="P198" s="429" t="n"/>
      <c r="Q198" s="430" t="n"/>
    </row>
    <row r="199">
      <c r="A199" s="462" t="inlineStr">
        <is>
          <t>İD</t>
        </is>
      </c>
      <c r="B199" s="463" t="n"/>
      <c r="C199" s="464" t="n"/>
      <c r="D199" s="369" t="n">
        <v>1.88</v>
      </c>
      <c r="E199" s="369" t="n">
        <v>3</v>
      </c>
      <c r="F199" s="369">
        <f>IF(D199=0," ",D199*E199)</f>
        <v/>
      </c>
      <c r="G199" s="465" t="n">
        <v>1</v>
      </c>
      <c r="H199" s="466" t="n"/>
      <c r="I199" s="369">
        <f>IF(F199=" "," ",F199*G199-H199)</f>
        <v/>
      </c>
      <c r="J199" s="369" t="n">
        <v>0.8139999999999999</v>
      </c>
      <c r="K199" s="465" t="n">
        <v>14</v>
      </c>
      <c r="L199" s="372">
        <f>IF(I199=" "," ",I199*J199*K199)</f>
        <v/>
      </c>
      <c r="M199" s="467" t="n">
        <v>7</v>
      </c>
      <c r="N199" s="465" t="n">
        <v>0</v>
      </c>
      <c r="O199" s="467" t="n">
        <v>0</v>
      </c>
      <c r="P199" s="369">
        <f>IF(M199=" "," ",(1+(M199+N199+O199)/100))</f>
        <v/>
      </c>
      <c r="Q199" s="374">
        <f>IF(L199=" "," ",L199*P199)</f>
        <v/>
      </c>
    </row>
    <row r="200">
      <c r="A200" s="462" t="inlineStr">
        <is>
          <t>İD</t>
        </is>
      </c>
      <c r="B200" s="463" t="n"/>
      <c r="C200" s="464" t="n"/>
      <c r="D200" s="369" t="n">
        <v>0.52</v>
      </c>
      <c r="E200" s="369" t="n">
        <v>3</v>
      </c>
      <c r="F200" s="369">
        <f>IF(D200=0," ",D200*E200)</f>
        <v/>
      </c>
      <c r="G200" s="465" t="n">
        <v>1</v>
      </c>
      <c r="H200" s="466" t="n"/>
      <c r="I200" s="369">
        <f>IF(F200=" "," ",F200*G200-H200)</f>
        <v/>
      </c>
      <c r="J200" s="369" t="n">
        <v>0.8139999999999999</v>
      </c>
      <c r="K200" s="465" t="n">
        <v>9</v>
      </c>
      <c r="L200" s="372">
        <f>IF(I200=" "," ",I200*J200*K200)</f>
        <v/>
      </c>
      <c r="M200" s="467" t="n">
        <v>7</v>
      </c>
      <c r="N200" s="465" t="n">
        <v>0</v>
      </c>
      <c r="O200" s="467" t="n">
        <v>0</v>
      </c>
      <c r="P200" s="369">
        <f>IF(M200=" "," ",(1+(M200+N200+O200)/100))</f>
        <v/>
      </c>
      <c r="Q200" s="374">
        <f>IF(L200=" "," ",L200*P200)</f>
        <v/>
      </c>
    </row>
    <row r="201">
      <c r="A201" s="462" t="inlineStr">
        <is>
          <t>İD</t>
        </is>
      </c>
      <c r="B201" s="463" t="n"/>
      <c r="C201" s="464" t="n"/>
      <c r="D201" s="369" t="n">
        <v>3.16</v>
      </c>
      <c r="E201" s="369" t="n">
        <v>3</v>
      </c>
      <c r="F201" s="369">
        <f>IF(D201=0," ",D201*E201)</f>
        <v/>
      </c>
      <c r="G201" s="465" t="n">
        <v>1</v>
      </c>
      <c r="H201" s="466" t="n"/>
      <c r="I201" s="369">
        <f>IF(F201=" "," ",F201*G201-H201)</f>
        <v/>
      </c>
      <c r="J201" s="369" t="n">
        <v>0.8139999999999999</v>
      </c>
      <c r="K201" s="465" t="n">
        <v>4</v>
      </c>
      <c r="L201" s="372">
        <f>IF(I201=" "," ",I201*J201*K201)</f>
        <v/>
      </c>
      <c r="M201" s="467" t="n">
        <v>7</v>
      </c>
      <c r="N201" s="465" t="n">
        <v>0</v>
      </c>
      <c r="O201" s="467" t="n">
        <v>0</v>
      </c>
      <c r="P201" s="369">
        <f>IF(M201=" "," ",(1+(M201+N201+O201)/100))</f>
        <v/>
      </c>
      <c r="Q201" s="374">
        <f>IF(L201=" "," ",L201*P201)</f>
        <v/>
      </c>
    </row>
    <row r="202">
      <c r="A202" s="462" t="inlineStr">
        <is>
          <t>Dö</t>
        </is>
      </c>
      <c r="B202" s="463" t="n"/>
      <c r="C202" s="464" t="n"/>
      <c r="D202" s="369" t="n">
        <v>3.64</v>
      </c>
      <c r="E202" s="369" t="n">
        <v>1</v>
      </c>
      <c r="F202" s="369">
        <f>IF(D202=0," ",D202*E202)</f>
        <v/>
      </c>
      <c r="G202" s="465" t="n">
        <v>1</v>
      </c>
      <c r="H202" s="466" t="n"/>
      <c r="I202" s="369">
        <f>IF(F202=" "," ",F202*G202-H202)</f>
        <v/>
      </c>
      <c r="J202" s="369" t="n">
        <v>0.269</v>
      </c>
      <c r="K202" s="465" t="n">
        <v>18</v>
      </c>
      <c r="L202" s="372">
        <f>IF(I202=" "," ",I202*J202*K202)</f>
        <v/>
      </c>
      <c r="M202" s="467" t="n">
        <v>7</v>
      </c>
      <c r="N202" s="465" t="n">
        <v>0</v>
      </c>
      <c r="O202" s="467" t="n">
        <v>0</v>
      </c>
      <c r="P202" s="369">
        <f>IF(M202=" "," ",(1+(M202+N202+O202)/100))</f>
        <v/>
      </c>
      <c r="Q202" s="374">
        <f>IF(L202=" "," ",L202*P202)</f>
        <v/>
      </c>
    </row>
    <row r="203">
      <c r="A203" s="468" t="n"/>
      <c r="B203" s="469" t="n"/>
      <c r="C203" s="469" t="n"/>
      <c r="D203" s="378" t="n"/>
      <c r="E203" s="378" t="n"/>
      <c r="F203" s="378" t="n"/>
      <c r="G203" s="470" t="n"/>
      <c r="H203" s="378" t="n"/>
      <c r="I203" s="378" t="n"/>
      <c r="J203" s="378" t="n"/>
      <c r="K203" s="470" t="n"/>
      <c r="L203" s="380" t="n"/>
      <c r="M203" s="479" t="n"/>
      <c r="N203" s="479" t="n"/>
      <c r="O203" s="479" t="n"/>
      <c r="P203" s="382" t="n"/>
      <c r="Q203" s="383">
        <f>SUM(Q199:Q202)</f>
        <v/>
      </c>
    </row>
    <row r="204">
      <c r="A204" s="472" t="n"/>
      <c r="B204" s="473" t="n"/>
      <c r="C204" s="473" t="n"/>
      <c r="D204" s="474" t="n"/>
      <c r="E204" s="475" t="n"/>
      <c r="F204" s="388" t="n"/>
      <c r="G204" s="396" t="n"/>
      <c r="H204" s="388" t="n"/>
      <c r="I204" s="391" t="n"/>
      <c r="J204" s="476" t="inlineStr">
        <is>
          <t>Qs=</t>
        </is>
      </c>
      <c r="K204" s="391" t="inlineStr">
        <is>
          <t>a</t>
        </is>
      </c>
      <c r="L204" s="388" t="inlineStr">
        <is>
          <t>L</t>
        </is>
      </c>
      <c r="M204" s="396" t="inlineStr">
        <is>
          <t>R</t>
        </is>
      </c>
      <c r="N204" s="477" t="inlineStr">
        <is>
          <t>H</t>
        </is>
      </c>
      <c r="O204" s="478" t="inlineStr">
        <is>
          <t>D  T</t>
        </is>
      </c>
      <c r="P204" s="396" t="inlineStr">
        <is>
          <t>Ze</t>
        </is>
      </c>
      <c r="Q204" s="397" t="n"/>
    </row>
    <row r="205">
      <c r="A205" s="431" t="n"/>
      <c r="C205" s="411" t="n"/>
      <c r="D205" s="411" t="n"/>
      <c r="E205" s="433" t="n"/>
      <c r="F205" s="402" t="n"/>
      <c r="G205" s="434" t="n"/>
      <c r="H205" s="435" t="n"/>
      <c r="I205" s="405" t="n"/>
      <c r="J205" s="436" t="inlineStr">
        <is>
          <t>Qs  =</t>
        </is>
      </c>
      <c r="K205" s="382" t="n">
        <v>2</v>
      </c>
      <c r="L205" s="382" t="n">
        <v>0</v>
      </c>
      <c r="M205" s="382" t="n">
        <v>0.9</v>
      </c>
      <c r="N205" s="382" t="n">
        <v>0.67</v>
      </c>
      <c r="O205" s="479" t="n">
        <v>27</v>
      </c>
      <c r="P205" s="382" t="n">
        <v>1.2</v>
      </c>
      <c r="Q205" s="383">
        <f>K205*L205*M205*N205*O205*P205</f>
        <v/>
      </c>
    </row>
    <row r="206">
      <c r="A206" s="438" t="n"/>
      <c r="B206" s="439" t="n"/>
      <c r="C206" s="411" t="n"/>
      <c r="D206" s="411" t="n"/>
      <c r="E206" s="378" t="n"/>
      <c r="F206" s="256" t="n"/>
      <c r="G206" s="440" t="n"/>
      <c r="H206" s="411" t="n"/>
      <c r="I206" s="411" t="n"/>
      <c r="J206" s="411" t="n"/>
      <c r="K206" s="440" t="n"/>
      <c r="L206" s="412" t="n"/>
      <c r="M206" s="415" t="inlineStr">
        <is>
          <t xml:space="preserve">   TOPLAM ISI KAYBI =</t>
        </is>
      </c>
      <c r="N206" s="415" t="n"/>
      <c r="O206" s="441" t="n"/>
      <c r="P206" s="415" t="n"/>
      <c r="Q206" s="416">
        <f>Q203+Q205</f>
        <v/>
      </c>
    </row>
    <row r="207"/>
    <row r="208">
      <c r="M208" t="inlineStr">
        <is>
          <t>ZEMİN KAT TOPLAM =</t>
        </is>
      </c>
      <c r="Q208" s="487">
        <f>Q18+Q30+Q40+Q50+Q63+Q73+Q85+Q95+Q105+Q115+Q128+Q139+Q149+Q160+Q170+Q184+Q196+Q206</f>
        <v/>
      </c>
    </row>
  </sheetData>
  <mergeCells count="4">
    <mergeCell ref="M3:P3"/>
    <mergeCell ref="E3:H3"/>
    <mergeCell ref="I3:L3"/>
    <mergeCell ref="A3:D3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188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KAT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101</t>
        </is>
      </c>
      <c r="G8" s="362" t="n"/>
      <c r="H8" s="360" t="n"/>
      <c r="I8" s="363" t="inlineStr">
        <is>
          <t>D4 MUTFAK</t>
        </is>
      </c>
      <c r="J8" s="2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4" t="n"/>
    </row>
    <row r="9" ht="9.949999999999999" customFormat="1" customHeight="1" s="356">
      <c r="A9" s="365" t="inlineStr">
        <is>
          <t>DD</t>
        </is>
      </c>
      <c r="B9" s="366" t="inlineStr">
        <is>
          <t>K</t>
        </is>
      </c>
      <c r="C9" s="367" t="n"/>
      <c r="D9" s="368" t="n">
        <v>0.65</v>
      </c>
      <c r="E9" s="368" t="n">
        <v>3</v>
      </c>
      <c r="F9" s="369">
        <f>IF(D9=0," ",D9*E9)</f>
        <v/>
      </c>
      <c r="G9" s="370" t="n">
        <v>1</v>
      </c>
      <c r="H9" s="371" t="n"/>
      <c r="I9" s="369">
        <f>IF(F9=" "," ",F9*G9-H9)</f>
        <v/>
      </c>
      <c r="J9" s="368" t="n">
        <v>0.479</v>
      </c>
      <c r="K9" s="370" t="n">
        <v>23</v>
      </c>
      <c r="L9" s="372">
        <f>IF(I9=" "," ",I9*J9*K9)</f>
        <v/>
      </c>
      <c r="M9" s="373" t="n">
        <v>7</v>
      </c>
      <c r="N9" s="370" t="n">
        <v>0</v>
      </c>
      <c r="O9" s="373" t="n">
        <v>5</v>
      </c>
      <c r="P9" s="369">
        <f>IF(M9=" "," ",(1+(M9+N9+O9)/100))</f>
        <v/>
      </c>
      <c r="Q9" s="374">
        <f>IF(L9=" "," ",L9*P9)</f>
        <v/>
      </c>
    </row>
    <row r="10" ht="9.949999999999999" customFormat="1" customHeight="1" s="356">
      <c r="A10" s="365" t="inlineStr">
        <is>
          <t>DD</t>
        </is>
      </c>
      <c r="B10" s="366" t="inlineStr">
        <is>
          <t>D</t>
        </is>
      </c>
      <c r="C10" s="367" t="n"/>
      <c r="D10" s="368" t="n">
        <v>1.23</v>
      </c>
      <c r="E10" s="368" t="n">
        <v>3</v>
      </c>
      <c r="F10" s="369">
        <f>IF(D10=0," ",D10*E10)</f>
        <v/>
      </c>
      <c r="G10" s="370" t="n">
        <v>1</v>
      </c>
      <c r="H10" s="371" t="n"/>
      <c r="I10" s="369">
        <f>IF(F10=" "," ",F10*G10-H10)</f>
        <v/>
      </c>
      <c r="J10" s="368" t="n">
        <v>0.479</v>
      </c>
      <c r="K10" s="370" t="n">
        <v>23</v>
      </c>
      <c r="L10" s="372">
        <f>IF(I10=" "," ",I10*J10*K10)</f>
        <v/>
      </c>
      <c r="M10" s="373" t="n">
        <v>7</v>
      </c>
      <c r="N10" s="370" t="n">
        <v>0</v>
      </c>
      <c r="O10" s="373" t="n">
        <v>0</v>
      </c>
      <c r="P10" s="369">
        <f>IF(M10=" "," ",(1+(M10+N10+O10)/100))</f>
        <v/>
      </c>
      <c r="Q10" s="374">
        <f>IF(L10=" "," ",L10*P10)</f>
        <v/>
      </c>
    </row>
    <row r="11" ht="9.949999999999999" customFormat="1" customHeight="1" s="356">
      <c r="A11" s="365" t="inlineStr">
        <is>
          <t>DD</t>
        </is>
      </c>
      <c r="B11" s="366" t="inlineStr">
        <is>
          <t>G</t>
        </is>
      </c>
      <c r="C11" s="367" t="n"/>
      <c r="D11" s="368" t="n">
        <v>2.32</v>
      </c>
      <c r="E11" s="368" t="n">
        <v>3</v>
      </c>
      <c r="F11" s="369">
        <f>IF(D11=0," ",D11*E11)</f>
        <v/>
      </c>
      <c r="G11" s="370" t="n">
        <v>1</v>
      </c>
      <c r="H11" s="371">
        <f>F12*G12</f>
        <v/>
      </c>
      <c r="I11" s="369">
        <f>IF(F11=" "," ",F11*G11-H11)</f>
        <v/>
      </c>
      <c r="J11" s="368" t="n">
        <v>0.479</v>
      </c>
      <c r="K11" s="370" t="n">
        <v>23</v>
      </c>
      <c r="L11" s="372">
        <f>IF(I11=" "," ",I11*J11*K11)</f>
        <v/>
      </c>
      <c r="M11" s="373" t="n">
        <v>7</v>
      </c>
      <c r="N11" s="370" t="n">
        <v>0</v>
      </c>
      <c r="O11" s="373" t="n">
        <v>-5</v>
      </c>
      <c r="P11" s="369">
        <f>IF(M11=" "," ",(1+(M11+N11+O11)/100))</f>
        <v/>
      </c>
      <c r="Q11" s="374">
        <f>IF(L11=" "," ",L11*P11)</f>
        <v/>
      </c>
    </row>
    <row r="12" ht="9.949999999999999" customFormat="1" customHeight="1" s="356">
      <c r="A12" s="365" t="inlineStr">
        <is>
          <t>ÇP</t>
        </is>
      </c>
      <c r="B12" s="366" t="inlineStr">
        <is>
          <t>G</t>
        </is>
      </c>
      <c r="C12" s="367" t="n"/>
      <c r="D12" s="368" t="n">
        <v>1.6</v>
      </c>
      <c r="E12" s="368" t="n">
        <v>2.2</v>
      </c>
      <c r="F12" s="369">
        <f>IF(D12=0," ",D12*E12)</f>
        <v/>
      </c>
      <c r="G12" s="370" t="n">
        <v>1</v>
      </c>
      <c r="H12" s="371" t="n"/>
      <c r="I12" s="369">
        <f>IF(F12=" "," ",F12*G12-H12)</f>
        <v/>
      </c>
      <c r="J12" s="368" t="n">
        <v>2.4</v>
      </c>
      <c r="K12" s="370" t="n">
        <v>23</v>
      </c>
      <c r="L12" s="372">
        <f>IF(I12=" "," ",I12*J12*K12)</f>
        <v/>
      </c>
      <c r="M12" s="373" t="n">
        <v>7</v>
      </c>
      <c r="N12" s="370" t="n">
        <v>0</v>
      </c>
      <c r="O12" s="373" t="n">
        <v>-5</v>
      </c>
      <c r="P12" s="369">
        <f>IF(M12=" "," ",(1+(M12+N12+O12)/100))</f>
        <v/>
      </c>
      <c r="Q12" s="374">
        <f>IF(L12=" "," ",L12*P12)</f>
        <v/>
      </c>
    </row>
    <row r="13" ht="9.949999999999999" customFormat="1" customHeight="1" s="356">
      <c r="A13" s="365" t="inlineStr">
        <is>
          <t>İD</t>
        </is>
      </c>
      <c r="B13" s="366" t="n"/>
      <c r="C13" s="367" t="n"/>
      <c r="D13" s="368" t="n">
        <v>1.1</v>
      </c>
      <c r="E13" s="368" t="n">
        <v>3</v>
      </c>
      <c r="F13" s="369">
        <f>IF(D13=0," ",D13*E13)</f>
        <v/>
      </c>
      <c r="G13" s="370" t="n">
        <v>1</v>
      </c>
      <c r="H13" s="371" t="n"/>
      <c r="I13" s="369">
        <f>IF(F13=" "," ",F13*G13-H13)</f>
        <v/>
      </c>
      <c r="J13" s="368" t="n">
        <v>0.8139999999999999</v>
      </c>
      <c r="K13" s="370" t="n">
        <v>5</v>
      </c>
      <c r="L13" s="372">
        <f>IF(I13=" "," ",I13*J13*K13)</f>
        <v/>
      </c>
      <c r="M13" s="373" t="n">
        <v>7</v>
      </c>
      <c r="N13" s="370" t="n">
        <v>0</v>
      </c>
      <c r="O13" s="373" t="n">
        <v>0</v>
      </c>
      <c r="P13" s="369">
        <f>IF(M13=" "," ",(1+(M13+N13+O13)/100))</f>
        <v/>
      </c>
      <c r="Q13" s="374">
        <f>IF(L13=" "," ",L13*P13)</f>
        <v/>
      </c>
    </row>
    <row r="14" ht="9.949999999999999" customFormat="1" customHeight="1" s="356">
      <c r="A14" s="375" t="n"/>
      <c r="B14" s="376" t="n"/>
      <c r="C14" s="376" t="n"/>
      <c r="D14" s="377" t="n"/>
      <c r="E14" s="377" t="n"/>
      <c r="F14" s="378" t="n"/>
      <c r="G14" s="379" t="n"/>
      <c r="H14" s="377" t="n"/>
      <c r="I14" s="378" t="n"/>
      <c r="J14" s="377" t="n"/>
      <c r="K14" s="379" t="n"/>
      <c r="L14" s="380" t="n"/>
      <c r="M14" s="381" t="n"/>
      <c r="N14" s="381" t="n"/>
      <c r="O14" s="381" t="n"/>
      <c r="P14" s="382" t="n"/>
      <c r="Q14" s="383">
        <f>SUM(Q9:Q13)</f>
        <v/>
      </c>
    </row>
    <row r="15" ht="9.949999999999999" customFormat="1" customHeight="1" s="356">
      <c r="A15" s="384" t="n"/>
      <c r="B15" s="385" t="n"/>
      <c r="C15" s="385" t="n"/>
      <c r="D15" s="386" t="n"/>
      <c r="E15" s="387" t="n"/>
      <c r="F15" s="388" t="n"/>
      <c r="G15" s="389" t="n"/>
      <c r="H15" s="390" t="n"/>
      <c r="I15" s="391" t="n"/>
      <c r="J15" s="392" t="inlineStr">
        <is>
          <t>Qs=</t>
        </is>
      </c>
      <c r="K15" s="393" t="inlineStr">
        <is>
          <t>a</t>
        </is>
      </c>
      <c r="L15" s="388" t="inlineStr">
        <is>
          <t>L</t>
        </is>
      </c>
      <c r="M15" s="389" t="inlineStr">
        <is>
          <t>R</t>
        </is>
      </c>
      <c r="N15" s="394" t="inlineStr">
        <is>
          <t>H</t>
        </is>
      </c>
      <c r="O15" s="395" t="inlineStr">
        <is>
          <t>D  T</t>
        </is>
      </c>
      <c r="P15" s="396" t="inlineStr">
        <is>
          <t>Ze</t>
        </is>
      </c>
      <c r="Q15" s="397" t="n"/>
    </row>
    <row r="16" ht="9.949999999999999" customFormat="1" customHeight="1" s="356">
      <c r="A16" s="398" t="n"/>
      <c r="B16" s="399" t="n"/>
      <c r="C16" s="400" t="n"/>
      <c r="D16" s="400" t="n"/>
      <c r="E16" s="401" t="n"/>
      <c r="F16" s="402" t="n"/>
      <c r="G16" s="403" t="n"/>
      <c r="H16" s="404" t="n"/>
      <c r="I16" s="405" t="n"/>
      <c r="J16" s="406" t="inlineStr">
        <is>
          <t>Qs  =</t>
        </is>
      </c>
      <c r="K16" s="407" t="n">
        <v>2</v>
      </c>
      <c r="L16" s="382">
        <f>(D12+E12)*2*G12</f>
        <v/>
      </c>
      <c r="M16" s="407" t="n">
        <v>0.9</v>
      </c>
      <c r="N16" s="407" t="n">
        <v>0.67</v>
      </c>
      <c r="O16" s="381" t="n">
        <v>23</v>
      </c>
      <c r="P16" s="382" t="n">
        <v>1.2</v>
      </c>
      <c r="Q16" s="383">
        <f>K16*L16*M16*N16*O16*P16</f>
        <v/>
      </c>
    </row>
    <row r="17" ht="9.949999999999999" customFormat="1" customHeight="1" s="356">
      <c r="A17" s="408" t="n"/>
      <c r="B17" s="409" t="n"/>
      <c r="C17" s="400" t="n"/>
      <c r="D17" s="400" t="n"/>
      <c r="E17" s="377" t="n"/>
      <c r="F17" s="256" t="n"/>
      <c r="G17" s="410" t="n"/>
      <c r="H17" s="400" t="n"/>
      <c r="I17" s="411" t="n"/>
      <c r="J17" s="400" t="n"/>
      <c r="K17" s="410" t="n"/>
      <c r="L17" s="412" t="n"/>
      <c r="M17" s="413" t="inlineStr">
        <is>
          <t xml:space="preserve">   TOPLAM ISI KAYBI =</t>
        </is>
      </c>
      <c r="N17" s="413" t="n"/>
      <c r="O17" s="414" t="n"/>
      <c r="P17" s="415" t="n"/>
      <c r="Q17" s="416">
        <f>Q14+Q16</f>
        <v/>
      </c>
    </row>
    <row r="18" ht="9.949999999999999" customFormat="1" customHeight="1" s="356">
      <c r="A18" s="417" t="n"/>
      <c r="B18" s="399" t="n"/>
      <c r="C18" s="418" t="n"/>
      <c r="D18" s="419" t="n"/>
      <c r="E18" s="419" t="n"/>
      <c r="F18" s="420" t="n"/>
      <c r="G18" s="421" t="n"/>
      <c r="H18" s="422" t="n"/>
      <c r="I18" s="420" t="n"/>
      <c r="J18" s="419" t="n"/>
      <c r="K18" s="421" t="n"/>
      <c r="L18" s="423" t="n"/>
      <c r="M18" s="424" t="n"/>
      <c r="N18" s="421" t="n"/>
      <c r="O18" s="424" t="n"/>
      <c r="P18" s="420" t="n"/>
      <c r="Q18" s="425" t="n"/>
    </row>
    <row r="19" ht="9.949999999999999" customFormat="1" customHeight="1" s="356">
      <c r="A19" s="359" t="n"/>
      <c r="B19" s="360" t="n"/>
      <c r="C19" s="360" t="n"/>
      <c r="D19" s="360" t="n"/>
      <c r="E19" s="360" t="n"/>
      <c r="F19" s="426" t="inlineStr">
        <is>
          <t>102</t>
        </is>
      </c>
      <c r="G19" s="362" t="n"/>
      <c r="H19" s="360" t="n"/>
      <c r="I19" s="427" t="inlineStr">
        <is>
          <t>D4 YATAK OD.</t>
        </is>
      </c>
      <c r="J19" s="428" t="n"/>
      <c r="K19" s="360" t="inlineStr">
        <is>
          <t>20ºC</t>
        </is>
      </c>
      <c r="L19" s="429" t="n"/>
      <c r="M19" s="360" t="n"/>
      <c r="N19" s="360" t="n"/>
      <c r="O19" s="360" t="n"/>
      <c r="P19" s="429" t="n"/>
      <c r="Q19" s="430" t="n"/>
    </row>
    <row r="20" ht="9.949999999999999" customFormat="1" customHeight="1" s="356">
      <c r="A20" s="365" t="inlineStr">
        <is>
          <t>DD</t>
        </is>
      </c>
      <c r="B20" s="366" t="inlineStr">
        <is>
          <t>B</t>
        </is>
      </c>
      <c r="C20" s="367" t="n"/>
      <c r="D20" s="368" t="n">
        <v>2.72</v>
      </c>
      <c r="E20" s="368" t="n">
        <v>3</v>
      </c>
      <c r="F20" s="369">
        <f>IF(D20=0," ",D20*E20)</f>
        <v/>
      </c>
      <c r="G20" s="370" t="n">
        <v>1</v>
      </c>
      <c r="H20" s="371">
        <f>F21*G21</f>
        <v/>
      </c>
      <c r="I20" s="369">
        <f>IF(F20=" "," ",F20*G20-H20)</f>
        <v/>
      </c>
      <c r="J20" s="368" t="n">
        <v>0.479</v>
      </c>
      <c r="K20" s="370" t="n">
        <v>23</v>
      </c>
      <c r="L20" s="372">
        <f>IF(I20=" "," ",I20*J20*K20)</f>
        <v/>
      </c>
      <c r="M20" s="373" t="n">
        <v>7</v>
      </c>
      <c r="N20" s="370" t="n">
        <v>0</v>
      </c>
      <c r="O20" s="373" t="n">
        <v>0</v>
      </c>
      <c r="P20" s="369">
        <f>IF(M20=" "," ",(1+(M20+N20+O20)/100))</f>
        <v/>
      </c>
      <c r="Q20" s="374">
        <f>IF(L20=" "," ",L20*P20)</f>
        <v/>
      </c>
    </row>
    <row r="21" ht="9.949999999999999" customFormat="1" customHeight="1" s="356">
      <c r="A21" s="365" t="inlineStr">
        <is>
          <t>ÇP</t>
        </is>
      </c>
      <c r="B21" s="366" t="inlineStr">
        <is>
          <t>B</t>
        </is>
      </c>
      <c r="C21" s="367" t="n"/>
      <c r="D21" s="368" t="n">
        <v>1.6</v>
      </c>
      <c r="E21" s="368" t="n">
        <v>2.3</v>
      </c>
      <c r="F21" s="369">
        <f>IF(D21=0," ",D21*E21)</f>
        <v/>
      </c>
      <c r="G21" s="370" t="n">
        <v>1</v>
      </c>
      <c r="H21" s="371" t="n"/>
      <c r="I21" s="369">
        <f>IF(F21=" "," ",F21*G21-H21)</f>
        <v/>
      </c>
      <c r="J21" s="368" t="n">
        <v>2.4</v>
      </c>
      <c r="K21" s="370" t="n">
        <v>23</v>
      </c>
      <c r="L21" s="372">
        <f>IF(I21=" "," ",I21*J21*K21)</f>
        <v/>
      </c>
      <c r="M21" s="373" t="n">
        <v>7</v>
      </c>
      <c r="N21" s="370" t="n">
        <v>0</v>
      </c>
      <c r="O21" s="373" t="n">
        <v>0</v>
      </c>
      <c r="P21" s="369">
        <f>IF(M21=" "," ",(1+(M21+N21+O21)/100))</f>
        <v/>
      </c>
      <c r="Q21" s="374">
        <f>IF(L21=" "," ",L21*P21)</f>
        <v/>
      </c>
    </row>
    <row r="22" ht="9.949999999999999" customFormat="1" customHeight="1" s="356">
      <c r="A22" s="365" t="inlineStr">
        <is>
          <t>İD</t>
        </is>
      </c>
      <c r="B22" s="366" t="n"/>
      <c r="C22" s="367" t="n"/>
      <c r="D22" s="368" t="n">
        <v>2.35</v>
      </c>
      <c r="E22" s="368" t="n">
        <v>3</v>
      </c>
      <c r="F22" s="369">
        <f>IF(D22=0," ",D22*E22)</f>
        <v/>
      </c>
      <c r="G22" s="370" t="n">
        <v>1</v>
      </c>
      <c r="H22" s="371" t="n"/>
      <c r="I22" s="369">
        <f>IF(F22=" "," ",F22*G22-H22)</f>
        <v/>
      </c>
      <c r="J22" s="368" t="n">
        <v>0.8139999999999999</v>
      </c>
      <c r="K22" s="370" t="n">
        <v>5</v>
      </c>
      <c r="L22" s="372">
        <f>IF(I22=" "," ",I22*J22*K22)</f>
        <v/>
      </c>
      <c r="M22" s="373" t="n">
        <v>7</v>
      </c>
      <c r="N22" s="370" t="n">
        <v>0</v>
      </c>
      <c r="O22" s="373" t="n">
        <v>0</v>
      </c>
      <c r="P22" s="369">
        <f>IF(M22=" "," ",(1+(M22+N22+O22)/100))</f>
        <v/>
      </c>
      <c r="Q22" s="374">
        <f>IF(L22=" "," ",L22*P22)</f>
        <v/>
      </c>
    </row>
    <row r="23" ht="9.949999999999999" customFormat="1" customHeight="1" s="356">
      <c r="A23" s="375" t="n"/>
      <c r="B23" s="376" t="n"/>
      <c r="C23" s="376" t="n"/>
      <c r="D23" s="377" t="n"/>
      <c r="E23" s="377" t="n"/>
      <c r="F23" s="378" t="n"/>
      <c r="G23" s="379" t="n"/>
      <c r="H23" s="377" t="n"/>
      <c r="I23" s="378" t="n"/>
      <c r="J23" s="377" t="n"/>
      <c r="K23" s="379" t="n"/>
      <c r="L23" s="380" t="n"/>
      <c r="M23" s="381" t="n"/>
      <c r="N23" s="381" t="n"/>
      <c r="O23" s="381" t="n"/>
      <c r="P23" s="382" t="n"/>
      <c r="Q23" s="383">
        <f>SUM(Q20:Q22)</f>
        <v/>
      </c>
    </row>
    <row r="24" ht="9.949999999999999" customFormat="1" customHeight="1" s="356">
      <c r="A24" s="384" t="n"/>
      <c r="B24" s="385" t="n"/>
      <c r="C24" s="385" t="n"/>
      <c r="D24" s="386" t="n"/>
      <c r="E24" s="387" t="n"/>
      <c r="F24" s="388" t="n"/>
      <c r="G24" s="389" t="n"/>
      <c r="H24" s="390" t="n"/>
      <c r="I24" s="391" t="n"/>
      <c r="J24" s="392" t="inlineStr">
        <is>
          <t>Qs=</t>
        </is>
      </c>
      <c r="K24" s="393" t="inlineStr">
        <is>
          <t>a</t>
        </is>
      </c>
      <c r="L24" s="388" t="inlineStr">
        <is>
          <t>L</t>
        </is>
      </c>
      <c r="M24" s="389" t="inlineStr">
        <is>
          <t>R</t>
        </is>
      </c>
      <c r="N24" s="394" t="inlineStr">
        <is>
          <t>H</t>
        </is>
      </c>
      <c r="O24" s="395" t="inlineStr">
        <is>
          <t>D  T</t>
        </is>
      </c>
      <c r="P24" s="396" t="inlineStr">
        <is>
          <t>Ze</t>
        </is>
      </c>
      <c r="Q24" s="397" t="n"/>
    </row>
    <row r="25" ht="9.949999999999999" customFormat="1" customHeight="1" s="356">
      <c r="A25" s="398" t="n"/>
      <c r="B25" s="399" t="n"/>
      <c r="C25" s="400" t="n"/>
      <c r="D25" s="400" t="n"/>
      <c r="E25" s="401" t="n"/>
      <c r="F25" s="402" t="n"/>
      <c r="G25" s="403" t="n"/>
      <c r="H25" s="404" t="n"/>
      <c r="I25" s="405" t="n"/>
      <c r="J25" s="406" t="inlineStr">
        <is>
          <t>Qs  =</t>
        </is>
      </c>
      <c r="K25" s="407" t="n">
        <v>2</v>
      </c>
      <c r="L25" s="382">
        <f>(D21+E21)*2*G21</f>
        <v/>
      </c>
      <c r="M25" s="407" t="n">
        <v>0.9</v>
      </c>
      <c r="N25" s="407" t="n">
        <v>0.67</v>
      </c>
      <c r="O25" s="381" t="n">
        <v>23</v>
      </c>
      <c r="P25" s="382" t="n">
        <v>1.2</v>
      </c>
      <c r="Q25" s="383">
        <f>K25*L25*M25*N25*O25*P25</f>
        <v/>
      </c>
    </row>
    <row r="26" ht="9.949999999999999" customFormat="1" customHeight="1" s="356">
      <c r="A26" s="408" t="n"/>
      <c r="B26" s="409" t="n"/>
      <c r="C26" s="400" t="n"/>
      <c r="D26" s="400" t="n"/>
      <c r="E26" s="377" t="n"/>
      <c r="F26" s="256" t="n"/>
      <c r="G26" s="410" t="n"/>
      <c r="H26" s="400" t="n"/>
      <c r="I26" s="411" t="n"/>
      <c r="J26" s="400" t="n"/>
      <c r="K26" s="410" t="n"/>
      <c r="L26" s="412" t="n"/>
      <c r="M26" s="413" t="inlineStr">
        <is>
          <t xml:space="preserve">   TOPLAM ISI KAYBI =</t>
        </is>
      </c>
      <c r="N26" s="413" t="n"/>
      <c r="O26" s="414" t="n"/>
      <c r="P26" s="415" t="n"/>
      <c r="Q26" s="416">
        <f>Q23+Q25</f>
        <v/>
      </c>
    </row>
    <row r="27" ht="9.949999999999999" customFormat="1" customHeight="1" s="356">
      <c r="A27" s="417" t="n"/>
      <c r="B27" s="399" t="n"/>
      <c r="C27" s="418" t="n"/>
      <c r="D27" s="419" t="n"/>
      <c r="E27" s="419" t="n"/>
      <c r="F27" s="420" t="n"/>
      <c r="G27" s="421" t="n"/>
      <c r="H27" s="422" t="n"/>
      <c r="I27" s="420" t="n"/>
      <c r="J27" s="419" t="n"/>
      <c r="K27" s="421" t="n"/>
      <c r="L27" s="423" t="n"/>
      <c r="M27" s="424" t="n"/>
      <c r="N27" s="421" t="n"/>
      <c r="O27" s="424" t="n"/>
      <c r="P27" s="420" t="n"/>
      <c r="Q27" s="488" t="n"/>
    </row>
    <row r="28" ht="9.949999999999999" customFormat="1" customHeight="1" s="356">
      <c r="A28" s="359" t="n"/>
      <c r="B28" s="360" t="n"/>
      <c r="C28" s="360" t="n"/>
      <c r="D28" s="360" t="n"/>
      <c r="E28" s="360" t="n"/>
      <c r="F28" s="426" t="inlineStr">
        <is>
          <t>103</t>
        </is>
      </c>
      <c r="G28" s="362" t="n"/>
      <c r="H28" s="360" t="n"/>
      <c r="I28" s="427" t="inlineStr">
        <is>
          <t>D4 YATAK OD.</t>
        </is>
      </c>
      <c r="J28" s="428" t="n"/>
      <c r="K28" s="360" t="inlineStr">
        <is>
          <t>20ºC</t>
        </is>
      </c>
      <c r="L28" s="429" t="n"/>
      <c r="M28" s="360" t="n"/>
      <c r="N28" s="360" t="n"/>
      <c r="O28" s="360" t="n"/>
      <c r="P28" s="429" t="n"/>
      <c r="Q28" s="430" t="n"/>
    </row>
    <row r="29" ht="9.949999999999999" customFormat="1" customHeight="1" s="356">
      <c r="A29" s="462" t="inlineStr">
        <is>
          <t>DD</t>
        </is>
      </c>
      <c r="B29" s="463" t="inlineStr">
        <is>
          <t>B</t>
        </is>
      </c>
      <c r="C29" s="464" t="n"/>
      <c r="D29" s="369" t="n">
        <v>2.3</v>
      </c>
      <c r="E29" s="369" t="n">
        <v>3</v>
      </c>
      <c r="F29" s="369">
        <f>IF(D29=0," ",D29*E29)</f>
        <v/>
      </c>
      <c r="G29" s="465" t="n">
        <v>1</v>
      </c>
      <c r="H29" s="466">
        <f>F30*G30</f>
        <v/>
      </c>
      <c r="I29" s="369">
        <f>IF(F29=" "," ",F29*G29-H29)</f>
        <v/>
      </c>
      <c r="J29" s="369" t="n">
        <v>0.479</v>
      </c>
      <c r="K29" s="465" t="n">
        <v>23</v>
      </c>
      <c r="L29" s="372">
        <f>IF(I29=" "," ",I29*J29*K29)</f>
        <v/>
      </c>
      <c r="M29" s="373" t="n">
        <v>7</v>
      </c>
      <c r="N29" s="370" t="n">
        <v>0</v>
      </c>
      <c r="O29" s="373" t="n">
        <v>0</v>
      </c>
      <c r="P29" s="369">
        <f>IF(M29=" "," ",(1+(M29+N29+O29)/100))</f>
        <v/>
      </c>
      <c r="Q29" s="374">
        <f>IF(L29=" "," ",L29*P29)</f>
        <v/>
      </c>
    </row>
    <row r="30" ht="9.949999999999999" customFormat="1" customHeight="1" s="437">
      <c r="A30" s="462" t="inlineStr">
        <is>
          <t>ÇP</t>
        </is>
      </c>
      <c r="B30" s="463" t="inlineStr">
        <is>
          <t>B</t>
        </is>
      </c>
      <c r="C30" s="464" t="n"/>
      <c r="D30" s="369" t="n">
        <v>1.6</v>
      </c>
      <c r="E30" s="369" t="n">
        <v>2.3</v>
      </c>
      <c r="F30" s="369">
        <f>IF(D30=0," ",D30*E30)</f>
        <v/>
      </c>
      <c r="G30" s="465" t="n">
        <v>1</v>
      </c>
      <c r="H30" s="466" t="n"/>
      <c r="I30" s="369">
        <f>IF(F30=" "," ",F30*G30-H30)</f>
        <v/>
      </c>
      <c r="J30" s="369" t="n">
        <v>2.4</v>
      </c>
      <c r="K30" s="465" t="n">
        <v>23</v>
      </c>
      <c r="L30" s="372">
        <f>IF(I30=" "," ",I30*J30*K30)</f>
        <v/>
      </c>
      <c r="M30" s="467" t="n">
        <v>7</v>
      </c>
      <c r="N30" s="465" t="n">
        <v>0</v>
      </c>
      <c r="O30" s="467" t="n">
        <v>0</v>
      </c>
      <c r="P30" s="369">
        <f>IF(M30=" "," ",(1+(M30+N30+O30)/100))</f>
        <v/>
      </c>
      <c r="Q30" s="374">
        <f>IF(L30=" "," ",L30*P30)</f>
        <v/>
      </c>
    </row>
    <row r="31" ht="9.949999999999999" customFormat="1" customHeight="1" s="437">
      <c r="A31" s="462" t="inlineStr">
        <is>
          <t>İD</t>
        </is>
      </c>
      <c r="B31" s="463" t="n"/>
      <c r="C31" s="464" t="n"/>
      <c r="D31" s="369" t="n">
        <v>2.5</v>
      </c>
      <c r="E31" s="369" t="n">
        <v>3</v>
      </c>
      <c r="F31" s="369">
        <f>IF(D31=0," ",D31*E31)</f>
        <v/>
      </c>
      <c r="G31" s="465" t="n">
        <v>1</v>
      </c>
      <c r="H31" s="466" t="n"/>
      <c r="I31" s="369">
        <f>IF(F31=" "," ",F31*G31-H31)</f>
        <v/>
      </c>
      <c r="J31" s="369" t="n">
        <v>0.8139999999999999</v>
      </c>
      <c r="K31" s="370" t="n">
        <v>5</v>
      </c>
      <c r="L31" s="455">
        <f>IF(I31=" "," ",I31*J31*K31)</f>
        <v/>
      </c>
      <c r="M31" s="373" t="n">
        <v>7</v>
      </c>
      <c r="N31" s="370" t="n">
        <v>0</v>
      </c>
      <c r="O31" s="373" t="n">
        <v>0</v>
      </c>
      <c r="P31" s="368">
        <f>IF(M31=" "," ",(1+(M31+N31+O31)/100))</f>
        <v/>
      </c>
      <c r="Q31" s="374">
        <f>IF(L31=" "," ",L31*P31)</f>
        <v/>
      </c>
    </row>
    <row r="32" ht="9.949999999999999" customFormat="1" customHeight="1" s="351">
      <c r="A32" s="468" t="n"/>
      <c r="B32" s="469" t="n"/>
      <c r="C32" s="469" t="n"/>
      <c r="D32" s="378" t="n"/>
      <c r="E32" s="378" t="n"/>
      <c r="F32" s="378" t="n"/>
      <c r="G32" s="470" t="n"/>
      <c r="H32" s="378" t="n"/>
      <c r="I32" s="378" t="n"/>
      <c r="J32" s="378" t="n"/>
      <c r="K32" s="470" t="n"/>
      <c r="L32" s="380" t="n"/>
      <c r="M32" s="479" t="n"/>
      <c r="N32" s="479" t="n"/>
      <c r="O32" s="479" t="n"/>
      <c r="P32" s="382" t="n"/>
      <c r="Q32" s="383">
        <f>SUM(Q29:Q31)</f>
        <v/>
      </c>
    </row>
    <row r="33" ht="9.75" customFormat="1" customHeight="1" s="356">
      <c r="A33" s="384" t="n"/>
      <c r="B33" s="385" t="n"/>
      <c r="C33" s="385" t="n"/>
      <c r="D33" s="386" t="n"/>
      <c r="E33" s="387" t="n"/>
      <c r="F33" s="390" t="n"/>
      <c r="G33" s="389" t="n"/>
      <c r="H33" s="390" t="n"/>
      <c r="I33" s="393" t="n"/>
      <c r="J33" s="476" t="inlineStr">
        <is>
          <t>Qs=</t>
        </is>
      </c>
      <c r="K33" s="393" t="inlineStr">
        <is>
          <t>a</t>
        </is>
      </c>
      <c r="L33" s="390" t="inlineStr">
        <is>
          <t>L</t>
        </is>
      </c>
      <c r="M33" s="389" t="inlineStr">
        <is>
          <t>R</t>
        </is>
      </c>
      <c r="N33" s="394" t="inlineStr">
        <is>
          <t>H</t>
        </is>
      </c>
      <c r="O33" s="395" t="inlineStr">
        <is>
          <t>D  T</t>
        </is>
      </c>
      <c r="P33" s="389" t="inlineStr">
        <is>
          <t>Ze</t>
        </is>
      </c>
      <c r="Q33" s="489" t="n"/>
    </row>
    <row r="34" ht="9.949999999999999" customFormat="1" customHeight="1" s="356">
      <c r="A34" s="398" t="n"/>
      <c r="B34" s="399" t="n"/>
      <c r="C34" s="400" t="n"/>
      <c r="D34" s="400" t="n"/>
      <c r="E34" s="401" t="n"/>
      <c r="F34" s="402" t="n"/>
      <c r="G34" s="403" t="n"/>
      <c r="H34" s="404" t="n"/>
      <c r="I34" s="405" t="n"/>
      <c r="J34" s="406" t="inlineStr">
        <is>
          <t>Qs  =</t>
        </is>
      </c>
      <c r="K34" s="407" t="n">
        <v>2</v>
      </c>
      <c r="L34" s="382">
        <f>(D30+E30)*2*G30</f>
        <v/>
      </c>
      <c r="M34" s="407" t="n">
        <v>0.9</v>
      </c>
      <c r="N34" s="407" t="n">
        <v>0.67</v>
      </c>
      <c r="O34" s="381" t="n">
        <v>23</v>
      </c>
      <c r="P34" s="382" t="n">
        <v>1.2</v>
      </c>
      <c r="Q34" s="383">
        <f>K34*L34*M34*N34*O34*P34</f>
        <v/>
      </c>
    </row>
    <row r="35" ht="9.949999999999999" customFormat="1" customHeight="1" s="356">
      <c r="A35" s="408" t="n"/>
      <c r="B35" s="409" t="n"/>
      <c r="C35" s="400" t="n"/>
      <c r="D35" s="400" t="n"/>
      <c r="E35" s="377" t="n"/>
      <c r="F35" s="256" t="n"/>
      <c r="G35" s="410" t="n"/>
      <c r="H35" s="400" t="n"/>
      <c r="I35" s="411" t="n"/>
      <c r="J35" s="400" t="n"/>
      <c r="K35" s="410" t="n"/>
      <c r="L35" s="412" t="n"/>
      <c r="M35" s="413" t="inlineStr">
        <is>
          <t xml:space="preserve">   TOPLAM ISI KAYBI =</t>
        </is>
      </c>
      <c r="N35" s="413" t="n"/>
      <c r="O35" s="414" t="n"/>
      <c r="P35" s="415" t="n"/>
      <c r="Q35" s="416">
        <f>Q32+Q34</f>
        <v/>
      </c>
    </row>
    <row r="36" ht="9.949999999999999" customFormat="1" customHeight="1" s="356">
      <c r="A36" s="417" t="n"/>
      <c r="B36" s="399" t="n"/>
      <c r="C36" s="418" t="n"/>
      <c r="D36" s="419" t="n"/>
      <c r="E36" s="419" t="n"/>
      <c r="F36" s="420" t="n"/>
      <c r="G36" s="421" t="n"/>
      <c r="H36" s="422" t="n"/>
      <c r="I36" s="420" t="n"/>
      <c r="J36" s="419" t="n"/>
      <c r="K36" s="421" t="n"/>
      <c r="L36" s="423" t="n"/>
      <c r="M36" s="424" t="n"/>
      <c r="N36" s="421" t="n"/>
      <c r="O36" s="424" t="n"/>
      <c r="P36" s="420" t="n"/>
      <c r="Q36" s="488" t="n"/>
    </row>
    <row r="37" ht="9.949999999999999" customFormat="1" customHeight="1" s="356">
      <c r="A37" s="359" t="n"/>
      <c r="B37" s="360" t="n"/>
      <c r="C37" s="360" t="n"/>
      <c r="D37" s="360" t="n"/>
      <c r="E37" s="360" t="n"/>
      <c r="F37" s="426" t="inlineStr">
        <is>
          <t>104</t>
        </is>
      </c>
      <c r="G37" s="362" t="n"/>
      <c r="H37" s="360" t="n"/>
      <c r="I37" s="427" t="inlineStr">
        <is>
          <t>D4 YATAK OD.</t>
        </is>
      </c>
      <c r="J37" s="428" t="n"/>
      <c r="K37" s="360" t="inlineStr">
        <is>
          <t>20ºC</t>
        </is>
      </c>
      <c r="L37" s="429" t="n"/>
      <c r="M37" s="360" t="n"/>
      <c r="N37" s="360" t="n"/>
      <c r="O37" s="360" t="n"/>
      <c r="P37" s="429" t="n"/>
      <c r="Q37" s="430" t="n"/>
    </row>
    <row r="38" ht="9.949999999999999" customFormat="1" customHeight="1" s="356">
      <c r="A38" s="365" t="inlineStr">
        <is>
          <t>DD</t>
        </is>
      </c>
      <c r="B38" s="366" t="inlineStr">
        <is>
          <t>B</t>
        </is>
      </c>
      <c r="C38" s="367" t="n"/>
      <c r="D38" s="368" t="n">
        <v>2.44</v>
      </c>
      <c r="E38" s="368" t="n">
        <v>3</v>
      </c>
      <c r="F38" s="369">
        <f>IF(D38=0," ",D38*E38)</f>
        <v/>
      </c>
      <c r="G38" s="370" t="n">
        <v>1</v>
      </c>
      <c r="H38" s="371">
        <f>F39*G39</f>
        <v/>
      </c>
      <c r="I38" s="369">
        <f>IF(F38=" "," ",F38*G38-H38)</f>
        <v/>
      </c>
      <c r="J38" s="368" t="n">
        <v>0.479</v>
      </c>
      <c r="K38" s="370" t="n">
        <v>23</v>
      </c>
      <c r="L38" s="372">
        <f>IF(I38=" "," ",I38*J38*K38)</f>
        <v/>
      </c>
      <c r="M38" s="373" t="n">
        <v>7</v>
      </c>
      <c r="N38" s="370" t="n">
        <v>0</v>
      </c>
      <c r="O38" s="373" t="n">
        <v>0</v>
      </c>
      <c r="P38" s="369">
        <f>IF(M38=" "," ",(1+(M38+N38+O38)/100))</f>
        <v/>
      </c>
      <c r="Q38" s="374">
        <f>IF(L38=" "," ",L38*P38)</f>
        <v/>
      </c>
    </row>
    <row r="39" ht="9.949999999999999" customFormat="1" customHeight="1" s="356">
      <c r="A39" s="365" t="inlineStr">
        <is>
          <t>ÇP</t>
        </is>
      </c>
      <c r="B39" s="366" t="inlineStr">
        <is>
          <t>B</t>
        </is>
      </c>
      <c r="C39" s="367" t="n"/>
      <c r="D39" s="368" t="n">
        <v>1.6</v>
      </c>
      <c r="E39" s="368" t="n">
        <v>2.3</v>
      </c>
      <c r="F39" s="369">
        <f>IF(D39=0," ",D39*E39)</f>
        <v/>
      </c>
      <c r="G39" s="370" t="n">
        <v>1</v>
      </c>
      <c r="H39" s="371" t="n"/>
      <c r="I39" s="369">
        <f>IF(F39=" "," ",F39*G39-H39)</f>
        <v/>
      </c>
      <c r="J39" s="368" t="n">
        <v>2.4</v>
      </c>
      <c r="K39" s="370" t="n">
        <v>23</v>
      </c>
      <c r="L39" s="372">
        <f>IF(I39=" "," ",I39*J39*K39)</f>
        <v/>
      </c>
      <c r="M39" s="373" t="n">
        <v>7</v>
      </c>
      <c r="N39" s="370" t="n">
        <v>0</v>
      </c>
      <c r="O39" s="373" t="n">
        <v>0</v>
      </c>
      <c r="P39" s="369">
        <f>IF(M39=" "," ",(1+(M39+N39+O39)/100))</f>
        <v/>
      </c>
      <c r="Q39" s="374">
        <f>IF(L39=" "," ",L39*P39)</f>
        <v/>
      </c>
    </row>
    <row r="40" ht="9.949999999999999" customFormat="1" customHeight="1" s="356">
      <c r="A40" s="365" t="inlineStr">
        <is>
          <t>İD</t>
        </is>
      </c>
      <c r="B40" s="366" t="n"/>
      <c r="C40" s="367" t="n"/>
      <c r="D40" s="368" t="n">
        <v>1.22</v>
      </c>
      <c r="E40" s="368" t="n">
        <v>3</v>
      </c>
      <c r="F40" s="369">
        <f>IF(D40=0," ",D40*E40)</f>
        <v/>
      </c>
      <c r="G40" s="370" t="n">
        <v>1</v>
      </c>
      <c r="H40" s="371" t="n"/>
      <c r="I40" s="369">
        <f>IF(F40=" "," ",F40*G40-H40)</f>
        <v/>
      </c>
      <c r="J40" s="368" t="n">
        <v>0.8139999999999999</v>
      </c>
      <c r="K40" s="370" t="n">
        <v>5</v>
      </c>
      <c r="L40" s="372">
        <f>IF(I40=" "," ",I40*J40*K40)</f>
        <v/>
      </c>
      <c r="M40" s="373" t="n">
        <v>7</v>
      </c>
      <c r="N40" s="370" t="n">
        <v>0</v>
      </c>
      <c r="O40" s="373" t="n">
        <v>0</v>
      </c>
      <c r="P40" s="369">
        <f>IF(M40=" "," ",(1+(M40+N40+O40)/100))</f>
        <v/>
      </c>
      <c r="Q40" s="374">
        <f>IF(L40=" "," ",L40*P40)</f>
        <v/>
      </c>
    </row>
    <row r="41" ht="9.949999999999999" customFormat="1" customHeight="1" s="356">
      <c r="A41" s="468" t="n"/>
      <c r="B41" s="469" t="n"/>
      <c r="C41" s="469" t="n"/>
      <c r="D41" s="378" t="n"/>
      <c r="E41" s="378" t="n"/>
      <c r="F41" s="378" t="n"/>
      <c r="G41" s="470" t="n"/>
      <c r="H41" s="378" t="n"/>
      <c r="I41" s="378" t="n"/>
      <c r="J41" s="378" t="n"/>
      <c r="K41" s="470" t="n"/>
      <c r="L41" s="380" t="n"/>
      <c r="M41" s="381" t="n"/>
      <c r="N41" s="381" t="n"/>
      <c r="O41" s="381" t="n"/>
      <c r="P41" s="382" t="n"/>
      <c r="Q41" s="383">
        <f>SUM(Q38:Q40)</f>
        <v/>
      </c>
    </row>
    <row r="42" ht="9.949999999999999" customFormat="1" customHeight="1" s="437">
      <c r="A42" s="472" t="n"/>
      <c r="B42" s="473" t="n"/>
      <c r="C42" s="473" t="n"/>
      <c r="D42" s="474" t="n"/>
      <c r="E42" s="475" t="n"/>
      <c r="F42" s="388" t="n"/>
      <c r="G42" s="396" t="n"/>
      <c r="H42" s="388" t="n"/>
      <c r="I42" s="391" t="n"/>
      <c r="J42" s="476" t="inlineStr">
        <is>
          <t>Qs=</t>
        </is>
      </c>
      <c r="K42" s="391" t="inlineStr">
        <is>
          <t>a</t>
        </is>
      </c>
      <c r="L42" s="388" t="inlineStr">
        <is>
          <t>L</t>
        </is>
      </c>
      <c r="M42" s="396" t="inlineStr">
        <is>
          <t>R</t>
        </is>
      </c>
      <c r="N42" s="477" t="inlineStr">
        <is>
          <t>H</t>
        </is>
      </c>
      <c r="O42" s="478" t="inlineStr">
        <is>
          <t>D  T</t>
        </is>
      </c>
      <c r="P42" s="396" t="inlineStr">
        <is>
          <t>Ze</t>
        </is>
      </c>
      <c r="Q42" s="397" t="n"/>
    </row>
    <row r="43" ht="9.949999999999999" customFormat="1" customHeight="1" s="437">
      <c r="A43" s="431" t="n"/>
      <c r="C43" s="411" t="n"/>
      <c r="D43" s="411" t="n"/>
      <c r="E43" s="433" t="n"/>
      <c r="F43" s="402" t="n"/>
      <c r="G43" s="434" t="n"/>
      <c r="H43" s="435" t="n"/>
      <c r="I43" s="405" t="n"/>
      <c r="J43" s="436" t="inlineStr">
        <is>
          <t>Qs  =</t>
        </is>
      </c>
      <c r="K43" s="407" t="n">
        <v>2</v>
      </c>
      <c r="L43" s="407">
        <f>(D39+E39)*2*G39</f>
        <v/>
      </c>
      <c r="M43" s="407" t="n">
        <v>0.9</v>
      </c>
      <c r="N43" s="407" t="n">
        <v>0.67</v>
      </c>
      <c r="O43" s="381" t="n">
        <v>23</v>
      </c>
      <c r="P43" s="407" t="n">
        <v>1.2</v>
      </c>
      <c r="Q43" s="383">
        <f>K43*L43*M43*N43*O43*P43</f>
        <v/>
      </c>
    </row>
    <row r="44" ht="9.949999999999999" customFormat="1" customHeight="1" s="351">
      <c r="A44" s="438" t="n"/>
      <c r="B44" s="439" t="n"/>
      <c r="C44" s="411" t="n"/>
      <c r="D44" s="411" t="n"/>
      <c r="E44" s="378" t="n"/>
      <c r="F44" s="256" t="n"/>
      <c r="G44" s="440" t="n"/>
      <c r="H44" s="411" t="n"/>
      <c r="I44" s="411" t="n"/>
      <c r="J44" s="411" t="n"/>
      <c r="K44" s="440" t="n"/>
      <c r="L44" s="412" t="n"/>
      <c r="M44" s="415" t="inlineStr">
        <is>
          <t xml:space="preserve">   TOPLAM ISI KAYBI =</t>
        </is>
      </c>
      <c r="N44" s="415" t="n"/>
      <c r="O44" s="441" t="n"/>
      <c r="P44" s="415" t="n"/>
      <c r="Q44" s="416">
        <f>Q41+Q43</f>
        <v/>
      </c>
    </row>
    <row r="45" ht="9.949999999999999" customFormat="1" customHeight="1" s="356">
      <c r="A45" s="490" t="n"/>
      <c r="B45" s="491" t="n"/>
      <c r="C45" s="491" t="n"/>
      <c r="D45" s="491" t="n"/>
      <c r="E45" s="491" t="n"/>
      <c r="F45" s="492" t="n"/>
      <c r="G45" s="493" t="n"/>
      <c r="H45" s="491" t="n"/>
      <c r="I45" s="493" t="n"/>
      <c r="K45" s="491" t="n"/>
      <c r="L45" s="491" t="n"/>
      <c r="M45" s="491" t="n"/>
      <c r="N45" s="491" t="n"/>
      <c r="O45" s="491" t="n"/>
      <c r="P45" s="491" t="n"/>
      <c r="Q45" s="494" t="n"/>
    </row>
    <row r="46" ht="9.949999999999999" customFormat="1" customHeight="1" s="356">
      <c r="A46" s="359" t="n"/>
      <c r="B46" s="360" t="n"/>
      <c r="C46" s="360" t="n"/>
      <c r="D46" s="360" t="n"/>
      <c r="E46" s="360" t="n"/>
      <c r="F46" s="426" t="inlineStr">
        <is>
          <t>105</t>
        </is>
      </c>
      <c r="G46" s="362" t="n"/>
      <c r="H46" s="360" t="n"/>
      <c r="I46" s="427" t="inlineStr">
        <is>
          <t>D4 SALON</t>
        </is>
      </c>
      <c r="J46" s="428" t="n"/>
      <c r="K46" s="360" t="inlineStr">
        <is>
          <t>20ºC</t>
        </is>
      </c>
      <c r="L46" s="429" t="n"/>
      <c r="M46" s="360" t="n"/>
      <c r="N46" s="360" t="n"/>
      <c r="O46" s="360" t="n"/>
      <c r="P46" s="429" t="n"/>
      <c r="Q46" s="430" t="n"/>
    </row>
    <row r="47" ht="9.949999999999999" customFormat="1" customHeight="1" s="356">
      <c r="A47" s="365" t="inlineStr">
        <is>
          <t>DD</t>
        </is>
      </c>
      <c r="B47" s="366" t="inlineStr">
        <is>
          <t>D</t>
        </is>
      </c>
      <c r="C47" s="367" t="n"/>
      <c r="D47" s="368" t="n">
        <v>0.63</v>
      </c>
      <c r="E47" s="368" t="n">
        <v>3</v>
      </c>
      <c r="F47" s="369">
        <f>IF(D47=0," ",D47*E47)</f>
        <v/>
      </c>
      <c r="G47" s="370" t="n">
        <v>1</v>
      </c>
      <c r="H47" s="371" t="n"/>
      <c r="I47" s="369">
        <f>IF(F47=" "," ",F47*G47-H47)</f>
        <v/>
      </c>
      <c r="J47" s="368" t="n">
        <v>0.479</v>
      </c>
      <c r="K47" s="370" t="n">
        <v>23</v>
      </c>
      <c r="L47" s="372">
        <f>IF(I47=" "," ",I47*J47*K47)</f>
        <v/>
      </c>
      <c r="M47" s="373" t="n">
        <v>7</v>
      </c>
      <c r="N47" s="370" t="n">
        <v>0</v>
      </c>
      <c r="O47" s="373" t="n">
        <v>0</v>
      </c>
      <c r="P47" s="369">
        <f>IF(M47=" "," ",(1+(M47+N47+O47)/100))</f>
        <v/>
      </c>
      <c r="Q47" s="374">
        <f>IF(L47=" "," ",L47*P47)</f>
        <v/>
      </c>
    </row>
    <row r="48" ht="9.949999999999999" customFormat="1" customHeight="1" s="356">
      <c r="A48" s="365" t="inlineStr">
        <is>
          <t>DD</t>
        </is>
      </c>
      <c r="B48" s="366" t="inlineStr">
        <is>
          <t>G</t>
        </is>
      </c>
      <c r="C48" s="367" t="n"/>
      <c r="D48" s="368" t="n">
        <v>4.68</v>
      </c>
      <c r="E48" s="368" t="n">
        <v>3</v>
      </c>
      <c r="F48" s="369">
        <f>IF(D48=0," ",D48*E48)</f>
        <v/>
      </c>
      <c r="G48" s="370" t="n">
        <v>1</v>
      </c>
      <c r="H48" s="371">
        <f>F49*G49</f>
        <v/>
      </c>
      <c r="I48" s="369">
        <f>IF(F48=" "," ",F48*G48-H48)</f>
        <v/>
      </c>
      <c r="J48" s="368" t="n">
        <v>0.479</v>
      </c>
      <c r="K48" s="370" t="n">
        <v>23</v>
      </c>
      <c r="L48" s="372">
        <f>IF(I48=" "," ",I48*J48*K48)</f>
        <v/>
      </c>
      <c r="M48" s="373" t="n">
        <v>7</v>
      </c>
      <c r="N48" s="370" t="n">
        <v>0</v>
      </c>
      <c r="O48" s="373" t="n">
        <v>-5</v>
      </c>
      <c r="P48" s="369">
        <f>IF(M48=" "," ",(1+(M48+N48+O48)/100))</f>
        <v/>
      </c>
      <c r="Q48" s="374">
        <f>IF(L48=" "," ",L48*P48)</f>
        <v/>
      </c>
    </row>
    <row r="49" ht="9.949999999999999" customFormat="1" customHeight="1" s="356">
      <c r="A49" s="365" t="inlineStr">
        <is>
          <t>ÇP</t>
        </is>
      </c>
      <c r="B49" s="366" t="inlineStr">
        <is>
          <t>G</t>
        </is>
      </c>
      <c r="C49" s="367" t="n"/>
      <c r="D49" s="368" t="n">
        <v>1.6</v>
      </c>
      <c r="E49" s="368" t="n">
        <v>2.1</v>
      </c>
      <c r="F49" s="369">
        <f>IF(D49=0," ",D49*E49)</f>
        <v/>
      </c>
      <c r="G49" s="370" t="n">
        <v>1</v>
      </c>
      <c r="H49" s="371" t="n"/>
      <c r="I49" s="369">
        <f>IF(F49=" "," ",F49*G49-H49)</f>
        <v/>
      </c>
      <c r="J49" s="368" t="n">
        <v>2.4</v>
      </c>
      <c r="K49" s="370" t="n">
        <v>23</v>
      </c>
      <c r="L49" s="372">
        <f>IF(I49=" "," ",I49*J49*K49)</f>
        <v/>
      </c>
      <c r="M49" s="373" t="n">
        <v>7</v>
      </c>
      <c r="N49" s="370" t="n">
        <v>0</v>
      </c>
      <c r="O49" s="373" t="n">
        <v>-5</v>
      </c>
      <c r="P49" s="369">
        <f>IF(M49=" "," ",(1+(M49+N49+O49)/100))</f>
        <v/>
      </c>
      <c r="Q49" s="374">
        <f>IF(L49=" "," ",L49*P49)</f>
        <v/>
      </c>
    </row>
    <row r="50" ht="9.949999999999999" customFormat="1" customHeight="1" s="356">
      <c r="A50" s="365" t="inlineStr">
        <is>
          <t>DD</t>
        </is>
      </c>
      <c r="B50" s="366" t="inlineStr">
        <is>
          <t>B</t>
        </is>
      </c>
      <c r="C50" s="367" t="n"/>
      <c r="D50" s="368" t="n">
        <v>3.4</v>
      </c>
      <c r="E50" s="368" t="n">
        <v>3</v>
      </c>
      <c r="F50" s="369">
        <f>IF(D50=0," ",D50*E50)</f>
        <v/>
      </c>
      <c r="G50" s="370" t="n">
        <v>1</v>
      </c>
      <c r="H50" s="371">
        <f>F51*G51</f>
        <v/>
      </c>
      <c r="I50" s="369">
        <f>IF(F50=" "," ",F50*G50-H50)</f>
        <v/>
      </c>
      <c r="J50" s="368" t="n">
        <v>0.479</v>
      </c>
      <c r="K50" s="370" t="n">
        <v>23</v>
      </c>
      <c r="L50" s="372">
        <f>IF(I50=" "," ",I50*J50*K50)</f>
        <v/>
      </c>
      <c r="M50" s="373" t="n">
        <v>7</v>
      </c>
      <c r="N50" s="370" t="n">
        <v>0</v>
      </c>
      <c r="O50" s="373" t="n">
        <v>0</v>
      </c>
      <c r="P50" s="369">
        <f>IF(M50=" "," ",(1+(M50+N50+O50)/100))</f>
        <v/>
      </c>
      <c r="Q50" s="374">
        <f>IF(L50=" "," ",L50*P50)</f>
        <v/>
      </c>
    </row>
    <row r="51" ht="9.949999999999999" customFormat="1" customHeight="1" s="356">
      <c r="A51" s="365" t="inlineStr">
        <is>
          <t>ÇP</t>
        </is>
      </c>
      <c r="B51" s="366" t="inlineStr">
        <is>
          <t>B</t>
        </is>
      </c>
      <c r="C51" s="367" t="n"/>
      <c r="D51" s="368" t="n">
        <v>1.6</v>
      </c>
      <c r="E51" s="368" t="n">
        <v>2.1</v>
      </c>
      <c r="F51" s="369">
        <f>IF(D51=0," ",D51*E51)</f>
        <v/>
      </c>
      <c r="G51" s="370" t="n">
        <v>1</v>
      </c>
      <c r="H51" s="371" t="n"/>
      <c r="I51" s="369">
        <f>IF(F51=" "," ",F51*G51-H51)</f>
        <v/>
      </c>
      <c r="J51" s="368" t="n">
        <v>2.4</v>
      </c>
      <c r="K51" s="370" t="n">
        <v>23</v>
      </c>
      <c r="L51" s="372">
        <f>IF(I51=" "," ",I51*J51*K51)</f>
        <v/>
      </c>
      <c r="M51" s="373" t="n">
        <v>7</v>
      </c>
      <c r="N51" s="370" t="n">
        <v>0</v>
      </c>
      <c r="O51" s="373" t="n">
        <v>0</v>
      </c>
      <c r="P51" s="369">
        <f>IF(M51=" "," ",(1+(M51+N51+O51)/100))</f>
        <v/>
      </c>
      <c r="Q51" s="374">
        <f>IF(L51=" "," ",L51*P51)</f>
        <v/>
      </c>
    </row>
    <row r="52" ht="9.949999999999999" customFormat="1" customHeight="1" s="356">
      <c r="A52" s="365" t="inlineStr">
        <is>
          <t>İD</t>
        </is>
      </c>
      <c r="B52" s="366" t="n"/>
      <c r="C52" s="367" t="n"/>
      <c r="D52" s="368" t="n">
        <v>1.06</v>
      </c>
      <c r="E52" s="368" t="n">
        <v>3</v>
      </c>
      <c r="F52" s="369">
        <f>IF(D52=0," ",D52*E52)</f>
        <v/>
      </c>
      <c r="G52" s="370" t="n">
        <v>1</v>
      </c>
      <c r="H52" s="371" t="n"/>
      <c r="I52" s="369">
        <f>IF(F52=" "," ",F52*G52-H52)</f>
        <v/>
      </c>
      <c r="J52" s="368" t="n">
        <v>0.8139999999999999</v>
      </c>
      <c r="K52" s="370" t="n">
        <v>5</v>
      </c>
      <c r="L52" s="372">
        <f>IF(I52=" "," ",I52*J52*K52)</f>
        <v/>
      </c>
      <c r="M52" s="373" t="n">
        <v>7</v>
      </c>
      <c r="N52" s="370" t="n">
        <v>0</v>
      </c>
      <c r="O52" s="373" t="n">
        <v>0</v>
      </c>
      <c r="P52" s="369">
        <f>IF(M52=" "," ",(1+(M52+N52+O52)/100))</f>
        <v/>
      </c>
      <c r="Q52" s="374">
        <f>IF(L52=" "," ",L52*P52)</f>
        <v/>
      </c>
    </row>
    <row r="53" ht="9.949999999999999" customFormat="1" customHeight="1" s="356">
      <c r="A53" s="375" t="n"/>
      <c r="B53" s="376" t="n"/>
      <c r="C53" s="376" t="n"/>
      <c r="D53" s="377" t="n"/>
      <c r="E53" s="377" t="n"/>
      <c r="F53" s="378" t="n"/>
      <c r="G53" s="379" t="n"/>
      <c r="H53" s="377" t="n"/>
      <c r="I53" s="378" t="n"/>
      <c r="J53" s="377" t="n"/>
      <c r="K53" s="379" t="n"/>
      <c r="L53" s="380" t="n"/>
      <c r="M53" s="381" t="n"/>
      <c r="N53" s="381" t="n"/>
      <c r="O53" s="381" t="n"/>
      <c r="P53" s="382" t="n"/>
      <c r="Q53" s="383">
        <f>SUM(Q47:Q52)</f>
        <v/>
      </c>
    </row>
    <row r="54" ht="9.949999999999999" customFormat="1" customHeight="1" s="356">
      <c r="A54" s="472" t="n"/>
      <c r="B54" s="473" t="n"/>
      <c r="C54" s="473" t="n"/>
      <c r="D54" s="474" t="n"/>
      <c r="E54" s="475" t="n"/>
      <c r="F54" s="388" t="n"/>
      <c r="G54" s="396" t="n"/>
      <c r="H54" s="388" t="n"/>
      <c r="I54" s="391" t="n"/>
      <c r="J54" s="476" t="inlineStr">
        <is>
          <t>Qs=</t>
        </is>
      </c>
      <c r="K54" s="391" t="inlineStr">
        <is>
          <t>a</t>
        </is>
      </c>
      <c r="L54" s="388" t="inlineStr">
        <is>
          <t>L</t>
        </is>
      </c>
      <c r="M54" s="389" t="inlineStr">
        <is>
          <t>R</t>
        </is>
      </c>
      <c r="N54" s="394" t="inlineStr">
        <is>
          <t>H</t>
        </is>
      </c>
      <c r="O54" s="395" t="inlineStr">
        <is>
          <t>D  T</t>
        </is>
      </c>
      <c r="P54" s="396" t="inlineStr">
        <is>
          <t>Ze</t>
        </is>
      </c>
      <c r="Q54" s="397" t="n"/>
    </row>
    <row r="55" ht="9.949999999999999" customFormat="1" customHeight="1" s="437">
      <c r="A55" s="431" t="n"/>
      <c r="B55" s="495" t="n"/>
      <c r="C55" s="411" t="n"/>
      <c r="D55" s="411" t="n"/>
      <c r="E55" s="433" t="n"/>
      <c r="F55" s="402" t="n"/>
      <c r="G55" s="434" t="n"/>
      <c r="H55" s="435" t="n"/>
      <c r="I55" s="405" t="n"/>
      <c r="J55" s="436" t="inlineStr">
        <is>
          <t>Qs  =</t>
        </is>
      </c>
      <c r="K55" s="382" t="n">
        <v>2</v>
      </c>
      <c r="L55" s="382">
        <f>(D49+E49)*2*G49+(D51+E51)*2*G51</f>
        <v/>
      </c>
      <c r="M55" s="382" t="n">
        <v>0.9</v>
      </c>
      <c r="N55" s="382" t="n">
        <v>0.67</v>
      </c>
      <c r="O55" s="479" t="n">
        <v>23</v>
      </c>
      <c r="P55" s="382" t="n">
        <v>1.2</v>
      </c>
      <c r="Q55" s="383">
        <f>K55*L55*M55*N55*O55*P55</f>
        <v/>
      </c>
    </row>
    <row r="56" ht="9.949999999999999" customFormat="1" customHeight="1" s="437">
      <c r="A56" s="438" t="n"/>
      <c r="B56" s="439" t="n"/>
      <c r="C56" s="411" t="n"/>
      <c r="D56" s="411" t="n"/>
      <c r="E56" s="378" t="n"/>
      <c r="F56" s="256" t="n"/>
      <c r="G56" s="440" t="n"/>
      <c r="H56" s="411" t="n"/>
      <c r="I56" s="411" t="n"/>
      <c r="J56" s="411" t="n"/>
      <c r="K56" s="410" t="n"/>
      <c r="L56" s="496" t="n"/>
      <c r="M56" s="413" t="inlineStr">
        <is>
          <t xml:space="preserve">   TOPLAM ISI KAYBI =</t>
        </is>
      </c>
      <c r="N56" s="413" t="n"/>
      <c r="O56" s="414" t="n"/>
      <c r="P56" s="413" t="n"/>
      <c r="Q56" s="416">
        <f>Q53+Q55</f>
        <v/>
      </c>
    </row>
    <row r="57" ht="9.949999999999999" customFormat="1" customHeight="1" s="351">
      <c r="A57" s="480" t="n"/>
      <c r="B57" s="437" t="n"/>
      <c r="C57" s="443" t="n"/>
      <c r="D57" s="443" t="n"/>
      <c r="E57" s="481" t="n"/>
      <c r="G57" s="482" t="n"/>
      <c r="H57" s="443" t="n"/>
      <c r="I57" s="443" t="n"/>
      <c r="J57" s="443" t="n"/>
      <c r="K57" s="482" t="n"/>
      <c r="L57" s="483" t="n"/>
      <c r="M57" s="484" t="n"/>
      <c r="N57" s="484" t="n"/>
      <c r="O57" s="485" t="n"/>
      <c r="P57" s="484" t="n"/>
      <c r="Q57" s="486" t="n"/>
    </row>
    <row r="58" ht="9.949999999999999" customFormat="1" customHeight="1" s="356">
      <c r="A58" s="359" t="n"/>
      <c r="B58" s="360" t="n"/>
      <c r="C58" s="360" t="n"/>
      <c r="D58" s="360" t="n"/>
      <c r="E58" s="360" t="n"/>
      <c r="F58" s="361" t="inlineStr">
        <is>
          <t>106</t>
        </is>
      </c>
      <c r="G58" s="362" t="n"/>
      <c r="H58" s="360" t="n"/>
      <c r="I58" s="363" t="inlineStr">
        <is>
          <t>D4 BANYO</t>
        </is>
      </c>
      <c r="J58" s="264" t="n"/>
      <c r="K58" s="360" t="inlineStr">
        <is>
          <t>24ºC</t>
        </is>
      </c>
      <c r="L58" s="360" t="n"/>
      <c r="M58" s="360" t="n"/>
      <c r="N58" s="360" t="n"/>
      <c r="O58" s="360" t="n"/>
      <c r="P58" s="360" t="n"/>
      <c r="Q58" s="364" t="n"/>
    </row>
    <row r="59" ht="9.949999999999999" customFormat="1" customHeight="1" s="356">
      <c r="A59" s="365" t="inlineStr">
        <is>
          <t>DD</t>
        </is>
      </c>
      <c r="B59" s="366" t="inlineStr">
        <is>
          <t>D</t>
        </is>
      </c>
      <c r="C59" s="367" t="n"/>
      <c r="D59" s="368" t="n">
        <v>1.32</v>
      </c>
      <c r="E59" s="368" t="n">
        <v>3</v>
      </c>
      <c r="F59" s="369">
        <f>IF(D59=0," ",D59*E59)</f>
        <v/>
      </c>
      <c r="G59" s="370" t="n">
        <v>1</v>
      </c>
      <c r="H59" s="371" t="n"/>
      <c r="I59" s="369">
        <f>IF(F59=" "," ",F59*G59-H59)</f>
        <v/>
      </c>
      <c r="J59" s="368" t="n">
        <v>0.479</v>
      </c>
      <c r="K59" s="370" t="n">
        <v>27</v>
      </c>
      <c r="L59" s="372">
        <f>IF(I59=" "," ",I59*J59*K59)</f>
        <v/>
      </c>
      <c r="M59" s="373" t="n">
        <v>7</v>
      </c>
      <c r="N59" s="370" t="n">
        <v>0</v>
      </c>
      <c r="O59" s="373" t="n">
        <v>0</v>
      </c>
      <c r="P59" s="369">
        <f>IF(M59=" "," ",(1+(M59+N59+O59)/100))</f>
        <v/>
      </c>
      <c r="Q59" s="374">
        <f>IF(L59=" "," ",L59*P59)</f>
        <v/>
      </c>
    </row>
    <row r="60" ht="9.949999999999999" customFormat="1" customHeight="1" s="356">
      <c r="A60" s="365" t="inlineStr">
        <is>
          <t>İD</t>
        </is>
      </c>
      <c r="B60" s="366" t="n"/>
      <c r="C60" s="367" t="n"/>
      <c r="D60" s="368" t="n">
        <v>1.84</v>
      </c>
      <c r="E60" s="368" t="n">
        <v>3</v>
      </c>
      <c r="F60" s="369">
        <f>IF(D60=0," ",D60*E60)</f>
        <v/>
      </c>
      <c r="G60" s="370" t="n">
        <v>1</v>
      </c>
      <c r="H60" s="371" t="n"/>
      <c r="I60" s="369">
        <f>IF(F60=" "," ",F60*G60-H60)</f>
        <v/>
      </c>
      <c r="J60" s="368" t="n">
        <v>0.8139999999999999</v>
      </c>
      <c r="K60" s="370" t="n">
        <v>14</v>
      </c>
      <c r="L60" s="372">
        <f>IF(I60=" "," ",I60*J60*K60)</f>
        <v/>
      </c>
      <c r="M60" s="373" t="n">
        <v>7</v>
      </c>
      <c r="N60" s="370" t="n">
        <v>0</v>
      </c>
      <c r="O60" s="373" t="n">
        <v>0</v>
      </c>
      <c r="P60" s="369">
        <f>IF(M60=" "," ",(1+(M60+N60+O60)/100))</f>
        <v/>
      </c>
      <c r="Q60" s="374">
        <f>IF(L60=" "," ",L60*P60)</f>
        <v/>
      </c>
    </row>
    <row r="61" ht="9.949999999999999" customFormat="1" customHeight="1" s="356">
      <c r="A61" s="365" t="inlineStr">
        <is>
          <t>İD</t>
        </is>
      </c>
      <c r="B61" s="366" t="n"/>
      <c r="C61" s="367" t="n"/>
      <c r="D61" s="368" t="n">
        <v>2.2</v>
      </c>
      <c r="E61" s="368" t="n">
        <v>3</v>
      </c>
      <c r="F61" s="369">
        <f>IF(D61=0," ",D61*E61)</f>
        <v/>
      </c>
      <c r="G61" s="370" t="n">
        <v>1</v>
      </c>
      <c r="H61" s="371" t="n"/>
      <c r="I61" s="369">
        <f>IF(F61=" "," ",F61*G61-H61)</f>
        <v/>
      </c>
      <c r="J61" s="368" t="n">
        <v>0.8139999999999999</v>
      </c>
      <c r="K61" s="370" t="n">
        <v>9</v>
      </c>
      <c r="L61" s="372">
        <f>IF(I61=" "," ",I61*J61*K61)</f>
        <v/>
      </c>
      <c r="M61" s="373" t="n">
        <v>7</v>
      </c>
      <c r="N61" s="370" t="n">
        <v>0</v>
      </c>
      <c r="O61" s="373" t="n">
        <v>0</v>
      </c>
      <c r="P61" s="369">
        <f>IF(M61=" "," ",(1+(M61+N61+O61)/100))</f>
        <v/>
      </c>
      <c r="Q61" s="374">
        <f>IF(L61=" "," ",L61*P61)</f>
        <v/>
      </c>
    </row>
    <row r="62" ht="9.949999999999999" customFormat="1" customHeight="1" s="356">
      <c r="A62" s="365" t="inlineStr">
        <is>
          <t>İD</t>
        </is>
      </c>
      <c r="B62" s="366" t="n"/>
      <c r="C62" s="367" t="n"/>
      <c r="D62" s="368" t="n">
        <v>2.58</v>
      </c>
      <c r="E62" s="368" t="n">
        <v>3</v>
      </c>
      <c r="F62" s="369">
        <f>IF(D62=0," ",D62*E62)</f>
        <v/>
      </c>
      <c r="G62" s="370" t="n">
        <v>1</v>
      </c>
      <c r="H62" s="371" t="n"/>
      <c r="I62" s="369">
        <f>IF(F62=" "," ",F62*G62-H62)</f>
        <v/>
      </c>
      <c r="J62" s="368" t="n">
        <v>0.8139999999999999</v>
      </c>
      <c r="K62" s="370" t="n">
        <v>4</v>
      </c>
      <c r="L62" s="372">
        <f>IF(I62=" "," ",I62*J62*K62)</f>
        <v/>
      </c>
      <c r="M62" s="373" t="n">
        <v>7</v>
      </c>
      <c r="N62" s="370" t="n">
        <v>0</v>
      </c>
      <c r="O62" s="373" t="n">
        <v>0</v>
      </c>
      <c r="P62" s="369">
        <f>IF(M62=" "," ",(1+(M62+N62+O62)/100))</f>
        <v/>
      </c>
      <c r="Q62" s="374">
        <f>IF(L62=" "," ",L62*P62)</f>
        <v/>
      </c>
    </row>
    <row r="63" ht="9.949999999999999" customFormat="1" customHeight="1" s="356">
      <c r="A63" s="375" t="n"/>
      <c r="B63" s="376" t="n"/>
      <c r="C63" s="376" t="n"/>
      <c r="D63" s="377" t="n"/>
      <c r="E63" s="377" t="n"/>
      <c r="F63" s="378" t="n"/>
      <c r="G63" s="379" t="n"/>
      <c r="H63" s="377" t="n"/>
      <c r="I63" s="378" t="n"/>
      <c r="J63" s="377" t="n"/>
      <c r="K63" s="379" t="n"/>
      <c r="L63" s="380" t="n"/>
      <c r="M63" s="381" t="n"/>
      <c r="N63" s="381" t="n"/>
      <c r="O63" s="381" t="n"/>
      <c r="P63" s="382" t="n"/>
      <c r="Q63" s="383">
        <f>SUM(Q59:Q62)</f>
        <v/>
      </c>
    </row>
    <row r="64" ht="9.949999999999999" customFormat="1" customHeight="1" s="356">
      <c r="A64" s="384" t="n"/>
      <c r="B64" s="385" t="n"/>
      <c r="C64" s="385" t="n"/>
      <c r="D64" s="386" t="n"/>
      <c r="E64" s="387" t="n"/>
      <c r="F64" s="388" t="n"/>
      <c r="G64" s="389" t="n"/>
      <c r="H64" s="390" t="n"/>
      <c r="I64" s="391" t="n"/>
      <c r="J64" s="392" t="inlineStr">
        <is>
          <t>Qs=</t>
        </is>
      </c>
      <c r="K64" s="393" t="inlineStr">
        <is>
          <t>a</t>
        </is>
      </c>
      <c r="L64" s="388" t="inlineStr">
        <is>
          <t>L</t>
        </is>
      </c>
      <c r="M64" s="389" t="inlineStr">
        <is>
          <t>R</t>
        </is>
      </c>
      <c r="N64" s="394" t="inlineStr">
        <is>
          <t>H</t>
        </is>
      </c>
      <c r="O64" s="395" t="inlineStr">
        <is>
          <t>D  T</t>
        </is>
      </c>
      <c r="P64" s="396" t="inlineStr">
        <is>
          <t>Ze</t>
        </is>
      </c>
      <c r="Q64" s="397" t="n"/>
    </row>
    <row r="65" ht="9.949999999999999" customFormat="1" customHeight="1" s="356">
      <c r="A65" s="398" t="n"/>
      <c r="B65" s="399" t="n"/>
      <c r="C65" s="400" t="n"/>
      <c r="D65" s="400" t="n"/>
      <c r="E65" s="401" t="n"/>
      <c r="F65" s="402" t="n"/>
      <c r="G65" s="403" t="n"/>
      <c r="H65" s="404" t="n"/>
      <c r="I65" s="405" t="n"/>
      <c r="J65" s="406" t="inlineStr">
        <is>
          <t>Qs  =</t>
        </is>
      </c>
      <c r="K65" s="407" t="n">
        <v>2</v>
      </c>
      <c r="L65" s="382" t="n">
        <v>0</v>
      </c>
      <c r="M65" s="407" t="n">
        <v>0.9</v>
      </c>
      <c r="N65" s="407" t="n">
        <v>0.67</v>
      </c>
      <c r="O65" s="381" t="n">
        <v>27</v>
      </c>
      <c r="P65" s="382" t="n">
        <v>1.2</v>
      </c>
      <c r="Q65" s="383">
        <f>K65*L65*M65*N65*O65*P65</f>
        <v/>
      </c>
    </row>
    <row r="66" ht="9.949999999999999" customFormat="1" customHeight="1" s="356">
      <c r="A66" s="408" t="n"/>
      <c r="B66" s="409" t="n"/>
      <c r="C66" s="400" t="n"/>
      <c r="D66" s="400" t="n"/>
      <c r="E66" s="377" t="n"/>
      <c r="F66" s="256" t="n"/>
      <c r="G66" s="410" t="n"/>
      <c r="H66" s="400" t="n"/>
      <c r="I66" s="411" t="n"/>
      <c r="J66" s="400" t="n"/>
      <c r="K66" s="410" t="n"/>
      <c r="L66" s="412" t="n"/>
      <c r="M66" s="413" t="inlineStr">
        <is>
          <t xml:space="preserve">   TOPLAM ISI KAYBI =</t>
        </is>
      </c>
      <c r="N66" s="413" t="n"/>
      <c r="O66" s="414" t="n"/>
      <c r="P66" s="415" t="n"/>
      <c r="Q66" s="416">
        <f>Q63+Q65</f>
        <v/>
      </c>
    </row>
    <row r="67" ht="9.949999999999999" customFormat="1" customHeight="1" s="356">
      <c r="A67" s="417" t="n"/>
      <c r="B67" s="399" t="n"/>
      <c r="C67" s="418" t="n"/>
      <c r="D67" s="419" t="n"/>
      <c r="E67" s="419" t="n"/>
      <c r="F67" s="420" t="n"/>
      <c r="G67" s="421" t="n"/>
      <c r="H67" s="422" t="n"/>
      <c r="I67" s="420" t="n"/>
      <c r="J67" s="419" t="n"/>
      <c r="K67" s="421" t="n"/>
      <c r="L67" s="423" t="n"/>
      <c r="M67" s="424" t="n"/>
      <c r="N67" s="421" t="n"/>
      <c r="O67" s="424" t="n"/>
      <c r="P67" s="420" t="n"/>
      <c r="Q67" s="488" t="n"/>
    </row>
    <row r="68" ht="9.949999999999999" customFormat="1" customHeight="1" s="356">
      <c r="A68" s="453" t="n"/>
      <c r="B68" s="429" t="n"/>
      <c r="C68" s="429" t="n"/>
      <c r="D68" s="429" t="n"/>
      <c r="E68" s="429" t="n"/>
      <c r="F68" s="426" t="inlineStr">
        <is>
          <t>107</t>
        </is>
      </c>
      <c r="G68" s="454" t="n"/>
      <c r="H68" s="429" t="n"/>
      <c r="I68" s="427" t="inlineStr">
        <is>
          <t>D5 MUTFAK</t>
        </is>
      </c>
      <c r="J68" s="264" t="n"/>
      <c r="K68" s="429" t="inlineStr">
        <is>
          <t>20ºC</t>
        </is>
      </c>
      <c r="L68" s="429" t="n"/>
      <c r="M68" s="360" t="n"/>
      <c r="N68" s="360" t="n"/>
      <c r="O68" s="360" t="n"/>
      <c r="P68" s="429" t="n"/>
      <c r="Q68" s="430" t="n"/>
    </row>
    <row r="69" ht="9.949999999999999" customFormat="1" customHeight="1" s="437">
      <c r="A69" s="462" t="inlineStr">
        <is>
          <t>DD</t>
        </is>
      </c>
      <c r="B69" s="463" t="inlineStr">
        <is>
          <t>K</t>
        </is>
      </c>
      <c r="C69" s="464" t="n"/>
      <c r="D69" s="369" t="n">
        <v>2.42</v>
      </c>
      <c r="E69" s="369" t="n">
        <v>3</v>
      </c>
      <c r="F69" s="369">
        <f>IF(D69=0," ",D69*E69)</f>
        <v/>
      </c>
      <c r="G69" s="465" t="n">
        <v>1</v>
      </c>
      <c r="H69" s="466">
        <f>F70*G70</f>
        <v/>
      </c>
      <c r="I69" s="369">
        <f>IF(F69=" "," ",F69*G69-H69)</f>
        <v/>
      </c>
      <c r="J69" s="369" t="n">
        <v>0.479</v>
      </c>
      <c r="K69" s="465" t="n">
        <v>23</v>
      </c>
      <c r="L69" s="372">
        <f>IF(I69=" "," ",I69*J69*K69)</f>
        <v/>
      </c>
      <c r="M69" s="467" t="n">
        <v>7</v>
      </c>
      <c r="N69" s="465" t="n">
        <v>0</v>
      </c>
      <c r="O69" s="467" t="n">
        <v>5</v>
      </c>
      <c r="P69" s="369">
        <f>IF(M69=" "," ",(1+(M69+N69+O69)/100))</f>
        <v/>
      </c>
      <c r="Q69" s="374">
        <f>IF(L69=" "," ",L69*P69)</f>
        <v/>
      </c>
    </row>
    <row r="70" ht="9.949999999999999" customFormat="1" customHeight="1" s="437">
      <c r="A70" s="462" t="inlineStr">
        <is>
          <t>ÇP</t>
        </is>
      </c>
      <c r="B70" s="463" t="inlineStr">
        <is>
          <t>K</t>
        </is>
      </c>
      <c r="C70" s="464" t="n"/>
      <c r="D70" s="369" t="n">
        <v>1.6</v>
      </c>
      <c r="E70" s="369" t="n">
        <v>2.2</v>
      </c>
      <c r="F70" s="369">
        <f>IF(D70=0," ",D70*E70)</f>
        <v/>
      </c>
      <c r="G70" s="465" t="n">
        <v>1</v>
      </c>
      <c r="H70" s="466" t="n"/>
      <c r="I70" s="369">
        <f>IF(F70=" "," ",F70*G70-H70)</f>
        <v/>
      </c>
      <c r="J70" s="369" t="n">
        <v>2.4</v>
      </c>
      <c r="K70" s="370" t="n">
        <v>23</v>
      </c>
      <c r="L70" s="455">
        <f>IF(I70=" "," ",I70*J70*K70)</f>
        <v/>
      </c>
      <c r="M70" s="373" t="n">
        <v>7</v>
      </c>
      <c r="N70" s="370" t="n">
        <v>0</v>
      </c>
      <c r="O70" s="373" t="n">
        <v>5</v>
      </c>
      <c r="P70" s="368">
        <f>IF(M70=" "," ",(1+(M70+N70+O70)/100))</f>
        <v/>
      </c>
      <c r="Q70" s="374">
        <f>IF(L70=" "," ",L70*P70)</f>
        <v/>
      </c>
    </row>
    <row r="71" ht="9.949999999999999" customFormat="1" customHeight="1" s="351">
      <c r="A71" s="462" t="inlineStr">
        <is>
          <t>İD</t>
        </is>
      </c>
      <c r="B71" s="463" t="n"/>
      <c r="C71" s="464" t="n"/>
      <c r="D71" s="369" t="n">
        <v>1.76</v>
      </c>
      <c r="E71" s="369" t="n">
        <v>3</v>
      </c>
      <c r="F71" s="369">
        <f>IF(D71=0," ",D71*E71)</f>
        <v/>
      </c>
      <c r="G71" s="465" t="n">
        <v>1</v>
      </c>
      <c r="H71" s="466" t="n"/>
      <c r="I71" s="369">
        <f>IF(F71=" "," ",F71*G71-H71)</f>
        <v/>
      </c>
      <c r="J71" s="369" t="n">
        <v>0.8139999999999999</v>
      </c>
      <c r="K71" s="465" t="n">
        <v>5</v>
      </c>
      <c r="L71" s="372">
        <f>IF(I71=" "," ",I71*J71*K71)</f>
        <v/>
      </c>
      <c r="M71" s="467" t="n">
        <v>7</v>
      </c>
      <c r="N71" s="465" t="n">
        <v>0</v>
      </c>
      <c r="O71" s="467" t="n">
        <v>0</v>
      </c>
      <c r="P71" s="369">
        <f>IF(M71=" "," ",(1+(M71+N71+O71)/100))</f>
        <v/>
      </c>
      <c r="Q71" s="374">
        <f>IF(L71=" "," ",L71*P71)</f>
        <v/>
      </c>
    </row>
    <row r="72" ht="9.949999999999999" customFormat="1" customHeight="1" s="351">
      <c r="A72" s="468" t="n"/>
      <c r="B72" s="469" t="n"/>
      <c r="C72" s="469" t="n"/>
      <c r="D72" s="378" t="n"/>
      <c r="E72" s="378" t="n"/>
      <c r="F72" s="378" t="n"/>
      <c r="G72" s="470" t="n"/>
      <c r="H72" s="378" t="n"/>
      <c r="I72" s="378" t="n"/>
      <c r="J72" s="378" t="n"/>
      <c r="K72" s="470" t="n"/>
      <c r="L72" s="380" t="n"/>
      <c r="M72" s="479" t="n"/>
      <c r="N72" s="479" t="n"/>
      <c r="O72" s="479" t="n"/>
      <c r="P72" s="382" t="n"/>
      <c r="Q72" s="383">
        <f>SUM(Q69:Q71)</f>
        <v/>
      </c>
    </row>
    <row r="73" ht="9.949999999999999" customFormat="1" customHeight="1" s="351">
      <c r="A73" s="472" t="n"/>
      <c r="B73" s="473" t="n"/>
      <c r="C73" s="473" t="n"/>
      <c r="D73" s="474" t="n"/>
      <c r="E73" s="475" t="n"/>
      <c r="F73" s="388" t="n"/>
      <c r="G73" s="396" t="n"/>
      <c r="H73" s="388" t="n"/>
      <c r="I73" s="391" t="n"/>
      <c r="J73" s="476" t="inlineStr">
        <is>
          <t>Qs=</t>
        </is>
      </c>
      <c r="K73" s="391" t="inlineStr">
        <is>
          <t>a</t>
        </is>
      </c>
      <c r="L73" s="388" t="inlineStr">
        <is>
          <t>L</t>
        </is>
      </c>
      <c r="M73" s="396" t="inlineStr">
        <is>
          <t>R</t>
        </is>
      </c>
      <c r="N73" s="477" t="inlineStr">
        <is>
          <t>H</t>
        </is>
      </c>
      <c r="O73" s="478" t="inlineStr">
        <is>
          <t>D  T</t>
        </is>
      </c>
      <c r="P73" s="396" t="inlineStr">
        <is>
          <t>Ze</t>
        </is>
      </c>
      <c r="Q73" s="397" t="n"/>
    </row>
    <row r="74" ht="9.949999999999999" customFormat="1" customHeight="1" s="351">
      <c r="A74" s="431" t="n"/>
      <c r="B74" s="437" t="n"/>
      <c r="C74" s="411" t="n"/>
      <c r="D74" s="411" t="n"/>
      <c r="E74" s="433" t="n"/>
      <c r="F74" s="402" t="n"/>
      <c r="G74" s="434" t="n"/>
      <c r="H74" s="435" t="n"/>
      <c r="I74" s="405" t="n"/>
      <c r="J74" s="436" t="inlineStr">
        <is>
          <t>Qs  =</t>
        </is>
      </c>
      <c r="K74" s="382" t="n">
        <v>2</v>
      </c>
      <c r="L74" s="382">
        <f>(D70+E70)*2*G70</f>
        <v/>
      </c>
      <c r="M74" s="382" t="n">
        <v>0.9</v>
      </c>
      <c r="N74" s="382" t="n">
        <v>0.67</v>
      </c>
      <c r="O74" s="479" t="n">
        <v>23</v>
      </c>
      <c r="P74" s="382" t="n">
        <v>1.2</v>
      </c>
      <c r="Q74" s="383">
        <f>K74*L74*M74*N74*O74*P74</f>
        <v/>
      </c>
    </row>
    <row r="75" ht="9.949999999999999" customFormat="1" customHeight="1" s="351">
      <c r="A75" s="438" t="n"/>
      <c r="B75" s="439" t="n"/>
      <c r="C75" s="411" t="n"/>
      <c r="D75" s="411" t="n"/>
      <c r="E75" s="378" t="n"/>
      <c r="F75" s="256" t="n"/>
      <c r="G75" s="440" t="n"/>
      <c r="H75" s="411" t="n"/>
      <c r="I75" s="411" t="n"/>
      <c r="J75" s="411" t="n"/>
      <c r="K75" s="440" t="n"/>
      <c r="L75" s="412" t="n"/>
      <c r="M75" s="415" t="inlineStr">
        <is>
          <t xml:space="preserve">   TOPLAM ISI KAYBI =</t>
        </is>
      </c>
      <c r="N75" s="415" t="n"/>
      <c r="O75" s="441" t="n"/>
      <c r="P75" s="415" t="n"/>
      <c r="Q75" s="416">
        <f>Q72+Q74</f>
        <v/>
      </c>
    </row>
    <row r="76"/>
    <row r="77">
      <c r="A77" s="453" t="n"/>
      <c r="B77" s="429" t="n"/>
      <c r="C77" s="429" t="n"/>
      <c r="D77" s="429" t="n"/>
      <c r="E77" s="429" t="n"/>
      <c r="F77" s="426" t="inlineStr">
        <is>
          <t>108</t>
        </is>
      </c>
      <c r="G77" s="454" t="n"/>
      <c r="H77" s="429" t="n"/>
      <c r="I77" s="427" t="inlineStr">
        <is>
          <t>D5 YATAK OD.</t>
        </is>
      </c>
      <c r="J77" s="264" t="n"/>
      <c r="K77" s="429" t="inlineStr">
        <is>
          <t>20ºC</t>
        </is>
      </c>
      <c r="L77" s="429" t="n"/>
      <c r="M77" s="429" t="n"/>
      <c r="N77" s="429" t="n"/>
      <c r="O77" s="429" t="n"/>
      <c r="P77" s="429" t="n"/>
      <c r="Q77" s="430" t="n"/>
    </row>
    <row r="78">
      <c r="A78" s="462" t="inlineStr">
        <is>
          <t>DD</t>
        </is>
      </c>
      <c r="B78" s="463" t="inlineStr">
        <is>
          <t>K</t>
        </is>
      </c>
      <c r="C78" s="464" t="n"/>
      <c r="D78" s="369" t="n">
        <v>3.98</v>
      </c>
      <c r="E78" s="369" t="n">
        <v>3</v>
      </c>
      <c r="F78" s="369">
        <f>IF(D78=0," ",D78*E78)</f>
        <v/>
      </c>
      <c r="G78" s="465" t="n">
        <v>1</v>
      </c>
      <c r="H78" s="466" t="n"/>
      <c r="I78" s="369">
        <f>IF(F78=" "," ",F78*G78-H78)</f>
        <v/>
      </c>
      <c r="J78" s="369" t="n">
        <v>0.479</v>
      </c>
      <c r="K78" s="465" t="n">
        <v>23</v>
      </c>
      <c r="L78" s="372">
        <f>IF(I78=" "," ",I78*J78*K78)</f>
        <v/>
      </c>
      <c r="M78" s="467" t="n">
        <v>7</v>
      </c>
      <c r="N78" s="465" t="n">
        <v>0</v>
      </c>
      <c r="O78" s="467" t="n">
        <v>5</v>
      </c>
      <c r="P78" s="369">
        <f>IF(M78=" "," ",(1+(M78+N78+O78)/100))</f>
        <v/>
      </c>
      <c r="Q78" s="374">
        <f>IF(L78=" "," ",L78*P78)</f>
        <v/>
      </c>
    </row>
    <row r="79">
      <c r="A79" s="462" t="inlineStr">
        <is>
          <t>DD</t>
        </is>
      </c>
      <c r="B79" s="463" t="inlineStr">
        <is>
          <t>B</t>
        </is>
      </c>
      <c r="C79" s="464" t="n"/>
      <c r="D79" s="369" t="n">
        <v>3.2</v>
      </c>
      <c r="E79" s="369" t="n">
        <v>3</v>
      </c>
      <c r="F79" s="369">
        <f>IF(D79=0," ",D79*E79)</f>
        <v/>
      </c>
      <c r="G79" s="465" t="n">
        <v>1</v>
      </c>
      <c r="H79" s="466">
        <f>F80*G80</f>
        <v/>
      </c>
      <c r="I79" s="369">
        <f>IF(F79=" "," ",F79*G79-H79)</f>
        <v/>
      </c>
      <c r="J79" s="369" t="n">
        <v>0.479</v>
      </c>
      <c r="K79" s="465" t="n">
        <v>23</v>
      </c>
      <c r="L79" s="372">
        <f>IF(I79=" "," ",I79*J79*K79)</f>
        <v/>
      </c>
      <c r="M79" s="467" t="n">
        <v>7</v>
      </c>
      <c r="N79" s="465" t="n">
        <v>0</v>
      </c>
      <c r="O79" s="467" t="n">
        <v>0</v>
      </c>
      <c r="P79" s="369">
        <f>IF(M79=" "," ",(1+(M79+N79+O79)/100))</f>
        <v/>
      </c>
      <c r="Q79" s="374">
        <f>IF(L79=" "," ",L79*P79)</f>
        <v/>
      </c>
    </row>
    <row r="80" ht="9.75" customFormat="1" customHeight="1" s="329">
      <c r="A80" s="462" t="inlineStr">
        <is>
          <t>ÇP</t>
        </is>
      </c>
      <c r="B80" s="463" t="inlineStr">
        <is>
          <t>B</t>
        </is>
      </c>
      <c r="C80" s="464" t="n"/>
      <c r="D80" s="369" t="n">
        <v>1.6</v>
      </c>
      <c r="E80" s="369" t="n">
        <v>2.1</v>
      </c>
      <c r="F80" s="369">
        <f>IF(D80=0," ",D80*E80)</f>
        <v/>
      </c>
      <c r="G80" s="465" t="n">
        <v>1</v>
      </c>
      <c r="H80" s="466" t="n"/>
      <c r="I80" s="369">
        <f>IF(F80=" "," ",F80*G80-H80)</f>
        <v/>
      </c>
      <c r="J80" s="369" t="n">
        <v>2.4</v>
      </c>
      <c r="K80" s="465" t="n">
        <v>23</v>
      </c>
      <c r="L80" s="372">
        <f>IF(I80=" "," ",I80*J80*K80)</f>
        <v/>
      </c>
      <c r="M80" s="467" t="n">
        <v>7</v>
      </c>
      <c r="N80" s="465" t="n">
        <v>0</v>
      </c>
      <c r="O80" s="373" t="n">
        <v>0</v>
      </c>
      <c r="P80" s="368">
        <f>IF(M80=" "," ",(1+(M80+N80+O80)/100))</f>
        <v/>
      </c>
      <c r="Q80" s="456">
        <f>IF(L80=" "," ",L80*P80)</f>
        <v/>
      </c>
    </row>
    <row r="81" ht="10.5" customFormat="1" customHeight="1" s="339">
      <c r="A81" s="462" t="inlineStr">
        <is>
          <t>İD</t>
        </is>
      </c>
      <c r="B81" s="463" t="n"/>
      <c r="C81" s="464" t="n"/>
      <c r="D81" s="369" t="n">
        <v>1</v>
      </c>
      <c r="E81" s="369" t="n">
        <v>3</v>
      </c>
      <c r="F81" s="369">
        <f>IF(D81=0," ",D81*E81)</f>
        <v/>
      </c>
      <c r="G81" s="465" t="n">
        <v>1</v>
      </c>
      <c r="H81" s="371" t="n"/>
      <c r="I81" s="368">
        <f>IF(F81=" "," ",F81*G81-H81)</f>
        <v/>
      </c>
      <c r="J81" s="368" t="n">
        <v>0.8139999999999999</v>
      </c>
      <c r="K81" s="370" t="n">
        <v>5</v>
      </c>
      <c r="L81" s="455">
        <f>IF(I81=" "," ",I81*J81*K81)</f>
        <v/>
      </c>
      <c r="M81" s="467" t="n">
        <v>7</v>
      </c>
      <c r="N81" s="465" t="n">
        <v>0</v>
      </c>
      <c r="O81" s="373" t="n">
        <v>0</v>
      </c>
      <c r="P81" s="368">
        <f>IF(M81=" "," ",(1+(M81+N81+O81)/100))</f>
        <v/>
      </c>
      <c r="Q81" s="456">
        <f>IF(L81=" "," ",L81*P81)</f>
        <v/>
      </c>
    </row>
    <row r="82" ht="8.25" customFormat="1" customHeight="1" s="339">
      <c r="A82" s="468" t="n"/>
      <c r="B82" s="469" t="n"/>
      <c r="C82" s="469" t="n"/>
      <c r="D82" s="378" t="n"/>
      <c r="E82" s="378" t="n"/>
      <c r="F82" s="378" t="n"/>
      <c r="G82" s="470" t="n"/>
      <c r="H82" s="378" t="n"/>
      <c r="I82" s="378" t="n"/>
      <c r="J82" s="378" t="n"/>
      <c r="K82" s="470" t="n"/>
      <c r="L82" s="380" t="n"/>
      <c r="M82" s="479" t="n"/>
      <c r="N82" s="479" t="n"/>
      <c r="O82" s="479" t="n"/>
      <c r="P82" s="382" t="n"/>
      <c r="Q82" s="383">
        <f>SUM(Q78:Q81)</f>
        <v/>
      </c>
    </row>
    <row r="83" ht="31.5" customFormat="1" customHeight="1" s="351">
      <c r="A83" s="472" t="n"/>
      <c r="B83" s="473" t="n"/>
      <c r="C83" s="473" t="n"/>
      <c r="D83" s="474" t="n"/>
      <c r="E83" s="475" t="n"/>
      <c r="F83" s="388" t="n"/>
      <c r="G83" s="396" t="n"/>
      <c r="H83" s="388" t="n"/>
      <c r="I83" s="391" t="n"/>
      <c r="J83" s="476" t="inlineStr">
        <is>
          <t>Qs=</t>
        </is>
      </c>
      <c r="K83" s="391" t="inlineStr">
        <is>
          <t>a</t>
        </is>
      </c>
      <c r="L83" s="388" t="inlineStr">
        <is>
          <t>L</t>
        </is>
      </c>
      <c r="M83" s="396" t="inlineStr">
        <is>
          <t>R</t>
        </is>
      </c>
      <c r="N83" s="477" t="inlineStr">
        <is>
          <t>H</t>
        </is>
      </c>
      <c r="O83" s="478" t="inlineStr">
        <is>
          <t>D  T</t>
        </is>
      </c>
      <c r="P83" s="396" t="inlineStr">
        <is>
          <t>Ze</t>
        </is>
      </c>
      <c r="Q83" s="397" t="n"/>
    </row>
    <row r="84" ht="9.75" customFormat="1" customHeight="1" s="351">
      <c r="A84" s="431" t="n"/>
      <c r="B84" s="354" t="n"/>
      <c r="C84" s="411" t="n"/>
      <c r="D84" s="411" t="n"/>
      <c r="E84" s="433" t="n"/>
      <c r="F84" s="402" t="n"/>
      <c r="G84" s="434" t="n"/>
      <c r="H84" s="435" t="n"/>
      <c r="I84" s="405" t="n"/>
      <c r="J84" s="436" t="inlineStr">
        <is>
          <t>Qs  =</t>
        </is>
      </c>
      <c r="K84" s="382" t="n">
        <v>2</v>
      </c>
      <c r="L84" s="382">
        <f>(D80+E80)*2*G80</f>
        <v/>
      </c>
      <c r="M84" s="382" t="n">
        <v>0.9</v>
      </c>
      <c r="N84" s="382" t="n">
        <v>0.67</v>
      </c>
      <c r="O84" s="479" t="n">
        <v>23</v>
      </c>
      <c r="P84" s="382" t="n">
        <v>1.2</v>
      </c>
      <c r="Q84" s="383">
        <f>K84*L84*M84*N84*O84*P84</f>
        <v/>
      </c>
    </row>
    <row r="85" ht="15.75" customFormat="1" customHeight="1" s="356">
      <c r="A85" s="438" t="n"/>
      <c r="B85" s="439" t="n"/>
      <c r="C85" s="411" t="n"/>
      <c r="D85" s="411" t="n"/>
      <c r="E85" s="378" t="n"/>
      <c r="F85" s="256" t="n"/>
      <c r="G85" s="440" t="n"/>
      <c r="H85" s="411" t="n"/>
      <c r="I85" s="411" t="n"/>
      <c r="J85" s="411" t="n"/>
      <c r="K85" s="440" t="n"/>
      <c r="L85" s="412" t="n"/>
      <c r="M85" s="415" t="inlineStr">
        <is>
          <t xml:space="preserve">   TOPLAM ISI KAYBI =</t>
        </is>
      </c>
      <c r="N85" s="415" t="n"/>
      <c r="O85" s="441" t="n"/>
      <c r="P85" s="415" t="n"/>
      <c r="Q85" s="416">
        <f>Q82+Q84</f>
        <v/>
      </c>
    </row>
    <row r="86" ht="11.25" customFormat="1" customHeight="1" s="356">
      <c r="A86" s="346" t="n"/>
      <c r="B86" s="346" t="n"/>
      <c r="C86" s="346" t="n"/>
      <c r="D86" s="346" t="n"/>
      <c r="E86" s="346" t="n"/>
      <c r="F86" s="346" t="n"/>
      <c r="G86" s="346" t="n"/>
      <c r="H86" s="346" t="n"/>
      <c r="I86" s="346" t="n"/>
      <c r="J86" s="346" t="n"/>
      <c r="K86" s="346" t="n"/>
      <c r="L86" s="346" t="n"/>
      <c r="M86" s="346" t="n"/>
      <c r="N86" s="346" t="n"/>
      <c r="O86" s="346" t="n"/>
      <c r="P86" s="346" t="n"/>
      <c r="Q86" s="346" t="n"/>
    </row>
    <row r="87" ht="9.75" customFormat="1" customHeight="1" s="356">
      <c r="A87" s="359" t="n"/>
      <c r="B87" s="360" t="n"/>
      <c r="C87" s="360" t="n"/>
      <c r="D87" s="360" t="n"/>
      <c r="E87" s="360" t="n"/>
      <c r="F87" s="361" t="inlineStr">
        <is>
          <t>109</t>
        </is>
      </c>
      <c r="G87" s="362" t="n"/>
      <c r="H87" s="360" t="n"/>
      <c r="I87" s="363" t="inlineStr">
        <is>
          <t>D5 YATAK OD.</t>
        </is>
      </c>
      <c r="J87" s="264" t="n"/>
      <c r="K87" s="360" t="inlineStr">
        <is>
          <t>20ºC</t>
        </is>
      </c>
      <c r="L87" s="360" t="n"/>
      <c r="M87" s="360" t="n"/>
      <c r="N87" s="360" t="n"/>
      <c r="O87" s="360" t="n"/>
      <c r="P87" s="360" t="n"/>
      <c r="Q87" s="364" t="n"/>
    </row>
    <row r="88" ht="9.949999999999999" customFormat="1" customHeight="1" s="356">
      <c r="A88" s="365" t="inlineStr">
        <is>
          <t>DD</t>
        </is>
      </c>
      <c r="B88" s="366" t="inlineStr">
        <is>
          <t>K</t>
        </is>
      </c>
      <c r="C88" s="367" t="n"/>
      <c r="D88" s="368" t="n">
        <v>2.42</v>
      </c>
      <c r="E88" s="368" t="n">
        <v>3</v>
      </c>
      <c r="F88" s="369">
        <f>IF(D88=0," ",D88*E88)</f>
        <v/>
      </c>
      <c r="G88" s="370" t="n">
        <v>1</v>
      </c>
      <c r="H88" s="371">
        <f>F89*G89</f>
        <v/>
      </c>
      <c r="I88" s="369">
        <f>IF(F88=" "," ",F88*G88-H88)</f>
        <v/>
      </c>
      <c r="J88" s="368" t="n">
        <v>0.479</v>
      </c>
      <c r="K88" s="370" t="n">
        <v>23</v>
      </c>
      <c r="L88" s="372">
        <f>IF(I88=" "," ",I88*J88*K88)</f>
        <v/>
      </c>
      <c r="M88" s="373" t="n">
        <v>7</v>
      </c>
      <c r="N88" s="370" t="n">
        <v>0</v>
      </c>
      <c r="O88" s="373" t="n">
        <v>5</v>
      </c>
      <c r="P88" s="369">
        <f>IF(M88=" "," ",(1+(M88+N88+O88)/100))</f>
        <v/>
      </c>
      <c r="Q88" s="374">
        <f>IF(L88=" "," ",L88*P88)</f>
        <v/>
      </c>
    </row>
    <row r="89" ht="9.949999999999999" customFormat="1" customHeight="1" s="356">
      <c r="A89" s="365" t="inlineStr">
        <is>
          <t>ÇP</t>
        </is>
      </c>
      <c r="B89" s="366" t="inlineStr">
        <is>
          <t>K</t>
        </is>
      </c>
      <c r="C89" s="367" t="n"/>
      <c r="D89" s="368" t="n">
        <v>1.6</v>
      </c>
      <c r="E89" s="368" t="n">
        <v>2.3</v>
      </c>
      <c r="F89" s="369">
        <f>IF(D89=0," ",D89*E89)</f>
        <v/>
      </c>
      <c r="G89" s="370" t="n">
        <v>1</v>
      </c>
      <c r="H89" s="371" t="n"/>
      <c r="I89" s="369">
        <f>IF(F89=" "," ",F89*G89-H89)</f>
        <v/>
      </c>
      <c r="J89" s="368" t="n">
        <v>2.4</v>
      </c>
      <c r="K89" s="370" t="n">
        <v>23</v>
      </c>
      <c r="L89" s="372">
        <f>IF(I89=" "," ",I89*J89*K89)</f>
        <v/>
      </c>
      <c r="M89" s="373" t="n">
        <v>7</v>
      </c>
      <c r="N89" s="370" t="n">
        <v>0</v>
      </c>
      <c r="O89" s="373" t="n">
        <v>5</v>
      </c>
      <c r="P89" s="369">
        <f>IF(M89=" "," ",(1+(M89+N89+O89)/100))</f>
        <v/>
      </c>
      <c r="Q89" s="374">
        <f>IF(L89=" "," ",L89*P89)</f>
        <v/>
      </c>
    </row>
    <row r="90" ht="9.949999999999999" customFormat="1" customHeight="1" s="356">
      <c r="A90" s="365" t="inlineStr">
        <is>
          <t>İD</t>
        </is>
      </c>
      <c r="B90" s="366" t="n"/>
      <c r="C90" s="367" t="n"/>
      <c r="D90" s="368" t="n">
        <v>2.34</v>
      </c>
      <c r="E90" s="368" t="n">
        <v>3</v>
      </c>
      <c r="F90" s="369">
        <f>IF(D90=0," ",D90*E90)</f>
        <v/>
      </c>
      <c r="G90" s="370" t="n">
        <v>1</v>
      </c>
      <c r="H90" s="371" t="n"/>
      <c r="I90" s="369">
        <f>IF(F90=" "," ",F90*G90-H90)</f>
        <v/>
      </c>
      <c r="J90" s="368" t="n">
        <v>0.8139999999999999</v>
      </c>
      <c r="K90" s="370" t="n">
        <v>5</v>
      </c>
      <c r="L90" s="372">
        <f>IF(I90=" "," ",I90*J90*K90)</f>
        <v/>
      </c>
      <c r="M90" s="373" t="n">
        <v>7</v>
      </c>
      <c r="N90" s="370" t="n">
        <v>0</v>
      </c>
      <c r="O90" s="373" t="n">
        <v>0</v>
      </c>
      <c r="P90" s="369">
        <f>IF(M90=" "," ",(1+(M90+N90+O90)/100))</f>
        <v/>
      </c>
      <c r="Q90" s="374">
        <f>IF(L90=" "," ",L90*P90)</f>
        <v/>
      </c>
    </row>
    <row r="91" ht="9.949999999999999" customFormat="1" customHeight="1" s="356">
      <c r="A91" s="375" t="n"/>
      <c r="B91" s="376" t="n"/>
      <c r="C91" s="376" t="n"/>
      <c r="D91" s="377" t="n"/>
      <c r="E91" s="377" t="n"/>
      <c r="F91" s="378" t="n"/>
      <c r="G91" s="379" t="n"/>
      <c r="H91" s="377" t="n"/>
      <c r="I91" s="378" t="n"/>
      <c r="J91" s="377" t="n"/>
      <c r="K91" s="379" t="n"/>
      <c r="L91" s="380" t="n"/>
      <c r="M91" s="381" t="n"/>
      <c r="N91" s="381" t="n"/>
      <c r="O91" s="381" t="n"/>
      <c r="P91" s="382" t="n"/>
      <c r="Q91" s="383">
        <f>SUM(Q88:Q90)</f>
        <v/>
      </c>
    </row>
    <row r="92" ht="9.949999999999999" customFormat="1" customHeight="1" s="356">
      <c r="A92" s="384" t="n"/>
      <c r="B92" s="385" t="n"/>
      <c r="C92" s="385" t="n"/>
      <c r="D92" s="386" t="n"/>
      <c r="E92" s="387" t="n"/>
      <c r="F92" s="388" t="n"/>
      <c r="G92" s="389" t="n"/>
      <c r="H92" s="390" t="n"/>
      <c r="I92" s="391" t="n"/>
      <c r="J92" s="392" t="inlineStr">
        <is>
          <t>Qs=</t>
        </is>
      </c>
      <c r="K92" s="393" t="inlineStr">
        <is>
          <t>a</t>
        </is>
      </c>
      <c r="L92" s="388" t="inlineStr">
        <is>
          <t>L</t>
        </is>
      </c>
      <c r="M92" s="389" t="inlineStr">
        <is>
          <t>R</t>
        </is>
      </c>
      <c r="N92" s="394" t="inlineStr">
        <is>
          <t>H</t>
        </is>
      </c>
      <c r="O92" s="395" t="inlineStr">
        <is>
          <t>D  T</t>
        </is>
      </c>
      <c r="P92" s="396" t="inlineStr">
        <is>
          <t>Ze</t>
        </is>
      </c>
      <c r="Q92" s="397" t="n"/>
    </row>
    <row r="93" ht="9.949999999999999" customFormat="1" customHeight="1" s="356">
      <c r="A93" s="398" t="n"/>
      <c r="B93" s="399" t="n"/>
      <c r="C93" s="400" t="n"/>
      <c r="D93" s="400" t="n"/>
      <c r="E93" s="401" t="n"/>
      <c r="F93" s="402" t="n"/>
      <c r="G93" s="403" t="n"/>
      <c r="H93" s="404" t="n"/>
      <c r="I93" s="405" t="n"/>
      <c r="J93" s="406" t="inlineStr">
        <is>
          <t>Qs  =</t>
        </is>
      </c>
      <c r="K93" s="407" t="n">
        <v>2</v>
      </c>
      <c r="L93" s="382">
        <f>(D89+E89)*2*G89</f>
        <v/>
      </c>
      <c r="M93" s="407" t="n">
        <v>0.9</v>
      </c>
      <c r="N93" s="407" t="n">
        <v>0.67</v>
      </c>
      <c r="O93" s="381" t="n">
        <v>23</v>
      </c>
      <c r="P93" s="382" t="n">
        <v>1.2</v>
      </c>
      <c r="Q93" s="383">
        <f>K93*L93*M93*N93*O93*P93</f>
        <v/>
      </c>
    </row>
    <row r="94" ht="9.949999999999999" customFormat="1" customHeight="1" s="356">
      <c r="A94" s="408" t="n"/>
      <c r="B94" s="409" t="n"/>
      <c r="C94" s="400" t="n"/>
      <c r="D94" s="400" t="n"/>
      <c r="E94" s="377" t="n"/>
      <c r="F94" s="256" t="n"/>
      <c r="G94" s="410" t="n"/>
      <c r="H94" s="400" t="n"/>
      <c r="I94" s="411" t="n"/>
      <c r="J94" s="400" t="n"/>
      <c r="K94" s="410" t="n"/>
      <c r="L94" s="412" t="n"/>
      <c r="M94" s="413" t="inlineStr">
        <is>
          <t xml:space="preserve">   TOPLAM ISI KAYBI =</t>
        </is>
      </c>
      <c r="N94" s="413" t="n"/>
      <c r="O94" s="414" t="n"/>
      <c r="P94" s="415" t="n"/>
      <c r="Q94" s="416">
        <f>Q91+Q93</f>
        <v/>
      </c>
    </row>
    <row r="95" ht="9.949999999999999" customFormat="1" customHeight="1" s="356">
      <c r="A95" s="417" t="n"/>
      <c r="B95" s="399" t="n"/>
      <c r="C95" s="418" t="n"/>
      <c r="D95" s="419" t="n"/>
      <c r="E95" s="419" t="n"/>
      <c r="F95" s="420" t="n"/>
      <c r="G95" s="421" t="n"/>
      <c r="H95" s="422" t="n"/>
      <c r="I95" s="420" t="n"/>
      <c r="J95" s="419" t="n"/>
      <c r="K95" s="421" t="n"/>
      <c r="L95" s="423" t="n"/>
      <c r="M95" s="424" t="n"/>
      <c r="N95" s="421" t="n"/>
      <c r="O95" s="424" t="n"/>
      <c r="P95" s="420" t="n"/>
      <c r="Q95" s="488" t="n"/>
    </row>
    <row r="96" ht="9.949999999999999" customFormat="1" customHeight="1" s="356">
      <c r="A96" s="453" t="n"/>
      <c r="B96" s="429" t="n"/>
      <c r="C96" s="429" t="n"/>
      <c r="D96" s="429" t="n"/>
      <c r="E96" s="429" t="n"/>
      <c r="F96" s="426" t="inlineStr">
        <is>
          <t>110</t>
        </is>
      </c>
      <c r="G96" s="454" t="n"/>
      <c r="H96" s="429" t="n"/>
      <c r="I96" s="427" t="inlineStr">
        <is>
          <t>D5 SALON</t>
        </is>
      </c>
      <c r="J96" s="264" t="n"/>
      <c r="K96" s="429" t="inlineStr">
        <is>
          <t>20ºC</t>
        </is>
      </c>
      <c r="L96" s="429" t="n"/>
      <c r="M96" s="360" t="n"/>
      <c r="N96" s="360" t="n"/>
      <c r="O96" s="360" t="n"/>
      <c r="P96" s="429" t="n"/>
      <c r="Q96" s="430" t="n"/>
    </row>
    <row r="97" ht="9.949999999999999" customFormat="1" customHeight="1" s="437">
      <c r="A97" s="462" t="inlineStr">
        <is>
          <t>DD</t>
        </is>
      </c>
      <c r="B97" s="463" t="inlineStr">
        <is>
          <t>K</t>
        </is>
      </c>
      <c r="C97" s="464" t="n"/>
      <c r="D97" s="369" t="n">
        <v>3.68</v>
      </c>
      <c r="E97" s="369" t="n">
        <v>3</v>
      </c>
      <c r="F97" s="369">
        <f>IF(D97=0," ",D97*E97)</f>
        <v/>
      </c>
      <c r="G97" s="465" t="n">
        <v>1</v>
      </c>
      <c r="H97" s="466">
        <f>F98*G98</f>
        <v/>
      </c>
      <c r="I97" s="369">
        <f>IF(F97=" "," ",F97*G97-H97)</f>
        <v/>
      </c>
      <c r="J97" s="369" t="n">
        <v>0.479</v>
      </c>
      <c r="K97" s="465" t="n">
        <v>23</v>
      </c>
      <c r="L97" s="372">
        <f>IF(I97=" "," ",I97*J97*K97)</f>
        <v/>
      </c>
      <c r="M97" s="467" t="n">
        <v>7</v>
      </c>
      <c r="N97" s="465" t="n">
        <v>0</v>
      </c>
      <c r="O97" s="467" t="n">
        <v>5</v>
      </c>
      <c r="P97" s="369">
        <f>IF(M97=" "," ",(1+(M97+N97+O97)/100))</f>
        <v/>
      </c>
      <c r="Q97" s="374">
        <f>IF(L97=" "," ",L97*P97)</f>
        <v/>
      </c>
    </row>
    <row r="98" ht="9.949999999999999" customFormat="1" customHeight="1" s="437">
      <c r="A98" s="462" t="inlineStr">
        <is>
          <t>ÇP</t>
        </is>
      </c>
      <c r="B98" s="463" t="inlineStr">
        <is>
          <t>K</t>
        </is>
      </c>
      <c r="C98" s="464" t="n"/>
      <c r="D98" s="369" t="n">
        <v>1.6</v>
      </c>
      <c r="E98" s="369" t="n">
        <v>2.2</v>
      </c>
      <c r="F98" s="369">
        <f>IF(D98=0," ",D98*E98)</f>
        <v/>
      </c>
      <c r="G98" s="465" t="n">
        <v>1</v>
      </c>
      <c r="H98" s="466" t="n"/>
      <c r="I98" s="369">
        <f>IF(F98=" "," ",F98*G98-H98)</f>
        <v/>
      </c>
      <c r="J98" s="369" t="n">
        <v>2.4</v>
      </c>
      <c r="K98" s="370" t="n">
        <v>23</v>
      </c>
      <c r="L98" s="455">
        <f>IF(I98=" "," ",I98*J98*K98)</f>
        <v/>
      </c>
      <c r="M98" s="373" t="n">
        <v>7</v>
      </c>
      <c r="N98" s="370" t="n">
        <v>0</v>
      </c>
      <c r="O98" s="373" t="n">
        <v>5</v>
      </c>
      <c r="P98" s="368">
        <f>IF(M98=" "," ",(1+(M98+N98+O98)/100))</f>
        <v/>
      </c>
      <c r="Q98" s="374">
        <f>IF(L98=" "," ",L98*P98)</f>
        <v/>
      </c>
    </row>
    <row r="99" ht="9.949999999999999" customFormat="1" customHeight="1" s="351">
      <c r="A99" s="462" t="inlineStr">
        <is>
          <t>DD</t>
        </is>
      </c>
      <c r="B99" s="463" t="inlineStr">
        <is>
          <t>D</t>
        </is>
      </c>
      <c r="C99" s="464" t="n"/>
      <c r="D99" s="369" t="n">
        <v>4.7</v>
      </c>
      <c r="E99" s="369" t="n">
        <v>3</v>
      </c>
      <c r="F99" s="369">
        <f>IF(D99=0," ",D99*E99)</f>
        <v/>
      </c>
      <c r="G99" s="465" t="n">
        <v>1</v>
      </c>
      <c r="H99" s="466">
        <f>F100*G100</f>
        <v/>
      </c>
      <c r="I99" s="369">
        <f>IF(F99=" "," ",F99*G99-H99)</f>
        <v/>
      </c>
      <c r="J99" s="369" t="n">
        <v>0.479</v>
      </c>
      <c r="K99" s="465" t="n">
        <v>23</v>
      </c>
      <c r="L99" s="372">
        <f>IF(I99=" "," ",I99*J99*K99)</f>
        <v/>
      </c>
      <c r="M99" s="467" t="n">
        <v>7</v>
      </c>
      <c r="N99" s="465" t="n">
        <v>0</v>
      </c>
      <c r="O99" s="467" t="n">
        <v>0</v>
      </c>
      <c r="P99" s="369">
        <f>IF(M99=" "," ",(1+(M99+N99+O99)/100))</f>
        <v/>
      </c>
      <c r="Q99" s="374">
        <f>IF(L99=" "," ",L99*P99)</f>
        <v/>
      </c>
    </row>
    <row r="100">
      <c r="A100" s="462" t="inlineStr">
        <is>
          <t>ÇP</t>
        </is>
      </c>
      <c r="B100" s="463" t="inlineStr">
        <is>
          <t>D</t>
        </is>
      </c>
      <c r="C100" s="464" t="n"/>
      <c r="D100" s="369" t="n">
        <v>1.6</v>
      </c>
      <c r="E100" s="369" t="n">
        <v>2.3</v>
      </c>
      <c r="F100" s="369">
        <f>IF(D100=0," ",D100*E100)</f>
        <v/>
      </c>
      <c r="G100" s="465" t="n">
        <v>1</v>
      </c>
      <c r="H100" s="466" t="n"/>
      <c r="I100" s="369">
        <f>IF(F100=" "," ",F100*G100-H100)</f>
        <v/>
      </c>
      <c r="J100" s="369" t="n">
        <v>2.4</v>
      </c>
      <c r="K100" s="465" t="n">
        <v>23</v>
      </c>
      <c r="L100" s="372">
        <f>IF(I100=" "," ",I100*J100*K100)</f>
        <v/>
      </c>
      <c r="M100" s="467" t="n">
        <v>7</v>
      </c>
      <c r="N100" s="465" t="n">
        <v>0</v>
      </c>
      <c r="O100" s="467" t="n">
        <v>0</v>
      </c>
      <c r="P100" s="369">
        <f>IF(M100=" "," ",(1+(M100+N100+O100)/100))</f>
        <v/>
      </c>
      <c r="Q100" s="374">
        <f>IF(L100=" "," ",L100*P100)</f>
        <v/>
      </c>
    </row>
    <row r="101">
      <c r="A101" s="462" t="inlineStr">
        <is>
          <t>DD</t>
        </is>
      </c>
      <c r="B101" s="463" t="inlineStr">
        <is>
          <t>G</t>
        </is>
      </c>
      <c r="C101" s="464" t="n"/>
      <c r="D101" s="369" t="n">
        <v>3.86</v>
      </c>
      <c r="E101" s="369" t="n">
        <v>3</v>
      </c>
      <c r="F101" s="369">
        <f>IF(D101=0," ",D101*E101)</f>
        <v/>
      </c>
      <c r="G101" s="465" t="n">
        <v>1</v>
      </c>
      <c r="H101" s="466" t="n"/>
      <c r="I101" s="369">
        <f>IF(F101=" "," ",F101*G101-H101)</f>
        <v/>
      </c>
      <c r="J101" s="369" t="n">
        <v>0.479</v>
      </c>
      <c r="K101" s="465" t="n">
        <v>23</v>
      </c>
      <c r="L101" s="372">
        <f>IF(I101=" "," ",I101*J101*K101)</f>
        <v/>
      </c>
      <c r="M101" s="467" t="n">
        <v>7</v>
      </c>
      <c r="N101" s="465" t="n">
        <v>0</v>
      </c>
      <c r="O101" s="467" t="n">
        <v>-5</v>
      </c>
      <c r="P101" s="369">
        <f>IF(M101=" "," ",(1+(M101+N101+O101)/100))</f>
        <v/>
      </c>
      <c r="Q101" s="374">
        <f>IF(L101=" "," ",L101*P101)</f>
        <v/>
      </c>
    </row>
    <row r="102">
      <c r="A102" s="462" t="inlineStr">
        <is>
          <t>İD</t>
        </is>
      </c>
      <c r="B102" s="463" t="n"/>
      <c r="C102" s="464" t="n"/>
      <c r="D102" s="369" t="n">
        <v>1.34</v>
      </c>
      <c r="E102" s="369" t="n">
        <v>3</v>
      </c>
      <c r="F102" s="369">
        <f>IF(D102=0," ",D102*E102)</f>
        <v/>
      </c>
      <c r="G102" s="465" t="n">
        <v>1</v>
      </c>
      <c r="H102" s="466" t="n"/>
      <c r="I102" s="369">
        <f>IF(F102=" "," ",F102*G102-H102)</f>
        <v/>
      </c>
      <c r="J102" s="369" t="n">
        <v>0.8139999999999999</v>
      </c>
      <c r="K102" s="465" t="n">
        <v>5</v>
      </c>
      <c r="L102" s="372">
        <f>IF(I102=" "," ",I102*J102*K102)</f>
        <v/>
      </c>
      <c r="M102" s="467" t="n">
        <v>7</v>
      </c>
      <c r="N102" s="465" t="n">
        <v>0</v>
      </c>
      <c r="O102" s="467" t="n">
        <v>0</v>
      </c>
      <c r="P102" s="369">
        <f>IF(M102=" "," ",(1+(M102+N102+O102)/100))</f>
        <v/>
      </c>
      <c r="Q102" s="374">
        <f>IF(L102=" "," ",L102*P102)</f>
        <v/>
      </c>
    </row>
    <row r="103">
      <c r="A103" s="468" t="n"/>
      <c r="B103" s="469" t="n"/>
      <c r="C103" s="469" t="n"/>
      <c r="D103" s="378" t="n"/>
      <c r="E103" s="378" t="n"/>
      <c r="F103" s="378" t="n"/>
      <c r="G103" s="470" t="n"/>
      <c r="H103" s="378" t="n"/>
      <c r="I103" s="378" t="n"/>
      <c r="J103" s="378" t="n"/>
      <c r="K103" s="470" t="n"/>
      <c r="L103" s="380" t="n"/>
      <c r="M103" s="479" t="n"/>
      <c r="N103" s="479" t="n"/>
      <c r="O103" s="479" t="n"/>
      <c r="P103" s="382" t="n"/>
      <c r="Q103" s="383">
        <f>SUM(Q97:Q102)</f>
        <v/>
      </c>
    </row>
    <row r="104">
      <c r="A104" s="472" t="n"/>
      <c r="B104" s="473" t="n"/>
      <c r="C104" s="473" t="n"/>
      <c r="D104" s="474" t="n"/>
      <c r="E104" s="475" t="n"/>
      <c r="F104" s="388" t="n"/>
      <c r="G104" s="396" t="n"/>
      <c r="H104" s="388" t="n"/>
      <c r="I104" s="391" t="n"/>
      <c r="J104" s="476" t="inlineStr">
        <is>
          <t>Qs=</t>
        </is>
      </c>
      <c r="K104" s="391" t="inlineStr">
        <is>
          <t>a</t>
        </is>
      </c>
      <c r="L104" s="388" t="inlineStr">
        <is>
          <t>L</t>
        </is>
      </c>
      <c r="M104" s="396" t="inlineStr">
        <is>
          <t>R</t>
        </is>
      </c>
      <c r="N104" s="477" t="inlineStr">
        <is>
          <t>H</t>
        </is>
      </c>
      <c r="O104" s="478" t="inlineStr">
        <is>
          <t>D  T</t>
        </is>
      </c>
      <c r="P104" s="396" t="inlineStr">
        <is>
          <t>Ze</t>
        </is>
      </c>
      <c r="Q104" s="397" t="n"/>
    </row>
    <row r="105">
      <c r="A105" s="431" t="n"/>
      <c r="C105" s="411" t="n"/>
      <c r="D105" s="411" t="n"/>
      <c r="E105" s="433" t="n"/>
      <c r="F105" s="402" t="n"/>
      <c r="G105" s="434" t="n"/>
      <c r="H105" s="435" t="n"/>
      <c r="I105" s="405" t="n"/>
      <c r="J105" s="436" t="inlineStr">
        <is>
          <t>Qs  =</t>
        </is>
      </c>
      <c r="K105" s="382" t="n">
        <v>2</v>
      </c>
      <c r="L105" s="382">
        <f>(D98+E98)*2*G98+(D100+E100)*2*G100</f>
        <v/>
      </c>
      <c r="M105" s="382" t="n">
        <v>0.9</v>
      </c>
      <c r="N105" s="382" t="n">
        <v>0.67</v>
      </c>
      <c r="O105" s="479" t="n">
        <v>23</v>
      </c>
      <c r="P105" s="382" t="n">
        <v>1.2</v>
      </c>
      <c r="Q105" s="383">
        <f>K105*L105*M105*N105*O105*P105</f>
        <v/>
      </c>
    </row>
    <row r="106">
      <c r="A106" s="438" t="n"/>
      <c r="B106" s="439" t="n"/>
      <c r="C106" s="411" t="n"/>
      <c r="D106" s="411" t="n"/>
      <c r="E106" s="378" t="n"/>
      <c r="F106" s="256" t="n"/>
      <c r="G106" s="440" t="n"/>
      <c r="H106" s="411" t="n"/>
      <c r="I106" s="411" t="n"/>
      <c r="J106" s="411" t="n"/>
      <c r="K106" s="440" t="n"/>
      <c r="L106" s="412" t="n"/>
      <c r="M106" s="415" t="inlineStr">
        <is>
          <t xml:space="preserve">   TOPLAM ISI KAYBI =</t>
        </is>
      </c>
      <c r="N106" s="415" t="n"/>
      <c r="O106" s="441" t="n"/>
      <c r="P106" s="415" t="n"/>
      <c r="Q106" s="416">
        <f>Q103+Q105</f>
        <v/>
      </c>
    </row>
    <row r="107"/>
    <row r="108">
      <c r="A108" s="453" t="n"/>
      <c r="B108" s="429" t="n"/>
      <c r="C108" s="429" t="n"/>
      <c r="D108" s="429" t="n"/>
      <c r="E108" s="429" t="n"/>
      <c r="F108" s="426" t="inlineStr">
        <is>
          <t>111</t>
        </is>
      </c>
      <c r="G108" s="454" t="n"/>
      <c r="H108" s="429" t="n"/>
      <c r="I108" s="427" t="inlineStr">
        <is>
          <t>D5 ODA</t>
        </is>
      </c>
      <c r="J108" s="264" t="n"/>
      <c r="K108" s="429" t="inlineStr">
        <is>
          <t>20ºC</t>
        </is>
      </c>
      <c r="L108" s="429" t="n"/>
      <c r="M108" s="429" t="n"/>
      <c r="N108" s="429" t="n"/>
      <c r="O108" s="429" t="n"/>
      <c r="P108" s="429" t="n"/>
      <c r="Q108" s="430" t="n"/>
    </row>
    <row r="109">
      <c r="A109" s="462" t="inlineStr">
        <is>
          <t>DD</t>
        </is>
      </c>
      <c r="B109" s="463" t="inlineStr">
        <is>
          <t>K</t>
        </is>
      </c>
      <c r="C109" s="464" t="n"/>
      <c r="D109" s="369" t="n">
        <v>0.6</v>
      </c>
      <c r="E109" s="369" t="n">
        <v>3</v>
      </c>
      <c r="F109" s="369">
        <f>IF(D109=0," ",D109*E109)</f>
        <v/>
      </c>
      <c r="G109" s="465" t="n">
        <v>1</v>
      </c>
      <c r="H109" s="466">
        <f>F110*G110</f>
        <v/>
      </c>
      <c r="I109" s="369">
        <f>IF(F109=" "," ",F109*G109-H109)</f>
        <v/>
      </c>
      <c r="J109" s="369" t="n">
        <v>0.479</v>
      </c>
      <c r="K109" s="465" t="n">
        <v>23</v>
      </c>
      <c r="L109" s="372">
        <f>IF(I109=" "," ",I109*J109*K109)</f>
        <v/>
      </c>
      <c r="M109" s="467" t="n">
        <v>7</v>
      </c>
      <c r="N109" s="465" t="n">
        <v>0</v>
      </c>
      <c r="O109" s="467" t="n">
        <v>5</v>
      </c>
      <c r="P109" s="369">
        <f>IF(M109=" "," ",(1+(M109+N109+O109)/100))</f>
        <v/>
      </c>
      <c r="Q109" s="374">
        <f>IF(L109=" "," ",L109*P109)</f>
        <v/>
      </c>
    </row>
    <row r="110">
      <c r="A110" s="462" t="inlineStr">
        <is>
          <t>ÇP</t>
        </is>
      </c>
      <c r="B110" s="463" t="inlineStr">
        <is>
          <t>K</t>
        </is>
      </c>
      <c r="C110" s="464" t="n"/>
      <c r="D110" s="369" t="n">
        <v>0.6</v>
      </c>
      <c r="E110" s="369" t="n">
        <v>0.6</v>
      </c>
      <c r="F110" s="369">
        <f>IF(D110=0," ",D110*E110)</f>
        <v/>
      </c>
      <c r="G110" s="465" t="n">
        <v>1</v>
      </c>
      <c r="H110" s="466" t="n"/>
      <c r="I110" s="369">
        <f>IF(F110=" "," ",F110*G110-H110)</f>
        <v/>
      </c>
      <c r="J110" s="369" t="n">
        <v>2.4</v>
      </c>
      <c r="K110" s="465" t="n">
        <v>23</v>
      </c>
      <c r="L110" s="372">
        <f>IF(I110=" "," ",I110*J110*K110)</f>
        <v/>
      </c>
      <c r="M110" s="467" t="n">
        <v>7</v>
      </c>
      <c r="N110" s="465" t="n">
        <v>0</v>
      </c>
      <c r="O110" s="467" t="n">
        <v>5</v>
      </c>
      <c r="P110" s="369">
        <f>IF(M110=" "," ",(1+(M110+N110+O110)/100))</f>
        <v/>
      </c>
      <c r="Q110" s="374">
        <f>IF(L110=" "," ",L110*P110)</f>
        <v/>
      </c>
    </row>
    <row r="111">
      <c r="A111" s="462" t="inlineStr">
        <is>
          <t>DD</t>
        </is>
      </c>
      <c r="B111" s="463" t="inlineStr">
        <is>
          <t>B</t>
        </is>
      </c>
      <c r="C111" s="464" t="n"/>
      <c r="D111" s="369" t="n">
        <v>2.28</v>
      </c>
      <c r="E111" s="369" t="n">
        <v>3</v>
      </c>
      <c r="F111" s="369">
        <f>IF(D111=0," ",D111*E111)</f>
        <v/>
      </c>
      <c r="G111" s="465" t="n">
        <v>1</v>
      </c>
      <c r="H111" s="466">
        <f>F112*G112</f>
        <v/>
      </c>
      <c r="I111" s="369">
        <f>IF(F111=" "," ",F111*G111-H111)</f>
        <v/>
      </c>
      <c r="J111" s="369" t="n">
        <v>0.479</v>
      </c>
      <c r="K111" s="465" t="n">
        <v>23</v>
      </c>
      <c r="L111" s="372">
        <f>IF(I111=" "," ",I111*J111*K111)</f>
        <v/>
      </c>
      <c r="M111" s="467" t="n">
        <v>7</v>
      </c>
      <c r="N111" s="465" t="n">
        <v>0</v>
      </c>
      <c r="O111" s="467" t="n">
        <v>0</v>
      </c>
      <c r="P111" s="369">
        <f>IF(M111=" "," ",(1+(M111+N111+O111)/100))</f>
        <v/>
      </c>
      <c r="Q111" s="374">
        <f>IF(L111=" "," ",L111*P111)</f>
        <v/>
      </c>
    </row>
    <row r="112">
      <c r="A112" s="462" t="inlineStr">
        <is>
          <t>ÇP</t>
        </is>
      </c>
      <c r="B112" s="463" t="inlineStr">
        <is>
          <t>B</t>
        </is>
      </c>
      <c r="C112" s="464" t="n"/>
      <c r="D112" s="369" t="n">
        <v>1.6</v>
      </c>
      <c r="E112" s="369" t="n">
        <v>2.3</v>
      </c>
      <c r="F112" s="369">
        <f>IF(D112=0," ",D112*E112)</f>
        <v/>
      </c>
      <c r="G112" s="465" t="n">
        <v>1</v>
      </c>
      <c r="H112" s="466" t="n"/>
      <c r="I112" s="369">
        <f>IF(F112=" "," ",F112*G112-H112)</f>
        <v/>
      </c>
      <c r="J112" s="369" t="n">
        <v>2.4</v>
      </c>
      <c r="K112" s="465" t="n">
        <v>23</v>
      </c>
      <c r="L112" s="372">
        <f>IF(I112=" "," ",I112*J112*K112)</f>
        <v/>
      </c>
      <c r="M112" s="467" t="n">
        <v>7</v>
      </c>
      <c r="N112" s="465" t="n">
        <v>0</v>
      </c>
      <c r="O112" s="467" t="n">
        <v>0</v>
      </c>
      <c r="P112" s="369">
        <f>IF(M112=" "," ",(1+(M112+N112+O112)/100))</f>
        <v/>
      </c>
      <c r="Q112" s="374">
        <f>IF(L112=" "," ",L112*P112)</f>
        <v/>
      </c>
    </row>
    <row r="113">
      <c r="A113" s="462" t="inlineStr">
        <is>
          <t>İD</t>
        </is>
      </c>
      <c r="B113" s="463" t="n"/>
      <c r="C113" s="464" t="n"/>
      <c r="D113" s="369" t="n">
        <v>2.88</v>
      </c>
      <c r="E113" s="369" t="n">
        <v>3</v>
      </c>
      <c r="F113" s="369">
        <f>IF(D113=0," ",D113*E113)</f>
        <v/>
      </c>
      <c r="G113" s="465" t="n">
        <v>1</v>
      </c>
      <c r="H113" s="466" t="n"/>
      <c r="I113" s="369">
        <f>IF(F113=" "," ",F113*G113-H113)</f>
        <v/>
      </c>
      <c r="J113" s="369" t="n">
        <v>0.8139999999999999</v>
      </c>
      <c r="K113" s="465" t="n">
        <v>5</v>
      </c>
      <c r="L113" s="372">
        <f>IF(I113=" "," ",I113*J113*K113)</f>
        <v/>
      </c>
      <c r="M113" s="467" t="n">
        <v>7</v>
      </c>
      <c r="N113" s="465" t="n">
        <v>0</v>
      </c>
      <c r="O113" s="467" t="n">
        <v>0</v>
      </c>
      <c r="P113" s="369">
        <f>IF(M113=" "," ",(1+(M113+N113+O113)/100))</f>
        <v/>
      </c>
      <c r="Q113" s="374">
        <f>IF(L113=" "," ",L113*P113)</f>
        <v/>
      </c>
    </row>
    <row r="114">
      <c r="A114" s="468" t="n"/>
      <c r="B114" s="469" t="n"/>
      <c r="C114" s="469" t="n"/>
      <c r="D114" s="378" t="n"/>
      <c r="E114" s="378" t="n"/>
      <c r="F114" s="378" t="n"/>
      <c r="G114" s="470" t="n"/>
      <c r="H114" s="378" t="n"/>
      <c r="I114" s="378" t="n"/>
      <c r="J114" s="378" t="n"/>
      <c r="K114" s="470" t="n"/>
      <c r="L114" s="380" t="n"/>
      <c r="M114" s="479" t="n"/>
      <c r="N114" s="479" t="n"/>
      <c r="O114" s="479" t="n"/>
      <c r="P114" s="382" t="n"/>
      <c r="Q114" s="383">
        <f>SUM(Q109:Q113)</f>
        <v/>
      </c>
    </row>
    <row r="115">
      <c r="A115" s="472" t="n"/>
      <c r="B115" s="473" t="n"/>
      <c r="C115" s="473" t="n"/>
      <c r="D115" s="474" t="n"/>
      <c r="E115" s="475" t="n"/>
      <c r="F115" s="388" t="n"/>
      <c r="G115" s="396" t="n"/>
      <c r="H115" s="388" t="n"/>
      <c r="I115" s="391" t="n"/>
      <c r="J115" s="476" t="inlineStr">
        <is>
          <t>Qs=</t>
        </is>
      </c>
      <c r="K115" s="391" t="inlineStr">
        <is>
          <t>a</t>
        </is>
      </c>
      <c r="L115" s="388" t="inlineStr">
        <is>
          <t>L</t>
        </is>
      </c>
      <c r="M115" s="396" t="inlineStr">
        <is>
          <t>R</t>
        </is>
      </c>
      <c r="N115" s="477" t="inlineStr">
        <is>
          <t>H</t>
        </is>
      </c>
      <c r="O115" s="478" t="inlineStr">
        <is>
          <t>D  T</t>
        </is>
      </c>
      <c r="P115" s="396" t="inlineStr">
        <is>
          <t>Ze</t>
        </is>
      </c>
      <c r="Q115" s="397" t="n"/>
    </row>
    <row r="116">
      <c r="A116" s="431" t="n"/>
      <c r="C116" s="411" t="n"/>
      <c r="D116" s="411" t="n"/>
      <c r="E116" s="433" t="n"/>
      <c r="F116" s="402" t="n"/>
      <c r="G116" s="434" t="n"/>
      <c r="H116" s="435" t="n"/>
      <c r="I116" s="405" t="n"/>
      <c r="J116" s="436" t="inlineStr">
        <is>
          <t>Qs  =</t>
        </is>
      </c>
      <c r="K116" s="382" t="n">
        <v>2</v>
      </c>
      <c r="L116" s="382">
        <f>(D110+E110)*2*G110+(D112+E112)*2*G112</f>
        <v/>
      </c>
      <c r="M116" s="382" t="n">
        <v>0.9</v>
      </c>
      <c r="N116" s="382" t="n">
        <v>0.67</v>
      </c>
      <c r="O116" s="479" t="n">
        <v>23</v>
      </c>
      <c r="P116" s="382" t="n">
        <v>1.2</v>
      </c>
      <c r="Q116" s="383">
        <f>K116*L116*M116*N116*O116*P116</f>
        <v/>
      </c>
    </row>
    <row r="117">
      <c r="A117" s="438" t="n"/>
      <c r="B117" s="439" t="n"/>
      <c r="C117" s="411" t="n"/>
      <c r="D117" s="411" t="n"/>
      <c r="E117" s="378" t="n"/>
      <c r="F117" s="256" t="n"/>
      <c r="G117" s="440" t="n"/>
      <c r="H117" s="411" t="n"/>
      <c r="I117" s="411" t="n"/>
      <c r="J117" s="411" t="n"/>
      <c r="K117" s="440" t="n"/>
      <c r="L117" s="412" t="n"/>
      <c r="M117" s="415" t="inlineStr">
        <is>
          <t xml:space="preserve">   TOPLAM ISI KAYBI =</t>
        </is>
      </c>
      <c r="N117" s="415" t="n"/>
      <c r="O117" s="441" t="n"/>
      <c r="P117" s="415" t="n"/>
      <c r="Q117" s="416">
        <f>Q114+Q116</f>
        <v/>
      </c>
    </row>
    <row r="118"/>
    <row r="119">
      <c r="A119" s="453" t="n"/>
      <c r="B119" s="429" t="n"/>
      <c r="C119" s="429" t="n"/>
      <c r="D119" s="429" t="n"/>
      <c r="E119" s="429" t="n"/>
      <c r="F119" s="426" t="inlineStr">
        <is>
          <t>112</t>
        </is>
      </c>
      <c r="G119" s="454" t="n"/>
      <c r="H119" s="429" t="n"/>
      <c r="I119" s="427" t="inlineStr">
        <is>
          <t>D5 WC-BANYO</t>
        </is>
      </c>
      <c r="J119" s="264" t="n"/>
      <c r="K119" s="429" t="inlineStr">
        <is>
          <t>24ºC</t>
        </is>
      </c>
      <c r="L119" s="429" t="n"/>
      <c r="M119" s="429" t="n"/>
      <c r="N119" s="429" t="n"/>
      <c r="O119" s="429" t="n"/>
      <c r="P119" s="429" t="n"/>
      <c r="Q119" s="430" t="n"/>
    </row>
    <row r="120">
      <c r="A120" s="462" t="inlineStr">
        <is>
          <t>İD</t>
        </is>
      </c>
      <c r="B120" s="463" t="n"/>
      <c r="C120" s="464" t="n"/>
      <c r="D120" s="369" t="n">
        <v>1.88</v>
      </c>
      <c r="E120" s="369" t="n">
        <v>3</v>
      </c>
      <c r="F120" s="369">
        <f>IF(D120=0," ",D120*E120)</f>
        <v/>
      </c>
      <c r="G120" s="465" t="n">
        <v>1</v>
      </c>
      <c r="H120" s="466" t="n"/>
      <c r="I120" s="369">
        <f>IF(F120=" "," ",F120*G120-H120)</f>
        <v/>
      </c>
      <c r="J120" s="369" t="n">
        <v>0.8139999999999999</v>
      </c>
      <c r="K120" s="465" t="n">
        <v>14</v>
      </c>
      <c r="L120" s="372">
        <f>IF(I120=" "," ",I120*J120*K120)</f>
        <v/>
      </c>
      <c r="M120" s="467" t="n">
        <v>7</v>
      </c>
      <c r="N120" s="465" t="n">
        <v>0</v>
      </c>
      <c r="O120" s="467" t="n">
        <v>0</v>
      </c>
      <c r="P120" s="369">
        <f>IF(M120=" "," ",(1+(M120+N120+O120)/100))</f>
        <v/>
      </c>
      <c r="Q120" s="374">
        <f>IF(L120=" "," ",L120*P120)</f>
        <v/>
      </c>
    </row>
    <row r="121">
      <c r="A121" s="462" t="inlineStr">
        <is>
          <t>İD</t>
        </is>
      </c>
      <c r="B121" s="463" t="n"/>
      <c r="C121" s="464" t="n"/>
      <c r="D121" s="369" t="n">
        <v>0.52</v>
      </c>
      <c r="E121" s="369" t="n">
        <v>3</v>
      </c>
      <c r="F121" s="369">
        <f>IF(D121=0," ",D121*E121)</f>
        <v/>
      </c>
      <c r="G121" s="465" t="n">
        <v>1</v>
      </c>
      <c r="H121" s="466" t="n"/>
      <c r="I121" s="369">
        <f>IF(F121=" "," ",F121*G121-H121)</f>
        <v/>
      </c>
      <c r="J121" s="369" t="n">
        <v>0.8139999999999999</v>
      </c>
      <c r="K121" s="465" t="n">
        <v>9</v>
      </c>
      <c r="L121" s="372">
        <f>IF(I121=" "," ",I121*J121*K121)</f>
        <v/>
      </c>
      <c r="M121" s="467" t="n">
        <v>7</v>
      </c>
      <c r="N121" s="465" t="n">
        <v>0</v>
      </c>
      <c r="O121" s="467" t="n">
        <v>0</v>
      </c>
      <c r="P121" s="369">
        <f>IF(M121=" "," ",(1+(M121+N121+O121)/100))</f>
        <v/>
      </c>
      <c r="Q121" s="374">
        <f>IF(L121=" "," ",L121*P121)</f>
        <v/>
      </c>
    </row>
    <row r="122">
      <c r="A122" s="462" t="inlineStr">
        <is>
          <t>İD</t>
        </is>
      </c>
      <c r="B122" s="463" t="n"/>
      <c r="C122" s="464" t="n"/>
      <c r="D122" s="369" t="n">
        <v>3.16</v>
      </c>
      <c r="E122" s="369" t="n">
        <v>3</v>
      </c>
      <c r="F122" s="369">
        <f>IF(D122=0," ",D122*E122)</f>
        <v/>
      </c>
      <c r="G122" s="465" t="n">
        <v>1</v>
      </c>
      <c r="H122" s="466" t="n"/>
      <c r="I122" s="369">
        <f>IF(F122=" "," ",F122*G122-H122)</f>
        <v/>
      </c>
      <c r="J122" s="369" t="n">
        <v>0.8139999999999999</v>
      </c>
      <c r="K122" s="465" t="n">
        <v>4</v>
      </c>
      <c r="L122" s="372">
        <f>IF(I122=" "," ",I122*J122*K122)</f>
        <v/>
      </c>
      <c r="M122" s="467" t="n">
        <v>7</v>
      </c>
      <c r="N122" s="465" t="n">
        <v>0</v>
      </c>
      <c r="O122" s="467" t="n">
        <v>0</v>
      </c>
      <c r="P122" s="369">
        <f>IF(M122=" "," ",(1+(M122+N122+O122)/100))</f>
        <v/>
      </c>
      <c r="Q122" s="374">
        <f>IF(L122=" "," ",L122*P122)</f>
        <v/>
      </c>
    </row>
    <row r="123">
      <c r="A123" s="468" t="n"/>
      <c r="B123" s="469" t="n"/>
      <c r="C123" s="469" t="n"/>
      <c r="D123" s="378" t="n"/>
      <c r="E123" s="378" t="n"/>
      <c r="F123" s="378" t="n"/>
      <c r="G123" s="470" t="n"/>
      <c r="H123" s="378" t="n"/>
      <c r="I123" s="378" t="n"/>
      <c r="J123" s="378" t="n"/>
      <c r="K123" s="470" t="n"/>
      <c r="L123" s="380" t="n"/>
      <c r="M123" s="479" t="n"/>
      <c r="N123" s="479" t="n"/>
      <c r="O123" s="479" t="n"/>
      <c r="P123" s="382" t="n"/>
      <c r="Q123" s="383">
        <f>SUM(Q120:Q122)</f>
        <v/>
      </c>
    </row>
    <row r="124">
      <c r="A124" s="472" t="n"/>
      <c r="B124" s="473" t="n"/>
      <c r="C124" s="473" t="n"/>
      <c r="D124" s="474" t="n"/>
      <c r="E124" s="475" t="n"/>
      <c r="F124" s="388" t="n"/>
      <c r="G124" s="396" t="n"/>
      <c r="H124" s="388" t="n"/>
      <c r="I124" s="391" t="n"/>
      <c r="J124" s="476" t="inlineStr">
        <is>
          <t>Qs=</t>
        </is>
      </c>
      <c r="K124" s="391" t="inlineStr">
        <is>
          <t>a</t>
        </is>
      </c>
      <c r="L124" s="388" t="inlineStr">
        <is>
          <t>L</t>
        </is>
      </c>
      <c r="M124" s="396" t="inlineStr">
        <is>
          <t>R</t>
        </is>
      </c>
      <c r="N124" s="477" t="inlineStr">
        <is>
          <t>H</t>
        </is>
      </c>
      <c r="O124" s="478" t="inlineStr">
        <is>
          <t>D  T</t>
        </is>
      </c>
      <c r="P124" s="396" t="inlineStr">
        <is>
          <t>Ze</t>
        </is>
      </c>
      <c r="Q124" s="397" t="n"/>
    </row>
    <row r="125">
      <c r="A125" s="431" t="n"/>
      <c r="C125" s="411" t="n"/>
      <c r="D125" s="411" t="n"/>
      <c r="E125" s="433" t="n"/>
      <c r="F125" s="402" t="n"/>
      <c r="G125" s="434" t="n"/>
      <c r="H125" s="435" t="n"/>
      <c r="I125" s="405" t="n"/>
      <c r="J125" s="436" t="inlineStr">
        <is>
          <t>Qs  =</t>
        </is>
      </c>
      <c r="K125" s="382" t="n">
        <v>2</v>
      </c>
      <c r="L125" s="382" t="n">
        <v>0</v>
      </c>
      <c r="M125" s="382" t="n">
        <v>0.9</v>
      </c>
      <c r="N125" s="382" t="n">
        <v>0.67</v>
      </c>
      <c r="O125" s="479" t="n">
        <v>27</v>
      </c>
      <c r="P125" s="382" t="n">
        <v>1.2</v>
      </c>
      <c r="Q125" s="383">
        <f>K125*L125*M125*N125*O125*P125</f>
        <v/>
      </c>
    </row>
    <row r="126">
      <c r="A126" s="438" t="n"/>
      <c r="B126" s="439" t="n"/>
      <c r="C126" s="411" t="n"/>
      <c r="D126" s="411" t="n"/>
      <c r="E126" s="378" t="n"/>
      <c r="F126" s="256" t="n"/>
      <c r="G126" s="440" t="n"/>
      <c r="H126" s="411" t="n"/>
      <c r="I126" s="411" t="n"/>
      <c r="J126" s="411" t="n"/>
      <c r="K126" s="440" t="n"/>
      <c r="L126" s="412" t="n"/>
      <c r="M126" s="415" t="inlineStr">
        <is>
          <t xml:space="preserve">   TOPLAM ISI KAYBI =</t>
        </is>
      </c>
      <c r="N126" s="415" t="n"/>
      <c r="O126" s="441" t="n"/>
      <c r="P126" s="415" t="n"/>
      <c r="Q126" s="416">
        <f>Q123+Q125</f>
        <v/>
      </c>
    </row>
    <row r="127"/>
    <row r="128">
      <c r="A128" s="453" t="n"/>
      <c r="B128" s="429" t="n"/>
      <c r="C128" s="429" t="n"/>
      <c r="D128" s="429" t="n"/>
      <c r="E128" s="429" t="n"/>
      <c r="F128" s="426" t="inlineStr">
        <is>
          <t>113</t>
        </is>
      </c>
      <c r="G128" s="454" t="n"/>
      <c r="H128" s="429" t="n"/>
      <c r="I128" s="427" t="inlineStr">
        <is>
          <t>D6 MUTFAK</t>
        </is>
      </c>
      <c r="J128" s="264" t="n"/>
      <c r="K128" s="429" t="inlineStr">
        <is>
          <t>20ºC</t>
        </is>
      </c>
      <c r="L128" s="429" t="n"/>
      <c r="M128" s="429" t="n"/>
      <c r="N128" s="429" t="n"/>
      <c r="O128" s="429" t="n"/>
      <c r="P128" s="429" t="n"/>
      <c r="Q128" s="430" t="n"/>
    </row>
    <row r="129">
      <c r="A129" s="462" t="inlineStr">
        <is>
          <t>DD</t>
        </is>
      </c>
      <c r="B129" s="463" t="inlineStr">
        <is>
          <t>K</t>
        </is>
      </c>
      <c r="C129" s="464" t="n"/>
      <c r="D129" s="369" t="n">
        <v>0.67</v>
      </c>
      <c r="E129" s="369" t="n">
        <v>3</v>
      </c>
      <c r="F129" s="369">
        <f>IF(D129=0," ",D129*E129)</f>
        <v/>
      </c>
      <c r="G129" s="465" t="n">
        <v>1</v>
      </c>
      <c r="H129" s="466" t="n"/>
      <c r="I129" s="369">
        <f>IF(F129=" "," ",F129*G129-H129)</f>
        <v/>
      </c>
      <c r="J129" s="369" t="n">
        <v>0.479</v>
      </c>
      <c r="K129" s="465" t="n">
        <v>23</v>
      </c>
      <c r="L129" s="372">
        <f>IF(I129=" "," ",I129*J129*K129)</f>
        <v/>
      </c>
      <c r="M129" s="467" t="n">
        <v>7</v>
      </c>
      <c r="N129" s="465" t="n">
        <v>0</v>
      </c>
      <c r="O129" s="467" t="n">
        <v>5</v>
      </c>
      <c r="P129" s="369">
        <f>IF(M129=" "," ",(1+(M129+N129+O129)/100))</f>
        <v/>
      </c>
      <c r="Q129" s="374">
        <f>IF(L129=" "," ",L129*P129)</f>
        <v/>
      </c>
    </row>
    <row r="130">
      <c r="A130" s="462" t="inlineStr">
        <is>
          <t>DD</t>
        </is>
      </c>
      <c r="B130" s="463" t="inlineStr">
        <is>
          <t>G</t>
        </is>
      </c>
      <c r="C130" s="464" t="n"/>
      <c r="D130" s="369" t="n">
        <v>2.34</v>
      </c>
      <c r="E130" s="369" t="n">
        <v>3</v>
      </c>
      <c r="F130" s="369">
        <f>IF(D130=0," ",D130*E130)</f>
        <v/>
      </c>
      <c r="G130" s="465" t="n">
        <v>1</v>
      </c>
      <c r="H130" s="466">
        <f>F131*G131</f>
        <v/>
      </c>
      <c r="I130" s="369">
        <f>IF(F130=" "," ",F130*G130-H130)</f>
        <v/>
      </c>
      <c r="J130" s="369" t="n">
        <v>0.479</v>
      </c>
      <c r="K130" s="465" t="n">
        <v>23</v>
      </c>
      <c r="L130" s="372">
        <f>IF(I130=" "," ",I130*J130*K130)</f>
        <v/>
      </c>
      <c r="M130" s="467" t="n">
        <v>7</v>
      </c>
      <c r="N130" s="465" t="n">
        <v>0</v>
      </c>
      <c r="O130" s="467" t="n">
        <v>-5</v>
      </c>
      <c r="P130" s="369">
        <f>IF(M130=" "," ",(1+(M130+N130+O130)/100))</f>
        <v/>
      </c>
      <c r="Q130" s="374">
        <f>IF(L130=" "," ",L130*P130)</f>
        <v/>
      </c>
    </row>
    <row r="131">
      <c r="A131" s="462" t="inlineStr">
        <is>
          <t>ÇP</t>
        </is>
      </c>
      <c r="B131" s="463" t="inlineStr">
        <is>
          <t>G</t>
        </is>
      </c>
      <c r="C131" s="464" t="n"/>
      <c r="D131" s="369" t="n">
        <v>1.6</v>
      </c>
      <c r="E131" s="369" t="n">
        <v>2.2</v>
      </c>
      <c r="F131" s="369">
        <f>IF(D131=0," ",D131*E131)</f>
        <v/>
      </c>
      <c r="G131" s="465" t="n">
        <v>1</v>
      </c>
      <c r="H131" s="466" t="n"/>
      <c r="I131" s="369">
        <f>IF(F131=" "," ",F131*G131-H131)</f>
        <v/>
      </c>
      <c r="J131" s="369" t="n">
        <v>2.4</v>
      </c>
      <c r="K131" s="465" t="n">
        <v>23</v>
      </c>
      <c r="L131" s="372">
        <f>IF(I131=" "," ",I131*J131*K131)</f>
        <v/>
      </c>
      <c r="M131" s="467" t="n">
        <v>7</v>
      </c>
      <c r="N131" s="465" t="n">
        <v>0</v>
      </c>
      <c r="O131" s="467" t="n">
        <v>-5</v>
      </c>
      <c r="P131" s="369">
        <f>IF(M131=" "," ",(1+(M131+N131+O131)/100))</f>
        <v/>
      </c>
      <c r="Q131" s="374">
        <f>IF(L131=" "," ",L131*P131)</f>
        <v/>
      </c>
    </row>
    <row r="132">
      <c r="A132" s="462" t="inlineStr">
        <is>
          <t>DD</t>
        </is>
      </c>
      <c r="B132" s="463" t="inlineStr">
        <is>
          <t>B</t>
        </is>
      </c>
      <c r="C132" s="464" t="n"/>
      <c r="D132" s="369" t="n">
        <v>1.39</v>
      </c>
      <c r="E132" s="369" t="n">
        <v>3</v>
      </c>
      <c r="F132" s="369">
        <f>IF(D132=0," ",D132*E132)</f>
        <v/>
      </c>
      <c r="G132" s="465" t="n">
        <v>1</v>
      </c>
      <c r="H132" s="466" t="n"/>
      <c r="I132" s="369">
        <f>IF(F132=" "," ",F132*G132-H132)</f>
        <v/>
      </c>
      <c r="J132" s="369" t="n">
        <v>0.479</v>
      </c>
      <c r="K132" s="465" t="n">
        <v>23</v>
      </c>
      <c r="L132" s="372">
        <f>IF(I132=" "," ",I132*J132*K132)</f>
        <v/>
      </c>
      <c r="M132" s="467" t="n">
        <v>7</v>
      </c>
      <c r="N132" s="465" t="n">
        <v>0</v>
      </c>
      <c r="O132" s="467" t="n">
        <v>0</v>
      </c>
      <c r="P132" s="369">
        <f>IF(M132=" "," ",(1+(M132+N132+O132)/100))</f>
        <v/>
      </c>
      <c r="Q132" s="374">
        <f>IF(L132=" "," ",L132*P132)</f>
        <v/>
      </c>
    </row>
    <row r="133">
      <c r="A133" s="462" t="inlineStr">
        <is>
          <t>İD</t>
        </is>
      </c>
      <c r="B133" s="463" t="n"/>
      <c r="C133" s="464" t="n"/>
      <c r="D133" s="369" t="n">
        <v>1.1</v>
      </c>
      <c r="E133" s="369" t="n">
        <v>3</v>
      </c>
      <c r="F133" s="369">
        <f>IF(D133=0," ",D133*E133)</f>
        <v/>
      </c>
      <c r="G133" s="465" t="n">
        <v>1</v>
      </c>
      <c r="H133" s="466" t="n"/>
      <c r="I133" s="369">
        <f>IF(F133=" "," ",F133*G133-H133)</f>
        <v/>
      </c>
      <c r="J133" s="369" t="n">
        <v>0.8139999999999999</v>
      </c>
      <c r="K133" s="465" t="n">
        <v>5</v>
      </c>
      <c r="L133" s="372">
        <f>IF(I133=" "," ",I133*J133*K133)</f>
        <v/>
      </c>
      <c r="M133" s="467" t="n">
        <v>7</v>
      </c>
      <c r="N133" s="465" t="n">
        <v>0</v>
      </c>
      <c r="O133" s="467" t="n">
        <v>0</v>
      </c>
      <c r="P133" s="369">
        <f>IF(M133=" "," ",(1+(M133+N133+O133)/100))</f>
        <v/>
      </c>
      <c r="Q133" s="374">
        <f>IF(L133=" "," ",L133*P133)</f>
        <v/>
      </c>
    </row>
    <row r="134">
      <c r="A134" s="468" t="n"/>
      <c r="B134" s="469" t="n"/>
      <c r="C134" s="469" t="n"/>
      <c r="D134" s="378" t="n"/>
      <c r="E134" s="378" t="n"/>
      <c r="F134" s="378" t="n"/>
      <c r="G134" s="470" t="n"/>
      <c r="H134" s="378" t="n"/>
      <c r="I134" s="378" t="n"/>
      <c r="J134" s="378" t="n"/>
      <c r="K134" s="470" t="n"/>
      <c r="L134" s="380" t="n"/>
      <c r="M134" s="479" t="n"/>
      <c r="N134" s="479" t="n"/>
      <c r="O134" s="479" t="n"/>
      <c r="P134" s="382" t="n"/>
      <c r="Q134" s="383">
        <f>SUM(Q129:Q133)</f>
        <v/>
      </c>
    </row>
    <row r="135">
      <c r="A135" s="472" t="n"/>
      <c r="B135" s="473" t="n"/>
      <c r="C135" s="473" t="n"/>
      <c r="D135" s="474" t="n"/>
      <c r="E135" s="475" t="n"/>
      <c r="F135" s="388" t="n"/>
      <c r="G135" s="396" t="n"/>
      <c r="H135" s="388" t="n"/>
      <c r="I135" s="391" t="n"/>
      <c r="J135" s="476" t="inlineStr">
        <is>
          <t>Qs=</t>
        </is>
      </c>
      <c r="K135" s="391" t="inlineStr">
        <is>
          <t>a</t>
        </is>
      </c>
      <c r="L135" s="388" t="inlineStr">
        <is>
          <t>L</t>
        </is>
      </c>
      <c r="M135" s="396" t="inlineStr">
        <is>
          <t>R</t>
        </is>
      </c>
      <c r="N135" s="477" t="inlineStr">
        <is>
          <t>H</t>
        </is>
      </c>
      <c r="O135" s="478" t="inlineStr">
        <is>
          <t>D  T</t>
        </is>
      </c>
      <c r="P135" s="396" t="inlineStr">
        <is>
          <t>Ze</t>
        </is>
      </c>
      <c r="Q135" s="397" t="n"/>
    </row>
    <row r="136">
      <c r="A136" s="431" t="n"/>
      <c r="C136" s="411" t="n"/>
      <c r="D136" s="411" t="n"/>
      <c r="E136" s="433" t="n"/>
      <c r="F136" s="402" t="n"/>
      <c r="G136" s="434" t="n"/>
      <c r="H136" s="435" t="n"/>
      <c r="I136" s="405" t="n"/>
      <c r="J136" s="436" t="inlineStr">
        <is>
          <t>Qs  =</t>
        </is>
      </c>
      <c r="K136" s="382" t="n">
        <v>2</v>
      </c>
      <c r="L136" s="382">
        <f>(D131+E131)*2*G131</f>
        <v/>
      </c>
      <c r="M136" s="382" t="n">
        <v>0.9</v>
      </c>
      <c r="N136" s="382" t="n">
        <v>0.67</v>
      </c>
      <c r="O136" s="479" t="n">
        <v>23</v>
      </c>
      <c r="P136" s="382" t="n">
        <v>1.2</v>
      </c>
      <c r="Q136" s="383">
        <f>K136*L136*M136*N136*O136*P136</f>
        <v/>
      </c>
    </row>
    <row r="137">
      <c r="A137" s="438" t="n"/>
      <c r="B137" s="439" t="n"/>
      <c r="C137" s="411" t="n"/>
      <c r="D137" s="411" t="n"/>
      <c r="E137" s="378" t="n"/>
      <c r="F137" s="256" t="n"/>
      <c r="G137" s="440" t="n"/>
      <c r="H137" s="411" t="n"/>
      <c r="I137" s="411" t="n"/>
      <c r="J137" s="411" t="n"/>
      <c r="K137" s="440" t="n"/>
      <c r="L137" s="412" t="n"/>
      <c r="M137" s="415" t="inlineStr">
        <is>
          <t xml:space="preserve">   TOPLAM ISI KAYBI =</t>
        </is>
      </c>
      <c r="N137" s="415" t="n"/>
      <c r="O137" s="441" t="n"/>
      <c r="P137" s="415" t="n"/>
      <c r="Q137" s="416">
        <f>Q134+Q136</f>
        <v/>
      </c>
    </row>
    <row r="138"/>
    <row r="139">
      <c r="A139" s="453" t="n"/>
      <c r="B139" s="429" t="n"/>
      <c r="C139" s="429" t="n"/>
      <c r="D139" s="429" t="n"/>
      <c r="E139" s="429" t="n"/>
      <c r="F139" s="426" t="inlineStr">
        <is>
          <t>114</t>
        </is>
      </c>
      <c r="G139" s="454" t="n"/>
      <c r="H139" s="429" t="n"/>
      <c r="I139" s="427" t="inlineStr">
        <is>
          <t>D6 YATAK OD.</t>
        </is>
      </c>
      <c r="J139" s="264" t="n"/>
      <c r="K139" s="429" t="inlineStr">
        <is>
          <t>20ºC</t>
        </is>
      </c>
      <c r="L139" s="429" t="n"/>
      <c r="M139" s="429" t="n"/>
      <c r="N139" s="429" t="n"/>
      <c r="O139" s="429" t="n"/>
      <c r="P139" s="429" t="n"/>
      <c r="Q139" s="430" t="n"/>
    </row>
    <row r="140">
      <c r="A140" s="462" t="inlineStr">
        <is>
          <t>DD</t>
        </is>
      </c>
      <c r="B140" s="463" t="inlineStr">
        <is>
          <t>K</t>
        </is>
      </c>
      <c r="C140" s="464" t="n"/>
      <c r="D140" s="369" t="n">
        <v>4.34</v>
      </c>
      <c r="E140" s="369" t="n">
        <v>3</v>
      </c>
      <c r="F140" s="369">
        <f>IF(D140=0," ",D140*E140)</f>
        <v/>
      </c>
      <c r="G140" s="465" t="n">
        <v>1</v>
      </c>
      <c r="H140" s="466" t="n"/>
      <c r="I140" s="369">
        <f>IF(F140=" "," ",F140*G140-H140)</f>
        <v/>
      </c>
      <c r="J140" s="369" t="n">
        <v>0.479</v>
      </c>
      <c r="K140" s="465" t="n">
        <v>23</v>
      </c>
      <c r="L140" s="372">
        <f>IF(I140=" "," ",I140*J140*K140)</f>
        <v/>
      </c>
      <c r="M140" s="467" t="n">
        <v>7</v>
      </c>
      <c r="N140" s="465" t="n">
        <v>0</v>
      </c>
      <c r="O140" s="467" t="n">
        <v>5</v>
      </c>
      <c r="P140" s="369">
        <f>IF(M140=" "," ",(1+(M140+N140+O140)/100))</f>
        <v/>
      </c>
      <c r="Q140" s="374">
        <f>IF(L140=" "," ",L140*P140)</f>
        <v/>
      </c>
    </row>
    <row r="141">
      <c r="A141" s="462" t="inlineStr">
        <is>
          <t>DD</t>
        </is>
      </c>
      <c r="B141" s="463" t="inlineStr">
        <is>
          <t>D</t>
        </is>
      </c>
      <c r="C141" s="464" t="n"/>
      <c r="D141" s="369" t="n">
        <v>2.78</v>
      </c>
      <c r="E141" s="369" t="n">
        <v>3</v>
      </c>
      <c r="F141" s="369">
        <f>IF(D141=0," ",D141*E141)</f>
        <v/>
      </c>
      <c r="G141" s="465" t="n">
        <v>1</v>
      </c>
      <c r="H141" s="466">
        <f>F142*G142</f>
        <v/>
      </c>
      <c r="I141" s="369">
        <f>IF(F141=" "," ",F141*G141-H141)</f>
        <v/>
      </c>
      <c r="J141" s="369" t="n">
        <v>0.479</v>
      </c>
      <c r="K141" s="465" t="n">
        <v>23</v>
      </c>
      <c r="L141" s="372">
        <f>IF(I141=" "," ",I141*J141*K141)</f>
        <v/>
      </c>
      <c r="M141" s="467" t="n">
        <v>7</v>
      </c>
      <c r="N141" s="465" t="n">
        <v>0</v>
      </c>
      <c r="O141" s="467" t="n">
        <v>0</v>
      </c>
      <c r="P141" s="369">
        <f>IF(M141=" "," ",(1+(M141+N141+O141)/100))</f>
        <v/>
      </c>
      <c r="Q141" s="374">
        <f>IF(L141=" "," ",L141*P141)</f>
        <v/>
      </c>
    </row>
    <row r="142">
      <c r="A142" s="462" t="inlineStr">
        <is>
          <t>ÇP</t>
        </is>
      </c>
      <c r="B142" s="463" t="inlineStr">
        <is>
          <t>D</t>
        </is>
      </c>
      <c r="C142" s="464" t="n"/>
      <c r="D142" s="369" t="n">
        <v>1.6</v>
      </c>
      <c r="E142" s="369" t="n">
        <v>2.3</v>
      </c>
      <c r="F142" s="369">
        <f>IF(D142=0," ",D142*E142)</f>
        <v/>
      </c>
      <c r="G142" s="465" t="n">
        <v>1</v>
      </c>
      <c r="H142" s="466" t="n"/>
      <c r="I142" s="369">
        <f>IF(F142=" "," ",F142*G142-H142)</f>
        <v/>
      </c>
      <c r="J142" s="369" t="n">
        <v>2.4</v>
      </c>
      <c r="K142" s="465" t="n">
        <v>23</v>
      </c>
      <c r="L142" s="372">
        <f>IF(I142=" "," ",I142*J142*K142)</f>
        <v/>
      </c>
      <c r="M142" s="467" t="n">
        <v>7</v>
      </c>
      <c r="N142" s="465" t="n">
        <v>0</v>
      </c>
      <c r="O142" s="467" t="n">
        <v>0</v>
      </c>
      <c r="P142" s="369">
        <f>IF(M142=" "," ",(1+(M142+N142+O142)/100))</f>
        <v/>
      </c>
      <c r="Q142" s="374">
        <f>IF(L142=" "," ",L142*P142)</f>
        <v/>
      </c>
    </row>
    <row r="143">
      <c r="A143" s="462" t="inlineStr">
        <is>
          <t>İD</t>
        </is>
      </c>
      <c r="B143" s="463" t="n"/>
      <c r="C143" s="464" t="n"/>
      <c r="D143" s="369" t="n">
        <v>2.38</v>
      </c>
      <c r="E143" s="369" t="n">
        <v>3</v>
      </c>
      <c r="F143" s="369">
        <f>IF(D143=0," ",D143*E143)</f>
        <v/>
      </c>
      <c r="G143" s="465" t="n">
        <v>1</v>
      </c>
      <c r="H143" s="466" t="n"/>
      <c r="I143" s="369">
        <f>IF(F143=" "," ",F143*G143-H143)</f>
        <v/>
      </c>
      <c r="J143" s="369" t="n">
        <v>0.8139999999999999</v>
      </c>
      <c r="K143" s="465" t="n">
        <v>5</v>
      </c>
      <c r="L143" s="372">
        <f>IF(I143=" "," ",I143*J143*K143)</f>
        <v/>
      </c>
      <c r="M143" s="467" t="n">
        <v>7</v>
      </c>
      <c r="N143" s="465" t="n">
        <v>0</v>
      </c>
      <c r="O143" s="467" t="n">
        <v>0</v>
      </c>
      <c r="P143" s="369">
        <f>IF(M143=" "," ",(1+(M143+N143+O143)/100))</f>
        <v/>
      </c>
      <c r="Q143" s="374">
        <f>IF(L143=" "," ",L143*P143)</f>
        <v/>
      </c>
    </row>
    <row r="144">
      <c r="A144" s="468" t="n"/>
      <c r="B144" s="469" t="n"/>
      <c r="C144" s="469" t="n"/>
      <c r="D144" s="378" t="n"/>
      <c r="E144" s="378" t="n"/>
      <c r="F144" s="378" t="n"/>
      <c r="G144" s="470" t="n"/>
      <c r="H144" s="378" t="n"/>
      <c r="I144" s="378" t="n"/>
      <c r="J144" s="378" t="n"/>
      <c r="K144" s="470" t="n"/>
      <c r="L144" s="380" t="n"/>
      <c r="M144" s="479" t="n"/>
      <c r="N144" s="479" t="n"/>
      <c r="O144" s="479" t="n"/>
      <c r="P144" s="382" t="n"/>
      <c r="Q144" s="383">
        <f>SUM(Q140:Q143)</f>
        <v/>
      </c>
    </row>
    <row r="145">
      <c r="A145" s="472" t="n"/>
      <c r="B145" s="473" t="n"/>
      <c r="C145" s="473" t="n"/>
      <c r="D145" s="474" t="n"/>
      <c r="E145" s="475" t="n"/>
      <c r="F145" s="388" t="n"/>
      <c r="G145" s="396" t="n"/>
      <c r="H145" s="388" t="n"/>
      <c r="I145" s="391" t="n"/>
      <c r="J145" s="476" t="inlineStr">
        <is>
          <t>Qs=</t>
        </is>
      </c>
      <c r="K145" s="391" t="inlineStr">
        <is>
          <t>a</t>
        </is>
      </c>
      <c r="L145" s="388" t="inlineStr">
        <is>
          <t>L</t>
        </is>
      </c>
      <c r="M145" s="396" t="inlineStr">
        <is>
          <t>R</t>
        </is>
      </c>
      <c r="N145" s="477" t="inlineStr">
        <is>
          <t>H</t>
        </is>
      </c>
      <c r="O145" s="478" t="inlineStr">
        <is>
          <t>D  T</t>
        </is>
      </c>
      <c r="P145" s="396" t="inlineStr">
        <is>
          <t>Ze</t>
        </is>
      </c>
      <c r="Q145" s="397" t="n"/>
    </row>
    <row r="146">
      <c r="A146" s="431" t="n"/>
      <c r="C146" s="411" t="n"/>
      <c r="D146" s="411" t="n"/>
      <c r="E146" s="433" t="n"/>
      <c r="F146" s="402" t="n"/>
      <c r="G146" s="434" t="n"/>
      <c r="H146" s="435" t="n"/>
      <c r="I146" s="405" t="n"/>
      <c r="J146" s="436" t="inlineStr">
        <is>
          <t>Qs  =</t>
        </is>
      </c>
      <c r="K146" s="382" t="n">
        <v>2</v>
      </c>
      <c r="L146" s="382">
        <f>(D142+E142)*2*G142</f>
        <v/>
      </c>
      <c r="M146" s="382" t="n">
        <v>0.9</v>
      </c>
      <c r="N146" s="382" t="n">
        <v>0.67</v>
      </c>
      <c r="O146" s="479" t="n">
        <v>23</v>
      </c>
      <c r="P146" s="382" t="n">
        <v>1.2</v>
      </c>
      <c r="Q146" s="383">
        <f>K146*L146*M146*N146*O146*P146</f>
        <v/>
      </c>
    </row>
    <row r="147">
      <c r="A147" s="438" t="n"/>
      <c r="B147" s="439" t="n"/>
      <c r="C147" s="411" t="n"/>
      <c r="D147" s="411" t="n"/>
      <c r="E147" s="378" t="n"/>
      <c r="F147" s="256" t="n"/>
      <c r="G147" s="440" t="n"/>
      <c r="H147" s="411" t="n"/>
      <c r="I147" s="411" t="n"/>
      <c r="J147" s="411" t="n"/>
      <c r="K147" s="440" t="n"/>
      <c r="L147" s="412" t="n"/>
      <c r="M147" s="415" t="inlineStr">
        <is>
          <t xml:space="preserve">   TOPLAM ISI KAYBI =</t>
        </is>
      </c>
      <c r="N147" s="415" t="n"/>
      <c r="O147" s="441" t="n"/>
      <c r="P147" s="415" t="n"/>
      <c r="Q147" s="416">
        <f>Q144+Q146</f>
        <v/>
      </c>
    </row>
    <row r="148"/>
    <row r="149">
      <c r="A149" s="453" t="n"/>
      <c r="B149" s="429" t="n"/>
      <c r="C149" s="429" t="n"/>
      <c r="D149" s="429" t="n"/>
      <c r="E149" s="429" t="n"/>
      <c r="F149" s="426" t="inlineStr">
        <is>
          <t>115</t>
        </is>
      </c>
      <c r="G149" s="454" t="n"/>
      <c r="H149" s="429" t="n"/>
      <c r="I149" s="427" t="inlineStr">
        <is>
          <t>D6 YATAK OD.</t>
        </is>
      </c>
      <c r="J149" s="264" t="n"/>
      <c r="K149" s="429" t="inlineStr">
        <is>
          <t>20ºC</t>
        </is>
      </c>
      <c r="L149" s="429" t="n"/>
      <c r="M149" s="429" t="n"/>
      <c r="N149" s="429" t="n"/>
      <c r="O149" s="429" t="n"/>
      <c r="P149" s="429" t="n"/>
      <c r="Q149" s="430" t="n"/>
    </row>
    <row r="150">
      <c r="A150" s="462" t="inlineStr">
        <is>
          <t>DD</t>
        </is>
      </c>
      <c r="B150" s="463" t="inlineStr">
        <is>
          <t>D</t>
        </is>
      </c>
      <c r="C150" s="464" t="n"/>
      <c r="D150" s="369" t="n">
        <v>2.26</v>
      </c>
      <c r="E150" s="369" t="n">
        <v>3</v>
      </c>
      <c r="F150" s="369">
        <f>IF(D150=0," ",D150*E150)</f>
        <v/>
      </c>
      <c r="G150" s="465" t="n">
        <v>1</v>
      </c>
      <c r="H150" s="466">
        <f>F151*G151</f>
        <v/>
      </c>
      <c r="I150" s="369">
        <f>IF(F150=" "," ",F150*G150-H150)</f>
        <v/>
      </c>
      <c r="J150" s="369" t="n">
        <v>0.479</v>
      </c>
      <c r="K150" s="465" t="n">
        <v>23</v>
      </c>
      <c r="L150" s="372">
        <f>IF(I150=" "," ",I150*J150*K150)</f>
        <v/>
      </c>
      <c r="M150" s="467" t="n">
        <v>7</v>
      </c>
      <c r="N150" s="465" t="n">
        <v>0</v>
      </c>
      <c r="O150" s="467" t="n">
        <v>0</v>
      </c>
      <c r="P150" s="369">
        <f>IF(M150=" "," ",(1+(M150+N150+O150)/100))</f>
        <v/>
      </c>
      <c r="Q150" s="374">
        <f>IF(L150=" "," ",L150*P150)</f>
        <v/>
      </c>
    </row>
    <row r="151">
      <c r="A151" s="462" t="inlineStr">
        <is>
          <t>ÇP</t>
        </is>
      </c>
      <c r="B151" s="463" t="inlineStr">
        <is>
          <t>D</t>
        </is>
      </c>
      <c r="C151" s="464" t="n"/>
      <c r="D151" s="369" t="n">
        <v>1.6</v>
      </c>
      <c r="E151" s="369" t="n">
        <v>2.3</v>
      </c>
      <c r="F151" s="369">
        <f>IF(D151=0," ",D151*E151)</f>
        <v/>
      </c>
      <c r="G151" s="465" t="n">
        <v>1</v>
      </c>
      <c r="H151" s="466" t="n"/>
      <c r="I151" s="369">
        <f>IF(F151=" "," ",F151*G151-H151)</f>
        <v/>
      </c>
      <c r="J151" s="369" t="n">
        <v>2.4</v>
      </c>
      <c r="K151" s="465" t="n">
        <v>23</v>
      </c>
      <c r="L151" s="372">
        <f>IF(I151=" "," ",I151*J151*K151)</f>
        <v/>
      </c>
      <c r="M151" s="467" t="n">
        <v>7</v>
      </c>
      <c r="N151" s="465" t="n">
        <v>0</v>
      </c>
      <c r="O151" s="467" t="n">
        <v>0</v>
      </c>
      <c r="P151" s="369">
        <f>IF(M151=" "," ",(1+(M151+N151+O151)/100))</f>
        <v/>
      </c>
      <c r="Q151" s="374">
        <f>IF(L151=" "," ",L151*P151)</f>
        <v/>
      </c>
    </row>
    <row r="152">
      <c r="A152" s="462" t="inlineStr">
        <is>
          <t>İD</t>
        </is>
      </c>
      <c r="B152" s="463" t="n"/>
      <c r="C152" s="464" t="n"/>
      <c r="D152" s="369" t="n">
        <v>2.5</v>
      </c>
      <c r="E152" s="369" t="n">
        <v>3</v>
      </c>
      <c r="F152" s="369">
        <f>IF(D152=0," ",D152*E152)</f>
        <v/>
      </c>
      <c r="G152" s="465" t="n">
        <v>1</v>
      </c>
      <c r="H152" s="466" t="n"/>
      <c r="I152" s="369">
        <f>IF(F152=" "," ",F152*G152-H152)</f>
        <v/>
      </c>
      <c r="J152" s="369" t="n">
        <v>0.8139999999999999</v>
      </c>
      <c r="K152" s="465" t="n">
        <v>5</v>
      </c>
      <c r="L152" s="372">
        <f>IF(I152=" "," ",I152*J152*K152)</f>
        <v/>
      </c>
      <c r="M152" s="467" t="n">
        <v>7</v>
      </c>
      <c r="N152" s="465" t="n">
        <v>0</v>
      </c>
      <c r="O152" s="467" t="n">
        <v>0</v>
      </c>
      <c r="P152" s="369">
        <f>IF(M152=" "," ",(1+(M152+N152+O152)/100))</f>
        <v/>
      </c>
      <c r="Q152" s="374">
        <f>IF(L152=" "," ",L152*P152)</f>
        <v/>
      </c>
    </row>
    <row r="153">
      <c r="A153" s="468" t="n"/>
      <c r="B153" s="469" t="n"/>
      <c r="C153" s="469" t="n"/>
      <c r="D153" s="378" t="n"/>
      <c r="E153" s="378" t="n"/>
      <c r="F153" s="378" t="n"/>
      <c r="G153" s="470" t="n"/>
      <c r="H153" s="378" t="n"/>
      <c r="I153" s="378" t="n"/>
      <c r="J153" s="378" t="n"/>
      <c r="K153" s="470" t="n"/>
      <c r="L153" s="380" t="n"/>
      <c r="M153" s="479" t="n"/>
      <c r="N153" s="479" t="n"/>
      <c r="O153" s="479" t="n"/>
      <c r="P153" s="382" t="n"/>
      <c r="Q153" s="383">
        <f>SUM(Q150:Q152)</f>
        <v/>
      </c>
    </row>
    <row r="154">
      <c r="A154" s="472" t="n"/>
      <c r="B154" s="473" t="n"/>
      <c r="C154" s="473" t="n"/>
      <c r="D154" s="474" t="n"/>
      <c r="E154" s="475" t="n"/>
      <c r="F154" s="388" t="n"/>
      <c r="G154" s="396" t="n"/>
      <c r="H154" s="388" t="n"/>
      <c r="I154" s="391" t="n"/>
      <c r="J154" s="476" t="inlineStr">
        <is>
          <t>Qs=</t>
        </is>
      </c>
      <c r="K154" s="391" t="inlineStr">
        <is>
          <t>a</t>
        </is>
      </c>
      <c r="L154" s="388" t="inlineStr">
        <is>
          <t>L</t>
        </is>
      </c>
      <c r="M154" s="396" t="inlineStr">
        <is>
          <t>R</t>
        </is>
      </c>
      <c r="N154" s="477" t="inlineStr">
        <is>
          <t>H</t>
        </is>
      </c>
      <c r="O154" s="478" t="inlineStr">
        <is>
          <t>D  T</t>
        </is>
      </c>
      <c r="P154" s="396" t="inlineStr">
        <is>
          <t>Ze</t>
        </is>
      </c>
      <c r="Q154" s="397" t="n"/>
    </row>
    <row r="155">
      <c r="A155" s="431" t="n"/>
      <c r="C155" s="411" t="n"/>
      <c r="D155" s="411" t="n"/>
      <c r="E155" s="433" t="n"/>
      <c r="F155" s="402" t="n"/>
      <c r="G155" s="434" t="n"/>
      <c r="H155" s="435" t="n"/>
      <c r="I155" s="405" t="n"/>
      <c r="J155" s="436" t="inlineStr">
        <is>
          <t>Qs  =</t>
        </is>
      </c>
      <c r="K155" s="382" t="n">
        <v>2</v>
      </c>
      <c r="L155" s="382">
        <f>(D151+E151)*2*G151</f>
        <v/>
      </c>
      <c r="M155" s="382" t="n">
        <v>0.9</v>
      </c>
      <c r="N155" s="382" t="n">
        <v>0.67</v>
      </c>
      <c r="O155" s="479" t="n">
        <v>23</v>
      </c>
      <c r="P155" s="382" t="n">
        <v>1.2</v>
      </c>
      <c r="Q155" s="383">
        <f>K155*L155*M155*N155*O155*P155</f>
        <v/>
      </c>
    </row>
    <row r="156">
      <c r="A156" s="438" t="n"/>
      <c r="B156" s="439" t="n"/>
      <c r="C156" s="411" t="n"/>
      <c r="D156" s="411" t="n"/>
      <c r="E156" s="378" t="n"/>
      <c r="F156" s="256" t="n"/>
      <c r="G156" s="440" t="n"/>
      <c r="H156" s="411" t="n"/>
      <c r="I156" s="411" t="n"/>
      <c r="J156" s="411" t="n"/>
      <c r="K156" s="440" t="n"/>
      <c r="L156" s="412" t="n"/>
      <c r="M156" s="415" t="inlineStr">
        <is>
          <t xml:space="preserve">   TOPLAM ISI KAYBI =</t>
        </is>
      </c>
      <c r="N156" s="415" t="n"/>
      <c r="O156" s="441" t="n"/>
      <c r="P156" s="415" t="n"/>
      <c r="Q156" s="416">
        <f>Q153+Q155</f>
        <v/>
      </c>
    </row>
    <row r="157"/>
    <row r="158">
      <c r="A158" s="453" t="n"/>
      <c r="B158" s="429" t="n"/>
      <c r="C158" s="429" t="n"/>
      <c r="D158" s="429" t="n"/>
      <c r="E158" s="429" t="n"/>
      <c r="F158" s="426" t="inlineStr">
        <is>
          <t>116</t>
        </is>
      </c>
      <c r="G158" s="454" t="n"/>
      <c r="H158" s="429" t="n"/>
      <c r="I158" s="427" t="inlineStr">
        <is>
          <t>D6 YATAK OD.</t>
        </is>
      </c>
      <c r="J158" s="264" t="n"/>
      <c r="K158" s="429" t="inlineStr">
        <is>
          <t>20ºC</t>
        </is>
      </c>
      <c r="L158" s="429" t="n"/>
      <c r="M158" s="429" t="n"/>
      <c r="N158" s="429" t="n"/>
      <c r="O158" s="429" t="n"/>
      <c r="P158" s="429" t="n"/>
      <c r="Q158" s="430" t="n"/>
    </row>
    <row r="159">
      <c r="A159" s="462" t="inlineStr">
        <is>
          <t>DD</t>
        </is>
      </c>
      <c r="B159" s="463" t="inlineStr">
        <is>
          <t>D</t>
        </is>
      </c>
      <c r="C159" s="464" t="n"/>
      <c r="D159" s="369" t="n">
        <v>2.56</v>
      </c>
      <c r="E159" s="369" t="n">
        <v>3</v>
      </c>
      <c r="F159" s="369">
        <f>IF(D159=0," ",D159*E159)</f>
        <v/>
      </c>
      <c r="G159" s="465" t="n">
        <v>1</v>
      </c>
      <c r="H159" s="466">
        <f>F160*G160</f>
        <v/>
      </c>
      <c r="I159" s="369">
        <f>IF(F159=" "," ",F159*G159-H159)</f>
        <v/>
      </c>
      <c r="J159" s="369" t="n">
        <v>0.479</v>
      </c>
      <c r="K159" s="465" t="n">
        <v>23</v>
      </c>
      <c r="L159" s="372">
        <f>IF(I159=" "," ",I159*J159*K159)</f>
        <v/>
      </c>
      <c r="M159" s="467" t="n">
        <v>7</v>
      </c>
      <c r="N159" s="465" t="n">
        <v>0</v>
      </c>
      <c r="O159" s="467" t="n">
        <v>0</v>
      </c>
      <c r="P159" s="369">
        <f>IF(M159=" "," ",(1+(M159+N159+O159)/100))</f>
        <v/>
      </c>
      <c r="Q159" s="374">
        <f>IF(L159=" "," ",L159*P159)</f>
        <v/>
      </c>
    </row>
    <row r="160">
      <c r="A160" s="462" t="inlineStr">
        <is>
          <t>ÇP</t>
        </is>
      </c>
      <c r="B160" s="463" t="inlineStr">
        <is>
          <t>D</t>
        </is>
      </c>
      <c r="C160" s="464" t="n"/>
      <c r="D160" s="369" t="n">
        <v>1.6</v>
      </c>
      <c r="E160" s="369" t="n">
        <v>2.3</v>
      </c>
      <c r="F160" s="369">
        <f>IF(D160=0," ",D160*E160)</f>
        <v/>
      </c>
      <c r="G160" s="465" t="n">
        <v>1</v>
      </c>
      <c r="H160" s="466" t="n"/>
      <c r="I160" s="369">
        <f>IF(F160=" "," ",F160*G160-H160)</f>
        <v/>
      </c>
      <c r="J160" s="369" t="n">
        <v>2.4</v>
      </c>
      <c r="K160" s="465" t="n">
        <v>23</v>
      </c>
      <c r="L160" s="372">
        <f>IF(I160=" "," ",I160*J160*K160)</f>
        <v/>
      </c>
      <c r="M160" s="467" t="n">
        <v>7</v>
      </c>
      <c r="N160" s="465" t="n">
        <v>0</v>
      </c>
      <c r="O160" s="467" t="n">
        <v>0</v>
      </c>
      <c r="P160" s="369">
        <f>IF(M160=" "," ",(1+(M160+N160+O160)/100))</f>
        <v/>
      </c>
      <c r="Q160" s="374">
        <f>IF(L160=" "," ",L160*P160)</f>
        <v/>
      </c>
    </row>
    <row r="161">
      <c r="A161" s="462" t="inlineStr">
        <is>
          <t>İD</t>
        </is>
      </c>
      <c r="B161" s="463" t="n"/>
      <c r="C161" s="464" t="n"/>
      <c r="D161" s="369" t="n">
        <v>1.2</v>
      </c>
      <c r="E161" s="369" t="n">
        <v>3</v>
      </c>
      <c r="F161" s="369">
        <f>IF(D161=0," ",D161*E161)</f>
        <v/>
      </c>
      <c r="G161" s="465" t="n">
        <v>1</v>
      </c>
      <c r="H161" s="466" t="n"/>
      <c r="I161" s="369">
        <f>IF(F161=" "," ",F161*G161-H161)</f>
        <v/>
      </c>
      <c r="J161" s="369" t="n">
        <v>0.8139999999999999</v>
      </c>
      <c r="K161" s="465" t="n">
        <v>5</v>
      </c>
      <c r="L161" s="372">
        <f>IF(I161=" "," ",I161*J161*K161)</f>
        <v/>
      </c>
      <c r="M161" s="467" t="n">
        <v>7</v>
      </c>
      <c r="N161" s="465" t="n">
        <v>0</v>
      </c>
      <c r="O161" s="467" t="n">
        <v>0</v>
      </c>
      <c r="P161" s="369">
        <f>IF(M161=" "," ",(1+(M161+N161+O161)/100))</f>
        <v/>
      </c>
      <c r="Q161" s="374">
        <f>IF(L161=" "," ",L161*P161)</f>
        <v/>
      </c>
    </row>
    <row r="162">
      <c r="A162" s="468" t="n"/>
      <c r="B162" s="469" t="n"/>
      <c r="C162" s="469" t="n"/>
      <c r="D162" s="378" t="n"/>
      <c r="E162" s="378" t="n"/>
      <c r="F162" s="378" t="n"/>
      <c r="G162" s="470" t="n"/>
      <c r="H162" s="378" t="n"/>
      <c r="I162" s="378" t="n"/>
      <c r="J162" s="378" t="n"/>
      <c r="K162" s="470" t="n"/>
      <c r="L162" s="380" t="n"/>
      <c r="M162" s="479" t="n"/>
      <c r="N162" s="479" t="n"/>
      <c r="O162" s="479" t="n"/>
      <c r="P162" s="382" t="n"/>
      <c r="Q162" s="383">
        <f>SUM(Q159:Q161)</f>
        <v/>
      </c>
    </row>
    <row r="163">
      <c r="A163" s="472" t="n"/>
      <c r="B163" s="473" t="n"/>
      <c r="C163" s="473" t="n"/>
      <c r="D163" s="474" t="n"/>
      <c r="E163" s="475" t="n"/>
      <c r="F163" s="388" t="n"/>
      <c r="G163" s="396" t="n"/>
      <c r="H163" s="388" t="n"/>
      <c r="I163" s="391" t="n"/>
      <c r="J163" s="476" t="inlineStr">
        <is>
          <t>Qs=</t>
        </is>
      </c>
      <c r="K163" s="391" t="inlineStr">
        <is>
          <t>a</t>
        </is>
      </c>
      <c r="L163" s="388" t="inlineStr">
        <is>
          <t>L</t>
        </is>
      </c>
      <c r="M163" s="396" t="inlineStr">
        <is>
          <t>R</t>
        </is>
      </c>
      <c r="N163" s="477" t="inlineStr">
        <is>
          <t>H</t>
        </is>
      </c>
      <c r="O163" s="478" t="inlineStr">
        <is>
          <t>D  T</t>
        </is>
      </c>
      <c r="P163" s="396" t="inlineStr">
        <is>
          <t>Ze</t>
        </is>
      </c>
      <c r="Q163" s="397" t="n"/>
    </row>
    <row r="164">
      <c r="A164" s="431" t="n"/>
      <c r="C164" s="411" t="n"/>
      <c r="D164" s="411" t="n"/>
      <c r="E164" s="433" t="n"/>
      <c r="F164" s="402" t="n"/>
      <c r="G164" s="434" t="n"/>
      <c r="H164" s="435" t="n"/>
      <c r="I164" s="405" t="n"/>
      <c r="J164" s="436" t="inlineStr">
        <is>
          <t>Qs  =</t>
        </is>
      </c>
      <c r="K164" s="382" t="n">
        <v>2</v>
      </c>
      <c r="L164" s="382">
        <f>(D160+E160)*2*G160</f>
        <v/>
      </c>
      <c r="M164" s="382" t="n">
        <v>0.9</v>
      </c>
      <c r="N164" s="382" t="n">
        <v>0.67</v>
      </c>
      <c r="O164" s="479" t="n">
        <v>23</v>
      </c>
      <c r="P164" s="382" t="n">
        <v>1.2</v>
      </c>
      <c r="Q164" s="383">
        <f>K164*L164*M164*N164*O164*P164</f>
        <v/>
      </c>
    </row>
    <row r="165">
      <c r="A165" s="438" t="n"/>
      <c r="B165" s="439" t="n"/>
      <c r="C165" s="411" t="n"/>
      <c r="D165" s="411" t="n"/>
      <c r="E165" s="378" t="n"/>
      <c r="F165" s="256" t="n"/>
      <c r="G165" s="440" t="n"/>
      <c r="H165" s="411" t="n"/>
      <c r="I165" s="411" t="n"/>
      <c r="J165" s="411" t="n"/>
      <c r="K165" s="440" t="n"/>
      <c r="L165" s="412" t="n"/>
      <c r="M165" s="415" t="inlineStr">
        <is>
          <t xml:space="preserve">   TOPLAM ISI KAYBI =</t>
        </is>
      </c>
      <c r="N165" s="415" t="n"/>
      <c r="O165" s="441" t="n"/>
      <c r="P165" s="415" t="n"/>
      <c r="Q165" s="416">
        <f>Q162+Q164</f>
        <v/>
      </c>
    </row>
    <row r="166"/>
    <row r="167">
      <c r="A167" s="453" t="n"/>
      <c r="B167" s="429" t="n"/>
      <c r="C167" s="429" t="n"/>
      <c r="D167" s="429" t="n"/>
      <c r="E167" s="429" t="n"/>
      <c r="F167" s="426" t="inlineStr">
        <is>
          <t>117</t>
        </is>
      </c>
      <c r="G167" s="454" t="n"/>
      <c r="H167" s="429" t="n"/>
      <c r="I167" s="427" t="inlineStr">
        <is>
          <t>D6 SALON</t>
        </is>
      </c>
      <c r="J167" s="264" t="n"/>
      <c r="K167" s="429" t="inlineStr">
        <is>
          <t>20ºC</t>
        </is>
      </c>
      <c r="L167" s="429" t="n"/>
      <c r="M167" s="429" t="n"/>
      <c r="N167" s="429" t="n"/>
      <c r="O167" s="429" t="n"/>
      <c r="P167" s="429" t="n"/>
      <c r="Q167" s="430" t="n"/>
    </row>
    <row r="168">
      <c r="A168" s="462" t="inlineStr">
        <is>
          <t>DD</t>
        </is>
      </c>
      <c r="B168" s="463" t="inlineStr">
        <is>
          <t>D</t>
        </is>
      </c>
      <c r="C168" s="464" t="n"/>
      <c r="D168" s="369" t="n">
        <v>3.34</v>
      </c>
      <c r="E168" s="369" t="n">
        <v>3</v>
      </c>
      <c r="F168" s="369">
        <f>IF(D168=0," ",D168*E168)</f>
        <v/>
      </c>
      <c r="G168" s="465" t="n">
        <v>1</v>
      </c>
      <c r="H168" s="466">
        <f>F169*G169</f>
        <v/>
      </c>
      <c r="I168" s="369">
        <f>IF(F168=" "," ",F168*G168-H168)</f>
        <v/>
      </c>
      <c r="J168" s="369" t="n">
        <v>0.479</v>
      </c>
      <c r="K168" s="465" t="n">
        <v>23</v>
      </c>
      <c r="L168" s="372">
        <f>IF(I168=" "," ",I168*J168*K168)</f>
        <v/>
      </c>
      <c r="M168" s="467" t="n">
        <v>7</v>
      </c>
      <c r="N168" s="465" t="n">
        <v>0</v>
      </c>
      <c r="O168" s="467" t="n">
        <v>0</v>
      </c>
      <c r="P168" s="369">
        <f>IF(M168=" "," ",(1+(M168+N168+O168)/100))</f>
        <v/>
      </c>
      <c r="Q168" s="374">
        <f>IF(L168=" "," ",L168*P168)</f>
        <v/>
      </c>
    </row>
    <row r="169">
      <c r="A169" s="462" t="inlineStr">
        <is>
          <t>ÇP</t>
        </is>
      </c>
      <c r="B169" s="463" t="inlineStr">
        <is>
          <t>D</t>
        </is>
      </c>
      <c r="C169" s="464" t="n"/>
      <c r="D169" s="369" t="n">
        <v>1.6</v>
      </c>
      <c r="E169" s="369" t="n">
        <v>2.1</v>
      </c>
      <c r="F169" s="369">
        <f>IF(D169=0," ",D169*E169)</f>
        <v/>
      </c>
      <c r="G169" s="465" t="n">
        <v>1</v>
      </c>
      <c r="H169" s="466" t="n"/>
      <c r="I169" s="369">
        <f>IF(F169=" "," ",F169*G169-H169)</f>
        <v/>
      </c>
      <c r="J169" s="369" t="n">
        <v>2.4</v>
      </c>
      <c r="K169" s="465" t="n">
        <v>23</v>
      </c>
      <c r="L169" s="372">
        <f>IF(I169=" "," ",I169*J169*K169)</f>
        <v/>
      </c>
      <c r="M169" s="467" t="n">
        <v>7</v>
      </c>
      <c r="N169" s="465" t="n">
        <v>0</v>
      </c>
      <c r="O169" s="467" t="n">
        <v>0</v>
      </c>
      <c r="P169" s="369">
        <f>IF(M169=" "," ",(1+(M169+N169+O169)/100))</f>
        <v/>
      </c>
      <c r="Q169" s="374">
        <f>IF(L169=" "," ",L169*P169)</f>
        <v/>
      </c>
    </row>
    <row r="170">
      <c r="A170" s="462" t="inlineStr">
        <is>
          <t>DD</t>
        </is>
      </c>
      <c r="B170" s="463" t="inlineStr">
        <is>
          <t>G</t>
        </is>
      </c>
      <c r="C170" s="464" t="n"/>
      <c r="D170" s="369" t="n">
        <v>4.68</v>
      </c>
      <c r="E170" s="369" t="n">
        <v>3</v>
      </c>
      <c r="F170" s="369">
        <f>IF(D170=0," ",D170*E170)</f>
        <v/>
      </c>
      <c r="G170" s="465" t="n">
        <v>1</v>
      </c>
      <c r="H170" s="466">
        <f>F171*G171</f>
        <v/>
      </c>
      <c r="I170" s="369">
        <f>IF(F170=" "," ",F170*G170-H170)</f>
        <v/>
      </c>
      <c r="J170" s="369" t="n">
        <v>0.479</v>
      </c>
      <c r="K170" s="465" t="n">
        <v>23</v>
      </c>
      <c r="L170" s="372">
        <f>IF(I170=" "," ",I170*J170*K170)</f>
        <v/>
      </c>
      <c r="M170" s="467" t="n">
        <v>7</v>
      </c>
      <c r="N170" s="465" t="n">
        <v>0</v>
      </c>
      <c r="O170" s="467" t="n">
        <v>-5</v>
      </c>
      <c r="P170" s="369">
        <f>IF(M170=" "," ",(1+(M170+N170+O170)/100))</f>
        <v/>
      </c>
      <c r="Q170" s="374">
        <f>IF(L170=" "," ",L170*P170)</f>
        <v/>
      </c>
    </row>
    <row r="171">
      <c r="A171" s="462" t="inlineStr">
        <is>
          <t>ÇP</t>
        </is>
      </c>
      <c r="B171" s="463" t="inlineStr">
        <is>
          <t>G</t>
        </is>
      </c>
      <c r="C171" s="464" t="n"/>
      <c r="D171" s="369" t="n">
        <v>1.6</v>
      </c>
      <c r="E171" s="369" t="n">
        <v>2.1</v>
      </c>
      <c r="F171" s="369">
        <f>IF(D171=0," ",D171*E171)</f>
        <v/>
      </c>
      <c r="G171" s="465" t="n">
        <v>1</v>
      </c>
      <c r="H171" s="466" t="n"/>
      <c r="I171" s="369">
        <f>IF(F171=" "," ",F171*G171-H171)</f>
        <v/>
      </c>
      <c r="J171" s="369" t="n">
        <v>2.4</v>
      </c>
      <c r="K171" s="465" t="n">
        <v>23</v>
      </c>
      <c r="L171" s="372">
        <f>IF(I171=" "," ",I171*J171*K171)</f>
        <v/>
      </c>
      <c r="M171" s="467" t="n">
        <v>7</v>
      </c>
      <c r="N171" s="465" t="n">
        <v>0</v>
      </c>
      <c r="O171" s="467" t="n">
        <v>-5</v>
      </c>
      <c r="P171" s="369">
        <f>IF(M171=" "," ",(1+(M171+N171+O171)/100))</f>
        <v/>
      </c>
      <c r="Q171" s="374">
        <f>IF(L171=" "," ",L171*P171)</f>
        <v/>
      </c>
    </row>
    <row r="172">
      <c r="A172" s="462" t="inlineStr">
        <is>
          <t>DD</t>
        </is>
      </c>
      <c r="B172" s="463" t="inlineStr">
        <is>
          <t>B</t>
        </is>
      </c>
      <c r="C172" s="464" t="n"/>
      <c r="D172" s="369" t="n">
        <v>0.63</v>
      </c>
      <c r="E172" s="369" t="n">
        <v>3</v>
      </c>
      <c r="F172" s="369">
        <f>IF(D172=0," ",D172*E172)</f>
        <v/>
      </c>
      <c r="G172" s="465" t="n">
        <v>1</v>
      </c>
      <c r="H172" s="466" t="n"/>
      <c r="I172" s="369">
        <f>IF(F172=" "," ",F172*G172-H172)</f>
        <v/>
      </c>
      <c r="J172" s="369" t="n">
        <v>0.479</v>
      </c>
      <c r="K172" s="465" t="n">
        <v>23</v>
      </c>
      <c r="L172" s="372">
        <f>IF(I172=" "," ",I172*J172*K172)</f>
        <v/>
      </c>
      <c r="M172" s="467" t="n">
        <v>7</v>
      </c>
      <c r="N172" s="465" t="n">
        <v>0</v>
      </c>
      <c r="O172" s="467" t="n">
        <v>0</v>
      </c>
      <c r="P172" s="369">
        <f>IF(M172=" "," ",(1+(M172+N172+O172)/100))</f>
        <v/>
      </c>
      <c r="Q172" s="374">
        <f>IF(L172=" "," ",L172*P172)</f>
        <v/>
      </c>
    </row>
    <row r="173">
      <c r="A173" s="462" t="inlineStr">
        <is>
          <t>İD</t>
        </is>
      </c>
      <c r="B173" s="463" t="n"/>
      <c r="C173" s="464" t="n"/>
      <c r="D173" s="369" t="n">
        <v>1.06</v>
      </c>
      <c r="E173" s="369" t="n">
        <v>3</v>
      </c>
      <c r="F173" s="369">
        <f>IF(D173=0," ",D173*E173)</f>
        <v/>
      </c>
      <c r="G173" s="465" t="n">
        <v>1</v>
      </c>
      <c r="H173" s="466" t="n"/>
      <c r="I173" s="369">
        <f>IF(F173=" "," ",F173*G173-H173)</f>
        <v/>
      </c>
      <c r="J173" s="369" t="n">
        <v>0.8139999999999999</v>
      </c>
      <c r="K173" s="465" t="n">
        <v>5</v>
      </c>
      <c r="L173" s="372">
        <f>IF(I173=" "," ",I173*J173*K173)</f>
        <v/>
      </c>
      <c r="M173" s="467" t="n">
        <v>7</v>
      </c>
      <c r="N173" s="465" t="n">
        <v>0</v>
      </c>
      <c r="O173" s="467" t="n">
        <v>0</v>
      </c>
      <c r="P173" s="369">
        <f>IF(M173=" "," ",(1+(M173+N173+O173)/100))</f>
        <v/>
      </c>
      <c r="Q173" s="374">
        <f>IF(L173=" "," ",L173*P173)</f>
        <v/>
      </c>
    </row>
    <row r="174">
      <c r="A174" s="468" t="n"/>
      <c r="B174" s="469" t="n"/>
      <c r="C174" s="469" t="n"/>
      <c r="D174" s="378" t="n"/>
      <c r="E174" s="378" t="n"/>
      <c r="F174" s="378" t="n"/>
      <c r="G174" s="470" t="n"/>
      <c r="H174" s="378" t="n"/>
      <c r="I174" s="378" t="n"/>
      <c r="J174" s="378" t="n"/>
      <c r="K174" s="470" t="n"/>
      <c r="L174" s="380" t="n"/>
      <c r="M174" s="479" t="n"/>
      <c r="N174" s="479" t="n"/>
      <c r="O174" s="479" t="n"/>
      <c r="P174" s="382" t="n"/>
      <c r="Q174" s="383">
        <f>SUM(Q168:Q173)</f>
        <v/>
      </c>
    </row>
    <row r="175">
      <c r="A175" s="472" t="n"/>
      <c r="B175" s="473" t="n"/>
      <c r="C175" s="473" t="n"/>
      <c r="D175" s="474" t="n"/>
      <c r="E175" s="475" t="n"/>
      <c r="F175" s="388" t="n"/>
      <c r="G175" s="396" t="n"/>
      <c r="H175" s="388" t="n"/>
      <c r="I175" s="391" t="n"/>
      <c r="J175" s="476" t="inlineStr">
        <is>
          <t>Qs=</t>
        </is>
      </c>
      <c r="K175" s="391" t="inlineStr">
        <is>
          <t>a</t>
        </is>
      </c>
      <c r="L175" s="388" t="inlineStr">
        <is>
          <t>L</t>
        </is>
      </c>
      <c r="M175" s="396" t="inlineStr">
        <is>
          <t>R</t>
        </is>
      </c>
      <c r="N175" s="477" t="inlineStr">
        <is>
          <t>H</t>
        </is>
      </c>
      <c r="O175" s="478" t="inlineStr">
        <is>
          <t>D  T</t>
        </is>
      </c>
      <c r="P175" s="396" t="inlineStr">
        <is>
          <t>Ze</t>
        </is>
      </c>
      <c r="Q175" s="397" t="n"/>
    </row>
    <row r="176">
      <c r="A176" s="431" t="n"/>
      <c r="C176" s="411" t="n"/>
      <c r="D176" s="411" t="n"/>
      <c r="E176" s="433" t="n"/>
      <c r="F176" s="402" t="n"/>
      <c r="G176" s="434" t="n"/>
      <c r="H176" s="435" t="n"/>
      <c r="I176" s="405" t="n"/>
      <c r="J176" s="436" t="inlineStr">
        <is>
          <t>Qs  =</t>
        </is>
      </c>
      <c r="K176" s="382" t="n">
        <v>2</v>
      </c>
      <c r="L176" s="382">
        <f>(D169+E169)*2*G169+(D171+E171)*2*G171</f>
        <v/>
      </c>
      <c r="M176" s="382" t="n">
        <v>0.9</v>
      </c>
      <c r="N176" s="382" t="n">
        <v>0.67</v>
      </c>
      <c r="O176" s="479" t="n">
        <v>23</v>
      </c>
      <c r="P176" s="382" t="n">
        <v>1.2</v>
      </c>
      <c r="Q176" s="383">
        <f>K176*L176*M176*N176*O176*P176</f>
        <v/>
      </c>
    </row>
    <row r="177">
      <c r="A177" s="438" t="n"/>
      <c r="B177" s="439" t="n"/>
      <c r="C177" s="411" t="n"/>
      <c r="D177" s="411" t="n"/>
      <c r="E177" s="378" t="n"/>
      <c r="F177" s="256" t="n"/>
      <c r="G177" s="440" t="n"/>
      <c r="H177" s="411" t="n"/>
      <c r="I177" s="411" t="n"/>
      <c r="J177" s="411" t="n"/>
      <c r="K177" s="440" t="n"/>
      <c r="L177" s="412" t="n"/>
      <c r="M177" s="415" t="inlineStr">
        <is>
          <t xml:space="preserve">   TOPLAM ISI KAYBI =</t>
        </is>
      </c>
      <c r="N177" s="415" t="n"/>
      <c r="O177" s="441" t="n"/>
      <c r="P177" s="415" t="n"/>
      <c r="Q177" s="416">
        <f>Q174+Q176</f>
        <v/>
      </c>
    </row>
    <row r="178"/>
    <row r="179">
      <c r="A179" s="453" t="n"/>
      <c r="B179" s="429" t="n"/>
      <c r="C179" s="429" t="n"/>
      <c r="D179" s="429" t="n"/>
      <c r="E179" s="429" t="n"/>
      <c r="F179" s="426" t="inlineStr">
        <is>
          <t>118</t>
        </is>
      </c>
      <c r="G179" s="454" t="n"/>
      <c r="H179" s="429" t="n"/>
      <c r="I179" s="427" t="inlineStr">
        <is>
          <t>D6 BANYO</t>
        </is>
      </c>
      <c r="J179" s="264" t="n"/>
      <c r="K179" s="429" t="inlineStr">
        <is>
          <t>24ºC</t>
        </is>
      </c>
      <c r="L179" s="429" t="n"/>
      <c r="M179" s="429" t="n"/>
      <c r="N179" s="429" t="n"/>
      <c r="O179" s="429" t="n"/>
      <c r="P179" s="429" t="n"/>
      <c r="Q179" s="430" t="n"/>
    </row>
    <row r="180">
      <c r="A180" s="462" t="inlineStr">
        <is>
          <t>İD</t>
        </is>
      </c>
      <c r="B180" s="463" t="n"/>
      <c r="C180" s="464" t="n"/>
      <c r="D180" s="369" t="n">
        <v>2.18</v>
      </c>
      <c r="E180" s="369" t="n">
        <v>3</v>
      </c>
      <c r="F180" s="369">
        <f>IF(D180=0," ",D180*E180)</f>
        <v/>
      </c>
      <c r="G180" s="465" t="n">
        <v>1</v>
      </c>
      <c r="H180" s="466" t="n"/>
      <c r="I180" s="369">
        <f>IF(F180=" "," ",F180*G180-H180)</f>
        <v/>
      </c>
      <c r="J180" s="369" t="n">
        <v>0.8139999999999999</v>
      </c>
      <c r="K180" s="465" t="n">
        <v>14</v>
      </c>
      <c r="L180" s="372">
        <f>IF(I180=" "," ",I180*J180*K180)</f>
        <v/>
      </c>
      <c r="M180" s="467" t="n">
        <v>7</v>
      </c>
      <c r="N180" s="465" t="n">
        <v>0</v>
      </c>
      <c r="O180" s="467" t="n">
        <v>0</v>
      </c>
      <c r="P180" s="369">
        <f>IF(M180=" "," ",(1+(M180+N180+O180)/100))</f>
        <v/>
      </c>
      <c r="Q180" s="374">
        <f>IF(L180=" "," ",L180*P180)</f>
        <v/>
      </c>
    </row>
    <row r="181">
      <c r="A181" s="462" t="inlineStr">
        <is>
          <t>İD</t>
        </is>
      </c>
      <c r="B181" s="463" t="n"/>
      <c r="C181" s="464" t="n"/>
      <c r="D181" s="369" t="n">
        <v>3.58</v>
      </c>
      <c r="E181" s="369" t="n">
        <v>3</v>
      </c>
      <c r="F181" s="369">
        <f>IF(D181=0," ",D181*E181)</f>
        <v/>
      </c>
      <c r="G181" s="465" t="n">
        <v>1</v>
      </c>
      <c r="H181" s="466" t="n"/>
      <c r="I181" s="369">
        <f>IF(F181=" "," ",F181*G181-H181)</f>
        <v/>
      </c>
      <c r="J181" s="369" t="n">
        <v>0.8139999999999999</v>
      </c>
      <c r="K181" s="465" t="n">
        <v>9</v>
      </c>
      <c r="L181" s="372">
        <f>IF(I181=" "," ",I181*J181*K181)</f>
        <v/>
      </c>
      <c r="M181" s="467" t="n">
        <v>7</v>
      </c>
      <c r="N181" s="465" t="n">
        <v>0</v>
      </c>
      <c r="O181" s="467" t="n">
        <v>0</v>
      </c>
      <c r="P181" s="369">
        <f>IF(M181=" "," ",(1+(M181+N181+O181)/100))</f>
        <v/>
      </c>
      <c r="Q181" s="374">
        <f>IF(L181=" "," ",L181*P181)</f>
        <v/>
      </c>
    </row>
    <row r="182">
      <c r="A182" s="462" t="inlineStr">
        <is>
          <t>İD</t>
        </is>
      </c>
      <c r="B182" s="463" t="n"/>
      <c r="C182" s="464" t="n"/>
      <c r="D182" s="369" t="n">
        <v>2.08</v>
      </c>
      <c r="E182" s="369" t="n">
        <v>3</v>
      </c>
      <c r="F182" s="369">
        <f>IF(D182=0," ",D182*E182)</f>
        <v/>
      </c>
      <c r="G182" s="465" t="n">
        <v>1</v>
      </c>
      <c r="H182" s="466" t="n"/>
      <c r="I182" s="369">
        <f>IF(F182=" "," ",F182*G182-H182)</f>
        <v/>
      </c>
      <c r="J182" s="369" t="n">
        <v>0.8139999999999999</v>
      </c>
      <c r="K182" s="465" t="n">
        <v>4</v>
      </c>
      <c r="L182" s="372">
        <f>IF(I182=" "," ",I182*J182*K182)</f>
        <v/>
      </c>
      <c r="M182" s="467" t="n">
        <v>7</v>
      </c>
      <c r="N182" s="465" t="n">
        <v>0</v>
      </c>
      <c r="O182" s="467" t="n">
        <v>0</v>
      </c>
      <c r="P182" s="369">
        <f>IF(M182=" "," ",(1+(M182+N182+O182)/100))</f>
        <v/>
      </c>
      <c r="Q182" s="374">
        <f>IF(L182=" "," ",L182*P182)</f>
        <v/>
      </c>
    </row>
    <row r="183">
      <c r="A183" s="468" t="n"/>
      <c r="B183" s="469" t="n"/>
      <c r="C183" s="469" t="n"/>
      <c r="D183" s="378" t="n"/>
      <c r="E183" s="378" t="n"/>
      <c r="F183" s="378" t="n"/>
      <c r="G183" s="470" t="n"/>
      <c r="H183" s="378" t="n"/>
      <c r="I183" s="378" t="n"/>
      <c r="J183" s="378" t="n"/>
      <c r="K183" s="470" t="n"/>
      <c r="L183" s="380" t="n"/>
      <c r="M183" s="479" t="n"/>
      <c r="N183" s="479" t="n"/>
      <c r="O183" s="479" t="n"/>
      <c r="P183" s="382" t="n"/>
      <c r="Q183" s="383">
        <f>SUM(Q180:Q182)</f>
        <v/>
      </c>
    </row>
    <row r="184">
      <c r="A184" s="472" t="n"/>
      <c r="B184" s="473" t="n"/>
      <c r="C184" s="473" t="n"/>
      <c r="D184" s="474" t="n"/>
      <c r="E184" s="475" t="n"/>
      <c r="F184" s="388" t="n"/>
      <c r="G184" s="396" t="n"/>
      <c r="H184" s="388" t="n"/>
      <c r="I184" s="391" t="n"/>
      <c r="J184" s="476" t="inlineStr">
        <is>
          <t>Qs=</t>
        </is>
      </c>
      <c r="K184" s="391" t="inlineStr">
        <is>
          <t>a</t>
        </is>
      </c>
      <c r="L184" s="388" t="inlineStr">
        <is>
          <t>L</t>
        </is>
      </c>
      <c r="M184" s="396" t="inlineStr">
        <is>
          <t>R</t>
        </is>
      </c>
      <c r="N184" s="477" t="inlineStr">
        <is>
          <t>H</t>
        </is>
      </c>
      <c r="O184" s="478" t="inlineStr">
        <is>
          <t>D  T</t>
        </is>
      </c>
      <c r="P184" s="396" t="inlineStr">
        <is>
          <t>Ze</t>
        </is>
      </c>
      <c r="Q184" s="397" t="n"/>
    </row>
    <row r="185">
      <c r="A185" s="431" t="n"/>
      <c r="C185" s="411" t="n"/>
      <c r="D185" s="411" t="n"/>
      <c r="E185" s="433" t="n"/>
      <c r="F185" s="402" t="n"/>
      <c r="G185" s="434" t="n"/>
      <c r="H185" s="435" t="n"/>
      <c r="I185" s="405" t="n"/>
      <c r="J185" s="436" t="inlineStr">
        <is>
          <t>Qs  =</t>
        </is>
      </c>
      <c r="K185" s="382" t="n">
        <v>2</v>
      </c>
      <c r="L185" s="382" t="n">
        <v>0</v>
      </c>
      <c r="M185" s="382" t="n">
        <v>0.9</v>
      </c>
      <c r="N185" s="382" t="n">
        <v>0.67</v>
      </c>
      <c r="O185" s="479" t="n">
        <v>27</v>
      </c>
      <c r="P185" s="382" t="n">
        <v>1.2</v>
      </c>
      <c r="Q185" s="383">
        <f>K185*L185*M185*N185*O185*P185</f>
        <v/>
      </c>
    </row>
    <row r="186">
      <c r="A186" s="438" t="n"/>
      <c r="B186" s="439" t="n"/>
      <c r="C186" s="411" t="n"/>
      <c r="D186" s="411" t="n"/>
      <c r="E186" s="378" t="n"/>
      <c r="F186" s="256" t="n"/>
      <c r="G186" s="440" t="n"/>
      <c r="H186" s="411" t="n"/>
      <c r="I186" s="411" t="n"/>
      <c r="J186" s="411" t="n"/>
      <c r="K186" s="440" t="n"/>
      <c r="L186" s="412" t="n"/>
      <c r="M186" s="415" t="inlineStr">
        <is>
          <t xml:space="preserve">   TOPLAM ISI KAYBI =</t>
        </is>
      </c>
      <c r="N186" s="415" t="n"/>
      <c r="O186" s="441" t="n"/>
      <c r="P186" s="415" t="n"/>
      <c r="Q186" s="416">
        <f>Q183+Q185</f>
        <v/>
      </c>
    </row>
    <row r="187"/>
    <row r="188">
      <c r="M188" t="inlineStr">
        <is>
          <t>1. KAT TOPLAM =</t>
        </is>
      </c>
      <c r="Q188" s="487">
        <f>Q17+Q26+Q35+Q44+Q56+Q66+Q75+Q85+Q94+Q106+Q117+Q126+Q137+Q147+Q156+Q165+Q177+Q186</f>
        <v/>
      </c>
    </row>
  </sheetData>
  <mergeCells count="4">
    <mergeCell ref="M3:P3"/>
    <mergeCell ref="E3:H3"/>
    <mergeCell ref="I3:L3"/>
    <mergeCell ref="A3:D3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207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2. KAT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201</t>
        </is>
      </c>
      <c r="G8" s="362" t="n"/>
      <c r="H8" s="360" t="n"/>
      <c r="I8" s="363" t="inlineStr">
        <is>
          <t>D7 MUTFAK</t>
        </is>
      </c>
      <c r="J8" s="2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4" t="n"/>
    </row>
    <row r="9" ht="9.949999999999999" customFormat="1" customHeight="1" s="356">
      <c r="A9" s="365" t="inlineStr">
        <is>
          <t>DD</t>
        </is>
      </c>
      <c r="B9" s="366" t="inlineStr">
        <is>
          <t>K</t>
        </is>
      </c>
      <c r="C9" s="367" t="n"/>
      <c r="D9" s="368" t="n">
        <v>0.66</v>
      </c>
      <c r="E9" s="368" t="n">
        <v>3</v>
      </c>
      <c r="F9" s="369">
        <f>IF(D9=0," ",D9*E9)</f>
        <v/>
      </c>
      <c r="G9" s="370" t="n">
        <v>1</v>
      </c>
      <c r="H9" s="371" t="n"/>
      <c r="I9" s="369">
        <f>IF(F9=" "," ",F9*G9-H9)</f>
        <v/>
      </c>
      <c r="J9" s="368" t="n">
        <v>0.479</v>
      </c>
      <c r="K9" s="370" t="n">
        <v>23</v>
      </c>
      <c r="L9" s="372">
        <f>IF(I9=" "," ",I9*J9*K9)</f>
        <v/>
      </c>
      <c r="M9" s="373" t="n">
        <v>7</v>
      </c>
      <c r="N9" s="370" t="n">
        <v>0</v>
      </c>
      <c r="O9" s="373" t="n">
        <v>5</v>
      </c>
      <c r="P9" s="369">
        <f>IF(M9=" "," ",(1+(M9+N9+O9)/100))</f>
        <v/>
      </c>
      <c r="Q9" s="374">
        <f>IF(L9=" "," ",L9*P9)</f>
        <v/>
      </c>
    </row>
    <row r="10" ht="9.949999999999999" customFormat="1" customHeight="1" s="356">
      <c r="A10" s="365" t="inlineStr">
        <is>
          <t>DD</t>
        </is>
      </c>
      <c r="B10" s="366" t="inlineStr">
        <is>
          <t>D</t>
        </is>
      </c>
      <c r="C10" s="367" t="n"/>
      <c r="D10" s="368" t="n">
        <v>1.23</v>
      </c>
      <c r="E10" s="368" t="n">
        <v>3</v>
      </c>
      <c r="F10" s="369">
        <f>IF(D10=0," ",D10*E10)</f>
        <v/>
      </c>
      <c r="G10" s="370" t="n">
        <v>1</v>
      </c>
      <c r="H10" s="371" t="n"/>
      <c r="I10" s="369">
        <f>IF(F10=" "," ",F10*G10-H10)</f>
        <v/>
      </c>
      <c r="J10" s="368" t="n">
        <v>0.479</v>
      </c>
      <c r="K10" s="370" t="n">
        <v>23</v>
      </c>
      <c r="L10" s="372">
        <f>IF(I10=" "," ",I10*J10*K10)</f>
        <v/>
      </c>
      <c r="M10" s="373" t="n">
        <v>7</v>
      </c>
      <c r="N10" s="370" t="n">
        <v>0</v>
      </c>
      <c r="O10" s="373" t="n">
        <v>0</v>
      </c>
      <c r="P10" s="369">
        <f>IF(M10=" "," ",(1+(M10+N10+O10)/100))</f>
        <v/>
      </c>
      <c r="Q10" s="374">
        <f>IF(L10=" "," ",L10*P10)</f>
        <v/>
      </c>
    </row>
    <row r="11" ht="9.949999999999999" customFormat="1" customHeight="1" s="356">
      <c r="A11" s="365" t="inlineStr">
        <is>
          <t>DD</t>
        </is>
      </c>
      <c r="B11" s="366" t="inlineStr">
        <is>
          <t>G</t>
        </is>
      </c>
      <c r="C11" s="367" t="n"/>
      <c r="D11" s="368" t="n">
        <v>2.34</v>
      </c>
      <c r="E11" s="368" t="n">
        <v>3</v>
      </c>
      <c r="F11" s="369">
        <f>IF(D11=0," ",D11*E11)</f>
        <v/>
      </c>
      <c r="G11" s="370" t="n">
        <v>1</v>
      </c>
      <c r="H11" s="371">
        <f>F12*G12</f>
        <v/>
      </c>
      <c r="I11" s="369">
        <f>IF(F11=" "," ",F11*G11-H11)</f>
        <v/>
      </c>
      <c r="J11" s="368" t="n">
        <v>0.479</v>
      </c>
      <c r="K11" s="370" t="n">
        <v>23</v>
      </c>
      <c r="L11" s="372">
        <f>IF(I11=" "," ",I11*J11*K11)</f>
        <v/>
      </c>
      <c r="M11" s="373" t="n">
        <v>7</v>
      </c>
      <c r="N11" s="370" t="n">
        <v>0</v>
      </c>
      <c r="O11" s="373" t="n">
        <v>-5</v>
      </c>
      <c r="P11" s="369">
        <f>IF(M11=" "," ",(1+(M11+N11+O11)/100))</f>
        <v/>
      </c>
      <c r="Q11" s="374">
        <f>IF(L11=" "," ",L11*P11)</f>
        <v/>
      </c>
    </row>
    <row r="12" ht="9.949999999999999" customFormat="1" customHeight="1" s="356">
      <c r="A12" s="365" t="inlineStr">
        <is>
          <t>ÇP</t>
        </is>
      </c>
      <c r="B12" s="366" t="inlineStr">
        <is>
          <t>G</t>
        </is>
      </c>
      <c r="C12" s="367" t="n"/>
      <c r="D12" s="368" t="n">
        <v>1.6</v>
      </c>
      <c r="E12" s="368" t="n">
        <v>2.2</v>
      </c>
      <c r="F12" s="369">
        <f>IF(D12=0," ",D12*E12)</f>
        <v/>
      </c>
      <c r="G12" s="370" t="n">
        <v>1</v>
      </c>
      <c r="H12" s="371" t="n"/>
      <c r="I12" s="369">
        <f>IF(F12=" "," ",F12*G12-H12)</f>
        <v/>
      </c>
      <c r="J12" s="368" t="n">
        <v>2.4</v>
      </c>
      <c r="K12" s="370" t="n">
        <v>23</v>
      </c>
      <c r="L12" s="372">
        <f>IF(I12=" "," ",I12*J12*K12)</f>
        <v/>
      </c>
      <c r="M12" s="373" t="n">
        <v>7</v>
      </c>
      <c r="N12" s="370" t="n">
        <v>0</v>
      </c>
      <c r="O12" s="373" t="n">
        <v>-5</v>
      </c>
      <c r="P12" s="369">
        <f>IF(M12=" "," ",(1+(M12+N12+O12)/100))</f>
        <v/>
      </c>
      <c r="Q12" s="374">
        <f>IF(L12=" "," ",L12*P12)</f>
        <v/>
      </c>
    </row>
    <row r="13" ht="9.949999999999999" customFormat="1" customHeight="1" s="356">
      <c r="A13" s="365" t="inlineStr">
        <is>
          <t>İD</t>
        </is>
      </c>
      <c r="B13" s="366" t="n"/>
      <c r="C13" s="367" t="n"/>
      <c r="D13" s="368" t="n">
        <v>1.12</v>
      </c>
      <c r="E13" s="368" t="n">
        <v>3</v>
      </c>
      <c r="F13" s="369">
        <f>IF(D13=0," ",D13*E13)</f>
        <v/>
      </c>
      <c r="G13" s="370" t="n">
        <v>1</v>
      </c>
      <c r="H13" s="371" t="n"/>
      <c r="I13" s="369">
        <f>IF(F13=" "," ",F13*G13-H13)</f>
        <v/>
      </c>
      <c r="J13" s="368" t="n">
        <v>0.8139999999999999</v>
      </c>
      <c r="K13" s="370" t="n">
        <v>5</v>
      </c>
      <c r="L13" s="372">
        <f>IF(I13=" "," ",I13*J13*K13)</f>
        <v/>
      </c>
      <c r="M13" s="373" t="n">
        <v>7</v>
      </c>
      <c r="N13" s="370" t="n">
        <v>0</v>
      </c>
      <c r="O13" s="373" t="n">
        <v>0</v>
      </c>
      <c r="P13" s="369">
        <f>IF(M13=" "," ",(1+(M13+N13+O13)/100))</f>
        <v/>
      </c>
      <c r="Q13" s="374">
        <f>IF(L13=" "," ",L13*P13)</f>
        <v/>
      </c>
    </row>
    <row r="14" ht="9.949999999999999" customFormat="1" customHeight="1" s="356">
      <c r="A14" s="365" t="inlineStr">
        <is>
          <t>Ta</t>
        </is>
      </c>
      <c r="B14" s="366" t="n"/>
      <c r="C14" s="367" t="n"/>
      <c r="D14" s="368" t="n">
        <v>8.98</v>
      </c>
      <c r="E14" s="368" t="n">
        <v>1</v>
      </c>
      <c r="F14" s="369">
        <f>IF(D14=0," ",D14*E14)</f>
        <v/>
      </c>
      <c r="G14" s="370" t="n">
        <v>1</v>
      </c>
      <c r="H14" s="371" t="n"/>
      <c r="I14" s="369">
        <f>IF(F14=" "," ",F14*G14-H14)</f>
        <v/>
      </c>
      <c r="J14" s="368" t="n">
        <v>0.3</v>
      </c>
      <c r="K14" s="370" t="n">
        <v>23</v>
      </c>
      <c r="L14" s="372">
        <f>IF(I14=" "," ",I14*J14*K14)</f>
        <v/>
      </c>
      <c r="M14" s="373" t="n">
        <v>7</v>
      </c>
      <c r="N14" s="370" t="n">
        <v>0</v>
      </c>
      <c r="O14" s="373" t="n">
        <v>0</v>
      </c>
      <c r="P14" s="369">
        <f>IF(M14=" "," ",(1+(M14+N14+O14)/100))</f>
        <v/>
      </c>
      <c r="Q14" s="374">
        <f>IF(L14=" "," ",L14*P14)</f>
        <v/>
      </c>
    </row>
    <row r="15" ht="9.949999999999999" customFormat="1" customHeight="1" s="356">
      <c r="A15" s="375" t="n"/>
      <c r="B15" s="376" t="n"/>
      <c r="C15" s="376" t="n"/>
      <c r="D15" s="377" t="n"/>
      <c r="E15" s="377" t="n"/>
      <c r="F15" s="378" t="n"/>
      <c r="G15" s="379" t="n"/>
      <c r="H15" s="377" t="n"/>
      <c r="I15" s="378" t="n"/>
      <c r="J15" s="377" t="n"/>
      <c r="K15" s="379" t="n"/>
      <c r="L15" s="380" t="n"/>
      <c r="M15" s="381" t="n"/>
      <c r="N15" s="381" t="n"/>
      <c r="O15" s="381" t="n"/>
      <c r="P15" s="382" t="n"/>
      <c r="Q15" s="383">
        <f>SUM(Q9:Q14)</f>
        <v/>
      </c>
    </row>
    <row r="16" ht="9.949999999999999" customFormat="1" customHeight="1" s="356">
      <c r="A16" s="384" t="n"/>
      <c r="B16" s="385" t="n"/>
      <c r="C16" s="385" t="n"/>
      <c r="D16" s="386" t="n"/>
      <c r="E16" s="387" t="n"/>
      <c r="F16" s="388" t="n"/>
      <c r="G16" s="389" t="n"/>
      <c r="H16" s="390" t="n"/>
      <c r="I16" s="391" t="n"/>
      <c r="J16" s="392" t="inlineStr">
        <is>
          <t>Qs=</t>
        </is>
      </c>
      <c r="K16" s="393" t="inlineStr">
        <is>
          <t>a</t>
        </is>
      </c>
      <c r="L16" s="388" t="inlineStr">
        <is>
          <t>L</t>
        </is>
      </c>
      <c r="M16" s="389" t="inlineStr">
        <is>
          <t>R</t>
        </is>
      </c>
      <c r="N16" s="394" t="inlineStr">
        <is>
          <t>H</t>
        </is>
      </c>
      <c r="O16" s="395" t="inlineStr">
        <is>
          <t>D  T</t>
        </is>
      </c>
      <c r="P16" s="396" t="inlineStr">
        <is>
          <t>Ze</t>
        </is>
      </c>
      <c r="Q16" s="397" t="n"/>
    </row>
    <row r="17" ht="9.949999999999999" customFormat="1" customHeight="1" s="356">
      <c r="A17" s="398" t="n"/>
      <c r="B17" s="399" t="n"/>
      <c r="C17" s="400" t="n"/>
      <c r="D17" s="400" t="n"/>
      <c r="E17" s="401" t="n"/>
      <c r="F17" s="402" t="n"/>
      <c r="G17" s="403" t="n"/>
      <c r="H17" s="404" t="n"/>
      <c r="I17" s="405" t="n"/>
      <c r="J17" s="406" t="inlineStr">
        <is>
          <t>Qs  =</t>
        </is>
      </c>
      <c r="K17" s="407" t="n">
        <v>2</v>
      </c>
      <c r="L17" s="382">
        <f>(D12+E12)*2*G12</f>
        <v/>
      </c>
      <c r="M17" s="407" t="n">
        <v>0.9</v>
      </c>
      <c r="N17" s="407" t="n">
        <v>0.67</v>
      </c>
      <c r="O17" s="381" t="n">
        <v>23</v>
      </c>
      <c r="P17" s="382" t="n">
        <v>1.2</v>
      </c>
      <c r="Q17" s="383">
        <f>K17*L17*M17*N17*O17*P17</f>
        <v/>
      </c>
    </row>
    <row r="18" ht="9.949999999999999" customFormat="1" customHeight="1" s="356">
      <c r="A18" s="408" t="n"/>
      <c r="B18" s="409" t="n"/>
      <c r="C18" s="400" t="n"/>
      <c r="D18" s="400" t="n"/>
      <c r="E18" s="377" t="n"/>
      <c r="F18" s="256" t="n"/>
      <c r="G18" s="410" t="n"/>
      <c r="H18" s="400" t="n"/>
      <c r="I18" s="411" t="n"/>
      <c r="J18" s="400" t="n"/>
      <c r="K18" s="410" t="n"/>
      <c r="L18" s="412" t="n"/>
      <c r="M18" s="413" t="inlineStr">
        <is>
          <t xml:space="preserve">   TOPLAM ISI KAYBI =</t>
        </is>
      </c>
      <c r="N18" s="413" t="n"/>
      <c r="O18" s="414" t="n"/>
      <c r="P18" s="415" t="n"/>
      <c r="Q18" s="416">
        <f>Q15+Q17</f>
        <v/>
      </c>
    </row>
    <row r="19" ht="9.949999999999999" customFormat="1" customHeight="1" s="356">
      <c r="A19" s="417" t="n"/>
      <c r="B19" s="399" t="n"/>
      <c r="C19" s="418" t="n"/>
      <c r="D19" s="419" t="n"/>
      <c r="E19" s="419" t="n"/>
      <c r="F19" s="420" t="n"/>
      <c r="G19" s="421" t="n"/>
      <c r="H19" s="422" t="n"/>
      <c r="I19" s="420" t="n"/>
      <c r="J19" s="419" t="n"/>
      <c r="K19" s="421" t="n"/>
      <c r="L19" s="423" t="n"/>
      <c r="M19" s="424" t="n"/>
      <c r="N19" s="421" t="n"/>
      <c r="O19" s="424" t="n"/>
      <c r="P19" s="420" t="n"/>
      <c r="Q19" s="425" t="n"/>
    </row>
    <row r="20" ht="9.949999999999999" customFormat="1" customHeight="1" s="356">
      <c r="A20" s="359" t="n"/>
      <c r="B20" s="360" t="n"/>
      <c r="C20" s="360" t="n"/>
      <c r="D20" s="360" t="n"/>
      <c r="E20" s="360" t="n"/>
      <c r="F20" s="426" t="inlineStr">
        <is>
          <t>202</t>
        </is>
      </c>
      <c r="G20" s="362" t="n"/>
      <c r="H20" s="360" t="n"/>
      <c r="I20" s="427" t="inlineStr">
        <is>
          <t>D7 YATAK OD.</t>
        </is>
      </c>
      <c r="J20" s="428" t="n"/>
      <c r="K20" s="360" t="inlineStr">
        <is>
          <t>20ºC</t>
        </is>
      </c>
      <c r="L20" s="429" t="n"/>
      <c r="M20" s="360" t="n"/>
      <c r="N20" s="360" t="n"/>
      <c r="O20" s="360" t="n"/>
      <c r="P20" s="429" t="n"/>
      <c r="Q20" s="430" t="n"/>
    </row>
    <row r="21" ht="9.949999999999999" customFormat="1" customHeight="1" s="356">
      <c r="A21" s="365" t="inlineStr">
        <is>
          <t>DD</t>
        </is>
      </c>
      <c r="B21" s="366" t="inlineStr">
        <is>
          <t>B</t>
        </is>
      </c>
      <c r="C21" s="367" t="n"/>
      <c r="D21" s="368" t="n">
        <v>2.72</v>
      </c>
      <c r="E21" s="368" t="n">
        <v>3</v>
      </c>
      <c r="F21" s="369">
        <f>IF(D21=0," ",D21*E21)</f>
        <v/>
      </c>
      <c r="G21" s="370" t="n">
        <v>1</v>
      </c>
      <c r="H21" s="371">
        <f>F22*G22</f>
        <v/>
      </c>
      <c r="I21" s="369">
        <f>IF(F21=" "," ",F21*G21-H21)</f>
        <v/>
      </c>
      <c r="J21" s="368" t="n">
        <v>0.479</v>
      </c>
      <c r="K21" s="370" t="n">
        <v>23</v>
      </c>
      <c r="L21" s="372">
        <f>IF(I21=" "," ",I21*J21*K21)</f>
        <v/>
      </c>
      <c r="M21" s="373" t="n">
        <v>7</v>
      </c>
      <c r="N21" s="370" t="n">
        <v>0</v>
      </c>
      <c r="O21" s="373" t="n">
        <v>0</v>
      </c>
      <c r="P21" s="369">
        <f>IF(M21=" "," ",(1+(M21+N21+O21)/100))</f>
        <v/>
      </c>
      <c r="Q21" s="374">
        <f>IF(L21=" "," ",L21*P21)</f>
        <v/>
      </c>
    </row>
    <row r="22" ht="9.949999999999999" customFormat="1" customHeight="1" s="356">
      <c r="A22" s="365" t="inlineStr">
        <is>
          <t>ÇP</t>
        </is>
      </c>
      <c r="B22" s="366" t="inlineStr">
        <is>
          <t>B</t>
        </is>
      </c>
      <c r="C22" s="367" t="n"/>
      <c r="D22" s="368" t="n">
        <v>1.6</v>
      </c>
      <c r="E22" s="368" t="n">
        <v>2.3</v>
      </c>
      <c r="F22" s="369">
        <f>IF(D22=0," ",D22*E22)</f>
        <v/>
      </c>
      <c r="G22" s="370" t="n">
        <v>1</v>
      </c>
      <c r="H22" s="371" t="n"/>
      <c r="I22" s="369">
        <f>IF(F22=" "," ",F22*G22-H22)</f>
        <v/>
      </c>
      <c r="J22" s="368" t="n">
        <v>2.4</v>
      </c>
      <c r="K22" s="370" t="n">
        <v>23</v>
      </c>
      <c r="L22" s="372">
        <f>IF(I22=" "," ",I22*J22*K22)</f>
        <v/>
      </c>
      <c r="M22" s="373" t="n">
        <v>7</v>
      </c>
      <c r="N22" s="370" t="n">
        <v>0</v>
      </c>
      <c r="O22" s="373" t="n">
        <v>0</v>
      </c>
      <c r="P22" s="369">
        <f>IF(M22=" "," ",(1+(M22+N22+O22)/100))</f>
        <v/>
      </c>
      <c r="Q22" s="374">
        <f>IF(L22=" "," ",L22*P22)</f>
        <v/>
      </c>
    </row>
    <row r="23" ht="9.949999999999999" customFormat="1" customHeight="1" s="356">
      <c r="A23" s="365" t="inlineStr">
        <is>
          <t>İD</t>
        </is>
      </c>
      <c r="B23" s="366" t="n"/>
      <c r="C23" s="367" t="n"/>
      <c r="D23" s="368" t="n">
        <v>2.15</v>
      </c>
      <c r="E23" s="368" t="n">
        <v>3</v>
      </c>
      <c r="F23" s="369">
        <f>IF(D23=0," ",D23*E23)</f>
        <v/>
      </c>
      <c r="G23" s="370" t="n">
        <v>1</v>
      </c>
      <c r="H23" s="371" t="n"/>
      <c r="I23" s="369">
        <f>IF(F23=" "," ",F23*G23-H23)</f>
        <v/>
      </c>
      <c r="J23" s="368" t="n">
        <v>0.8139999999999999</v>
      </c>
      <c r="K23" s="370" t="n">
        <v>5</v>
      </c>
      <c r="L23" s="372">
        <f>IF(I23=" "," ",I23*J23*K23)</f>
        <v/>
      </c>
      <c r="M23" s="373" t="n">
        <v>7</v>
      </c>
      <c r="N23" s="370" t="n">
        <v>0</v>
      </c>
      <c r="O23" s="373" t="n">
        <v>0</v>
      </c>
      <c r="P23" s="369">
        <f>IF(M23=" "," ",(1+(M23+N23+O23)/100))</f>
        <v/>
      </c>
      <c r="Q23" s="374">
        <f>IF(L23=" "," ",L23*P23)</f>
        <v/>
      </c>
    </row>
    <row r="24" ht="9.949999999999999" customFormat="1" customHeight="1" s="356">
      <c r="A24" s="365" t="inlineStr">
        <is>
          <t>Ta</t>
        </is>
      </c>
      <c r="B24" s="366" t="n"/>
      <c r="C24" s="367" t="n"/>
      <c r="D24" s="368" t="n">
        <v>13.6</v>
      </c>
      <c r="E24" s="368" t="n">
        <v>1</v>
      </c>
      <c r="F24" s="369">
        <f>IF(D24=0," ",D24*E24)</f>
        <v/>
      </c>
      <c r="G24" s="370" t="n">
        <v>1</v>
      </c>
      <c r="H24" s="371" t="n"/>
      <c r="I24" s="369">
        <f>IF(F24=" "," ",F24*G24-H24)</f>
        <v/>
      </c>
      <c r="J24" s="368" t="n">
        <v>0.3</v>
      </c>
      <c r="K24" s="370" t="n">
        <v>23</v>
      </c>
      <c r="L24" s="372">
        <f>IF(I24=" "," ",I24*J24*K24)</f>
        <v/>
      </c>
      <c r="M24" s="373" t="n">
        <v>7</v>
      </c>
      <c r="N24" s="370" t="n">
        <v>0</v>
      </c>
      <c r="O24" s="373" t="n">
        <v>0</v>
      </c>
      <c r="P24" s="369">
        <f>IF(M24=" "," ",(1+(M24+N24+O24)/100))</f>
        <v/>
      </c>
      <c r="Q24" s="374">
        <f>IF(L24=" "," ",L24*P24)</f>
        <v/>
      </c>
    </row>
    <row r="25" ht="9.949999999999999" customFormat="1" customHeight="1" s="356">
      <c r="A25" s="375" t="n"/>
      <c r="B25" s="376" t="n"/>
      <c r="C25" s="376" t="n"/>
      <c r="D25" s="377" t="n"/>
      <c r="E25" s="377" t="n"/>
      <c r="F25" s="378" t="n"/>
      <c r="G25" s="379" t="n"/>
      <c r="H25" s="377" t="n"/>
      <c r="I25" s="378" t="n"/>
      <c r="J25" s="377" t="n"/>
      <c r="K25" s="379" t="n"/>
      <c r="L25" s="380" t="n"/>
      <c r="M25" s="381" t="n"/>
      <c r="N25" s="381" t="n"/>
      <c r="O25" s="381" t="n"/>
      <c r="P25" s="382" t="n"/>
      <c r="Q25" s="383">
        <f>SUM(Q21:Q24)</f>
        <v/>
      </c>
    </row>
    <row r="26" ht="9.949999999999999" customFormat="1" customHeight="1" s="356">
      <c r="A26" s="384" t="n"/>
      <c r="B26" s="385" t="n"/>
      <c r="C26" s="385" t="n"/>
      <c r="D26" s="386" t="n"/>
      <c r="E26" s="387" t="n"/>
      <c r="F26" s="388" t="n"/>
      <c r="G26" s="389" t="n"/>
      <c r="H26" s="390" t="n"/>
      <c r="I26" s="391" t="n"/>
      <c r="J26" s="392" t="inlineStr">
        <is>
          <t>Qs=</t>
        </is>
      </c>
      <c r="K26" s="393" t="inlineStr">
        <is>
          <t>a</t>
        </is>
      </c>
      <c r="L26" s="388" t="inlineStr">
        <is>
          <t>L</t>
        </is>
      </c>
      <c r="M26" s="389" t="inlineStr">
        <is>
          <t>R</t>
        </is>
      </c>
      <c r="N26" s="394" t="inlineStr">
        <is>
          <t>H</t>
        </is>
      </c>
      <c r="O26" s="395" t="inlineStr">
        <is>
          <t>D  T</t>
        </is>
      </c>
      <c r="P26" s="396" t="inlineStr">
        <is>
          <t>Ze</t>
        </is>
      </c>
      <c r="Q26" s="397" t="n"/>
    </row>
    <row r="27" ht="9.949999999999999" customFormat="1" customHeight="1" s="356">
      <c r="A27" s="398" t="n"/>
      <c r="B27" s="399" t="n"/>
      <c r="C27" s="400" t="n"/>
      <c r="D27" s="400" t="n"/>
      <c r="E27" s="401" t="n"/>
      <c r="F27" s="402" t="n"/>
      <c r="G27" s="403" t="n"/>
      <c r="H27" s="404" t="n"/>
      <c r="I27" s="405" t="n"/>
      <c r="J27" s="406" t="inlineStr">
        <is>
          <t>Qs  =</t>
        </is>
      </c>
      <c r="K27" s="407" t="n">
        <v>2</v>
      </c>
      <c r="L27" s="382">
        <f>(D22+E22)*2*G22</f>
        <v/>
      </c>
      <c r="M27" s="407" t="n">
        <v>0.9</v>
      </c>
      <c r="N27" s="407" t="n">
        <v>0.67</v>
      </c>
      <c r="O27" s="381" t="n">
        <v>23</v>
      </c>
      <c r="P27" s="382" t="n">
        <v>1.2</v>
      </c>
      <c r="Q27" s="383">
        <f>K27*L27*M27*N27*O27*P27</f>
        <v/>
      </c>
    </row>
    <row r="28" ht="9.949999999999999" customFormat="1" customHeight="1" s="356">
      <c r="A28" s="408" t="n"/>
      <c r="B28" s="409" t="n"/>
      <c r="C28" s="400" t="n"/>
      <c r="D28" s="400" t="n"/>
      <c r="E28" s="377" t="n"/>
      <c r="F28" s="256" t="n"/>
      <c r="G28" s="410" t="n"/>
      <c r="H28" s="400" t="n"/>
      <c r="I28" s="411" t="n"/>
      <c r="J28" s="400" t="n"/>
      <c r="K28" s="410" t="n"/>
      <c r="L28" s="412" t="n"/>
      <c r="M28" s="413" t="inlineStr">
        <is>
          <t xml:space="preserve">   TOPLAM ISI KAYBI =</t>
        </is>
      </c>
      <c r="N28" s="413" t="n"/>
      <c r="O28" s="414" t="n"/>
      <c r="P28" s="415" t="n"/>
      <c r="Q28" s="416">
        <f>Q25+Q27</f>
        <v/>
      </c>
    </row>
    <row r="29" ht="9.949999999999999" customFormat="1" customHeight="1" s="356">
      <c r="A29" s="457" t="n"/>
      <c r="B29" s="432" t="n"/>
      <c r="C29" s="432" t="n"/>
      <c r="D29" s="458" t="n"/>
      <c r="E29" s="458" t="n"/>
      <c r="F29" s="458" t="n"/>
      <c r="G29" s="459" t="n"/>
      <c r="H29" s="458" t="n"/>
      <c r="I29" s="458" t="n"/>
      <c r="J29" s="458" t="n"/>
      <c r="K29" s="459" t="n"/>
      <c r="L29" s="460" t="n"/>
      <c r="M29" s="451" t="n"/>
      <c r="N29" s="451" t="n"/>
      <c r="O29" s="451" t="n"/>
      <c r="P29" s="461" t="n"/>
      <c r="Q29" s="452" t="n"/>
    </row>
    <row r="30" ht="9.949999999999999" customFormat="1" customHeight="1" s="437">
      <c r="A30" s="453" t="n"/>
      <c r="B30" s="429" t="n"/>
      <c r="C30" s="429" t="n"/>
      <c r="D30" s="429" t="n"/>
      <c r="E30" s="429" t="n"/>
      <c r="F30" s="426" t="inlineStr">
        <is>
          <t>203</t>
        </is>
      </c>
      <c r="G30" s="454" t="n"/>
      <c r="H30" s="429" t="n"/>
      <c r="I30" s="427" t="inlineStr">
        <is>
          <t>D7 YATAK OD.</t>
        </is>
      </c>
      <c r="J30" s="264" t="n"/>
      <c r="K30" s="429" t="inlineStr">
        <is>
          <t>20ºC</t>
        </is>
      </c>
      <c r="L30" s="429" t="n"/>
      <c r="M30" s="429" t="n"/>
      <c r="N30" s="429" t="n"/>
      <c r="O30" s="429" t="n"/>
      <c r="P30" s="429" t="n"/>
      <c r="Q30" s="430" t="n"/>
    </row>
    <row r="31" ht="9.949999999999999" customFormat="1" customHeight="1" s="437">
      <c r="A31" s="462" t="inlineStr">
        <is>
          <t>DD</t>
        </is>
      </c>
      <c r="B31" s="463" t="inlineStr">
        <is>
          <t>B</t>
        </is>
      </c>
      <c r="C31" s="464" t="n"/>
      <c r="D31" s="369" t="n">
        <v>2.3</v>
      </c>
      <c r="E31" s="369" t="n">
        <v>3</v>
      </c>
      <c r="F31" s="369">
        <f>IF(D31=0," ",D31*E31)</f>
        <v/>
      </c>
      <c r="G31" s="465" t="n">
        <v>1</v>
      </c>
      <c r="H31" s="466">
        <f>F32*G32</f>
        <v/>
      </c>
      <c r="I31" s="369">
        <f>IF(F31=" "," ",F31*G31-H31)</f>
        <v/>
      </c>
      <c r="J31" s="369" t="n">
        <v>0.479</v>
      </c>
      <c r="K31" s="370" t="n">
        <v>23</v>
      </c>
      <c r="L31" s="455">
        <f>IF(I31=" "," ",I31*J31*K31)</f>
        <v/>
      </c>
      <c r="M31" s="373" t="n">
        <v>7</v>
      </c>
      <c r="N31" s="370" t="n">
        <v>0</v>
      </c>
      <c r="O31" s="373" t="n">
        <v>0</v>
      </c>
      <c r="P31" s="368">
        <f>IF(M31=" "," ",(1+(M31+N31+O31)/100))</f>
        <v/>
      </c>
      <c r="Q31" s="374">
        <f>IF(L31=" "," ",L31*P31)</f>
        <v/>
      </c>
    </row>
    <row r="32" ht="9.949999999999999" customFormat="1" customHeight="1" s="351">
      <c r="A32" s="462" t="inlineStr">
        <is>
          <t>ÇP</t>
        </is>
      </c>
      <c r="B32" s="463" t="inlineStr">
        <is>
          <t>B</t>
        </is>
      </c>
      <c r="C32" s="464" t="n"/>
      <c r="D32" s="369" t="n">
        <v>1.6</v>
      </c>
      <c r="E32" s="369" t="n">
        <v>2.3</v>
      </c>
      <c r="F32" s="369">
        <f>IF(D32=0," ",D32*E32)</f>
        <v/>
      </c>
      <c r="G32" s="465" t="n">
        <v>1</v>
      </c>
      <c r="H32" s="466" t="n"/>
      <c r="I32" s="369">
        <f>IF(F32=" "," ",F32*G32-H32)</f>
        <v/>
      </c>
      <c r="J32" s="369" t="n">
        <v>2.4</v>
      </c>
      <c r="K32" s="465" t="n">
        <v>23</v>
      </c>
      <c r="L32" s="372">
        <f>IF(I32=" "," ",I32*J32*K32)</f>
        <v/>
      </c>
      <c r="M32" s="467" t="n">
        <v>7</v>
      </c>
      <c r="N32" s="465" t="n">
        <v>0</v>
      </c>
      <c r="O32" s="467" t="n">
        <v>0</v>
      </c>
      <c r="P32" s="369">
        <f>IF(M32=" "," ",(1+(M32+N32+O32)/100))</f>
        <v/>
      </c>
      <c r="Q32" s="374">
        <f>IF(L32=" "," ",L32*P32)</f>
        <v/>
      </c>
    </row>
    <row r="33" ht="9.75" customFormat="1" customHeight="1" s="356">
      <c r="A33" s="365" t="inlineStr">
        <is>
          <t>İD</t>
        </is>
      </c>
      <c r="B33" s="366" t="n"/>
      <c r="C33" s="367" t="n"/>
      <c r="D33" s="368" t="n">
        <v>2.5</v>
      </c>
      <c r="E33" s="368" t="n">
        <v>3</v>
      </c>
      <c r="F33" s="368">
        <f>IF(D33=0," ",D33*E33)</f>
        <v/>
      </c>
      <c r="G33" s="370" t="n">
        <v>1</v>
      </c>
      <c r="H33" s="371" t="n"/>
      <c r="I33" s="368">
        <f>IF(F33=" "," ",F33*G33-H33)</f>
        <v/>
      </c>
      <c r="J33" s="369" t="n">
        <v>0.8139999999999999</v>
      </c>
      <c r="K33" s="370" t="n">
        <v>5</v>
      </c>
      <c r="L33" s="455">
        <f>IF(I33=" "," ",I33*J33*K33)</f>
        <v/>
      </c>
      <c r="M33" s="373" t="n">
        <v>7</v>
      </c>
      <c r="N33" s="370" t="n">
        <v>0</v>
      </c>
      <c r="O33" s="373" t="n">
        <v>0</v>
      </c>
      <c r="P33" s="368">
        <f>IF(M33=" "," ",(1+(M33+N33+O33)/100))</f>
        <v/>
      </c>
      <c r="Q33" s="456">
        <f>IF(L33=" "," ",L33*P33)</f>
        <v/>
      </c>
    </row>
    <row r="34" ht="9.949999999999999" customFormat="1" customHeight="1" s="356">
      <c r="A34" s="365" t="inlineStr">
        <is>
          <t>Ta</t>
        </is>
      </c>
      <c r="B34" s="366" t="n"/>
      <c r="C34" s="367" t="n"/>
      <c r="D34" s="368" t="n">
        <v>8.890000000000001</v>
      </c>
      <c r="E34" s="368" t="n">
        <v>1</v>
      </c>
      <c r="F34" s="369">
        <f>IF(D34=0," ",D34*E34)</f>
        <v/>
      </c>
      <c r="G34" s="370" t="n">
        <v>1</v>
      </c>
      <c r="H34" s="371" t="n"/>
      <c r="I34" s="369">
        <f>IF(F34=" "," ",F34*G34-H34)</f>
        <v/>
      </c>
      <c r="J34" s="368" t="n">
        <v>0.3</v>
      </c>
      <c r="K34" s="370" t="n">
        <v>23</v>
      </c>
      <c r="L34" s="372">
        <f>IF(I34=" "," ",I34*J34*K34)</f>
        <v/>
      </c>
      <c r="M34" s="373" t="n">
        <v>7</v>
      </c>
      <c r="N34" s="370" t="n">
        <v>0</v>
      </c>
      <c r="O34" s="373" t="n">
        <v>0</v>
      </c>
      <c r="P34" s="369">
        <f>IF(M34=" "," ",(1+(M34+N34+O34)/100))</f>
        <v/>
      </c>
      <c r="Q34" s="374">
        <f>IF(L34=" "," ",L34*P34)</f>
        <v/>
      </c>
    </row>
    <row r="35" ht="9.949999999999999" customFormat="1" customHeight="1" s="356">
      <c r="A35" s="375" t="n"/>
      <c r="B35" s="376" t="n"/>
      <c r="C35" s="376" t="n"/>
      <c r="D35" s="377" t="n"/>
      <c r="E35" s="377" t="n"/>
      <c r="F35" s="378" t="n"/>
      <c r="G35" s="379" t="n"/>
      <c r="H35" s="377" t="n"/>
      <c r="I35" s="378" t="n"/>
      <c r="J35" s="377" t="n"/>
      <c r="K35" s="379" t="n"/>
      <c r="L35" s="380" t="n"/>
      <c r="M35" s="381" t="n"/>
      <c r="N35" s="381" t="n"/>
      <c r="O35" s="381" t="n"/>
      <c r="P35" s="382" t="n"/>
      <c r="Q35" s="383">
        <f>SUM(Q31:Q34)</f>
        <v/>
      </c>
    </row>
    <row r="36" ht="9.949999999999999" customFormat="1" customHeight="1" s="356">
      <c r="A36" s="384" t="n"/>
      <c r="B36" s="385" t="n"/>
      <c r="C36" s="385" t="n"/>
      <c r="D36" s="386" t="n"/>
      <c r="E36" s="387" t="n"/>
      <c r="F36" s="388" t="n"/>
      <c r="G36" s="389" t="n"/>
      <c r="H36" s="390" t="n"/>
      <c r="I36" s="391" t="n"/>
      <c r="J36" s="392" t="inlineStr">
        <is>
          <t>Qs=</t>
        </is>
      </c>
      <c r="K36" s="393" t="inlineStr">
        <is>
          <t>a</t>
        </is>
      </c>
      <c r="L36" s="388" t="inlineStr">
        <is>
          <t>L</t>
        </is>
      </c>
      <c r="M36" s="389" t="inlineStr">
        <is>
          <t>R</t>
        </is>
      </c>
      <c r="N36" s="394" t="inlineStr">
        <is>
          <t>H</t>
        </is>
      </c>
      <c r="O36" s="395" t="inlineStr">
        <is>
          <t>D  T</t>
        </is>
      </c>
      <c r="P36" s="396" t="inlineStr">
        <is>
          <t>Ze</t>
        </is>
      </c>
      <c r="Q36" s="397" t="n"/>
    </row>
    <row r="37" ht="9.949999999999999" customFormat="1" customHeight="1" s="356">
      <c r="A37" s="398" t="n"/>
      <c r="B37" s="399" t="n"/>
      <c r="C37" s="400" t="n"/>
      <c r="D37" s="400" t="n"/>
      <c r="E37" s="401" t="n"/>
      <c r="F37" s="402" t="n"/>
      <c r="G37" s="403" t="n"/>
      <c r="H37" s="404" t="n"/>
      <c r="I37" s="405" t="n"/>
      <c r="J37" s="406" t="inlineStr">
        <is>
          <t>Qs  =</t>
        </is>
      </c>
      <c r="K37" s="407" t="n">
        <v>2</v>
      </c>
      <c r="L37" s="382">
        <f>(D32+E32)*2*G32</f>
        <v/>
      </c>
      <c r="M37" s="407" t="n">
        <v>0.9</v>
      </c>
      <c r="N37" s="407" t="n">
        <v>0.67</v>
      </c>
      <c r="O37" s="381" t="n">
        <v>23</v>
      </c>
      <c r="P37" s="382" t="n">
        <v>1.2</v>
      </c>
      <c r="Q37" s="383">
        <f>K37*L37*M37*N37*O37*P37</f>
        <v/>
      </c>
    </row>
    <row r="38" ht="9.949999999999999" customFormat="1" customHeight="1" s="356">
      <c r="A38" s="408" t="n"/>
      <c r="B38" s="409" t="n"/>
      <c r="C38" s="400" t="n"/>
      <c r="D38" s="400" t="n"/>
      <c r="E38" s="377" t="n"/>
      <c r="F38" s="256" t="n"/>
      <c r="G38" s="410" t="n"/>
      <c r="H38" s="400" t="n"/>
      <c r="I38" s="411" t="n"/>
      <c r="J38" s="400" t="n"/>
      <c r="K38" s="410" t="n"/>
      <c r="L38" s="412" t="n"/>
      <c r="M38" s="413" t="inlineStr">
        <is>
          <t xml:space="preserve">   TOPLAM ISI KAYBI =</t>
        </is>
      </c>
      <c r="N38" s="413" t="n"/>
      <c r="O38" s="414" t="n"/>
      <c r="P38" s="415" t="n"/>
      <c r="Q38" s="416">
        <f>Q35+Q37</f>
        <v/>
      </c>
    </row>
    <row r="39" ht="9.949999999999999" customFormat="1" customHeight="1" s="356">
      <c r="A39" s="417" t="n"/>
      <c r="B39" s="399" t="n"/>
      <c r="C39" s="418" t="n"/>
      <c r="D39" s="419" t="n"/>
      <c r="E39" s="419" t="n"/>
      <c r="F39" s="420" t="n"/>
      <c r="G39" s="421" t="n"/>
      <c r="H39" s="422" t="n"/>
      <c r="I39" s="420" t="n"/>
      <c r="J39" s="419" t="n"/>
      <c r="K39" s="421" t="n"/>
      <c r="L39" s="423" t="n"/>
      <c r="M39" s="424" t="n"/>
      <c r="N39" s="421" t="n"/>
      <c r="O39" s="424" t="n"/>
      <c r="P39" s="420" t="n"/>
      <c r="Q39" s="488" t="n"/>
    </row>
    <row r="40" ht="9.949999999999999" customFormat="1" customHeight="1" s="356">
      <c r="A40" s="359" t="n"/>
      <c r="B40" s="360" t="n"/>
      <c r="C40" s="360" t="n"/>
      <c r="D40" s="360" t="n"/>
      <c r="E40" s="360" t="n"/>
      <c r="F40" s="426" t="inlineStr">
        <is>
          <t>204</t>
        </is>
      </c>
      <c r="G40" s="362" t="n"/>
      <c r="H40" s="360" t="n"/>
      <c r="I40" s="427" t="inlineStr">
        <is>
          <t>D7 YATAK OD.</t>
        </is>
      </c>
      <c r="J40" s="428" t="n"/>
      <c r="K40" s="360" t="inlineStr">
        <is>
          <t>20ºC</t>
        </is>
      </c>
      <c r="L40" s="429" t="n"/>
      <c r="M40" s="360" t="n"/>
      <c r="N40" s="360" t="n"/>
      <c r="O40" s="360" t="n"/>
      <c r="P40" s="429" t="n"/>
      <c r="Q40" s="430" t="n"/>
    </row>
    <row r="41" ht="9.949999999999999" customFormat="1" customHeight="1" s="356">
      <c r="A41" s="462" t="inlineStr">
        <is>
          <t>DD</t>
        </is>
      </c>
      <c r="B41" s="463" t="inlineStr">
        <is>
          <t>B</t>
        </is>
      </c>
      <c r="C41" s="464" t="n"/>
      <c r="D41" s="369" t="n">
        <v>2.44</v>
      </c>
      <c r="E41" s="369" t="n">
        <v>3</v>
      </c>
      <c r="F41" s="369">
        <f>IF(D41=0," ",D41*E41)</f>
        <v/>
      </c>
      <c r="G41" s="465" t="n">
        <v>1</v>
      </c>
      <c r="H41" s="466">
        <f>F42*G42</f>
        <v/>
      </c>
      <c r="I41" s="369">
        <f>IF(F41=" "," ",F41*G41-H41)</f>
        <v/>
      </c>
      <c r="J41" s="369" t="n">
        <v>0.479</v>
      </c>
      <c r="K41" s="465" t="n">
        <v>23</v>
      </c>
      <c r="L41" s="372">
        <f>IF(I41=" "," ",I41*J41*K41)</f>
        <v/>
      </c>
      <c r="M41" s="373" t="n">
        <v>7</v>
      </c>
      <c r="N41" s="370" t="n">
        <v>0</v>
      </c>
      <c r="O41" s="373" t="n">
        <v>0</v>
      </c>
      <c r="P41" s="369">
        <f>IF(M41=" "," ",(1+(M41+N41+O41)/100))</f>
        <v/>
      </c>
      <c r="Q41" s="374">
        <f>IF(L41=" "," ",L41*P41)</f>
        <v/>
      </c>
    </row>
    <row r="42" ht="9.949999999999999" customFormat="1" customHeight="1" s="437">
      <c r="A42" s="462" t="inlineStr">
        <is>
          <t>ÇP</t>
        </is>
      </c>
      <c r="B42" s="463" t="inlineStr">
        <is>
          <t>B</t>
        </is>
      </c>
      <c r="C42" s="464" t="n"/>
      <c r="D42" s="369" t="n">
        <v>1.6</v>
      </c>
      <c r="E42" s="369" t="n">
        <v>2.3</v>
      </c>
      <c r="F42" s="369">
        <f>IF(D42=0," ",D42*E42)</f>
        <v/>
      </c>
      <c r="G42" s="465" t="n">
        <v>1</v>
      </c>
      <c r="H42" s="466" t="n"/>
      <c r="I42" s="369">
        <f>IF(F42=" "," ",F42*G42-H42)</f>
        <v/>
      </c>
      <c r="J42" s="369" t="n">
        <v>2.4</v>
      </c>
      <c r="K42" s="465" t="n">
        <v>23</v>
      </c>
      <c r="L42" s="372">
        <f>IF(I42=" "," ",I42*J42*K42)</f>
        <v/>
      </c>
      <c r="M42" s="467" t="n">
        <v>7</v>
      </c>
      <c r="N42" s="465" t="n">
        <v>0</v>
      </c>
      <c r="O42" s="467" t="n">
        <v>0</v>
      </c>
      <c r="P42" s="369">
        <f>IF(M42=" "," ",(1+(M42+N42+O42)/100))</f>
        <v/>
      </c>
      <c r="Q42" s="374">
        <f>IF(L42=" "," ",L42*P42)</f>
        <v/>
      </c>
    </row>
    <row r="43" ht="9.949999999999999" customFormat="1" customHeight="1" s="437">
      <c r="A43" s="462" t="inlineStr">
        <is>
          <t>İD</t>
        </is>
      </c>
      <c r="B43" s="463" t="n"/>
      <c r="C43" s="464" t="n"/>
      <c r="D43" s="369" t="n">
        <v>1.22</v>
      </c>
      <c r="E43" s="369" t="n">
        <v>3</v>
      </c>
      <c r="F43" s="369">
        <f>IF(D43=0," ",D43*E43)</f>
        <v/>
      </c>
      <c r="G43" s="465" t="n">
        <v>1</v>
      </c>
      <c r="H43" s="466" t="n"/>
      <c r="I43" s="369">
        <f>IF(F43=" "," ",F43*G43-H43)</f>
        <v/>
      </c>
      <c r="J43" s="369" t="n">
        <v>0.8139999999999999</v>
      </c>
      <c r="K43" s="370" t="n">
        <v>5</v>
      </c>
      <c r="L43" s="455">
        <f>IF(I43=" "," ",I43*J43*K43)</f>
        <v/>
      </c>
      <c r="M43" s="373" t="n">
        <v>7</v>
      </c>
      <c r="N43" s="370" t="n">
        <v>0</v>
      </c>
      <c r="O43" s="373" t="n">
        <v>0</v>
      </c>
      <c r="P43" s="368">
        <f>IF(M43=" "," ",(1+(M43+N43+O43)/100))</f>
        <v/>
      </c>
      <c r="Q43" s="374">
        <f>IF(L43=" "," ",L43*P43)</f>
        <v/>
      </c>
    </row>
    <row r="44" ht="9.949999999999999" customFormat="1" customHeight="1" s="351">
      <c r="A44" s="462" t="inlineStr">
        <is>
          <t>Ta</t>
        </is>
      </c>
      <c r="B44" s="463" t="n"/>
      <c r="C44" s="464" t="n"/>
      <c r="D44" s="369" t="n">
        <v>8.960000000000001</v>
      </c>
      <c r="E44" s="369" t="n">
        <v>1</v>
      </c>
      <c r="F44" s="369">
        <f>IF(D44=0," ",D44*E44)</f>
        <v/>
      </c>
      <c r="G44" s="465" t="n">
        <v>1</v>
      </c>
      <c r="H44" s="466" t="n"/>
      <c r="I44" s="369">
        <f>IF(F44=" "," ",F44*G44-H44)</f>
        <v/>
      </c>
      <c r="J44" s="369" t="n">
        <v>0.3</v>
      </c>
      <c r="K44" s="465" t="n">
        <v>23</v>
      </c>
      <c r="L44" s="372">
        <f>IF(I44=" "," ",I44*J44*K44)</f>
        <v/>
      </c>
      <c r="M44" s="467" t="n">
        <v>7</v>
      </c>
      <c r="N44" s="465" t="n">
        <v>0</v>
      </c>
      <c r="O44" s="467" t="n">
        <v>0</v>
      </c>
      <c r="P44" s="369">
        <f>IF(M44=" "," ",(1+(M44+N44+O44)/100))</f>
        <v/>
      </c>
      <c r="Q44" s="374">
        <f>IF(L44=" "," ",L44*P44)</f>
        <v/>
      </c>
    </row>
    <row r="45" ht="9.949999999999999" customFormat="1" customHeight="1" s="356">
      <c r="A45" s="375" t="n"/>
      <c r="B45" s="376" t="n"/>
      <c r="C45" s="376" t="n"/>
      <c r="D45" s="377" t="n"/>
      <c r="E45" s="377" t="n"/>
      <c r="F45" s="377" t="n"/>
      <c r="G45" s="379" t="n"/>
      <c r="H45" s="377" t="n"/>
      <c r="I45" s="377" t="n"/>
      <c r="J45" s="378" t="n"/>
      <c r="K45" s="379" t="n"/>
      <c r="L45" s="471" t="n"/>
      <c r="M45" s="381" t="n"/>
      <c r="N45" s="381" t="n"/>
      <c r="O45" s="381" t="n"/>
      <c r="P45" s="407" t="n"/>
      <c r="Q45" s="497">
        <f>SUM(Q41:Q44)</f>
        <v/>
      </c>
    </row>
    <row r="46" ht="9.949999999999999" customFormat="1" customHeight="1" s="356">
      <c r="A46" s="384" t="n"/>
      <c r="B46" s="385" t="n"/>
      <c r="C46" s="385" t="n"/>
      <c r="D46" s="386" t="n"/>
      <c r="E46" s="387" t="n"/>
      <c r="F46" s="388" t="n"/>
      <c r="G46" s="389" t="n"/>
      <c r="H46" s="390" t="n"/>
      <c r="I46" s="391" t="n"/>
      <c r="J46" s="392" t="inlineStr">
        <is>
          <t>Qs=</t>
        </is>
      </c>
      <c r="K46" s="393" t="inlineStr">
        <is>
          <t>a</t>
        </is>
      </c>
      <c r="L46" s="388" t="inlineStr">
        <is>
          <t>L</t>
        </is>
      </c>
      <c r="M46" s="389" t="inlineStr">
        <is>
          <t>R</t>
        </is>
      </c>
      <c r="N46" s="394" t="inlineStr">
        <is>
          <t>H</t>
        </is>
      </c>
      <c r="O46" s="395" t="inlineStr">
        <is>
          <t>D  T</t>
        </is>
      </c>
      <c r="P46" s="396" t="inlineStr">
        <is>
          <t>Ze</t>
        </is>
      </c>
      <c r="Q46" s="397" t="n"/>
    </row>
    <row r="47" ht="9.949999999999999" customFormat="1" customHeight="1" s="356">
      <c r="A47" s="398" t="n"/>
      <c r="B47" s="399" t="n"/>
      <c r="C47" s="400" t="n"/>
      <c r="D47" s="400" t="n"/>
      <c r="E47" s="401" t="n"/>
      <c r="F47" s="402" t="n"/>
      <c r="G47" s="403" t="n"/>
      <c r="H47" s="404" t="n"/>
      <c r="I47" s="405" t="n"/>
      <c r="J47" s="406" t="inlineStr">
        <is>
          <t>Qs  =</t>
        </is>
      </c>
      <c r="K47" s="407" t="n">
        <v>2</v>
      </c>
      <c r="L47" s="382">
        <f>(D42+E42)*2*G42</f>
        <v/>
      </c>
      <c r="M47" s="407" t="n">
        <v>0.9</v>
      </c>
      <c r="N47" s="407" t="n">
        <v>0.67</v>
      </c>
      <c r="O47" s="381" t="n">
        <v>23</v>
      </c>
      <c r="P47" s="382" t="n">
        <v>1.2</v>
      </c>
      <c r="Q47" s="383">
        <f>K47*L47*M47*N47*O47*P47</f>
        <v/>
      </c>
    </row>
    <row r="48" ht="9.949999999999999" customFormat="1" customHeight="1" s="356">
      <c r="A48" s="408" t="n"/>
      <c r="B48" s="409" t="n"/>
      <c r="C48" s="400" t="n"/>
      <c r="D48" s="400" t="n"/>
      <c r="E48" s="377" t="n"/>
      <c r="F48" s="256" t="n"/>
      <c r="G48" s="410" t="n"/>
      <c r="H48" s="400" t="n"/>
      <c r="I48" s="411" t="n"/>
      <c r="J48" s="400" t="n"/>
      <c r="K48" s="410" t="n"/>
      <c r="L48" s="412" t="n"/>
      <c r="M48" s="413" t="inlineStr">
        <is>
          <t xml:space="preserve">   TOPLAM ISI KAYBI =</t>
        </is>
      </c>
      <c r="N48" s="413" t="n"/>
      <c r="O48" s="414" t="n"/>
      <c r="P48" s="415" t="n"/>
      <c r="Q48" s="416">
        <f>Q45+Q47</f>
        <v/>
      </c>
    </row>
    <row r="49" ht="9.949999999999999" customFormat="1" customHeight="1" s="356">
      <c r="A49" s="417" t="n"/>
      <c r="B49" s="399" t="n"/>
      <c r="C49" s="418" t="n"/>
      <c r="D49" s="419" t="n"/>
      <c r="E49" s="419" t="n"/>
      <c r="F49" s="420" t="n"/>
      <c r="G49" s="421" t="n"/>
      <c r="H49" s="422" t="n"/>
      <c r="I49" s="420" t="n"/>
      <c r="J49" s="419" t="n"/>
      <c r="K49" s="421" t="n"/>
      <c r="L49" s="423" t="n"/>
      <c r="M49" s="424" t="n"/>
      <c r="N49" s="421" t="n"/>
      <c r="O49" s="424" t="n"/>
      <c r="P49" s="420" t="n"/>
      <c r="Q49" s="425" t="n"/>
    </row>
    <row r="50" ht="9.949999999999999" customFormat="1" customHeight="1" s="356">
      <c r="A50" s="359" t="n"/>
      <c r="B50" s="360" t="n"/>
      <c r="C50" s="360" t="n"/>
      <c r="D50" s="360" t="n"/>
      <c r="E50" s="360" t="n"/>
      <c r="F50" s="426" t="inlineStr">
        <is>
          <t>205</t>
        </is>
      </c>
      <c r="G50" s="362" t="n"/>
      <c r="H50" s="360" t="n"/>
      <c r="I50" s="427" t="inlineStr">
        <is>
          <t>D7 SALON</t>
        </is>
      </c>
      <c r="J50" s="428" t="n"/>
      <c r="K50" s="360" t="inlineStr">
        <is>
          <t>20ºC</t>
        </is>
      </c>
      <c r="L50" s="429" t="n"/>
      <c r="M50" s="360" t="n"/>
      <c r="N50" s="360" t="n"/>
      <c r="O50" s="360" t="n"/>
      <c r="P50" s="429" t="n"/>
      <c r="Q50" s="430" t="n"/>
    </row>
    <row r="51" ht="9.949999999999999" customFormat="1" customHeight="1" s="356">
      <c r="A51" s="365" t="inlineStr">
        <is>
          <t>DD</t>
        </is>
      </c>
      <c r="B51" s="366" t="inlineStr">
        <is>
          <t>D</t>
        </is>
      </c>
      <c r="C51" s="367" t="n"/>
      <c r="D51" s="368" t="n">
        <v>0.63</v>
      </c>
      <c r="E51" s="368" t="n">
        <v>3</v>
      </c>
      <c r="F51" s="369">
        <f>IF(D51=0," ",D51*E51)</f>
        <v/>
      </c>
      <c r="G51" s="370" t="n">
        <v>1</v>
      </c>
      <c r="H51" s="371" t="n"/>
      <c r="I51" s="369">
        <f>IF(F51=" "," ",F51*G51-H51)</f>
        <v/>
      </c>
      <c r="J51" s="368" t="n">
        <v>0.479</v>
      </c>
      <c r="K51" s="370" t="n">
        <v>23</v>
      </c>
      <c r="L51" s="372">
        <f>IF(I51=" "," ",I51*J51*K51)</f>
        <v/>
      </c>
      <c r="M51" s="373" t="n">
        <v>7</v>
      </c>
      <c r="N51" s="370" t="n">
        <v>0</v>
      </c>
      <c r="O51" s="373" t="n">
        <v>0</v>
      </c>
      <c r="P51" s="369">
        <f>IF(M51=" "," ",(1+(M51+N51+O51)/100))</f>
        <v/>
      </c>
      <c r="Q51" s="374">
        <f>IF(L51=" "," ",L51*P51)</f>
        <v/>
      </c>
    </row>
    <row r="52" ht="9.949999999999999" customFormat="1" customHeight="1" s="356">
      <c r="A52" s="365" t="inlineStr">
        <is>
          <t>DD</t>
        </is>
      </c>
      <c r="B52" s="366" t="inlineStr">
        <is>
          <t>G</t>
        </is>
      </c>
      <c r="C52" s="367" t="n"/>
      <c r="D52" s="368" t="n">
        <v>4.7</v>
      </c>
      <c r="E52" s="368" t="n">
        <v>3</v>
      </c>
      <c r="F52" s="369">
        <f>IF(D52=0," ",D52*E52)</f>
        <v/>
      </c>
      <c r="G52" s="370" t="n">
        <v>1</v>
      </c>
      <c r="H52" s="371">
        <f>F53*G53</f>
        <v/>
      </c>
      <c r="I52" s="369">
        <f>IF(F52=" "," ",F52*G52-H52)</f>
        <v/>
      </c>
      <c r="J52" s="368" t="n">
        <v>0.479</v>
      </c>
      <c r="K52" s="370" t="n">
        <v>23</v>
      </c>
      <c r="L52" s="372">
        <f>IF(I52=" "," ",I52*J52*K52)</f>
        <v/>
      </c>
      <c r="M52" s="373" t="n">
        <v>7</v>
      </c>
      <c r="N52" s="370" t="n">
        <v>0</v>
      </c>
      <c r="O52" s="373" t="n">
        <v>-5</v>
      </c>
      <c r="P52" s="369">
        <f>IF(M52=" "," ",(1+(M52+N52+O52)/100))</f>
        <v/>
      </c>
      <c r="Q52" s="374">
        <f>IF(L52=" "," ",L52*P52)</f>
        <v/>
      </c>
    </row>
    <row r="53" ht="9.949999999999999" customFormat="1" customHeight="1" s="356">
      <c r="A53" s="365" t="inlineStr">
        <is>
          <t>ÇP</t>
        </is>
      </c>
      <c r="B53" s="366" t="inlineStr">
        <is>
          <t>G</t>
        </is>
      </c>
      <c r="C53" s="367" t="n"/>
      <c r="D53" s="368" t="n">
        <v>1.6</v>
      </c>
      <c r="E53" s="368" t="n">
        <v>2.1</v>
      </c>
      <c r="F53" s="369">
        <f>IF(D53=0," ",D53*E53)</f>
        <v/>
      </c>
      <c r="G53" s="370" t="n">
        <v>1</v>
      </c>
      <c r="H53" s="371" t="n"/>
      <c r="I53" s="369">
        <f>IF(F53=" "," ",F53*G53-H53)</f>
        <v/>
      </c>
      <c r="J53" s="368" t="n">
        <v>2.4</v>
      </c>
      <c r="K53" s="370" t="n">
        <v>23</v>
      </c>
      <c r="L53" s="372">
        <f>IF(I53=" "," ",I53*J53*K53)</f>
        <v/>
      </c>
      <c r="M53" s="373" t="n">
        <v>7</v>
      </c>
      <c r="N53" s="370" t="n">
        <v>0</v>
      </c>
      <c r="O53" s="373" t="n">
        <v>-5</v>
      </c>
      <c r="P53" s="369">
        <f>IF(M53=" "," ",(1+(M53+N53+O53)/100))</f>
        <v/>
      </c>
      <c r="Q53" s="374">
        <f>IF(L53=" "," ",L53*P53)</f>
        <v/>
      </c>
    </row>
    <row r="54" ht="9.949999999999999" customFormat="1" customHeight="1" s="356">
      <c r="A54" s="462" t="inlineStr">
        <is>
          <t>DD</t>
        </is>
      </c>
      <c r="B54" s="463" t="inlineStr">
        <is>
          <t>B</t>
        </is>
      </c>
      <c r="C54" s="464" t="n"/>
      <c r="D54" s="369" t="n">
        <v>3.4</v>
      </c>
      <c r="E54" s="369" t="n">
        <v>3</v>
      </c>
      <c r="F54" s="369">
        <f>IF(D54=0," ",D54*E54)</f>
        <v/>
      </c>
      <c r="G54" s="465" t="n">
        <v>1</v>
      </c>
      <c r="H54" s="466">
        <f>F55*G55</f>
        <v/>
      </c>
      <c r="I54" s="369">
        <f>IF(F54=" "," ",F54*G54-H54)</f>
        <v/>
      </c>
      <c r="J54" s="369" t="n">
        <v>0.479</v>
      </c>
      <c r="K54" s="465" t="n">
        <v>23</v>
      </c>
      <c r="L54" s="372">
        <f>IF(I54=" "," ",I54*J54*K54)</f>
        <v/>
      </c>
      <c r="M54" s="373" t="n">
        <v>7</v>
      </c>
      <c r="N54" s="370" t="n">
        <v>0</v>
      </c>
      <c r="O54" s="373" t="n">
        <v>0</v>
      </c>
      <c r="P54" s="369">
        <f>IF(M54=" "," ",(1+(M54+N54+O54)/100))</f>
        <v/>
      </c>
      <c r="Q54" s="374">
        <f>IF(L54=" "," ",L54*P54)</f>
        <v/>
      </c>
    </row>
    <row r="55" ht="9.949999999999999" customFormat="1" customHeight="1" s="437">
      <c r="A55" s="462" t="inlineStr">
        <is>
          <t>ÇP</t>
        </is>
      </c>
      <c r="B55" s="463" t="inlineStr">
        <is>
          <t>B</t>
        </is>
      </c>
      <c r="C55" s="464" t="n"/>
      <c r="D55" s="369" t="n">
        <v>1.6</v>
      </c>
      <c r="E55" s="369" t="n">
        <v>2.1</v>
      </c>
      <c r="F55" s="369">
        <f>IF(D55=0," ",D55*E55)</f>
        <v/>
      </c>
      <c r="G55" s="465" t="n">
        <v>1</v>
      </c>
      <c r="H55" s="466" t="n"/>
      <c r="I55" s="369">
        <f>IF(F55=" "," ",F55*G55-H55)</f>
        <v/>
      </c>
      <c r="J55" s="369" t="n">
        <v>2.4</v>
      </c>
      <c r="K55" s="465" t="n">
        <v>23</v>
      </c>
      <c r="L55" s="372">
        <f>IF(I55=" "," ",I55*J55*K55)</f>
        <v/>
      </c>
      <c r="M55" s="467" t="n">
        <v>7</v>
      </c>
      <c r="N55" s="465" t="n">
        <v>0</v>
      </c>
      <c r="O55" s="467" t="n">
        <v>0</v>
      </c>
      <c r="P55" s="369">
        <f>IF(M55=" "," ",(1+(M55+N55+O55)/100))</f>
        <v/>
      </c>
      <c r="Q55" s="374">
        <f>IF(L55=" "," ",L55*P55)</f>
        <v/>
      </c>
    </row>
    <row r="56" ht="9.949999999999999" customFormat="1" customHeight="1" s="437">
      <c r="A56" s="462" t="inlineStr">
        <is>
          <t>İD</t>
        </is>
      </c>
      <c r="B56" s="463" t="n"/>
      <c r="C56" s="464" t="n"/>
      <c r="D56" s="369" t="n">
        <v>1.06</v>
      </c>
      <c r="E56" s="369" t="n">
        <v>3</v>
      </c>
      <c r="F56" s="369">
        <f>IF(D56=0," ",D56*E56)</f>
        <v/>
      </c>
      <c r="G56" s="465" t="n">
        <v>1</v>
      </c>
      <c r="H56" s="466" t="n"/>
      <c r="I56" s="369">
        <f>IF(F56=" "," ",F56*G56-H56)</f>
        <v/>
      </c>
      <c r="J56" s="369" t="n">
        <v>0.8139999999999999</v>
      </c>
      <c r="K56" s="370" t="n">
        <v>5</v>
      </c>
      <c r="L56" s="455">
        <f>IF(I56=" "," ",I56*J56*K56)</f>
        <v/>
      </c>
      <c r="M56" s="373" t="n">
        <v>7</v>
      </c>
      <c r="N56" s="370" t="n">
        <v>0</v>
      </c>
      <c r="O56" s="373" t="n">
        <v>0</v>
      </c>
      <c r="P56" s="368">
        <f>IF(M56=" "," ",(1+(M56+N56+O56)/100))</f>
        <v/>
      </c>
      <c r="Q56" s="374">
        <f>IF(L56=" "," ",L56*P56)</f>
        <v/>
      </c>
    </row>
    <row r="57" ht="9.949999999999999" customFormat="1" customHeight="1" s="351">
      <c r="A57" s="462" t="inlineStr">
        <is>
          <t>Ta</t>
        </is>
      </c>
      <c r="B57" s="463" t="n"/>
      <c r="C57" s="464" t="n"/>
      <c r="D57" s="369" t="n">
        <v>20.3</v>
      </c>
      <c r="E57" s="369" t="n">
        <v>1</v>
      </c>
      <c r="F57" s="369">
        <f>IF(D57=0," ",D57*E57)</f>
        <v/>
      </c>
      <c r="G57" s="465" t="n">
        <v>1</v>
      </c>
      <c r="H57" s="466" t="n"/>
      <c r="I57" s="369">
        <f>IF(F57=" "," ",F57*G57-H57)</f>
        <v/>
      </c>
      <c r="J57" s="369" t="n">
        <v>0.3</v>
      </c>
      <c r="K57" s="465" t="n">
        <v>23</v>
      </c>
      <c r="L57" s="372">
        <f>IF(I57=" "," ",I57*J57*K57)</f>
        <v/>
      </c>
      <c r="M57" s="467" t="n">
        <v>7</v>
      </c>
      <c r="N57" s="465" t="n">
        <v>0</v>
      </c>
      <c r="O57" s="467" t="n">
        <v>0</v>
      </c>
      <c r="P57" s="369">
        <f>IF(M57=" "," ",(1+(M57+N57+O57)/100))</f>
        <v/>
      </c>
      <c r="Q57" s="374">
        <f>IF(L57=" "," ",L57*P57)</f>
        <v/>
      </c>
    </row>
    <row r="58" ht="9.949999999999999" customFormat="1" customHeight="1" s="356">
      <c r="A58" s="375" t="n"/>
      <c r="B58" s="376" t="n"/>
      <c r="C58" s="376" t="n"/>
      <c r="D58" s="377" t="n"/>
      <c r="E58" s="377" t="n"/>
      <c r="F58" s="377" t="n"/>
      <c r="G58" s="379" t="n"/>
      <c r="H58" s="377" t="n"/>
      <c r="I58" s="377" t="n"/>
      <c r="J58" s="378" t="n"/>
      <c r="K58" s="379" t="n"/>
      <c r="L58" s="471" t="n"/>
      <c r="M58" s="381" t="n"/>
      <c r="N58" s="381" t="n"/>
      <c r="O58" s="381" t="n"/>
      <c r="P58" s="407" t="n"/>
      <c r="Q58" s="497">
        <f>SUM(Q51:Q57)</f>
        <v/>
      </c>
    </row>
    <row r="59" ht="9.949999999999999" customFormat="1" customHeight="1" s="356">
      <c r="A59" s="384" t="n"/>
      <c r="B59" s="385" t="n"/>
      <c r="C59" s="385" t="n"/>
      <c r="D59" s="386" t="n"/>
      <c r="E59" s="387" t="n"/>
      <c r="F59" s="388" t="n"/>
      <c r="G59" s="389" t="n"/>
      <c r="H59" s="390" t="n"/>
      <c r="I59" s="391" t="n"/>
      <c r="J59" s="392" t="inlineStr">
        <is>
          <t>Qs=</t>
        </is>
      </c>
      <c r="K59" s="393" t="inlineStr">
        <is>
          <t>a</t>
        </is>
      </c>
      <c r="L59" s="388" t="inlineStr">
        <is>
          <t>L</t>
        </is>
      </c>
      <c r="M59" s="389" t="inlineStr">
        <is>
          <t>R</t>
        </is>
      </c>
      <c r="N59" s="394" t="inlineStr">
        <is>
          <t>H</t>
        </is>
      </c>
      <c r="O59" s="395" t="inlineStr">
        <is>
          <t>D  T</t>
        </is>
      </c>
      <c r="P59" s="396" t="inlineStr">
        <is>
          <t>Ze</t>
        </is>
      </c>
      <c r="Q59" s="397" t="n"/>
    </row>
    <row r="60" ht="9.949999999999999" customFormat="1" customHeight="1" s="356">
      <c r="A60" s="398" t="n"/>
      <c r="B60" s="399" t="n"/>
      <c r="C60" s="400" t="n"/>
      <c r="D60" s="400" t="n"/>
      <c r="E60" s="401" t="n"/>
      <c r="F60" s="402" t="n"/>
      <c r="G60" s="403" t="n"/>
      <c r="H60" s="404" t="n"/>
      <c r="I60" s="405" t="n"/>
      <c r="J60" s="406" t="inlineStr">
        <is>
          <t>Qs  =</t>
        </is>
      </c>
      <c r="K60" s="407" t="n">
        <v>2</v>
      </c>
      <c r="L60" s="382">
        <f>(D53+E53)*2*G53+(D55+E55)*2*G55</f>
        <v/>
      </c>
      <c r="M60" s="407" t="n">
        <v>0.9</v>
      </c>
      <c r="N60" s="407" t="n">
        <v>0.67</v>
      </c>
      <c r="O60" s="381" t="n">
        <v>23</v>
      </c>
      <c r="P60" s="382" t="n">
        <v>1.2</v>
      </c>
      <c r="Q60" s="383">
        <f>K60*L60*M60*N60*O60*P60</f>
        <v/>
      </c>
    </row>
    <row r="61" ht="9.949999999999999" customFormat="1" customHeight="1" s="356">
      <c r="A61" s="408" t="n"/>
      <c r="B61" s="409" t="n"/>
      <c r="C61" s="400" t="n"/>
      <c r="D61" s="400" t="n"/>
      <c r="E61" s="377" t="n"/>
      <c r="F61" s="256" t="n"/>
      <c r="G61" s="410" t="n"/>
      <c r="H61" s="400" t="n"/>
      <c r="I61" s="411" t="n"/>
      <c r="J61" s="400" t="n"/>
      <c r="K61" s="410" t="n"/>
      <c r="L61" s="412" t="n"/>
      <c r="M61" s="413" t="inlineStr">
        <is>
          <t xml:space="preserve">   TOPLAM ISI KAYBI =</t>
        </is>
      </c>
      <c r="N61" s="413" t="n"/>
      <c r="O61" s="414" t="n"/>
      <c r="P61" s="415" t="n"/>
      <c r="Q61" s="416">
        <f>Q58+Q60</f>
        <v/>
      </c>
    </row>
    <row r="62" ht="9.949999999999999" customFormat="1" customHeight="1" s="356">
      <c r="A62" s="417" t="n"/>
      <c r="B62" s="399" t="n"/>
      <c r="C62" s="418" t="n"/>
      <c r="D62" s="419" t="n"/>
      <c r="E62" s="419" t="n"/>
      <c r="F62" s="420" t="n"/>
      <c r="G62" s="421" t="n"/>
      <c r="H62" s="422" t="n"/>
      <c r="I62" s="420" t="n"/>
      <c r="J62" s="419" t="n"/>
      <c r="K62" s="421" t="n"/>
      <c r="L62" s="423" t="n"/>
      <c r="M62" s="424" t="n"/>
      <c r="N62" s="421" t="n"/>
      <c r="O62" s="424" t="n"/>
      <c r="P62" s="420" t="n"/>
      <c r="Q62" s="425" t="n"/>
    </row>
    <row r="63" ht="9.949999999999999" customFormat="1" customHeight="1" s="356">
      <c r="A63" s="359" t="n"/>
      <c r="B63" s="360" t="n"/>
      <c r="C63" s="360" t="n"/>
      <c r="D63" s="360" t="n"/>
      <c r="E63" s="360" t="n"/>
      <c r="F63" s="426" t="inlineStr">
        <is>
          <t>206</t>
        </is>
      </c>
      <c r="G63" s="362" t="n"/>
      <c r="H63" s="360" t="n"/>
      <c r="I63" s="427" t="inlineStr">
        <is>
          <t>D7 BANYO</t>
        </is>
      </c>
      <c r="J63" s="428" t="n"/>
      <c r="K63" s="360" t="inlineStr">
        <is>
          <t>24ºC</t>
        </is>
      </c>
      <c r="L63" s="429" t="n"/>
      <c r="M63" s="360" t="n"/>
      <c r="N63" s="360" t="n"/>
      <c r="O63" s="360" t="n"/>
      <c r="P63" s="429" t="n"/>
      <c r="Q63" s="430" t="n"/>
    </row>
    <row r="64" ht="9.949999999999999" customFormat="1" customHeight="1" s="356">
      <c r="A64" s="365" t="inlineStr">
        <is>
          <t>DD</t>
        </is>
      </c>
      <c r="B64" s="366" t="inlineStr">
        <is>
          <t>D</t>
        </is>
      </c>
      <c r="C64" s="367" t="n"/>
      <c r="D64" s="368" t="n">
        <v>1.32</v>
      </c>
      <c r="E64" s="368" t="n">
        <v>3</v>
      </c>
      <c r="F64" s="369">
        <f>IF(D64=0," ",D64*E64)</f>
        <v/>
      </c>
      <c r="G64" s="370" t="n">
        <v>1</v>
      </c>
      <c r="H64" s="371" t="n"/>
      <c r="I64" s="369">
        <f>IF(F64=" "," ",F64*G64-H64)</f>
        <v/>
      </c>
      <c r="J64" s="368" t="n">
        <v>0.479</v>
      </c>
      <c r="K64" s="370" t="n">
        <v>27</v>
      </c>
      <c r="L64" s="372">
        <f>IF(I64=" "," ",I64*J64*K64)</f>
        <v/>
      </c>
      <c r="M64" s="373" t="n">
        <v>7</v>
      </c>
      <c r="N64" s="370" t="n">
        <v>0</v>
      </c>
      <c r="O64" s="373" t="n">
        <v>0</v>
      </c>
      <c r="P64" s="369">
        <f>IF(M64=" "," ",(1+(M64+N64+O64)/100))</f>
        <v/>
      </c>
      <c r="Q64" s="374">
        <f>IF(L64=" "," ",L64*P64)</f>
        <v/>
      </c>
    </row>
    <row r="65" ht="9.949999999999999" customFormat="1" customHeight="1" s="356">
      <c r="A65" s="365" t="inlineStr">
        <is>
          <t>İD</t>
        </is>
      </c>
      <c r="B65" s="366" t="n"/>
      <c r="C65" s="367" t="n"/>
      <c r="D65" s="368" t="n">
        <v>1.56</v>
      </c>
      <c r="E65" s="368" t="n">
        <v>3</v>
      </c>
      <c r="F65" s="369">
        <f>IF(D65=0," ",D65*E65)</f>
        <v/>
      </c>
      <c r="G65" s="370" t="n">
        <v>1</v>
      </c>
      <c r="H65" s="371" t="n"/>
      <c r="I65" s="369">
        <f>IF(F65=" "," ",F65*G65-H65)</f>
        <v/>
      </c>
      <c r="J65" s="368" t="n">
        <v>0.8139999999999999</v>
      </c>
      <c r="K65" s="370" t="n">
        <v>14</v>
      </c>
      <c r="L65" s="372">
        <f>IF(I65=" "," ",I65*J65*K65)</f>
        <v/>
      </c>
      <c r="M65" s="373" t="n">
        <v>7</v>
      </c>
      <c r="N65" s="370" t="n">
        <v>0</v>
      </c>
      <c r="O65" s="373" t="n">
        <v>0</v>
      </c>
      <c r="P65" s="369">
        <f>IF(M65=" "," ",(1+(M65+N65+O65)/100))</f>
        <v/>
      </c>
      <c r="Q65" s="374">
        <f>IF(L65=" "," ",L65*P65)</f>
        <v/>
      </c>
    </row>
    <row r="66" ht="9.949999999999999" customFormat="1" customHeight="1" s="356">
      <c r="A66" s="365" t="inlineStr">
        <is>
          <t>İD</t>
        </is>
      </c>
      <c r="B66" s="366" t="n"/>
      <c r="C66" s="367" t="n"/>
      <c r="D66" s="368" t="n">
        <v>2.22</v>
      </c>
      <c r="E66" s="368" t="n">
        <v>3</v>
      </c>
      <c r="F66" s="369">
        <f>IF(D66=0," ",D66*E66)</f>
        <v/>
      </c>
      <c r="G66" s="370" t="n">
        <v>1</v>
      </c>
      <c r="H66" s="371" t="n"/>
      <c r="I66" s="369">
        <f>IF(F66=" "," ",F66*G66-H66)</f>
        <v/>
      </c>
      <c r="J66" s="368" t="n">
        <v>0.8139999999999999</v>
      </c>
      <c r="K66" s="370" t="n">
        <v>9</v>
      </c>
      <c r="L66" s="372">
        <f>IF(I66=" "," ",I66*J66*K66)</f>
        <v/>
      </c>
      <c r="M66" s="373" t="n">
        <v>7</v>
      </c>
      <c r="N66" s="370" t="n">
        <v>0</v>
      </c>
      <c r="O66" s="373" t="n">
        <v>0</v>
      </c>
      <c r="P66" s="369">
        <f>IF(M66=" "," ",(1+(M66+N66+O66)/100))</f>
        <v/>
      </c>
      <c r="Q66" s="374">
        <f>IF(L66=" "," ",L66*P66)</f>
        <v/>
      </c>
    </row>
    <row r="67" ht="9.949999999999999" customFormat="1" customHeight="1" s="356">
      <c r="A67" s="365" t="inlineStr">
        <is>
          <t>İD</t>
        </is>
      </c>
      <c r="B67" s="366" t="n"/>
      <c r="C67" s="367" t="n"/>
      <c r="D67" s="368" t="n">
        <v>2.52</v>
      </c>
      <c r="E67" s="368" t="n">
        <v>3</v>
      </c>
      <c r="F67" s="369">
        <f>IF(D67=0," ",D67*E67)</f>
        <v/>
      </c>
      <c r="G67" s="370" t="n">
        <v>1</v>
      </c>
      <c r="H67" s="371" t="n"/>
      <c r="I67" s="369">
        <f>IF(F67=" "," ",F67*G67-H67)</f>
        <v/>
      </c>
      <c r="J67" s="368" t="n">
        <v>0.8139999999999999</v>
      </c>
      <c r="K67" s="370" t="n">
        <v>4</v>
      </c>
      <c r="L67" s="372">
        <f>IF(I67=" "," ",I67*J67*K67)</f>
        <v/>
      </c>
      <c r="M67" s="373" t="n">
        <v>7</v>
      </c>
      <c r="N67" s="370" t="n">
        <v>0</v>
      </c>
      <c r="O67" s="373" t="n">
        <v>0</v>
      </c>
      <c r="P67" s="369">
        <f>IF(M67=" "," ",(1+(M67+N67+O67)/100))</f>
        <v/>
      </c>
      <c r="Q67" s="374">
        <f>IF(L67=" "," ",L67*P67)</f>
        <v/>
      </c>
    </row>
    <row r="68" ht="9.949999999999999" customFormat="1" customHeight="1" s="356">
      <c r="A68" s="462" t="inlineStr">
        <is>
          <t>Ta</t>
        </is>
      </c>
      <c r="B68" s="463" t="n"/>
      <c r="C68" s="464" t="n"/>
      <c r="D68" s="369" t="n">
        <v>4.89</v>
      </c>
      <c r="E68" s="369" t="n">
        <v>1</v>
      </c>
      <c r="F68" s="369">
        <f>IF(D68=0," ",D68*E68)</f>
        <v/>
      </c>
      <c r="G68" s="465" t="n">
        <v>1</v>
      </c>
      <c r="H68" s="466" t="n"/>
      <c r="I68" s="369">
        <f>IF(F68=" "," ",F68*G68-H68)</f>
        <v/>
      </c>
      <c r="J68" s="369" t="n">
        <v>0.3</v>
      </c>
      <c r="K68" s="465" t="n">
        <v>27</v>
      </c>
      <c r="L68" s="372">
        <f>IF(I68=" "," ",I68*J68*K68)</f>
        <v/>
      </c>
      <c r="M68" s="373" t="n">
        <v>7</v>
      </c>
      <c r="N68" s="370" t="n">
        <v>0</v>
      </c>
      <c r="O68" s="373" t="n">
        <v>0</v>
      </c>
      <c r="P68" s="369">
        <f>IF(M68=" "," ",(1+(M68+N68+O68)/100))</f>
        <v/>
      </c>
      <c r="Q68" s="374">
        <f>IF(L68=" "," ",L68*P68)</f>
        <v/>
      </c>
    </row>
    <row r="69" ht="9.949999999999999" customFormat="1" customHeight="1" s="437">
      <c r="A69" s="468" t="n"/>
      <c r="B69" s="469" t="n"/>
      <c r="C69" s="469" t="n"/>
      <c r="D69" s="378" t="n"/>
      <c r="E69" s="378" t="n"/>
      <c r="F69" s="378" t="n"/>
      <c r="G69" s="470" t="n"/>
      <c r="H69" s="378" t="n"/>
      <c r="I69" s="378" t="n"/>
      <c r="J69" s="378" t="n"/>
      <c r="K69" s="470" t="n"/>
      <c r="L69" s="380" t="n"/>
      <c r="M69" s="479" t="n"/>
      <c r="N69" s="479" t="n"/>
      <c r="O69" s="479" t="n"/>
      <c r="P69" s="382" t="n"/>
      <c r="Q69" s="383">
        <f>SUM(Q64:Q68)</f>
        <v/>
      </c>
    </row>
    <row r="70" ht="9.949999999999999" customFormat="1" customHeight="1" s="437">
      <c r="A70" s="472" t="n"/>
      <c r="B70" s="473" t="n"/>
      <c r="C70" s="473" t="n"/>
      <c r="D70" s="474" t="n"/>
      <c r="E70" s="475" t="n"/>
      <c r="F70" s="388" t="n"/>
      <c r="G70" s="396" t="n"/>
      <c r="H70" s="388" t="n"/>
      <c r="I70" s="391" t="n"/>
      <c r="J70" s="476" t="inlineStr">
        <is>
          <t>Qs=</t>
        </is>
      </c>
      <c r="K70" s="393" t="inlineStr">
        <is>
          <t>a</t>
        </is>
      </c>
      <c r="L70" s="390" t="inlineStr">
        <is>
          <t>L</t>
        </is>
      </c>
      <c r="M70" s="389" t="inlineStr">
        <is>
          <t>R</t>
        </is>
      </c>
      <c r="N70" s="394" t="inlineStr">
        <is>
          <t>H</t>
        </is>
      </c>
      <c r="O70" s="395" t="inlineStr">
        <is>
          <t>D  T</t>
        </is>
      </c>
      <c r="P70" s="389" t="inlineStr">
        <is>
          <t>Ze</t>
        </is>
      </c>
      <c r="Q70" s="397" t="n"/>
    </row>
    <row r="71" ht="9.949999999999999" customFormat="1" customHeight="1" s="351">
      <c r="A71" s="431" t="n"/>
      <c r="B71" s="437" t="n"/>
      <c r="C71" s="411" t="n"/>
      <c r="D71" s="411" t="n"/>
      <c r="E71" s="433" t="n"/>
      <c r="F71" s="402" t="n"/>
      <c r="G71" s="434" t="n"/>
      <c r="H71" s="435" t="n"/>
      <c r="I71" s="405" t="n"/>
      <c r="J71" s="436" t="inlineStr">
        <is>
          <t>Qs  =</t>
        </is>
      </c>
      <c r="K71" s="382" t="n">
        <v>2</v>
      </c>
      <c r="L71" s="382" t="n">
        <v>0</v>
      </c>
      <c r="M71" s="382" t="n">
        <v>0.9</v>
      </c>
      <c r="N71" s="382" t="n">
        <v>0.67</v>
      </c>
      <c r="O71" s="479" t="n">
        <v>27</v>
      </c>
      <c r="P71" s="382" t="n">
        <v>1.2</v>
      </c>
      <c r="Q71" s="383">
        <f>K71*L71*M71*N71*O71*P71</f>
        <v/>
      </c>
    </row>
    <row r="72" ht="9.949999999999999" customFormat="1" customHeight="1" s="351">
      <c r="A72" s="438" t="n"/>
      <c r="B72" s="439" t="n"/>
      <c r="C72" s="411" t="n"/>
      <c r="D72" s="411" t="n"/>
      <c r="E72" s="378" t="n"/>
      <c r="F72" s="256" t="n"/>
      <c r="G72" s="440" t="n"/>
      <c r="H72" s="411" t="n"/>
      <c r="I72" s="411" t="n"/>
      <c r="J72" s="411" t="n"/>
      <c r="K72" s="440" t="n"/>
      <c r="L72" s="412" t="n"/>
      <c r="M72" s="415" t="inlineStr">
        <is>
          <t xml:space="preserve">   TOPLAM ISI KAYBI =</t>
        </is>
      </c>
      <c r="N72" s="415" t="n"/>
      <c r="O72" s="441" t="n"/>
      <c r="P72" s="415" t="n"/>
      <c r="Q72" s="416">
        <f>Q69+Q71</f>
        <v/>
      </c>
    </row>
    <row r="73" ht="9.949999999999999" customFormat="1" customHeight="1" s="351">
      <c r="A73" s="480" t="n"/>
      <c r="B73" s="437" t="n"/>
      <c r="C73" s="443" t="n"/>
      <c r="D73" s="443" t="n"/>
      <c r="E73" s="481" t="n"/>
      <c r="F73" s="481" t="n"/>
      <c r="G73" s="482" t="n"/>
      <c r="H73" s="443" t="n"/>
      <c r="I73" s="443" t="n"/>
      <c r="J73" s="443" t="n"/>
      <c r="K73" s="482" t="n"/>
      <c r="L73" s="483" t="n"/>
      <c r="M73" s="484" t="n"/>
      <c r="N73" s="484" t="n"/>
      <c r="O73" s="485" t="n"/>
      <c r="P73" s="484" t="n"/>
      <c r="Q73" s="486" t="n"/>
    </row>
    <row r="74" ht="9.949999999999999" customFormat="1" customHeight="1" s="351">
      <c r="A74" s="453" t="n"/>
      <c r="B74" s="429" t="n"/>
      <c r="C74" s="429" t="n"/>
      <c r="D74" s="429" t="n"/>
      <c r="E74" s="429" t="n"/>
      <c r="F74" s="426" t="inlineStr">
        <is>
          <t>207</t>
        </is>
      </c>
      <c r="G74" s="454" t="n"/>
      <c r="H74" s="429" t="n"/>
      <c r="I74" s="427" t="inlineStr">
        <is>
          <t>D8 MUTFAK</t>
        </is>
      </c>
      <c r="J74" s="264" t="n"/>
      <c r="K74" s="429" t="inlineStr">
        <is>
          <t>20ºC</t>
        </is>
      </c>
      <c r="L74" s="429" t="n"/>
      <c r="M74" s="429" t="n"/>
      <c r="N74" s="429" t="n"/>
      <c r="O74" s="429" t="n"/>
      <c r="P74" s="429" t="n"/>
      <c r="Q74" s="430" t="n"/>
    </row>
    <row r="75" ht="9.949999999999999" customFormat="1" customHeight="1" s="351">
      <c r="A75" s="462" t="inlineStr">
        <is>
          <t>DD</t>
        </is>
      </c>
      <c r="B75" s="463" t="inlineStr">
        <is>
          <t>K</t>
        </is>
      </c>
      <c r="C75" s="464" t="n"/>
      <c r="D75" s="369" t="n">
        <v>2.4</v>
      </c>
      <c r="E75" s="369" t="n">
        <v>3</v>
      </c>
      <c r="F75" s="369">
        <f>IF(D75=0," ",D75*E75)</f>
        <v/>
      </c>
      <c r="G75" s="465" t="n">
        <v>1</v>
      </c>
      <c r="H75" s="466">
        <f>F76*G76</f>
        <v/>
      </c>
      <c r="I75" s="369">
        <f>IF(F75=" "," ",F75*G75-H75)</f>
        <v/>
      </c>
      <c r="J75" s="369" t="n">
        <v>0.479</v>
      </c>
      <c r="K75" s="465" t="n">
        <v>23</v>
      </c>
      <c r="L75" s="372">
        <f>IF(I75=" "," ",I75*J75*K75)</f>
        <v/>
      </c>
      <c r="M75" s="467" t="n">
        <v>7</v>
      </c>
      <c r="N75" s="465" t="n">
        <v>0</v>
      </c>
      <c r="O75" s="467" t="n">
        <v>5</v>
      </c>
      <c r="P75" s="369">
        <f>IF(M75=" "," ",(1+(M75+N75+O75)/100))</f>
        <v/>
      </c>
      <c r="Q75" s="374">
        <f>IF(L75=" "," ",L75*P75)</f>
        <v/>
      </c>
    </row>
    <row r="76">
      <c r="A76" s="462" t="inlineStr">
        <is>
          <t>ÇP</t>
        </is>
      </c>
      <c r="B76" s="463" t="inlineStr">
        <is>
          <t>K</t>
        </is>
      </c>
      <c r="C76" s="464" t="n"/>
      <c r="D76" s="369" t="n">
        <v>1.6</v>
      </c>
      <c r="E76" s="369" t="n">
        <v>2.2</v>
      </c>
      <c r="F76" s="369">
        <f>IF(D76=0," ",D76*E76)</f>
        <v/>
      </c>
      <c r="G76" s="465" t="n">
        <v>1</v>
      </c>
      <c r="H76" s="466" t="n"/>
      <c r="I76" s="369">
        <f>IF(F76=" "," ",F76*G76-H76)</f>
        <v/>
      </c>
      <c r="J76" s="369" t="n">
        <v>2.4</v>
      </c>
      <c r="K76" s="465" t="n">
        <v>23</v>
      </c>
      <c r="L76" s="372">
        <f>IF(I76=" "," ",I76*J76*K76)</f>
        <v/>
      </c>
      <c r="M76" s="467" t="n">
        <v>7</v>
      </c>
      <c r="N76" s="465" t="n">
        <v>0</v>
      </c>
      <c r="O76" s="467" t="n">
        <v>5</v>
      </c>
      <c r="P76" s="369">
        <f>IF(M76=" "," ",(1+(M76+N76+O76)/100))</f>
        <v/>
      </c>
      <c r="Q76" s="374">
        <f>IF(L76=" "," ",L76*P76)</f>
        <v/>
      </c>
    </row>
    <row r="77">
      <c r="A77" s="462" t="inlineStr">
        <is>
          <t>DD</t>
        </is>
      </c>
      <c r="B77" s="463" t="inlineStr">
        <is>
          <t>D</t>
        </is>
      </c>
      <c r="C77" s="464" t="n"/>
      <c r="D77" s="369" t="n">
        <v>0.28</v>
      </c>
      <c r="E77" s="369" t="n">
        <v>3</v>
      </c>
      <c r="F77" s="369">
        <f>IF(D77=0," ",D77*E77)</f>
        <v/>
      </c>
      <c r="G77" s="465" t="n">
        <v>1</v>
      </c>
      <c r="H77" s="466" t="n"/>
      <c r="I77" s="369">
        <f>IF(F77=" "," ",F77*G77-H77)</f>
        <v/>
      </c>
      <c r="J77" s="369" t="n">
        <v>0.479</v>
      </c>
      <c r="K77" s="465" t="n">
        <v>23</v>
      </c>
      <c r="L77" s="372">
        <f>IF(I77=" "," ",I77*J77*K77)</f>
        <v/>
      </c>
      <c r="M77" s="467" t="n">
        <v>7</v>
      </c>
      <c r="N77" s="465" t="n">
        <v>0</v>
      </c>
      <c r="O77" s="467" t="n">
        <v>0</v>
      </c>
      <c r="P77" s="369">
        <f>IF(M77=" "," ",(1+(M77+N77+O77)/100))</f>
        <v/>
      </c>
      <c r="Q77" s="374">
        <f>IF(L77=" "," ",L77*P77)</f>
        <v/>
      </c>
    </row>
    <row r="78">
      <c r="A78" s="462" t="inlineStr">
        <is>
          <t>İD</t>
        </is>
      </c>
      <c r="B78" s="463" t="n"/>
      <c r="C78" s="464" t="n"/>
      <c r="D78" s="369" t="n">
        <v>1.36</v>
      </c>
      <c r="E78" s="369" t="n">
        <v>3</v>
      </c>
      <c r="F78" s="369">
        <f>IF(D78=0," ",D78*E78)</f>
        <v/>
      </c>
      <c r="G78" s="465" t="n">
        <v>1</v>
      </c>
      <c r="H78" s="466" t="n"/>
      <c r="I78" s="369">
        <f>IF(F78=" "," ",F78*G78-H78)</f>
        <v/>
      </c>
      <c r="J78" s="369" t="n">
        <v>0.8139999999999999</v>
      </c>
      <c r="K78" s="465" t="n">
        <v>5</v>
      </c>
      <c r="L78" s="372">
        <f>IF(I78=" "," ",I78*J78*K78)</f>
        <v/>
      </c>
      <c r="M78" s="467" t="n">
        <v>7</v>
      </c>
      <c r="N78" s="465" t="n">
        <v>0</v>
      </c>
      <c r="O78" s="467" t="n">
        <v>0</v>
      </c>
      <c r="P78" s="369">
        <f>IF(M78=" "," ",(1+(M78+N78+O78)/100))</f>
        <v/>
      </c>
      <c r="Q78" s="374">
        <f>IF(L78=" "," ",L78*P78)</f>
        <v/>
      </c>
    </row>
    <row r="79">
      <c r="A79" s="462" t="inlineStr">
        <is>
          <t>Ta</t>
        </is>
      </c>
      <c r="B79" s="463" t="n"/>
      <c r="C79" s="464" t="n"/>
      <c r="D79" s="369" t="n">
        <v>7.47</v>
      </c>
      <c r="E79" s="369" t="n">
        <v>1</v>
      </c>
      <c r="F79" s="369">
        <f>IF(D79=0," ",D79*E79)</f>
        <v/>
      </c>
      <c r="G79" s="465" t="n">
        <v>1</v>
      </c>
      <c r="H79" s="466" t="n"/>
      <c r="I79" s="369">
        <f>IF(F79=" "," ",F79*G79-H79)</f>
        <v/>
      </c>
      <c r="J79" s="369" t="n">
        <v>0.3</v>
      </c>
      <c r="K79" s="465" t="n">
        <v>23</v>
      </c>
      <c r="L79" s="372">
        <f>IF(I79=" "," ",I79*J79*K79)</f>
        <v/>
      </c>
      <c r="M79" s="467" t="n">
        <v>7</v>
      </c>
      <c r="N79" s="465" t="n">
        <v>0</v>
      </c>
      <c r="O79" s="467" t="n">
        <v>0</v>
      </c>
      <c r="P79" s="369">
        <f>IF(M79=" "," ",(1+(M79+N79+O79)/100))</f>
        <v/>
      </c>
      <c r="Q79" s="374">
        <f>IF(L79=" "," ",L79*P79)</f>
        <v/>
      </c>
    </row>
    <row r="80" ht="9.75" customFormat="1" customHeight="1" s="329">
      <c r="A80" s="468" t="n"/>
      <c r="B80" s="469" t="n"/>
      <c r="C80" s="469" t="n"/>
      <c r="D80" s="378" t="n"/>
      <c r="E80" s="378" t="n"/>
      <c r="F80" s="378" t="n"/>
      <c r="G80" s="470" t="n"/>
      <c r="H80" s="378" t="n"/>
      <c r="I80" s="378" t="n"/>
      <c r="J80" s="378" t="n"/>
      <c r="K80" s="470" t="n"/>
      <c r="L80" s="380" t="n"/>
      <c r="M80" s="479" t="n"/>
      <c r="N80" s="479" t="n"/>
      <c r="O80" s="381" t="n"/>
      <c r="P80" s="407" t="n"/>
      <c r="Q80" s="497">
        <f>SUM(Q75:Q79)</f>
        <v/>
      </c>
    </row>
    <row r="81" ht="10.5" customFormat="1" customHeight="1" s="339">
      <c r="A81" s="472" t="n"/>
      <c r="B81" s="473" t="n"/>
      <c r="C81" s="473" t="n"/>
      <c r="D81" s="474" t="n"/>
      <c r="E81" s="475" t="n"/>
      <c r="F81" s="388" t="n"/>
      <c r="G81" s="396" t="n"/>
      <c r="H81" s="390" t="n"/>
      <c r="I81" s="393" t="n"/>
      <c r="J81" s="392" t="inlineStr">
        <is>
          <t>Qs=</t>
        </is>
      </c>
      <c r="K81" s="393" t="inlineStr">
        <is>
          <t>a</t>
        </is>
      </c>
      <c r="L81" s="390" t="inlineStr">
        <is>
          <t>L</t>
        </is>
      </c>
      <c r="M81" s="396" t="inlineStr">
        <is>
          <t>R</t>
        </is>
      </c>
      <c r="N81" s="477" t="inlineStr">
        <is>
          <t>H</t>
        </is>
      </c>
      <c r="O81" s="395" t="inlineStr">
        <is>
          <t>D  T</t>
        </is>
      </c>
      <c r="P81" s="389" t="inlineStr">
        <is>
          <t>Ze</t>
        </is>
      </c>
      <c r="Q81" s="489" t="n"/>
    </row>
    <row r="82" ht="8.25" customFormat="1" customHeight="1" s="339">
      <c r="A82" s="431" t="n"/>
      <c r="C82" s="411" t="n"/>
      <c r="D82" s="411" t="n"/>
      <c r="E82" s="433" t="n"/>
      <c r="F82" s="402" t="n"/>
      <c r="G82" s="434" t="n"/>
      <c r="H82" s="435" t="n"/>
      <c r="I82" s="405" t="n"/>
      <c r="J82" s="436" t="inlineStr">
        <is>
          <t>Qs  =</t>
        </is>
      </c>
      <c r="K82" s="382" t="n">
        <v>2</v>
      </c>
      <c r="L82" s="382">
        <f>(D76+E76)*2*G76</f>
        <v/>
      </c>
      <c r="M82" s="382" t="n">
        <v>0.9</v>
      </c>
      <c r="N82" s="382" t="n">
        <v>0.67</v>
      </c>
      <c r="O82" s="479" t="n">
        <v>23</v>
      </c>
      <c r="P82" s="382" t="n">
        <v>1.2</v>
      </c>
      <c r="Q82" s="383">
        <f>K82*L82*M82*N82*O82*P82</f>
        <v/>
      </c>
    </row>
    <row r="83" ht="31.5" customFormat="1" customHeight="1" s="351">
      <c r="A83" s="438" t="n"/>
      <c r="B83" s="439" t="n"/>
      <c r="C83" s="411" t="n"/>
      <c r="D83" s="411" t="n"/>
      <c r="E83" s="378" t="n"/>
      <c r="F83" s="256" t="n"/>
      <c r="G83" s="440" t="n"/>
      <c r="H83" s="411" t="n"/>
      <c r="I83" s="411" t="n"/>
      <c r="J83" s="411" t="n"/>
      <c r="K83" s="440" t="n"/>
      <c r="L83" s="412" t="n"/>
      <c r="M83" s="415" t="inlineStr">
        <is>
          <t xml:space="preserve">   TOPLAM ISI KAYBI =</t>
        </is>
      </c>
      <c r="N83" s="415" t="n"/>
      <c r="O83" s="441" t="n"/>
      <c r="P83" s="415" t="n"/>
      <c r="Q83" s="416">
        <f>Q80+Q82</f>
        <v/>
      </c>
    </row>
    <row r="84" ht="9.75" customFormat="1" customHeight="1" s="351">
      <c r="A84" s="354" t="n"/>
      <c r="B84" s="354" t="n"/>
      <c r="C84" s="354" t="n"/>
      <c r="D84" s="354" t="n"/>
      <c r="E84" s="354" t="n"/>
      <c r="F84" s="354" t="n"/>
      <c r="G84" s="354" t="n"/>
      <c r="H84" s="354" t="n"/>
      <c r="I84" s="354" t="n"/>
      <c r="J84" s="354" t="n"/>
      <c r="K84" s="355" t="n"/>
      <c r="L84" s="354" t="n"/>
      <c r="M84" s="354" t="n"/>
      <c r="N84" s="354" t="n"/>
      <c r="O84" s="354" t="n"/>
      <c r="P84" s="354" t="n"/>
      <c r="Q84" s="354" t="n"/>
    </row>
    <row r="85" ht="15.75" customFormat="1" customHeight="1" s="356">
      <c r="A85" s="453" t="n"/>
      <c r="B85" s="429" t="n"/>
      <c r="C85" s="429" t="n"/>
      <c r="D85" s="429" t="n"/>
      <c r="E85" s="429" t="n"/>
      <c r="F85" s="426" t="inlineStr">
        <is>
          <t>208</t>
        </is>
      </c>
      <c r="G85" s="454" t="n"/>
      <c r="H85" s="429" t="n"/>
      <c r="I85" s="427" t="inlineStr">
        <is>
          <t>D8 YATAK OD.</t>
        </is>
      </c>
      <c r="J85" s="264" t="n"/>
      <c r="K85" s="429" t="inlineStr">
        <is>
          <t>20ºC</t>
        </is>
      </c>
      <c r="L85" s="429" t="n"/>
      <c r="M85" s="429" t="n"/>
      <c r="N85" s="429" t="n"/>
      <c r="O85" s="429" t="n"/>
      <c r="P85" s="429" t="n"/>
      <c r="Q85" s="430" t="n"/>
    </row>
    <row r="86" ht="11.25" customFormat="1" customHeight="1" s="356">
      <c r="A86" s="462" t="inlineStr">
        <is>
          <t>DD</t>
        </is>
      </c>
      <c r="B86" s="463" t="inlineStr">
        <is>
          <t>K</t>
        </is>
      </c>
      <c r="C86" s="464" t="n"/>
      <c r="D86" s="369" t="n">
        <v>4</v>
      </c>
      <c r="E86" s="369" t="n">
        <v>3</v>
      </c>
      <c r="F86" s="369">
        <f>IF(D86=0," ",D86*E86)</f>
        <v/>
      </c>
      <c r="G86" s="465" t="n">
        <v>1</v>
      </c>
      <c r="H86" s="466" t="n"/>
      <c r="I86" s="369">
        <f>IF(F86=" "," ",F86*G86-H86)</f>
        <v/>
      </c>
      <c r="J86" s="369" t="n">
        <v>0.479</v>
      </c>
      <c r="K86" s="465" t="n">
        <v>23</v>
      </c>
      <c r="L86" s="372">
        <f>IF(I86=" "," ",I86*J86*K86)</f>
        <v/>
      </c>
      <c r="M86" s="467" t="n">
        <v>7</v>
      </c>
      <c r="N86" s="465" t="n">
        <v>0</v>
      </c>
      <c r="O86" s="467" t="n">
        <v>5</v>
      </c>
      <c r="P86" s="369">
        <f>IF(M86=" "," ",(1+(M86+N86+O86)/100))</f>
        <v/>
      </c>
      <c r="Q86" s="374">
        <f>IF(L86=" "," ",L86*P86)</f>
        <v/>
      </c>
    </row>
    <row r="87" ht="9.75" customFormat="1" customHeight="1" s="356">
      <c r="A87" s="365" t="inlineStr">
        <is>
          <t>DD</t>
        </is>
      </c>
      <c r="B87" s="366" t="inlineStr">
        <is>
          <t>B</t>
        </is>
      </c>
      <c r="C87" s="367" t="n"/>
      <c r="D87" s="368" t="n">
        <v>3.2</v>
      </c>
      <c r="E87" s="368" t="n">
        <v>3</v>
      </c>
      <c r="F87" s="368">
        <f>IF(D87=0," ",D87*E87)</f>
        <v/>
      </c>
      <c r="G87" s="370" t="n">
        <v>1</v>
      </c>
      <c r="H87" s="371">
        <f>F88*G88</f>
        <v/>
      </c>
      <c r="I87" s="368">
        <f>IF(F87=" "," ",F87*G87-H87)</f>
        <v/>
      </c>
      <c r="J87" s="369" t="n">
        <v>0.479</v>
      </c>
      <c r="K87" s="370" t="n">
        <v>23</v>
      </c>
      <c r="L87" s="455">
        <f>IF(I87=" "," ",I87*J87*K87)</f>
        <v/>
      </c>
      <c r="M87" s="373" t="n">
        <v>7</v>
      </c>
      <c r="N87" s="370" t="n">
        <v>0</v>
      </c>
      <c r="O87" s="373" t="n">
        <v>0</v>
      </c>
      <c r="P87" s="368">
        <f>IF(M87=" "," ",(1+(M87+N87+O87)/100))</f>
        <v/>
      </c>
      <c r="Q87" s="456">
        <f>IF(L87=" "," ",L87*P87)</f>
        <v/>
      </c>
    </row>
    <row r="88" ht="9.949999999999999" customFormat="1" customHeight="1" s="356">
      <c r="A88" s="365" t="inlineStr">
        <is>
          <t>ÇP</t>
        </is>
      </c>
      <c r="B88" s="366" t="inlineStr">
        <is>
          <t>B</t>
        </is>
      </c>
      <c r="C88" s="367" t="n"/>
      <c r="D88" s="368" t="n">
        <v>1.6</v>
      </c>
      <c r="E88" s="368" t="n">
        <v>2.2</v>
      </c>
      <c r="F88" s="369">
        <f>IF(D88=0," ",D88*E88)</f>
        <v/>
      </c>
      <c r="G88" s="370" t="n">
        <v>1</v>
      </c>
      <c r="H88" s="371" t="n"/>
      <c r="I88" s="369">
        <f>IF(F88=" "," ",F88*G88-H88)</f>
        <v/>
      </c>
      <c r="J88" s="368" t="n">
        <v>2.4</v>
      </c>
      <c r="K88" s="370" t="n">
        <v>23</v>
      </c>
      <c r="L88" s="372">
        <f>IF(I88=" "," ",I88*J88*K88)</f>
        <v/>
      </c>
      <c r="M88" s="373" t="n">
        <v>7</v>
      </c>
      <c r="N88" s="370" t="n">
        <v>0</v>
      </c>
      <c r="O88" s="373" t="n">
        <v>0</v>
      </c>
      <c r="P88" s="369">
        <f>IF(M88=" "," ",(1+(M88+N88+O88)/100))</f>
        <v/>
      </c>
      <c r="Q88" s="374">
        <f>IF(L88=" "," ",L88*P88)</f>
        <v/>
      </c>
    </row>
    <row r="89" ht="9.949999999999999" customFormat="1" customHeight="1" s="356">
      <c r="A89" s="365" t="inlineStr">
        <is>
          <t>İD</t>
        </is>
      </c>
      <c r="B89" s="366" t="n"/>
      <c r="C89" s="367" t="n"/>
      <c r="D89" s="368" t="n">
        <v>1.38</v>
      </c>
      <c r="E89" s="368" t="n">
        <v>3</v>
      </c>
      <c r="F89" s="369">
        <f>IF(D89=0," ",D89*E89)</f>
        <v/>
      </c>
      <c r="G89" s="370" t="n">
        <v>1</v>
      </c>
      <c r="H89" s="371" t="n"/>
      <c r="I89" s="369">
        <f>IF(F89=" "," ",F89*G89-H89)</f>
        <v/>
      </c>
      <c r="J89" s="368" t="n">
        <v>0.8139999999999999</v>
      </c>
      <c r="K89" s="370" t="n">
        <v>5</v>
      </c>
      <c r="L89" s="372">
        <f>IF(I89=" "," ",I89*J89*K89)</f>
        <v/>
      </c>
      <c r="M89" s="373" t="n">
        <v>7</v>
      </c>
      <c r="N89" s="370" t="n">
        <v>0</v>
      </c>
      <c r="O89" s="373" t="n">
        <v>0</v>
      </c>
      <c r="P89" s="369">
        <f>IF(M89=" "," ",(1+(M89+N89+O89)/100))</f>
        <v/>
      </c>
      <c r="Q89" s="374">
        <f>IF(L89=" "," ",L89*P89)</f>
        <v/>
      </c>
    </row>
    <row r="90" ht="9.949999999999999" customFormat="1" customHeight="1" s="356">
      <c r="A90" s="365" t="inlineStr">
        <is>
          <t>Ta</t>
        </is>
      </c>
      <c r="B90" s="366" t="n"/>
      <c r="C90" s="367" t="n"/>
      <c r="D90" s="368" t="n">
        <v>14.47</v>
      </c>
      <c r="E90" s="368" t="n">
        <v>1</v>
      </c>
      <c r="F90" s="369">
        <f>IF(D90=0," ",D90*E90)</f>
        <v/>
      </c>
      <c r="G90" s="370" t="n">
        <v>1</v>
      </c>
      <c r="H90" s="371" t="n"/>
      <c r="I90" s="369">
        <f>IF(F90=" "," ",F90*G90-H90)</f>
        <v/>
      </c>
      <c r="J90" s="368" t="n">
        <v>0.3</v>
      </c>
      <c r="K90" s="370" t="n">
        <v>23</v>
      </c>
      <c r="L90" s="372">
        <f>IF(I90=" "," ",I90*J90*K90)</f>
        <v/>
      </c>
      <c r="M90" s="373" t="n">
        <v>7</v>
      </c>
      <c r="N90" s="370" t="n">
        <v>0</v>
      </c>
      <c r="O90" s="373" t="n">
        <v>0</v>
      </c>
      <c r="P90" s="369">
        <f>IF(M90=" "," ",(1+(M90+N90+O90)/100))</f>
        <v/>
      </c>
      <c r="Q90" s="374">
        <f>IF(L90=" "," ",L90*P90)</f>
        <v/>
      </c>
    </row>
    <row r="91" ht="9.949999999999999" customFormat="1" customHeight="1" s="356">
      <c r="A91" s="375" t="n"/>
      <c r="B91" s="376" t="n"/>
      <c r="C91" s="376" t="n"/>
      <c r="D91" s="377" t="n"/>
      <c r="E91" s="377" t="n"/>
      <c r="F91" s="378" t="n"/>
      <c r="G91" s="379" t="n"/>
      <c r="H91" s="377" t="n"/>
      <c r="I91" s="378" t="n"/>
      <c r="J91" s="377" t="n"/>
      <c r="K91" s="379" t="n"/>
      <c r="L91" s="380" t="n"/>
      <c r="M91" s="381" t="n"/>
      <c r="N91" s="381" t="n"/>
      <c r="O91" s="381" t="n"/>
      <c r="P91" s="382" t="n"/>
      <c r="Q91" s="383">
        <f>SUM(Q86:Q90)</f>
        <v/>
      </c>
    </row>
    <row r="92" ht="9.949999999999999" customFormat="1" customHeight="1" s="356">
      <c r="A92" s="384" t="n"/>
      <c r="B92" s="385" t="n"/>
      <c r="C92" s="385" t="n"/>
      <c r="D92" s="386" t="n"/>
      <c r="E92" s="387" t="n"/>
      <c r="F92" s="388" t="n"/>
      <c r="G92" s="389" t="n"/>
      <c r="H92" s="390" t="n"/>
      <c r="I92" s="391" t="n"/>
      <c r="J92" s="392" t="inlineStr">
        <is>
          <t>Qs=</t>
        </is>
      </c>
      <c r="K92" s="393" t="inlineStr">
        <is>
          <t>a</t>
        </is>
      </c>
      <c r="L92" s="388" t="inlineStr">
        <is>
          <t>L</t>
        </is>
      </c>
      <c r="M92" s="389" t="inlineStr">
        <is>
          <t>R</t>
        </is>
      </c>
      <c r="N92" s="394" t="inlineStr">
        <is>
          <t>H</t>
        </is>
      </c>
      <c r="O92" s="395" t="inlineStr">
        <is>
          <t>D  T</t>
        </is>
      </c>
      <c r="P92" s="396" t="inlineStr">
        <is>
          <t>Ze</t>
        </is>
      </c>
      <c r="Q92" s="397" t="n"/>
    </row>
    <row r="93" ht="9.949999999999999" customFormat="1" customHeight="1" s="356">
      <c r="A93" s="398" t="n"/>
      <c r="B93" s="399" t="n"/>
      <c r="C93" s="400" t="n"/>
      <c r="D93" s="400" t="n"/>
      <c r="E93" s="401" t="n"/>
      <c r="F93" s="402" t="n"/>
      <c r="G93" s="403" t="n"/>
      <c r="H93" s="404" t="n"/>
      <c r="I93" s="405" t="n"/>
      <c r="J93" s="406" t="inlineStr">
        <is>
          <t>Qs  =</t>
        </is>
      </c>
      <c r="K93" s="407" t="n">
        <v>2</v>
      </c>
      <c r="L93" s="382">
        <f>(D88+E88)*2*G88</f>
        <v/>
      </c>
      <c r="M93" s="407" t="n">
        <v>0.9</v>
      </c>
      <c r="N93" s="407" t="n">
        <v>0.67</v>
      </c>
      <c r="O93" s="381" t="n">
        <v>23</v>
      </c>
      <c r="P93" s="382" t="n">
        <v>1.2</v>
      </c>
      <c r="Q93" s="383">
        <f>K93*L93*M93*N93*O93*P93</f>
        <v/>
      </c>
    </row>
    <row r="94" ht="9.949999999999999" customFormat="1" customHeight="1" s="356">
      <c r="A94" s="408" t="n"/>
      <c r="B94" s="409" t="n"/>
      <c r="C94" s="400" t="n"/>
      <c r="D94" s="400" t="n"/>
      <c r="E94" s="377" t="n"/>
      <c r="F94" s="256" t="n"/>
      <c r="G94" s="410" t="n"/>
      <c r="H94" s="400" t="n"/>
      <c r="I94" s="411" t="n"/>
      <c r="J94" s="400" t="n"/>
      <c r="K94" s="410" t="n"/>
      <c r="L94" s="412" t="n"/>
      <c r="M94" s="413" t="inlineStr">
        <is>
          <t xml:space="preserve">   TOPLAM ISI KAYBI =</t>
        </is>
      </c>
      <c r="N94" s="413" t="n"/>
      <c r="O94" s="414" t="n"/>
      <c r="P94" s="415" t="n"/>
      <c r="Q94" s="416">
        <f>Q91+Q93</f>
        <v/>
      </c>
    </row>
    <row r="95" ht="9.949999999999999" customFormat="1" customHeight="1" s="356">
      <c r="A95" s="417" t="n"/>
      <c r="B95" s="399" t="n"/>
      <c r="C95" s="418" t="n"/>
      <c r="D95" s="419" t="n"/>
      <c r="E95" s="419" t="n"/>
      <c r="F95" s="420" t="n"/>
      <c r="G95" s="421" t="n"/>
      <c r="H95" s="422" t="n"/>
      <c r="I95" s="420" t="n"/>
      <c r="J95" s="419" t="n"/>
      <c r="K95" s="421" t="n"/>
      <c r="L95" s="423" t="n"/>
      <c r="M95" s="424" t="n"/>
      <c r="N95" s="421" t="n"/>
      <c r="O95" s="424" t="n"/>
      <c r="P95" s="420" t="n"/>
      <c r="Q95" s="488" t="n"/>
    </row>
    <row r="96" ht="9.949999999999999" customFormat="1" customHeight="1" s="356">
      <c r="A96" s="453" t="n"/>
      <c r="B96" s="429" t="n"/>
      <c r="C96" s="429" t="n"/>
      <c r="D96" s="429" t="n"/>
      <c r="E96" s="429" t="n"/>
      <c r="F96" s="426" t="inlineStr">
        <is>
          <t>209</t>
        </is>
      </c>
      <c r="G96" s="454" t="n"/>
      <c r="H96" s="429" t="n"/>
      <c r="I96" s="427" t="inlineStr">
        <is>
          <t>D8 YATAK OD.</t>
        </is>
      </c>
      <c r="J96" s="264" t="n"/>
      <c r="K96" s="429" t="inlineStr">
        <is>
          <t>20ºC</t>
        </is>
      </c>
      <c r="L96" s="429" t="n"/>
      <c r="M96" s="360" t="n"/>
      <c r="N96" s="360" t="n"/>
      <c r="O96" s="360" t="n"/>
      <c r="P96" s="429" t="n"/>
      <c r="Q96" s="430" t="n"/>
    </row>
    <row r="97" ht="9.949999999999999" customFormat="1" customHeight="1" s="437">
      <c r="A97" s="462" t="inlineStr">
        <is>
          <t>DD</t>
        </is>
      </c>
      <c r="B97" s="463" t="inlineStr">
        <is>
          <t>K</t>
        </is>
      </c>
      <c r="C97" s="464" t="n"/>
      <c r="D97" s="369" t="n">
        <v>2.42</v>
      </c>
      <c r="E97" s="369" t="n">
        <v>3</v>
      </c>
      <c r="F97" s="369">
        <f>IF(D97=0," ",D97*E97)</f>
        <v/>
      </c>
      <c r="G97" s="465" t="n">
        <v>1</v>
      </c>
      <c r="H97" s="466">
        <f>F98*G98</f>
        <v/>
      </c>
      <c r="I97" s="369">
        <f>IF(F97=" "," ",F97*G97-H97)</f>
        <v/>
      </c>
      <c r="J97" s="369" t="n">
        <v>0.479</v>
      </c>
      <c r="K97" s="465" t="n">
        <v>23</v>
      </c>
      <c r="L97" s="372">
        <f>IF(I97=" "," ",I97*J97*K97)</f>
        <v/>
      </c>
      <c r="M97" s="467" t="n">
        <v>7</v>
      </c>
      <c r="N97" s="465" t="n">
        <v>0</v>
      </c>
      <c r="O97" s="467" t="n">
        <v>5</v>
      </c>
      <c r="P97" s="369">
        <f>IF(M97=" "," ",(1+(M97+N97+O97)/100))</f>
        <v/>
      </c>
      <c r="Q97" s="374">
        <f>IF(L97=" "," ",L97*P97)</f>
        <v/>
      </c>
    </row>
    <row r="98" ht="9.949999999999999" customFormat="1" customHeight="1" s="437">
      <c r="A98" s="462" t="inlineStr">
        <is>
          <t>ÇP</t>
        </is>
      </c>
      <c r="B98" s="463" t="inlineStr">
        <is>
          <t>K</t>
        </is>
      </c>
      <c r="C98" s="464" t="n"/>
      <c r="D98" s="369" t="n">
        <v>1.6</v>
      </c>
      <c r="E98" s="369" t="n">
        <v>2.3</v>
      </c>
      <c r="F98" s="369">
        <f>IF(D98=0," ",D98*E98)</f>
        <v/>
      </c>
      <c r="G98" s="465" t="n">
        <v>1</v>
      </c>
      <c r="H98" s="466" t="n"/>
      <c r="I98" s="369">
        <f>IF(F98=" "," ",F98*G98-H98)</f>
        <v/>
      </c>
      <c r="J98" s="369" t="n">
        <v>2.4</v>
      </c>
      <c r="K98" s="370" t="n">
        <v>23</v>
      </c>
      <c r="L98" s="455">
        <f>IF(I98=" "," ",I98*J98*K98)</f>
        <v/>
      </c>
      <c r="M98" s="373" t="n">
        <v>7</v>
      </c>
      <c r="N98" s="370" t="n">
        <v>0</v>
      </c>
      <c r="O98" s="373" t="n">
        <v>5</v>
      </c>
      <c r="P98" s="368">
        <f>IF(M98=" "," ",(1+(M98+N98+O98)/100))</f>
        <v/>
      </c>
      <c r="Q98" s="374">
        <f>IF(L98=" "," ",L98*P98)</f>
        <v/>
      </c>
    </row>
    <row r="99" ht="9.949999999999999" customFormat="1" customHeight="1" s="351">
      <c r="A99" s="462" t="inlineStr">
        <is>
          <t>İD</t>
        </is>
      </c>
      <c r="B99" s="463" t="n"/>
      <c r="C99" s="464" t="n"/>
      <c r="D99" s="369" t="n">
        <v>2.3</v>
      </c>
      <c r="E99" s="369" t="n">
        <v>3</v>
      </c>
      <c r="F99" s="369">
        <f>IF(D99=0," ",D99*E99)</f>
        <v/>
      </c>
      <c r="G99" s="465" t="n">
        <v>1</v>
      </c>
      <c r="H99" s="466" t="n"/>
      <c r="I99" s="369">
        <f>IF(F99=" "," ",F99*G99-H99)</f>
        <v/>
      </c>
      <c r="J99" s="369" t="n">
        <v>0.8139999999999999</v>
      </c>
      <c r="K99" s="465" t="n">
        <v>5</v>
      </c>
      <c r="L99" s="372">
        <f>IF(I99=" "," ",I99*J99*K99)</f>
        <v/>
      </c>
      <c r="M99" s="467" t="n">
        <v>7</v>
      </c>
      <c r="N99" s="465" t="n">
        <v>0</v>
      </c>
      <c r="O99" s="467" t="n">
        <v>0</v>
      </c>
      <c r="P99" s="369">
        <f>IF(M99=" "," ",(1+(M99+N99+O99)/100))</f>
        <v/>
      </c>
      <c r="Q99" s="374">
        <f>IF(L99=" "," ",L99*P99)</f>
        <v/>
      </c>
    </row>
    <row r="100">
      <c r="A100" s="462" t="inlineStr">
        <is>
          <t>Ta</t>
        </is>
      </c>
      <c r="B100" s="463" t="n"/>
      <c r="C100" s="464" t="n"/>
      <c r="D100" s="369" t="n">
        <v>8.779999999999999</v>
      </c>
      <c r="E100" s="369" t="n">
        <v>1</v>
      </c>
      <c r="F100" s="369">
        <f>IF(D100=0," ",D100*E100)</f>
        <v/>
      </c>
      <c r="G100" s="465" t="n">
        <v>1</v>
      </c>
      <c r="H100" s="466" t="n"/>
      <c r="I100" s="369">
        <f>IF(F100=" "," ",F100*G100-H100)</f>
        <v/>
      </c>
      <c r="J100" s="369" t="n">
        <v>0.3</v>
      </c>
      <c r="K100" s="465" t="n">
        <v>23</v>
      </c>
      <c r="L100" s="372">
        <f>IF(I100=" "," ",I100*J100*K100)</f>
        <v/>
      </c>
      <c r="M100" s="467" t="n">
        <v>7</v>
      </c>
      <c r="N100" s="465" t="n">
        <v>0</v>
      </c>
      <c r="O100" s="467" t="n">
        <v>0</v>
      </c>
      <c r="P100" s="369">
        <f>IF(M100=" "," ",(1+(M100+N100+O100)/100))</f>
        <v/>
      </c>
      <c r="Q100" s="374">
        <f>IF(L100=" "," ",L100*P100)</f>
        <v/>
      </c>
    </row>
    <row r="101">
      <c r="A101" s="468" t="n"/>
      <c r="B101" s="469" t="n"/>
      <c r="C101" s="469" t="n"/>
      <c r="D101" s="378" t="n"/>
      <c r="E101" s="378" t="n"/>
      <c r="F101" s="378" t="n"/>
      <c r="G101" s="470" t="n"/>
      <c r="H101" s="378" t="n"/>
      <c r="I101" s="378" t="n"/>
      <c r="J101" s="378" t="n"/>
      <c r="K101" s="470" t="n"/>
      <c r="L101" s="380" t="n"/>
      <c r="M101" s="479" t="n"/>
      <c r="N101" s="479" t="n"/>
      <c r="O101" s="479" t="n"/>
      <c r="P101" s="382" t="n"/>
      <c r="Q101" s="383">
        <f>SUM(Q97:Q100)</f>
        <v/>
      </c>
    </row>
    <row r="102">
      <c r="A102" s="472" t="n"/>
      <c r="B102" s="473" t="n"/>
      <c r="C102" s="473" t="n"/>
      <c r="D102" s="474" t="n"/>
      <c r="E102" s="475" t="n"/>
      <c r="F102" s="388" t="n"/>
      <c r="G102" s="396" t="n"/>
      <c r="H102" s="388" t="n"/>
      <c r="I102" s="391" t="n"/>
      <c r="J102" s="476" t="inlineStr">
        <is>
          <t>Qs=</t>
        </is>
      </c>
      <c r="K102" s="391" t="inlineStr">
        <is>
          <t>a</t>
        </is>
      </c>
      <c r="L102" s="388" t="inlineStr">
        <is>
          <t>L</t>
        </is>
      </c>
      <c r="M102" s="396" t="inlineStr">
        <is>
          <t>R</t>
        </is>
      </c>
      <c r="N102" s="477" t="inlineStr">
        <is>
          <t>H</t>
        </is>
      </c>
      <c r="O102" s="478" t="inlineStr">
        <is>
          <t>D  T</t>
        </is>
      </c>
      <c r="P102" s="396" t="inlineStr">
        <is>
          <t>Ze</t>
        </is>
      </c>
      <c r="Q102" s="397" t="n"/>
    </row>
    <row r="103">
      <c r="A103" s="431" t="n"/>
      <c r="C103" s="411" t="n"/>
      <c r="D103" s="411" t="n"/>
      <c r="E103" s="433" t="n"/>
      <c r="F103" s="402" t="n"/>
      <c r="G103" s="434" t="n"/>
      <c r="H103" s="435" t="n"/>
      <c r="I103" s="405" t="n"/>
      <c r="J103" s="436" t="inlineStr">
        <is>
          <t>Qs  =</t>
        </is>
      </c>
      <c r="K103" s="382" t="n">
        <v>2</v>
      </c>
      <c r="L103" s="382">
        <f>(D98+E98)*2*G98</f>
        <v/>
      </c>
      <c r="M103" s="382" t="n">
        <v>0.9</v>
      </c>
      <c r="N103" s="382" t="n">
        <v>0.67</v>
      </c>
      <c r="O103" s="479" t="n">
        <v>23</v>
      </c>
      <c r="P103" s="382" t="n">
        <v>1.2</v>
      </c>
      <c r="Q103" s="383">
        <f>K103*L103*M103*N103*O103*P103</f>
        <v/>
      </c>
    </row>
    <row r="104">
      <c r="A104" s="438" t="n"/>
      <c r="B104" s="439" t="n"/>
      <c r="C104" s="411" t="n"/>
      <c r="D104" s="411" t="n"/>
      <c r="E104" s="378" t="n"/>
      <c r="F104" s="256" t="n"/>
      <c r="G104" s="440" t="n"/>
      <c r="H104" s="411" t="n"/>
      <c r="I104" s="411" t="n"/>
      <c r="J104" s="411" t="n"/>
      <c r="K104" s="440" t="n"/>
      <c r="L104" s="412" t="n"/>
      <c r="M104" s="415" t="inlineStr">
        <is>
          <t xml:space="preserve">   TOPLAM ISI KAYBI =</t>
        </is>
      </c>
      <c r="N104" s="415" t="n"/>
      <c r="O104" s="441" t="n"/>
      <c r="P104" s="415" t="n"/>
      <c r="Q104" s="416">
        <f>Q101+Q103</f>
        <v/>
      </c>
    </row>
    <row r="105"/>
    <row r="106">
      <c r="A106" s="453" t="n"/>
      <c r="B106" s="429" t="n"/>
      <c r="C106" s="429" t="n"/>
      <c r="D106" s="429" t="n"/>
      <c r="E106" s="429" t="n"/>
      <c r="F106" s="426" t="inlineStr">
        <is>
          <t>210</t>
        </is>
      </c>
      <c r="G106" s="454" t="n"/>
      <c r="H106" s="429" t="n"/>
      <c r="I106" s="427" t="inlineStr">
        <is>
          <t>D8 SALON</t>
        </is>
      </c>
      <c r="J106" s="264" t="n"/>
      <c r="K106" s="429" t="inlineStr">
        <is>
          <t>20ºC</t>
        </is>
      </c>
      <c r="L106" s="429" t="n"/>
      <c r="M106" s="429" t="n"/>
      <c r="N106" s="429" t="n"/>
      <c r="O106" s="429" t="n"/>
      <c r="P106" s="429" t="n"/>
      <c r="Q106" s="430" t="n"/>
    </row>
    <row r="107">
      <c r="A107" s="462" t="inlineStr">
        <is>
          <t>DD</t>
        </is>
      </c>
      <c r="B107" s="463" t="inlineStr">
        <is>
          <t>K</t>
        </is>
      </c>
      <c r="C107" s="464" t="n"/>
      <c r="D107" s="369" t="n">
        <v>3.7</v>
      </c>
      <c r="E107" s="369" t="n">
        <v>3</v>
      </c>
      <c r="F107" s="369">
        <f>IF(D107=0," ",D107*E107)</f>
        <v/>
      </c>
      <c r="G107" s="465" t="n">
        <v>1</v>
      </c>
      <c r="H107" s="466">
        <f>F108*G108</f>
        <v/>
      </c>
      <c r="I107" s="369">
        <f>IF(F107=" "," ",F107*G107-H107)</f>
        <v/>
      </c>
      <c r="J107" s="369" t="n">
        <v>0.479</v>
      </c>
      <c r="K107" s="465" t="n">
        <v>23</v>
      </c>
      <c r="L107" s="372">
        <f>IF(I107=" "," ",I107*J107*K107)</f>
        <v/>
      </c>
      <c r="M107" s="467" t="n">
        <v>7</v>
      </c>
      <c r="N107" s="465" t="n">
        <v>0</v>
      </c>
      <c r="O107" s="467" t="n">
        <v>5</v>
      </c>
      <c r="P107" s="369">
        <f>IF(M107=" "," ",(1+(M107+N107+O107)/100))</f>
        <v/>
      </c>
      <c r="Q107" s="374">
        <f>IF(L107=" "," ",L107*P107)</f>
        <v/>
      </c>
    </row>
    <row r="108">
      <c r="A108" s="462" t="inlineStr">
        <is>
          <t>ÇP</t>
        </is>
      </c>
      <c r="B108" s="463" t="inlineStr">
        <is>
          <t>K</t>
        </is>
      </c>
      <c r="C108" s="464" t="n"/>
      <c r="D108" s="369" t="n">
        <v>1.6</v>
      </c>
      <c r="E108" s="369" t="n">
        <v>2.2</v>
      </c>
      <c r="F108" s="369">
        <f>IF(D108=0," ",D108*E108)</f>
        <v/>
      </c>
      <c r="G108" s="465" t="n">
        <v>1</v>
      </c>
      <c r="H108" s="466" t="n"/>
      <c r="I108" s="369">
        <f>IF(F108=" "," ",F108*G108-H108)</f>
        <v/>
      </c>
      <c r="J108" s="369" t="n">
        <v>2.4</v>
      </c>
      <c r="K108" s="465" t="n">
        <v>23</v>
      </c>
      <c r="L108" s="372">
        <f>IF(I108=" "," ",I108*J108*K108)</f>
        <v/>
      </c>
      <c r="M108" s="467" t="n">
        <v>7</v>
      </c>
      <c r="N108" s="465" t="n">
        <v>0</v>
      </c>
      <c r="O108" s="467" t="n">
        <v>5</v>
      </c>
      <c r="P108" s="369">
        <f>IF(M108=" "," ",(1+(M108+N108+O108)/100))</f>
        <v/>
      </c>
      <c r="Q108" s="374">
        <f>IF(L108=" "," ",L108*P108)</f>
        <v/>
      </c>
    </row>
    <row r="109">
      <c r="A109" s="462" t="inlineStr">
        <is>
          <t>DD</t>
        </is>
      </c>
      <c r="B109" s="463" t="inlineStr">
        <is>
          <t>D</t>
        </is>
      </c>
      <c r="C109" s="464" t="n"/>
      <c r="D109" s="369" t="n">
        <v>4.7</v>
      </c>
      <c r="E109" s="369" t="n">
        <v>3</v>
      </c>
      <c r="F109" s="369">
        <f>IF(D109=0," ",D109*E109)</f>
        <v/>
      </c>
      <c r="G109" s="465" t="n">
        <v>1</v>
      </c>
      <c r="H109" s="466">
        <f>F110*G110</f>
        <v/>
      </c>
      <c r="I109" s="369">
        <f>IF(F109=" "," ",F109*G109-H109)</f>
        <v/>
      </c>
      <c r="J109" s="369" t="n">
        <v>0.479</v>
      </c>
      <c r="K109" s="465" t="n">
        <v>23</v>
      </c>
      <c r="L109" s="372">
        <f>IF(I109=" "," ",I109*J109*K109)</f>
        <v/>
      </c>
      <c r="M109" s="467" t="n">
        <v>7</v>
      </c>
      <c r="N109" s="465" t="n">
        <v>0</v>
      </c>
      <c r="O109" s="467" t="n">
        <v>0</v>
      </c>
      <c r="P109" s="369">
        <f>IF(M109=" "," ",(1+(M109+N109+O109)/100))</f>
        <v/>
      </c>
      <c r="Q109" s="374">
        <f>IF(L109=" "," ",L109*P109)</f>
        <v/>
      </c>
    </row>
    <row r="110">
      <c r="A110" s="462" t="inlineStr">
        <is>
          <t>ÇP</t>
        </is>
      </c>
      <c r="B110" s="463" t="inlineStr">
        <is>
          <t>D</t>
        </is>
      </c>
      <c r="C110" s="464" t="n"/>
      <c r="D110" s="369" t="n">
        <v>1.6</v>
      </c>
      <c r="E110" s="369" t="n">
        <v>2.3</v>
      </c>
      <c r="F110" s="369">
        <f>IF(D110=0," ",D110*E110)</f>
        <v/>
      </c>
      <c r="G110" s="465" t="n">
        <v>1</v>
      </c>
      <c r="H110" s="466" t="n"/>
      <c r="I110" s="369">
        <f>IF(F110=" "," ",F110*G110-H110)</f>
        <v/>
      </c>
      <c r="J110" s="369" t="n">
        <v>2.4</v>
      </c>
      <c r="K110" s="465" t="n">
        <v>23</v>
      </c>
      <c r="L110" s="372">
        <f>IF(I110=" "," ",I110*J110*K110)</f>
        <v/>
      </c>
      <c r="M110" s="467" t="n">
        <v>7</v>
      </c>
      <c r="N110" s="465" t="n">
        <v>0</v>
      </c>
      <c r="O110" s="467" t="n">
        <v>0</v>
      </c>
      <c r="P110" s="369">
        <f>IF(M110=" "," ",(1+(M110+N110+O110)/100))</f>
        <v/>
      </c>
      <c r="Q110" s="374">
        <f>IF(L110=" "," ",L110*P110)</f>
        <v/>
      </c>
    </row>
    <row r="111">
      <c r="A111" s="462" t="inlineStr">
        <is>
          <t>DD</t>
        </is>
      </c>
      <c r="B111" s="463" t="inlineStr">
        <is>
          <t>G</t>
        </is>
      </c>
      <c r="C111" s="464" t="n"/>
      <c r="D111" s="369" t="n">
        <v>3.86</v>
      </c>
      <c r="E111" s="369" t="n">
        <v>3</v>
      </c>
      <c r="F111" s="369">
        <f>IF(D111=0," ",D111*E111)</f>
        <v/>
      </c>
      <c r="G111" s="465" t="n">
        <v>1</v>
      </c>
      <c r="H111" s="466" t="n"/>
      <c r="I111" s="369">
        <f>IF(F111=" "," ",F111*G111-H111)</f>
        <v/>
      </c>
      <c r="J111" s="369" t="n">
        <v>0.479</v>
      </c>
      <c r="K111" s="465" t="n">
        <v>23</v>
      </c>
      <c r="L111" s="372">
        <f>IF(I111=" "," ",I111*J111*K111)</f>
        <v/>
      </c>
      <c r="M111" s="467" t="n">
        <v>7</v>
      </c>
      <c r="N111" s="465" t="n">
        <v>0</v>
      </c>
      <c r="O111" s="467" t="n">
        <v>-5</v>
      </c>
      <c r="P111" s="369">
        <f>IF(M111=" "," ",(1+(M111+N111+O111)/100))</f>
        <v/>
      </c>
      <c r="Q111" s="374">
        <f>IF(L111=" "," ",L111*P111)</f>
        <v/>
      </c>
    </row>
    <row r="112">
      <c r="A112" s="462" t="inlineStr">
        <is>
          <t>İD</t>
        </is>
      </c>
      <c r="B112" s="463" t="n"/>
      <c r="C112" s="464" t="n"/>
      <c r="D112" s="369" t="n">
        <v>1.34</v>
      </c>
      <c r="E112" s="369" t="n">
        <v>3</v>
      </c>
      <c r="F112" s="369">
        <f>IF(D112=0," ",D112*E112)</f>
        <v/>
      </c>
      <c r="G112" s="465" t="n">
        <v>1</v>
      </c>
      <c r="H112" s="466" t="n"/>
      <c r="I112" s="369">
        <f>IF(F112=" "," ",F112*G112-H112)</f>
        <v/>
      </c>
      <c r="J112" s="369" t="n">
        <v>0.8139999999999999</v>
      </c>
      <c r="K112" s="465" t="n">
        <v>5</v>
      </c>
      <c r="L112" s="372">
        <f>IF(I112=" "," ",I112*J112*K112)</f>
        <v/>
      </c>
      <c r="M112" s="467" t="n">
        <v>7</v>
      </c>
      <c r="N112" s="465" t="n">
        <v>0</v>
      </c>
      <c r="O112" s="467" t="n">
        <v>0</v>
      </c>
      <c r="P112" s="369">
        <f>IF(M112=" "," ",(1+(M112+N112+O112)/100))</f>
        <v/>
      </c>
      <c r="Q112" s="374">
        <f>IF(L112=" "," ",L112*P112)</f>
        <v/>
      </c>
    </row>
    <row r="113">
      <c r="A113" s="462" t="inlineStr">
        <is>
          <t>Ta</t>
        </is>
      </c>
      <c r="B113" s="463" t="n"/>
      <c r="C113" s="464" t="n"/>
      <c r="D113" s="369" t="n">
        <v>21.02</v>
      </c>
      <c r="E113" s="369" t="n">
        <v>1</v>
      </c>
      <c r="F113" s="369">
        <f>IF(D113=0," ",D113*E113)</f>
        <v/>
      </c>
      <c r="G113" s="465" t="n">
        <v>1</v>
      </c>
      <c r="H113" s="466" t="n"/>
      <c r="I113" s="369">
        <f>IF(F113=" "," ",F113*G113-H113)</f>
        <v/>
      </c>
      <c r="J113" s="369" t="n">
        <v>0.3</v>
      </c>
      <c r="K113" s="465" t="n">
        <v>23</v>
      </c>
      <c r="L113" s="372">
        <f>IF(I113=" "," ",I113*J113*K113)</f>
        <v/>
      </c>
      <c r="M113" s="467" t="n">
        <v>7</v>
      </c>
      <c r="N113" s="465" t="n">
        <v>0</v>
      </c>
      <c r="O113" s="467" t="n">
        <v>0</v>
      </c>
      <c r="P113" s="369">
        <f>IF(M113=" "," ",(1+(M113+N113+O113)/100))</f>
        <v/>
      </c>
      <c r="Q113" s="374">
        <f>IF(L113=" "," ",L113*P113)</f>
        <v/>
      </c>
    </row>
    <row r="114">
      <c r="A114" s="468" t="n"/>
      <c r="B114" s="469" t="n"/>
      <c r="C114" s="469" t="n"/>
      <c r="D114" s="378" t="n"/>
      <c r="E114" s="378" t="n"/>
      <c r="F114" s="378" t="n"/>
      <c r="G114" s="470" t="n"/>
      <c r="H114" s="378" t="n"/>
      <c r="I114" s="378" t="n"/>
      <c r="J114" s="378" t="n"/>
      <c r="K114" s="470" t="n"/>
      <c r="L114" s="380" t="n"/>
      <c r="M114" s="479" t="n"/>
      <c r="N114" s="479" t="n"/>
      <c r="O114" s="479" t="n"/>
      <c r="P114" s="382" t="n"/>
      <c r="Q114" s="383">
        <f>SUM(Q107:Q113)</f>
        <v/>
      </c>
    </row>
    <row r="115">
      <c r="A115" s="472" t="n"/>
      <c r="B115" s="473" t="n"/>
      <c r="C115" s="473" t="n"/>
      <c r="D115" s="474" t="n"/>
      <c r="E115" s="475" t="n"/>
      <c r="F115" s="388" t="n"/>
      <c r="G115" s="396" t="n"/>
      <c r="H115" s="388" t="n"/>
      <c r="I115" s="391" t="n"/>
      <c r="J115" s="476" t="inlineStr">
        <is>
          <t>Qs=</t>
        </is>
      </c>
      <c r="K115" s="391" t="inlineStr">
        <is>
          <t>a</t>
        </is>
      </c>
      <c r="L115" s="388" t="inlineStr">
        <is>
          <t>L</t>
        </is>
      </c>
      <c r="M115" s="396" t="inlineStr">
        <is>
          <t>R</t>
        </is>
      </c>
      <c r="N115" s="477" t="inlineStr">
        <is>
          <t>H</t>
        </is>
      </c>
      <c r="O115" s="478" t="inlineStr">
        <is>
          <t>D  T</t>
        </is>
      </c>
      <c r="P115" s="396" t="inlineStr">
        <is>
          <t>Ze</t>
        </is>
      </c>
      <c r="Q115" s="397" t="n"/>
    </row>
    <row r="116">
      <c r="A116" s="431" t="n"/>
      <c r="C116" s="411" t="n"/>
      <c r="D116" s="411" t="n"/>
      <c r="E116" s="433" t="n"/>
      <c r="F116" s="402" t="n"/>
      <c r="G116" s="434" t="n"/>
      <c r="H116" s="435" t="n"/>
      <c r="I116" s="405" t="n"/>
      <c r="J116" s="436" t="inlineStr">
        <is>
          <t>Qs  =</t>
        </is>
      </c>
      <c r="K116" s="382" t="n">
        <v>2</v>
      </c>
      <c r="L116" s="382">
        <f>(D108+E108)*2*G108+(D110+E110)*2*G110</f>
        <v/>
      </c>
      <c r="M116" s="382" t="n">
        <v>0.9</v>
      </c>
      <c r="N116" s="382" t="n">
        <v>0.67</v>
      </c>
      <c r="O116" s="479" t="n">
        <v>23</v>
      </c>
      <c r="P116" s="382" t="n">
        <v>1.2</v>
      </c>
      <c r="Q116" s="383">
        <f>K116*L116*M116*N116*O116*P116</f>
        <v/>
      </c>
    </row>
    <row r="117">
      <c r="A117" s="438" t="n"/>
      <c r="B117" s="439" t="n"/>
      <c r="C117" s="411" t="n"/>
      <c r="D117" s="411" t="n"/>
      <c r="E117" s="378" t="n"/>
      <c r="F117" s="256" t="n"/>
      <c r="G117" s="440" t="n"/>
      <c r="H117" s="411" t="n"/>
      <c r="I117" s="411" t="n"/>
      <c r="J117" s="411" t="n"/>
      <c r="K117" s="440" t="n"/>
      <c r="L117" s="412" t="n"/>
      <c r="M117" s="415" t="inlineStr">
        <is>
          <t xml:space="preserve">   TOPLAM ISI KAYBI =</t>
        </is>
      </c>
      <c r="N117" s="415" t="n"/>
      <c r="O117" s="441" t="n"/>
      <c r="P117" s="415" t="n"/>
      <c r="Q117" s="416">
        <f>Q114+Q116</f>
        <v/>
      </c>
    </row>
    <row r="118"/>
    <row r="119">
      <c r="A119" s="453" t="n"/>
      <c r="B119" s="429" t="n"/>
      <c r="C119" s="429" t="n"/>
      <c r="D119" s="429" t="n"/>
      <c r="E119" s="429" t="n"/>
      <c r="F119" s="426" t="inlineStr">
        <is>
          <t>211</t>
        </is>
      </c>
      <c r="G119" s="454" t="n"/>
      <c r="H119" s="429" t="n"/>
      <c r="I119" s="427" t="inlineStr">
        <is>
          <t>D8 ODA</t>
        </is>
      </c>
      <c r="J119" s="264" t="n"/>
      <c r="K119" s="429" t="inlineStr">
        <is>
          <t>20ºC</t>
        </is>
      </c>
      <c r="L119" s="429" t="n"/>
      <c r="M119" s="429" t="n"/>
      <c r="N119" s="429" t="n"/>
      <c r="O119" s="429" t="n"/>
      <c r="P119" s="429" t="n"/>
      <c r="Q119" s="430" t="n"/>
    </row>
    <row r="120">
      <c r="A120" s="462" t="inlineStr">
        <is>
          <t>DD</t>
        </is>
      </c>
      <c r="B120" s="463" t="inlineStr">
        <is>
          <t>K</t>
        </is>
      </c>
      <c r="C120" s="464" t="n"/>
      <c r="D120" s="369" t="n">
        <v>0.6</v>
      </c>
      <c r="E120" s="369" t="n">
        <v>3</v>
      </c>
      <c r="F120" s="369">
        <f>IF(D120=0," ",D120*E120)</f>
        <v/>
      </c>
      <c r="G120" s="465" t="n">
        <v>1</v>
      </c>
      <c r="H120" s="466">
        <f>F121*G121</f>
        <v/>
      </c>
      <c r="I120" s="369">
        <f>IF(F120=" "," ",F120*G120-H120)</f>
        <v/>
      </c>
      <c r="J120" s="369" t="n">
        <v>0.479</v>
      </c>
      <c r="K120" s="465" t="n">
        <v>23</v>
      </c>
      <c r="L120" s="372">
        <f>IF(I120=" "," ",I120*J120*K120)</f>
        <v/>
      </c>
      <c r="M120" s="467" t="n">
        <v>7</v>
      </c>
      <c r="N120" s="465" t="n">
        <v>0</v>
      </c>
      <c r="O120" s="467" t="n">
        <v>5</v>
      </c>
      <c r="P120" s="369">
        <f>IF(M120=" "," ",(1+(M120+N120+O120)/100))</f>
        <v/>
      </c>
      <c r="Q120" s="374">
        <f>IF(L120=" "," ",L120*P120)</f>
        <v/>
      </c>
    </row>
    <row r="121">
      <c r="A121" s="462" t="inlineStr">
        <is>
          <t>ÇP</t>
        </is>
      </c>
      <c r="B121" s="463" t="inlineStr">
        <is>
          <t>K</t>
        </is>
      </c>
      <c r="C121" s="464" t="n"/>
      <c r="D121" s="369" t="n">
        <v>0.6</v>
      </c>
      <c r="E121" s="369" t="n">
        <v>0.6</v>
      </c>
      <c r="F121" s="369">
        <f>IF(D121=0," ",D121*E121)</f>
        <v/>
      </c>
      <c r="G121" s="465" t="n">
        <v>1</v>
      </c>
      <c r="H121" s="466" t="n"/>
      <c r="I121" s="369">
        <f>IF(F121=" "," ",F121*G121-H121)</f>
        <v/>
      </c>
      <c r="J121" s="369" t="n">
        <v>2.4</v>
      </c>
      <c r="K121" s="465" t="n">
        <v>23</v>
      </c>
      <c r="L121" s="372">
        <f>IF(I121=" "," ",I121*J121*K121)</f>
        <v/>
      </c>
      <c r="M121" s="467" t="n">
        <v>7</v>
      </c>
      <c r="N121" s="465" t="n">
        <v>0</v>
      </c>
      <c r="O121" s="467" t="n">
        <v>5</v>
      </c>
      <c r="P121" s="369">
        <f>IF(M121=" "," ",(1+(M121+N121+O121)/100))</f>
        <v/>
      </c>
      <c r="Q121" s="374">
        <f>IF(L121=" "," ",L121*P121)</f>
        <v/>
      </c>
    </row>
    <row r="122">
      <c r="A122" s="462" t="inlineStr">
        <is>
          <t>DD</t>
        </is>
      </c>
      <c r="B122" s="463" t="inlineStr">
        <is>
          <t>B</t>
        </is>
      </c>
      <c r="C122" s="464" t="n"/>
      <c r="D122" s="369" t="n">
        <v>2.28</v>
      </c>
      <c r="E122" s="369" t="n">
        <v>3</v>
      </c>
      <c r="F122" s="369">
        <f>IF(D122=0," ",D122*E122)</f>
        <v/>
      </c>
      <c r="G122" s="465" t="n">
        <v>1</v>
      </c>
      <c r="H122" s="466">
        <f>F123*G123</f>
        <v/>
      </c>
      <c r="I122" s="369">
        <f>IF(F122=" "," ",F122*G122-H122)</f>
        <v/>
      </c>
      <c r="J122" s="369" t="n">
        <v>0.479</v>
      </c>
      <c r="K122" s="465" t="n">
        <v>23</v>
      </c>
      <c r="L122" s="372">
        <f>IF(I122=" "," ",I122*J122*K122)</f>
        <v/>
      </c>
      <c r="M122" s="467" t="n">
        <v>7</v>
      </c>
      <c r="N122" s="465" t="n">
        <v>0</v>
      </c>
      <c r="O122" s="467" t="n">
        <v>0</v>
      </c>
      <c r="P122" s="369">
        <f>IF(M122=" "," ",(1+(M122+N122+O122)/100))</f>
        <v/>
      </c>
      <c r="Q122" s="374">
        <f>IF(L122=" "," ",L122*P122)</f>
        <v/>
      </c>
    </row>
    <row r="123">
      <c r="A123" s="462" t="inlineStr">
        <is>
          <t>ÇP</t>
        </is>
      </c>
      <c r="B123" s="463" t="inlineStr">
        <is>
          <t>B</t>
        </is>
      </c>
      <c r="C123" s="464" t="n"/>
      <c r="D123" s="369" t="n">
        <v>1.6</v>
      </c>
      <c r="E123" s="369" t="n">
        <v>2.3</v>
      </c>
      <c r="F123" s="369">
        <f>IF(D123=0," ",D123*E123)</f>
        <v/>
      </c>
      <c r="G123" s="465" t="n">
        <v>1</v>
      </c>
      <c r="H123" s="466" t="n"/>
      <c r="I123" s="369">
        <f>IF(F123=" "," ",F123*G123-H123)</f>
        <v/>
      </c>
      <c r="J123" s="369" t="n">
        <v>2.4</v>
      </c>
      <c r="K123" s="465" t="n">
        <v>23</v>
      </c>
      <c r="L123" s="372">
        <f>IF(I123=" "," ",I123*J123*K123)</f>
        <v/>
      </c>
      <c r="M123" s="467" t="n">
        <v>7</v>
      </c>
      <c r="N123" s="465" t="n">
        <v>0</v>
      </c>
      <c r="O123" s="467" t="n">
        <v>0</v>
      </c>
      <c r="P123" s="369">
        <f>IF(M123=" "," ",(1+(M123+N123+O123)/100))</f>
        <v/>
      </c>
      <c r="Q123" s="374">
        <f>IF(L123=" "," ",L123*P123)</f>
        <v/>
      </c>
    </row>
    <row r="124">
      <c r="A124" s="462" t="inlineStr">
        <is>
          <t>İD</t>
        </is>
      </c>
      <c r="B124" s="463" t="n"/>
      <c r="C124" s="464" t="n"/>
      <c r="D124" s="369" t="n">
        <v>2.86</v>
      </c>
      <c r="E124" s="369" t="n">
        <v>3</v>
      </c>
      <c r="F124" s="369">
        <f>IF(D124=0," ",D124*E124)</f>
        <v/>
      </c>
      <c r="G124" s="465" t="n">
        <v>1</v>
      </c>
      <c r="H124" s="466" t="n"/>
      <c r="I124" s="369">
        <f>IF(F124=" "," ",F124*G124-H124)</f>
        <v/>
      </c>
      <c r="J124" s="369" t="n">
        <v>0.8139999999999999</v>
      </c>
      <c r="K124" s="465" t="n">
        <v>5</v>
      </c>
      <c r="L124" s="372">
        <f>IF(I124=" "," ",I124*J124*K124)</f>
        <v/>
      </c>
      <c r="M124" s="467" t="n">
        <v>7</v>
      </c>
      <c r="N124" s="465" t="n">
        <v>0</v>
      </c>
      <c r="O124" s="467" t="n">
        <v>0</v>
      </c>
      <c r="P124" s="369">
        <f>IF(M124=" "," ",(1+(M124+N124+O124)/100))</f>
        <v/>
      </c>
      <c r="Q124" s="374">
        <f>IF(L124=" "," ",L124*P124)</f>
        <v/>
      </c>
    </row>
    <row r="125">
      <c r="A125" s="462" t="inlineStr">
        <is>
          <t>Ta</t>
        </is>
      </c>
      <c r="B125" s="463" t="n"/>
      <c r="C125" s="464" t="n"/>
      <c r="D125" s="369" t="n">
        <v>7.44</v>
      </c>
      <c r="E125" s="369" t="n">
        <v>1</v>
      </c>
      <c r="F125" s="369">
        <f>IF(D125=0," ",D125*E125)</f>
        <v/>
      </c>
      <c r="G125" s="465" t="n">
        <v>1</v>
      </c>
      <c r="H125" s="466" t="n"/>
      <c r="I125" s="369">
        <f>IF(F125=" "," ",F125*G125-H125)</f>
        <v/>
      </c>
      <c r="J125" s="369" t="n">
        <v>0.3</v>
      </c>
      <c r="K125" s="465" t="n">
        <v>23</v>
      </c>
      <c r="L125" s="372">
        <f>IF(I125=" "," ",I125*J125*K125)</f>
        <v/>
      </c>
      <c r="M125" s="467" t="n">
        <v>7</v>
      </c>
      <c r="N125" s="465" t="n">
        <v>0</v>
      </c>
      <c r="O125" s="467" t="n">
        <v>0</v>
      </c>
      <c r="P125" s="369">
        <f>IF(M125=" "," ",(1+(M125+N125+O125)/100))</f>
        <v/>
      </c>
      <c r="Q125" s="374">
        <f>IF(L125=" "," ",L125*P125)</f>
        <v/>
      </c>
    </row>
    <row r="126">
      <c r="A126" s="468" t="n"/>
      <c r="B126" s="469" t="n"/>
      <c r="C126" s="469" t="n"/>
      <c r="D126" s="378" t="n"/>
      <c r="E126" s="378" t="n"/>
      <c r="F126" s="378" t="n"/>
      <c r="G126" s="470" t="n"/>
      <c r="H126" s="378" t="n"/>
      <c r="I126" s="378" t="n"/>
      <c r="J126" s="378" t="n"/>
      <c r="K126" s="470" t="n"/>
      <c r="L126" s="380" t="n"/>
      <c r="M126" s="479" t="n"/>
      <c r="N126" s="479" t="n"/>
      <c r="O126" s="479" t="n"/>
      <c r="P126" s="382" t="n"/>
      <c r="Q126" s="383">
        <f>SUM(Q120:Q125)</f>
        <v/>
      </c>
    </row>
    <row r="127">
      <c r="A127" s="472" t="n"/>
      <c r="B127" s="473" t="n"/>
      <c r="C127" s="473" t="n"/>
      <c r="D127" s="474" t="n"/>
      <c r="E127" s="475" t="n"/>
      <c r="F127" s="388" t="n"/>
      <c r="G127" s="396" t="n"/>
      <c r="H127" s="388" t="n"/>
      <c r="I127" s="391" t="n"/>
      <c r="J127" s="476" t="inlineStr">
        <is>
          <t>Qs=</t>
        </is>
      </c>
      <c r="K127" s="391" t="inlineStr">
        <is>
          <t>a</t>
        </is>
      </c>
      <c r="L127" s="388" t="inlineStr">
        <is>
          <t>L</t>
        </is>
      </c>
      <c r="M127" s="396" t="inlineStr">
        <is>
          <t>R</t>
        </is>
      </c>
      <c r="N127" s="477" t="inlineStr">
        <is>
          <t>H</t>
        </is>
      </c>
      <c r="O127" s="478" t="inlineStr">
        <is>
          <t>D  T</t>
        </is>
      </c>
      <c r="P127" s="396" t="inlineStr">
        <is>
          <t>Ze</t>
        </is>
      </c>
      <c r="Q127" s="397" t="n"/>
    </row>
    <row r="128">
      <c r="A128" s="431" t="n"/>
      <c r="C128" s="411" t="n"/>
      <c r="D128" s="411" t="n"/>
      <c r="E128" s="433" t="n"/>
      <c r="F128" s="402" t="n"/>
      <c r="G128" s="434" t="n"/>
      <c r="H128" s="435" t="n"/>
      <c r="I128" s="405" t="n"/>
      <c r="J128" s="436" t="inlineStr">
        <is>
          <t>Qs  =</t>
        </is>
      </c>
      <c r="K128" s="382" t="n">
        <v>2</v>
      </c>
      <c r="L128" s="382">
        <f>(D121+E121)*2*G121+(D123+E123)*2*G123</f>
        <v/>
      </c>
      <c r="M128" s="382" t="n">
        <v>0.9</v>
      </c>
      <c r="N128" s="382" t="n">
        <v>0.67</v>
      </c>
      <c r="O128" s="479" t="n">
        <v>23</v>
      </c>
      <c r="P128" s="382" t="n">
        <v>1.2</v>
      </c>
      <c r="Q128" s="383">
        <f>K128*L128*M128*N128*O128*P128</f>
        <v/>
      </c>
    </row>
    <row r="129">
      <c r="A129" s="438" t="n"/>
      <c r="B129" s="439" t="n"/>
      <c r="C129" s="411" t="n"/>
      <c r="D129" s="411" t="n"/>
      <c r="E129" s="378" t="n"/>
      <c r="F129" s="256" t="n"/>
      <c r="G129" s="440" t="n"/>
      <c r="H129" s="411" t="n"/>
      <c r="I129" s="411" t="n"/>
      <c r="J129" s="411" t="n"/>
      <c r="K129" s="440" t="n"/>
      <c r="L129" s="412" t="n"/>
      <c r="M129" s="415" t="inlineStr">
        <is>
          <t xml:space="preserve">   TOPLAM ISI KAYBI =</t>
        </is>
      </c>
      <c r="N129" s="415" t="n"/>
      <c r="O129" s="441" t="n"/>
      <c r="P129" s="415" t="n"/>
      <c r="Q129" s="416">
        <f>Q126+Q128</f>
        <v/>
      </c>
    </row>
    <row r="130"/>
    <row r="131">
      <c r="A131" s="453" t="n"/>
      <c r="B131" s="429" t="n"/>
      <c r="C131" s="429" t="n"/>
      <c r="D131" s="429" t="n"/>
      <c r="E131" s="429" t="n"/>
      <c r="F131" s="426" t="inlineStr">
        <is>
          <t>212</t>
        </is>
      </c>
      <c r="G131" s="454" t="n"/>
      <c r="H131" s="429" t="n"/>
      <c r="I131" s="427" t="inlineStr">
        <is>
          <t>D8 WC-BANYO</t>
        </is>
      </c>
      <c r="J131" s="264" t="n"/>
      <c r="K131" s="429" t="inlineStr">
        <is>
          <t>24ºC</t>
        </is>
      </c>
      <c r="L131" s="429" t="n"/>
      <c r="M131" s="429" t="n"/>
      <c r="N131" s="429" t="n"/>
      <c r="O131" s="429" t="n"/>
      <c r="P131" s="429" t="n"/>
      <c r="Q131" s="430" t="n"/>
    </row>
    <row r="132">
      <c r="A132" s="462" t="inlineStr">
        <is>
          <t>İD</t>
        </is>
      </c>
      <c r="B132" s="463" t="n"/>
      <c r="C132" s="464" t="n"/>
      <c r="D132" s="369" t="n">
        <v>1.88</v>
      </c>
      <c r="E132" s="369" t="n">
        <v>3</v>
      </c>
      <c r="F132" s="369">
        <f>IF(D132=0," ",D132*E132)</f>
        <v/>
      </c>
      <c r="G132" s="465" t="n">
        <v>1</v>
      </c>
      <c r="H132" s="466" t="n"/>
      <c r="I132" s="369">
        <f>IF(F132=" "," ",F132*G132-H132)</f>
        <v/>
      </c>
      <c r="J132" s="369" t="n">
        <v>0.8139999999999999</v>
      </c>
      <c r="K132" s="465" t="n">
        <v>14</v>
      </c>
      <c r="L132" s="372">
        <f>IF(I132=" "," ",I132*J132*K132)</f>
        <v/>
      </c>
      <c r="M132" s="467" t="n">
        <v>7</v>
      </c>
      <c r="N132" s="465" t="n">
        <v>0</v>
      </c>
      <c r="O132" s="467" t="n">
        <v>0</v>
      </c>
      <c r="P132" s="369">
        <f>IF(M132=" "," ",(1+(M132+N132+O132)/100))</f>
        <v/>
      </c>
      <c r="Q132" s="374">
        <f>IF(L132=" "," ",L132*P132)</f>
        <v/>
      </c>
    </row>
    <row r="133">
      <c r="A133" s="462" t="inlineStr">
        <is>
          <t>İD</t>
        </is>
      </c>
      <c r="B133" s="463" t="n"/>
      <c r="C133" s="464" t="n"/>
      <c r="D133" s="369" t="n">
        <v>0.32</v>
      </c>
      <c r="E133" s="369" t="n">
        <v>3</v>
      </c>
      <c r="F133" s="369">
        <f>IF(D133=0," ",D133*E133)</f>
        <v/>
      </c>
      <c r="G133" s="465" t="n">
        <v>1</v>
      </c>
      <c r="H133" s="466" t="n"/>
      <c r="I133" s="369">
        <f>IF(F133=" "," ",F133*G133-H133)</f>
        <v/>
      </c>
      <c r="J133" s="369" t="n">
        <v>0.8139999999999999</v>
      </c>
      <c r="K133" s="465" t="n">
        <v>9</v>
      </c>
      <c r="L133" s="372">
        <f>IF(I133=" "," ",I133*J133*K133)</f>
        <v/>
      </c>
      <c r="M133" s="467" t="n">
        <v>7</v>
      </c>
      <c r="N133" s="465" t="n">
        <v>0</v>
      </c>
      <c r="O133" s="467" t="n">
        <v>0</v>
      </c>
      <c r="P133" s="369">
        <f>IF(M133=" "," ",(1+(M133+N133+O133)/100))</f>
        <v/>
      </c>
      <c r="Q133" s="374">
        <f>IF(L133=" "," ",L133*P133)</f>
        <v/>
      </c>
    </row>
    <row r="134">
      <c r="A134" s="462" t="inlineStr">
        <is>
          <t>İD</t>
        </is>
      </c>
      <c r="B134" s="463" t="n"/>
      <c r="C134" s="464" t="n"/>
      <c r="D134" s="369" t="n">
        <v>3.16</v>
      </c>
      <c r="E134" s="369" t="n">
        <v>3</v>
      </c>
      <c r="F134" s="369">
        <f>IF(D134=0," ",D134*E134)</f>
        <v/>
      </c>
      <c r="G134" s="465" t="n">
        <v>1</v>
      </c>
      <c r="H134" s="466" t="n"/>
      <c r="I134" s="369">
        <f>IF(F134=" "," ",F134*G134-H134)</f>
        <v/>
      </c>
      <c r="J134" s="369" t="n">
        <v>0.8139999999999999</v>
      </c>
      <c r="K134" s="465" t="n">
        <v>4</v>
      </c>
      <c r="L134" s="372">
        <f>IF(I134=" "," ",I134*J134*K134)</f>
        <v/>
      </c>
      <c r="M134" s="467" t="n">
        <v>7</v>
      </c>
      <c r="N134" s="465" t="n">
        <v>0</v>
      </c>
      <c r="O134" s="467" t="n">
        <v>0</v>
      </c>
      <c r="P134" s="369">
        <f>IF(M134=" "," ",(1+(M134+N134+O134)/100))</f>
        <v/>
      </c>
      <c r="Q134" s="374">
        <f>IF(L134=" "," ",L134*P134)</f>
        <v/>
      </c>
    </row>
    <row r="135">
      <c r="A135" s="462" t="inlineStr">
        <is>
          <t>Ta</t>
        </is>
      </c>
      <c r="B135" s="463" t="n"/>
      <c r="C135" s="464" t="n"/>
      <c r="D135" s="369" t="n">
        <v>3.61</v>
      </c>
      <c r="E135" s="369" t="n">
        <v>1</v>
      </c>
      <c r="F135" s="369">
        <f>IF(D135=0," ",D135*E135)</f>
        <v/>
      </c>
      <c r="G135" s="465" t="n">
        <v>1</v>
      </c>
      <c r="H135" s="466" t="n"/>
      <c r="I135" s="369">
        <f>IF(F135=" "," ",F135*G135-H135)</f>
        <v/>
      </c>
      <c r="J135" s="369" t="n">
        <v>0.3</v>
      </c>
      <c r="K135" s="465" t="n">
        <v>27</v>
      </c>
      <c r="L135" s="372">
        <f>IF(I135=" "," ",I135*J135*K135)</f>
        <v/>
      </c>
      <c r="M135" s="467" t="n">
        <v>7</v>
      </c>
      <c r="N135" s="465" t="n">
        <v>0</v>
      </c>
      <c r="O135" s="467" t="n">
        <v>0</v>
      </c>
      <c r="P135" s="369">
        <f>IF(M135=" "," ",(1+(M135+N135+O135)/100))</f>
        <v/>
      </c>
      <c r="Q135" s="374">
        <f>IF(L135=" "," ",L135*P135)</f>
        <v/>
      </c>
    </row>
    <row r="136">
      <c r="A136" s="468" t="n"/>
      <c r="B136" s="469" t="n"/>
      <c r="C136" s="469" t="n"/>
      <c r="D136" s="378" t="n"/>
      <c r="E136" s="378" t="n"/>
      <c r="F136" s="378" t="n"/>
      <c r="G136" s="470" t="n"/>
      <c r="H136" s="378" t="n"/>
      <c r="I136" s="378" t="n"/>
      <c r="J136" s="378" t="n"/>
      <c r="K136" s="470" t="n"/>
      <c r="L136" s="380" t="n"/>
      <c r="M136" s="479" t="n"/>
      <c r="N136" s="479" t="n"/>
      <c r="O136" s="479" t="n"/>
      <c r="P136" s="382" t="n"/>
      <c r="Q136" s="383">
        <f>SUM(Q132:Q135)</f>
        <v/>
      </c>
    </row>
    <row r="137">
      <c r="A137" s="472" t="n"/>
      <c r="B137" s="473" t="n"/>
      <c r="C137" s="473" t="n"/>
      <c r="D137" s="474" t="n"/>
      <c r="E137" s="475" t="n"/>
      <c r="F137" s="388" t="n"/>
      <c r="G137" s="396" t="n"/>
      <c r="H137" s="388" t="n"/>
      <c r="I137" s="391" t="n"/>
      <c r="J137" s="476" t="inlineStr">
        <is>
          <t>Qs=</t>
        </is>
      </c>
      <c r="K137" s="391" t="inlineStr">
        <is>
          <t>a</t>
        </is>
      </c>
      <c r="L137" s="388" t="inlineStr">
        <is>
          <t>L</t>
        </is>
      </c>
      <c r="M137" s="396" t="inlineStr">
        <is>
          <t>R</t>
        </is>
      </c>
      <c r="N137" s="477" t="inlineStr">
        <is>
          <t>H</t>
        </is>
      </c>
      <c r="O137" s="478" t="inlineStr">
        <is>
          <t>D  T</t>
        </is>
      </c>
      <c r="P137" s="396" t="inlineStr">
        <is>
          <t>Ze</t>
        </is>
      </c>
      <c r="Q137" s="397" t="n"/>
    </row>
    <row r="138">
      <c r="A138" s="431" t="n"/>
      <c r="C138" s="411" t="n"/>
      <c r="D138" s="411" t="n"/>
      <c r="E138" s="433" t="n"/>
      <c r="F138" s="402" t="n"/>
      <c r="G138" s="434" t="n"/>
      <c r="H138" s="435" t="n"/>
      <c r="I138" s="405" t="n"/>
      <c r="J138" s="436" t="inlineStr">
        <is>
          <t>Qs  =</t>
        </is>
      </c>
      <c r="K138" s="382" t="n">
        <v>2</v>
      </c>
      <c r="L138" s="382" t="n">
        <v>0</v>
      </c>
      <c r="M138" s="382" t="n">
        <v>0.9</v>
      </c>
      <c r="N138" s="382" t="n">
        <v>0.67</v>
      </c>
      <c r="O138" s="479" t="n">
        <v>27</v>
      </c>
      <c r="P138" s="382" t="n">
        <v>1.2</v>
      </c>
      <c r="Q138" s="383">
        <f>K138*L138*M138*N138*O138*P138</f>
        <v/>
      </c>
    </row>
    <row r="139">
      <c r="A139" s="438" t="n"/>
      <c r="B139" s="439" t="n"/>
      <c r="C139" s="411" t="n"/>
      <c r="D139" s="411" t="n"/>
      <c r="E139" s="378" t="n"/>
      <c r="F139" s="256" t="n"/>
      <c r="G139" s="440" t="n"/>
      <c r="H139" s="411" t="n"/>
      <c r="I139" s="411" t="n"/>
      <c r="J139" s="411" t="n"/>
      <c r="K139" s="440" t="n"/>
      <c r="L139" s="412" t="n"/>
      <c r="M139" s="415" t="inlineStr">
        <is>
          <t xml:space="preserve">   TOPLAM ISI KAYBI =</t>
        </is>
      </c>
      <c r="N139" s="415" t="n"/>
      <c r="O139" s="441" t="n"/>
      <c r="P139" s="415" t="n"/>
      <c r="Q139" s="416">
        <f>Q136+Q138</f>
        <v/>
      </c>
    </row>
    <row r="140"/>
    <row r="141">
      <c r="A141" s="453" t="n"/>
      <c r="B141" s="429" t="n"/>
      <c r="C141" s="429" t="n"/>
      <c r="D141" s="429" t="n"/>
      <c r="E141" s="429" t="n"/>
      <c r="F141" s="426" t="inlineStr">
        <is>
          <t>213</t>
        </is>
      </c>
      <c r="G141" s="454" t="n"/>
      <c r="H141" s="429" t="n"/>
      <c r="I141" s="427" t="inlineStr">
        <is>
          <t>D9 MUTFAK</t>
        </is>
      </c>
      <c r="J141" s="264" t="n"/>
      <c r="K141" s="429" t="inlineStr">
        <is>
          <t>20ºC</t>
        </is>
      </c>
      <c r="L141" s="429" t="n"/>
      <c r="M141" s="429" t="n"/>
      <c r="N141" s="429" t="n"/>
      <c r="O141" s="429" t="n"/>
      <c r="P141" s="429" t="n"/>
      <c r="Q141" s="430" t="n"/>
    </row>
    <row r="142">
      <c r="A142" s="462" t="inlineStr">
        <is>
          <t>DD</t>
        </is>
      </c>
      <c r="B142" s="463" t="inlineStr">
        <is>
          <t>K</t>
        </is>
      </c>
      <c r="C142" s="464" t="n"/>
      <c r="D142" s="369" t="n">
        <v>0.79</v>
      </c>
      <c r="E142" s="369" t="n">
        <v>3</v>
      </c>
      <c r="F142" s="369">
        <f>IF(D142=0," ",D142*E142)</f>
        <v/>
      </c>
      <c r="G142" s="465" t="n">
        <v>1</v>
      </c>
      <c r="H142" s="466" t="n"/>
      <c r="I142" s="369">
        <f>IF(F142=" "," ",F142*G142-H142)</f>
        <v/>
      </c>
      <c r="J142" s="369" t="n">
        <v>0.479</v>
      </c>
      <c r="K142" s="465" t="n">
        <v>23</v>
      </c>
      <c r="L142" s="372">
        <f>IF(I142=" "," ",I142*J142*K142)</f>
        <v/>
      </c>
      <c r="M142" s="467" t="n">
        <v>7</v>
      </c>
      <c r="N142" s="465" t="n">
        <v>0</v>
      </c>
      <c r="O142" s="467" t="n">
        <v>5</v>
      </c>
      <c r="P142" s="369">
        <f>IF(M142=" "," ",(1+(M142+N142+O142)/100))</f>
        <v/>
      </c>
      <c r="Q142" s="374">
        <f>IF(L142=" "," ",L142*P142)</f>
        <v/>
      </c>
    </row>
    <row r="143">
      <c r="A143" s="462" t="inlineStr">
        <is>
          <t>DD</t>
        </is>
      </c>
      <c r="B143" s="463" t="inlineStr">
        <is>
          <t>G</t>
        </is>
      </c>
      <c r="C143" s="464" t="n"/>
      <c r="D143" s="369" t="n">
        <v>2.34</v>
      </c>
      <c r="E143" s="369" t="n">
        <v>3</v>
      </c>
      <c r="F143" s="369">
        <f>IF(D143=0," ",D143*E143)</f>
        <v/>
      </c>
      <c r="G143" s="465" t="n">
        <v>1</v>
      </c>
      <c r="H143" s="466">
        <f>F144*G144</f>
        <v/>
      </c>
      <c r="I143" s="369">
        <f>IF(F143=" "," ",F143*G143-H143)</f>
        <v/>
      </c>
      <c r="J143" s="369" t="n">
        <v>0.479</v>
      </c>
      <c r="K143" s="465" t="n">
        <v>23</v>
      </c>
      <c r="L143" s="372">
        <f>IF(I143=" "," ",I143*J143*K143)</f>
        <v/>
      </c>
      <c r="M143" s="467" t="n">
        <v>7</v>
      </c>
      <c r="N143" s="465" t="n">
        <v>0</v>
      </c>
      <c r="O143" s="467" t="n">
        <v>-5</v>
      </c>
      <c r="P143" s="369">
        <f>IF(M143=" "," ",(1+(M143+N143+O143)/100))</f>
        <v/>
      </c>
      <c r="Q143" s="374">
        <f>IF(L143=" "," ",L143*P143)</f>
        <v/>
      </c>
    </row>
    <row r="144">
      <c r="A144" s="462" t="inlineStr">
        <is>
          <t>ÇP</t>
        </is>
      </c>
      <c r="B144" s="463" t="inlineStr">
        <is>
          <t>G</t>
        </is>
      </c>
      <c r="C144" s="464" t="n"/>
      <c r="D144" s="369" t="n">
        <v>1.6</v>
      </c>
      <c r="E144" s="369" t="n">
        <v>2.2</v>
      </c>
      <c r="F144" s="369">
        <f>IF(D144=0," ",D144*E144)</f>
        <v/>
      </c>
      <c r="G144" s="465" t="n">
        <v>1</v>
      </c>
      <c r="H144" s="466" t="n"/>
      <c r="I144" s="369">
        <f>IF(F144=" "," ",F144*G144-H144)</f>
        <v/>
      </c>
      <c r="J144" s="369" t="n">
        <v>2.4</v>
      </c>
      <c r="K144" s="465" t="n">
        <v>23</v>
      </c>
      <c r="L144" s="372">
        <f>IF(I144=" "," ",I144*J144*K144)</f>
        <v/>
      </c>
      <c r="M144" s="467" t="n">
        <v>7</v>
      </c>
      <c r="N144" s="465" t="n">
        <v>0</v>
      </c>
      <c r="O144" s="467" t="n">
        <v>-5</v>
      </c>
      <c r="P144" s="369">
        <f>IF(M144=" "," ",(1+(M144+N144+O144)/100))</f>
        <v/>
      </c>
      <c r="Q144" s="374">
        <f>IF(L144=" "," ",L144*P144)</f>
        <v/>
      </c>
    </row>
    <row r="145">
      <c r="A145" s="462" t="inlineStr">
        <is>
          <t>DD</t>
        </is>
      </c>
      <c r="B145" s="463" t="inlineStr">
        <is>
          <t>B</t>
        </is>
      </c>
      <c r="C145" s="464" t="n"/>
      <c r="D145" s="369" t="n">
        <v>1.25</v>
      </c>
      <c r="E145" s="369" t="n">
        <v>3</v>
      </c>
      <c r="F145" s="369">
        <f>IF(D145=0," ",D145*E145)</f>
        <v/>
      </c>
      <c r="G145" s="465" t="n">
        <v>1</v>
      </c>
      <c r="H145" s="466" t="n"/>
      <c r="I145" s="369">
        <f>IF(F145=" "," ",F145*G145-H145)</f>
        <v/>
      </c>
      <c r="J145" s="369" t="n">
        <v>0.479</v>
      </c>
      <c r="K145" s="465" t="n">
        <v>23</v>
      </c>
      <c r="L145" s="372">
        <f>IF(I145=" "," ",I145*J145*K145)</f>
        <v/>
      </c>
      <c r="M145" s="467" t="n">
        <v>7</v>
      </c>
      <c r="N145" s="465" t="n">
        <v>0</v>
      </c>
      <c r="O145" s="467" t="n">
        <v>0</v>
      </c>
      <c r="P145" s="369">
        <f>IF(M145=" "," ",(1+(M145+N145+O145)/100))</f>
        <v/>
      </c>
      <c r="Q145" s="374">
        <f>IF(L145=" "," ",L145*P145)</f>
        <v/>
      </c>
    </row>
    <row r="146">
      <c r="A146" s="462" t="inlineStr">
        <is>
          <t>İD</t>
        </is>
      </c>
      <c r="B146" s="463" t="n"/>
      <c r="C146" s="464" t="n"/>
      <c r="D146" s="369" t="n">
        <v>1.1</v>
      </c>
      <c r="E146" s="369" t="n">
        <v>3</v>
      </c>
      <c r="F146" s="369">
        <f>IF(D146=0," ",D146*E146)</f>
        <v/>
      </c>
      <c r="G146" s="465" t="n">
        <v>1</v>
      </c>
      <c r="H146" s="466" t="n"/>
      <c r="I146" s="369">
        <f>IF(F146=" "," ",F146*G146-H146)</f>
        <v/>
      </c>
      <c r="J146" s="369" t="n">
        <v>0.8139999999999999</v>
      </c>
      <c r="K146" s="465" t="n">
        <v>5</v>
      </c>
      <c r="L146" s="372">
        <f>IF(I146=" "," ",I146*J146*K146)</f>
        <v/>
      </c>
      <c r="M146" s="467" t="n">
        <v>7</v>
      </c>
      <c r="N146" s="465" t="n">
        <v>0</v>
      </c>
      <c r="O146" s="467" t="n">
        <v>0</v>
      </c>
      <c r="P146" s="369">
        <f>IF(M146=" "," ",(1+(M146+N146+O146)/100))</f>
        <v/>
      </c>
      <c r="Q146" s="374">
        <f>IF(L146=" "," ",L146*P146)</f>
        <v/>
      </c>
    </row>
    <row r="147">
      <c r="A147" s="462" t="inlineStr">
        <is>
          <t>Ta</t>
        </is>
      </c>
      <c r="B147" s="463" t="n"/>
      <c r="C147" s="464" t="n"/>
      <c r="D147" s="369" t="n">
        <v>8.98</v>
      </c>
      <c r="E147" s="369" t="n">
        <v>1</v>
      </c>
      <c r="F147" s="369">
        <f>IF(D147=0," ",D147*E147)</f>
        <v/>
      </c>
      <c r="G147" s="465" t="n">
        <v>1</v>
      </c>
      <c r="H147" s="466" t="n"/>
      <c r="I147" s="369">
        <f>IF(F147=" "," ",F147*G147-H147)</f>
        <v/>
      </c>
      <c r="J147" s="369" t="n">
        <v>0.3</v>
      </c>
      <c r="K147" s="465" t="n">
        <v>23</v>
      </c>
      <c r="L147" s="372">
        <f>IF(I147=" "," ",I147*J147*K147)</f>
        <v/>
      </c>
      <c r="M147" s="467" t="n">
        <v>7</v>
      </c>
      <c r="N147" s="465" t="n">
        <v>0</v>
      </c>
      <c r="O147" s="467" t="n">
        <v>0</v>
      </c>
      <c r="P147" s="369">
        <f>IF(M147=" "," ",(1+(M147+N147+O147)/100))</f>
        <v/>
      </c>
      <c r="Q147" s="374">
        <f>IF(L147=" "," ",L147*P147)</f>
        <v/>
      </c>
    </row>
    <row r="148">
      <c r="A148" s="468" t="n"/>
      <c r="B148" s="469" t="n"/>
      <c r="C148" s="469" t="n"/>
      <c r="D148" s="378" t="n"/>
      <c r="E148" s="378" t="n"/>
      <c r="F148" s="378" t="n"/>
      <c r="G148" s="470" t="n"/>
      <c r="H148" s="378" t="n"/>
      <c r="I148" s="378" t="n"/>
      <c r="J148" s="378" t="n"/>
      <c r="K148" s="470" t="n"/>
      <c r="L148" s="380" t="n"/>
      <c r="M148" s="479" t="n"/>
      <c r="N148" s="479" t="n"/>
      <c r="O148" s="479" t="n"/>
      <c r="P148" s="382" t="n"/>
      <c r="Q148" s="383">
        <f>SUM(Q142:Q147)</f>
        <v/>
      </c>
    </row>
    <row r="149">
      <c r="A149" s="472" t="n"/>
      <c r="B149" s="473" t="n"/>
      <c r="C149" s="473" t="n"/>
      <c r="D149" s="474" t="n"/>
      <c r="E149" s="475" t="n"/>
      <c r="F149" s="388" t="n"/>
      <c r="G149" s="396" t="n"/>
      <c r="H149" s="388" t="n"/>
      <c r="I149" s="391" t="n"/>
      <c r="J149" s="476" t="inlineStr">
        <is>
          <t>Qs=</t>
        </is>
      </c>
      <c r="K149" s="391" t="inlineStr">
        <is>
          <t>a</t>
        </is>
      </c>
      <c r="L149" s="388" t="inlineStr">
        <is>
          <t>L</t>
        </is>
      </c>
      <c r="M149" s="396" t="inlineStr">
        <is>
          <t>R</t>
        </is>
      </c>
      <c r="N149" s="477" t="inlineStr">
        <is>
          <t>H</t>
        </is>
      </c>
      <c r="O149" s="478" t="inlineStr">
        <is>
          <t>D  T</t>
        </is>
      </c>
      <c r="P149" s="396" t="inlineStr">
        <is>
          <t>Ze</t>
        </is>
      </c>
      <c r="Q149" s="397" t="n"/>
    </row>
    <row r="150">
      <c r="A150" s="431" t="n"/>
      <c r="C150" s="411" t="n"/>
      <c r="D150" s="411" t="n"/>
      <c r="E150" s="433" t="n"/>
      <c r="F150" s="402" t="n"/>
      <c r="G150" s="434" t="n"/>
      <c r="H150" s="435" t="n"/>
      <c r="I150" s="405" t="n"/>
      <c r="J150" s="436" t="inlineStr">
        <is>
          <t>Qs  =</t>
        </is>
      </c>
      <c r="K150" s="382" t="n">
        <v>2</v>
      </c>
      <c r="L150" s="382">
        <f>(D144+E144)*2*G144</f>
        <v/>
      </c>
      <c r="M150" s="382" t="n">
        <v>0.9</v>
      </c>
      <c r="N150" s="382" t="n">
        <v>0.67</v>
      </c>
      <c r="O150" s="479" t="n">
        <v>23</v>
      </c>
      <c r="P150" s="382" t="n">
        <v>1.2</v>
      </c>
      <c r="Q150" s="383">
        <f>K150*L150*M150*N150*O150*P150</f>
        <v/>
      </c>
    </row>
    <row r="151">
      <c r="A151" s="438" t="n"/>
      <c r="B151" s="439" t="n"/>
      <c r="C151" s="411" t="n"/>
      <c r="D151" s="411" t="n"/>
      <c r="E151" s="378" t="n"/>
      <c r="F151" s="256" t="n"/>
      <c r="G151" s="440" t="n"/>
      <c r="H151" s="411" t="n"/>
      <c r="I151" s="411" t="n"/>
      <c r="J151" s="411" t="n"/>
      <c r="K151" s="440" t="n"/>
      <c r="L151" s="412" t="n"/>
      <c r="M151" s="415" t="inlineStr">
        <is>
          <t xml:space="preserve">   TOPLAM ISI KAYBI =</t>
        </is>
      </c>
      <c r="N151" s="415" t="n"/>
      <c r="O151" s="441" t="n"/>
      <c r="P151" s="415" t="n"/>
      <c r="Q151" s="416">
        <f>Q148+Q150</f>
        <v/>
      </c>
    </row>
    <row r="152"/>
    <row r="153">
      <c r="A153" s="453" t="n"/>
      <c r="B153" s="429" t="n"/>
      <c r="C153" s="429" t="n"/>
      <c r="D153" s="429" t="n"/>
      <c r="E153" s="429" t="n"/>
      <c r="F153" s="426" t="inlineStr">
        <is>
          <t>214</t>
        </is>
      </c>
      <c r="G153" s="454" t="n"/>
      <c r="H153" s="429" t="n"/>
      <c r="I153" s="427" t="inlineStr">
        <is>
          <t>D9 YATAK OD.</t>
        </is>
      </c>
      <c r="J153" s="264" t="n"/>
      <c r="K153" s="429" t="inlineStr">
        <is>
          <t>20ºC</t>
        </is>
      </c>
      <c r="L153" s="429" t="n"/>
      <c r="M153" s="429" t="n"/>
      <c r="N153" s="429" t="n"/>
      <c r="O153" s="429" t="n"/>
      <c r="P153" s="429" t="n"/>
      <c r="Q153" s="430" t="n"/>
    </row>
    <row r="154">
      <c r="A154" s="462" t="inlineStr">
        <is>
          <t>DD</t>
        </is>
      </c>
      <c r="B154" s="463" t="inlineStr">
        <is>
          <t>K</t>
        </is>
      </c>
      <c r="C154" s="464" t="n"/>
      <c r="D154" s="369" t="n">
        <v>4.34</v>
      </c>
      <c r="E154" s="369" t="n">
        <v>3</v>
      </c>
      <c r="F154" s="369">
        <f>IF(D154=0," ",D154*E154)</f>
        <v/>
      </c>
      <c r="G154" s="465" t="n">
        <v>1</v>
      </c>
      <c r="H154" s="466" t="n"/>
      <c r="I154" s="369">
        <f>IF(F154=" "," ",F154*G154-H154)</f>
        <v/>
      </c>
      <c r="J154" s="369" t="n">
        <v>0.479</v>
      </c>
      <c r="K154" s="465" t="n">
        <v>23</v>
      </c>
      <c r="L154" s="372">
        <f>IF(I154=" "," ",I154*J154*K154)</f>
        <v/>
      </c>
      <c r="M154" s="467" t="n">
        <v>7</v>
      </c>
      <c r="N154" s="465" t="n">
        <v>0</v>
      </c>
      <c r="O154" s="467" t="n">
        <v>5</v>
      </c>
      <c r="P154" s="369">
        <f>IF(M154=" "," ",(1+(M154+N154+O154)/100))</f>
        <v/>
      </c>
      <c r="Q154" s="374">
        <f>IF(L154=" "," ",L154*P154)</f>
        <v/>
      </c>
    </row>
    <row r="155">
      <c r="A155" s="462" t="inlineStr">
        <is>
          <t>DD</t>
        </is>
      </c>
      <c r="B155" s="463" t="inlineStr">
        <is>
          <t>D</t>
        </is>
      </c>
      <c r="C155" s="464" t="n"/>
      <c r="D155" s="369" t="n">
        <v>2.78</v>
      </c>
      <c r="E155" s="369" t="n">
        <v>3</v>
      </c>
      <c r="F155" s="369">
        <f>IF(D155=0," ",D155*E155)</f>
        <v/>
      </c>
      <c r="G155" s="465" t="n">
        <v>1</v>
      </c>
      <c r="H155" s="466">
        <f>F156*G156</f>
        <v/>
      </c>
      <c r="I155" s="369">
        <f>IF(F155=" "," ",F155*G155-H155)</f>
        <v/>
      </c>
      <c r="J155" s="369" t="n">
        <v>0.479</v>
      </c>
      <c r="K155" s="465" t="n">
        <v>23</v>
      </c>
      <c r="L155" s="372">
        <f>IF(I155=" "," ",I155*J155*K155)</f>
        <v/>
      </c>
      <c r="M155" s="467" t="n">
        <v>7</v>
      </c>
      <c r="N155" s="465" t="n">
        <v>0</v>
      </c>
      <c r="O155" s="467" t="n">
        <v>0</v>
      </c>
      <c r="P155" s="369">
        <f>IF(M155=" "," ",(1+(M155+N155+O155)/100))</f>
        <v/>
      </c>
      <c r="Q155" s="374">
        <f>IF(L155=" "," ",L155*P155)</f>
        <v/>
      </c>
    </row>
    <row r="156">
      <c r="A156" s="462" t="inlineStr">
        <is>
          <t>ÇP</t>
        </is>
      </c>
      <c r="B156" s="463" t="inlineStr">
        <is>
          <t>D</t>
        </is>
      </c>
      <c r="C156" s="464" t="n"/>
      <c r="D156" s="369" t="n">
        <v>1.6</v>
      </c>
      <c r="E156" s="369" t="n">
        <v>2.3</v>
      </c>
      <c r="F156" s="369">
        <f>IF(D156=0," ",D156*E156)</f>
        <v/>
      </c>
      <c r="G156" s="465" t="n">
        <v>1</v>
      </c>
      <c r="H156" s="466" t="n"/>
      <c r="I156" s="369">
        <f>IF(F156=" "," ",F156*G156-H156)</f>
        <v/>
      </c>
      <c r="J156" s="369" t="n">
        <v>2.4</v>
      </c>
      <c r="K156" s="465" t="n">
        <v>23</v>
      </c>
      <c r="L156" s="372">
        <f>IF(I156=" "," ",I156*J156*K156)</f>
        <v/>
      </c>
      <c r="M156" s="467" t="n">
        <v>7</v>
      </c>
      <c r="N156" s="465" t="n">
        <v>0</v>
      </c>
      <c r="O156" s="467" t="n">
        <v>0</v>
      </c>
      <c r="P156" s="369">
        <f>IF(M156=" "," ",(1+(M156+N156+O156)/100))</f>
        <v/>
      </c>
      <c r="Q156" s="374">
        <f>IF(L156=" "," ",L156*P156)</f>
        <v/>
      </c>
    </row>
    <row r="157">
      <c r="A157" s="462" t="inlineStr">
        <is>
          <t>İD</t>
        </is>
      </c>
      <c r="B157" s="463" t="n"/>
      <c r="C157" s="464" t="n"/>
      <c r="D157" s="369" t="n">
        <v>1.96</v>
      </c>
      <c r="E157" s="369" t="n">
        <v>3</v>
      </c>
      <c r="F157" s="369">
        <f>IF(D157=0," ",D157*E157)</f>
        <v/>
      </c>
      <c r="G157" s="465" t="n">
        <v>1</v>
      </c>
      <c r="H157" s="466" t="n"/>
      <c r="I157" s="369">
        <f>IF(F157=" "," ",F157*G157-H157)</f>
        <v/>
      </c>
      <c r="J157" s="369" t="n">
        <v>0.8139999999999999</v>
      </c>
      <c r="K157" s="465" t="n">
        <v>5</v>
      </c>
      <c r="L157" s="372">
        <f>IF(I157=" "," ",I157*J157*K157)</f>
        <v/>
      </c>
      <c r="M157" s="467" t="n">
        <v>7</v>
      </c>
      <c r="N157" s="465" t="n">
        <v>0</v>
      </c>
      <c r="O157" s="467" t="n">
        <v>0</v>
      </c>
      <c r="P157" s="369">
        <f>IF(M157=" "," ",(1+(M157+N157+O157)/100))</f>
        <v/>
      </c>
      <c r="Q157" s="374">
        <f>IF(L157=" "," ",L157*P157)</f>
        <v/>
      </c>
    </row>
    <row r="158">
      <c r="A158" s="462" t="inlineStr">
        <is>
          <t>Ta</t>
        </is>
      </c>
      <c r="B158" s="463" t="n"/>
      <c r="C158" s="464" t="n"/>
      <c r="D158" s="369" t="n">
        <v>13.75</v>
      </c>
      <c r="E158" s="369" t="n">
        <v>1</v>
      </c>
      <c r="F158" s="369">
        <f>IF(D158=0," ",D158*E158)</f>
        <v/>
      </c>
      <c r="G158" s="465" t="n">
        <v>1</v>
      </c>
      <c r="H158" s="466" t="n"/>
      <c r="I158" s="369">
        <f>IF(F158=" "," ",F158*G158-H158)</f>
        <v/>
      </c>
      <c r="J158" s="369" t="n">
        <v>0.3</v>
      </c>
      <c r="K158" s="465" t="n">
        <v>23</v>
      </c>
      <c r="L158" s="372">
        <f>IF(I158=" "," ",I158*J158*K158)</f>
        <v/>
      </c>
      <c r="M158" s="467" t="n">
        <v>7</v>
      </c>
      <c r="N158" s="465" t="n">
        <v>0</v>
      </c>
      <c r="O158" s="467" t="n">
        <v>0</v>
      </c>
      <c r="P158" s="369">
        <f>IF(M158=" "," ",(1+(M158+N158+O158)/100))</f>
        <v/>
      </c>
      <c r="Q158" s="374">
        <f>IF(L158=" "," ",L158*P158)</f>
        <v/>
      </c>
    </row>
    <row r="159">
      <c r="A159" s="468" t="n"/>
      <c r="B159" s="469" t="n"/>
      <c r="C159" s="469" t="n"/>
      <c r="D159" s="378" t="n"/>
      <c r="E159" s="378" t="n"/>
      <c r="F159" s="378" t="n"/>
      <c r="G159" s="470" t="n"/>
      <c r="H159" s="378" t="n"/>
      <c r="I159" s="378" t="n"/>
      <c r="J159" s="378" t="n"/>
      <c r="K159" s="470" t="n"/>
      <c r="L159" s="380" t="n"/>
      <c r="M159" s="479" t="n"/>
      <c r="N159" s="479" t="n"/>
      <c r="O159" s="479" t="n"/>
      <c r="P159" s="382" t="n"/>
      <c r="Q159" s="383">
        <f>SUM(Q154:Q158)</f>
        <v/>
      </c>
    </row>
    <row r="160">
      <c r="A160" s="472" t="n"/>
      <c r="B160" s="473" t="n"/>
      <c r="C160" s="473" t="n"/>
      <c r="D160" s="474" t="n"/>
      <c r="E160" s="475" t="n"/>
      <c r="F160" s="388" t="n"/>
      <c r="G160" s="396" t="n"/>
      <c r="H160" s="388" t="n"/>
      <c r="I160" s="391" t="n"/>
      <c r="J160" s="476" t="inlineStr">
        <is>
          <t>Qs=</t>
        </is>
      </c>
      <c r="K160" s="391" t="inlineStr">
        <is>
          <t>a</t>
        </is>
      </c>
      <c r="L160" s="388" t="inlineStr">
        <is>
          <t>L</t>
        </is>
      </c>
      <c r="M160" s="396" t="inlineStr">
        <is>
          <t>R</t>
        </is>
      </c>
      <c r="N160" s="477" t="inlineStr">
        <is>
          <t>H</t>
        </is>
      </c>
      <c r="O160" s="478" t="inlineStr">
        <is>
          <t>D  T</t>
        </is>
      </c>
      <c r="P160" s="396" t="inlineStr">
        <is>
          <t>Ze</t>
        </is>
      </c>
      <c r="Q160" s="397" t="n"/>
    </row>
    <row r="161">
      <c r="A161" s="431" t="n"/>
      <c r="C161" s="411" t="n"/>
      <c r="D161" s="411" t="n"/>
      <c r="E161" s="433" t="n"/>
      <c r="F161" s="402" t="n"/>
      <c r="G161" s="434" t="n"/>
      <c r="H161" s="435" t="n"/>
      <c r="I161" s="405" t="n"/>
      <c r="J161" s="436" t="inlineStr">
        <is>
          <t>Qs  =</t>
        </is>
      </c>
      <c r="K161" s="382" t="n">
        <v>2</v>
      </c>
      <c r="L161" s="382">
        <f>(D156+E156)*2*G156</f>
        <v/>
      </c>
      <c r="M161" s="382" t="n">
        <v>0.9</v>
      </c>
      <c r="N161" s="382" t="n">
        <v>0.67</v>
      </c>
      <c r="O161" s="479" t="n">
        <v>23</v>
      </c>
      <c r="P161" s="382" t="n">
        <v>1.2</v>
      </c>
      <c r="Q161" s="383">
        <f>K161*L161*M161*N161*O161*P161</f>
        <v/>
      </c>
    </row>
    <row r="162">
      <c r="A162" s="438" t="n"/>
      <c r="B162" s="439" t="n"/>
      <c r="C162" s="411" t="n"/>
      <c r="D162" s="411" t="n"/>
      <c r="E162" s="378" t="n"/>
      <c r="F162" s="256" t="n"/>
      <c r="G162" s="440" t="n"/>
      <c r="H162" s="411" t="n"/>
      <c r="I162" s="411" t="n"/>
      <c r="J162" s="411" t="n"/>
      <c r="K162" s="440" t="n"/>
      <c r="L162" s="412" t="n"/>
      <c r="M162" s="415" t="inlineStr">
        <is>
          <t xml:space="preserve">   TOPLAM ISI KAYBI =</t>
        </is>
      </c>
      <c r="N162" s="415" t="n"/>
      <c r="O162" s="441" t="n"/>
      <c r="P162" s="415" t="n"/>
      <c r="Q162" s="416">
        <f>Q159+Q161</f>
        <v/>
      </c>
    </row>
    <row r="163"/>
    <row r="164">
      <c r="A164" s="453" t="n"/>
      <c r="B164" s="429" t="n"/>
      <c r="C164" s="429" t="n"/>
      <c r="D164" s="429" t="n"/>
      <c r="E164" s="429" t="n"/>
      <c r="F164" s="426" t="inlineStr">
        <is>
          <t>215</t>
        </is>
      </c>
      <c r="G164" s="454" t="n"/>
      <c r="H164" s="429" t="n"/>
      <c r="I164" s="427" t="inlineStr">
        <is>
          <t>D9 YATAK OD.</t>
        </is>
      </c>
      <c r="J164" s="264" t="n"/>
      <c r="K164" s="429" t="inlineStr">
        <is>
          <t>20ºC</t>
        </is>
      </c>
      <c r="L164" s="429" t="n"/>
      <c r="M164" s="429" t="n"/>
      <c r="N164" s="429" t="n"/>
      <c r="O164" s="429" t="n"/>
      <c r="P164" s="429" t="n"/>
      <c r="Q164" s="430" t="n"/>
    </row>
    <row r="165">
      <c r="A165" s="462" t="inlineStr">
        <is>
          <t>DD</t>
        </is>
      </c>
      <c r="B165" s="463" t="inlineStr">
        <is>
          <t>D</t>
        </is>
      </c>
      <c r="C165" s="464" t="n"/>
      <c r="D165" s="369" t="n">
        <v>2.26</v>
      </c>
      <c r="E165" s="369" t="n">
        <v>3</v>
      </c>
      <c r="F165" s="369">
        <f>IF(D165=0," ",D165*E165)</f>
        <v/>
      </c>
      <c r="G165" s="465" t="n">
        <v>1</v>
      </c>
      <c r="H165" s="466">
        <f>F166*G166</f>
        <v/>
      </c>
      <c r="I165" s="369">
        <f>IF(F165=" "," ",F165*G165-H165)</f>
        <v/>
      </c>
      <c r="J165" s="369" t="n">
        <v>0.479</v>
      </c>
      <c r="K165" s="465" t="n">
        <v>23</v>
      </c>
      <c r="L165" s="372">
        <f>IF(I165=" "," ",I165*J165*K165)</f>
        <v/>
      </c>
      <c r="M165" s="467" t="n">
        <v>7</v>
      </c>
      <c r="N165" s="465" t="n">
        <v>0</v>
      </c>
      <c r="O165" s="467" t="n">
        <v>0</v>
      </c>
      <c r="P165" s="369">
        <f>IF(M165=" "," ",(1+(M165+N165+O165)/100))</f>
        <v/>
      </c>
      <c r="Q165" s="374">
        <f>IF(L165=" "," ",L165*P165)</f>
        <v/>
      </c>
    </row>
    <row r="166">
      <c r="A166" s="462" t="inlineStr">
        <is>
          <t>ÇP</t>
        </is>
      </c>
      <c r="B166" s="463" t="inlineStr">
        <is>
          <t>D</t>
        </is>
      </c>
      <c r="C166" s="464" t="n"/>
      <c r="D166" s="369" t="n">
        <v>1.6</v>
      </c>
      <c r="E166" s="369" t="n">
        <v>2.3</v>
      </c>
      <c r="F166" s="369">
        <f>IF(D166=0," ",D166*E166)</f>
        <v/>
      </c>
      <c r="G166" s="465" t="n">
        <v>1</v>
      </c>
      <c r="H166" s="466" t="n"/>
      <c r="I166" s="369">
        <f>IF(F166=" "," ",F166*G166-H166)</f>
        <v/>
      </c>
      <c r="J166" s="369" t="n">
        <v>2.4</v>
      </c>
      <c r="K166" s="465" t="n">
        <v>23</v>
      </c>
      <c r="L166" s="372">
        <f>IF(I166=" "," ",I166*J166*K166)</f>
        <v/>
      </c>
      <c r="M166" s="467" t="n">
        <v>7</v>
      </c>
      <c r="N166" s="465" t="n">
        <v>0</v>
      </c>
      <c r="O166" s="467" t="n">
        <v>0</v>
      </c>
      <c r="P166" s="369">
        <f>IF(M166=" "," ",(1+(M166+N166+O166)/100))</f>
        <v/>
      </c>
      <c r="Q166" s="374">
        <f>IF(L166=" "," ",L166*P166)</f>
        <v/>
      </c>
    </row>
    <row r="167">
      <c r="A167" s="462" t="inlineStr">
        <is>
          <t>İD</t>
        </is>
      </c>
      <c r="B167" s="463" t="n"/>
      <c r="C167" s="464" t="n"/>
      <c r="D167" s="369" t="n">
        <v>2.5</v>
      </c>
      <c r="E167" s="369" t="n">
        <v>3</v>
      </c>
      <c r="F167" s="369">
        <f>IF(D167=0," ",D167*E167)</f>
        <v/>
      </c>
      <c r="G167" s="465" t="n">
        <v>1</v>
      </c>
      <c r="H167" s="466" t="n"/>
      <c r="I167" s="369">
        <f>IF(F167=" "," ",F167*G167-H167)</f>
        <v/>
      </c>
      <c r="J167" s="369" t="n">
        <v>0.8139999999999999</v>
      </c>
      <c r="K167" s="465" t="n">
        <v>5</v>
      </c>
      <c r="L167" s="372">
        <f>IF(I167=" "," ",I167*J167*K167)</f>
        <v/>
      </c>
      <c r="M167" s="467" t="n">
        <v>7</v>
      </c>
      <c r="N167" s="465" t="n">
        <v>0</v>
      </c>
      <c r="O167" s="467" t="n">
        <v>0</v>
      </c>
      <c r="P167" s="369">
        <f>IF(M167=" "," ",(1+(M167+N167+O167)/100))</f>
        <v/>
      </c>
      <c r="Q167" s="374">
        <f>IF(L167=" "," ",L167*P167)</f>
        <v/>
      </c>
    </row>
    <row r="168">
      <c r="A168" s="462" t="inlineStr">
        <is>
          <t>Ta</t>
        </is>
      </c>
      <c r="B168" s="463" t="n"/>
      <c r="C168" s="464" t="n"/>
      <c r="D168" s="369" t="n">
        <v>8.890000000000001</v>
      </c>
      <c r="E168" s="369" t="n">
        <v>1</v>
      </c>
      <c r="F168" s="369">
        <f>IF(D168=0," ",D168*E168)</f>
        <v/>
      </c>
      <c r="G168" s="465" t="n">
        <v>1</v>
      </c>
      <c r="H168" s="466" t="n"/>
      <c r="I168" s="369">
        <f>IF(F168=" "," ",F168*G168-H168)</f>
        <v/>
      </c>
      <c r="J168" s="369" t="n">
        <v>0.3</v>
      </c>
      <c r="K168" s="465" t="n">
        <v>23</v>
      </c>
      <c r="L168" s="372">
        <f>IF(I168=" "," ",I168*J168*K168)</f>
        <v/>
      </c>
      <c r="M168" s="467" t="n">
        <v>7</v>
      </c>
      <c r="N168" s="465" t="n">
        <v>0</v>
      </c>
      <c r="O168" s="467" t="n">
        <v>0</v>
      </c>
      <c r="P168" s="369">
        <f>IF(M168=" "," ",(1+(M168+N168+O168)/100))</f>
        <v/>
      </c>
      <c r="Q168" s="374">
        <f>IF(L168=" "," ",L168*P168)</f>
        <v/>
      </c>
    </row>
    <row r="169">
      <c r="A169" s="468" t="n"/>
      <c r="B169" s="469" t="n"/>
      <c r="C169" s="469" t="n"/>
      <c r="D169" s="378" t="n"/>
      <c r="E169" s="378" t="n"/>
      <c r="F169" s="378" t="n"/>
      <c r="G169" s="470" t="n"/>
      <c r="H169" s="378" t="n"/>
      <c r="I169" s="378" t="n"/>
      <c r="J169" s="378" t="n"/>
      <c r="K169" s="470" t="n"/>
      <c r="L169" s="380" t="n"/>
      <c r="M169" s="479" t="n"/>
      <c r="N169" s="479" t="n"/>
      <c r="O169" s="479" t="n"/>
      <c r="P169" s="382" t="n"/>
      <c r="Q169" s="383">
        <f>SUM(Q165:Q168)</f>
        <v/>
      </c>
    </row>
    <row r="170">
      <c r="A170" s="472" t="n"/>
      <c r="B170" s="473" t="n"/>
      <c r="C170" s="473" t="n"/>
      <c r="D170" s="474" t="n"/>
      <c r="E170" s="475" t="n"/>
      <c r="F170" s="388" t="n"/>
      <c r="G170" s="396" t="n"/>
      <c r="H170" s="388" t="n"/>
      <c r="I170" s="391" t="n"/>
      <c r="J170" s="476" t="inlineStr">
        <is>
          <t>Qs=</t>
        </is>
      </c>
      <c r="K170" s="391" t="inlineStr">
        <is>
          <t>a</t>
        </is>
      </c>
      <c r="L170" s="388" t="inlineStr">
        <is>
          <t>L</t>
        </is>
      </c>
      <c r="M170" s="396" t="inlineStr">
        <is>
          <t>R</t>
        </is>
      </c>
      <c r="N170" s="477" t="inlineStr">
        <is>
          <t>H</t>
        </is>
      </c>
      <c r="O170" s="478" t="inlineStr">
        <is>
          <t>D  T</t>
        </is>
      </c>
      <c r="P170" s="396" t="inlineStr">
        <is>
          <t>Ze</t>
        </is>
      </c>
      <c r="Q170" s="397" t="n"/>
    </row>
    <row r="171">
      <c r="A171" s="431" t="n"/>
      <c r="C171" s="411" t="n"/>
      <c r="D171" s="411" t="n"/>
      <c r="E171" s="433" t="n"/>
      <c r="F171" s="402" t="n"/>
      <c r="G171" s="434" t="n"/>
      <c r="H171" s="435" t="n"/>
      <c r="I171" s="405" t="n"/>
      <c r="J171" s="436" t="inlineStr">
        <is>
          <t>Qs  =</t>
        </is>
      </c>
      <c r="K171" s="382" t="n">
        <v>2</v>
      </c>
      <c r="L171" s="382">
        <f>(D166+E166)*2*G166</f>
        <v/>
      </c>
      <c r="M171" s="382" t="n">
        <v>0.9</v>
      </c>
      <c r="N171" s="382" t="n">
        <v>0.67</v>
      </c>
      <c r="O171" s="479" t="n">
        <v>23</v>
      </c>
      <c r="P171" s="382" t="n">
        <v>1.2</v>
      </c>
      <c r="Q171" s="383">
        <f>K171*L171*M171*N171*O171*P171</f>
        <v/>
      </c>
    </row>
    <row r="172">
      <c r="A172" s="438" t="n"/>
      <c r="B172" s="439" t="n"/>
      <c r="C172" s="411" t="n"/>
      <c r="D172" s="411" t="n"/>
      <c r="E172" s="378" t="n"/>
      <c r="F172" s="256" t="n"/>
      <c r="G172" s="440" t="n"/>
      <c r="H172" s="411" t="n"/>
      <c r="I172" s="411" t="n"/>
      <c r="J172" s="411" t="n"/>
      <c r="K172" s="440" t="n"/>
      <c r="L172" s="412" t="n"/>
      <c r="M172" s="415" t="inlineStr">
        <is>
          <t xml:space="preserve">   TOPLAM ISI KAYBI =</t>
        </is>
      </c>
      <c r="N172" s="415" t="n"/>
      <c r="O172" s="441" t="n"/>
      <c r="P172" s="415" t="n"/>
      <c r="Q172" s="416">
        <f>Q169+Q171</f>
        <v/>
      </c>
    </row>
    <row r="173"/>
    <row r="174">
      <c r="A174" s="453" t="n"/>
      <c r="B174" s="429" t="n"/>
      <c r="C174" s="429" t="n"/>
      <c r="D174" s="429" t="n"/>
      <c r="E174" s="429" t="n"/>
      <c r="F174" s="426" t="inlineStr">
        <is>
          <t>216</t>
        </is>
      </c>
      <c r="G174" s="454" t="n"/>
      <c r="H174" s="429" t="n"/>
      <c r="I174" s="427" t="inlineStr">
        <is>
          <t>D9 YATAK OD.</t>
        </is>
      </c>
      <c r="J174" s="264" t="n"/>
      <c r="K174" s="429" t="inlineStr">
        <is>
          <t>20ºC</t>
        </is>
      </c>
      <c r="L174" s="429" t="n"/>
      <c r="M174" s="429" t="n"/>
      <c r="N174" s="429" t="n"/>
      <c r="O174" s="429" t="n"/>
      <c r="P174" s="429" t="n"/>
      <c r="Q174" s="430" t="n"/>
    </row>
    <row r="175">
      <c r="A175" s="462" t="inlineStr">
        <is>
          <t>DD</t>
        </is>
      </c>
      <c r="B175" s="463" t="inlineStr">
        <is>
          <t>D</t>
        </is>
      </c>
      <c r="C175" s="464" t="n"/>
      <c r="D175" s="369" t="n">
        <v>2.56</v>
      </c>
      <c r="E175" s="369" t="n">
        <v>3</v>
      </c>
      <c r="F175" s="369">
        <f>IF(D175=0," ",D175*E175)</f>
        <v/>
      </c>
      <c r="G175" s="465" t="n">
        <v>1</v>
      </c>
      <c r="H175" s="466">
        <f>F176*G176</f>
        <v/>
      </c>
      <c r="I175" s="369">
        <f>IF(F175=" "," ",F175*G175-H175)</f>
        <v/>
      </c>
      <c r="J175" s="369" t="n">
        <v>0.479</v>
      </c>
      <c r="K175" s="465" t="n">
        <v>23</v>
      </c>
      <c r="L175" s="372">
        <f>IF(I175=" "," ",I175*J175*K175)</f>
        <v/>
      </c>
      <c r="M175" s="467" t="n">
        <v>7</v>
      </c>
      <c r="N175" s="465" t="n">
        <v>0</v>
      </c>
      <c r="O175" s="467" t="n">
        <v>0</v>
      </c>
      <c r="P175" s="369">
        <f>IF(M175=" "," ",(1+(M175+N175+O175)/100))</f>
        <v/>
      </c>
      <c r="Q175" s="374">
        <f>IF(L175=" "," ",L175*P175)</f>
        <v/>
      </c>
    </row>
    <row r="176">
      <c r="A176" s="462" t="inlineStr">
        <is>
          <t>ÇP</t>
        </is>
      </c>
      <c r="B176" s="463" t="inlineStr">
        <is>
          <t>D</t>
        </is>
      </c>
      <c r="C176" s="464" t="n"/>
      <c r="D176" s="369" t="n">
        <v>1.6</v>
      </c>
      <c r="E176" s="369" t="n">
        <v>2.3</v>
      </c>
      <c r="F176" s="369">
        <f>IF(D176=0," ",D176*E176)</f>
        <v/>
      </c>
      <c r="G176" s="465" t="n">
        <v>1</v>
      </c>
      <c r="H176" s="466" t="n"/>
      <c r="I176" s="369">
        <f>IF(F176=" "," ",F176*G176-H176)</f>
        <v/>
      </c>
      <c r="J176" s="369" t="n">
        <v>2.4</v>
      </c>
      <c r="K176" s="465" t="n">
        <v>23</v>
      </c>
      <c r="L176" s="372">
        <f>IF(I176=" "," ",I176*J176*K176)</f>
        <v/>
      </c>
      <c r="M176" s="467" t="n">
        <v>7</v>
      </c>
      <c r="N176" s="465" t="n">
        <v>0</v>
      </c>
      <c r="O176" s="467" t="n">
        <v>0</v>
      </c>
      <c r="P176" s="369">
        <f>IF(M176=" "," ",(1+(M176+N176+O176)/100))</f>
        <v/>
      </c>
      <c r="Q176" s="374">
        <f>IF(L176=" "," ",L176*P176)</f>
        <v/>
      </c>
    </row>
    <row r="177">
      <c r="A177" s="462" t="inlineStr">
        <is>
          <t>İD</t>
        </is>
      </c>
      <c r="B177" s="463" t="n"/>
      <c r="C177" s="464" t="n"/>
      <c r="D177" s="369" t="n">
        <v>1.22</v>
      </c>
      <c r="E177" s="369" t="n">
        <v>3</v>
      </c>
      <c r="F177" s="369">
        <f>IF(D177=0," ",D177*E177)</f>
        <v/>
      </c>
      <c r="G177" s="465" t="n">
        <v>1</v>
      </c>
      <c r="H177" s="466" t="n"/>
      <c r="I177" s="369">
        <f>IF(F177=" "," ",F177*G177-H177)</f>
        <v/>
      </c>
      <c r="J177" s="369" t="n">
        <v>0.8139999999999999</v>
      </c>
      <c r="K177" s="465" t="n">
        <v>5</v>
      </c>
      <c r="L177" s="372">
        <f>IF(I177=" "," ",I177*J177*K177)</f>
        <v/>
      </c>
      <c r="M177" s="467" t="n">
        <v>7</v>
      </c>
      <c r="N177" s="465" t="n">
        <v>0</v>
      </c>
      <c r="O177" s="467" t="n">
        <v>0</v>
      </c>
      <c r="P177" s="369">
        <f>IF(M177=" "," ",(1+(M177+N177+O177)/100))</f>
        <v/>
      </c>
      <c r="Q177" s="374">
        <f>IF(L177=" "," ",L177*P177)</f>
        <v/>
      </c>
    </row>
    <row r="178">
      <c r="A178" s="462" t="inlineStr">
        <is>
          <t>Ta</t>
        </is>
      </c>
      <c r="B178" s="463" t="n"/>
      <c r="C178" s="464" t="n"/>
      <c r="D178" s="369" t="n">
        <v>8.98</v>
      </c>
      <c r="E178" s="369" t="n">
        <v>1</v>
      </c>
      <c r="F178" s="369">
        <f>IF(D178=0," ",D178*E178)</f>
        <v/>
      </c>
      <c r="G178" s="465" t="n">
        <v>1</v>
      </c>
      <c r="H178" s="466" t="n"/>
      <c r="I178" s="369">
        <f>IF(F178=" "," ",F178*G178-H178)</f>
        <v/>
      </c>
      <c r="J178" s="369" t="n">
        <v>0.3</v>
      </c>
      <c r="K178" s="465" t="n">
        <v>23</v>
      </c>
      <c r="L178" s="372">
        <f>IF(I178=" "," ",I178*J178*K178)</f>
        <v/>
      </c>
      <c r="M178" s="467" t="n">
        <v>7</v>
      </c>
      <c r="N178" s="465" t="n">
        <v>0</v>
      </c>
      <c r="O178" s="467" t="n">
        <v>0</v>
      </c>
      <c r="P178" s="369">
        <f>IF(M178=" "," ",(1+(M178+N178+O178)/100))</f>
        <v/>
      </c>
      <c r="Q178" s="374">
        <f>IF(L178=" "," ",L178*P178)</f>
        <v/>
      </c>
    </row>
    <row r="179">
      <c r="A179" s="468" t="n"/>
      <c r="B179" s="469" t="n"/>
      <c r="C179" s="469" t="n"/>
      <c r="D179" s="378" t="n"/>
      <c r="E179" s="378" t="n"/>
      <c r="F179" s="378" t="n"/>
      <c r="G179" s="470" t="n"/>
      <c r="H179" s="378" t="n"/>
      <c r="I179" s="378" t="n"/>
      <c r="J179" s="378" t="n"/>
      <c r="K179" s="470" t="n"/>
      <c r="L179" s="380" t="n"/>
      <c r="M179" s="479" t="n"/>
      <c r="N179" s="479" t="n"/>
      <c r="O179" s="479" t="n"/>
      <c r="P179" s="382" t="n"/>
      <c r="Q179" s="383">
        <f>SUM(Q175:Q178)</f>
        <v/>
      </c>
    </row>
    <row r="180">
      <c r="A180" s="472" t="n"/>
      <c r="B180" s="473" t="n"/>
      <c r="C180" s="473" t="n"/>
      <c r="D180" s="474" t="n"/>
      <c r="E180" s="475" t="n"/>
      <c r="F180" s="388" t="n"/>
      <c r="G180" s="396" t="n"/>
      <c r="H180" s="388" t="n"/>
      <c r="I180" s="391" t="n"/>
      <c r="J180" s="476" t="inlineStr">
        <is>
          <t>Qs=</t>
        </is>
      </c>
      <c r="K180" s="391" t="inlineStr">
        <is>
          <t>a</t>
        </is>
      </c>
      <c r="L180" s="388" t="inlineStr">
        <is>
          <t>L</t>
        </is>
      </c>
      <c r="M180" s="396" t="inlineStr">
        <is>
          <t>R</t>
        </is>
      </c>
      <c r="N180" s="477" t="inlineStr">
        <is>
          <t>H</t>
        </is>
      </c>
      <c r="O180" s="478" t="inlineStr">
        <is>
          <t>D  T</t>
        </is>
      </c>
      <c r="P180" s="396" t="inlineStr">
        <is>
          <t>Ze</t>
        </is>
      </c>
      <c r="Q180" s="397" t="n"/>
    </row>
    <row r="181">
      <c r="A181" s="431" t="n"/>
      <c r="C181" s="411" t="n"/>
      <c r="D181" s="411" t="n"/>
      <c r="E181" s="433" t="n"/>
      <c r="F181" s="402" t="n"/>
      <c r="G181" s="434" t="n"/>
      <c r="H181" s="435" t="n"/>
      <c r="I181" s="405" t="n"/>
      <c r="J181" s="436" t="inlineStr">
        <is>
          <t>Qs  =</t>
        </is>
      </c>
      <c r="K181" s="382" t="n">
        <v>2</v>
      </c>
      <c r="L181" s="382">
        <f>(D176+E176)*2*G176</f>
        <v/>
      </c>
      <c r="M181" s="382" t="n">
        <v>0.9</v>
      </c>
      <c r="N181" s="382" t="n">
        <v>0.67</v>
      </c>
      <c r="O181" s="479" t="n">
        <v>23</v>
      </c>
      <c r="P181" s="382" t="n">
        <v>1.2</v>
      </c>
      <c r="Q181" s="383">
        <f>K181*L181*M181*N181*O181*P181</f>
        <v/>
      </c>
    </row>
    <row r="182">
      <c r="A182" s="438" t="n"/>
      <c r="B182" s="439" t="n"/>
      <c r="C182" s="411" t="n"/>
      <c r="D182" s="411" t="n"/>
      <c r="E182" s="378" t="n"/>
      <c r="F182" s="256" t="n"/>
      <c r="G182" s="440" t="n"/>
      <c r="H182" s="411" t="n"/>
      <c r="I182" s="411" t="n"/>
      <c r="J182" s="411" t="n"/>
      <c r="K182" s="440" t="n"/>
      <c r="L182" s="412" t="n"/>
      <c r="M182" s="415" t="inlineStr">
        <is>
          <t xml:space="preserve">   TOPLAM ISI KAYBI =</t>
        </is>
      </c>
      <c r="N182" s="415" t="n"/>
      <c r="O182" s="441" t="n"/>
      <c r="P182" s="415" t="n"/>
      <c r="Q182" s="416">
        <f>Q179+Q181</f>
        <v/>
      </c>
    </row>
    <row r="183"/>
    <row r="184">
      <c r="A184" s="453" t="n"/>
      <c r="B184" s="429" t="n"/>
      <c r="C184" s="429" t="n"/>
      <c r="D184" s="429" t="n"/>
      <c r="E184" s="429" t="n"/>
      <c r="F184" s="426" t="inlineStr">
        <is>
          <t>217</t>
        </is>
      </c>
      <c r="G184" s="454" t="n"/>
      <c r="H184" s="429" t="n"/>
      <c r="I184" s="427" t="inlineStr">
        <is>
          <t>D9 SALON</t>
        </is>
      </c>
      <c r="J184" s="264" t="n"/>
      <c r="K184" s="429" t="inlineStr">
        <is>
          <t>20ºC</t>
        </is>
      </c>
      <c r="L184" s="429" t="n"/>
      <c r="M184" s="429" t="n"/>
      <c r="N184" s="429" t="n"/>
      <c r="O184" s="429" t="n"/>
      <c r="P184" s="429" t="n"/>
      <c r="Q184" s="430" t="n"/>
    </row>
    <row r="185">
      <c r="A185" s="462" t="inlineStr">
        <is>
          <t>DD</t>
        </is>
      </c>
      <c r="B185" s="463" t="inlineStr">
        <is>
          <t>D</t>
        </is>
      </c>
      <c r="C185" s="464" t="n"/>
      <c r="D185" s="369" t="n">
        <v>3.34</v>
      </c>
      <c r="E185" s="369" t="n">
        <v>3</v>
      </c>
      <c r="F185" s="369">
        <f>IF(D185=0," ",D185*E185)</f>
        <v/>
      </c>
      <c r="G185" s="465" t="n">
        <v>1</v>
      </c>
      <c r="H185" s="466">
        <f>F186*G186</f>
        <v/>
      </c>
      <c r="I185" s="369">
        <f>IF(F185=" "," ",F185*G185-H185)</f>
        <v/>
      </c>
      <c r="J185" s="369" t="n">
        <v>0.479</v>
      </c>
      <c r="K185" s="465" t="n">
        <v>23</v>
      </c>
      <c r="L185" s="372">
        <f>IF(I185=" "," ",I185*J185*K185)</f>
        <v/>
      </c>
      <c r="M185" s="467" t="n">
        <v>7</v>
      </c>
      <c r="N185" s="465" t="n">
        <v>0</v>
      </c>
      <c r="O185" s="467" t="n">
        <v>0</v>
      </c>
      <c r="P185" s="369">
        <f>IF(M185=" "," ",(1+(M185+N185+O185)/100))</f>
        <v/>
      </c>
      <c r="Q185" s="374">
        <f>IF(L185=" "," ",L185*P185)</f>
        <v/>
      </c>
    </row>
    <row r="186">
      <c r="A186" s="462" t="inlineStr">
        <is>
          <t>ÇP</t>
        </is>
      </c>
      <c r="B186" s="463" t="inlineStr">
        <is>
          <t>D</t>
        </is>
      </c>
      <c r="C186" s="464" t="n"/>
      <c r="D186" s="369" t="n">
        <v>1.6</v>
      </c>
      <c r="E186" s="369" t="n">
        <v>2.1</v>
      </c>
      <c r="F186" s="369">
        <f>IF(D186=0," ",D186*E186)</f>
        <v/>
      </c>
      <c r="G186" s="465" t="n">
        <v>1</v>
      </c>
      <c r="H186" s="466" t="n"/>
      <c r="I186" s="369">
        <f>IF(F186=" "," ",F186*G186-H186)</f>
        <v/>
      </c>
      <c r="J186" s="369" t="n">
        <v>2.4</v>
      </c>
      <c r="K186" s="465" t="n">
        <v>23</v>
      </c>
      <c r="L186" s="372">
        <f>IF(I186=" "," ",I186*J186*K186)</f>
        <v/>
      </c>
      <c r="M186" s="467" t="n">
        <v>7</v>
      </c>
      <c r="N186" s="465" t="n">
        <v>0</v>
      </c>
      <c r="O186" s="467" t="n">
        <v>0</v>
      </c>
      <c r="P186" s="369">
        <f>IF(M186=" "," ",(1+(M186+N186+O186)/100))</f>
        <v/>
      </c>
      <c r="Q186" s="374">
        <f>IF(L186=" "," ",L186*P186)</f>
        <v/>
      </c>
    </row>
    <row r="187">
      <c r="A187" s="462" t="inlineStr">
        <is>
          <t>DD</t>
        </is>
      </c>
      <c r="B187" s="463" t="inlineStr">
        <is>
          <t>G</t>
        </is>
      </c>
      <c r="C187" s="464" t="n"/>
      <c r="D187" s="369" t="n">
        <v>4.7</v>
      </c>
      <c r="E187" s="369" t="n">
        <v>3</v>
      </c>
      <c r="F187" s="369">
        <f>IF(D187=0," ",D187*E187)</f>
        <v/>
      </c>
      <c r="G187" s="465" t="n">
        <v>1</v>
      </c>
      <c r="H187" s="466">
        <f>F188*G188</f>
        <v/>
      </c>
      <c r="I187" s="369">
        <f>IF(F187=" "," ",F187*G187-H187)</f>
        <v/>
      </c>
      <c r="J187" s="369" t="n">
        <v>0.479</v>
      </c>
      <c r="K187" s="465" t="n">
        <v>23</v>
      </c>
      <c r="L187" s="372">
        <f>IF(I187=" "," ",I187*J187*K187)</f>
        <v/>
      </c>
      <c r="M187" s="467" t="n">
        <v>7</v>
      </c>
      <c r="N187" s="465" t="n">
        <v>0</v>
      </c>
      <c r="O187" s="467" t="n">
        <v>-5</v>
      </c>
      <c r="P187" s="369">
        <f>IF(M187=" "," ",(1+(M187+N187+O187)/100))</f>
        <v/>
      </c>
      <c r="Q187" s="374">
        <f>IF(L187=" "," ",L187*P187)</f>
        <v/>
      </c>
    </row>
    <row r="188">
      <c r="A188" s="462" t="inlineStr">
        <is>
          <t>ÇP</t>
        </is>
      </c>
      <c r="B188" s="463" t="inlineStr">
        <is>
          <t>G</t>
        </is>
      </c>
      <c r="C188" s="464" t="n"/>
      <c r="D188" s="369" t="n">
        <v>1.6</v>
      </c>
      <c r="E188" s="369" t="n">
        <v>2.1</v>
      </c>
      <c r="F188" s="369">
        <f>IF(D188=0," ",D188*E188)</f>
        <v/>
      </c>
      <c r="G188" s="465" t="n">
        <v>1</v>
      </c>
      <c r="H188" s="466" t="n"/>
      <c r="I188" s="369">
        <f>IF(F188=" "," ",F188*G188-H188)</f>
        <v/>
      </c>
      <c r="J188" s="369" t="n">
        <v>2.4</v>
      </c>
      <c r="K188" s="465" t="n">
        <v>23</v>
      </c>
      <c r="L188" s="372">
        <f>IF(I188=" "," ",I188*J188*K188)</f>
        <v/>
      </c>
      <c r="M188" s="467" t="n">
        <v>7</v>
      </c>
      <c r="N188" s="465" t="n">
        <v>0</v>
      </c>
      <c r="O188" s="467" t="n">
        <v>-5</v>
      </c>
      <c r="P188" s="369">
        <f>IF(M188=" "," ",(1+(M188+N188+O188)/100))</f>
        <v/>
      </c>
      <c r="Q188" s="374">
        <f>IF(L188=" "," ",L188*P188)</f>
        <v/>
      </c>
    </row>
    <row r="189">
      <c r="A189" s="462" t="inlineStr">
        <is>
          <t>DD</t>
        </is>
      </c>
      <c r="B189" s="463" t="inlineStr">
        <is>
          <t>B</t>
        </is>
      </c>
      <c r="C189" s="464" t="n"/>
      <c r="D189" s="369" t="n">
        <v>0.63</v>
      </c>
      <c r="E189" s="369" t="n">
        <v>3</v>
      </c>
      <c r="F189" s="369">
        <f>IF(D189=0," ",D189*E189)</f>
        <v/>
      </c>
      <c r="G189" s="465" t="n">
        <v>1</v>
      </c>
      <c r="H189" s="466" t="n"/>
      <c r="I189" s="369">
        <f>IF(F189=" "," ",F189*G189-H189)</f>
        <v/>
      </c>
      <c r="J189" s="369" t="n">
        <v>0.479</v>
      </c>
      <c r="K189" s="465" t="n">
        <v>23</v>
      </c>
      <c r="L189" s="372">
        <f>IF(I189=" "," ",I189*J189*K189)</f>
        <v/>
      </c>
      <c r="M189" s="467" t="n">
        <v>7</v>
      </c>
      <c r="N189" s="465" t="n">
        <v>0</v>
      </c>
      <c r="O189" s="467" t="n">
        <v>0</v>
      </c>
      <c r="P189" s="369">
        <f>IF(M189=" "," ",(1+(M189+N189+O189)/100))</f>
        <v/>
      </c>
      <c r="Q189" s="374">
        <f>IF(L189=" "," ",L189*P189)</f>
        <v/>
      </c>
    </row>
    <row r="190">
      <c r="A190" s="462" t="inlineStr">
        <is>
          <t>İD</t>
        </is>
      </c>
      <c r="B190" s="463" t="n"/>
      <c r="C190" s="464" t="n"/>
      <c r="D190" s="369" t="n">
        <v>1.06</v>
      </c>
      <c r="E190" s="369" t="n">
        <v>3</v>
      </c>
      <c r="F190" s="369">
        <f>IF(D190=0," ",D190*E190)</f>
        <v/>
      </c>
      <c r="G190" s="465" t="n">
        <v>1</v>
      </c>
      <c r="H190" s="466" t="n"/>
      <c r="I190" s="369">
        <f>IF(F190=" "," ",F190*G190-H190)</f>
        <v/>
      </c>
      <c r="J190" s="369" t="n">
        <v>0.8139999999999999</v>
      </c>
      <c r="K190" s="465" t="n">
        <v>5</v>
      </c>
      <c r="L190" s="372">
        <f>IF(I190=" "," ",I190*J190*K190)</f>
        <v/>
      </c>
      <c r="M190" s="467" t="n">
        <v>7</v>
      </c>
      <c r="N190" s="465" t="n">
        <v>0</v>
      </c>
      <c r="O190" s="467" t="n">
        <v>0</v>
      </c>
      <c r="P190" s="369">
        <f>IF(M190=" "," ",(1+(M190+N190+O190)/100))</f>
        <v/>
      </c>
      <c r="Q190" s="374">
        <f>IF(L190=" "," ",L190*P190)</f>
        <v/>
      </c>
    </row>
    <row r="191">
      <c r="A191" s="462" t="inlineStr">
        <is>
          <t>Ta</t>
        </is>
      </c>
      <c r="B191" s="463" t="n"/>
      <c r="C191" s="464" t="n"/>
      <c r="D191" s="369" t="n">
        <v>20.25</v>
      </c>
      <c r="E191" s="369" t="n">
        <v>1</v>
      </c>
      <c r="F191" s="369">
        <f>IF(D191=0," ",D191*E191)</f>
        <v/>
      </c>
      <c r="G191" s="465" t="n">
        <v>1</v>
      </c>
      <c r="H191" s="466" t="n"/>
      <c r="I191" s="369">
        <f>IF(F191=" "," ",F191*G191-H191)</f>
        <v/>
      </c>
      <c r="J191" s="369" t="n">
        <v>0.3</v>
      </c>
      <c r="K191" s="465" t="n">
        <v>23</v>
      </c>
      <c r="L191" s="372">
        <f>IF(I191=" "," ",I191*J191*K191)</f>
        <v/>
      </c>
      <c r="M191" s="467" t="n">
        <v>7</v>
      </c>
      <c r="N191" s="465" t="n">
        <v>0</v>
      </c>
      <c r="O191" s="467" t="n">
        <v>0</v>
      </c>
      <c r="P191" s="369">
        <f>IF(M191=" "," ",(1+(M191+N191+O191)/100))</f>
        <v/>
      </c>
      <c r="Q191" s="374">
        <f>IF(L191=" "," ",L191*P191)</f>
        <v/>
      </c>
    </row>
    <row r="192">
      <c r="A192" s="468" t="n"/>
      <c r="B192" s="469" t="n"/>
      <c r="C192" s="469" t="n"/>
      <c r="D192" s="378" t="n"/>
      <c r="E192" s="378" t="n"/>
      <c r="F192" s="378" t="n"/>
      <c r="G192" s="470" t="n"/>
      <c r="H192" s="378" t="n"/>
      <c r="I192" s="378" t="n"/>
      <c r="J192" s="378" t="n"/>
      <c r="K192" s="470" t="n"/>
      <c r="L192" s="380" t="n"/>
      <c r="M192" s="479" t="n"/>
      <c r="N192" s="479" t="n"/>
      <c r="O192" s="479" t="n"/>
      <c r="P192" s="382" t="n"/>
      <c r="Q192" s="383">
        <f>SUM(Q185:Q191)</f>
        <v/>
      </c>
    </row>
    <row r="193">
      <c r="A193" s="472" t="n"/>
      <c r="B193" s="473" t="n"/>
      <c r="C193" s="473" t="n"/>
      <c r="D193" s="474" t="n"/>
      <c r="E193" s="475" t="n"/>
      <c r="F193" s="388" t="n"/>
      <c r="G193" s="396" t="n"/>
      <c r="H193" s="388" t="n"/>
      <c r="I193" s="391" t="n"/>
      <c r="J193" s="476" t="inlineStr">
        <is>
          <t>Qs=</t>
        </is>
      </c>
      <c r="K193" s="391" t="inlineStr">
        <is>
          <t>a</t>
        </is>
      </c>
      <c r="L193" s="388" t="inlineStr">
        <is>
          <t>L</t>
        </is>
      </c>
      <c r="M193" s="396" t="inlineStr">
        <is>
          <t>R</t>
        </is>
      </c>
      <c r="N193" s="477" t="inlineStr">
        <is>
          <t>H</t>
        </is>
      </c>
      <c r="O193" s="478" t="inlineStr">
        <is>
          <t>D  T</t>
        </is>
      </c>
      <c r="P193" s="396" t="inlineStr">
        <is>
          <t>Ze</t>
        </is>
      </c>
      <c r="Q193" s="397" t="n"/>
    </row>
    <row r="194">
      <c r="A194" s="431" t="n"/>
      <c r="C194" s="411" t="n"/>
      <c r="D194" s="411" t="n"/>
      <c r="E194" s="433" t="n"/>
      <c r="F194" s="402" t="n"/>
      <c r="G194" s="434" t="n"/>
      <c r="H194" s="435" t="n"/>
      <c r="I194" s="405" t="n"/>
      <c r="J194" s="436" t="inlineStr">
        <is>
          <t>Qs  =</t>
        </is>
      </c>
      <c r="K194" s="382" t="n">
        <v>2</v>
      </c>
      <c r="L194" s="382">
        <f>(D186+E186)*2*G186+(D188+E188)*2*G188</f>
        <v/>
      </c>
      <c r="M194" s="382" t="n">
        <v>0.9</v>
      </c>
      <c r="N194" s="382" t="n">
        <v>0.67</v>
      </c>
      <c r="O194" s="479" t="n">
        <v>23</v>
      </c>
      <c r="P194" s="382" t="n">
        <v>1.2</v>
      </c>
      <c r="Q194" s="383">
        <f>K194*L194*M194*N194*O194*P194</f>
        <v/>
      </c>
    </row>
    <row r="195">
      <c r="A195" s="438" t="n"/>
      <c r="B195" s="439" t="n"/>
      <c r="C195" s="411" t="n"/>
      <c r="D195" s="411" t="n"/>
      <c r="E195" s="378" t="n"/>
      <c r="F195" s="256" t="n"/>
      <c r="G195" s="440" t="n"/>
      <c r="H195" s="411" t="n"/>
      <c r="I195" s="411" t="n"/>
      <c r="J195" s="411" t="n"/>
      <c r="K195" s="440" t="n"/>
      <c r="L195" s="412" t="n"/>
      <c r="M195" s="415" t="inlineStr">
        <is>
          <t xml:space="preserve">   TOPLAM ISI KAYBI =</t>
        </is>
      </c>
      <c r="N195" s="415" t="n"/>
      <c r="O195" s="441" t="n"/>
      <c r="P195" s="415" t="n"/>
      <c r="Q195" s="416">
        <f>Q192+Q194</f>
        <v/>
      </c>
    </row>
    <row r="196"/>
    <row r="197">
      <c r="A197" s="453" t="n"/>
      <c r="B197" s="429" t="n"/>
      <c r="C197" s="429" t="n"/>
      <c r="D197" s="429" t="n"/>
      <c r="E197" s="429" t="n"/>
      <c r="F197" s="426" t="inlineStr">
        <is>
          <t>218</t>
        </is>
      </c>
      <c r="G197" s="454" t="n"/>
      <c r="H197" s="429" t="n"/>
      <c r="I197" s="427" t="inlineStr">
        <is>
          <t>D9 BANYO</t>
        </is>
      </c>
      <c r="J197" s="264" t="n"/>
      <c r="K197" s="429" t="inlineStr">
        <is>
          <t>24ºC</t>
        </is>
      </c>
      <c r="L197" s="429" t="n"/>
      <c r="M197" s="429" t="n"/>
      <c r="N197" s="429" t="n"/>
      <c r="O197" s="429" t="n"/>
      <c r="P197" s="429" t="n"/>
      <c r="Q197" s="430" t="n"/>
    </row>
    <row r="198">
      <c r="A198" s="462" t="inlineStr">
        <is>
          <t>İD</t>
        </is>
      </c>
      <c r="B198" s="463" t="n"/>
      <c r="C198" s="464" t="n"/>
      <c r="D198" s="369" t="n">
        <v>1.56</v>
      </c>
      <c r="E198" s="369" t="n">
        <v>3</v>
      </c>
      <c r="F198" s="369">
        <f>IF(D198=0," ",D198*E198)</f>
        <v/>
      </c>
      <c r="G198" s="465" t="n">
        <v>1</v>
      </c>
      <c r="H198" s="466" t="n"/>
      <c r="I198" s="369">
        <f>IF(F198=" "," ",F198*G198-H198)</f>
        <v/>
      </c>
      <c r="J198" s="369" t="n">
        <v>0.8139999999999999</v>
      </c>
      <c r="K198" s="465" t="n">
        <v>14</v>
      </c>
      <c r="L198" s="372">
        <f>IF(I198=" "," ",I198*J198*K198)</f>
        <v/>
      </c>
      <c r="M198" s="467" t="n">
        <v>7</v>
      </c>
      <c r="N198" s="465" t="n">
        <v>0</v>
      </c>
      <c r="O198" s="467" t="n">
        <v>0</v>
      </c>
      <c r="P198" s="369">
        <f>IF(M198=" "," ",(1+(M198+N198+O198)/100))</f>
        <v/>
      </c>
      <c r="Q198" s="374">
        <f>IF(L198=" "," ",L198*P198)</f>
        <v/>
      </c>
    </row>
    <row r="199">
      <c r="A199" s="462" t="inlineStr">
        <is>
          <t>İD</t>
        </is>
      </c>
      <c r="B199" s="463" t="n"/>
      <c r="C199" s="464" t="n"/>
      <c r="D199" s="369" t="n">
        <v>2.14</v>
      </c>
      <c r="E199" s="369" t="n">
        <v>3</v>
      </c>
      <c r="F199" s="369">
        <f>IF(D199=0," ",D199*E199)</f>
        <v/>
      </c>
      <c r="G199" s="465" t="n">
        <v>1</v>
      </c>
      <c r="H199" s="466" t="n"/>
      <c r="I199" s="369">
        <f>IF(F199=" "," ",F199*G199-H199)</f>
        <v/>
      </c>
      <c r="J199" s="369" t="n">
        <v>0.8139999999999999</v>
      </c>
      <c r="K199" s="465" t="n">
        <v>9</v>
      </c>
      <c r="L199" s="372">
        <f>IF(I199=" "," ",I199*J199*K199)</f>
        <v/>
      </c>
      <c r="M199" s="467" t="n">
        <v>7</v>
      </c>
      <c r="N199" s="465" t="n">
        <v>0</v>
      </c>
      <c r="O199" s="467" t="n">
        <v>0</v>
      </c>
      <c r="P199" s="369">
        <f>IF(M199=" "," ",(1+(M199+N199+O199)/100))</f>
        <v/>
      </c>
      <c r="Q199" s="374">
        <f>IF(L199=" "," ",L199*P199)</f>
        <v/>
      </c>
    </row>
    <row r="200">
      <c r="A200" s="462" t="inlineStr">
        <is>
          <t>İD</t>
        </is>
      </c>
      <c r="B200" s="463" t="n"/>
      <c r="C200" s="464" t="n"/>
      <c r="D200" s="369" t="n">
        <v>2.54</v>
      </c>
      <c r="E200" s="369" t="n">
        <v>3</v>
      </c>
      <c r="F200" s="369">
        <f>IF(D200=0," ",D200*E200)</f>
        <v/>
      </c>
      <c r="G200" s="465" t="n">
        <v>1</v>
      </c>
      <c r="H200" s="466" t="n"/>
      <c r="I200" s="369">
        <f>IF(F200=" "," ",F200*G200-H200)</f>
        <v/>
      </c>
      <c r="J200" s="369" t="n">
        <v>0.8139999999999999</v>
      </c>
      <c r="K200" s="465" t="n">
        <v>4</v>
      </c>
      <c r="L200" s="372">
        <f>IF(I200=" "," ",I200*J200*K200)</f>
        <v/>
      </c>
      <c r="M200" s="467" t="n">
        <v>7</v>
      </c>
      <c r="N200" s="465" t="n">
        <v>0</v>
      </c>
      <c r="O200" s="467" t="n">
        <v>0</v>
      </c>
      <c r="P200" s="369">
        <f>IF(M200=" "," ",(1+(M200+N200+O200)/100))</f>
        <v/>
      </c>
      <c r="Q200" s="374">
        <f>IF(L200=" "," ",L200*P200)</f>
        <v/>
      </c>
    </row>
    <row r="201">
      <c r="A201" s="462" t="inlineStr">
        <is>
          <t>Ta</t>
        </is>
      </c>
      <c r="B201" s="463" t="n"/>
      <c r="C201" s="464" t="n"/>
      <c r="D201" s="369" t="n">
        <v>4.93</v>
      </c>
      <c r="E201" s="369" t="n">
        <v>1</v>
      </c>
      <c r="F201" s="369">
        <f>IF(D201=0," ",D201*E201)</f>
        <v/>
      </c>
      <c r="G201" s="465" t="n">
        <v>1</v>
      </c>
      <c r="H201" s="466" t="n"/>
      <c r="I201" s="369">
        <f>IF(F201=" "," ",F201*G201-H201)</f>
        <v/>
      </c>
      <c r="J201" s="369" t="n">
        <v>0.3</v>
      </c>
      <c r="K201" s="465" t="n">
        <v>27</v>
      </c>
      <c r="L201" s="372">
        <f>IF(I201=" "," ",I201*J201*K201)</f>
        <v/>
      </c>
      <c r="M201" s="467" t="n">
        <v>7</v>
      </c>
      <c r="N201" s="465" t="n">
        <v>0</v>
      </c>
      <c r="O201" s="467" t="n">
        <v>0</v>
      </c>
      <c r="P201" s="369">
        <f>IF(M201=" "," ",(1+(M201+N201+O201)/100))</f>
        <v/>
      </c>
      <c r="Q201" s="374">
        <f>IF(L201=" "," ",L201*P201)</f>
        <v/>
      </c>
    </row>
    <row r="202">
      <c r="A202" s="468" t="n"/>
      <c r="B202" s="469" t="n"/>
      <c r="C202" s="469" t="n"/>
      <c r="D202" s="378" t="n"/>
      <c r="E202" s="378" t="n"/>
      <c r="F202" s="378" t="n"/>
      <c r="G202" s="470" t="n"/>
      <c r="H202" s="378" t="n"/>
      <c r="I202" s="378" t="n"/>
      <c r="J202" s="378" t="n"/>
      <c r="K202" s="470" t="n"/>
      <c r="L202" s="380" t="n"/>
      <c r="M202" s="479" t="n"/>
      <c r="N202" s="479" t="n"/>
      <c r="O202" s="479" t="n"/>
      <c r="P202" s="382" t="n"/>
      <c r="Q202" s="383">
        <f>SUM(Q198:Q201)</f>
        <v/>
      </c>
    </row>
    <row r="203">
      <c r="A203" s="472" t="n"/>
      <c r="B203" s="473" t="n"/>
      <c r="C203" s="473" t="n"/>
      <c r="D203" s="474" t="n"/>
      <c r="E203" s="475" t="n"/>
      <c r="F203" s="388" t="n"/>
      <c r="G203" s="396" t="n"/>
      <c r="H203" s="388" t="n"/>
      <c r="I203" s="391" t="n"/>
      <c r="J203" s="476" t="inlineStr">
        <is>
          <t>Qs=</t>
        </is>
      </c>
      <c r="K203" s="391" t="inlineStr">
        <is>
          <t>a</t>
        </is>
      </c>
      <c r="L203" s="388" t="inlineStr">
        <is>
          <t>L</t>
        </is>
      </c>
      <c r="M203" s="396" t="inlineStr">
        <is>
          <t>R</t>
        </is>
      </c>
      <c r="N203" s="477" t="inlineStr">
        <is>
          <t>H</t>
        </is>
      </c>
      <c r="O203" s="478" t="inlineStr">
        <is>
          <t>D  T</t>
        </is>
      </c>
      <c r="P203" s="396" t="inlineStr">
        <is>
          <t>Ze</t>
        </is>
      </c>
      <c r="Q203" s="397" t="n"/>
    </row>
    <row r="204">
      <c r="A204" s="431" t="n"/>
      <c r="C204" s="411" t="n"/>
      <c r="D204" s="411" t="n"/>
      <c r="E204" s="433" t="n"/>
      <c r="F204" s="402" t="n"/>
      <c r="G204" s="434" t="n"/>
      <c r="H204" s="435" t="n"/>
      <c r="I204" s="405" t="n"/>
      <c r="J204" s="436" t="inlineStr">
        <is>
          <t>Qs  =</t>
        </is>
      </c>
      <c r="K204" s="382" t="n">
        <v>2</v>
      </c>
      <c r="L204" s="382" t="n">
        <v>0</v>
      </c>
      <c r="M204" s="382" t="n">
        <v>0.9</v>
      </c>
      <c r="N204" s="382" t="n">
        <v>0.67</v>
      </c>
      <c r="O204" s="479" t="n">
        <v>27</v>
      </c>
      <c r="P204" s="382" t="n">
        <v>1.2</v>
      </c>
      <c r="Q204" s="383">
        <f>K204*L204*M204*N204*O204*P204</f>
        <v/>
      </c>
    </row>
    <row r="205">
      <c r="A205" s="438" t="n"/>
      <c r="B205" s="439" t="n"/>
      <c r="C205" s="411" t="n"/>
      <c r="D205" s="411" t="n"/>
      <c r="E205" s="378" t="n"/>
      <c r="F205" s="256" t="n"/>
      <c r="G205" s="440" t="n"/>
      <c r="H205" s="411" t="n"/>
      <c r="I205" s="411" t="n"/>
      <c r="J205" s="411" t="n"/>
      <c r="K205" s="440" t="n"/>
      <c r="L205" s="412" t="n"/>
      <c r="M205" s="415" t="inlineStr">
        <is>
          <t xml:space="preserve">   TOPLAM ISI KAYBI =</t>
        </is>
      </c>
      <c r="N205" s="415" t="n"/>
      <c r="O205" s="441" t="n"/>
      <c r="P205" s="415" t="n"/>
      <c r="Q205" s="416">
        <f>Q202+Q204</f>
        <v/>
      </c>
    </row>
    <row r="206"/>
    <row r="207">
      <c r="M207" t="inlineStr">
        <is>
          <t>2. KAT TOPLAM =</t>
        </is>
      </c>
      <c r="Q207" s="487">
        <f>Q18+Q28+Q38+Q48+Q61+Q72+Q83+Q94+Q104+Q117+Q129+Q139+Q151+Q162+Q172+Q182+Q195+Q205</f>
        <v/>
      </c>
    </row>
  </sheetData>
  <mergeCells count="4">
    <mergeCell ref="M3:P3"/>
    <mergeCell ref="E3:H3"/>
    <mergeCell ref="I3:L3"/>
    <mergeCell ref="A3:D3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498" min="1" max="1"/>
    <col width="20.99" customWidth="1" style="498" min="2" max="2"/>
    <col width="11.85" customWidth="1" style="498" min="3" max="3"/>
    <col width="10.13" customWidth="1" style="498" min="4" max="4"/>
    <col width="9.99" customWidth="1" style="498" min="5" max="5"/>
    <col width="9.85" customWidth="1" style="498" min="6" max="6"/>
    <col width="16.99" customWidth="1" style="498" min="7" max="7"/>
    <col width="3.28" customWidth="1" style="498" min="8" max="8"/>
    <col width="4.14" customWidth="1" style="498" min="9" max="10"/>
    <col width="3.99" customWidth="1" style="498" min="11" max="11"/>
    <col width="4.14" customWidth="1" style="498" min="12" max="16"/>
    <col width="9.140000000000001" customWidth="1" style="499" min="17" max="21"/>
    <col width="16.7" customWidth="1" style="499" min="22" max="22"/>
    <col width="9.140000000000001" customWidth="1" style="499" min="23" max="257"/>
  </cols>
  <sheetData>
    <row r="1" ht="12.75" customHeight="1" s="244">
      <c r="A1" s="500" t="inlineStr">
        <is>
          <t>ROTAŞ</t>
        </is>
      </c>
      <c r="B1" s="275" t="n"/>
      <c r="C1" s="501" t="inlineStr">
        <is>
          <t>MAHAL VE YERDEN ISITMA BORU BOYU ÇİZELGESİ</t>
        </is>
      </c>
      <c r="D1" s="250" t="n"/>
      <c r="E1" s="250" t="n"/>
      <c r="F1" s="250" t="n"/>
      <c r="G1" s="275" t="n"/>
      <c r="H1" s="501" t="inlineStr">
        <is>
          <t>SAYFA</t>
        </is>
      </c>
      <c r="I1" s="250" t="n"/>
      <c r="J1" s="250" t="n"/>
      <c r="K1" s="250" t="n"/>
      <c r="L1" s="250" t="n"/>
      <c r="M1" s="275" t="n"/>
      <c r="N1" s="501" t="n">
        <v>7</v>
      </c>
      <c r="O1" s="250" t="n"/>
      <c r="P1" s="275" t="n"/>
    </row>
    <row r="2" ht="8.25" customHeight="1" s="244">
      <c r="A2" s="502" t="n"/>
      <c r="B2" s="503" t="n"/>
      <c r="C2" s="502" t="n"/>
      <c r="G2" s="503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502" t="n"/>
      <c r="B3" s="503" t="n"/>
      <c r="C3" s="502" t="n"/>
      <c r="G3" s="503" t="n"/>
      <c r="H3" s="501" t="inlineStr">
        <is>
          <t>TARİH</t>
        </is>
      </c>
      <c r="I3" s="250" t="n"/>
      <c r="J3" s="250" t="n"/>
      <c r="K3" s="250" t="n"/>
      <c r="L3" s="250" t="n"/>
      <c r="M3" s="275" t="n"/>
      <c r="N3" s="504" t="n">
        <v>46310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501" t="inlineStr">
        <is>
          <t>ODANIN</t>
        </is>
      </c>
      <c r="B5" s="260" t="n"/>
      <c r="C5" s="501" t="inlineStr">
        <is>
          <t>RADYATÖRLERİN</t>
        </is>
      </c>
      <c r="D5" s="264" t="n"/>
      <c r="E5" s="264" t="n"/>
      <c r="F5" s="264" t="n"/>
      <c r="G5" s="260" t="n"/>
      <c r="H5" s="501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501" t="inlineStr">
        <is>
          <t>NO</t>
        </is>
      </c>
      <c r="B6" s="501" t="inlineStr">
        <is>
          <t>ADI</t>
        </is>
      </c>
      <c r="C6" s="505" t="inlineStr">
        <is>
          <t>SICAKLIĞI</t>
        </is>
      </c>
      <c r="D6" s="500" t="inlineStr">
        <is>
          <t>ISI KAYBI
Qh (W)</t>
        </is>
      </c>
      <c r="E6" s="500" t="inlineStr">
        <is>
          <t>BİRİM 
VERİMİ</t>
        </is>
      </c>
      <c r="F6" s="501" t="inlineStr">
        <is>
          <t>VERİMİ</t>
        </is>
      </c>
      <c r="G6" s="501" t="inlineStr">
        <is>
          <t>BORU UZUNLUĞU</t>
        </is>
      </c>
      <c r="H6" s="506" t="inlineStr">
        <is>
          <t>GRUP</t>
        </is>
      </c>
      <c r="I6" s="506" t="inlineStr">
        <is>
          <t>KONSOL</t>
        </is>
      </c>
      <c r="J6" s="506" t="inlineStr">
        <is>
          <t>KELEPÇE</t>
        </is>
      </c>
      <c r="K6" s="501" t="inlineStr">
        <is>
          <t>MUSLUK</t>
        </is>
      </c>
      <c r="L6" s="264" t="n"/>
      <c r="M6" s="260" t="n"/>
      <c r="N6" s="501" t="inlineStr">
        <is>
          <t>REKOR</t>
        </is>
      </c>
      <c r="O6" s="264" t="n"/>
      <c r="P6" s="260" t="n"/>
    </row>
    <row r="7" ht="12.75" customHeight="1" s="244">
      <c r="A7" s="507" t="n"/>
      <c r="B7" s="507" t="n"/>
      <c r="C7" s="507" t="n"/>
      <c r="D7" s="507" t="n"/>
      <c r="E7" s="507" t="n"/>
      <c r="F7" s="507" t="n"/>
      <c r="G7" s="507" t="n"/>
      <c r="H7" s="507" t="n"/>
      <c r="I7" s="507" t="n"/>
      <c r="J7" s="507" t="n"/>
      <c r="K7" s="508" t="inlineStr">
        <is>
          <t>1/2"</t>
        </is>
      </c>
      <c r="L7" s="508" t="inlineStr">
        <is>
          <t>3/4"</t>
        </is>
      </c>
      <c r="M7" s="508" t="inlineStr">
        <is>
          <t>1"</t>
        </is>
      </c>
      <c r="N7" s="508" t="inlineStr">
        <is>
          <t>1/2"</t>
        </is>
      </c>
      <c r="O7" s="508" t="inlineStr">
        <is>
          <t>3/4"</t>
        </is>
      </c>
      <c r="P7" s="508" t="inlineStr">
        <is>
          <t>1"</t>
        </is>
      </c>
    </row>
    <row r="8" ht="6" customHeight="1" s="244">
      <c r="A8" s="507" t="n"/>
      <c r="B8" s="507" t="n"/>
      <c r="C8" s="303" t="n"/>
      <c r="D8" s="303" t="n"/>
      <c r="E8" s="303" t="n"/>
      <c r="F8" s="303" t="n"/>
      <c r="G8" s="303" t="n"/>
      <c r="H8" s="507" t="n"/>
      <c r="I8" s="507" t="n"/>
      <c r="J8" s="507" t="n"/>
      <c r="K8" s="507" t="n"/>
      <c r="L8" s="507" t="n"/>
      <c r="M8" s="507" t="n"/>
      <c r="N8" s="507" t="n"/>
      <c r="O8" s="507" t="n"/>
      <c r="P8" s="507" t="n"/>
    </row>
    <row r="9" ht="12.75" customHeight="1" s="244">
      <c r="A9" s="303" t="n"/>
      <c r="B9" s="303" t="n"/>
      <c r="C9" s="509" t="inlineStr">
        <is>
          <t>0c</t>
        </is>
      </c>
      <c r="D9" s="501" t="inlineStr">
        <is>
          <t>W</t>
        </is>
      </c>
      <c r="E9" s="501" t="inlineStr">
        <is>
          <t>W/m</t>
        </is>
      </c>
      <c r="F9" s="501" t="inlineStr">
        <is>
          <t>W</t>
        </is>
      </c>
      <c r="G9" s="501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510" t="inlineStr">
        <is>
          <t>Z01</t>
        </is>
      </c>
      <c r="B10" s="511" t="inlineStr">
        <is>
          <t>D1 MUTFAK</t>
        </is>
      </c>
      <c r="C10" s="512" t="inlineStr">
        <is>
          <t>20</t>
        </is>
      </c>
      <c r="D10" s="513">
        <f>'ISI KAYBI ZEMİN KAT'!Q18</f>
        <v/>
      </c>
      <c r="E10" s="514">
        <f>ROUND(D10/G10,2)</f>
        <v/>
      </c>
      <c r="F10" s="513">
        <f>'YERDEN ISITMA'!N10</f>
        <v/>
      </c>
      <c r="G10" s="510" t="n">
        <v>47.12</v>
      </c>
      <c r="H10" s="510" t="n">
        <v>1</v>
      </c>
      <c r="I10" s="510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510" t="inlineStr">
        <is>
          <t>Z02</t>
        </is>
      </c>
      <c r="B11" s="511" t="inlineStr">
        <is>
          <t>D1 YATAK OD.</t>
        </is>
      </c>
      <c r="C11" s="512" t="inlineStr">
        <is>
          <t>20</t>
        </is>
      </c>
      <c r="D11" s="513">
        <f>'ISI KAYBI ZEMİN KAT'!Q30</f>
        <v/>
      </c>
      <c r="E11" s="514">
        <f>ROUND(D11/G11,2)</f>
        <v/>
      </c>
      <c r="F11" s="513">
        <f>'YERDEN ISITMA'!N11</f>
        <v/>
      </c>
      <c r="G11" s="510" t="n">
        <v>96.28</v>
      </c>
      <c r="H11" s="510" t="n">
        <v>2</v>
      </c>
      <c r="I11" s="510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510" t="inlineStr">
        <is>
          <t>Z03</t>
        </is>
      </c>
      <c r="B12" s="511" t="inlineStr">
        <is>
          <t>D1 YATAK OD.</t>
        </is>
      </c>
      <c r="C12" s="512" t="inlineStr">
        <is>
          <t>20</t>
        </is>
      </c>
      <c r="D12" s="513">
        <f>'ISI KAYBI ZEMİN KAT'!Q40</f>
        <v/>
      </c>
      <c r="E12" s="514">
        <f>ROUND(D12/G12,2)</f>
        <v/>
      </c>
      <c r="F12" s="513">
        <f>'YERDEN ISITMA'!N12</f>
        <v/>
      </c>
      <c r="G12" s="510" t="n">
        <v>59.55</v>
      </c>
      <c r="H12" s="510" t="n">
        <v>1</v>
      </c>
      <c r="I12" s="510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510" t="inlineStr">
        <is>
          <t>Z04</t>
        </is>
      </c>
      <c r="B13" s="511" t="inlineStr">
        <is>
          <t>D1 YATAK OD.</t>
        </is>
      </c>
      <c r="C13" s="512" t="inlineStr">
        <is>
          <t>20</t>
        </is>
      </c>
      <c r="D13" s="513">
        <f>'ISI KAYBI ZEMİN KAT'!Q50</f>
        <v/>
      </c>
      <c r="E13" s="514">
        <f>ROUND(D13/G13,2)</f>
        <v/>
      </c>
      <c r="F13" s="513">
        <f>'YERDEN ISITMA'!N13</f>
        <v/>
      </c>
      <c r="G13" s="510" t="n">
        <v>59.68</v>
      </c>
      <c r="H13" s="510" t="n">
        <v>1</v>
      </c>
      <c r="I13" s="510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510" t="inlineStr">
        <is>
          <t>Z05</t>
        </is>
      </c>
      <c r="B14" s="511" t="inlineStr">
        <is>
          <t>D1 SALON</t>
        </is>
      </c>
      <c r="C14" s="512" t="inlineStr">
        <is>
          <t>20</t>
        </is>
      </c>
      <c r="D14" s="513">
        <f>'ISI KAYBI ZEMİN KAT'!Q63</f>
        <v/>
      </c>
      <c r="E14" s="514">
        <f>ROUND(D14/G14,2)</f>
        <v/>
      </c>
      <c r="F14" s="513">
        <f>'YERDEN ISITMA'!N14</f>
        <v/>
      </c>
      <c r="G14" s="510" t="n">
        <v>132.02</v>
      </c>
      <c r="H14" s="510" t="n">
        <v>2</v>
      </c>
      <c r="I14" s="510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510" t="inlineStr">
        <is>
          <t>Z06</t>
        </is>
      </c>
      <c r="B15" s="511" t="inlineStr">
        <is>
          <t>D1 BANYO</t>
        </is>
      </c>
      <c r="C15" s="512" t="inlineStr">
        <is>
          <t>24</t>
        </is>
      </c>
      <c r="D15" s="513">
        <f>'ISI KAYBI ZEMİN KAT'!Q73</f>
        <v/>
      </c>
      <c r="E15" s="514">
        <f>ROUND(D15/G15,2)</f>
        <v/>
      </c>
      <c r="F15" s="513">
        <f>'YERDEN ISITMA'!N15</f>
        <v/>
      </c>
      <c r="G15" s="510" t="n">
        <v>24.4</v>
      </c>
      <c r="H15" s="510" t="n">
        <v>1</v>
      </c>
      <c r="I15" s="510" t="inlineStr">
        <is>
          <t>ZEMİNDEN ISITMA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510" t="inlineStr">
        <is>
          <t>Z07</t>
        </is>
      </c>
      <c r="B16" s="511" t="inlineStr">
        <is>
          <t>D2 MUTFAK</t>
        </is>
      </c>
      <c r="C16" s="512" t="inlineStr">
        <is>
          <t>20</t>
        </is>
      </c>
      <c r="D16" s="513">
        <f>'ISI KAYBI ZEMİN KAT'!Q85</f>
        <v/>
      </c>
      <c r="E16" s="514">
        <f>ROUND(D16/G16,2)</f>
        <v/>
      </c>
      <c r="F16" s="513">
        <f>'YERDEN ISITMA'!N16</f>
        <v/>
      </c>
      <c r="G16" s="510" t="n">
        <v>39.06</v>
      </c>
      <c r="H16" s="510" t="n">
        <v>1</v>
      </c>
      <c r="I16" s="510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510" t="inlineStr">
        <is>
          <t>Z08</t>
        </is>
      </c>
      <c r="B17" s="511" t="inlineStr">
        <is>
          <t>D2 YATAK OD.</t>
        </is>
      </c>
      <c r="C17" s="512" t="inlineStr">
        <is>
          <t>20</t>
        </is>
      </c>
      <c r="D17" s="513">
        <f>'ISI KAYBI ZEMİN KAT'!Q95</f>
        <v/>
      </c>
      <c r="E17" s="514">
        <f>ROUND(D17/G17,2)</f>
        <v/>
      </c>
      <c r="F17" s="513">
        <f>'YERDEN ISITMA'!N17</f>
        <v/>
      </c>
      <c r="G17" s="510" t="n">
        <v>96.65000000000001</v>
      </c>
      <c r="H17" s="510" t="n">
        <v>2</v>
      </c>
      <c r="I17" s="510" t="inlineStr">
        <is>
          <t>ZEMİNDEN ISITMA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510" t="inlineStr">
        <is>
          <t>Z09</t>
        </is>
      </c>
      <c r="B18" s="511" t="inlineStr">
        <is>
          <t>D2 YATAK OD.</t>
        </is>
      </c>
      <c r="C18" s="512" t="inlineStr">
        <is>
          <t>20</t>
        </is>
      </c>
      <c r="D18" s="513">
        <f>'ISI KAYBI ZEMİN KAT'!Q105</f>
        <v/>
      </c>
      <c r="E18" s="514">
        <f>ROUND(D18/G18,2)</f>
        <v/>
      </c>
      <c r="F18" s="513">
        <f>'YERDEN ISITMA'!N18</f>
        <v/>
      </c>
      <c r="G18" s="510" t="n">
        <v>59.53</v>
      </c>
      <c r="H18" s="510" t="n">
        <v>1</v>
      </c>
      <c r="I18" s="510" t="inlineStr">
        <is>
          <t>ZEMİNDEN ISITMA</t>
        </is>
      </c>
      <c r="J18" s="264" t="n"/>
      <c r="K18" s="264" t="n"/>
      <c r="L18" s="264" t="n"/>
      <c r="M18" s="264" t="n"/>
      <c r="N18" s="264" t="n"/>
      <c r="O18" s="264" t="n"/>
      <c r="P18" s="260" t="n"/>
    </row>
    <row r="19" ht="12.75" customHeight="1" s="244">
      <c r="A19" s="510" t="inlineStr">
        <is>
          <t>Z10</t>
        </is>
      </c>
      <c r="B19" s="511" t="inlineStr">
        <is>
          <t>D2 YATAK OD.</t>
        </is>
      </c>
      <c r="C19" s="512" t="inlineStr">
        <is>
          <t>20</t>
        </is>
      </c>
      <c r="D19" s="513">
        <f>'ISI KAYBI ZEMİN KAT'!Q115</f>
        <v/>
      </c>
      <c r="E19" s="514">
        <f>ROUND(D19/G19,2)</f>
        <v/>
      </c>
      <c r="F19" s="513">
        <f>'YERDEN ISITMA'!N19</f>
        <v/>
      </c>
      <c r="G19" s="510" t="n">
        <v>59</v>
      </c>
      <c r="H19" s="510" t="n">
        <v>1</v>
      </c>
      <c r="I19" s="510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510" t="inlineStr">
        <is>
          <t>Z11</t>
        </is>
      </c>
      <c r="B20" s="511" t="inlineStr">
        <is>
          <t>D2 SALON</t>
        </is>
      </c>
      <c r="C20" s="512" t="inlineStr">
        <is>
          <t>20</t>
        </is>
      </c>
      <c r="D20" s="513">
        <f>'ISI KAYBI ZEMİN KAT'!Q128</f>
        <v/>
      </c>
      <c r="E20" s="514">
        <f>ROUND(D20/G20,2)</f>
        <v/>
      </c>
      <c r="F20" s="513">
        <f>'YERDEN ISITMA'!N20</f>
        <v/>
      </c>
      <c r="G20" s="510" t="n">
        <v>132.38</v>
      </c>
      <c r="H20" s="510" t="n">
        <v>2</v>
      </c>
      <c r="I20" s="510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510" t="inlineStr">
        <is>
          <t>Z12</t>
        </is>
      </c>
      <c r="B21" s="511" t="inlineStr">
        <is>
          <t>D2 BANYO</t>
        </is>
      </c>
      <c r="C21" s="512" t="inlineStr">
        <is>
          <t>24</t>
        </is>
      </c>
      <c r="D21" s="513">
        <f>'ISI KAYBI ZEMİN KAT'!Q139</f>
        <v/>
      </c>
      <c r="E21" s="514">
        <f>ROUND(D21/G21,2)</f>
        <v/>
      </c>
      <c r="F21" s="513">
        <f>'YERDEN ISITMA'!N21</f>
        <v/>
      </c>
      <c r="G21" s="510" t="n">
        <v>24.74</v>
      </c>
      <c r="H21" s="510" t="n">
        <v>1</v>
      </c>
      <c r="I21" s="510" t="inlineStr">
        <is>
          <t>ZEMİNDEN ISITMA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510" t="inlineStr">
        <is>
          <t>Z13</t>
        </is>
      </c>
      <c r="B22" s="511" t="inlineStr">
        <is>
          <t>D3 MUTFAK</t>
        </is>
      </c>
      <c r="C22" s="512" t="inlineStr">
        <is>
          <t>20</t>
        </is>
      </c>
      <c r="D22" s="513">
        <f>'ISI KAYBI ZEMİN KAT'!Q149</f>
        <v/>
      </c>
      <c r="E22" s="514">
        <f>ROUND(D22/G22,2)</f>
        <v/>
      </c>
      <c r="F22" s="513">
        <f>'YERDEN ISITMA'!N22</f>
        <v/>
      </c>
      <c r="G22" s="510" t="n">
        <v>37.84</v>
      </c>
      <c r="H22" s="510" t="n">
        <v>1</v>
      </c>
      <c r="I22" s="510" t="inlineStr">
        <is>
          <t>ZEMİNDEN ISITMA</t>
        </is>
      </c>
      <c r="J22" s="264" t="n"/>
      <c r="K22" s="264" t="n"/>
      <c r="L22" s="264" t="n"/>
      <c r="M22" s="264" t="n"/>
      <c r="N22" s="264" t="n"/>
      <c r="O22" s="264" t="n"/>
      <c r="P22" s="260" t="n"/>
    </row>
    <row r="23" ht="12.75" customHeight="1" s="244">
      <c r="A23" s="510" t="inlineStr">
        <is>
          <t>Z14</t>
        </is>
      </c>
      <c r="B23" s="511" t="inlineStr">
        <is>
          <t>D3 YATAK OD.</t>
        </is>
      </c>
      <c r="C23" s="512" t="inlineStr">
        <is>
          <t>20</t>
        </is>
      </c>
      <c r="D23" s="513">
        <f>'ISI KAYBI ZEMİN KAT'!Q160</f>
        <v/>
      </c>
      <c r="E23" s="514">
        <f>ROUND(D23/G23,2)</f>
        <v/>
      </c>
      <c r="F23" s="513">
        <f>'YERDEN ISITMA'!N23</f>
        <v/>
      </c>
      <c r="G23" s="510" t="n">
        <v>92.23999999999999</v>
      </c>
      <c r="H23" s="510" t="n">
        <v>2</v>
      </c>
      <c r="I23" s="510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510" t="inlineStr">
        <is>
          <t>Z15</t>
        </is>
      </c>
      <c r="B24" s="511" t="inlineStr">
        <is>
          <t>D3 YATAK OD.</t>
        </is>
      </c>
      <c r="C24" s="512" t="inlineStr">
        <is>
          <t>20</t>
        </is>
      </c>
      <c r="D24" s="513">
        <f>'ISI KAYBI ZEMİN KAT'!Q170</f>
        <v/>
      </c>
      <c r="E24" s="514">
        <f>ROUND(D24/G24,2)</f>
        <v/>
      </c>
      <c r="F24" s="513">
        <f>'YERDEN ISITMA'!N24</f>
        <v/>
      </c>
      <c r="G24" s="510" t="n">
        <v>56.54</v>
      </c>
      <c r="H24" s="510" t="n">
        <v>1</v>
      </c>
      <c r="I24" s="510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515" t="inlineStr">
        <is>
          <t>Z16</t>
        </is>
      </c>
      <c r="B25" s="516" t="inlineStr">
        <is>
          <t>D3 SALON</t>
        </is>
      </c>
      <c r="C25" s="517" t="inlineStr">
        <is>
          <t>20</t>
        </is>
      </c>
      <c r="D25" s="518">
        <f>'ISI KAYBI ZEMİN KAT'!Q184</f>
        <v/>
      </c>
      <c r="E25" s="519">
        <f>ROUND(D25/G25,2)</f>
        <v/>
      </c>
      <c r="F25" s="518">
        <f>'YERDEN ISITMA'!N25</f>
        <v/>
      </c>
      <c r="G25" s="515" t="n">
        <v>135.48</v>
      </c>
      <c r="H25" s="515" t="n">
        <v>2</v>
      </c>
      <c r="I25" s="515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515" t="inlineStr">
        <is>
          <t>Z17</t>
        </is>
      </c>
      <c r="B26" s="516" t="inlineStr">
        <is>
          <t>D3 ODA</t>
        </is>
      </c>
      <c r="C26" s="517" t="inlineStr">
        <is>
          <t>20</t>
        </is>
      </c>
      <c r="D26" s="518">
        <f>'ISI KAYBI ZEMİN KAT'!Q196</f>
        <v/>
      </c>
      <c r="E26" s="519">
        <f>ROUND(D26/G26,2)</f>
        <v/>
      </c>
      <c r="F26" s="518">
        <f>'YERDEN ISITMA'!N26</f>
        <v/>
      </c>
      <c r="G26" s="515" t="n">
        <v>54.7</v>
      </c>
      <c r="H26" s="515" t="n">
        <v>1</v>
      </c>
      <c r="I26" s="515" t="inlineStr">
        <is>
          <t>ZEMİNDEN ISITMA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515" t="inlineStr">
        <is>
          <t>Z18</t>
        </is>
      </c>
      <c r="B27" s="516" t="inlineStr">
        <is>
          <t>D3 WC+BANYO</t>
        </is>
      </c>
      <c r="C27" s="517" t="inlineStr">
        <is>
          <t>24</t>
        </is>
      </c>
      <c r="D27" s="518">
        <f>'ISI KAYBI ZEMİN KAT'!Q206</f>
        <v/>
      </c>
      <c r="E27" s="519">
        <f>ROUND(D27/G27,2)</f>
        <v/>
      </c>
      <c r="F27" s="518">
        <f>'YERDEN ISITMA'!N27</f>
        <v/>
      </c>
      <c r="G27" s="515" t="n">
        <v>22.41</v>
      </c>
      <c r="H27" s="515" t="n">
        <v>1</v>
      </c>
      <c r="I27" s="515" t="inlineStr">
        <is>
          <t>ZEMİNDEN ISITMA</t>
        </is>
      </c>
      <c r="J27" s="264" t="n"/>
      <c r="K27" s="264" t="n"/>
      <c r="L27" s="264" t="n"/>
      <c r="M27" s="264" t="n"/>
      <c r="N27" s="264" t="n"/>
      <c r="O27" s="264" t="n"/>
      <c r="P27" s="260" t="n"/>
    </row>
    <row r="28">
      <c r="A28" s="515" t="n"/>
      <c r="B28" s="515" t="inlineStr">
        <is>
          <t>ZEMİN KAT</t>
        </is>
      </c>
      <c r="C28" s="517" t="n"/>
      <c r="D28" s="518" t="n"/>
      <c r="E28" s="520" t="inlineStr">
        <is>
          <t>TOPLAM =</t>
        </is>
      </c>
      <c r="F28" s="521">
        <f>SUM(F10:F27)</f>
        <v/>
      </c>
      <c r="G28" s="515" t="inlineStr">
        <is>
          <t>watt</t>
        </is>
      </c>
      <c r="H28" s="515" t="n"/>
      <c r="I28" s="515" t="n"/>
      <c r="J28" s="515" t="n"/>
      <c r="K28" s="515" t="n"/>
      <c r="L28" s="515" t="n"/>
      <c r="M28" s="515" t="n"/>
      <c r="N28" s="515" t="n"/>
      <c r="O28" s="515" t="n"/>
      <c r="P28" s="515" t="n"/>
    </row>
    <row r="29">
      <c r="A29" s="515" t="inlineStr">
        <is>
          <t>101</t>
        </is>
      </c>
      <c r="B29" s="516" t="inlineStr">
        <is>
          <t>D4 MUTFAK</t>
        </is>
      </c>
      <c r="C29" s="517" t="inlineStr">
        <is>
          <t>20</t>
        </is>
      </c>
      <c r="D29" s="518">
        <f>'ISI KAYBI 1. KAT'!Q17</f>
        <v/>
      </c>
      <c r="E29" s="519">
        <f>ROUND(D29/G29,2)</f>
        <v/>
      </c>
      <c r="F29" s="518">
        <f>'YERDEN ISITMA'!N29</f>
        <v/>
      </c>
      <c r="G29" s="515" t="n">
        <v>39.1</v>
      </c>
      <c r="H29" s="515" t="n">
        <v>1</v>
      </c>
      <c r="I29" s="515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515" t="inlineStr">
        <is>
          <t>102</t>
        </is>
      </c>
      <c r="B30" s="516" t="inlineStr">
        <is>
          <t>D4 YATAK OD.</t>
        </is>
      </c>
      <c r="C30" s="517" t="inlineStr">
        <is>
          <t>20</t>
        </is>
      </c>
      <c r="D30" s="518">
        <f>'ISI KAYBI 1. KAT'!Q26</f>
        <v/>
      </c>
      <c r="E30" s="519">
        <f>ROUND(D30/G30,2)</f>
        <v/>
      </c>
      <c r="F30" s="518">
        <f>'YERDEN ISITMA'!N30</f>
        <v/>
      </c>
      <c r="G30" s="515" t="n">
        <v>96.65000000000001</v>
      </c>
      <c r="H30" s="515" t="n">
        <v>2</v>
      </c>
      <c r="I30" s="515" t="inlineStr">
        <is>
          <t>ZEMİNDEN ISITMA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515" t="inlineStr">
        <is>
          <t>103</t>
        </is>
      </c>
      <c r="B31" s="516" t="inlineStr">
        <is>
          <t>D4 YATAK OD.</t>
        </is>
      </c>
      <c r="C31" s="517" t="inlineStr">
        <is>
          <t>20</t>
        </is>
      </c>
      <c r="D31" s="518">
        <f>'ISI KAYBI 1. KAT'!Q35</f>
        <v/>
      </c>
      <c r="E31" s="519">
        <f>ROUND(D31/G31,2)</f>
        <v/>
      </c>
      <c r="F31" s="518">
        <f>'YERDEN ISITMA'!N31</f>
        <v/>
      </c>
      <c r="G31" s="515" t="n">
        <v>59.53</v>
      </c>
      <c r="H31" s="515" t="n">
        <v>1</v>
      </c>
      <c r="I31" s="515" t="inlineStr">
        <is>
          <t>ZEMİNDEN ISITMA</t>
        </is>
      </c>
      <c r="J31" s="264" t="n"/>
      <c r="K31" s="264" t="n"/>
      <c r="L31" s="264" t="n"/>
      <c r="M31" s="264" t="n"/>
      <c r="N31" s="264" t="n"/>
      <c r="O31" s="264" t="n"/>
      <c r="P31" s="260" t="n"/>
    </row>
    <row r="32">
      <c r="A32" s="515" t="inlineStr">
        <is>
          <t>104</t>
        </is>
      </c>
      <c r="B32" s="516" t="inlineStr">
        <is>
          <t>D4 YATAK OD.</t>
        </is>
      </c>
      <c r="C32" s="517" t="inlineStr">
        <is>
          <t>20</t>
        </is>
      </c>
      <c r="D32" s="518">
        <f>'ISI KAYBI 1. KAT'!Q44</f>
        <v/>
      </c>
      <c r="E32" s="519">
        <f>ROUND(D32/G32,2)</f>
        <v/>
      </c>
      <c r="F32" s="518">
        <f>'YERDEN ISITMA'!N32</f>
        <v/>
      </c>
      <c r="G32" s="515" t="n">
        <v>59</v>
      </c>
      <c r="H32" s="515" t="n">
        <v>1</v>
      </c>
      <c r="I32" s="515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515" t="inlineStr">
        <is>
          <t>105</t>
        </is>
      </c>
      <c r="B33" s="516" t="inlineStr">
        <is>
          <t>D4 SALON</t>
        </is>
      </c>
      <c r="C33" s="517" t="inlineStr">
        <is>
          <t>20</t>
        </is>
      </c>
      <c r="D33" s="518">
        <f>'ISI KAYBI 1. KAT'!Q56</f>
        <v/>
      </c>
      <c r="E33" s="519">
        <f>ROUND(D33/G33,2)</f>
        <v/>
      </c>
      <c r="F33" s="518">
        <f>'YERDEN ISITMA'!N33</f>
        <v/>
      </c>
      <c r="G33" s="515" t="n">
        <v>132</v>
      </c>
      <c r="H33" s="515" t="n">
        <v>2</v>
      </c>
      <c r="I33" s="515" t="inlineStr">
        <is>
          <t>ZEMİNDEN ISITMA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515" t="inlineStr">
        <is>
          <t>106</t>
        </is>
      </c>
      <c r="B34" s="516" t="inlineStr">
        <is>
          <t>D4 BANYO</t>
        </is>
      </c>
      <c r="C34" s="517" t="inlineStr">
        <is>
          <t>24</t>
        </is>
      </c>
      <c r="D34" s="518">
        <f>'ISI KAYBI 1. KAT'!Q66</f>
        <v/>
      </c>
      <c r="E34" s="519">
        <f>ROUND(D34/G34,2)</f>
        <v/>
      </c>
      <c r="F34" s="518">
        <f>'YERDEN ISITMA'!N34</f>
        <v/>
      </c>
      <c r="G34" s="515" t="n">
        <v>24.72</v>
      </c>
      <c r="H34" s="515" t="n">
        <v>1</v>
      </c>
      <c r="I34" s="515" t="inlineStr">
        <is>
          <t>ZEMİNDEN ISITMA</t>
        </is>
      </c>
      <c r="J34" s="264" t="n"/>
      <c r="K34" s="264" t="n"/>
      <c r="L34" s="264" t="n"/>
      <c r="M34" s="264" t="n"/>
      <c r="N34" s="264" t="n"/>
      <c r="O34" s="264" t="n"/>
      <c r="P34" s="260" t="n"/>
    </row>
    <row r="35">
      <c r="A35" s="515" t="inlineStr">
        <is>
          <t>107</t>
        </is>
      </c>
      <c r="B35" s="516" t="inlineStr">
        <is>
          <t>D5 MUTFAK</t>
        </is>
      </c>
      <c r="C35" s="517" t="inlineStr">
        <is>
          <t>20</t>
        </is>
      </c>
      <c r="D35" s="518">
        <f>'ISI KAYBI 1. KAT'!Q75</f>
        <v/>
      </c>
      <c r="E35" s="519">
        <f>ROUND(D35/G35,2)</f>
        <v/>
      </c>
      <c r="F35" s="518">
        <f>'YERDEN ISITMA'!N35</f>
        <v/>
      </c>
      <c r="G35" s="515" t="n">
        <v>36.52</v>
      </c>
      <c r="H35" s="515" t="n">
        <v>1</v>
      </c>
      <c r="I35" s="515" t="inlineStr">
        <is>
          <t>ZEMİNDEN ISITMA</t>
        </is>
      </c>
      <c r="J35" s="264" t="n"/>
      <c r="K35" s="264" t="n"/>
      <c r="L35" s="264" t="n"/>
      <c r="M35" s="264" t="n"/>
      <c r="N35" s="264" t="n"/>
      <c r="O35" s="264" t="n"/>
      <c r="P35" s="260" t="n"/>
    </row>
    <row r="36">
      <c r="A36" s="515" t="inlineStr">
        <is>
          <t>108</t>
        </is>
      </c>
      <c r="B36" s="516" t="inlineStr">
        <is>
          <t>D5 YATAK OD.</t>
        </is>
      </c>
      <c r="C36" s="517" t="inlineStr">
        <is>
          <t>20</t>
        </is>
      </c>
      <c r="D36" s="518">
        <f>'ISI KAYBI 1. KAT'!Q85</f>
        <v/>
      </c>
      <c r="E36" s="519">
        <f>ROUND(D36/G36,2)</f>
        <v/>
      </c>
      <c r="F36" s="518">
        <f>'YERDEN ISITMA'!N36</f>
        <v/>
      </c>
      <c r="G36" s="515" t="n">
        <v>92.92</v>
      </c>
      <c r="H36" s="515" t="n">
        <v>2</v>
      </c>
      <c r="I36" s="515" t="inlineStr">
        <is>
          <t>ZEMİNDEN ISITMA</t>
        </is>
      </c>
      <c r="J36" s="264" t="n"/>
      <c r="K36" s="264" t="n"/>
      <c r="L36" s="264" t="n"/>
      <c r="M36" s="264" t="n"/>
      <c r="N36" s="264" t="n"/>
      <c r="O36" s="264" t="n"/>
      <c r="P36" s="260" t="n"/>
    </row>
    <row r="37">
      <c r="A37" s="515" t="inlineStr">
        <is>
          <t>109</t>
        </is>
      </c>
      <c r="B37" s="516" t="inlineStr">
        <is>
          <t>D5 YATAK OD.</t>
        </is>
      </c>
      <c r="C37" s="517" t="inlineStr">
        <is>
          <t>20</t>
        </is>
      </c>
      <c r="D37" s="518">
        <f>'ISI KAYBI 1. KAT'!Q94</f>
        <v/>
      </c>
      <c r="E37" s="519">
        <f>ROUND(D37/G37,2)</f>
        <v/>
      </c>
      <c r="F37" s="518">
        <f>'YERDEN ISITMA'!N37</f>
        <v/>
      </c>
      <c r="G37" s="515" t="n">
        <v>56.54</v>
      </c>
      <c r="H37" s="515" t="n">
        <v>1</v>
      </c>
      <c r="I37" s="515" t="inlineStr">
        <is>
          <t>ZEMİNDEN ISITMA</t>
        </is>
      </c>
      <c r="J37" s="264" t="n"/>
      <c r="K37" s="264" t="n"/>
      <c r="L37" s="264" t="n"/>
      <c r="M37" s="264" t="n"/>
      <c r="N37" s="264" t="n"/>
      <c r="O37" s="264" t="n"/>
      <c r="P37" s="260" t="n"/>
    </row>
    <row r="38">
      <c r="A38" s="515" t="inlineStr">
        <is>
          <t>110</t>
        </is>
      </c>
      <c r="B38" s="516" t="inlineStr">
        <is>
          <t>D5 SALON</t>
        </is>
      </c>
      <c r="C38" s="517" t="inlineStr">
        <is>
          <t>20</t>
        </is>
      </c>
      <c r="D38" s="518">
        <f>'ISI KAYBI 1. KAT'!Q106</f>
        <v/>
      </c>
      <c r="E38" s="519">
        <f>ROUND(D38/G38,2)</f>
        <v/>
      </c>
      <c r="F38" s="518">
        <f>'YERDEN ISITMA'!N38</f>
        <v/>
      </c>
      <c r="G38" s="515" t="n">
        <v>135.24</v>
      </c>
      <c r="H38" s="515" t="n">
        <v>2</v>
      </c>
      <c r="I38" s="515" t="inlineStr">
        <is>
          <t>ZEMİNDEN ISITMA</t>
        </is>
      </c>
      <c r="J38" s="264" t="n"/>
      <c r="K38" s="264" t="n"/>
      <c r="L38" s="264" t="n"/>
      <c r="M38" s="264" t="n"/>
      <c r="N38" s="264" t="n"/>
      <c r="O38" s="264" t="n"/>
      <c r="P38" s="260" t="n"/>
    </row>
    <row r="39">
      <c r="A39" s="515" t="inlineStr">
        <is>
          <t>111</t>
        </is>
      </c>
      <c r="B39" s="516" t="inlineStr">
        <is>
          <t>D5 ODA</t>
        </is>
      </c>
      <c r="C39" s="517" t="inlineStr">
        <is>
          <t>20</t>
        </is>
      </c>
      <c r="D39" s="518">
        <f>'ISI KAYBI 1. KAT'!Q117</f>
        <v/>
      </c>
      <c r="E39" s="519">
        <f>ROUND(D39/G39,2)</f>
        <v/>
      </c>
      <c r="F39" s="518">
        <f>'YERDEN ISITMA'!N39</f>
        <v/>
      </c>
      <c r="G39" s="515" t="n">
        <v>54.98</v>
      </c>
      <c r="H39" s="515" t="n">
        <v>1</v>
      </c>
      <c r="I39" s="515" t="inlineStr">
        <is>
          <t>ZEMİNDEN ISITMA</t>
        </is>
      </c>
      <c r="J39" s="264" t="n"/>
      <c r="K39" s="264" t="n"/>
      <c r="L39" s="264" t="n"/>
      <c r="M39" s="264" t="n"/>
      <c r="N39" s="264" t="n"/>
      <c r="O39" s="264" t="n"/>
      <c r="P39" s="260" t="n"/>
    </row>
    <row r="40">
      <c r="A40" s="515" t="inlineStr">
        <is>
          <t>112</t>
        </is>
      </c>
      <c r="B40" s="516" t="inlineStr">
        <is>
          <t>D5 WC-BANYO</t>
        </is>
      </c>
      <c r="C40" s="517" t="inlineStr">
        <is>
          <t>24</t>
        </is>
      </c>
      <c r="D40" s="518">
        <f>'ISI KAYBI 1. KAT'!Q126</f>
        <v/>
      </c>
      <c r="E40" s="519">
        <f>ROUND(D40/G40,2)</f>
        <v/>
      </c>
      <c r="F40" s="518">
        <f>'YERDEN ISITMA'!N40</f>
        <v/>
      </c>
      <c r="G40" s="515" t="n">
        <v>22.42</v>
      </c>
      <c r="H40" s="515" t="n">
        <v>1</v>
      </c>
      <c r="I40" s="515" t="inlineStr">
        <is>
          <t>ZEMİNDEN ISITMA</t>
        </is>
      </c>
      <c r="J40" s="264" t="n"/>
      <c r="K40" s="264" t="n"/>
      <c r="L40" s="264" t="n"/>
      <c r="M40" s="264" t="n"/>
      <c r="N40" s="264" t="n"/>
      <c r="O40" s="264" t="n"/>
      <c r="P40" s="260" t="n"/>
    </row>
    <row r="41">
      <c r="A41" s="515" t="inlineStr">
        <is>
          <t>113</t>
        </is>
      </c>
      <c r="B41" s="516" t="inlineStr">
        <is>
          <t>D6 MUTFAK</t>
        </is>
      </c>
      <c r="C41" s="517" t="inlineStr">
        <is>
          <t>20</t>
        </is>
      </c>
      <c r="D41" s="518">
        <f>'ISI KAYBI 1. KAT'!Q137</f>
        <v/>
      </c>
      <c r="E41" s="519">
        <f>ROUND(D41/G41,2)</f>
        <v/>
      </c>
      <c r="F41" s="518">
        <f>'YERDEN ISITMA'!N41</f>
        <v/>
      </c>
      <c r="G41" s="515" t="n">
        <v>47.23</v>
      </c>
      <c r="H41" s="515" t="n">
        <v>1</v>
      </c>
      <c r="I41" s="515" t="inlineStr">
        <is>
          <t>ZEMİNDEN ISITMA</t>
        </is>
      </c>
      <c r="J41" s="264" t="n"/>
      <c r="K41" s="264" t="n"/>
      <c r="L41" s="264" t="n"/>
      <c r="M41" s="264" t="n"/>
      <c r="N41" s="264" t="n"/>
      <c r="O41" s="264" t="n"/>
      <c r="P41" s="260" t="n"/>
    </row>
    <row r="42">
      <c r="A42" s="515" t="inlineStr">
        <is>
          <t>114</t>
        </is>
      </c>
      <c r="B42" s="516" t="inlineStr">
        <is>
          <t>D6 YATAK OD.</t>
        </is>
      </c>
      <c r="C42" s="517" t="inlineStr">
        <is>
          <t>20</t>
        </is>
      </c>
      <c r="D42" s="518">
        <f>'ISI KAYBI 1. KAT'!Q147</f>
        <v/>
      </c>
      <c r="E42" s="519">
        <f>ROUND(D42/G42,2)</f>
        <v/>
      </c>
      <c r="F42" s="518">
        <f>'YERDEN ISITMA'!N42</f>
        <v/>
      </c>
      <c r="G42" s="515" t="n">
        <v>96.44</v>
      </c>
      <c r="H42" s="515" t="n">
        <v>2</v>
      </c>
      <c r="I42" s="515" t="inlineStr">
        <is>
          <t>ZEMİNDEN ISITMA</t>
        </is>
      </c>
      <c r="J42" s="264" t="n"/>
      <c r="K42" s="264" t="n"/>
      <c r="L42" s="264" t="n"/>
      <c r="M42" s="264" t="n"/>
      <c r="N42" s="264" t="n"/>
      <c r="O42" s="264" t="n"/>
      <c r="P42" s="260" t="n"/>
    </row>
    <row r="43">
      <c r="A43" s="515" t="inlineStr">
        <is>
          <t>115</t>
        </is>
      </c>
      <c r="B43" s="516" t="inlineStr">
        <is>
          <t>D6 YATAK OD.</t>
        </is>
      </c>
      <c r="C43" s="517" t="inlineStr">
        <is>
          <t>20</t>
        </is>
      </c>
      <c r="D43" s="518">
        <f>'ISI KAYBI 1. KAT'!Q156</f>
        <v/>
      </c>
      <c r="E43" s="519">
        <f>ROUND(D43/G43,2)</f>
        <v/>
      </c>
      <c r="F43" s="518">
        <f>'YERDEN ISITMA'!N43</f>
        <v/>
      </c>
      <c r="G43" s="515" t="n">
        <v>59.71</v>
      </c>
      <c r="H43" s="515" t="n">
        <v>1</v>
      </c>
      <c r="I43" s="515" t="inlineStr">
        <is>
          <t>ZEMİNDEN ISITMA</t>
        </is>
      </c>
      <c r="J43" s="264" t="n"/>
      <c r="K43" s="264" t="n"/>
      <c r="L43" s="264" t="n"/>
      <c r="M43" s="264" t="n"/>
      <c r="N43" s="264" t="n"/>
      <c r="O43" s="264" t="n"/>
      <c r="P43" s="260" t="n"/>
    </row>
    <row r="44">
      <c r="A44" s="515" t="inlineStr">
        <is>
          <t>116</t>
        </is>
      </c>
      <c r="B44" s="516" t="inlineStr">
        <is>
          <t>D6 YATAK OD.</t>
        </is>
      </c>
      <c r="C44" s="517" t="inlineStr">
        <is>
          <t>20</t>
        </is>
      </c>
      <c r="D44" s="518">
        <f>'ISI KAYBI 1. KAT'!Q165</f>
        <v/>
      </c>
      <c r="E44" s="519">
        <f>ROUND(D44/G44,2)</f>
        <v/>
      </c>
      <c r="F44" s="518">
        <f>'YERDEN ISITMA'!N44</f>
        <v/>
      </c>
      <c r="G44" s="515" t="n">
        <v>59.87</v>
      </c>
      <c r="H44" s="515" t="n">
        <v>1</v>
      </c>
      <c r="I44" s="515" t="inlineStr">
        <is>
          <t>ZEMİNDEN ISITMA</t>
        </is>
      </c>
      <c r="J44" s="264" t="n"/>
      <c r="K44" s="264" t="n"/>
      <c r="L44" s="264" t="n"/>
      <c r="M44" s="264" t="n"/>
      <c r="N44" s="264" t="n"/>
      <c r="O44" s="264" t="n"/>
      <c r="P44" s="260" t="n"/>
    </row>
    <row r="45">
      <c r="A45" s="515" t="inlineStr">
        <is>
          <t>117</t>
        </is>
      </c>
      <c r="B45" s="516" t="inlineStr">
        <is>
          <t>D6 SALON</t>
        </is>
      </c>
      <c r="C45" s="517" t="inlineStr">
        <is>
          <t>20</t>
        </is>
      </c>
      <c r="D45" s="518">
        <f>'ISI KAYBI 1. KAT'!Q177</f>
        <v/>
      </c>
      <c r="E45" s="519">
        <f>ROUND(D45/G45,2)</f>
        <v/>
      </c>
      <c r="F45" s="518">
        <f>'YERDEN ISITMA'!N45</f>
        <v/>
      </c>
      <c r="G45" s="515" t="n">
        <v>132.18</v>
      </c>
      <c r="H45" s="515" t="n">
        <v>2</v>
      </c>
      <c r="I45" s="515" t="inlineStr">
        <is>
          <t>ZEMİNDEN ISITMA</t>
        </is>
      </c>
      <c r="J45" s="264" t="n"/>
      <c r="K45" s="264" t="n"/>
      <c r="L45" s="264" t="n"/>
      <c r="M45" s="264" t="n"/>
      <c r="N45" s="264" t="n"/>
      <c r="O45" s="264" t="n"/>
      <c r="P45" s="260" t="n"/>
    </row>
    <row r="46">
      <c r="A46" s="515" t="inlineStr">
        <is>
          <t>118</t>
        </is>
      </c>
      <c r="B46" s="516" t="inlineStr">
        <is>
          <t>D6 BANYO</t>
        </is>
      </c>
      <c r="C46" s="517" t="inlineStr">
        <is>
          <t>24</t>
        </is>
      </c>
      <c r="D46" s="518">
        <f>'ISI KAYBI 1. KAT'!Q186</f>
        <v/>
      </c>
      <c r="E46" s="519">
        <f>ROUND(D46/G46,2)</f>
        <v/>
      </c>
      <c r="F46" s="518">
        <f>'YERDEN ISITMA'!N46</f>
        <v/>
      </c>
      <c r="G46" s="515" t="n">
        <v>20.89</v>
      </c>
      <c r="H46" s="515" t="n">
        <v>1</v>
      </c>
      <c r="I46" s="515" t="inlineStr">
        <is>
          <t>ZEMİNDEN ISITMA</t>
        </is>
      </c>
      <c r="J46" s="264" t="n"/>
      <c r="K46" s="264" t="n"/>
      <c r="L46" s="264" t="n"/>
      <c r="M46" s="264" t="n"/>
      <c r="N46" s="264" t="n"/>
      <c r="O46" s="264" t="n"/>
      <c r="P46" s="260" t="n"/>
    </row>
    <row r="47">
      <c r="A47" s="515" t="n"/>
      <c r="B47" s="515" t="inlineStr">
        <is>
          <t>1. KAT</t>
        </is>
      </c>
      <c r="C47" s="517" t="n"/>
      <c r="D47" s="518" t="n"/>
      <c r="E47" s="520" t="inlineStr">
        <is>
          <t>TOPLAM =</t>
        </is>
      </c>
      <c r="F47" s="521">
        <f>SUM(F29:F46)</f>
        <v/>
      </c>
      <c r="G47" s="515" t="inlineStr">
        <is>
          <t>watt</t>
        </is>
      </c>
      <c r="H47" s="515" t="n"/>
      <c r="I47" s="515" t="n"/>
      <c r="J47" s="515" t="n"/>
      <c r="K47" s="515" t="n"/>
      <c r="L47" s="515" t="n"/>
      <c r="M47" s="515" t="n"/>
      <c r="N47" s="515" t="n"/>
      <c r="O47" s="515" t="n"/>
      <c r="P47" s="515" t="n"/>
    </row>
    <row r="48">
      <c r="A48" s="515" t="inlineStr">
        <is>
          <t>201</t>
        </is>
      </c>
      <c r="B48" s="516" t="inlineStr">
        <is>
          <t>D7 MUTFAK</t>
        </is>
      </c>
      <c r="C48" s="517" t="inlineStr">
        <is>
          <t>20</t>
        </is>
      </c>
      <c r="D48" s="518">
        <f>'ISI KAYBI 2. KAT'!Q18</f>
        <v/>
      </c>
      <c r="E48" s="519">
        <f>ROUND(D48/G48,2)</f>
        <v/>
      </c>
      <c r="F48" s="518">
        <f>'YERDEN ISITMA'!N48</f>
        <v/>
      </c>
      <c r="G48" s="515" t="n">
        <v>50.3</v>
      </c>
      <c r="H48" s="515" t="n">
        <v>1</v>
      </c>
      <c r="I48" s="515" t="inlineStr">
        <is>
          <t>ZEMİNDEN ISITMA</t>
        </is>
      </c>
      <c r="J48" s="264" t="n"/>
      <c r="K48" s="264" t="n"/>
      <c r="L48" s="264" t="n"/>
      <c r="M48" s="264" t="n"/>
      <c r="N48" s="264" t="n"/>
      <c r="O48" s="264" t="n"/>
      <c r="P48" s="260" t="n"/>
    </row>
    <row r="49">
      <c r="A49" s="515" t="inlineStr">
        <is>
          <t>202</t>
        </is>
      </c>
      <c r="B49" s="516" t="inlineStr">
        <is>
          <t>D7 YATAK OD.</t>
        </is>
      </c>
      <c r="C49" s="517" t="inlineStr">
        <is>
          <t>20</t>
        </is>
      </c>
      <c r="D49" s="518">
        <f>'ISI KAYBI 2. KAT'!Q28</f>
        <v/>
      </c>
      <c r="E49" s="519">
        <f>ROUND(D49/G49,2)</f>
        <v/>
      </c>
      <c r="F49" s="518">
        <f>'YERDEN ISITMA'!N49</f>
        <v/>
      </c>
      <c r="G49" s="515" t="n">
        <v>96.67</v>
      </c>
      <c r="H49" s="515" t="n">
        <v>2</v>
      </c>
      <c r="I49" s="515" t="inlineStr">
        <is>
          <t>ZEMİNDEN ISITMA</t>
        </is>
      </c>
      <c r="J49" s="264" t="n"/>
      <c r="K49" s="264" t="n"/>
      <c r="L49" s="264" t="n"/>
      <c r="M49" s="264" t="n"/>
      <c r="N49" s="264" t="n"/>
      <c r="O49" s="264" t="n"/>
      <c r="P49" s="260" t="n"/>
    </row>
    <row r="50">
      <c r="A50" s="515" t="inlineStr">
        <is>
          <t>203</t>
        </is>
      </c>
      <c r="B50" s="516" t="inlineStr">
        <is>
          <t>D7 YATAK OD.</t>
        </is>
      </c>
      <c r="C50" s="517" t="inlineStr">
        <is>
          <t>20</t>
        </is>
      </c>
      <c r="D50" s="518">
        <f>'ISI KAYBI 2. KAT'!Q38</f>
        <v/>
      </c>
      <c r="E50" s="519">
        <f>ROUND(D50/G50,2)</f>
        <v/>
      </c>
      <c r="F50" s="518">
        <f>'YERDEN ISITMA'!N50</f>
        <v/>
      </c>
      <c r="G50" s="515" t="n">
        <v>59.65</v>
      </c>
      <c r="H50" s="515" t="n">
        <v>1</v>
      </c>
      <c r="I50" s="515" t="inlineStr">
        <is>
          <t>ZEMİNDEN ISITMA</t>
        </is>
      </c>
      <c r="J50" s="264" t="n"/>
      <c r="K50" s="264" t="n"/>
      <c r="L50" s="264" t="n"/>
      <c r="M50" s="264" t="n"/>
      <c r="N50" s="264" t="n"/>
      <c r="O50" s="264" t="n"/>
      <c r="P50" s="260" t="n"/>
    </row>
    <row r="51">
      <c r="A51" s="515" t="inlineStr">
        <is>
          <t>204</t>
        </is>
      </c>
      <c r="B51" s="516" t="inlineStr">
        <is>
          <t>D7 YATAK OD.</t>
        </is>
      </c>
      <c r="C51" s="517" t="inlineStr">
        <is>
          <t>20</t>
        </is>
      </c>
      <c r="D51" s="518">
        <f>'ISI KAYBI 2. KAT'!Q48</f>
        <v/>
      </c>
      <c r="E51" s="519">
        <f>ROUND(D51/G51,2)</f>
        <v/>
      </c>
      <c r="F51" s="518">
        <f>'YERDEN ISITMA'!N51</f>
        <v/>
      </c>
      <c r="G51" s="515" t="n">
        <v>59.31</v>
      </c>
      <c r="H51" s="515" t="n">
        <v>1</v>
      </c>
      <c r="I51" s="515" t="inlineStr">
        <is>
          <t>ZEMİNDEN ISITMA</t>
        </is>
      </c>
      <c r="J51" s="264" t="n"/>
      <c r="K51" s="264" t="n"/>
      <c r="L51" s="264" t="n"/>
      <c r="M51" s="264" t="n"/>
      <c r="N51" s="264" t="n"/>
      <c r="O51" s="264" t="n"/>
      <c r="P51" s="260" t="n"/>
    </row>
    <row r="52">
      <c r="A52" s="515" t="inlineStr">
        <is>
          <t>205</t>
        </is>
      </c>
      <c r="B52" s="516" t="inlineStr">
        <is>
          <t>D7 SALON</t>
        </is>
      </c>
      <c r="C52" s="517" t="inlineStr">
        <is>
          <t>20</t>
        </is>
      </c>
      <c r="D52" s="518">
        <f>'ISI KAYBI 2. KAT'!Q61</f>
        <v/>
      </c>
      <c r="E52" s="519">
        <f>ROUND(D52/G52,2)</f>
        <v/>
      </c>
      <c r="F52" s="518">
        <f>'YERDEN ISITMA'!N52</f>
        <v/>
      </c>
      <c r="G52" s="515" t="n">
        <v>131.76</v>
      </c>
      <c r="H52" s="515" t="n">
        <v>2</v>
      </c>
      <c r="I52" s="515" t="inlineStr">
        <is>
          <t>ZEMİNDEN ISITMA</t>
        </is>
      </c>
      <c r="J52" s="264" t="n"/>
      <c r="K52" s="264" t="n"/>
      <c r="L52" s="264" t="n"/>
      <c r="M52" s="264" t="n"/>
      <c r="N52" s="264" t="n"/>
      <c r="O52" s="264" t="n"/>
      <c r="P52" s="260" t="n"/>
    </row>
    <row r="53">
      <c r="A53" s="515" t="inlineStr">
        <is>
          <t>206</t>
        </is>
      </c>
      <c r="B53" s="516" t="inlineStr">
        <is>
          <t>D7 BANYO</t>
        </is>
      </c>
      <c r="C53" s="517" t="inlineStr">
        <is>
          <t>24</t>
        </is>
      </c>
      <c r="D53" s="518">
        <f>'ISI KAYBI 2. KAT'!Q72</f>
        <v/>
      </c>
      <c r="E53" s="519">
        <f>ROUND(D53/G53,2)</f>
        <v/>
      </c>
      <c r="F53" s="518">
        <f>'YERDEN ISITMA'!N53</f>
        <v/>
      </c>
      <c r="G53" s="515" t="n">
        <v>25.65</v>
      </c>
      <c r="H53" s="515" t="n">
        <v>1</v>
      </c>
      <c r="I53" s="515" t="inlineStr">
        <is>
          <t>ZEMİNDEN ISITMA</t>
        </is>
      </c>
      <c r="J53" s="264" t="n"/>
      <c r="K53" s="264" t="n"/>
      <c r="L53" s="264" t="n"/>
      <c r="M53" s="264" t="n"/>
      <c r="N53" s="264" t="n"/>
      <c r="O53" s="264" t="n"/>
      <c r="P53" s="260" t="n"/>
    </row>
    <row r="54">
      <c r="A54" s="515" t="inlineStr">
        <is>
          <t>207</t>
        </is>
      </c>
      <c r="B54" s="516" t="inlineStr">
        <is>
          <t>D8 MUTFAK</t>
        </is>
      </c>
      <c r="C54" s="517" t="inlineStr">
        <is>
          <t>20</t>
        </is>
      </c>
      <c r="D54" s="518">
        <f>'ISI KAYBI 2. KAT'!Q83</f>
        <v/>
      </c>
      <c r="E54" s="519">
        <f>ROUND(D54/G54,2)</f>
        <v/>
      </c>
      <c r="F54" s="518">
        <f>'YERDEN ISITMA'!N54</f>
        <v/>
      </c>
      <c r="G54" s="515" t="n">
        <v>36</v>
      </c>
      <c r="H54" s="515" t="n">
        <v>1</v>
      </c>
      <c r="I54" s="515" t="inlineStr">
        <is>
          <t>ZEMİNDEN ISITMA</t>
        </is>
      </c>
      <c r="J54" s="264" t="n"/>
      <c r="K54" s="264" t="n"/>
      <c r="L54" s="264" t="n"/>
      <c r="M54" s="264" t="n"/>
      <c r="N54" s="264" t="n"/>
      <c r="O54" s="264" t="n"/>
      <c r="P54" s="260" t="n"/>
    </row>
    <row r="55">
      <c r="A55" s="515" t="inlineStr">
        <is>
          <t>208</t>
        </is>
      </c>
      <c r="B55" s="516" t="inlineStr">
        <is>
          <t>D8 YATAK OD.</t>
        </is>
      </c>
      <c r="C55" s="517" t="inlineStr">
        <is>
          <t>20</t>
        </is>
      </c>
      <c r="D55" s="518">
        <f>'ISI KAYBI 2. KAT'!Q94</f>
        <v/>
      </c>
      <c r="E55" s="519">
        <f>ROUND(D55/G55,2)</f>
        <v/>
      </c>
      <c r="F55" s="518">
        <f>'YERDEN ISITMA'!N55</f>
        <v/>
      </c>
      <c r="G55" s="515" t="n">
        <v>92.77</v>
      </c>
      <c r="H55" s="515" t="n">
        <v>2</v>
      </c>
      <c r="I55" s="515" t="inlineStr">
        <is>
          <t>ZEMİNDEN ISITMA</t>
        </is>
      </c>
      <c r="J55" s="264" t="n"/>
      <c r="K55" s="264" t="n"/>
      <c r="L55" s="264" t="n"/>
      <c r="M55" s="264" t="n"/>
      <c r="N55" s="264" t="n"/>
      <c r="O55" s="264" t="n"/>
      <c r="P55" s="260" t="n"/>
    </row>
    <row r="56">
      <c r="A56" s="515" t="inlineStr">
        <is>
          <t>209</t>
        </is>
      </c>
      <c r="B56" s="516" t="inlineStr">
        <is>
          <t>D8 YATAK OD.</t>
        </is>
      </c>
      <c r="C56" s="517" t="inlineStr">
        <is>
          <t>20</t>
        </is>
      </c>
      <c r="D56" s="518">
        <f>'ISI KAYBI 2. KAT'!Q104</f>
        <v/>
      </c>
      <c r="E56" s="519">
        <f>ROUND(D56/G56,2)</f>
        <v/>
      </c>
      <c r="F56" s="518">
        <f>'YERDEN ISITMA'!N56</f>
        <v/>
      </c>
      <c r="G56" s="515" t="n">
        <v>56.44</v>
      </c>
      <c r="H56" s="515" t="n">
        <v>1</v>
      </c>
      <c r="I56" s="515" t="inlineStr">
        <is>
          <t>ZEMİNDEN ISITMA</t>
        </is>
      </c>
      <c r="J56" s="264" t="n"/>
      <c r="K56" s="264" t="n"/>
      <c r="L56" s="264" t="n"/>
      <c r="M56" s="264" t="n"/>
      <c r="N56" s="264" t="n"/>
      <c r="O56" s="264" t="n"/>
      <c r="P56" s="260" t="n"/>
    </row>
    <row r="57">
      <c r="A57" s="515" t="inlineStr">
        <is>
          <t>210</t>
        </is>
      </c>
      <c r="B57" s="516" t="inlineStr">
        <is>
          <t>D8 SALON</t>
        </is>
      </c>
      <c r="C57" s="517" t="inlineStr">
        <is>
          <t>20</t>
        </is>
      </c>
      <c r="D57" s="518">
        <f>'ISI KAYBI 2. KAT'!Q117</f>
        <v/>
      </c>
      <c r="E57" s="519">
        <f>ROUND(D57/G57,2)</f>
        <v/>
      </c>
      <c r="F57" s="518">
        <f>'YERDEN ISITMA'!N57</f>
        <v/>
      </c>
      <c r="G57" s="515" t="n">
        <v>135.1</v>
      </c>
      <c r="H57" s="515" t="n">
        <v>2</v>
      </c>
      <c r="I57" s="515" t="inlineStr">
        <is>
          <t>ZEMİNDEN ISITMA</t>
        </is>
      </c>
      <c r="J57" s="264" t="n"/>
      <c r="K57" s="264" t="n"/>
      <c r="L57" s="264" t="n"/>
      <c r="M57" s="264" t="n"/>
      <c r="N57" s="264" t="n"/>
      <c r="O57" s="264" t="n"/>
      <c r="P57" s="260" t="n"/>
    </row>
    <row r="58">
      <c r="A58" s="515" t="inlineStr">
        <is>
          <t>211</t>
        </is>
      </c>
      <c r="B58" s="516" t="inlineStr">
        <is>
          <t>D8 ODA</t>
        </is>
      </c>
      <c r="C58" s="517" t="inlineStr">
        <is>
          <t>20</t>
        </is>
      </c>
      <c r="D58" s="518">
        <f>'ISI KAYBI 2. KAT'!Q129</f>
        <v/>
      </c>
      <c r="E58" s="519">
        <f>ROUND(D58/G58,2)</f>
        <v/>
      </c>
      <c r="F58" s="518">
        <f>'YERDEN ISITMA'!N58</f>
        <v/>
      </c>
      <c r="G58" s="515" t="n">
        <v>54.86</v>
      </c>
      <c r="H58" s="515" t="n">
        <v>1</v>
      </c>
      <c r="I58" s="515" t="inlineStr">
        <is>
          <t>ZEMİNDEN ISITMA</t>
        </is>
      </c>
      <c r="J58" s="264" t="n"/>
      <c r="K58" s="264" t="n"/>
      <c r="L58" s="264" t="n"/>
      <c r="M58" s="264" t="n"/>
      <c r="N58" s="264" t="n"/>
      <c r="O58" s="264" t="n"/>
      <c r="P58" s="260" t="n"/>
    </row>
    <row r="59">
      <c r="A59" s="515" t="inlineStr">
        <is>
          <t>212</t>
        </is>
      </c>
      <c r="B59" s="516" t="inlineStr">
        <is>
          <t>D8 WC-BANYO</t>
        </is>
      </c>
      <c r="C59" s="517" t="inlineStr">
        <is>
          <t>24</t>
        </is>
      </c>
      <c r="D59" s="518">
        <f>'ISI KAYBI 2. KAT'!Q139</f>
        <v/>
      </c>
      <c r="E59" s="519">
        <f>ROUND(D59/G59,2)</f>
        <v/>
      </c>
      <c r="F59" s="518">
        <f>'YERDEN ISITMA'!N59</f>
        <v/>
      </c>
      <c r="G59" s="515" t="n">
        <v>22.27</v>
      </c>
      <c r="H59" s="515" t="n">
        <v>1</v>
      </c>
      <c r="I59" s="515" t="inlineStr">
        <is>
          <t>ZEMİNDEN ISITMA</t>
        </is>
      </c>
      <c r="J59" s="264" t="n"/>
      <c r="K59" s="264" t="n"/>
      <c r="L59" s="264" t="n"/>
      <c r="M59" s="264" t="n"/>
      <c r="N59" s="264" t="n"/>
      <c r="O59" s="264" t="n"/>
      <c r="P59" s="260" t="n"/>
    </row>
    <row r="60">
      <c r="A60" s="515" t="inlineStr">
        <is>
          <t>213</t>
        </is>
      </c>
      <c r="B60" s="516" t="inlineStr">
        <is>
          <t>D9 MUTFAK</t>
        </is>
      </c>
      <c r="C60" s="517" t="inlineStr">
        <is>
          <t>20</t>
        </is>
      </c>
      <c r="D60" s="518">
        <f>'ISI KAYBI 2. KAT'!Q151</f>
        <v/>
      </c>
      <c r="E60" s="519">
        <f>ROUND(D60/G60,2)</f>
        <v/>
      </c>
      <c r="F60" s="518">
        <f>'YERDEN ISITMA'!N60</f>
        <v/>
      </c>
      <c r="G60" s="515" t="n">
        <v>47.43</v>
      </c>
      <c r="H60" s="515" t="n">
        <v>1</v>
      </c>
      <c r="I60" s="515" t="inlineStr">
        <is>
          <t>ZEMİNDEN ISITMA</t>
        </is>
      </c>
      <c r="J60" s="264" t="n"/>
      <c r="K60" s="264" t="n"/>
      <c r="L60" s="264" t="n"/>
      <c r="M60" s="264" t="n"/>
      <c r="N60" s="264" t="n"/>
      <c r="O60" s="264" t="n"/>
      <c r="P60" s="260" t="n"/>
    </row>
    <row r="61">
      <c r="A61" s="515" t="inlineStr">
        <is>
          <t>214</t>
        </is>
      </c>
      <c r="B61" s="516" t="inlineStr">
        <is>
          <t>D9 YATAK OD.</t>
        </is>
      </c>
      <c r="C61" s="517" t="inlineStr">
        <is>
          <t>20</t>
        </is>
      </c>
      <c r="D61" s="518">
        <f>'ISI KAYBI 2. KAT'!Q162</f>
        <v/>
      </c>
      <c r="E61" s="519">
        <f>ROUND(D61/G61,2)</f>
        <v/>
      </c>
      <c r="F61" s="518">
        <f>'YERDEN ISITMA'!N61</f>
        <v/>
      </c>
      <c r="G61" s="515" t="n">
        <v>96.29000000000001</v>
      </c>
      <c r="H61" s="515" t="n">
        <v>2</v>
      </c>
      <c r="I61" s="515" t="inlineStr">
        <is>
          <t>ZEMİNDEN ISITMA</t>
        </is>
      </c>
      <c r="J61" s="264" t="n"/>
      <c r="K61" s="264" t="n"/>
      <c r="L61" s="264" t="n"/>
      <c r="M61" s="264" t="n"/>
      <c r="N61" s="264" t="n"/>
      <c r="O61" s="264" t="n"/>
      <c r="P61" s="260" t="n"/>
    </row>
    <row r="62">
      <c r="A62" s="515" t="inlineStr">
        <is>
          <t>215</t>
        </is>
      </c>
      <c r="B62" s="516" t="inlineStr">
        <is>
          <t>D9 YATAK OD.</t>
        </is>
      </c>
      <c r="C62" s="517" t="inlineStr">
        <is>
          <t>20</t>
        </is>
      </c>
      <c r="D62" s="518">
        <f>'ISI KAYBI 2. KAT'!Q172</f>
        <v/>
      </c>
      <c r="E62" s="519">
        <f>ROUND(D62/G62,2)</f>
        <v/>
      </c>
      <c r="F62" s="518">
        <f>'YERDEN ISITMA'!N62</f>
        <v/>
      </c>
      <c r="G62" s="515" t="n">
        <v>59.85</v>
      </c>
      <c r="H62" s="515" t="n">
        <v>1</v>
      </c>
      <c r="I62" s="515" t="inlineStr">
        <is>
          <t>ZEMİNDEN ISITMA</t>
        </is>
      </c>
      <c r="J62" s="264" t="n"/>
      <c r="K62" s="264" t="n"/>
      <c r="L62" s="264" t="n"/>
      <c r="M62" s="264" t="n"/>
      <c r="N62" s="264" t="n"/>
      <c r="O62" s="264" t="n"/>
      <c r="P62" s="260" t="n"/>
    </row>
    <row r="63">
      <c r="A63" s="515" t="inlineStr">
        <is>
          <t>216</t>
        </is>
      </c>
      <c r="B63" s="516" t="inlineStr">
        <is>
          <t>D9 YATAK OD.</t>
        </is>
      </c>
      <c r="C63" s="517" t="inlineStr">
        <is>
          <t>20</t>
        </is>
      </c>
      <c r="D63" s="518">
        <f>'ISI KAYBI 2. KAT'!Q182</f>
        <v/>
      </c>
      <c r="E63" s="519">
        <f>ROUND(D63/G63,2)</f>
        <v/>
      </c>
      <c r="F63" s="518">
        <f>'YERDEN ISITMA'!N63</f>
        <v/>
      </c>
      <c r="G63" s="515" t="n">
        <v>59.68</v>
      </c>
      <c r="H63" s="515" t="n">
        <v>1</v>
      </c>
      <c r="I63" s="515" t="inlineStr">
        <is>
          <t>ZEMİNDEN ISITMA</t>
        </is>
      </c>
      <c r="J63" s="264" t="n"/>
      <c r="K63" s="264" t="n"/>
      <c r="L63" s="264" t="n"/>
      <c r="M63" s="264" t="n"/>
      <c r="N63" s="264" t="n"/>
      <c r="O63" s="264" t="n"/>
      <c r="P63" s="260" t="n"/>
    </row>
    <row r="64">
      <c r="A64" s="515" t="inlineStr">
        <is>
          <t>217</t>
        </is>
      </c>
      <c r="B64" s="516" t="inlineStr">
        <is>
          <t>D9 SALON</t>
        </is>
      </c>
      <c r="C64" s="517" t="inlineStr">
        <is>
          <t>20</t>
        </is>
      </c>
      <c r="D64" s="518">
        <f>'ISI KAYBI 2. KAT'!Q195</f>
        <v/>
      </c>
      <c r="E64" s="519">
        <f>ROUND(D64/G64,2)</f>
        <v/>
      </c>
      <c r="F64" s="518">
        <f>'YERDEN ISITMA'!N64</f>
        <v/>
      </c>
      <c r="G64" s="515" t="n">
        <v>131.54</v>
      </c>
      <c r="H64" s="515" t="n">
        <v>2</v>
      </c>
      <c r="I64" s="515" t="inlineStr">
        <is>
          <t>ZEMİNDEN ISITMA</t>
        </is>
      </c>
      <c r="J64" s="264" t="n"/>
      <c r="K64" s="264" t="n"/>
      <c r="L64" s="264" t="n"/>
      <c r="M64" s="264" t="n"/>
      <c r="N64" s="264" t="n"/>
      <c r="O64" s="264" t="n"/>
      <c r="P64" s="260" t="n"/>
    </row>
    <row r="65">
      <c r="A65" s="515" t="inlineStr">
        <is>
          <t>218</t>
        </is>
      </c>
      <c r="B65" s="516" t="inlineStr">
        <is>
          <t>D9 BANYO</t>
        </is>
      </c>
      <c r="C65" s="517" t="inlineStr">
        <is>
          <t>24</t>
        </is>
      </c>
      <c r="D65" s="518">
        <f>'ISI KAYBI 2. KAT'!Q205</f>
        <v/>
      </c>
      <c r="E65" s="519">
        <f>ROUND(D65/G65,2)</f>
        <v/>
      </c>
      <c r="F65" s="518">
        <f>'YERDEN ISITMA'!N65</f>
        <v/>
      </c>
      <c r="G65" s="515" t="n">
        <v>25.83</v>
      </c>
      <c r="H65" s="515" t="n">
        <v>1</v>
      </c>
      <c r="I65" s="515" t="inlineStr">
        <is>
          <t>ZEMİNDEN ISITMA</t>
        </is>
      </c>
      <c r="J65" s="264" t="n"/>
      <c r="K65" s="264" t="n"/>
      <c r="L65" s="264" t="n"/>
      <c r="M65" s="264" t="n"/>
      <c r="N65" s="264" t="n"/>
      <c r="O65" s="264" t="n"/>
      <c r="P65" s="260" t="n"/>
    </row>
    <row r="66">
      <c r="A66" s="515" t="n"/>
      <c r="B66" s="515" t="inlineStr">
        <is>
          <t>2. KAT</t>
        </is>
      </c>
      <c r="C66" s="517" t="n"/>
      <c r="D66" s="518" t="n"/>
      <c r="E66" s="520" t="inlineStr">
        <is>
          <t>TOPLAM =</t>
        </is>
      </c>
      <c r="F66" s="521">
        <f>SUM(F48:F65)</f>
        <v/>
      </c>
      <c r="G66" s="515" t="inlineStr">
        <is>
          <t>watt</t>
        </is>
      </c>
      <c r="H66" s="515" t="n"/>
      <c r="I66" s="515" t="n"/>
      <c r="J66" s="515" t="n"/>
      <c r="K66" s="515" t="n"/>
      <c r="L66" s="515" t="n"/>
      <c r="M66" s="515" t="n"/>
      <c r="N66" s="515" t="n"/>
      <c r="O66" s="515" t="n"/>
      <c r="P66" s="515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1">
    <mergeCell ref="I65:P65"/>
    <mergeCell ref="I34:P34"/>
    <mergeCell ref="I49:P49"/>
    <mergeCell ref="C5:G5"/>
    <mergeCell ref="I36:P36"/>
    <mergeCell ref="I45:P45"/>
    <mergeCell ref="H1:M2"/>
    <mergeCell ref="O7:O9"/>
    <mergeCell ref="I22:P22"/>
    <mergeCell ref="I37:P37"/>
    <mergeCell ref="N7:N9"/>
    <mergeCell ref="I12:P12"/>
    <mergeCell ref="I21:P21"/>
    <mergeCell ref="B6:B9"/>
    <mergeCell ref="I62:P62"/>
    <mergeCell ref="I14:P14"/>
    <mergeCell ref="I23:P23"/>
    <mergeCell ref="I64:P64"/>
    <mergeCell ref="I38:P38"/>
    <mergeCell ref="G6:G8"/>
    <mergeCell ref="C1:G4"/>
    <mergeCell ref="H3:M4"/>
    <mergeCell ref="I40:P40"/>
    <mergeCell ref="I27:P27"/>
    <mergeCell ref="K7:K9"/>
    <mergeCell ref="I25:P25"/>
    <mergeCell ref="D6:D8"/>
    <mergeCell ref="I53:P53"/>
    <mergeCell ref="F6:F8"/>
    <mergeCell ref="N3:P4"/>
    <mergeCell ref="H5:P5"/>
    <mergeCell ref="I55:P55"/>
    <mergeCell ref="I52:P52"/>
    <mergeCell ref="I39:P39"/>
    <mergeCell ref="I48:P48"/>
    <mergeCell ref="I20:P20"/>
    <mergeCell ref="I29:P29"/>
    <mergeCell ref="M7:M9"/>
    <mergeCell ref="I13:P13"/>
    <mergeCell ref="I31:P31"/>
    <mergeCell ref="I15:P15"/>
    <mergeCell ref="P7:P9"/>
    <mergeCell ref="H6:H9"/>
    <mergeCell ref="J6:J9"/>
    <mergeCell ref="I26:P26"/>
    <mergeCell ref="I57:P57"/>
    <mergeCell ref="I54:P54"/>
    <mergeCell ref="A6:A9"/>
    <mergeCell ref="I41:P41"/>
    <mergeCell ref="I16:P16"/>
    <mergeCell ref="I56:P56"/>
    <mergeCell ref="I43:P43"/>
    <mergeCell ref="I18:P18"/>
    <mergeCell ref="I58:P58"/>
    <mergeCell ref="A5:B5"/>
    <mergeCell ref="I33:P33"/>
    <mergeCell ref="I42:P42"/>
    <mergeCell ref="I17:P17"/>
    <mergeCell ref="I35:P35"/>
    <mergeCell ref="I44:P44"/>
    <mergeCell ref="A1:B4"/>
    <mergeCell ref="I19:P19"/>
    <mergeCell ref="I60:P60"/>
    <mergeCell ref="I30:P30"/>
    <mergeCell ref="I11:P11"/>
    <mergeCell ref="I46:P46"/>
    <mergeCell ref="I61:P61"/>
    <mergeCell ref="I32:P32"/>
    <mergeCell ref="C6:C8"/>
    <mergeCell ref="N6:P6"/>
    <mergeCell ref="K6:M6"/>
    <mergeCell ref="L7:L9"/>
    <mergeCell ref="I24:P24"/>
    <mergeCell ref="E6:E8"/>
    <mergeCell ref="I51:P51"/>
    <mergeCell ref="N1:P2"/>
    <mergeCell ref="I63:P63"/>
    <mergeCell ref="I10:P10"/>
    <mergeCell ref="I6:I9"/>
    <mergeCell ref="I50:P50"/>
    <mergeCell ref="I59:P59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U20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522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523" t="inlineStr">
        <is>
          <t>ROTAŞ</t>
        </is>
      </c>
      <c r="B1" s="275" t="n"/>
      <c r="C1" s="524" t="inlineStr">
        <is>
          <t>ZEMİNDEN ISITMA MODÜLASYON HESABI</t>
        </is>
      </c>
      <c r="D1" s="250" t="n"/>
      <c r="E1" s="250" t="n"/>
      <c r="F1" s="250" t="n"/>
      <c r="G1" s="275" t="n"/>
      <c r="H1" s="501" t="inlineStr">
        <is>
          <t>SAYFA</t>
        </is>
      </c>
      <c r="I1" s="250" t="n"/>
      <c r="J1" s="250" t="n"/>
      <c r="K1" s="275" t="n"/>
      <c r="L1" s="501" t="n">
        <v>8</v>
      </c>
      <c r="M1" s="250" t="n"/>
      <c r="N1" s="275" t="n"/>
      <c r="O1" s="525" t="n"/>
      <c r="P1" s="525" t="n"/>
    </row>
    <row r="2" ht="12.75" customHeight="1" s="244">
      <c r="A2" s="502" t="n"/>
      <c r="B2" s="503" t="n"/>
      <c r="C2" s="502" t="n"/>
      <c r="G2" s="503" t="n"/>
      <c r="H2" s="278" t="n"/>
      <c r="I2" s="256" t="n"/>
      <c r="J2" s="256" t="n"/>
      <c r="K2" s="277" t="n"/>
      <c r="L2" s="278" t="n"/>
      <c r="M2" s="256" t="n"/>
      <c r="N2" s="277" t="n"/>
      <c r="O2" s="525" t="n"/>
      <c r="P2" s="525" t="n"/>
    </row>
    <row r="3" ht="14.25" customHeight="1" s="244">
      <c r="A3" s="502" t="n"/>
      <c r="B3" s="503" t="n"/>
      <c r="C3" s="502" t="n"/>
      <c r="G3" s="503" t="n"/>
      <c r="H3" s="524" t="inlineStr">
        <is>
          <t>TARİH</t>
        </is>
      </c>
      <c r="I3" s="250" t="n"/>
      <c r="J3" s="250" t="n"/>
      <c r="K3" s="275" t="n"/>
      <c r="L3" s="504">
        <f>kapak!G41</f>
        <v/>
      </c>
      <c r="M3" s="250" t="n"/>
      <c r="N3" s="275" t="n"/>
      <c r="O3" s="525" t="n"/>
      <c r="P3" s="525" t="n"/>
      <c r="Q3" s="526" t="n"/>
      <c r="R3" s="526" t="n"/>
      <c r="S3" s="526" t="n"/>
      <c r="T3" s="526" t="n"/>
      <c r="U3" s="526" t="n"/>
      <c r="V3" s="526" t="n"/>
      <c r="W3" s="526" t="n"/>
      <c r="X3" s="526" t="n"/>
      <c r="Y3" s="526" t="n"/>
      <c r="Z3" s="526" t="n"/>
      <c r="AA3" s="526" t="n"/>
      <c r="AB3" s="526" t="n"/>
      <c r="AC3" s="526" t="n"/>
      <c r="AD3" s="526" t="n"/>
      <c r="AE3" s="526" t="n"/>
      <c r="AF3" s="526" t="n"/>
      <c r="AG3" s="526" t="n"/>
      <c r="AH3" s="526" t="n"/>
      <c r="AI3" s="526" t="n"/>
      <c r="AJ3" s="526" t="n"/>
      <c r="AK3" s="526" t="n"/>
      <c r="AL3" s="526" t="n"/>
      <c r="AM3" s="526" t="n"/>
      <c r="AN3" s="526" t="n"/>
      <c r="AO3" s="526" t="n"/>
      <c r="AP3" s="526" t="n"/>
      <c r="AQ3" s="526" t="n"/>
      <c r="AR3" s="526" t="n"/>
      <c r="AS3" s="526" t="n"/>
      <c r="AT3" s="526" t="n"/>
      <c r="AU3" s="526" t="n"/>
      <c r="AV3" s="526" t="n"/>
      <c r="AW3" s="526" t="n"/>
      <c r="AX3" s="526" t="n"/>
      <c r="AY3" s="526" t="n"/>
      <c r="AZ3" s="526" t="n"/>
      <c r="BA3" s="526" t="n"/>
      <c r="BB3" s="526" t="n"/>
      <c r="BC3" s="526" t="n"/>
      <c r="BD3" s="526" t="n"/>
      <c r="BE3" s="526" t="n"/>
      <c r="BF3" s="526" t="n"/>
      <c r="BG3" s="526" t="n"/>
      <c r="BH3" s="526" t="n"/>
      <c r="BI3" s="526" t="n"/>
      <c r="BJ3" s="526" t="n"/>
      <c r="BK3" s="526" t="n"/>
      <c r="BL3" s="526" t="n"/>
      <c r="BM3" s="526" t="n"/>
      <c r="BN3" s="526" t="n"/>
      <c r="BO3" s="526" t="n"/>
      <c r="BP3" s="526" t="n"/>
      <c r="BQ3" s="526" t="n"/>
      <c r="BR3" s="526" t="n"/>
      <c r="BS3" s="526" t="n"/>
      <c r="BT3" s="526" t="n"/>
      <c r="BU3" s="526" t="n"/>
      <c r="BV3" s="526" t="n"/>
      <c r="BW3" s="526" t="n"/>
      <c r="BX3" s="526" t="n"/>
      <c r="BY3" s="526" t="n"/>
      <c r="BZ3" s="526" t="n"/>
      <c r="CA3" s="526" t="n"/>
      <c r="CB3" s="526" t="n"/>
      <c r="CC3" s="526" t="n"/>
      <c r="CD3" s="526" t="n"/>
      <c r="CE3" s="526" t="n"/>
      <c r="CF3" s="526" t="n"/>
      <c r="CG3" s="526" t="n"/>
      <c r="CH3" s="526" t="n"/>
      <c r="CI3" s="526" t="n"/>
      <c r="CJ3" s="526" t="n"/>
      <c r="CK3" s="526" t="n"/>
      <c r="CL3" s="526" t="n"/>
      <c r="CM3" s="526" t="n"/>
      <c r="CN3" s="526" t="n"/>
      <c r="CO3" s="526" t="n"/>
      <c r="CP3" s="526" t="n"/>
      <c r="CQ3" s="526" t="n"/>
      <c r="CR3" s="526" t="n"/>
      <c r="CS3" s="526" t="n"/>
      <c r="CT3" s="526" t="n"/>
      <c r="CU3" s="526" t="n"/>
      <c r="CV3" s="526" t="n"/>
      <c r="CW3" s="526" t="n"/>
      <c r="CX3" s="526" t="n"/>
      <c r="CY3" s="526" t="n"/>
      <c r="CZ3" s="526" t="n"/>
      <c r="DA3" s="526" t="n"/>
      <c r="DB3" s="526" t="n"/>
      <c r="DC3" s="526" t="n"/>
      <c r="DD3" s="526" t="n"/>
      <c r="DE3" s="526" t="n"/>
      <c r="DF3" s="526" t="n"/>
      <c r="DG3" s="526" t="n"/>
      <c r="DH3" s="526" t="n"/>
      <c r="DI3" s="526" t="n"/>
      <c r="DJ3" s="526" t="n"/>
      <c r="DK3" s="526" t="n"/>
      <c r="DL3" s="526" t="n"/>
      <c r="DM3" s="526" t="n"/>
      <c r="DN3" s="526" t="n"/>
      <c r="DO3" s="526" t="n"/>
      <c r="DP3" s="526" t="n"/>
      <c r="DQ3" s="526" t="n"/>
      <c r="DR3" s="526" t="n"/>
      <c r="DS3" s="526" t="n"/>
      <c r="DT3" s="526" t="n"/>
      <c r="DU3" s="526" t="n"/>
      <c r="DV3" s="526" t="n"/>
      <c r="DW3" s="526" t="n"/>
      <c r="DX3" s="526" t="n"/>
      <c r="DY3" s="526" t="n"/>
      <c r="DZ3" s="526" t="n"/>
      <c r="EA3" s="526" t="n"/>
      <c r="EB3" s="526" t="n"/>
      <c r="EC3" s="526" t="n"/>
      <c r="ED3" s="526" t="n"/>
      <c r="EE3" s="526" t="n"/>
      <c r="EF3" s="526" t="n"/>
      <c r="EG3" s="526" t="n"/>
      <c r="EH3" s="526" t="n"/>
      <c r="EI3" s="526" t="n"/>
      <c r="EJ3" s="526" t="n"/>
      <c r="EK3" s="526" t="n"/>
      <c r="EL3" s="526" t="n"/>
      <c r="EM3" s="526" t="n"/>
      <c r="EN3" s="526" t="n"/>
      <c r="EO3" s="526" t="n"/>
      <c r="EP3" s="526" t="n"/>
      <c r="EQ3" s="526" t="n"/>
      <c r="ER3" s="526" t="n"/>
      <c r="ES3" s="526" t="n"/>
      <c r="ET3" s="526" t="n"/>
      <c r="EU3" s="526" t="n"/>
      <c r="EV3" s="526" t="n"/>
      <c r="EW3" s="526" t="n"/>
      <c r="EX3" s="526" t="n"/>
      <c r="EY3" s="526" t="n"/>
      <c r="EZ3" s="526" t="n"/>
      <c r="FA3" s="526" t="n"/>
      <c r="FB3" s="526" t="n"/>
      <c r="FC3" s="526" t="n"/>
      <c r="FD3" s="526" t="n"/>
      <c r="FE3" s="526" t="n"/>
      <c r="FF3" s="526" t="n"/>
      <c r="FG3" s="526" t="n"/>
      <c r="FH3" s="526" t="n"/>
      <c r="FI3" s="526" t="n"/>
      <c r="FJ3" s="526" t="n"/>
      <c r="FK3" s="526" t="n"/>
      <c r="FL3" s="526" t="n"/>
      <c r="FM3" s="526" t="n"/>
      <c r="FN3" s="526" t="n"/>
      <c r="FO3" s="526" t="n"/>
      <c r="FP3" s="526" t="n"/>
      <c r="FQ3" s="526" t="n"/>
      <c r="FR3" s="526" t="n"/>
      <c r="FS3" s="526" t="n"/>
      <c r="FT3" s="526" t="n"/>
      <c r="FU3" s="526" t="n"/>
      <c r="FV3" s="526" t="n"/>
      <c r="FW3" s="526" t="n"/>
      <c r="FX3" s="526" t="n"/>
      <c r="FY3" s="526" t="n"/>
      <c r="FZ3" s="526" t="n"/>
      <c r="GA3" s="526" t="n"/>
      <c r="GB3" s="526" t="n"/>
      <c r="GC3" s="526" t="n"/>
      <c r="GD3" s="526" t="n"/>
      <c r="GE3" s="526" t="n"/>
      <c r="GF3" s="526" t="n"/>
      <c r="GG3" s="526" t="n"/>
      <c r="GH3" s="526" t="n"/>
      <c r="GI3" s="526" t="n"/>
      <c r="GJ3" s="526" t="n"/>
      <c r="GK3" s="526" t="n"/>
      <c r="GL3" s="526" t="n"/>
      <c r="GM3" s="526" t="n"/>
      <c r="GN3" s="526" t="n"/>
      <c r="GO3" s="526" t="n"/>
      <c r="GP3" s="526" t="n"/>
      <c r="GQ3" s="526" t="n"/>
      <c r="GR3" s="526" t="n"/>
      <c r="GS3" s="526" t="n"/>
      <c r="GT3" s="526" t="n"/>
      <c r="GU3" s="526" t="n"/>
      <c r="GV3" s="526" t="n"/>
      <c r="GW3" s="526" t="n"/>
      <c r="GX3" s="526" t="n"/>
      <c r="GY3" s="526" t="n"/>
      <c r="GZ3" s="526" t="n"/>
      <c r="HA3" s="526" t="n"/>
      <c r="HB3" s="526" t="n"/>
      <c r="HC3" s="526" t="n"/>
      <c r="HD3" s="526" t="n"/>
      <c r="HE3" s="526" t="n"/>
      <c r="HF3" s="526" t="n"/>
      <c r="HG3" s="526" t="n"/>
      <c r="HH3" s="526" t="n"/>
      <c r="HI3" s="526" t="n"/>
      <c r="HJ3" s="526" t="n"/>
      <c r="HK3" s="526" t="n"/>
      <c r="HL3" s="526" t="n"/>
      <c r="HM3" s="526" t="n"/>
      <c r="HN3" s="526" t="n"/>
      <c r="HO3" s="526" t="n"/>
      <c r="HP3" s="526" t="n"/>
      <c r="HQ3" s="526" t="n"/>
      <c r="HR3" s="526" t="n"/>
      <c r="HS3" s="526" t="n"/>
      <c r="HT3" s="526" t="n"/>
      <c r="HU3" s="526" t="n"/>
      <c r="HV3" s="526" t="n"/>
      <c r="HW3" s="526" t="n"/>
      <c r="HX3" s="526" t="n"/>
      <c r="HY3" s="526" t="n"/>
      <c r="HZ3" s="526" t="n"/>
      <c r="IA3" s="526" t="n"/>
      <c r="IB3" s="526" t="n"/>
      <c r="IC3" s="526" t="n"/>
      <c r="ID3" s="526" t="n"/>
      <c r="IE3" s="526" t="n"/>
      <c r="IF3" s="526" t="n"/>
      <c r="IG3" s="526" t="n"/>
      <c r="IH3" s="526" t="n"/>
      <c r="II3" s="526" t="n"/>
      <c r="IJ3" s="526" t="n"/>
      <c r="IK3" s="526" t="n"/>
      <c r="IL3" s="526" t="n"/>
      <c r="IM3" s="526" t="n"/>
      <c r="IN3" s="526" t="n"/>
      <c r="IO3" s="526" t="n"/>
      <c r="IP3" s="526" t="n"/>
      <c r="IQ3" s="526" t="n"/>
      <c r="IR3" s="526" t="n"/>
      <c r="IS3" s="526" t="n"/>
      <c r="IT3" s="526" t="n"/>
      <c r="IU3" s="526" t="n"/>
    </row>
    <row r="4" ht="14.25" customHeight="1" s="244">
      <c r="A4" s="502" t="n"/>
      <c r="B4" s="503" t="n"/>
      <c r="C4" s="502" t="n"/>
      <c r="G4" s="503" t="n"/>
      <c r="H4" s="502" t="n"/>
      <c r="K4" s="503" t="n"/>
      <c r="L4" s="278" t="n"/>
      <c r="M4" s="256" t="n"/>
      <c r="N4" s="277" t="n"/>
      <c r="O4" s="525" t="n"/>
      <c r="P4" s="525" t="n"/>
      <c r="Q4" s="526" t="n"/>
      <c r="R4" s="526" t="n"/>
      <c r="S4" s="526" t="n"/>
      <c r="T4" s="526" t="n"/>
      <c r="U4" s="526" t="n"/>
      <c r="V4" s="526" t="n"/>
      <c r="W4" s="526" t="n"/>
      <c r="X4" s="526" t="n"/>
      <c r="Y4" s="526" t="n"/>
      <c r="Z4" s="526" t="n"/>
      <c r="AA4" s="526" t="n"/>
      <c r="AB4" s="526" t="n"/>
      <c r="AC4" s="526" t="n"/>
      <c r="AD4" s="526" t="n"/>
      <c r="AE4" s="526" t="n"/>
      <c r="AF4" s="526" t="n"/>
      <c r="AG4" s="526" t="n"/>
      <c r="AH4" s="526" t="n"/>
      <c r="AI4" s="526" t="n"/>
      <c r="AJ4" s="526" t="n"/>
      <c r="AK4" s="526" t="n"/>
      <c r="AL4" s="526" t="n"/>
      <c r="AM4" s="526" t="n"/>
      <c r="AN4" s="526" t="n"/>
      <c r="AO4" s="526" t="n"/>
      <c r="AP4" s="526" t="n"/>
      <c r="AQ4" s="526" t="n"/>
      <c r="AR4" s="526" t="n"/>
      <c r="AS4" s="526" t="n"/>
      <c r="AT4" s="526" t="n"/>
      <c r="AU4" s="526" t="n"/>
      <c r="AV4" s="526" t="n"/>
      <c r="AW4" s="526" t="n"/>
      <c r="AX4" s="526" t="n"/>
      <c r="AY4" s="526" t="n"/>
      <c r="AZ4" s="526" t="n"/>
      <c r="BA4" s="526" t="n"/>
      <c r="BB4" s="526" t="n"/>
      <c r="BC4" s="526" t="n"/>
      <c r="BD4" s="526" t="n"/>
      <c r="BE4" s="526" t="n"/>
      <c r="BF4" s="526" t="n"/>
      <c r="BG4" s="526" t="n"/>
      <c r="BH4" s="526" t="n"/>
      <c r="BI4" s="526" t="n"/>
      <c r="BJ4" s="526" t="n"/>
      <c r="BK4" s="526" t="n"/>
      <c r="BL4" s="526" t="n"/>
      <c r="BM4" s="526" t="n"/>
      <c r="BN4" s="526" t="n"/>
      <c r="BO4" s="526" t="n"/>
      <c r="BP4" s="526" t="n"/>
      <c r="BQ4" s="526" t="n"/>
      <c r="BR4" s="526" t="n"/>
      <c r="BS4" s="526" t="n"/>
      <c r="BT4" s="526" t="n"/>
      <c r="BU4" s="526" t="n"/>
      <c r="BV4" s="526" t="n"/>
      <c r="BW4" s="526" t="n"/>
      <c r="BX4" s="526" t="n"/>
      <c r="BY4" s="526" t="n"/>
      <c r="BZ4" s="526" t="n"/>
      <c r="CA4" s="526" t="n"/>
      <c r="CB4" s="526" t="n"/>
      <c r="CC4" s="526" t="n"/>
      <c r="CD4" s="526" t="n"/>
      <c r="CE4" s="526" t="n"/>
      <c r="CF4" s="526" t="n"/>
      <c r="CG4" s="526" t="n"/>
      <c r="CH4" s="526" t="n"/>
      <c r="CI4" s="526" t="n"/>
      <c r="CJ4" s="526" t="n"/>
      <c r="CK4" s="526" t="n"/>
      <c r="CL4" s="526" t="n"/>
      <c r="CM4" s="526" t="n"/>
      <c r="CN4" s="526" t="n"/>
      <c r="CO4" s="526" t="n"/>
      <c r="CP4" s="526" t="n"/>
      <c r="CQ4" s="526" t="n"/>
      <c r="CR4" s="526" t="n"/>
      <c r="CS4" s="526" t="n"/>
      <c r="CT4" s="526" t="n"/>
      <c r="CU4" s="526" t="n"/>
      <c r="CV4" s="526" t="n"/>
      <c r="CW4" s="526" t="n"/>
      <c r="CX4" s="526" t="n"/>
      <c r="CY4" s="526" t="n"/>
      <c r="CZ4" s="526" t="n"/>
      <c r="DA4" s="526" t="n"/>
      <c r="DB4" s="526" t="n"/>
      <c r="DC4" s="526" t="n"/>
      <c r="DD4" s="526" t="n"/>
      <c r="DE4" s="526" t="n"/>
      <c r="DF4" s="526" t="n"/>
      <c r="DG4" s="526" t="n"/>
      <c r="DH4" s="526" t="n"/>
      <c r="DI4" s="526" t="n"/>
      <c r="DJ4" s="526" t="n"/>
      <c r="DK4" s="526" t="n"/>
      <c r="DL4" s="526" t="n"/>
      <c r="DM4" s="526" t="n"/>
      <c r="DN4" s="526" t="n"/>
      <c r="DO4" s="526" t="n"/>
      <c r="DP4" s="526" t="n"/>
      <c r="DQ4" s="526" t="n"/>
      <c r="DR4" s="526" t="n"/>
      <c r="DS4" s="526" t="n"/>
      <c r="DT4" s="526" t="n"/>
      <c r="DU4" s="526" t="n"/>
      <c r="DV4" s="526" t="n"/>
      <c r="DW4" s="526" t="n"/>
      <c r="DX4" s="526" t="n"/>
      <c r="DY4" s="526" t="n"/>
      <c r="DZ4" s="526" t="n"/>
      <c r="EA4" s="526" t="n"/>
      <c r="EB4" s="526" t="n"/>
      <c r="EC4" s="526" t="n"/>
      <c r="ED4" s="526" t="n"/>
      <c r="EE4" s="526" t="n"/>
      <c r="EF4" s="526" t="n"/>
      <c r="EG4" s="526" t="n"/>
      <c r="EH4" s="526" t="n"/>
      <c r="EI4" s="526" t="n"/>
      <c r="EJ4" s="526" t="n"/>
      <c r="EK4" s="526" t="n"/>
      <c r="EL4" s="526" t="n"/>
      <c r="EM4" s="526" t="n"/>
      <c r="EN4" s="526" t="n"/>
      <c r="EO4" s="526" t="n"/>
      <c r="EP4" s="526" t="n"/>
      <c r="EQ4" s="526" t="n"/>
      <c r="ER4" s="526" t="n"/>
      <c r="ES4" s="526" t="n"/>
      <c r="ET4" s="526" t="n"/>
      <c r="EU4" s="526" t="n"/>
      <c r="EV4" s="526" t="n"/>
      <c r="EW4" s="526" t="n"/>
      <c r="EX4" s="526" t="n"/>
      <c r="EY4" s="526" t="n"/>
      <c r="EZ4" s="526" t="n"/>
      <c r="FA4" s="526" t="n"/>
      <c r="FB4" s="526" t="n"/>
      <c r="FC4" s="526" t="n"/>
      <c r="FD4" s="526" t="n"/>
      <c r="FE4" s="526" t="n"/>
      <c r="FF4" s="526" t="n"/>
      <c r="FG4" s="526" t="n"/>
      <c r="FH4" s="526" t="n"/>
      <c r="FI4" s="526" t="n"/>
      <c r="FJ4" s="526" t="n"/>
      <c r="FK4" s="526" t="n"/>
      <c r="FL4" s="526" t="n"/>
      <c r="FM4" s="526" t="n"/>
      <c r="FN4" s="526" t="n"/>
      <c r="FO4" s="526" t="n"/>
      <c r="FP4" s="526" t="n"/>
      <c r="FQ4" s="526" t="n"/>
      <c r="FR4" s="526" t="n"/>
      <c r="FS4" s="526" t="n"/>
      <c r="FT4" s="526" t="n"/>
      <c r="FU4" s="526" t="n"/>
      <c r="FV4" s="526" t="n"/>
      <c r="FW4" s="526" t="n"/>
      <c r="FX4" s="526" t="n"/>
      <c r="FY4" s="526" t="n"/>
      <c r="FZ4" s="526" t="n"/>
      <c r="GA4" s="526" t="n"/>
      <c r="GB4" s="526" t="n"/>
      <c r="GC4" s="526" t="n"/>
      <c r="GD4" s="526" t="n"/>
      <c r="GE4" s="526" t="n"/>
      <c r="GF4" s="526" t="n"/>
      <c r="GG4" s="526" t="n"/>
      <c r="GH4" s="526" t="n"/>
      <c r="GI4" s="526" t="n"/>
      <c r="GJ4" s="526" t="n"/>
      <c r="GK4" s="526" t="n"/>
      <c r="GL4" s="526" t="n"/>
      <c r="GM4" s="526" t="n"/>
      <c r="GN4" s="526" t="n"/>
      <c r="GO4" s="526" t="n"/>
      <c r="GP4" s="526" t="n"/>
      <c r="GQ4" s="526" t="n"/>
      <c r="GR4" s="526" t="n"/>
      <c r="GS4" s="526" t="n"/>
      <c r="GT4" s="526" t="n"/>
      <c r="GU4" s="526" t="n"/>
      <c r="GV4" s="526" t="n"/>
      <c r="GW4" s="526" t="n"/>
      <c r="GX4" s="526" t="n"/>
      <c r="GY4" s="526" t="n"/>
      <c r="GZ4" s="526" t="n"/>
      <c r="HA4" s="526" t="n"/>
      <c r="HB4" s="526" t="n"/>
      <c r="HC4" s="526" t="n"/>
      <c r="HD4" s="526" t="n"/>
      <c r="HE4" s="526" t="n"/>
      <c r="HF4" s="526" t="n"/>
      <c r="HG4" s="526" t="n"/>
      <c r="HH4" s="526" t="n"/>
      <c r="HI4" s="526" t="n"/>
      <c r="HJ4" s="526" t="n"/>
      <c r="HK4" s="526" t="n"/>
      <c r="HL4" s="526" t="n"/>
      <c r="HM4" s="526" t="n"/>
      <c r="HN4" s="526" t="n"/>
      <c r="HO4" s="526" t="n"/>
      <c r="HP4" s="526" t="n"/>
      <c r="HQ4" s="526" t="n"/>
      <c r="HR4" s="526" t="n"/>
      <c r="HS4" s="526" t="n"/>
      <c r="HT4" s="526" t="n"/>
      <c r="HU4" s="526" t="n"/>
      <c r="HV4" s="526" t="n"/>
      <c r="HW4" s="526" t="n"/>
      <c r="HX4" s="526" t="n"/>
      <c r="HY4" s="526" t="n"/>
      <c r="HZ4" s="526" t="n"/>
      <c r="IA4" s="526" t="n"/>
      <c r="IB4" s="526" t="n"/>
      <c r="IC4" s="526" t="n"/>
      <c r="ID4" s="526" t="n"/>
      <c r="IE4" s="526" t="n"/>
      <c r="IF4" s="526" t="n"/>
      <c r="IG4" s="526" t="n"/>
      <c r="IH4" s="526" t="n"/>
      <c r="II4" s="526" t="n"/>
      <c r="IJ4" s="526" t="n"/>
      <c r="IK4" s="526" t="n"/>
      <c r="IL4" s="526" t="n"/>
      <c r="IM4" s="526" t="n"/>
      <c r="IN4" s="526" t="n"/>
      <c r="IO4" s="526" t="n"/>
      <c r="IP4" s="526" t="n"/>
      <c r="IQ4" s="526" t="n"/>
      <c r="IR4" s="526" t="n"/>
      <c r="IS4" s="526" t="n"/>
      <c r="IT4" s="526" t="n"/>
      <c r="IU4" s="526" t="n"/>
    </row>
    <row r="5" ht="14.25" customHeight="1" s="244">
      <c r="A5" s="527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527">
        <f>kapak!C31</f>
        <v/>
      </c>
      <c r="I5" s="264" t="n"/>
      <c r="J5" s="264" t="n"/>
      <c r="K5" s="264" t="n"/>
      <c r="L5" s="264" t="n"/>
      <c r="M5" s="264" t="n"/>
      <c r="N5" s="260" t="n"/>
      <c r="O5" s="526" t="n"/>
      <c r="P5" s="528" t="n"/>
      <c r="Q5" s="526" t="n"/>
      <c r="R5" s="526" t="n"/>
      <c r="S5" s="526" t="n"/>
      <c r="T5" s="526" t="n"/>
      <c r="U5" s="526" t="n"/>
      <c r="V5" s="526" t="n"/>
      <c r="W5" s="526" t="n"/>
      <c r="X5" s="526" t="n"/>
      <c r="Y5" s="526" t="n"/>
      <c r="Z5" s="526" t="n"/>
      <c r="AA5" s="526" t="n"/>
      <c r="AB5" s="526" t="n"/>
      <c r="AC5" s="526" t="n"/>
      <c r="AD5" s="526" t="n"/>
      <c r="AE5" s="526" t="n"/>
      <c r="AF5" s="526" t="n"/>
      <c r="AG5" s="526" t="n"/>
      <c r="AH5" s="526" t="n"/>
      <c r="AI5" s="526" t="n"/>
      <c r="AJ5" s="526" t="n"/>
      <c r="AK5" s="526" t="n"/>
      <c r="AL5" s="526" t="n"/>
      <c r="AM5" s="526" t="n"/>
      <c r="AN5" s="526" t="n"/>
      <c r="AO5" s="526" t="n"/>
      <c r="AP5" s="526" t="n"/>
      <c r="AQ5" s="526" t="n"/>
      <c r="AR5" s="526" t="n"/>
      <c r="AS5" s="526" t="n"/>
      <c r="AT5" s="526" t="n"/>
      <c r="AU5" s="526" t="n"/>
      <c r="AV5" s="526" t="n"/>
      <c r="AW5" s="526" t="n"/>
      <c r="AX5" s="526" t="n"/>
      <c r="AY5" s="526" t="n"/>
      <c r="AZ5" s="526" t="n"/>
      <c r="BA5" s="526" t="n"/>
      <c r="BB5" s="526" t="n"/>
      <c r="BC5" s="526" t="n"/>
      <c r="BD5" s="526" t="n"/>
      <c r="BE5" s="526" t="n"/>
      <c r="BF5" s="526" t="n"/>
      <c r="BG5" s="526" t="n"/>
      <c r="BH5" s="526" t="n"/>
      <c r="BI5" s="526" t="n"/>
      <c r="BJ5" s="526" t="n"/>
      <c r="BK5" s="526" t="n"/>
      <c r="BL5" s="526" t="n"/>
      <c r="BM5" s="526" t="n"/>
      <c r="BN5" s="526" t="n"/>
      <c r="BO5" s="526" t="n"/>
      <c r="BP5" s="526" t="n"/>
      <c r="BQ5" s="526" t="n"/>
      <c r="BR5" s="526" t="n"/>
      <c r="BS5" s="526" t="n"/>
      <c r="BT5" s="526" t="n"/>
      <c r="BU5" s="526" t="n"/>
      <c r="BV5" s="526" t="n"/>
      <c r="BW5" s="526" t="n"/>
      <c r="BX5" s="526" t="n"/>
      <c r="BY5" s="526" t="n"/>
      <c r="BZ5" s="526" t="n"/>
      <c r="CA5" s="526" t="n"/>
      <c r="CB5" s="526" t="n"/>
      <c r="CC5" s="526" t="n"/>
      <c r="CD5" s="526" t="n"/>
      <c r="CE5" s="526" t="n"/>
      <c r="CF5" s="526" t="n"/>
      <c r="CG5" s="526" t="n"/>
      <c r="CH5" s="526" t="n"/>
      <c r="CI5" s="526" t="n"/>
      <c r="CJ5" s="526" t="n"/>
      <c r="CK5" s="526" t="n"/>
      <c r="CL5" s="526" t="n"/>
      <c r="CM5" s="526" t="n"/>
      <c r="CN5" s="526" t="n"/>
      <c r="CO5" s="526" t="n"/>
      <c r="CP5" s="526" t="n"/>
      <c r="CQ5" s="526" t="n"/>
      <c r="CR5" s="526" t="n"/>
      <c r="CS5" s="526" t="n"/>
      <c r="CT5" s="526" t="n"/>
      <c r="CU5" s="526" t="n"/>
      <c r="CV5" s="526" t="n"/>
      <c r="CW5" s="526" t="n"/>
      <c r="CX5" s="526" t="n"/>
      <c r="CY5" s="526" t="n"/>
      <c r="CZ5" s="526" t="n"/>
      <c r="DA5" s="526" t="n"/>
      <c r="DB5" s="526" t="n"/>
      <c r="DC5" s="526" t="n"/>
      <c r="DD5" s="526" t="n"/>
      <c r="DE5" s="526" t="n"/>
      <c r="DF5" s="526" t="n"/>
      <c r="DG5" s="526" t="n"/>
      <c r="DH5" s="526" t="n"/>
      <c r="DI5" s="526" t="n"/>
      <c r="DJ5" s="526" t="n"/>
      <c r="DK5" s="526" t="n"/>
      <c r="DL5" s="526" t="n"/>
      <c r="DM5" s="526" t="n"/>
      <c r="DN5" s="526" t="n"/>
      <c r="DO5" s="526" t="n"/>
      <c r="DP5" s="526" t="n"/>
      <c r="DQ5" s="526" t="n"/>
      <c r="DR5" s="526" t="n"/>
      <c r="DS5" s="526" t="n"/>
      <c r="DT5" s="526" t="n"/>
      <c r="DU5" s="526" t="n"/>
      <c r="DV5" s="526" t="n"/>
      <c r="DW5" s="526" t="n"/>
      <c r="DX5" s="526" t="n"/>
      <c r="DY5" s="526" t="n"/>
      <c r="DZ5" s="526" t="n"/>
      <c r="EA5" s="526" t="n"/>
      <c r="EB5" s="526" t="n"/>
      <c r="EC5" s="526" t="n"/>
      <c r="ED5" s="526" t="n"/>
      <c r="EE5" s="526" t="n"/>
      <c r="EF5" s="526" t="n"/>
      <c r="EG5" s="526" t="n"/>
      <c r="EH5" s="526" t="n"/>
      <c r="EI5" s="526" t="n"/>
      <c r="EJ5" s="526" t="n"/>
      <c r="EK5" s="526" t="n"/>
      <c r="EL5" s="526" t="n"/>
      <c r="EM5" s="526" t="n"/>
      <c r="EN5" s="526" t="n"/>
      <c r="EO5" s="526" t="n"/>
      <c r="EP5" s="526" t="n"/>
      <c r="EQ5" s="526" t="n"/>
      <c r="ER5" s="526" t="n"/>
      <c r="ES5" s="526" t="n"/>
      <c r="ET5" s="526" t="n"/>
      <c r="EU5" s="526" t="n"/>
      <c r="EV5" s="526" t="n"/>
      <c r="EW5" s="526" t="n"/>
      <c r="EX5" s="526" t="n"/>
      <c r="EY5" s="526" t="n"/>
      <c r="EZ5" s="526" t="n"/>
      <c r="FA5" s="526" t="n"/>
      <c r="FB5" s="526" t="n"/>
      <c r="FC5" s="526" t="n"/>
      <c r="FD5" s="526" t="n"/>
      <c r="FE5" s="526" t="n"/>
      <c r="FF5" s="526" t="n"/>
      <c r="FG5" s="526" t="n"/>
      <c r="FH5" s="526" t="n"/>
      <c r="FI5" s="526" t="n"/>
      <c r="FJ5" s="526" t="n"/>
      <c r="FK5" s="526" t="n"/>
      <c r="FL5" s="526" t="n"/>
      <c r="FM5" s="526" t="n"/>
      <c r="FN5" s="526" t="n"/>
      <c r="FO5" s="526" t="n"/>
      <c r="FP5" s="526" t="n"/>
      <c r="FQ5" s="526" t="n"/>
      <c r="FR5" s="526" t="n"/>
      <c r="FS5" s="526" t="n"/>
      <c r="FT5" s="526" t="n"/>
      <c r="FU5" s="526" t="n"/>
      <c r="FV5" s="526" t="n"/>
      <c r="FW5" s="526" t="n"/>
      <c r="FX5" s="526" t="n"/>
      <c r="FY5" s="526" t="n"/>
      <c r="FZ5" s="526" t="n"/>
      <c r="GA5" s="526" t="n"/>
      <c r="GB5" s="526" t="n"/>
      <c r="GC5" s="526" t="n"/>
      <c r="GD5" s="526" t="n"/>
      <c r="GE5" s="526" t="n"/>
      <c r="GF5" s="526" t="n"/>
      <c r="GG5" s="526" t="n"/>
      <c r="GH5" s="526" t="n"/>
      <c r="GI5" s="526" t="n"/>
      <c r="GJ5" s="526" t="n"/>
      <c r="GK5" s="526" t="n"/>
      <c r="GL5" s="526" t="n"/>
      <c r="GM5" s="526" t="n"/>
      <c r="GN5" s="526" t="n"/>
      <c r="GO5" s="526" t="n"/>
      <c r="GP5" s="526" t="n"/>
      <c r="GQ5" s="526" t="n"/>
      <c r="GR5" s="526" t="n"/>
      <c r="GS5" s="526" t="n"/>
      <c r="GT5" s="526" t="n"/>
      <c r="GU5" s="526" t="n"/>
      <c r="GV5" s="526" t="n"/>
      <c r="GW5" s="526" t="n"/>
      <c r="GX5" s="526" t="n"/>
      <c r="GY5" s="526" t="n"/>
      <c r="GZ5" s="526" t="n"/>
      <c r="HA5" s="526" t="n"/>
      <c r="HB5" s="526" t="n"/>
      <c r="HC5" s="526" t="n"/>
      <c r="HD5" s="526" t="n"/>
      <c r="HE5" s="526" t="n"/>
      <c r="HF5" s="526" t="n"/>
      <c r="HG5" s="526" t="n"/>
      <c r="HH5" s="526" t="n"/>
      <c r="HI5" s="526" t="n"/>
      <c r="HJ5" s="526" t="n"/>
      <c r="HK5" s="526" t="n"/>
      <c r="HL5" s="526" t="n"/>
      <c r="HM5" s="526" t="n"/>
      <c r="HN5" s="526" t="n"/>
      <c r="HO5" s="526" t="n"/>
      <c r="HP5" s="526" t="n"/>
      <c r="HQ5" s="526" t="n"/>
      <c r="HR5" s="526" t="n"/>
      <c r="HS5" s="526" t="n"/>
      <c r="HT5" s="526" t="n"/>
      <c r="HU5" s="526" t="n"/>
      <c r="HV5" s="526" t="n"/>
      <c r="HW5" s="526" t="n"/>
      <c r="HX5" s="526" t="n"/>
      <c r="HY5" s="526" t="n"/>
      <c r="HZ5" s="526" t="n"/>
      <c r="IA5" s="526" t="n"/>
      <c r="IB5" s="526" t="n"/>
      <c r="IC5" s="526" t="n"/>
      <c r="ID5" s="526" t="n"/>
      <c r="IE5" s="526" t="n"/>
      <c r="IF5" s="526" t="n"/>
      <c r="IG5" s="526" t="n"/>
      <c r="IH5" s="526" t="n"/>
      <c r="II5" s="526" t="n"/>
      <c r="IJ5" s="526" t="n"/>
      <c r="IK5" s="526" t="n"/>
      <c r="IL5" s="526" t="n"/>
      <c r="IM5" s="526" t="n"/>
      <c r="IN5" s="526" t="n"/>
      <c r="IO5" s="526" t="n"/>
      <c r="IP5" s="526" t="n"/>
      <c r="IQ5" s="526" t="n"/>
      <c r="IR5" s="526" t="n"/>
      <c r="IS5" s="526" t="n"/>
      <c r="IT5" s="526" t="n"/>
      <c r="IU5" s="526" t="n"/>
    </row>
    <row r="6" ht="14.25" customHeight="1" s="244">
      <c r="A6" s="527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527" t="inlineStr">
        <is>
          <t>CAN ÖZKAYA</t>
        </is>
      </c>
      <c r="I6" s="264" t="n"/>
      <c r="J6" s="264" t="n"/>
      <c r="K6" s="264" t="n"/>
      <c r="L6" s="264" t="n"/>
      <c r="M6" s="264" t="n"/>
      <c r="N6" s="260" t="n"/>
    </row>
    <row r="7"/>
    <row r="8" ht="127.5" customHeight="1" s="244">
      <c r="A8" s="529" t="inlineStr">
        <is>
          <t>MAHAL NO</t>
        </is>
      </c>
      <c r="B8" s="529" t="inlineStr">
        <is>
          <t>MAHAL ADI</t>
        </is>
      </c>
      <c r="C8" s="529" t="inlineStr">
        <is>
          <t>MAHAL SICAKLIĞI</t>
        </is>
      </c>
      <c r="D8" s="530" t="inlineStr">
        <is>
          <t>Mahal ısı ihtiyacı Q (ısı kaybı hesabından)</t>
        </is>
      </c>
      <c r="E8" s="529" t="inlineStr">
        <is>
          <t>MAHAL ALANI A</t>
        </is>
      </c>
      <c r="F8" s="529" t="inlineStr">
        <is>
          <t>1 m2 ' DEKİ TOPLAM ISI YÜKÜ Q/A</t>
        </is>
      </c>
      <c r="G8" s="529" t="inlineStr">
        <is>
          <t>MODÜL</t>
        </is>
      </c>
      <c r="H8" s="529" t="inlineStr">
        <is>
          <t>m2</t>
        </is>
      </c>
      <c r="I8" s="529" t="inlineStr">
        <is>
          <t>STANDART MODÜL</t>
        </is>
      </c>
      <c r="J8" s="529" t="inlineStr">
        <is>
          <t>BORU BOYU</t>
        </is>
      </c>
      <c r="K8" s="529" t="inlineStr">
        <is>
          <t>KOLLEKTÖR ADETİ</t>
        </is>
      </c>
      <c r="L8" s="529" t="inlineStr">
        <is>
          <t>TOPLAM OLMASI GEREKEN KOLLEKTÖR ADETİ</t>
        </is>
      </c>
      <c r="M8" s="529" t="inlineStr">
        <is>
          <t>BİRİM VERİM</t>
        </is>
      </c>
      <c r="N8" s="529" t="inlineStr">
        <is>
          <t>TOPLAM VERİM</t>
        </is>
      </c>
      <c r="O8" s="531" t="n"/>
      <c r="P8" s="531" t="n"/>
      <c r="Q8" s="531" t="n"/>
      <c r="R8" s="531" t="n"/>
      <c r="S8" s="531" t="n"/>
      <c r="T8" s="531" t="n"/>
      <c r="U8" s="531" t="n"/>
      <c r="V8" s="531" t="n"/>
      <c r="W8" s="531" t="n"/>
      <c r="X8" s="531" t="n"/>
      <c r="Y8" s="531" t="n"/>
      <c r="Z8" s="531" t="n"/>
      <c r="AA8" s="531" t="n"/>
      <c r="AB8" s="531" t="n"/>
      <c r="AC8" s="531" t="n"/>
      <c r="AD8" s="531" t="n"/>
      <c r="AE8" s="531" t="n"/>
      <c r="AF8" s="531" t="n"/>
      <c r="AG8" s="531" t="n"/>
      <c r="AH8" s="531" t="n"/>
      <c r="AI8" s="531" t="n"/>
      <c r="AJ8" s="531" t="n"/>
      <c r="AK8" s="531" t="n"/>
      <c r="AL8" s="531" t="n"/>
      <c r="AM8" s="531" t="n"/>
      <c r="AN8" s="531" t="n"/>
      <c r="AO8" s="531" t="n"/>
      <c r="AP8" s="531" t="n"/>
      <c r="AQ8" s="531" t="n"/>
      <c r="AR8" s="531" t="n"/>
      <c r="AS8" s="531" t="n"/>
      <c r="AT8" s="531" t="n"/>
      <c r="AU8" s="531" t="n"/>
      <c r="AV8" s="531" t="n"/>
      <c r="AW8" s="531" t="n"/>
      <c r="AX8" s="531" t="n"/>
      <c r="AY8" s="531" t="n"/>
      <c r="AZ8" s="531" t="n"/>
      <c r="BA8" s="531" t="n"/>
      <c r="BB8" s="531" t="n"/>
      <c r="BC8" s="531" t="n"/>
      <c r="BD8" s="531" t="n"/>
      <c r="BE8" s="531" t="n"/>
      <c r="BF8" s="531" t="n"/>
      <c r="BG8" s="531" t="n"/>
      <c r="BH8" s="531" t="n"/>
      <c r="BI8" s="531" t="n"/>
      <c r="BJ8" s="531" t="n"/>
      <c r="BK8" s="531" t="n"/>
      <c r="BL8" s="531" t="n"/>
      <c r="BM8" s="531" t="n"/>
      <c r="BN8" s="531" t="n"/>
      <c r="BO8" s="531" t="n"/>
      <c r="BP8" s="531" t="n"/>
      <c r="BQ8" s="531" t="n"/>
      <c r="BR8" s="531" t="n"/>
      <c r="BS8" s="531" t="n"/>
      <c r="BT8" s="531" t="n"/>
      <c r="BU8" s="531" t="n"/>
      <c r="BV8" s="531" t="n"/>
      <c r="BW8" s="531" t="n"/>
      <c r="BX8" s="531" t="n"/>
      <c r="BY8" s="531" t="n"/>
      <c r="BZ8" s="531" t="n"/>
      <c r="CA8" s="531" t="n"/>
      <c r="CB8" s="531" t="n"/>
      <c r="CC8" s="531" t="n"/>
      <c r="CD8" s="531" t="n"/>
      <c r="CE8" s="531" t="n"/>
      <c r="CF8" s="531" t="n"/>
      <c r="CG8" s="531" t="n"/>
      <c r="CH8" s="531" t="n"/>
      <c r="CI8" s="531" t="n"/>
      <c r="CJ8" s="531" t="n"/>
      <c r="CK8" s="531" t="n"/>
      <c r="CL8" s="531" t="n"/>
      <c r="CM8" s="531" t="n"/>
      <c r="CN8" s="531" t="n"/>
      <c r="CO8" s="531" t="n"/>
      <c r="CP8" s="531" t="n"/>
      <c r="CQ8" s="531" t="n"/>
      <c r="CR8" s="531" t="n"/>
      <c r="CS8" s="531" t="n"/>
      <c r="CT8" s="531" t="n"/>
      <c r="CU8" s="531" t="n"/>
      <c r="CV8" s="531" t="n"/>
      <c r="CW8" s="531" t="n"/>
      <c r="CX8" s="531" t="n"/>
      <c r="CY8" s="531" t="n"/>
      <c r="CZ8" s="531" t="n"/>
      <c r="DA8" s="531" t="n"/>
      <c r="DB8" s="531" t="n"/>
      <c r="DC8" s="531" t="n"/>
      <c r="DD8" s="531" t="n"/>
      <c r="DE8" s="531" t="n"/>
      <c r="DF8" s="531" t="n"/>
      <c r="DG8" s="531" t="n"/>
      <c r="DH8" s="531" t="n"/>
      <c r="DI8" s="531" t="n"/>
      <c r="DJ8" s="531" t="n"/>
      <c r="DK8" s="531" t="n"/>
      <c r="DL8" s="531" t="n"/>
      <c r="DM8" s="531" t="n"/>
      <c r="DN8" s="531" t="n"/>
      <c r="DO8" s="531" t="n"/>
      <c r="DP8" s="531" t="n"/>
      <c r="DQ8" s="531" t="n"/>
      <c r="DR8" s="531" t="n"/>
      <c r="DS8" s="531" t="n"/>
      <c r="DT8" s="531" t="n"/>
      <c r="DU8" s="531" t="n"/>
      <c r="DV8" s="531" t="n"/>
      <c r="DW8" s="531" t="n"/>
      <c r="DX8" s="531" t="n"/>
      <c r="DY8" s="531" t="n"/>
      <c r="DZ8" s="531" t="n"/>
      <c r="EA8" s="531" t="n"/>
      <c r="EB8" s="531" t="n"/>
      <c r="EC8" s="531" t="n"/>
      <c r="ED8" s="531" t="n"/>
      <c r="EE8" s="531" t="n"/>
      <c r="EF8" s="531" t="n"/>
      <c r="EG8" s="531" t="n"/>
      <c r="EH8" s="531" t="n"/>
      <c r="EI8" s="531" t="n"/>
      <c r="EJ8" s="531" t="n"/>
      <c r="EK8" s="531" t="n"/>
      <c r="EL8" s="531" t="n"/>
      <c r="EM8" s="531" t="n"/>
      <c r="EN8" s="531" t="n"/>
      <c r="EO8" s="531" t="n"/>
      <c r="EP8" s="531" t="n"/>
      <c r="EQ8" s="531" t="n"/>
      <c r="ER8" s="531" t="n"/>
      <c r="ES8" s="531" t="n"/>
      <c r="ET8" s="531" t="n"/>
      <c r="EU8" s="531" t="n"/>
      <c r="EV8" s="531" t="n"/>
      <c r="EW8" s="531" t="n"/>
      <c r="EX8" s="531" t="n"/>
      <c r="EY8" s="531" t="n"/>
      <c r="EZ8" s="531" t="n"/>
      <c r="FA8" s="531" t="n"/>
      <c r="FB8" s="531" t="n"/>
      <c r="FC8" s="531" t="n"/>
      <c r="FD8" s="531" t="n"/>
      <c r="FE8" s="531" t="n"/>
      <c r="FF8" s="531" t="n"/>
      <c r="FG8" s="531" t="n"/>
      <c r="FH8" s="531" t="n"/>
      <c r="FI8" s="531" t="n"/>
      <c r="FJ8" s="531" t="n"/>
      <c r="FK8" s="531" t="n"/>
      <c r="FL8" s="531" t="n"/>
      <c r="FM8" s="531" t="n"/>
      <c r="FN8" s="531" t="n"/>
      <c r="FO8" s="531" t="n"/>
      <c r="FP8" s="531" t="n"/>
      <c r="FQ8" s="531" t="n"/>
      <c r="FR8" s="531" t="n"/>
      <c r="FS8" s="531" t="n"/>
      <c r="FT8" s="531" t="n"/>
      <c r="FU8" s="531" t="n"/>
      <c r="FV8" s="531" t="n"/>
      <c r="FW8" s="531" t="n"/>
      <c r="FX8" s="531" t="n"/>
      <c r="FY8" s="531" t="n"/>
      <c r="FZ8" s="531" t="n"/>
      <c r="GA8" s="531" t="n"/>
      <c r="GB8" s="531" t="n"/>
      <c r="GC8" s="531" t="n"/>
      <c r="GD8" s="531" t="n"/>
      <c r="GE8" s="531" t="n"/>
      <c r="GF8" s="531" t="n"/>
      <c r="GG8" s="531" t="n"/>
      <c r="GH8" s="531" t="n"/>
      <c r="GI8" s="531" t="n"/>
      <c r="GJ8" s="531" t="n"/>
      <c r="GK8" s="531" t="n"/>
      <c r="GL8" s="531" t="n"/>
      <c r="GM8" s="531" t="n"/>
      <c r="GN8" s="531" t="n"/>
      <c r="GO8" s="531" t="n"/>
      <c r="GP8" s="531" t="n"/>
      <c r="GQ8" s="531" t="n"/>
      <c r="GR8" s="531" t="n"/>
      <c r="GS8" s="531" t="n"/>
      <c r="GT8" s="531" t="n"/>
      <c r="GU8" s="531" t="n"/>
      <c r="GV8" s="531" t="n"/>
      <c r="GW8" s="531" t="n"/>
      <c r="GX8" s="531" t="n"/>
      <c r="GY8" s="531" t="n"/>
      <c r="GZ8" s="531" t="n"/>
      <c r="HA8" s="531" t="n"/>
      <c r="HB8" s="531" t="n"/>
      <c r="HC8" s="531" t="n"/>
      <c r="HD8" s="531" t="n"/>
      <c r="HE8" s="531" t="n"/>
      <c r="HF8" s="531" t="n"/>
      <c r="HG8" s="531" t="n"/>
      <c r="HH8" s="531" t="n"/>
      <c r="HI8" s="531" t="n"/>
      <c r="HJ8" s="531" t="n"/>
      <c r="HK8" s="531" t="n"/>
      <c r="HL8" s="531" t="n"/>
      <c r="HM8" s="531" t="n"/>
      <c r="HN8" s="531" t="n"/>
      <c r="HO8" s="531" t="n"/>
      <c r="HP8" s="531" t="n"/>
      <c r="HQ8" s="531" t="n"/>
      <c r="HR8" s="531" t="n"/>
      <c r="HS8" s="531" t="n"/>
      <c r="HT8" s="531" t="n"/>
      <c r="HU8" s="531" t="n"/>
      <c r="HV8" s="531" t="n"/>
      <c r="HW8" s="531" t="n"/>
      <c r="HX8" s="531" t="n"/>
      <c r="HY8" s="531" t="n"/>
      <c r="HZ8" s="531" t="n"/>
      <c r="IA8" s="531" t="n"/>
      <c r="IB8" s="531" t="n"/>
      <c r="IC8" s="531" t="n"/>
      <c r="ID8" s="531" t="n"/>
      <c r="IE8" s="531" t="n"/>
      <c r="IF8" s="531" t="n"/>
      <c r="IG8" s="531" t="n"/>
      <c r="IH8" s="531" t="n"/>
      <c r="II8" s="531" t="n"/>
      <c r="IJ8" s="531" t="n"/>
      <c r="IK8" s="531" t="n"/>
      <c r="IL8" s="531" t="n"/>
      <c r="IM8" s="531" t="n"/>
      <c r="IN8" s="531" t="n"/>
      <c r="IO8" s="531" t="n"/>
      <c r="IP8" s="531" t="n"/>
      <c r="IQ8" s="531" t="n"/>
      <c r="IR8" s="531" t="n"/>
      <c r="IS8" s="531" t="n"/>
      <c r="IT8" s="531" t="n"/>
      <c r="IU8" s="531" t="n"/>
    </row>
    <row r="9" ht="12.75" customHeight="1" s="244">
      <c r="A9" s="532" t="n"/>
      <c r="B9" s="533" t="n"/>
      <c r="C9" s="533" t="inlineStr">
        <is>
          <t>C0</t>
        </is>
      </c>
      <c r="D9" s="534" t="inlineStr">
        <is>
          <t>watt/h</t>
        </is>
      </c>
      <c r="E9" s="532" t="inlineStr">
        <is>
          <t>m2</t>
        </is>
      </c>
      <c r="F9" s="535" t="inlineStr">
        <is>
          <t>watt/m2h</t>
        </is>
      </c>
      <c r="G9" s="535" t="inlineStr">
        <is>
          <t>watt/m2h</t>
        </is>
      </c>
      <c r="H9" s="532" t="inlineStr">
        <is>
          <t>m2</t>
        </is>
      </c>
      <c r="I9" s="532" t="n"/>
      <c r="J9" s="532" t="inlineStr">
        <is>
          <t>m</t>
        </is>
      </c>
      <c r="K9" s="532" t="inlineStr">
        <is>
          <t>Ad.</t>
        </is>
      </c>
      <c r="L9" s="532" t="inlineStr">
        <is>
          <t>Ad.</t>
        </is>
      </c>
      <c r="M9" s="532" t="inlineStr">
        <is>
          <t>W/m</t>
        </is>
      </c>
      <c r="N9" s="533" t="inlineStr">
        <is>
          <t>Watt</t>
        </is>
      </c>
      <c r="O9" s="536" t="n"/>
      <c r="P9" s="536" t="n"/>
      <c r="Q9" s="537" t="n"/>
      <c r="R9" s="537" t="n"/>
      <c r="S9" s="537" t="n"/>
      <c r="T9" s="537" t="n"/>
      <c r="U9" s="537" t="n"/>
      <c r="V9" s="537" t="n"/>
      <c r="W9" s="537" t="n"/>
      <c r="X9" s="537" t="n"/>
      <c r="Y9" s="537" t="n"/>
      <c r="Z9" s="537" t="n"/>
      <c r="AA9" s="537" t="n"/>
      <c r="AB9" s="537" t="n"/>
      <c r="AC9" s="537" t="n"/>
      <c r="AD9" s="537" t="n"/>
      <c r="AE9" s="537" t="n"/>
      <c r="AF9" s="537" t="n"/>
      <c r="AG9" s="537" t="n"/>
      <c r="AH9" s="537" t="n"/>
      <c r="AI9" s="537" t="n"/>
      <c r="AJ9" s="537" t="n"/>
      <c r="AK9" s="537" t="n"/>
      <c r="AL9" s="537" t="n"/>
      <c r="AM9" s="537" t="n"/>
      <c r="AN9" s="537" t="n"/>
      <c r="AO9" s="537" t="n"/>
      <c r="AP9" s="537" t="n"/>
      <c r="AQ9" s="537" t="n"/>
      <c r="AR9" s="537" t="n"/>
      <c r="AS9" s="537" t="n"/>
      <c r="AT9" s="537" t="n"/>
      <c r="AU9" s="537" t="n"/>
      <c r="AV9" s="537" t="n"/>
      <c r="AW9" s="537" t="n"/>
      <c r="AX9" s="537" t="n"/>
      <c r="AY9" s="537" t="n"/>
      <c r="AZ9" s="537" t="n"/>
      <c r="BA9" s="537" t="n"/>
      <c r="BB9" s="537" t="n"/>
      <c r="BC9" s="537" t="n"/>
      <c r="BD9" s="537" t="n"/>
      <c r="BE9" s="537" t="n"/>
      <c r="BF9" s="537" t="n"/>
      <c r="BG9" s="537" t="n"/>
      <c r="BH9" s="537" t="n"/>
      <c r="BI9" s="537" t="n"/>
      <c r="BJ9" s="537" t="n"/>
      <c r="BK9" s="537" t="n"/>
      <c r="BL9" s="537" t="n"/>
      <c r="BM9" s="537" t="n"/>
      <c r="BN9" s="537" t="n"/>
      <c r="BO9" s="537" t="n"/>
      <c r="BP9" s="537" t="n"/>
      <c r="BQ9" s="537" t="n"/>
      <c r="BR9" s="537" t="n"/>
      <c r="BS9" s="537" t="n"/>
      <c r="BT9" s="537" t="n"/>
      <c r="BU9" s="537" t="n"/>
      <c r="BV9" s="537" t="n"/>
      <c r="BW9" s="537" t="n"/>
      <c r="BX9" s="537" t="n"/>
      <c r="BY9" s="537" t="n"/>
      <c r="BZ9" s="537" t="n"/>
      <c r="CA9" s="537" t="n"/>
      <c r="CB9" s="537" t="n"/>
      <c r="CC9" s="537" t="n"/>
      <c r="CD9" s="537" t="n"/>
      <c r="CE9" s="537" t="n"/>
      <c r="CF9" s="537" t="n"/>
      <c r="CG9" s="537" t="n"/>
      <c r="CH9" s="537" t="n"/>
      <c r="CI9" s="537" t="n"/>
      <c r="CJ9" s="537" t="n"/>
      <c r="CK9" s="537" t="n"/>
      <c r="CL9" s="537" t="n"/>
      <c r="CM9" s="537" t="n"/>
      <c r="CN9" s="537" t="n"/>
      <c r="CO9" s="537" t="n"/>
      <c r="CP9" s="537" t="n"/>
      <c r="CQ9" s="537" t="n"/>
      <c r="CR9" s="537" t="n"/>
      <c r="CS9" s="537" t="n"/>
      <c r="CT9" s="537" t="n"/>
      <c r="CU9" s="537" t="n"/>
      <c r="CV9" s="537" t="n"/>
      <c r="CW9" s="537" t="n"/>
      <c r="CX9" s="537" t="n"/>
      <c r="CY9" s="537" t="n"/>
      <c r="CZ9" s="537" t="n"/>
      <c r="DA9" s="537" t="n"/>
      <c r="DB9" s="537" t="n"/>
      <c r="DC9" s="537" t="n"/>
      <c r="DD9" s="537" t="n"/>
      <c r="DE9" s="537" t="n"/>
      <c r="DF9" s="537" t="n"/>
      <c r="DG9" s="537" t="n"/>
      <c r="DH9" s="537" t="n"/>
      <c r="DI9" s="537" t="n"/>
      <c r="DJ9" s="537" t="n"/>
      <c r="DK9" s="537" t="n"/>
      <c r="DL9" s="537" t="n"/>
      <c r="DM9" s="537" t="n"/>
      <c r="DN9" s="537" t="n"/>
      <c r="DO9" s="537" t="n"/>
      <c r="DP9" s="537" t="n"/>
      <c r="DQ9" s="537" t="n"/>
      <c r="DR9" s="537" t="n"/>
      <c r="DS9" s="537" t="n"/>
      <c r="DT9" s="537" t="n"/>
      <c r="DU9" s="537" t="n"/>
      <c r="DV9" s="537" t="n"/>
      <c r="DW9" s="537" t="n"/>
      <c r="DX9" s="537" t="n"/>
      <c r="DY9" s="537" t="n"/>
      <c r="DZ9" s="537" t="n"/>
      <c r="EA9" s="537" t="n"/>
      <c r="EB9" s="537" t="n"/>
      <c r="EC9" s="537" t="n"/>
      <c r="ED9" s="537" t="n"/>
      <c r="EE9" s="537" t="n"/>
      <c r="EF9" s="537" t="n"/>
      <c r="EG9" s="537" t="n"/>
      <c r="EH9" s="537" t="n"/>
      <c r="EI9" s="537" t="n"/>
      <c r="EJ9" s="537" t="n"/>
      <c r="EK9" s="537" t="n"/>
      <c r="EL9" s="537" t="n"/>
      <c r="EM9" s="537" t="n"/>
      <c r="EN9" s="537" t="n"/>
      <c r="EO9" s="537" t="n"/>
      <c r="EP9" s="537" t="n"/>
      <c r="EQ9" s="537" t="n"/>
      <c r="ER9" s="537" t="n"/>
      <c r="ES9" s="537" t="n"/>
      <c r="ET9" s="537" t="n"/>
      <c r="EU9" s="537" t="n"/>
      <c r="EV9" s="537" t="n"/>
      <c r="EW9" s="537" t="n"/>
      <c r="EX9" s="537" t="n"/>
      <c r="EY9" s="537" t="n"/>
      <c r="EZ9" s="537" t="n"/>
      <c r="FA9" s="537" t="n"/>
      <c r="FB9" s="537" t="n"/>
      <c r="FC9" s="537" t="n"/>
      <c r="FD9" s="537" t="n"/>
      <c r="FE9" s="537" t="n"/>
      <c r="FF9" s="537" t="n"/>
      <c r="FG9" s="537" t="n"/>
      <c r="FH9" s="537" t="n"/>
      <c r="FI9" s="537" t="n"/>
      <c r="FJ9" s="537" t="n"/>
      <c r="FK9" s="537" t="n"/>
      <c r="FL9" s="537" t="n"/>
      <c r="FM9" s="537" t="n"/>
      <c r="FN9" s="537" t="n"/>
      <c r="FO9" s="537" t="n"/>
      <c r="FP9" s="537" t="n"/>
      <c r="FQ9" s="537" t="n"/>
      <c r="FR9" s="537" t="n"/>
      <c r="FS9" s="537" t="n"/>
      <c r="FT9" s="537" t="n"/>
      <c r="FU9" s="537" t="n"/>
      <c r="FV9" s="537" t="n"/>
      <c r="FW9" s="537" t="n"/>
      <c r="FX9" s="537" t="n"/>
      <c r="FY9" s="537" t="n"/>
      <c r="FZ9" s="537" t="n"/>
      <c r="GA9" s="537" t="n"/>
      <c r="GB9" s="537" t="n"/>
      <c r="GC9" s="537" t="n"/>
      <c r="GD9" s="537" t="n"/>
      <c r="GE9" s="537" t="n"/>
      <c r="GF9" s="537" t="n"/>
      <c r="GG9" s="537" t="n"/>
      <c r="GH9" s="537" t="n"/>
      <c r="GI9" s="537" t="n"/>
      <c r="GJ9" s="537" t="n"/>
      <c r="GK9" s="537" t="n"/>
      <c r="GL9" s="537" t="n"/>
      <c r="GM9" s="537" t="n"/>
      <c r="GN9" s="537" t="n"/>
      <c r="GO9" s="537" t="n"/>
      <c r="GP9" s="537" t="n"/>
      <c r="GQ9" s="537" t="n"/>
      <c r="GR9" s="537" t="n"/>
      <c r="GS9" s="537" t="n"/>
      <c r="GT9" s="537" t="n"/>
      <c r="GU9" s="537" t="n"/>
      <c r="GV9" s="537" t="n"/>
      <c r="GW9" s="537" t="n"/>
      <c r="GX9" s="537" t="n"/>
      <c r="GY9" s="537" t="n"/>
      <c r="GZ9" s="537" t="n"/>
      <c r="HA9" s="537" t="n"/>
      <c r="HB9" s="537" t="n"/>
      <c r="HC9" s="537" t="n"/>
      <c r="HD9" s="537" t="n"/>
      <c r="HE9" s="537" t="n"/>
      <c r="HF9" s="537" t="n"/>
      <c r="HG9" s="537" t="n"/>
      <c r="HH9" s="537" t="n"/>
      <c r="HI9" s="537" t="n"/>
      <c r="HJ9" s="537" t="n"/>
      <c r="HK9" s="537" t="n"/>
      <c r="HL9" s="537" t="n"/>
      <c r="HM9" s="537" t="n"/>
      <c r="HN9" s="537" t="n"/>
      <c r="HO9" s="537" t="n"/>
      <c r="HP9" s="537" t="n"/>
      <c r="HQ9" s="537" t="n"/>
      <c r="HR9" s="537" t="n"/>
      <c r="HS9" s="537" t="n"/>
      <c r="HT9" s="537" t="n"/>
      <c r="HU9" s="537" t="n"/>
      <c r="HV9" s="537" t="n"/>
      <c r="HW9" s="537" t="n"/>
      <c r="HX9" s="537" t="n"/>
      <c r="HY9" s="537" t="n"/>
      <c r="HZ9" s="537" t="n"/>
      <c r="IA9" s="537" t="n"/>
      <c r="IB9" s="537" t="n"/>
      <c r="IC9" s="537" t="n"/>
      <c r="ID9" s="537" t="n"/>
      <c r="IE9" s="537" t="n"/>
      <c r="IF9" s="537" t="n"/>
      <c r="IG9" s="537" t="n"/>
      <c r="IH9" s="537" t="n"/>
      <c r="II9" s="537" t="n"/>
      <c r="IJ9" s="537" t="n"/>
      <c r="IK9" s="537" t="n"/>
      <c r="IL9" s="537" t="n"/>
      <c r="IM9" s="537" t="n"/>
      <c r="IN9" s="537" t="n"/>
      <c r="IO9" s="537" t="n"/>
      <c r="IP9" s="537" t="n"/>
      <c r="IQ9" s="537" t="n"/>
      <c r="IR9" s="537" t="n"/>
      <c r="IS9" s="537" t="n"/>
      <c r="IT9" s="537" t="n"/>
      <c r="IU9" s="537" t="n"/>
    </row>
    <row r="10" ht="12.75" customHeight="1" s="244">
      <c r="A10" s="538">
        <f>'PETEK LİST'!A10</f>
        <v/>
      </c>
      <c r="B10" s="539">
        <f>'PETEK LİST'!B10</f>
        <v/>
      </c>
      <c r="C10" s="540">
        <f>'PETEK LİST'!C10</f>
        <v/>
      </c>
      <c r="D10" s="513">
        <f>'PETEK LİST'!D10</f>
        <v/>
      </c>
      <c r="E10" s="541" t="n">
        <v>11.07</v>
      </c>
      <c r="F10" s="542">
        <f>D10/E10</f>
        <v/>
      </c>
      <c r="G10" s="542">
        <f>76.263-0.539*F10</f>
        <v/>
      </c>
      <c r="H10" s="542">
        <f>D10/G10</f>
        <v/>
      </c>
      <c r="I10" s="538" t="n">
        <v>15</v>
      </c>
      <c r="J10" s="510">
        <f>'PETEK LİST'!G10</f>
        <v/>
      </c>
      <c r="K10" s="542">
        <f>J10/80</f>
        <v/>
      </c>
      <c r="L10" s="538">
        <f>CEILING(K10,1)</f>
        <v/>
      </c>
      <c r="M10" s="538">
        <f>'PETEK LİST'!E10</f>
        <v/>
      </c>
      <c r="N10" s="543">
        <f>J10*M10</f>
        <v/>
      </c>
    </row>
    <row r="11" ht="12.75" customHeight="1" s="244">
      <c r="A11" s="538">
        <f>'PETEK LİST'!A11</f>
        <v/>
      </c>
      <c r="B11" s="539">
        <f>'PETEK LİST'!B11</f>
        <v/>
      </c>
      <c r="C11" s="540">
        <f>'PETEK LİST'!C11</f>
        <v/>
      </c>
      <c r="D11" s="513">
        <f>'PETEK LİST'!D11</f>
        <v/>
      </c>
      <c r="E11" s="541" t="n">
        <v>14.25</v>
      </c>
      <c r="F11" s="542">
        <f>D11/E11</f>
        <v/>
      </c>
      <c r="G11" s="542">
        <f>76.263-0.539*F11</f>
        <v/>
      </c>
      <c r="H11" s="542">
        <f>D11/G11</f>
        <v/>
      </c>
      <c r="I11" s="538" t="n">
        <v>15</v>
      </c>
      <c r="J11" s="510">
        <f>'PETEK LİST'!G11</f>
        <v/>
      </c>
      <c r="K11" s="542">
        <f>J11/80</f>
        <v/>
      </c>
      <c r="L11" s="538">
        <f>CEILING(K11,1)</f>
        <v/>
      </c>
      <c r="M11" s="538">
        <f>'PETEK LİST'!E11</f>
        <v/>
      </c>
      <c r="N11" s="543">
        <f>J11*M11</f>
        <v/>
      </c>
    </row>
    <row r="12" ht="12.75" customHeight="1" s="244">
      <c r="A12" s="538">
        <f>'PETEK LİST'!A12</f>
        <v/>
      </c>
      <c r="B12" s="539">
        <f>'PETEK LİST'!B12</f>
        <v/>
      </c>
      <c r="C12" s="540">
        <f>'PETEK LİST'!C12</f>
        <v/>
      </c>
      <c r="D12" s="513">
        <f>'PETEK LİST'!D12</f>
        <v/>
      </c>
      <c r="E12" s="541" t="n">
        <v>9.31</v>
      </c>
      <c r="F12" s="542">
        <f>D12/E12</f>
        <v/>
      </c>
      <c r="G12" s="542">
        <f>76.263-0.539*F12</f>
        <v/>
      </c>
      <c r="H12" s="542">
        <f>D12/G12</f>
        <v/>
      </c>
      <c r="I12" s="538" t="n">
        <v>15</v>
      </c>
      <c r="J12" s="510">
        <f>'PETEK LİST'!G12</f>
        <v/>
      </c>
      <c r="K12" s="542">
        <f>J12/80</f>
        <v/>
      </c>
      <c r="L12" s="538">
        <f>CEILING(K12,1)</f>
        <v/>
      </c>
      <c r="M12" s="538">
        <f>'PETEK LİST'!E12</f>
        <v/>
      </c>
      <c r="N12" s="543">
        <f>J12*M12</f>
        <v/>
      </c>
    </row>
    <row r="13" ht="12.75" customHeight="1" s="244">
      <c r="A13" s="538">
        <f>'PETEK LİST'!A13</f>
        <v/>
      </c>
      <c r="B13" s="539">
        <f>'PETEK LİST'!B13</f>
        <v/>
      </c>
      <c r="C13" s="540">
        <f>'PETEK LİST'!C13</f>
        <v/>
      </c>
      <c r="D13" s="513">
        <f>'PETEK LİST'!D13</f>
        <v/>
      </c>
      <c r="E13" s="541" t="n">
        <v>9.31</v>
      </c>
      <c r="F13" s="542">
        <f>D13/E13</f>
        <v/>
      </c>
      <c r="G13" s="542">
        <f>76.263-0.539*F13</f>
        <v/>
      </c>
      <c r="H13" s="542">
        <f>D13/G13</f>
        <v/>
      </c>
      <c r="I13" s="538" t="n">
        <v>15</v>
      </c>
      <c r="J13" s="510">
        <f>'PETEK LİST'!G13</f>
        <v/>
      </c>
      <c r="K13" s="542">
        <f>J13/80</f>
        <v/>
      </c>
      <c r="L13" s="538">
        <f>CEILING(K13,1)</f>
        <v/>
      </c>
      <c r="M13" s="538">
        <f>'PETEK LİST'!E13</f>
        <v/>
      </c>
      <c r="N13" s="543">
        <f>J13*M13</f>
        <v/>
      </c>
    </row>
    <row r="14" ht="12.75" customHeight="1" s="244">
      <c r="A14" s="538">
        <f>'PETEK LİST'!A14</f>
        <v/>
      </c>
      <c r="B14" s="539">
        <f>'PETEK LİST'!B14</f>
        <v/>
      </c>
      <c r="C14" s="540">
        <f>'PETEK LİST'!C14</f>
        <v/>
      </c>
      <c r="D14" s="513">
        <f>'PETEK LİST'!D14</f>
        <v/>
      </c>
      <c r="E14" s="541" t="n">
        <v>21.18</v>
      </c>
      <c r="F14" s="542">
        <f>D14/E14</f>
        <v/>
      </c>
      <c r="G14" s="542">
        <f>76.263-0.539*F14</f>
        <v/>
      </c>
      <c r="H14" s="542">
        <f>D14/G14</f>
        <v/>
      </c>
      <c r="I14" s="538" t="n">
        <v>15</v>
      </c>
      <c r="J14" s="510">
        <f>'PETEK LİST'!G14</f>
        <v/>
      </c>
      <c r="K14" s="542">
        <f>J14/80</f>
        <v/>
      </c>
      <c r="L14" s="538">
        <f>CEILING(K14,1)</f>
        <v/>
      </c>
      <c r="M14" s="538">
        <f>'PETEK LİST'!E14</f>
        <v/>
      </c>
      <c r="N14" s="543">
        <f>J14*M14</f>
        <v/>
      </c>
    </row>
    <row r="15" ht="12.75" customHeight="1" s="244">
      <c r="A15" s="538">
        <f>'PETEK LİST'!A15</f>
        <v/>
      </c>
      <c r="B15" s="539">
        <f>'PETEK LİST'!B15</f>
        <v/>
      </c>
      <c r="C15" s="540">
        <f>'PETEK LİST'!C15</f>
        <v/>
      </c>
      <c r="D15" s="518">
        <f>'PETEK LİST'!D15</f>
        <v/>
      </c>
      <c r="E15" s="541" t="n">
        <v>5.36</v>
      </c>
      <c r="F15" s="542">
        <f>D15/E15</f>
        <v/>
      </c>
      <c r="G15" s="542">
        <f>76.263-0.539*F15</f>
        <v/>
      </c>
      <c r="H15" s="542">
        <f>D15/G15</f>
        <v/>
      </c>
      <c r="I15" s="538" t="n">
        <v>15</v>
      </c>
      <c r="J15" s="510">
        <f>'PETEK LİST'!G15</f>
        <v/>
      </c>
      <c r="K15" s="542">
        <f>J15/80</f>
        <v/>
      </c>
      <c r="L15" s="538">
        <f>CEILING(K15,1)</f>
        <v/>
      </c>
      <c r="M15" s="538">
        <f>'PETEK LİST'!E15</f>
        <v/>
      </c>
      <c r="N15" s="543">
        <f>J15*M15</f>
        <v/>
      </c>
    </row>
    <row r="16" ht="12.75" customHeight="1" s="244">
      <c r="A16" s="544">
        <f>'PETEK LİST'!A16</f>
        <v/>
      </c>
      <c r="B16" s="545">
        <f>'PETEK LİST'!B16</f>
        <v/>
      </c>
      <c r="C16" s="546">
        <f>'PETEK LİST'!C16</f>
        <v/>
      </c>
      <c r="D16" s="513">
        <f>'PETEK LİST'!D16</f>
        <v/>
      </c>
      <c r="E16" s="541" t="n">
        <v>11.07</v>
      </c>
      <c r="F16" s="542">
        <f>D16/E16</f>
        <v/>
      </c>
      <c r="G16" s="542">
        <f>76.263-0.539*F16</f>
        <v/>
      </c>
      <c r="H16" s="542">
        <f>D16/G16</f>
        <v/>
      </c>
      <c r="I16" s="538" t="n">
        <v>15</v>
      </c>
      <c r="J16" s="510">
        <f>'PETEK LİST'!G16</f>
        <v/>
      </c>
      <c r="K16" s="542">
        <f>J16/80</f>
        <v/>
      </c>
      <c r="L16" s="538">
        <f>CEILING(K16,1)</f>
        <v/>
      </c>
      <c r="M16" s="538">
        <f>'PETEK LİST'!E16</f>
        <v/>
      </c>
      <c r="N16" s="543">
        <f>J16*M16</f>
        <v/>
      </c>
    </row>
    <row r="17" ht="12.75" customHeight="1" s="244">
      <c r="A17" s="544">
        <f>'PETEK LİST'!A17</f>
        <v/>
      </c>
      <c r="B17" s="545">
        <f>'PETEK LİST'!B17</f>
        <v/>
      </c>
      <c r="C17" s="546">
        <f>'PETEK LİST'!C17</f>
        <v/>
      </c>
      <c r="D17" s="513">
        <f>'PETEK LİST'!D17</f>
        <v/>
      </c>
      <c r="E17" s="541" t="n">
        <v>14.25</v>
      </c>
      <c r="F17" s="542">
        <f>D17/E17</f>
        <v/>
      </c>
      <c r="G17" s="542">
        <f>76.263-0.539*F17</f>
        <v/>
      </c>
      <c r="H17" s="542">
        <f>D17/G17</f>
        <v/>
      </c>
      <c r="I17" s="538" t="n">
        <v>15</v>
      </c>
      <c r="J17" s="510">
        <f>'PETEK LİST'!G17</f>
        <v/>
      </c>
      <c r="K17" s="542">
        <f>J17/80</f>
        <v/>
      </c>
      <c r="L17" s="538">
        <f>CEILING(K17,1)</f>
        <v/>
      </c>
      <c r="M17" s="538">
        <f>'PETEK LİST'!E17</f>
        <v/>
      </c>
      <c r="N17" s="543">
        <f>J17*M17</f>
        <v/>
      </c>
    </row>
    <row r="18" ht="12.75" customHeight="1" s="244">
      <c r="A18" s="544">
        <f>'PETEK LİST'!A18</f>
        <v/>
      </c>
      <c r="B18" s="545">
        <f>'PETEK LİST'!B18</f>
        <v/>
      </c>
      <c r="C18" s="546">
        <f>'PETEK LİST'!C18</f>
        <v/>
      </c>
      <c r="D18" s="513">
        <f>'PETEK LİST'!D18</f>
        <v/>
      </c>
      <c r="E18" s="541" t="n">
        <v>9.31</v>
      </c>
      <c r="F18" s="542">
        <f>D18/E18</f>
        <v/>
      </c>
      <c r="G18" s="542">
        <f>76.263-0.539*F18</f>
        <v/>
      </c>
      <c r="H18" s="542">
        <f>D18/G18</f>
        <v/>
      </c>
      <c r="I18" s="538" t="n">
        <v>15</v>
      </c>
      <c r="J18" s="510">
        <f>'PETEK LİST'!G18</f>
        <v/>
      </c>
      <c r="K18" s="542">
        <f>J18/80</f>
        <v/>
      </c>
      <c r="L18" s="538">
        <f>CEILING(K18,1)</f>
        <v/>
      </c>
      <c r="M18" s="538">
        <f>'PETEK LİST'!E18</f>
        <v/>
      </c>
      <c r="N18" s="543">
        <f>J18*M18</f>
        <v/>
      </c>
    </row>
    <row r="19" ht="12.75" customHeight="1" s="244">
      <c r="A19" s="544">
        <f>'PETEK LİST'!A19</f>
        <v/>
      </c>
      <c r="B19" s="545">
        <f>'PETEK LİST'!B19</f>
        <v/>
      </c>
      <c r="C19" s="546">
        <f>'PETEK LİST'!C19</f>
        <v/>
      </c>
      <c r="D19" s="513">
        <f>'PETEK LİST'!D19</f>
        <v/>
      </c>
      <c r="E19" s="541" t="n">
        <v>9.31</v>
      </c>
      <c r="F19" s="542">
        <f>D19/E19</f>
        <v/>
      </c>
      <c r="G19" s="542">
        <f>76.263-0.539*F19</f>
        <v/>
      </c>
      <c r="H19" s="542">
        <f>D19/G19</f>
        <v/>
      </c>
      <c r="I19" s="538" t="n">
        <v>15</v>
      </c>
      <c r="J19" s="510">
        <f>'PETEK LİST'!G19</f>
        <v/>
      </c>
      <c r="K19" s="542">
        <f>J19/80</f>
        <v/>
      </c>
      <c r="L19" s="538">
        <f>CEILING(K19,1)</f>
        <v/>
      </c>
      <c r="M19" s="538">
        <f>'PETEK LİST'!E19</f>
        <v/>
      </c>
      <c r="N19" s="543">
        <f>J19*M19</f>
        <v/>
      </c>
    </row>
    <row r="20" ht="12.75" customHeight="1" s="244">
      <c r="A20" s="544">
        <f>'PETEK LİST'!A20</f>
        <v/>
      </c>
      <c r="B20" s="545">
        <f>'PETEK LİST'!B20</f>
        <v/>
      </c>
      <c r="C20" s="546">
        <f>'PETEK LİST'!C20</f>
        <v/>
      </c>
      <c r="D20" s="513">
        <f>'PETEK LİST'!D20</f>
        <v/>
      </c>
      <c r="E20" s="541" t="n">
        <v>21.18</v>
      </c>
      <c r="F20" s="542">
        <f>D20/E20</f>
        <v/>
      </c>
      <c r="G20" s="542">
        <f>76.263-0.539*F20</f>
        <v/>
      </c>
      <c r="H20" s="542">
        <f>D20/G20</f>
        <v/>
      </c>
      <c r="I20" s="538" t="n">
        <v>15</v>
      </c>
      <c r="J20" s="510">
        <f>'PETEK LİST'!G20</f>
        <v/>
      </c>
      <c r="K20" s="542">
        <f>J20/80</f>
        <v/>
      </c>
      <c r="L20" s="538">
        <f>CEILING(K20,1)</f>
        <v/>
      </c>
      <c r="M20" s="538">
        <f>'PETEK LİST'!E20</f>
        <v/>
      </c>
      <c r="N20" s="543">
        <f>J20*M20</f>
        <v/>
      </c>
    </row>
    <row r="21" ht="12.75" customHeight="1" s="244">
      <c r="A21" s="544">
        <f>'PETEK LİST'!A21</f>
        <v/>
      </c>
      <c r="B21" s="545">
        <f>'PETEK LİST'!B21</f>
        <v/>
      </c>
      <c r="C21" s="546">
        <f>'PETEK LİST'!C21</f>
        <v/>
      </c>
      <c r="D21" s="513">
        <f>'PETEK LİST'!D21</f>
        <v/>
      </c>
      <c r="E21" s="541" t="n">
        <v>5.36</v>
      </c>
      <c r="F21" s="542">
        <f>D21/E21</f>
        <v/>
      </c>
      <c r="G21" s="542">
        <f>76.263-0.539*F21</f>
        <v/>
      </c>
      <c r="H21" s="542">
        <f>D21/G21</f>
        <v/>
      </c>
      <c r="I21" s="538" t="n">
        <v>15</v>
      </c>
      <c r="J21" s="510">
        <f>'PETEK LİST'!G21</f>
        <v/>
      </c>
      <c r="K21" s="542">
        <f>J21/80</f>
        <v/>
      </c>
      <c r="L21" s="538">
        <f>CEILING(K21,1)</f>
        <v/>
      </c>
      <c r="M21" s="538">
        <f>'PETEK LİST'!E21</f>
        <v/>
      </c>
      <c r="N21" s="543">
        <f>J21*M21</f>
        <v/>
      </c>
    </row>
    <row r="22" ht="12.75" customHeight="1" s="244">
      <c r="A22" s="544">
        <f>'PETEK LİST'!A22</f>
        <v/>
      </c>
      <c r="B22" s="545">
        <f>'PETEK LİST'!B22</f>
        <v/>
      </c>
      <c r="C22" s="546">
        <f>'PETEK LİST'!C22</f>
        <v/>
      </c>
      <c r="D22" s="513">
        <f>'PETEK LİST'!D22</f>
        <v/>
      </c>
      <c r="E22" s="541" t="n">
        <v>10.11</v>
      </c>
      <c r="F22" s="542">
        <f>D22/E22</f>
        <v/>
      </c>
      <c r="G22" s="542">
        <f>76.263-0.539*F22</f>
        <v/>
      </c>
      <c r="H22" s="542">
        <f>D22/G22</f>
        <v/>
      </c>
      <c r="I22" s="538" t="n">
        <v>15</v>
      </c>
      <c r="J22" s="510">
        <f>'PETEK LİST'!G22</f>
        <v/>
      </c>
      <c r="K22" s="542">
        <f>J22/80</f>
        <v/>
      </c>
      <c r="L22" s="538">
        <f>CEILING(K22,1)</f>
        <v/>
      </c>
      <c r="M22" s="538">
        <f>'PETEK LİST'!E22</f>
        <v/>
      </c>
      <c r="N22" s="543">
        <f>J22*M22</f>
        <v/>
      </c>
    </row>
    <row r="23" ht="12.75" customHeight="1" s="244">
      <c r="A23" s="544">
        <f>'PETEK LİST'!A23</f>
        <v/>
      </c>
      <c r="B23" s="545">
        <f>'PETEK LİST'!B23</f>
        <v/>
      </c>
      <c r="C23" s="546">
        <f>'PETEK LİST'!C23</f>
        <v/>
      </c>
      <c r="D23" s="513">
        <f>'PETEK LİST'!D23</f>
        <v/>
      </c>
      <c r="E23" s="541" t="n">
        <v>15.44</v>
      </c>
      <c r="F23" s="542">
        <f>D23/E23</f>
        <v/>
      </c>
      <c r="G23" s="542">
        <f>76.263-0.539*F23</f>
        <v/>
      </c>
      <c r="H23" s="542">
        <f>D23/G23</f>
        <v/>
      </c>
      <c r="I23" s="538" t="n">
        <v>15</v>
      </c>
      <c r="J23" s="510">
        <f>'PETEK LİST'!G23</f>
        <v/>
      </c>
      <c r="K23" s="542">
        <f>J23/80</f>
        <v/>
      </c>
      <c r="L23" s="538">
        <f>CEILING(K23,1)</f>
        <v/>
      </c>
      <c r="M23" s="538">
        <f>'PETEK LİST'!E23</f>
        <v/>
      </c>
      <c r="N23" s="543">
        <f>J23*M23</f>
        <v/>
      </c>
    </row>
    <row r="24">
      <c r="A24" s="538">
        <f>'PETEK LİST'!A24</f>
        <v/>
      </c>
      <c r="B24" s="539">
        <f>'PETEK LİST'!B24</f>
        <v/>
      </c>
      <c r="C24" s="540">
        <f>'PETEK LİST'!C24</f>
        <v/>
      </c>
      <c r="D24" s="518">
        <f>'PETEK LİST'!D24</f>
        <v/>
      </c>
      <c r="E24" s="541" t="n">
        <v>9.050000000000001</v>
      </c>
      <c r="F24" s="542">
        <f>D24/E24</f>
        <v/>
      </c>
      <c r="G24" s="542">
        <f>76.263-0.539*F24</f>
        <v/>
      </c>
      <c r="H24" s="542">
        <f>D24/G24</f>
        <v/>
      </c>
      <c r="I24" s="538" t="n">
        <v>15</v>
      </c>
      <c r="J24" s="515">
        <f>'PETEK LİST'!G24</f>
        <v/>
      </c>
      <c r="K24" s="542">
        <f>J24/80</f>
        <v/>
      </c>
      <c r="L24" s="538">
        <f>CEILING(K24,1)</f>
        <v/>
      </c>
      <c r="M24" s="538">
        <f>'PETEK LİST'!E24</f>
        <v/>
      </c>
      <c r="N24" s="543">
        <f>J24*M24</f>
        <v/>
      </c>
    </row>
    <row r="25">
      <c r="A25" s="538">
        <f>'PETEK LİST'!A25</f>
        <v/>
      </c>
      <c r="B25" s="539">
        <f>'PETEK LİST'!B25</f>
        <v/>
      </c>
      <c r="C25" s="540">
        <f>'PETEK LİST'!C25</f>
        <v/>
      </c>
      <c r="D25" s="518">
        <f>'PETEK LİST'!D25</f>
        <v/>
      </c>
      <c r="E25" s="541" t="n">
        <v>22.31</v>
      </c>
      <c r="F25" s="542">
        <f>D25/E25</f>
        <v/>
      </c>
      <c r="G25" s="542">
        <f>76.263-0.539*F25</f>
        <v/>
      </c>
      <c r="H25" s="542">
        <f>D25/G25</f>
        <v/>
      </c>
      <c r="I25" s="538" t="n">
        <v>15</v>
      </c>
      <c r="J25" s="515">
        <f>'PETEK LİST'!G25</f>
        <v/>
      </c>
      <c r="K25" s="542">
        <f>J25/80</f>
        <v/>
      </c>
      <c r="L25" s="538">
        <f>CEILING(K25,1)</f>
        <v/>
      </c>
      <c r="M25" s="538">
        <f>'PETEK LİST'!E25</f>
        <v/>
      </c>
      <c r="N25" s="543">
        <f>J25*M25</f>
        <v/>
      </c>
    </row>
    <row r="26">
      <c r="A26" s="538">
        <f>'PETEK LİST'!A26</f>
        <v/>
      </c>
      <c r="B26" s="539">
        <f>'PETEK LİST'!B26</f>
        <v/>
      </c>
      <c r="C26" s="540">
        <f>'PETEK LİST'!C26</f>
        <v/>
      </c>
      <c r="D26" s="518">
        <f>'PETEK LİST'!D26</f>
        <v/>
      </c>
      <c r="E26" s="541" t="n">
        <v>7.75</v>
      </c>
      <c r="F26" s="542">
        <f>D26/E26</f>
        <v/>
      </c>
      <c r="G26" s="542">
        <f>76.263-0.539*F26</f>
        <v/>
      </c>
      <c r="H26" s="542">
        <f>D26/G26</f>
        <v/>
      </c>
      <c r="I26" s="538" t="n">
        <v>15</v>
      </c>
      <c r="J26" s="515">
        <f>'PETEK LİST'!G26</f>
        <v/>
      </c>
      <c r="K26" s="542">
        <f>J26/80</f>
        <v/>
      </c>
      <c r="L26" s="538">
        <f>CEILING(K26,1)</f>
        <v/>
      </c>
      <c r="M26" s="538">
        <f>'PETEK LİST'!E26</f>
        <v/>
      </c>
      <c r="N26" s="543">
        <f>J26*M26</f>
        <v/>
      </c>
    </row>
    <row r="27">
      <c r="A27" s="538">
        <f>'PETEK LİST'!A27</f>
        <v/>
      </c>
      <c r="B27" s="539">
        <f>'PETEK LİST'!B27</f>
        <v/>
      </c>
      <c r="C27" s="540">
        <f>'PETEK LİST'!C27</f>
        <v/>
      </c>
      <c r="D27" s="518">
        <f>'PETEK LİST'!D27</f>
        <v/>
      </c>
      <c r="E27" s="541" t="n">
        <v>4.37</v>
      </c>
      <c r="F27" s="542">
        <f>D27/E27</f>
        <v/>
      </c>
      <c r="G27" s="542">
        <f>76.263-0.539*F27</f>
        <v/>
      </c>
      <c r="H27" s="542">
        <f>D27/G27</f>
        <v/>
      </c>
      <c r="I27" s="538" t="n">
        <v>15</v>
      </c>
      <c r="J27" s="515">
        <f>'PETEK LİST'!G27</f>
        <v/>
      </c>
      <c r="K27" s="542">
        <f>J27/80</f>
        <v/>
      </c>
      <c r="L27" s="538">
        <f>CEILING(K27,1)</f>
        <v/>
      </c>
      <c r="M27" s="538">
        <f>'PETEK LİST'!E27</f>
        <v/>
      </c>
      <c r="N27" s="543">
        <f>J27*M27</f>
        <v/>
      </c>
    </row>
    <row r="28"/>
    <row r="29">
      <c r="A29" s="538">
        <f>'PETEK LİST'!A29</f>
        <v/>
      </c>
      <c r="B29" s="539">
        <f>'PETEK LİST'!B29</f>
        <v/>
      </c>
      <c r="C29" s="540">
        <f>'PETEK LİST'!C29</f>
        <v/>
      </c>
      <c r="D29" s="518">
        <f>'PETEK LİST'!D29</f>
        <v/>
      </c>
      <c r="E29" s="541" t="n">
        <v>11.07</v>
      </c>
      <c r="F29" s="542">
        <f>D29/E29</f>
        <v/>
      </c>
      <c r="G29" s="542">
        <f>76.263-0.539*F29</f>
        <v/>
      </c>
      <c r="H29" s="542">
        <f>D29/G29</f>
        <v/>
      </c>
      <c r="I29" s="538" t="n">
        <v>15</v>
      </c>
      <c r="J29" s="515">
        <f>'PETEK LİST'!G29</f>
        <v/>
      </c>
      <c r="K29" s="542">
        <f>J29/80</f>
        <v/>
      </c>
      <c r="L29" s="538">
        <f>CEILING(K29,1)</f>
        <v/>
      </c>
      <c r="M29" s="538">
        <f>'PETEK LİST'!E29</f>
        <v/>
      </c>
      <c r="N29" s="543">
        <f>J29*M29</f>
        <v/>
      </c>
    </row>
    <row r="30">
      <c r="A30" s="538">
        <f>'PETEK LİST'!A30</f>
        <v/>
      </c>
      <c r="B30" s="539">
        <f>'PETEK LİST'!B30</f>
        <v/>
      </c>
      <c r="C30" s="540">
        <f>'PETEK LİST'!C30</f>
        <v/>
      </c>
      <c r="D30" s="518">
        <f>'PETEK LİST'!D30</f>
        <v/>
      </c>
      <c r="E30" s="541" t="n">
        <v>14.25</v>
      </c>
      <c r="F30" s="542">
        <f>D30/E30</f>
        <v/>
      </c>
      <c r="G30" s="542">
        <f>76.263-0.539*F30</f>
        <v/>
      </c>
      <c r="H30" s="542">
        <f>D30/G30</f>
        <v/>
      </c>
      <c r="I30" s="538" t="n">
        <v>15</v>
      </c>
      <c r="J30" s="515">
        <f>'PETEK LİST'!G30</f>
        <v/>
      </c>
      <c r="K30" s="542">
        <f>J30/80</f>
        <v/>
      </c>
      <c r="L30" s="538">
        <f>CEILING(K30,1)</f>
        <v/>
      </c>
      <c r="M30" s="538">
        <f>'PETEK LİST'!E30</f>
        <v/>
      </c>
      <c r="N30" s="543">
        <f>J30*M30</f>
        <v/>
      </c>
    </row>
    <row r="31">
      <c r="A31" s="538">
        <f>'PETEK LİST'!A31</f>
        <v/>
      </c>
      <c r="B31" s="539">
        <f>'PETEK LİST'!B31</f>
        <v/>
      </c>
      <c r="C31" s="540">
        <f>'PETEK LİST'!C31</f>
        <v/>
      </c>
      <c r="D31" s="518">
        <f>'PETEK LİST'!D31</f>
        <v/>
      </c>
      <c r="E31" s="541" t="n">
        <v>9.31</v>
      </c>
      <c r="F31" s="542">
        <f>D31/E31</f>
        <v/>
      </c>
      <c r="G31" s="542">
        <f>76.263-0.539*F31</f>
        <v/>
      </c>
      <c r="H31" s="542">
        <f>D31/G31</f>
        <v/>
      </c>
      <c r="I31" s="538" t="n">
        <v>15</v>
      </c>
      <c r="J31" s="515">
        <f>'PETEK LİST'!G31</f>
        <v/>
      </c>
      <c r="K31" s="542">
        <f>J31/80</f>
        <v/>
      </c>
      <c r="L31" s="538">
        <f>CEILING(K31,1)</f>
        <v/>
      </c>
      <c r="M31" s="538">
        <f>'PETEK LİST'!E31</f>
        <v/>
      </c>
      <c r="N31" s="543">
        <f>J31*M31</f>
        <v/>
      </c>
    </row>
    <row r="32">
      <c r="A32" s="538">
        <f>'PETEK LİST'!A32</f>
        <v/>
      </c>
      <c r="B32" s="539">
        <f>'PETEK LİST'!B32</f>
        <v/>
      </c>
      <c r="C32" s="540">
        <f>'PETEK LİST'!C32</f>
        <v/>
      </c>
      <c r="D32" s="518">
        <f>'PETEK LİST'!D32</f>
        <v/>
      </c>
      <c r="E32" s="541" t="n">
        <v>9.31</v>
      </c>
      <c r="F32" s="542">
        <f>D32/E32</f>
        <v/>
      </c>
      <c r="G32" s="542">
        <f>76.263-0.539*F32</f>
        <v/>
      </c>
      <c r="H32" s="542">
        <f>D32/G32</f>
        <v/>
      </c>
      <c r="I32" s="538" t="n">
        <v>15</v>
      </c>
      <c r="J32" s="515">
        <f>'PETEK LİST'!G32</f>
        <v/>
      </c>
      <c r="K32" s="542">
        <f>J32/80</f>
        <v/>
      </c>
      <c r="L32" s="538">
        <f>CEILING(K32,1)</f>
        <v/>
      </c>
      <c r="M32" s="538">
        <f>'PETEK LİST'!E32</f>
        <v/>
      </c>
      <c r="N32" s="543">
        <f>J32*M32</f>
        <v/>
      </c>
    </row>
    <row r="33">
      <c r="A33" s="538">
        <f>'PETEK LİST'!A33</f>
        <v/>
      </c>
      <c r="B33" s="539">
        <f>'PETEK LİST'!B33</f>
        <v/>
      </c>
      <c r="C33" s="540">
        <f>'PETEK LİST'!C33</f>
        <v/>
      </c>
      <c r="D33" s="518">
        <f>'PETEK LİST'!D33</f>
        <v/>
      </c>
      <c r="E33" s="541" t="n">
        <v>21.18</v>
      </c>
      <c r="F33" s="542">
        <f>D33/E33</f>
        <v/>
      </c>
      <c r="G33" s="542">
        <f>76.263-0.539*F33</f>
        <v/>
      </c>
      <c r="H33" s="542">
        <f>D33/G33</f>
        <v/>
      </c>
      <c r="I33" s="538" t="n">
        <v>15</v>
      </c>
      <c r="J33" s="515">
        <f>'PETEK LİST'!G33</f>
        <v/>
      </c>
      <c r="K33" s="542">
        <f>J33/80</f>
        <v/>
      </c>
      <c r="L33" s="538">
        <f>CEILING(K33,1)</f>
        <v/>
      </c>
      <c r="M33" s="538">
        <f>'PETEK LİST'!E33</f>
        <v/>
      </c>
      <c r="N33" s="543">
        <f>J33*M33</f>
        <v/>
      </c>
    </row>
    <row r="34">
      <c r="A34" s="538">
        <f>'PETEK LİST'!A34</f>
        <v/>
      </c>
      <c r="B34" s="539">
        <f>'PETEK LİST'!B34</f>
        <v/>
      </c>
      <c r="C34" s="540">
        <f>'PETEK LİST'!C34</f>
        <v/>
      </c>
      <c r="D34" s="518">
        <f>'PETEK LİST'!D34</f>
        <v/>
      </c>
      <c r="E34" s="541" t="n">
        <v>5.04</v>
      </c>
      <c r="F34" s="542">
        <f>D34/E34</f>
        <v/>
      </c>
      <c r="G34" s="542">
        <f>76.263-0.539*F34</f>
        <v/>
      </c>
      <c r="H34" s="542">
        <f>D34/G34</f>
        <v/>
      </c>
      <c r="I34" s="538" t="n">
        <v>15</v>
      </c>
      <c r="J34" s="515">
        <f>'PETEK LİST'!G34</f>
        <v/>
      </c>
      <c r="K34" s="542">
        <f>J34/80</f>
        <v/>
      </c>
      <c r="L34" s="538">
        <f>CEILING(K34,1)</f>
        <v/>
      </c>
      <c r="M34" s="538">
        <f>'PETEK LİST'!E34</f>
        <v/>
      </c>
      <c r="N34" s="543">
        <f>J34*M34</f>
        <v/>
      </c>
    </row>
    <row r="35">
      <c r="A35" s="538">
        <f>'PETEK LİST'!A35</f>
        <v/>
      </c>
      <c r="B35" s="539">
        <f>'PETEK LİST'!B35</f>
        <v/>
      </c>
      <c r="C35" s="540">
        <f>'PETEK LİST'!C35</f>
        <v/>
      </c>
      <c r="D35" s="518">
        <f>'PETEK LİST'!D35</f>
        <v/>
      </c>
      <c r="E35" s="541" t="n">
        <v>10.11</v>
      </c>
      <c r="F35" s="542">
        <f>D35/E35</f>
        <v/>
      </c>
      <c r="G35" s="542">
        <f>76.263-0.539*F35</f>
        <v/>
      </c>
      <c r="H35" s="542">
        <f>D35/G35</f>
        <v/>
      </c>
      <c r="I35" s="538" t="n">
        <v>15</v>
      </c>
      <c r="J35" s="515">
        <f>'PETEK LİST'!G35</f>
        <v/>
      </c>
      <c r="K35" s="542">
        <f>J35/80</f>
        <v/>
      </c>
      <c r="L35" s="538">
        <f>CEILING(K35,1)</f>
        <v/>
      </c>
      <c r="M35" s="538">
        <f>'PETEK LİST'!E35</f>
        <v/>
      </c>
      <c r="N35" s="543">
        <f>J35*M35</f>
        <v/>
      </c>
    </row>
    <row r="36">
      <c r="A36" s="538">
        <f>'PETEK LİST'!A36</f>
        <v/>
      </c>
      <c r="B36" s="539">
        <f>'PETEK LİST'!B36</f>
        <v/>
      </c>
      <c r="C36" s="540">
        <f>'PETEK LİST'!C36</f>
        <v/>
      </c>
      <c r="D36" s="518">
        <f>'PETEK LİST'!D36</f>
        <v/>
      </c>
      <c r="E36" s="541" t="n">
        <v>15.44</v>
      </c>
      <c r="F36" s="542">
        <f>D36/E36</f>
        <v/>
      </c>
      <c r="G36" s="542">
        <f>76.263-0.539*F36</f>
        <v/>
      </c>
      <c r="H36" s="542">
        <f>D36/G36</f>
        <v/>
      </c>
      <c r="I36" s="538" t="n">
        <v>15</v>
      </c>
      <c r="J36" s="515">
        <f>'PETEK LİST'!G36</f>
        <v/>
      </c>
      <c r="K36" s="542">
        <f>J36/80</f>
        <v/>
      </c>
      <c r="L36" s="538">
        <f>CEILING(K36,1)</f>
        <v/>
      </c>
      <c r="M36" s="538">
        <f>'PETEK LİST'!E36</f>
        <v/>
      </c>
      <c r="N36" s="543">
        <f>J36*M36</f>
        <v/>
      </c>
    </row>
    <row r="37">
      <c r="A37" s="538">
        <f>'PETEK LİST'!A37</f>
        <v/>
      </c>
      <c r="B37" s="539">
        <f>'PETEK LİST'!B37</f>
        <v/>
      </c>
      <c r="C37" s="540">
        <f>'PETEK LİST'!C37</f>
        <v/>
      </c>
      <c r="D37" s="518">
        <f>'PETEK LİST'!D37</f>
        <v/>
      </c>
      <c r="E37" s="541" t="n">
        <v>9.050000000000001</v>
      </c>
      <c r="F37" s="542">
        <f>D37/E37</f>
        <v/>
      </c>
      <c r="G37" s="542">
        <f>76.263-0.539*F37</f>
        <v/>
      </c>
      <c r="H37" s="542">
        <f>D37/G37</f>
        <v/>
      </c>
      <c r="I37" s="538" t="n">
        <v>15</v>
      </c>
      <c r="J37" s="515">
        <f>'PETEK LİST'!G37</f>
        <v/>
      </c>
      <c r="K37" s="542">
        <f>J37/80</f>
        <v/>
      </c>
      <c r="L37" s="538">
        <f>CEILING(K37,1)</f>
        <v/>
      </c>
      <c r="M37" s="538">
        <f>'PETEK LİST'!E37</f>
        <v/>
      </c>
      <c r="N37" s="543">
        <f>J37*M37</f>
        <v/>
      </c>
    </row>
    <row r="38">
      <c r="A38" s="538">
        <f>'PETEK LİST'!A38</f>
        <v/>
      </c>
      <c r="B38" s="539">
        <f>'PETEK LİST'!B38</f>
        <v/>
      </c>
      <c r="C38" s="540">
        <f>'PETEK LİST'!C38</f>
        <v/>
      </c>
      <c r="D38" s="518">
        <f>'PETEK LİST'!D38</f>
        <v/>
      </c>
      <c r="E38" s="541" t="n">
        <v>22.31</v>
      </c>
      <c r="F38" s="542">
        <f>D38/E38</f>
        <v/>
      </c>
      <c r="G38" s="542">
        <f>76.263-0.539*F38</f>
        <v/>
      </c>
      <c r="H38" s="542">
        <f>D38/G38</f>
        <v/>
      </c>
      <c r="I38" s="538" t="n">
        <v>15</v>
      </c>
      <c r="J38" s="515">
        <f>'PETEK LİST'!G38</f>
        <v/>
      </c>
      <c r="K38" s="542">
        <f>J38/80</f>
        <v/>
      </c>
      <c r="L38" s="538">
        <f>CEILING(K38,1)</f>
        <v/>
      </c>
      <c r="M38" s="538">
        <f>'PETEK LİST'!E38</f>
        <v/>
      </c>
      <c r="N38" s="543">
        <f>J38*M38</f>
        <v/>
      </c>
    </row>
    <row r="39">
      <c r="A39" s="538">
        <f>'PETEK LİST'!A39</f>
        <v/>
      </c>
      <c r="B39" s="539">
        <f>'PETEK LİST'!B39</f>
        <v/>
      </c>
      <c r="C39" s="540">
        <f>'PETEK LİST'!C39</f>
        <v/>
      </c>
      <c r="D39" s="518">
        <f>'PETEK LİST'!D39</f>
        <v/>
      </c>
      <c r="E39" s="541" t="n">
        <v>7.75</v>
      </c>
      <c r="F39" s="542">
        <f>D39/E39</f>
        <v/>
      </c>
      <c r="G39" s="542">
        <f>76.263-0.539*F39</f>
        <v/>
      </c>
      <c r="H39" s="542">
        <f>D39/G39</f>
        <v/>
      </c>
      <c r="I39" s="538" t="n">
        <v>15</v>
      </c>
      <c r="J39" s="515">
        <f>'PETEK LİST'!G39</f>
        <v/>
      </c>
      <c r="K39" s="542">
        <f>J39/80</f>
        <v/>
      </c>
      <c r="L39" s="538">
        <f>CEILING(K39,1)</f>
        <v/>
      </c>
      <c r="M39" s="538">
        <f>'PETEK LİST'!E39</f>
        <v/>
      </c>
      <c r="N39" s="543">
        <f>J39*M39</f>
        <v/>
      </c>
    </row>
    <row r="40">
      <c r="A40" s="538">
        <f>'PETEK LİST'!A40</f>
        <v/>
      </c>
      <c r="B40" s="539">
        <f>'PETEK LİST'!B40</f>
        <v/>
      </c>
      <c r="C40" s="540">
        <f>'PETEK LİST'!C40</f>
        <v/>
      </c>
      <c r="D40" s="518">
        <f>'PETEK LİST'!D40</f>
        <v/>
      </c>
      <c r="E40" s="541" t="n">
        <v>4.37</v>
      </c>
      <c r="F40" s="542">
        <f>D40/E40</f>
        <v/>
      </c>
      <c r="G40" s="542">
        <f>76.263-0.539*F40</f>
        <v/>
      </c>
      <c r="H40" s="542">
        <f>D40/G40</f>
        <v/>
      </c>
      <c r="I40" s="538" t="n">
        <v>15</v>
      </c>
      <c r="J40" s="515">
        <f>'PETEK LİST'!G40</f>
        <v/>
      </c>
      <c r="K40" s="542">
        <f>J40/80</f>
        <v/>
      </c>
      <c r="L40" s="538">
        <f>CEILING(K40,1)</f>
        <v/>
      </c>
      <c r="M40" s="538">
        <f>'PETEK LİST'!E40</f>
        <v/>
      </c>
      <c r="N40" s="543">
        <f>J40*M40</f>
        <v/>
      </c>
    </row>
    <row r="41">
      <c r="A41" s="538">
        <f>'PETEK LİST'!A41</f>
        <v/>
      </c>
      <c r="B41" s="539">
        <f>'PETEK LİST'!B41</f>
        <v/>
      </c>
      <c r="C41" s="540">
        <f>'PETEK LİST'!C41</f>
        <v/>
      </c>
      <c r="D41" s="518">
        <f>'PETEK LİST'!D41</f>
        <v/>
      </c>
      <c r="E41" s="541" t="n">
        <v>11.07</v>
      </c>
      <c r="F41" s="542">
        <f>D41/E41</f>
        <v/>
      </c>
      <c r="G41" s="542">
        <f>76.263-0.539*F41</f>
        <v/>
      </c>
      <c r="H41" s="542">
        <f>D41/G41</f>
        <v/>
      </c>
      <c r="I41" s="538" t="n">
        <v>15</v>
      </c>
      <c r="J41" s="515">
        <f>'PETEK LİST'!G41</f>
        <v/>
      </c>
      <c r="K41" s="542">
        <f>J41/80</f>
        <v/>
      </c>
      <c r="L41" s="538">
        <f>CEILING(K41,1)</f>
        <v/>
      </c>
      <c r="M41" s="538">
        <f>'PETEK LİST'!E41</f>
        <v/>
      </c>
      <c r="N41" s="543">
        <f>J41*M41</f>
        <v/>
      </c>
    </row>
    <row r="42">
      <c r="A42" s="538">
        <f>'PETEK LİST'!A42</f>
        <v/>
      </c>
      <c r="B42" s="539">
        <f>'PETEK LİST'!B42</f>
        <v/>
      </c>
      <c r="C42" s="540">
        <f>'PETEK LİST'!C42</f>
        <v/>
      </c>
      <c r="D42" s="518">
        <f>'PETEK LİST'!D42</f>
        <v/>
      </c>
      <c r="E42" s="541" t="n">
        <v>14.25</v>
      </c>
      <c r="F42" s="542">
        <f>D42/E42</f>
        <v/>
      </c>
      <c r="G42" s="542">
        <f>76.263-0.539*F42</f>
        <v/>
      </c>
      <c r="H42" s="542">
        <f>D42/G42</f>
        <v/>
      </c>
      <c r="I42" s="538" t="n">
        <v>15</v>
      </c>
      <c r="J42" s="515">
        <f>'PETEK LİST'!G42</f>
        <v/>
      </c>
      <c r="K42" s="542">
        <f>J42/80</f>
        <v/>
      </c>
      <c r="L42" s="538">
        <f>CEILING(K42,1)</f>
        <v/>
      </c>
      <c r="M42" s="538">
        <f>'PETEK LİST'!E42</f>
        <v/>
      </c>
      <c r="N42" s="543">
        <f>J42*M42</f>
        <v/>
      </c>
    </row>
    <row r="43">
      <c r="A43" s="538">
        <f>'PETEK LİST'!A43</f>
        <v/>
      </c>
      <c r="B43" s="539">
        <f>'PETEK LİST'!B43</f>
        <v/>
      </c>
      <c r="C43" s="540">
        <f>'PETEK LİST'!C43</f>
        <v/>
      </c>
      <c r="D43" s="518">
        <f>'PETEK LİST'!D43</f>
        <v/>
      </c>
      <c r="E43" s="541" t="n">
        <v>9.31</v>
      </c>
      <c r="F43" s="542">
        <f>D43/E43</f>
        <v/>
      </c>
      <c r="G43" s="542">
        <f>76.263-0.539*F43</f>
        <v/>
      </c>
      <c r="H43" s="542">
        <f>D43/G43</f>
        <v/>
      </c>
      <c r="I43" s="538" t="n">
        <v>15</v>
      </c>
      <c r="J43" s="515">
        <f>'PETEK LİST'!G43</f>
        <v/>
      </c>
      <c r="K43" s="542">
        <f>J43/80</f>
        <v/>
      </c>
      <c r="L43" s="538">
        <f>CEILING(K43,1)</f>
        <v/>
      </c>
      <c r="M43" s="538">
        <f>'PETEK LİST'!E43</f>
        <v/>
      </c>
      <c r="N43" s="543">
        <f>J43*M43</f>
        <v/>
      </c>
    </row>
    <row r="44">
      <c r="A44" s="538">
        <f>'PETEK LİST'!A44</f>
        <v/>
      </c>
      <c r="B44" s="539">
        <f>'PETEK LİST'!B44</f>
        <v/>
      </c>
      <c r="C44" s="540">
        <f>'PETEK LİST'!C44</f>
        <v/>
      </c>
      <c r="D44" s="518">
        <f>'PETEK LİST'!D44</f>
        <v/>
      </c>
      <c r="E44" s="541" t="n">
        <v>9.31</v>
      </c>
      <c r="F44" s="542">
        <f>D44/E44</f>
        <v/>
      </c>
      <c r="G44" s="542">
        <f>76.263-0.539*F44</f>
        <v/>
      </c>
      <c r="H44" s="542">
        <f>D44/G44</f>
        <v/>
      </c>
      <c r="I44" s="538" t="n">
        <v>15</v>
      </c>
      <c r="J44" s="515">
        <f>'PETEK LİST'!G44</f>
        <v/>
      </c>
      <c r="K44" s="542">
        <f>J44/80</f>
        <v/>
      </c>
      <c r="L44" s="538">
        <f>CEILING(K44,1)</f>
        <v/>
      </c>
      <c r="M44" s="538">
        <f>'PETEK LİST'!E44</f>
        <v/>
      </c>
      <c r="N44" s="543">
        <f>J44*M44</f>
        <v/>
      </c>
    </row>
    <row r="45">
      <c r="A45" s="538">
        <f>'PETEK LİST'!A45</f>
        <v/>
      </c>
      <c r="B45" s="539">
        <f>'PETEK LİST'!B45</f>
        <v/>
      </c>
      <c r="C45" s="540">
        <f>'PETEK LİST'!C45</f>
        <v/>
      </c>
      <c r="D45" s="518">
        <f>'PETEK LİST'!D45</f>
        <v/>
      </c>
      <c r="E45" s="541" t="n">
        <v>21.18</v>
      </c>
      <c r="F45" s="542">
        <f>D45/E45</f>
        <v/>
      </c>
      <c r="G45" s="542">
        <f>76.263-0.539*F45</f>
        <v/>
      </c>
      <c r="H45" s="542">
        <f>D45/G45</f>
        <v/>
      </c>
      <c r="I45" s="538" t="n">
        <v>15</v>
      </c>
      <c r="J45" s="515">
        <f>'PETEK LİST'!G45</f>
        <v/>
      </c>
      <c r="K45" s="542">
        <f>J45/80</f>
        <v/>
      </c>
      <c r="L45" s="538">
        <f>CEILING(K45,1)</f>
        <v/>
      </c>
      <c r="M45" s="538">
        <f>'PETEK LİST'!E45</f>
        <v/>
      </c>
      <c r="N45" s="543">
        <f>J45*M45</f>
        <v/>
      </c>
    </row>
    <row r="46">
      <c r="A46" s="538">
        <f>'PETEK LİST'!A46</f>
        <v/>
      </c>
      <c r="B46" s="539">
        <f>'PETEK LİST'!B46</f>
        <v/>
      </c>
      <c r="C46" s="540">
        <f>'PETEK LİST'!C46</f>
        <v/>
      </c>
      <c r="D46" s="518">
        <f>'PETEK LİST'!D46</f>
        <v/>
      </c>
      <c r="E46" s="541" t="n">
        <v>4.37</v>
      </c>
      <c r="F46" s="542">
        <f>D46/E46</f>
        <v/>
      </c>
      <c r="G46" s="542">
        <f>76.263-0.539*F46</f>
        <v/>
      </c>
      <c r="H46" s="542">
        <f>D46/G46</f>
        <v/>
      </c>
      <c r="I46" s="538" t="n">
        <v>15</v>
      </c>
      <c r="J46" s="515">
        <f>'PETEK LİST'!G46</f>
        <v/>
      </c>
      <c r="K46" s="542">
        <f>J46/80</f>
        <v/>
      </c>
      <c r="L46" s="538">
        <f>CEILING(K46,1)</f>
        <v/>
      </c>
      <c r="M46" s="538">
        <f>'PETEK LİST'!E46</f>
        <v/>
      </c>
      <c r="N46" s="543">
        <f>J46*M46</f>
        <v/>
      </c>
    </row>
    <row r="47"/>
    <row r="48">
      <c r="A48" s="538">
        <f>'PETEK LİST'!A48</f>
        <v/>
      </c>
      <c r="B48" s="539">
        <f>'PETEK LİST'!B48</f>
        <v/>
      </c>
      <c r="C48" s="540">
        <f>'PETEK LİST'!C48</f>
        <v/>
      </c>
      <c r="D48" s="518">
        <f>'PETEK LİST'!D48</f>
        <v/>
      </c>
      <c r="E48" s="541" t="n">
        <v>11.07</v>
      </c>
      <c r="F48" s="542">
        <f>D48/E48</f>
        <v/>
      </c>
      <c r="G48" s="542">
        <f>76.263-0.539*F48</f>
        <v/>
      </c>
      <c r="H48" s="542">
        <f>D48/G48</f>
        <v/>
      </c>
      <c r="I48" s="538" t="n">
        <v>15</v>
      </c>
      <c r="J48" s="515">
        <f>'PETEK LİST'!G48</f>
        <v/>
      </c>
      <c r="K48" s="542">
        <f>J48/80</f>
        <v/>
      </c>
      <c r="L48" s="538">
        <f>CEILING(K48,1)</f>
        <v/>
      </c>
      <c r="M48" s="538">
        <f>'PETEK LİST'!E48</f>
        <v/>
      </c>
      <c r="N48" s="543">
        <f>J48*M48</f>
        <v/>
      </c>
    </row>
    <row r="49">
      <c r="A49" s="538">
        <f>'PETEK LİST'!A49</f>
        <v/>
      </c>
      <c r="B49" s="539">
        <f>'PETEK LİST'!B49</f>
        <v/>
      </c>
      <c r="C49" s="540">
        <f>'PETEK LİST'!C49</f>
        <v/>
      </c>
      <c r="D49" s="518">
        <f>'PETEK LİST'!D49</f>
        <v/>
      </c>
      <c r="E49" s="541" t="n">
        <v>14.25</v>
      </c>
      <c r="F49" s="542">
        <f>D49/E49</f>
        <v/>
      </c>
      <c r="G49" s="542">
        <f>76.263-0.539*F49</f>
        <v/>
      </c>
      <c r="H49" s="542">
        <f>D49/G49</f>
        <v/>
      </c>
      <c r="I49" s="538" t="n">
        <v>15</v>
      </c>
      <c r="J49" s="515">
        <f>'PETEK LİST'!G49</f>
        <v/>
      </c>
      <c r="K49" s="542">
        <f>J49/80</f>
        <v/>
      </c>
      <c r="L49" s="538">
        <f>CEILING(K49,1)</f>
        <v/>
      </c>
      <c r="M49" s="538">
        <f>'PETEK LİST'!E49</f>
        <v/>
      </c>
      <c r="N49" s="543">
        <f>J49*M49</f>
        <v/>
      </c>
    </row>
    <row r="50">
      <c r="A50" s="538">
        <f>'PETEK LİST'!A50</f>
        <v/>
      </c>
      <c r="B50" s="539">
        <f>'PETEK LİST'!B50</f>
        <v/>
      </c>
      <c r="C50" s="540">
        <f>'PETEK LİST'!C50</f>
        <v/>
      </c>
      <c r="D50" s="518">
        <f>'PETEK LİST'!D50</f>
        <v/>
      </c>
      <c r="E50" s="541" t="n">
        <v>9.31</v>
      </c>
      <c r="F50" s="542">
        <f>D50/E50</f>
        <v/>
      </c>
      <c r="G50" s="542">
        <f>76.263-0.539*F50</f>
        <v/>
      </c>
      <c r="H50" s="542">
        <f>D50/G50</f>
        <v/>
      </c>
      <c r="I50" s="538" t="n">
        <v>15</v>
      </c>
      <c r="J50" s="515">
        <f>'PETEK LİST'!G50</f>
        <v/>
      </c>
      <c r="K50" s="542">
        <f>J50/80</f>
        <v/>
      </c>
      <c r="L50" s="538">
        <f>CEILING(K50,1)</f>
        <v/>
      </c>
      <c r="M50" s="538">
        <f>'PETEK LİST'!E50</f>
        <v/>
      </c>
      <c r="N50" s="543">
        <f>J50*M50</f>
        <v/>
      </c>
    </row>
    <row r="51">
      <c r="A51" s="538">
        <f>'PETEK LİST'!A51</f>
        <v/>
      </c>
      <c r="B51" s="539">
        <f>'PETEK LİST'!B51</f>
        <v/>
      </c>
      <c r="C51" s="540">
        <f>'PETEK LİST'!C51</f>
        <v/>
      </c>
      <c r="D51" s="518">
        <f>'PETEK LİST'!D51</f>
        <v/>
      </c>
      <c r="E51" s="541" t="n">
        <v>9.31</v>
      </c>
      <c r="F51" s="542">
        <f>D51/E51</f>
        <v/>
      </c>
      <c r="G51" s="542">
        <f>76.263-0.539*F51</f>
        <v/>
      </c>
      <c r="H51" s="542">
        <f>D51/G51</f>
        <v/>
      </c>
      <c r="I51" s="538" t="n">
        <v>15</v>
      </c>
      <c r="J51" s="515">
        <f>'PETEK LİST'!G51</f>
        <v/>
      </c>
      <c r="K51" s="542">
        <f>J51/80</f>
        <v/>
      </c>
      <c r="L51" s="538">
        <f>CEILING(K51,1)</f>
        <v/>
      </c>
      <c r="M51" s="538">
        <f>'PETEK LİST'!E51</f>
        <v/>
      </c>
      <c r="N51" s="543">
        <f>J51*M51</f>
        <v/>
      </c>
    </row>
    <row r="52">
      <c r="A52" s="538">
        <f>'PETEK LİST'!A52</f>
        <v/>
      </c>
      <c r="B52" s="539">
        <f>'PETEK LİST'!B52</f>
        <v/>
      </c>
      <c r="C52" s="540">
        <f>'PETEK LİST'!C52</f>
        <v/>
      </c>
      <c r="D52" s="518">
        <f>'PETEK LİST'!D52</f>
        <v/>
      </c>
      <c r="E52" s="541" t="n">
        <v>21.18</v>
      </c>
      <c r="F52" s="542">
        <f>D52/E52</f>
        <v/>
      </c>
      <c r="G52" s="542">
        <f>76.263-0.539*F52</f>
        <v/>
      </c>
      <c r="H52" s="542">
        <f>D52/G52</f>
        <v/>
      </c>
      <c r="I52" s="538" t="n">
        <v>15</v>
      </c>
      <c r="J52" s="515">
        <f>'PETEK LİST'!G52</f>
        <v/>
      </c>
      <c r="K52" s="542">
        <f>J52/80</f>
        <v/>
      </c>
      <c r="L52" s="538">
        <f>CEILING(K52,1)</f>
        <v/>
      </c>
      <c r="M52" s="538">
        <f>'PETEK LİST'!E52</f>
        <v/>
      </c>
      <c r="N52" s="543">
        <f>J52*M52</f>
        <v/>
      </c>
    </row>
    <row r="53">
      <c r="A53" s="538">
        <f>'PETEK LİST'!A53</f>
        <v/>
      </c>
      <c r="B53" s="539">
        <f>'PETEK LİST'!B53</f>
        <v/>
      </c>
      <c r="C53" s="540">
        <f>'PETEK LİST'!C53</f>
        <v/>
      </c>
      <c r="D53" s="518">
        <f>'PETEK LİST'!D53</f>
        <v/>
      </c>
      <c r="E53" s="541" t="n">
        <v>5.04</v>
      </c>
      <c r="F53" s="542">
        <f>D53/E53</f>
        <v/>
      </c>
      <c r="G53" s="542">
        <f>76.263-0.539*F53</f>
        <v/>
      </c>
      <c r="H53" s="542">
        <f>D53/G53</f>
        <v/>
      </c>
      <c r="I53" s="538" t="n">
        <v>15</v>
      </c>
      <c r="J53" s="515">
        <f>'PETEK LİST'!G53</f>
        <v/>
      </c>
      <c r="K53" s="542">
        <f>J53/80</f>
        <v/>
      </c>
      <c r="L53" s="538">
        <f>CEILING(K53,1)</f>
        <v/>
      </c>
      <c r="M53" s="538">
        <f>'PETEK LİST'!E53</f>
        <v/>
      </c>
      <c r="N53" s="543">
        <f>J53*M53</f>
        <v/>
      </c>
    </row>
    <row r="54">
      <c r="A54" s="538">
        <f>'PETEK LİST'!A54</f>
        <v/>
      </c>
      <c r="B54" s="539">
        <f>'PETEK LİST'!B54</f>
        <v/>
      </c>
      <c r="C54" s="540">
        <f>'PETEK LİST'!C54</f>
        <v/>
      </c>
      <c r="D54" s="518">
        <f>'PETEK LİST'!D54</f>
        <v/>
      </c>
      <c r="E54" s="541" t="n">
        <v>10.11</v>
      </c>
      <c r="F54" s="542">
        <f>D54/E54</f>
        <v/>
      </c>
      <c r="G54" s="542">
        <f>76.263-0.539*F54</f>
        <v/>
      </c>
      <c r="H54" s="542">
        <f>D54/G54</f>
        <v/>
      </c>
      <c r="I54" s="538" t="n">
        <v>15</v>
      </c>
      <c r="J54" s="515">
        <f>'PETEK LİST'!G54</f>
        <v/>
      </c>
      <c r="K54" s="542">
        <f>J54/80</f>
        <v/>
      </c>
      <c r="L54" s="538">
        <f>CEILING(K54,1)</f>
        <v/>
      </c>
      <c r="M54" s="538">
        <f>'PETEK LİST'!E54</f>
        <v/>
      </c>
      <c r="N54" s="543">
        <f>J54*M54</f>
        <v/>
      </c>
    </row>
    <row r="55">
      <c r="A55" s="538">
        <f>'PETEK LİST'!A55</f>
        <v/>
      </c>
      <c r="B55" s="539">
        <f>'PETEK LİST'!B55</f>
        <v/>
      </c>
      <c r="C55" s="540">
        <f>'PETEK LİST'!C55</f>
        <v/>
      </c>
      <c r="D55" s="518">
        <f>'PETEK LİST'!D55</f>
        <v/>
      </c>
      <c r="E55" s="541" t="n">
        <v>15.44</v>
      </c>
      <c r="F55" s="542">
        <f>D55/E55</f>
        <v/>
      </c>
      <c r="G55" s="542">
        <f>76.263-0.539*F55</f>
        <v/>
      </c>
      <c r="H55" s="542">
        <f>D55/G55</f>
        <v/>
      </c>
      <c r="I55" s="538" t="n">
        <v>15</v>
      </c>
      <c r="J55" s="515">
        <f>'PETEK LİST'!G55</f>
        <v/>
      </c>
      <c r="K55" s="542">
        <f>J55/80</f>
        <v/>
      </c>
      <c r="L55" s="538">
        <f>CEILING(K55,1)</f>
        <v/>
      </c>
      <c r="M55" s="538">
        <f>'PETEK LİST'!E55</f>
        <v/>
      </c>
      <c r="N55" s="543">
        <f>J55*M55</f>
        <v/>
      </c>
    </row>
    <row r="56">
      <c r="A56" s="538">
        <f>'PETEK LİST'!A56</f>
        <v/>
      </c>
      <c r="B56" s="539">
        <f>'PETEK LİST'!B56</f>
        <v/>
      </c>
      <c r="C56" s="540">
        <f>'PETEK LİST'!C56</f>
        <v/>
      </c>
      <c r="D56" s="518">
        <f>'PETEK LİST'!D56</f>
        <v/>
      </c>
      <c r="E56" s="541" t="n">
        <v>9.050000000000001</v>
      </c>
      <c r="F56" s="542">
        <f>D56/E56</f>
        <v/>
      </c>
      <c r="G56" s="542">
        <f>76.263-0.539*F56</f>
        <v/>
      </c>
      <c r="H56" s="542">
        <f>D56/G56</f>
        <v/>
      </c>
      <c r="I56" s="538" t="n">
        <v>15</v>
      </c>
      <c r="J56" s="515">
        <f>'PETEK LİST'!G56</f>
        <v/>
      </c>
      <c r="K56" s="542">
        <f>J56/80</f>
        <v/>
      </c>
      <c r="L56" s="538">
        <f>CEILING(K56,1)</f>
        <v/>
      </c>
      <c r="M56" s="538">
        <f>'PETEK LİST'!E56</f>
        <v/>
      </c>
      <c r="N56" s="543">
        <f>J56*M56</f>
        <v/>
      </c>
    </row>
    <row r="57">
      <c r="A57" s="538">
        <f>'PETEK LİST'!A57</f>
        <v/>
      </c>
      <c r="B57" s="539">
        <f>'PETEK LİST'!B57</f>
        <v/>
      </c>
      <c r="C57" s="540">
        <f>'PETEK LİST'!C57</f>
        <v/>
      </c>
      <c r="D57" s="518">
        <f>'PETEK LİST'!D57</f>
        <v/>
      </c>
      <c r="E57" s="541" t="n">
        <v>22.31</v>
      </c>
      <c r="F57" s="542">
        <f>D57/E57</f>
        <v/>
      </c>
      <c r="G57" s="542">
        <f>76.263-0.539*F57</f>
        <v/>
      </c>
      <c r="H57" s="542">
        <f>D57/G57</f>
        <v/>
      </c>
      <c r="I57" s="538" t="n">
        <v>15</v>
      </c>
      <c r="J57" s="515">
        <f>'PETEK LİST'!G57</f>
        <v/>
      </c>
      <c r="K57" s="542">
        <f>J57/80</f>
        <v/>
      </c>
      <c r="L57" s="538">
        <f>CEILING(K57,1)</f>
        <v/>
      </c>
      <c r="M57" s="538">
        <f>'PETEK LİST'!E57</f>
        <v/>
      </c>
      <c r="N57" s="543">
        <f>J57*M57</f>
        <v/>
      </c>
    </row>
    <row r="58">
      <c r="A58" s="538">
        <f>'PETEK LİST'!A58</f>
        <v/>
      </c>
      <c r="B58" s="539">
        <f>'PETEK LİST'!B58</f>
        <v/>
      </c>
      <c r="C58" s="540">
        <f>'PETEK LİST'!C58</f>
        <v/>
      </c>
      <c r="D58" s="518">
        <f>'PETEK LİST'!D58</f>
        <v/>
      </c>
      <c r="E58" s="541" t="n">
        <v>7.75</v>
      </c>
      <c r="F58" s="542">
        <f>D58/E58</f>
        <v/>
      </c>
      <c r="G58" s="542">
        <f>76.263-0.539*F58</f>
        <v/>
      </c>
      <c r="H58" s="542">
        <f>D58/G58</f>
        <v/>
      </c>
      <c r="I58" s="538" t="n">
        <v>15</v>
      </c>
      <c r="J58" s="515">
        <f>'PETEK LİST'!G58</f>
        <v/>
      </c>
      <c r="K58" s="542">
        <f>J58/80</f>
        <v/>
      </c>
      <c r="L58" s="538">
        <f>CEILING(K58,1)</f>
        <v/>
      </c>
      <c r="M58" s="538">
        <f>'PETEK LİST'!E58</f>
        <v/>
      </c>
      <c r="N58" s="543">
        <f>J58*M58</f>
        <v/>
      </c>
    </row>
    <row r="59">
      <c r="A59" s="538">
        <f>'PETEK LİST'!A59</f>
        <v/>
      </c>
      <c r="B59" s="539">
        <f>'PETEK LİST'!B59</f>
        <v/>
      </c>
      <c r="C59" s="540">
        <f>'PETEK LİST'!C59</f>
        <v/>
      </c>
      <c r="D59" s="518">
        <f>'PETEK LİST'!D59</f>
        <v/>
      </c>
      <c r="E59" s="541" t="n">
        <v>4.37</v>
      </c>
      <c r="F59" s="542">
        <f>D59/E59</f>
        <v/>
      </c>
      <c r="G59" s="542">
        <f>76.263-0.539*F59</f>
        <v/>
      </c>
      <c r="H59" s="542">
        <f>D59/G59</f>
        <v/>
      </c>
      <c r="I59" s="538" t="n">
        <v>15</v>
      </c>
      <c r="J59" s="515">
        <f>'PETEK LİST'!G59</f>
        <v/>
      </c>
      <c r="K59" s="542">
        <f>J59/80</f>
        <v/>
      </c>
      <c r="L59" s="538">
        <f>CEILING(K59,1)</f>
        <v/>
      </c>
      <c r="M59" s="538">
        <f>'PETEK LİST'!E59</f>
        <v/>
      </c>
      <c r="N59" s="543">
        <f>J59*M59</f>
        <v/>
      </c>
    </row>
    <row r="60">
      <c r="A60" s="538">
        <f>'PETEK LİST'!A60</f>
        <v/>
      </c>
      <c r="B60" s="539">
        <f>'PETEK LİST'!B60</f>
        <v/>
      </c>
      <c r="C60" s="540">
        <f>'PETEK LİST'!C60</f>
        <v/>
      </c>
      <c r="D60" s="518">
        <f>'PETEK LİST'!D60</f>
        <v/>
      </c>
      <c r="E60" s="541" t="n">
        <v>11.07</v>
      </c>
      <c r="F60" s="542">
        <f>D60/E60</f>
        <v/>
      </c>
      <c r="G60" s="542">
        <f>76.263-0.539*F60</f>
        <v/>
      </c>
      <c r="H60" s="542">
        <f>D60/G60</f>
        <v/>
      </c>
      <c r="I60" s="538" t="n">
        <v>15</v>
      </c>
      <c r="J60" s="515">
        <f>'PETEK LİST'!G60</f>
        <v/>
      </c>
      <c r="K60" s="542">
        <f>J60/80</f>
        <v/>
      </c>
      <c r="L60" s="538">
        <f>CEILING(K60,1)</f>
        <v/>
      </c>
      <c r="M60" s="538">
        <f>'PETEK LİST'!E60</f>
        <v/>
      </c>
      <c r="N60" s="543">
        <f>J60*M60</f>
        <v/>
      </c>
    </row>
    <row r="61">
      <c r="A61" s="538">
        <f>'PETEK LİST'!A61</f>
        <v/>
      </c>
      <c r="B61" s="539">
        <f>'PETEK LİST'!B61</f>
        <v/>
      </c>
      <c r="C61" s="540">
        <f>'PETEK LİST'!C61</f>
        <v/>
      </c>
      <c r="D61" s="518">
        <f>'PETEK LİST'!D61</f>
        <v/>
      </c>
      <c r="E61" s="541" t="n">
        <v>14.25</v>
      </c>
      <c r="F61" s="542">
        <f>D61/E61</f>
        <v/>
      </c>
      <c r="G61" s="542">
        <f>76.263-0.539*F61</f>
        <v/>
      </c>
      <c r="H61" s="542">
        <f>D61/G61</f>
        <v/>
      </c>
      <c r="I61" s="538" t="n">
        <v>15</v>
      </c>
      <c r="J61" s="515">
        <f>'PETEK LİST'!G61</f>
        <v/>
      </c>
      <c r="K61" s="542">
        <f>J61/80</f>
        <v/>
      </c>
      <c r="L61" s="538">
        <f>CEILING(K61,1)</f>
        <v/>
      </c>
      <c r="M61" s="538">
        <f>'PETEK LİST'!E61</f>
        <v/>
      </c>
      <c r="N61" s="543">
        <f>J61*M61</f>
        <v/>
      </c>
    </row>
    <row r="62">
      <c r="A62" s="538">
        <f>'PETEK LİST'!A62</f>
        <v/>
      </c>
      <c r="B62" s="539">
        <f>'PETEK LİST'!B62</f>
        <v/>
      </c>
      <c r="C62" s="540">
        <f>'PETEK LİST'!C62</f>
        <v/>
      </c>
      <c r="D62" s="518">
        <f>'PETEK LİST'!D62</f>
        <v/>
      </c>
      <c r="E62" s="541" t="n">
        <v>9.31</v>
      </c>
      <c r="F62" s="542">
        <f>D62/E62</f>
        <v/>
      </c>
      <c r="G62" s="542">
        <f>76.263-0.539*F62</f>
        <v/>
      </c>
      <c r="H62" s="542">
        <f>D62/G62</f>
        <v/>
      </c>
      <c r="I62" s="538" t="n">
        <v>15</v>
      </c>
      <c r="J62" s="515">
        <f>'PETEK LİST'!G62</f>
        <v/>
      </c>
      <c r="K62" s="542">
        <f>J62/80</f>
        <v/>
      </c>
      <c r="L62" s="538">
        <f>CEILING(K62,1)</f>
        <v/>
      </c>
      <c r="M62" s="538">
        <f>'PETEK LİST'!E62</f>
        <v/>
      </c>
      <c r="N62" s="543">
        <f>J62*M62</f>
        <v/>
      </c>
    </row>
    <row r="63">
      <c r="A63" s="538">
        <f>'PETEK LİST'!A63</f>
        <v/>
      </c>
      <c r="B63" s="539">
        <f>'PETEK LİST'!B63</f>
        <v/>
      </c>
      <c r="C63" s="540">
        <f>'PETEK LİST'!C63</f>
        <v/>
      </c>
      <c r="D63" s="518">
        <f>'PETEK LİST'!D63</f>
        <v/>
      </c>
      <c r="E63" s="541" t="n">
        <v>9.31</v>
      </c>
      <c r="F63" s="542">
        <f>D63/E63</f>
        <v/>
      </c>
      <c r="G63" s="542">
        <f>76.263-0.539*F63</f>
        <v/>
      </c>
      <c r="H63" s="542">
        <f>D63/G63</f>
        <v/>
      </c>
      <c r="I63" s="538" t="n">
        <v>15</v>
      </c>
      <c r="J63" s="515">
        <f>'PETEK LİST'!G63</f>
        <v/>
      </c>
      <c r="K63" s="542">
        <f>J63/80</f>
        <v/>
      </c>
      <c r="L63" s="538">
        <f>CEILING(K63,1)</f>
        <v/>
      </c>
      <c r="M63" s="538">
        <f>'PETEK LİST'!E63</f>
        <v/>
      </c>
      <c r="N63" s="543">
        <f>J63*M63</f>
        <v/>
      </c>
    </row>
    <row r="64">
      <c r="A64" s="538">
        <f>'PETEK LİST'!A64</f>
        <v/>
      </c>
      <c r="B64" s="539">
        <f>'PETEK LİST'!B64</f>
        <v/>
      </c>
      <c r="C64" s="540">
        <f>'PETEK LİST'!C64</f>
        <v/>
      </c>
      <c r="D64" s="518">
        <f>'PETEK LİST'!D64</f>
        <v/>
      </c>
      <c r="E64" s="541" t="n">
        <v>21.18</v>
      </c>
      <c r="F64" s="542">
        <f>D64/E64</f>
        <v/>
      </c>
      <c r="G64" s="542">
        <f>76.263-0.539*F64</f>
        <v/>
      </c>
      <c r="H64" s="542">
        <f>D64/G64</f>
        <v/>
      </c>
      <c r="I64" s="538" t="n">
        <v>15</v>
      </c>
      <c r="J64" s="515">
        <f>'PETEK LİST'!G64</f>
        <v/>
      </c>
      <c r="K64" s="542">
        <f>J64/80</f>
        <v/>
      </c>
      <c r="L64" s="538">
        <f>CEILING(K64,1)</f>
        <v/>
      </c>
      <c r="M64" s="538">
        <f>'PETEK LİST'!E64</f>
        <v/>
      </c>
      <c r="N64" s="543">
        <f>J64*M64</f>
        <v/>
      </c>
    </row>
    <row r="65">
      <c r="A65" s="538">
        <f>'PETEK LİST'!A65</f>
        <v/>
      </c>
      <c r="B65" s="539">
        <f>'PETEK LİST'!B65</f>
        <v/>
      </c>
      <c r="C65" s="540">
        <f>'PETEK LİST'!C65</f>
        <v/>
      </c>
      <c r="D65" s="518">
        <f>'PETEK LİST'!D65</f>
        <v/>
      </c>
      <c r="E65" s="541" t="n">
        <v>5.04</v>
      </c>
      <c r="F65" s="542">
        <f>D65/E65</f>
        <v/>
      </c>
      <c r="G65" s="542">
        <f>76.263-0.539*F65</f>
        <v/>
      </c>
      <c r="H65" s="542">
        <f>D65/G65</f>
        <v/>
      </c>
      <c r="I65" s="538" t="n">
        <v>15</v>
      </c>
      <c r="J65" s="515">
        <f>'PETEK LİST'!G65</f>
        <v/>
      </c>
      <c r="K65" s="542">
        <f>J65/80</f>
        <v/>
      </c>
      <c r="L65" s="538">
        <f>CEILING(K65,1)</f>
        <v/>
      </c>
      <c r="M65" s="538">
        <f>'PETEK LİST'!E65</f>
        <v/>
      </c>
      <c r="N65" s="543">
        <f>J65*M65</f>
        <v/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47" min="5" max="5"/>
    <col width="6.56" customWidth="1" style="547" min="6" max="6"/>
    <col width="6.41" customWidth="1" style="547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54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549" t="n"/>
      <c r="K1" s="549" t="n"/>
      <c r="L1" s="549" t="n"/>
      <c r="M1" s="549" t="n"/>
      <c r="N1" s="549" t="n"/>
      <c r="O1" s="549" t="n"/>
      <c r="P1" s="549" t="n"/>
      <c r="Q1" s="549" t="n"/>
      <c r="R1" s="549" t="n"/>
      <c r="S1" s="549" t="n"/>
      <c r="T1" s="549" t="n"/>
      <c r="U1" s="549" t="n"/>
    </row>
    <row r="2" ht="12.75" customFormat="1" customHeight="1" s="499">
      <c r="A2" s="550" t="inlineStr">
        <is>
          <t>ZEMİN KAT</t>
        </is>
      </c>
      <c r="B2" s="503" t="n"/>
      <c r="C2" s="551" t="inlineStr">
        <is>
          <t>DÖŞEMEDEN ISITMA HESAP ÖZETİ</t>
        </is>
      </c>
      <c r="D2" s="552" t="inlineStr">
        <is>
          <t>Ts.g  = 45 °C</t>
        </is>
      </c>
      <c r="E2" s="553" t="inlineStr">
        <is>
          <t>TOPLAM ISI = 12030 W</t>
        </is>
      </c>
      <c r="F2" s="264" t="n"/>
      <c r="G2" s="264" t="n"/>
      <c r="H2" s="264" t="n"/>
      <c r="I2" s="260" t="n"/>
      <c r="J2" s="554" t="n"/>
      <c r="K2" s="554" t="n"/>
      <c r="L2" s="554" t="n"/>
      <c r="M2" s="554" t="n"/>
      <c r="N2" s="554" t="n"/>
      <c r="O2" s="554" t="n"/>
      <c r="P2" s="554" t="n"/>
      <c r="Q2" s="554" t="n"/>
      <c r="R2" s="554" t="n"/>
      <c r="S2" s="554" t="n"/>
      <c r="T2" s="554" t="n"/>
      <c r="U2" s="554" t="n"/>
    </row>
    <row r="3" ht="8.25" customFormat="1" customHeight="1" s="499">
      <c r="A3" s="502" t="n"/>
      <c r="B3" s="503" t="n"/>
      <c r="C3" s="507" t="n"/>
      <c r="D3" s="555" t="inlineStr">
        <is>
          <t>Isıtma Çevrim Sayısı : 24</t>
        </is>
      </c>
      <c r="E3" s="553" t="inlineStr">
        <is>
          <t>MAX. BASINÇ KAYBI = 3322 Pa</t>
        </is>
      </c>
      <c r="F3" s="250" t="n"/>
      <c r="G3" s="250" t="n"/>
      <c r="H3" s="250" t="n"/>
      <c r="I3" s="275" t="n"/>
      <c r="J3" s="554" t="n"/>
      <c r="K3" s="554" t="n"/>
      <c r="L3" s="554" t="n"/>
      <c r="M3" s="554" t="n"/>
      <c r="N3" s="554" t="n"/>
      <c r="O3" s="554" t="n"/>
      <c r="P3" s="554" t="n"/>
      <c r="Q3" s="554" t="n"/>
      <c r="R3" s="554" t="n"/>
      <c r="S3" s="554" t="n"/>
      <c r="T3" s="554" t="n"/>
      <c r="U3" s="554" t="n"/>
    </row>
    <row r="4" ht="5.25" customFormat="1" customHeight="1" s="499">
      <c r="A4" s="502" t="n"/>
      <c r="B4" s="503" t="n"/>
      <c r="C4" s="507" t="n"/>
      <c r="D4" s="303" t="n"/>
      <c r="E4" s="278" t="n"/>
      <c r="F4" s="256" t="n"/>
      <c r="G4" s="256" t="n"/>
      <c r="H4" s="256" t="n"/>
      <c r="I4" s="277" t="n"/>
      <c r="J4" s="554" t="n"/>
      <c r="K4" s="554" t="n"/>
      <c r="L4" s="554" t="n"/>
      <c r="M4" s="554" t="n"/>
      <c r="N4" s="554" t="n"/>
      <c r="O4" s="554" t="n"/>
      <c r="P4" s="554" t="n"/>
      <c r="Q4" s="554" t="n"/>
      <c r="R4" s="554" t="n"/>
      <c r="S4" s="554" t="n"/>
      <c r="T4" s="554" t="n"/>
      <c r="U4" s="554" t="n"/>
    </row>
    <row r="5" ht="15" customFormat="1" customHeight="1" s="499">
      <c r="A5" s="278" t="n"/>
      <c r="B5" s="277" t="n"/>
      <c r="C5" s="303" t="n"/>
      <c r="D5" s="501" t="inlineStr">
        <is>
          <t>Mak. Müh. CAN ÖZKAYA</t>
        </is>
      </c>
      <c r="E5" s="264" t="n"/>
      <c r="F5" s="264" t="n"/>
      <c r="G5" s="264" t="n"/>
      <c r="H5" s="264" t="n"/>
      <c r="I5" s="260" t="n"/>
      <c r="J5" s="556" t="n"/>
      <c r="K5" s="556" t="n"/>
      <c r="L5" s="556" t="n"/>
      <c r="M5" s="556" t="n"/>
      <c r="N5" s="556" t="n"/>
      <c r="O5" s="556" t="n"/>
      <c r="P5" s="556" t="n"/>
      <c r="Q5" s="525" t="n"/>
      <c r="R5" s="525" t="n"/>
      <c r="S5" s="525" t="n"/>
      <c r="T5" s="525" t="n"/>
      <c r="U5" s="525" t="n"/>
    </row>
    <row r="6" ht="12" customHeight="1" s="244">
      <c r="A6" s="557" t="n"/>
      <c r="B6" s="557" t="n"/>
      <c r="C6" s="557" t="n"/>
      <c r="D6" s="557" t="n"/>
      <c r="E6" s="558" t="n"/>
      <c r="F6" s="558" t="n"/>
      <c r="G6" s="558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559" t="n"/>
      <c r="C7" s="560" t="n"/>
      <c r="D7" s="559" t="n"/>
      <c r="E7" s="561" t="n"/>
      <c r="F7" s="562" t="n">
        <v>1</v>
      </c>
      <c r="G7" s="562" t="n">
        <v>6</v>
      </c>
      <c r="H7" s="562" t="n">
        <v>7</v>
      </c>
      <c r="I7" s="562" t="n">
        <v>5</v>
      </c>
      <c r="J7" s="562" t="n">
        <v>4</v>
      </c>
      <c r="K7" s="562" t="n">
        <v>3</v>
      </c>
      <c r="L7" s="562" t="n">
        <v>2</v>
      </c>
      <c r="M7" s="562" t="n">
        <v>8</v>
      </c>
      <c r="N7" s="562" t="n">
        <v>16</v>
      </c>
      <c r="O7" s="562" t="n">
        <v>11</v>
      </c>
      <c r="P7" s="562" t="n">
        <v>10</v>
      </c>
      <c r="Q7" s="562" t="n">
        <v>12</v>
      </c>
      <c r="R7" s="562" t="n">
        <v>13</v>
      </c>
      <c r="S7" s="562" t="n">
        <v>14</v>
      </c>
      <c r="T7" s="562" t="n">
        <v>15</v>
      </c>
      <c r="U7" s="562" t="n">
        <v>9</v>
      </c>
      <c r="V7" s="562" t="n">
        <v>24</v>
      </c>
      <c r="W7" s="562" t="n">
        <v>19</v>
      </c>
      <c r="X7" s="562" t="n">
        <v>18</v>
      </c>
      <c r="Y7" s="562" t="n">
        <v>17</v>
      </c>
      <c r="Z7" s="562" t="n">
        <v>22</v>
      </c>
      <c r="AA7" s="562" t="n">
        <v>23</v>
      </c>
      <c r="AB7" s="562" t="n">
        <v>20</v>
      </c>
      <c r="AC7" s="562" t="n">
        <v>21</v>
      </c>
    </row>
    <row r="8" ht="12" customHeight="1" s="244">
      <c r="A8" s="261" t="n"/>
      <c r="B8" s="559" t="n"/>
      <c r="C8" s="560" t="n"/>
      <c r="D8" s="559" t="n"/>
      <c r="E8" s="561" t="n"/>
      <c r="F8" s="563" t="inlineStr">
        <is>
          <t>Z01</t>
        </is>
      </c>
      <c r="G8" s="563" t="inlineStr">
        <is>
          <t>Z02</t>
        </is>
      </c>
      <c r="H8" s="563" t="inlineStr">
        <is>
          <t>Z02</t>
        </is>
      </c>
      <c r="I8" s="563" t="inlineStr">
        <is>
          <t>Z03</t>
        </is>
      </c>
      <c r="J8" s="563" t="inlineStr">
        <is>
          <t>Z04</t>
        </is>
      </c>
      <c r="K8" s="563" t="inlineStr">
        <is>
          <t>Z05</t>
        </is>
      </c>
      <c r="L8" s="563" t="inlineStr">
        <is>
          <t>Z05</t>
        </is>
      </c>
      <c r="M8" s="563" t="inlineStr">
        <is>
          <t>Z06</t>
        </is>
      </c>
      <c r="N8" s="563" t="inlineStr">
        <is>
          <t>Z07</t>
        </is>
      </c>
      <c r="O8" s="563" t="inlineStr">
        <is>
          <t>Z08</t>
        </is>
      </c>
      <c r="P8" s="563" t="inlineStr">
        <is>
          <t>Z08</t>
        </is>
      </c>
      <c r="Q8" s="563" t="inlineStr">
        <is>
          <t>Z09</t>
        </is>
      </c>
      <c r="R8" s="563" t="inlineStr">
        <is>
          <t>Z10</t>
        </is>
      </c>
      <c r="S8" s="563" t="inlineStr">
        <is>
          <t>Z11</t>
        </is>
      </c>
      <c r="T8" s="563" t="inlineStr">
        <is>
          <t>Z11</t>
        </is>
      </c>
      <c r="U8" s="563" t="inlineStr">
        <is>
          <t>Z12</t>
        </is>
      </c>
      <c r="V8" s="563" t="inlineStr">
        <is>
          <t>Z13</t>
        </is>
      </c>
      <c r="W8" s="563" t="inlineStr">
        <is>
          <t>Z14</t>
        </is>
      </c>
      <c r="X8" s="563" t="inlineStr">
        <is>
          <t>Z14</t>
        </is>
      </c>
      <c r="Y8" s="563" t="inlineStr">
        <is>
          <t>Z15</t>
        </is>
      </c>
      <c r="Z8" s="563" t="inlineStr">
        <is>
          <t>Z16</t>
        </is>
      </c>
      <c r="AA8" s="563" t="inlineStr">
        <is>
          <t>Z16</t>
        </is>
      </c>
      <c r="AB8" s="563" t="inlineStr">
        <is>
          <t>Z17</t>
        </is>
      </c>
      <c r="AC8" s="563" t="inlineStr">
        <is>
          <t>Z18</t>
        </is>
      </c>
    </row>
    <row r="9" ht="30" customHeight="1" s="244">
      <c r="A9" s="261" t="n"/>
      <c r="B9" s="282" t="n"/>
      <c r="C9" s="564" t="n"/>
      <c r="D9" s="261" t="n"/>
      <c r="E9" s="259" t="n"/>
      <c r="F9" s="565" t="inlineStr">
        <is>
          <t>D1 mutfak</t>
        </is>
      </c>
      <c r="G9" s="565" t="inlineStr">
        <is>
          <t>D1 yatak od.</t>
        </is>
      </c>
      <c r="H9" s="565" t="inlineStr">
        <is>
          <t>D1 yatak od.</t>
        </is>
      </c>
      <c r="I9" s="565" t="inlineStr">
        <is>
          <t>D1 yatak od.</t>
        </is>
      </c>
      <c r="J9" s="565" t="inlineStr">
        <is>
          <t>D1 yatak od.</t>
        </is>
      </c>
      <c r="K9" s="565" t="inlineStr">
        <is>
          <t>D1 salon</t>
        </is>
      </c>
      <c r="L9" s="565" t="inlineStr">
        <is>
          <t>D1 salon</t>
        </is>
      </c>
      <c r="M9" s="565" t="inlineStr">
        <is>
          <t>D1 banyo</t>
        </is>
      </c>
      <c r="N9" s="565" t="inlineStr">
        <is>
          <t>D2 mutfak</t>
        </is>
      </c>
      <c r="O9" s="565" t="inlineStr">
        <is>
          <t>D2 yatak od.</t>
        </is>
      </c>
      <c r="P9" s="565" t="inlineStr">
        <is>
          <t>D2 yatak od.</t>
        </is>
      </c>
      <c r="Q9" s="565" t="inlineStr">
        <is>
          <t>D2 yatak od.</t>
        </is>
      </c>
      <c r="R9" s="565" t="inlineStr">
        <is>
          <t>D2 yatak od.</t>
        </is>
      </c>
      <c r="S9" s="565" t="inlineStr">
        <is>
          <t>D2 salon</t>
        </is>
      </c>
      <c r="T9" s="565" t="inlineStr">
        <is>
          <t>D2 salon</t>
        </is>
      </c>
      <c r="U9" s="565" t="inlineStr">
        <is>
          <t>D2 banyo</t>
        </is>
      </c>
      <c r="V9" s="565" t="inlineStr">
        <is>
          <t>D3 mutfak</t>
        </is>
      </c>
      <c r="W9" s="565" t="inlineStr">
        <is>
          <t>D3 yatak od.</t>
        </is>
      </c>
      <c r="X9" s="565" t="inlineStr">
        <is>
          <t>D3 yatak od.</t>
        </is>
      </c>
      <c r="Y9" s="565" t="inlineStr">
        <is>
          <t>D3 yatak od.</t>
        </is>
      </c>
      <c r="Z9" s="565" t="inlineStr">
        <is>
          <t>D3 salon</t>
        </is>
      </c>
      <c r="AA9" s="565" t="inlineStr">
        <is>
          <t>D3 salon</t>
        </is>
      </c>
      <c r="AB9" s="565" t="inlineStr">
        <is>
          <t>D3 oda</t>
        </is>
      </c>
      <c r="AC9" s="565" t="inlineStr">
        <is>
          <t>D3 wc+banyo</t>
        </is>
      </c>
    </row>
    <row r="10" ht="12" customHeight="1" s="244">
      <c r="A10" s="261" t="n"/>
      <c r="B10" s="282" t="n"/>
      <c r="C10" s="564" t="n"/>
      <c r="D10" s="261" t="n"/>
      <c r="E10" s="259" t="n"/>
      <c r="F10" s="566" t="n">
        <v>20</v>
      </c>
      <c r="G10" s="566" t="n">
        <v>20</v>
      </c>
      <c r="H10" s="566" t="n">
        <v>20</v>
      </c>
      <c r="I10" s="566" t="n">
        <v>20</v>
      </c>
      <c r="J10" s="566" t="n">
        <v>20</v>
      </c>
      <c r="K10" s="566" t="n">
        <v>20</v>
      </c>
      <c r="L10" s="566" t="n">
        <v>20</v>
      </c>
      <c r="M10" s="566" t="n">
        <v>24</v>
      </c>
      <c r="N10" s="566" t="n">
        <v>20</v>
      </c>
      <c r="O10" s="566" t="n">
        <v>20</v>
      </c>
      <c r="P10" s="566" t="n">
        <v>20</v>
      </c>
      <c r="Q10" s="566" t="n">
        <v>20</v>
      </c>
      <c r="R10" s="566" t="n">
        <v>20</v>
      </c>
      <c r="S10" s="566" t="n">
        <v>20</v>
      </c>
      <c r="T10" s="566" t="n">
        <v>20</v>
      </c>
      <c r="U10" s="566" t="n">
        <v>24</v>
      </c>
      <c r="V10" s="566" t="n">
        <v>20</v>
      </c>
      <c r="W10" s="566" t="n">
        <v>20</v>
      </c>
      <c r="X10" s="566" t="n">
        <v>20</v>
      </c>
      <c r="Y10" s="566" t="n">
        <v>20</v>
      </c>
      <c r="Z10" s="566" t="n">
        <v>20</v>
      </c>
      <c r="AA10" s="566" t="n">
        <v>20</v>
      </c>
      <c r="AB10" s="566" t="n">
        <v>20</v>
      </c>
      <c r="AC10" s="566" t="n">
        <v>24</v>
      </c>
    </row>
    <row r="11" ht="12" customHeight="1" s="244">
      <c r="A11" s="261" t="n"/>
      <c r="B11" s="282" t="n"/>
      <c r="C11" s="564" t="n"/>
      <c r="D11" s="261" t="n"/>
      <c r="E11" s="259" t="n"/>
      <c r="F11" s="566" t="n">
        <v>6</v>
      </c>
      <c r="G11" s="566" t="n">
        <v>6</v>
      </c>
      <c r="H11" s="566" t="n">
        <v>6</v>
      </c>
      <c r="I11" s="566" t="n">
        <v>6</v>
      </c>
      <c r="J11" s="566" t="n">
        <v>6</v>
      </c>
      <c r="K11" s="566" t="n">
        <v>6</v>
      </c>
      <c r="L11" s="566" t="n">
        <v>6</v>
      </c>
      <c r="M11" s="566" t="n">
        <v>6</v>
      </c>
      <c r="N11" s="566" t="n">
        <v>6</v>
      </c>
      <c r="O11" s="566" t="n">
        <v>6</v>
      </c>
      <c r="P11" s="566" t="n">
        <v>6</v>
      </c>
      <c r="Q11" s="566" t="n">
        <v>6</v>
      </c>
      <c r="R11" s="566" t="n">
        <v>6</v>
      </c>
      <c r="S11" s="566" t="n">
        <v>6</v>
      </c>
      <c r="T11" s="566" t="n">
        <v>6</v>
      </c>
      <c r="U11" s="566" t="n">
        <v>6</v>
      </c>
      <c r="V11" s="566" t="n">
        <v>6</v>
      </c>
      <c r="W11" s="566" t="n">
        <v>6</v>
      </c>
      <c r="X11" s="566" t="n">
        <v>6</v>
      </c>
      <c r="Y11" s="566" t="n">
        <v>6</v>
      </c>
      <c r="Z11" s="566" t="n">
        <v>6</v>
      </c>
      <c r="AA11" s="566" t="n">
        <v>6</v>
      </c>
      <c r="AB11" s="566" t="n">
        <v>6</v>
      </c>
      <c r="AC11" s="566" t="n">
        <v>6</v>
      </c>
    </row>
    <row r="12" ht="12" customHeight="1" s="244">
      <c r="A12" s="261" t="n">
        <v>6</v>
      </c>
      <c r="B12" s="282" t="n"/>
      <c r="C12" s="564" t="n"/>
      <c r="D12" s="261" t="n"/>
      <c r="E12" s="259" t="n"/>
      <c r="F12" s="567" t="n">
        <v>6.92</v>
      </c>
      <c r="G12" s="567" t="n">
        <v>6.47</v>
      </c>
      <c r="H12" s="567" t="n">
        <v>6.97</v>
      </c>
      <c r="I12" s="567" t="n">
        <v>8.779999999999999</v>
      </c>
      <c r="J12" s="567" t="n">
        <v>8.84</v>
      </c>
      <c r="K12" s="567" t="n">
        <v>9.859999999999999</v>
      </c>
      <c r="L12" s="567" t="n">
        <v>10.24</v>
      </c>
      <c r="M12" s="567" t="n">
        <v>3.54</v>
      </c>
      <c r="N12" s="567" t="n">
        <v>5.75</v>
      </c>
      <c r="O12" s="567" t="n">
        <v>6.37</v>
      </c>
      <c r="P12" s="567" t="n">
        <v>6.96</v>
      </c>
      <c r="Q12" s="567" t="n">
        <v>8.76</v>
      </c>
      <c r="R12" s="567" t="n">
        <v>8.83</v>
      </c>
      <c r="S12" s="567" t="n">
        <v>9.92</v>
      </c>
      <c r="T12" s="567" t="n">
        <v>10.25</v>
      </c>
      <c r="U12" s="567" t="n">
        <v>3.6</v>
      </c>
      <c r="V12" s="567" t="n">
        <v>5.66</v>
      </c>
      <c r="W12" s="567" t="n">
        <v>6.79</v>
      </c>
      <c r="X12" s="567" t="n">
        <v>7.36</v>
      </c>
      <c r="Y12" s="567" t="n">
        <v>8.640000000000001</v>
      </c>
      <c r="Z12" s="567" t="n">
        <v>11.07</v>
      </c>
      <c r="AA12" s="567" t="n">
        <v>9.699999999999999</v>
      </c>
      <c r="AB12" s="567" t="n">
        <v>7.31</v>
      </c>
      <c r="AC12" s="567" t="n">
        <v>2.41</v>
      </c>
    </row>
    <row r="13" ht="12" customHeight="1" s="244">
      <c r="A13" s="261" t="n"/>
      <c r="B13" s="282" t="n"/>
      <c r="C13" s="564" t="inlineStr">
        <is>
          <t>DEVRE ISIL GÜCÜ</t>
        </is>
      </c>
      <c r="D13" s="261" t="inlineStr">
        <is>
          <t>Mahal ısı kaybı × devre boyu / mahal boru boyu</t>
        </is>
      </c>
      <c r="E13" s="259" t="n"/>
      <c r="F13" s="568" t="n">
        <v>628.9</v>
      </c>
      <c r="G13" s="568" t="n">
        <v>355.9</v>
      </c>
      <c r="H13" s="568" t="n">
        <v>383.9</v>
      </c>
      <c r="I13" s="568" t="n">
        <v>582.1</v>
      </c>
      <c r="J13" s="568" t="n">
        <v>576.2</v>
      </c>
      <c r="K13" s="568" t="n">
        <v>615.4</v>
      </c>
      <c r="L13" s="568" t="n">
        <v>639.2</v>
      </c>
      <c r="M13" s="568" t="n">
        <v>199.6</v>
      </c>
      <c r="N13" s="568" t="n">
        <v>626</v>
      </c>
      <c r="O13" s="568" t="n">
        <v>294</v>
      </c>
      <c r="P13" s="568" t="n">
        <v>321.5</v>
      </c>
      <c r="Q13" s="568" t="n">
        <v>583.4</v>
      </c>
      <c r="R13" s="568" t="n">
        <v>571.7</v>
      </c>
      <c r="S13" s="568" t="n">
        <v>617.6</v>
      </c>
      <c r="T13" s="568" t="n">
        <v>637.9</v>
      </c>
      <c r="U13" s="568" t="n">
        <v>226.2</v>
      </c>
      <c r="V13" s="568" t="n">
        <v>588.3</v>
      </c>
      <c r="W13" s="568" t="n">
        <v>369.7</v>
      </c>
      <c r="X13" s="568" t="n">
        <v>401.3</v>
      </c>
      <c r="Y13" s="568" t="n">
        <v>597.2</v>
      </c>
      <c r="Z13" s="568" t="n">
        <v>735</v>
      </c>
      <c r="AA13" s="568" t="n">
        <v>644</v>
      </c>
      <c r="AB13" s="568" t="n">
        <v>701.9</v>
      </c>
      <c r="AC13" s="568" t="n">
        <v>132.9</v>
      </c>
    </row>
    <row r="14" ht="12" customHeight="1" s="244">
      <c r="A14" s="261" t="n"/>
      <c r="B14" s="282" t="n"/>
      <c r="C14" s="564" t="n"/>
      <c r="D14" s="261" t="n"/>
      <c r="E14" s="259" t="n"/>
      <c r="F14" s="569">
        <f>F13/F12</f>
        <v/>
      </c>
      <c r="G14" s="569">
        <f>G13/G12</f>
        <v/>
      </c>
      <c r="H14" s="569">
        <f>H13/H12</f>
        <v/>
      </c>
      <c r="I14" s="569">
        <f>I13/I12</f>
        <v/>
      </c>
      <c r="J14" s="569">
        <f>J13/J12</f>
        <v/>
      </c>
      <c r="K14" s="569">
        <f>K13/K12</f>
        <v/>
      </c>
      <c r="L14" s="569">
        <f>L13/L12</f>
        <v/>
      </c>
      <c r="M14" s="569">
        <f>M13/M12</f>
        <v/>
      </c>
      <c r="N14" s="569">
        <f>N13/N12</f>
        <v/>
      </c>
      <c r="O14" s="569">
        <f>O13/O12</f>
        <v/>
      </c>
      <c r="P14" s="569">
        <f>P13/P12</f>
        <v/>
      </c>
      <c r="Q14" s="569">
        <f>Q13/Q12</f>
        <v/>
      </c>
      <c r="R14" s="569">
        <f>R13/R12</f>
        <v/>
      </c>
      <c r="S14" s="569">
        <f>S13/S12</f>
        <v/>
      </c>
      <c r="T14" s="569">
        <f>T13/T12</f>
        <v/>
      </c>
      <c r="U14" s="569">
        <f>U13/U12</f>
        <v/>
      </c>
      <c r="V14" s="569">
        <f>V13/V12</f>
        <v/>
      </c>
      <c r="W14" s="569">
        <f>W13/W12</f>
        <v/>
      </c>
      <c r="X14" s="569">
        <f>X13/X12</f>
        <v/>
      </c>
      <c r="Y14" s="569">
        <f>Y13/Y12</f>
        <v/>
      </c>
      <c r="Z14" s="569">
        <f>Z13/Z12</f>
        <v/>
      </c>
      <c r="AA14" s="569">
        <f>AA13/AA12</f>
        <v/>
      </c>
      <c r="AB14" s="569">
        <f>AB13/AB12</f>
        <v/>
      </c>
      <c r="AC14" s="569">
        <f>AC13/AC12</f>
        <v/>
      </c>
    </row>
    <row r="15" ht="12" customHeight="1" s="244">
      <c r="A15" s="261" t="n"/>
      <c r="B15" s="282" t="n"/>
      <c r="C15" s="564" t="n"/>
      <c r="D15" s="261" t="n"/>
      <c r="E15" s="259" t="n"/>
      <c r="F15" s="566" t="n">
        <v>0.012</v>
      </c>
      <c r="G15" s="566" t="n">
        <v>0.012</v>
      </c>
      <c r="H15" s="566" t="n">
        <v>0.012</v>
      </c>
      <c r="I15" s="566" t="n">
        <v>0.012</v>
      </c>
      <c r="J15" s="566" t="n">
        <v>0.012</v>
      </c>
      <c r="K15" s="566" t="n">
        <v>0.012</v>
      </c>
      <c r="L15" s="566" t="n">
        <v>0.012</v>
      </c>
      <c r="M15" s="566" t="n">
        <v>0.012</v>
      </c>
      <c r="N15" s="566" t="n">
        <v>0.012</v>
      </c>
      <c r="O15" s="566" t="n">
        <v>0.012</v>
      </c>
      <c r="P15" s="566" t="n">
        <v>0.012</v>
      </c>
      <c r="Q15" s="566" t="n">
        <v>0.012</v>
      </c>
      <c r="R15" s="566" t="n">
        <v>0.012</v>
      </c>
      <c r="S15" s="566" t="n">
        <v>0.012</v>
      </c>
      <c r="T15" s="566" t="n">
        <v>0.012</v>
      </c>
      <c r="U15" s="566" t="n">
        <v>0.012</v>
      </c>
      <c r="V15" s="566" t="n">
        <v>0.012</v>
      </c>
      <c r="W15" s="566" t="n">
        <v>0.012</v>
      </c>
      <c r="X15" s="566" t="n">
        <v>0.012</v>
      </c>
      <c r="Y15" s="566" t="n">
        <v>0.012</v>
      </c>
      <c r="Z15" s="566" t="n">
        <v>0.012</v>
      </c>
      <c r="AA15" s="566" t="n">
        <v>0.012</v>
      </c>
      <c r="AB15" s="566" t="n">
        <v>0.012</v>
      </c>
      <c r="AC15" s="566" t="n">
        <v>0.012</v>
      </c>
    </row>
    <row r="16" ht="12" customHeight="1" s="244">
      <c r="A16" s="261" t="n"/>
      <c r="B16" s="282" t="n"/>
      <c r="C16" s="564" t="n"/>
      <c r="D16" s="261" t="n"/>
      <c r="E16" s="259" t="n"/>
      <c r="F16" s="567" t="n">
        <v>1</v>
      </c>
      <c r="G16" s="567" t="n">
        <v>1</v>
      </c>
      <c r="H16" s="567" t="n">
        <v>1</v>
      </c>
      <c r="I16" s="567" t="n">
        <v>1</v>
      </c>
      <c r="J16" s="567" t="n">
        <v>1</v>
      </c>
      <c r="K16" s="567" t="n">
        <v>1</v>
      </c>
      <c r="L16" s="567" t="n">
        <v>1</v>
      </c>
      <c r="M16" s="567" t="n">
        <v>1</v>
      </c>
      <c r="N16" s="567" t="n">
        <v>1</v>
      </c>
      <c r="O16" s="567" t="n">
        <v>1</v>
      </c>
      <c r="P16" s="567" t="n">
        <v>1</v>
      </c>
      <c r="Q16" s="567" t="n">
        <v>1</v>
      </c>
      <c r="R16" s="567" t="n">
        <v>1</v>
      </c>
      <c r="S16" s="567" t="n">
        <v>1</v>
      </c>
      <c r="T16" s="567" t="n">
        <v>1</v>
      </c>
      <c r="U16" s="567" t="n">
        <v>1</v>
      </c>
      <c r="V16" s="567" t="n">
        <v>1</v>
      </c>
      <c r="W16" s="567" t="n">
        <v>1</v>
      </c>
      <c r="X16" s="567" t="n">
        <v>1</v>
      </c>
      <c r="Y16" s="567" t="n">
        <v>1</v>
      </c>
      <c r="Z16" s="567" t="n">
        <v>1</v>
      </c>
      <c r="AA16" s="567" t="n">
        <v>1</v>
      </c>
      <c r="AB16" s="567" t="n">
        <v>1</v>
      </c>
      <c r="AC16" s="567" t="n">
        <v>1</v>
      </c>
    </row>
    <row r="17" ht="12" customHeight="1" s="244">
      <c r="A17" s="261" t="n"/>
      <c r="B17" s="282" t="n"/>
      <c r="C17" s="564" t="n"/>
      <c r="D17" s="261" t="n"/>
      <c r="E17" s="259" t="n"/>
      <c r="F17" s="566">
        <f>F12</f>
        <v/>
      </c>
      <c r="G17" s="566">
        <f>G12</f>
        <v/>
      </c>
      <c r="H17" s="566">
        <f>H12</f>
        <v/>
      </c>
      <c r="I17" s="566">
        <f>I12</f>
        <v/>
      </c>
      <c r="J17" s="566">
        <f>J12</f>
        <v/>
      </c>
      <c r="K17" s="566">
        <f>K12</f>
        <v/>
      </c>
      <c r="L17" s="566">
        <f>L12</f>
        <v/>
      </c>
      <c r="M17" s="566">
        <f>M12</f>
        <v/>
      </c>
      <c r="N17" s="566">
        <f>N12</f>
        <v/>
      </c>
      <c r="O17" s="566">
        <f>O12</f>
        <v/>
      </c>
      <c r="P17" s="566">
        <f>P12</f>
        <v/>
      </c>
      <c r="Q17" s="566">
        <f>Q12</f>
        <v/>
      </c>
      <c r="R17" s="566">
        <f>R12</f>
        <v/>
      </c>
      <c r="S17" s="566">
        <f>S12</f>
        <v/>
      </c>
      <c r="T17" s="566">
        <f>T12</f>
        <v/>
      </c>
      <c r="U17" s="566">
        <f>U12</f>
        <v/>
      </c>
      <c r="V17" s="566">
        <f>V12</f>
        <v/>
      </c>
      <c r="W17" s="566">
        <f>W12</f>
        <v/>
      </c>
      <c r="X17" s="566">
        <f>X12</f>
        <v/>
      </c>
      <c r="Y17" s="566">
        <f>Y12</f>
        <v/>
      </c>
      <c r="Z17" s="566">
        <f>Z12</f>
        <v/>
      </c>
      <c r="AA17" s="566">
        <f>AA12</f>
        <v/>
      </c>
      <c r="AB17" s="566">
        <f>AB12</f>
        <v/>
      </c>
      <c r="AC17" s="566">
        <f>AC12</f>
        <v/>
      </c>
    </row>
    <row r="18" ht="16.5" customHeight="1" s="244">
      <c r="A18" s="261" t="n"/>
      <c r="B18" s="282" t="n"/>
      <c r="C18" s="564" t="n"/>
      <c r="D18" s="261" t="n"/>
      <c r="E18" s="259" t="n"/>
      <c r="F18" s="570">
        <f>F13/F17</f>
        <v/>
      </c>
      <c r="G18" s="570">
        <f>G13/G17</f>
        <v/>
      </c>
      <c r="H18" s="570">
        <f>H13/H17</f>
        <v/>
      </c>
      <c r="I18" s="570">
        <f>I13/I17</f>
        <v/>
      </c>
      <c r="J18" s="570">
        <f>J13/J17</f>
        <v/>
      </c>
      <c r="K18" s="570">
        <f>K13/K17</f>
        <v/>
      </c>
      <c r="L18" s="570">
        <f>L13/L17</f>
        <v/>
      </c>
      <c r="M18" s="570">
        <f>M13/M17</f>
        <v/>
      </c>
      <c r="N18" s="570">
        <f>N13/N17</f>
        <v/>
      </c>
      <c r="O18" s="570">
        <f>O13/O17</f>
        <v/>
      </c>
      <c r="P18" s="570">
        <f>P13/P17</f>
        <v/>
      </c>
      <c r="Q18" s="570">
        <f>Q13/Q17</f>
        <v/>
      </c>
      <c r="R18" s="570">
        <f>R13/R17</f>
        <v/>
      </c>
      <c r="S18" s="570">
        <f>S13/S17</f>
        <v/>
      </c>
      <c r="T18" s="570">
        <f>T13/T17</f>
        <v/>
      </c>
      <c r="U18" s="570">
        <f>U13/U17</f>
        <v/>
      </c>
      <c r="V18" s="570">
        <f>V13/V17</f>
        <v/>
      </c>
      <c r="W18" s="570">
        <f>W13/W17</f>
        <v/>
      </c>
      <c r="X18" s="570">
        <f>X13/X17</f>
        <v/>
      </c>
      <c r="Y18" s="570">
        <f>Y13/Y17</f>
        <v/>
      </c>
      <c r="Z18" s="570">
        <f>Z13/Z17</f>
        <v/>
      </c>
      <c r="AA18" s="570">
        <f>AA13/AA17</f>
        <v/>
      </c>
      <c r="AB18" s="570">
        <f>AB13/AB17</f>
        <v/>
      </c>
      <c r="AC18" s="570">
        <f>AC13/AC17</f>
        <v/>
      </c>
    </row>
    <row r="19" ht="19.5" customHeight="1" s="244">
      <c r="A19" s="261" t="n"/>
      <c r="B19" s="282" t="n"/>
      <c r="C19" s="564" t="n"/>
      <c r="D19" s="261" t="n"/>
      <c r="E19" s="259" t="n"/>
      <c r="F19" s="570">
        <f>F10+(F14/8.92)^0.91</f>
        <v/>
      </c>
      <c r="G19" s="570">
        <f>G10+(G14/8.92)^0.91</f>
        <v/>
      </c>
      <c r="H19" s="570">
        <f>H10+(H14/8.92)^0.91</f>
        <v/>
      </c>
      <c r="I19" s="570">
        <f>I10+(I14/8.92)^0.91</f>
        <v/>
      </c>
      <c r="J19" s="570">
        <f>J10+(J14/8.92)^0.91</f>
        <v/>
      </c>
      <c r="K19" s="570">
        <f>K10+(K14/8.92)^0.91</f>
        <v/>
      </c>
      <c r="L19" s="570">
        <f>L10+(L14/8.92)^0.91</f>
        <v/>
      </c>
      <c r="M19" s="570">
        <f>M10+(M14/8.92)^0.91</f>
        <v/>
      </c>
      <c r="N19" s="571">
        <f>N10+(N14/8.92)^0.91</f>
        <v/>
      </c>
      <c r="O19" s="570">
        <f>O10+(O14/8.92)^0.91</f>
        <v/>
      </c>
      <c r="P19" s="570">
        <f>P10+(P14/8.92)^0.91</f>
        <v/>
      </c>
      <c r="Q19" s="570">
        <f>Q10+(Q14/8.92)^0.91</f>
        <v/>
      </c>
      <c r="R19" s="570">
        <f>R10+(R14/8.92)^0.91</f>
        <v/>
      </c>
      <c r="S19" s="570">
        <f>S10+(S14/8.92)^0.91</f>
        <v/>
      </c>
      <c r="T19" s="570">
        <f>T10+(T14/8.92)^0.91</f>
        <v/>
      </c>
      <c r="U19" s="570">
        <f>U10+(U14/8.92)^0.91</f>
        <v/>
      </c>
      <c r="V19" s="571">
        <f>V10+(V14/8.92)^0.91</f>
        <v/>
      </c>
      <c r="W19" s="570">
        <f>W10+(W14/8.92)^0.91</f>
        <v/>
      </c>
      <c r="X19" s="570">
        <f>X10+(X14/8.92)^0.91</f>
        <v/>
      </c>
      <c r="Y19" s="570">
        <f>Y10+(Y14/8.92)^0.91</f>
        <v/>
      </c>
      <c r="Z19" s="570">
        <f>Z10+(Z14/8.92)^0.91</f>
        <v/>
      </c>
      <c r="AA19" s="570">
        <f>AA10+(AA14/8.92)^0.91</f>
        <v/>
      </c>
      <c r="AB19" s="570">
        <f>AB10+(AB14/8.92)^0.91</f>
        <v/>
      </c>
      <c r="AC19" s="570">
        <f>AC10+(AC14/8.92)^0.91</f>
        <v/>
      </c>
    </row>
    <row r="20" ht="12" customHeight="1" s="244">
      <c r="A20" s="261" t="n"/>
      <c r="B20" s="282" t="n"/>
      <c r="C20" s="564" t="n"/>
      <c r="D20" s="261" t="n"/>
      <c r="E20" s="259" t="n"/>
      <c r="F20" s="566" t="n">
        <v>45</v>
      </c>
      <c r="G20" s="566" t="n">
        <v>45</v>
      </c>
      <c r="H20" s="566" t="n">
        <v>45</v>
      </c>
      <c r="I20" s="566" t="n">
        <v>45</v>
      </c>
      <c r="J20" s="566" t="n">
        <v>45</v>
      </c>
      <c r="K20" s="566" t="n">
        <v>45</v>
      </c>
      <c r="L20" s="566" t="n">
        <v>45</v>
      </c>
      <c r="M20" s="566" t="n">
        <v>45</v>
      </c>
      <c r="N20" s="566" t="n">
        <v>45</v>
      </c>
      <c r="O20" s="566" t="n">
        <v>45</v>
      </c>
      <c r="P20" s="566" t="n">
        <v>45</v>
      </c>
      <c r="Q20" s="566" t="n">
        <v>45</v>
      </c>
      <c r="R20" s="566" t="n">
        <v>45</v>
      </c>
      <c r="S20" s="566" t="n">
        <v>45</v>
      </c>
      <c r="T20" s="566" t="n">
        <v>45</v>
      </c>
      <c r="U20" s="566" t="n">
        <v>45</v>
      </c>
      <c r="V20" s="566" t="n">
        <v>45</v>
      </c>
      <c r="W20" s="566" t="n">
        <v>45</v>
      </c>
      <c r="X20" s="566" t="n">
        <v>45</v>
      </c>
      <c r="Y20" s="566" t="n">
        <v>45</v>
      </c>
      <c r="Z20" s="566" t="n">
        <v>45</v>
      </c>
      <c r="AA20" s="566" t="n">
        <v>45</v>
      </c>
      <c r="AB20" s="566" t="n">
        <v>45</v>
      </c>
      <c r="AC20" s="566" t="n">
        <v>45</v>
      </c>
    </row>
    <row r="21" ht="12" customHeight="1" s="244">
      <c r="A21" s="261" t="n"/>
      <c r="B21" s="572" t="n"/>
      <c r="C21" s="564" t="n"/>
      <c r="D21" s="261" t="n"/>
      <c r="E21" s="259" t="n"/>
      <c r="F21" s="566">
        <f>F20-F10</f>
        <v/>
      </c>
      <c r="G21" s="566">
        <f>G20-G10</f>
        <v/>
      </c>
      <c r="H21" s="566">
        <f>H20-H10</f>
        <v/>
      </c>
      <c r="I21" s="566">
        <f>I20-I10</f>
        <v/>
      </c>
      <c r="J21" s="566">
        <f>J20-J10</f>
        <v/>
      </c>
      <c r="K21" s="566">
        <f>K20-K10</f>
        <v/>
      </c>
      <c r="L21" s="566">
        <f>L20-L10</f>
        <v/>
      </c>
      <c r="M21" s="566">
        <f>M20-M10</f>
        <v/>
      </c>
      <c r="N21" s="566">
        <f>N20-N10</f>
        <v/>
      </c>
      <c r="O21" s="566">
        <f>O20-O10</f>
        <v/>
      </c>
      <c r="P21" s="566">
        <f>P20-P10</f>
        <v/>
      </c>
      <c r="Q21" s="566">
        <f>Q20-Q10</f>
        <v/>
      </c>
      <c r="R21" s="566">
        <f>R20-R10</f>
        <v/>
      </c>
      <c r="S21" s="566">
        <f>S20-S10</f>
        <v/>
      </c>
      <c r="T21" s="566">
        <f>T20-T10</f>
        <v/>
      </c>
      <c r="U21" s="566">
        <f>U20-U10</f>
        <v/>
      </c>
      <c r="V21" s="566">
        <f>V20-V10</f>
        <v/>
      </c>
      <c r="W21" s="566">
        <f>W20-W10</f>
        <v/>
      </c>
      <c r="X21" s="566">
        <f>X20-X10</f>
        <v/>
      </c>
      <c r="Y21" s="566">
        <f>Y20-Y10</f>
        <v/>
      </c>
      <c r="Z21" s="566">
        <f>Z20-Z10</f>
        <v/>
      </c>
      <c r="AA21" s="566">
        <f>AA20-AA10</f>
        <v/>
      </c>
      <c r="AB21" s="566">
        <f>AB20-AB10</f>
        <v/>
      </c>
      <c r="AC21" s="566">
        <f>AC20-AC10</f>
        <v/>
      </c>
    </row>
    <row r="22" ht="12" customHeight="1" s="244">
      <c r="A22" s="261" t="n"/>
      <c r="B22" s="573" t="n"/>
      <c r="C22" s="564" t="n"/>
      <c r="D22" s="261" t="n"/>
      <c r="E22" s="259" t="n"/>
      <c r="F22" s="566" t="n">
        <v>15</v>
      </c>
      <c r="G22" s="566" t="n">
        <v>15</v>
      </c>
      <c r="H22" s="566" t="n">
        <v>15</v>
      </c>
      <c r="I22" s="566" t="n">
        <v>15</v>
      </c>
      <c r="J22" s="566" t="n">
        <v>15</v>
      </c>
      <c r="K22" s="566" t="n">
        <v>15</v>
      </c>
      <c r="L22" s="566" t="n">
        <v>15</v>
      </c>
      <c r="M22" s="566" t="n">
        <v>15</v>
      </c>
      <c r="N22" s="566" t="n">
        <v>15</v>
      </c>
      <c r="O22" s="566" t="n">
        <v>15</v>
      </c>
      <c r="P22" s="566" t="n">
        <v>15</v>
      </c>
      <c r="Q22" s="566" t="n">
        <v>15</v>
      </c>
      <c r="R22" s="566" t="n">
        <v>15</v>
      </c>
      <c r="S22" s="566" t="n">
        <v>15</v>
      </c>
      <c r="T22" s="566" t="n">
        <v>15</v>
      </c>
      <c r="U22" s="566" t="n">
        <v>15</v>
      </c>
      <c r="V22" s="566" t="n">
        <v>15</v>
      </c>
      <c r="W22" s="566" t="n">
        <v>15</v>
      </c>
      <c r="X22" s="566" t="n">
        <v>15</v>
      </c>
      <c r="Y22" s="566" t="n">
        <v>15</v>
      </c>
      <c r="Z22" s="566" t="n">
        <v>15</v>
      </c>
      <c r="AA22" s="566" t="n">
        <v>15</v>
      </c>
      <c r="AB22" s="566" t="n">
        <v>15</v>
      </c>
      <c r="AC22" s="566" t="n">
        <v>15</v>
      </c>
    </row>
    <row r="23" ht="12" customHeight="1" s="244">
      <c r="A23" s="261" t="n"/>
      <c r="B23" s="573" t="n"/>
      <c r="C23" s="564" t="n"/>
      <c r="D23" s="261" t="n"/>
      <c r="E23" s="259" t="n"/>
      <c r="F23" s="574" t="n">
        <v>40</v>
      </c>
      <c r="G23" s="574" t="n">
        <v>40</v>
      </c>
      <c r="H23" s="574" t="n">
        <v>40</v>
      </c>
      <c r="I23" s="574" t="n">
        <v>40</v>
      </c>
      <c r="J23" s="574" t="n">
        <v>40</v>
      </c>
      <c r="K23" s="574" t="n">
        <v>40</v>
      </c>
      <c r="L23" s="574" t="n">
        <v>40</v>
      </c>
      <c r="M23" s="574" t="n">
        <v>40</v>
      </c>
      <c r="N23" s="574" t="n">
        <v>40</v>
      </c>
      <c r="O23" s="574" t="n">
        <v>40</v>
      </c>
      <c r="P23" s="574" t="n">
        <v>40</v>
      </c>
      <c r="Q23" s="574" t="n">
        <v>40</v>
      </c>
      <c r="R23" s="574" t="n">
        <v>40</v>
      </c>
      <c r="S23" s="574" t="n">
        <v>40</v>
      </c>
      <c r="T23" s="574" t="n">
        <v>40</v>
      </c>
      <c r="U23" s="574" t="n">
        <v>40</v>
      </c>
      <c r="V23" s="574" t="n">
        <v>40</v>
      </c>
      <c r="W23" s="574" t="n">
        <v>40</v>
      </c>
      <c r="X23" s="574" t="n">
        <v>40</v>
      </c>
      <c r="Y23" s="574" t="n">
        <v>40</v>
      </c>
      <c r="Z23" s="574" t="n">
        <v>40</v>
      </c>
      <c r="AA23" s="574" t="n">
        <v>40</v>
      </c>
      <c r="AB23" s="574" t="n">
        <v>40</v>
      </c>
      <c r="AC23" s="574" t="n">
        <v>40</v>
      </c>
    </row>
    <row r="24" ht="12" customHeight="1" s="244">
      <c r="A24" s="261" t="n"/>
      <c r="B24" s="572" t="n"/>
      <c r="C24" s="564" t="n"/>
      <c r="D24" s="261" t="n"/>
      <c r="E24" s="259" t="n"/>
      <c r="F24" s="566">
        <f>F23-F10</f>
        <v/>
      </c>
      <c r="G24" s="566">
        <f>G23-G10</f>
        <v/>
      </c>
      <c r="H24" s="566">
        <f>H23-H10</f>
        <v/>
      </c>
      <c r="I24" s="566">
        <f>I23-I10</f>
        <v/>
      </c>
      <c r="J24" s="566">
        <f>J23-J10</f>
        <v/>
      </c>
      <c r="K24" s="566">
        <f>K23-K10</f>
        <v/>
      </c>
      <c r="L24" s="566">
        <f>L23-L10</f>
        <v/>
      </c>
      <c r="M24" s="566">
        <f>M23-M10</f>
        <v/>
      </c>
      <c r="N24" s="566">
        <f>N23-N10</f>
        <v/>
      </c>
      <c r="O24" s="566">
        <f>O23-O10</f>
        <v/>
      </c>
      <c r="P24" s="566">
        <f>P23-P10</f>
        <v/>
      </c>
      <c r="Q24" s="566">
        <f>Q23-Q10</f>
        <v/>
      </c>
      <c r="R24" s="566">
        <f>R23-R10</f>
        <v/>
      </c>
      <c r="S24" s="566">
        <f>S23-S10</f>
        <v/>
      </c>
      <c r="T24" s="566">
        <f>T23-T10</f>
        <v/>
      </c>
      <c r="U24" s="566">
        <f>U23-U10</f>
        <v/>
      </c>
      <c r="V24" s="566">
        <f>V23-V10</f>
        <v/>
      </c>
      <c r="W24" s="566">
        <f>W23-W10</f>
        <v/>
      </c>
      <c r="X24" s="566">
        <f>X23-X10</f>
        <v/>
      </c>
      <c r="Y24" s="566">
        <f>Y23-Y10</f>
        <v/>
      </c>
      <c r="Z24" s="566">
        <f>Z23-Z10</f>
        <v/>
      </c>
      <c r="AA24" s="566">
        <f>AA23-AA10</f>
        <v/>
      </c>
      <c r="AB24" s="566">
        <f>AB23-AB10</f>
        <v/>
      </c>
      <c r="AC24" s="566">
        <f>AC23-AC10</f>
        <v/>
      </c>
    </row>
    <row r="25" ht="12" customHeight="1" s="244">
      <c r="A25" s="261" t="n"/>
      <c r="B25" s="572" t="n"/>
      <c r="C25" s="564" t="n"/>
      <c r="D25" s="261" t="n"/>
      <c r="E25" s="259" t="n"/>
      <c r="F25" s="566">
        <f>2*(F21-F24)</f>
        <v/>
      </c>
      <c r="G25" s="566">
        <f>2*(G21-G24)</f>
        <v/>
      </c>
      <c r="H25" s="566">
        <f>2*(H21-H24)</f>
        <v/>
      </c>
      <c r="I25" s="566">
        <f>2*(I21-I24)</f>
        <v/>
      </c>
      <c r="J25" s="566">
        <f>2*(J21-J24)</f>
        <v/>
      </c>
      <c r="K25" s="566">
        <f>2*(K21-K24)</f>
        <v/>
      </c>
      <c r="L25" s="566">
        <f>2*(L21-L24)</f>
        <v/>
      </c>
      <c r="M25" s="566">
        <f>2*(M21-M24)</f>
        <v/>
      </c>
      <c r="N25" s="566">
        <f>2*(N21-N24)</f>
        <v/>
      </c>
      <c r="O25" s="566">
        <f>2*(O21-O24)</f>
        <v/>
      </c>
      <c r="P25" s="566">
        <f>2*(P21-P24)</f>
        <v/>
      </c>
      <c r="Q25" s="566">
        <f>2*(Q21-Q24)</f>
        <v/>
      </c>
      <c r="R25" s="566">
        <f>2*(R21-R24)</f>
        <v/>
      </c>
      <c r="S25" s="566">
        <f>2*(S21-S24)</f>
        <v/>
      </c>
      <c r="T25" s="566">
        <f>2*(T21-T24)</f>
        <v/>
      </c>
      <c r="U25" s="566">
        <f>2*(U21-U24)</f>
        <v/>
      </c>
      <c r="V25" s="566">
        <f>2*(V21-V24)</f>
        <v/>
      </c>
      <c r="W25" s="566">
        <f>2*(W21-W24)</f>
        <v/>
      </c>
      <c r="X25" s="566">
        <f>2*(X21-X24)</f>
        <v/>
      </c>
      <c r="Y25" s="566">
        <f>2*(Y21-Y24)</f>
        <v/>
      </c>
      <c r="Z25" s="566">
        <f>2*(Z21-Z24)</f>
        <v/>
      </c>
      <c r="AA25" s="566">
        <f>2*(AA21-AA24)</f>
        <v/>
      </c>
      <c r="AB25" s="566">
        <f>2*(AB21-AB24)</f>
        <v/>
      </c>
      <c r="AC25" s="566">
        <f>2*(AC21-AC24)</f>
        <v/>
      </c>
    </row>
    <row r="26" ht="12" customHeight="1" s="244">
      <c r="A26" s="261" t="n"/>
      <c r="B26" s="573" t="n"/>
      <c r="C26" s="564" t="n"/>
      <c r="D26" s="575" t="n"/>
      <c r="E26" s="259" t="n"/>
      <c r="F26" s="570">
        <f>0.2*F14</f>
        <v/>
      </c>
      <c r="G26" s="570">
        <f>0.2*G14</f>
        <v/>
      </c>
      <c r="H26" s="570">
        <f>0.2*H14</f>
        <v/>
      </c>
      <c r="I26" s="570">
        <f>0.2*I14</f>
        <v/>
      </c>
      <c r="J26" s="570">
        <f>0.2*J14</f>
        <v/>
      </c>
      <c r="K26" s="570">
        <f>0.2*K14</f>
        <v/>
      </c>
      <c r="L26" s="570">
        <f>0.2*L14</f>
        <v/>
      </c>
      <c r="M26" s="570">
        <f>0.2*M14</f>
        <v/>
      </c>
      <c r="N26" s="570">
        <f>0.2*N14</f>
        <v/>
      </c>
      <c r="O26" s="570">
        <f>0.2*O14</f>
        <v/>
      </c>
      <c r="P26" s="570">
        <f>0.2*P14</f>
        <v/>
      </c>
      <c r="Q26" s="570">
        <f>0.2*Q14</f>
        <v/>
      </c>
      <c r="R26" s="570">
        <f>0.2*R14</f>
        <v/>
      </c>
      <c r="S26" s="570">
        <f>0.2*S14</f>
        <v/>
      </c>
      <c r="T26" s="570">
        <f>0.2*T14</f>
        <v/>
      </c>
      <c r="U26" s="570">
        <f>0.2*U14</f>
        <v/>
      </c>
      <c r="V26" s="570">
        <f>0.2*V14</f>
        <v/>
      </c>
      <c r="W26" s="570">
        <f>0.2*W14</f>
        <v/>
      </c>
      <c r="X26" s="570">
        <f>0.2*X14</f>
        <v/>
      </c>
      <c r="Y26" s="570">
        <f>0.2*Y14</f>
        <v/>
      </c>
      <c r="Z26" s="570">
        <f>0.2*Z14</f>
        <v/>
      </c>
      <c r="AA26" s="570">
        <f>0.2*AA14</f>
        <v/>
      </c>
      <c r="AB26" s="570">
        <f>0.2*AB14</f>
        <v/>
      </c>
      <c r="AC26" s="570">
        <f>0.2*AC14</f>
        <v/>
      </c>
    </row>
    <row r="27" ht="12" customHeight="1" s="244">
      <c r="A27" s="261" t="n"/>
      <c r="B27" s="573" t="n"/>
      <c r="C27" s="564" t="n"/>
      <c r="D27" s="261" t="n"/>
      <c r="E27" s="259" t="n"/>
      <c r="F27" s="576">
        <f>F17*(F14+F26)</f>
        <v/>
      </c>
      <c r="G27" s="576">
        <f>G17*(G14+G26)</f>
        <v/>
      </c>
      <c r="H27" s="576">
        <f>H17*(H14+H26)</f>
        <v/>
      </c>
      <c r="I27" s="576">
        <f>I17*(I14+I26)</f>
        <v/>
      </c>
      <c r="J27" s="576">
        <f>J17*(J14+J26)</f>
        <v/>
      </c>
      <c r="K27" s="576">
        <f>K17*(K14+K26)</f>
        <v/>
      </c>
      <c r="L27" s="576">
        <f>L17*(L14+L26)</f>
        <v/>
      </c>
      <c r="M27" s="576">
        <f>M17*(M14+M26)</f>
        <v/>
      </c>
      <c r="N27" s="576">
        <f>N17*(N14+N26)</f>
        <v/>
      </c>
      <c r="O27" s="576">
        <f>O17*(O14+O26)</f>
        <v/>
      </c>
      <c r="P27" s="576">
        <f>P17*(P14+P26)</f>
        <v/>
      </c>
      <c r="Q27" s="576">
        <f>Q17*(Q14+Q26)</f>
        <v/>
      </c>
      <c r="R27" s="576">
        <f>R17*(R14+R26)</f>
        <v/>
      </c>
      <c r="S27" s="576">
        <f>S17*(S14+S26)</f>
        <v/>
      </c>
      <c r="T27" s="576">
        <f>T17*(T14+T26)</f>
        <v/>
      </c>
      <c r="U27" s="576">
        <f>U17*(U14+U26)</f>
        <v/>
      </c>
      <c r="V27" s="576">
        <f>V17*(V14+V26)</f>
        <v/>
      </c>
      <c r="W27" s="576">
        <f>W17*(W14+W26)</f>
        <v/>
      </c>
      <c r="X27" s="576">
        <f>X17*(X14+X26)</f>
        <v/>
      </c>
      <c r="Y27" s="576">
        <f>Y17*(Y14+Y26)</f>
        <v/>
      </c>
      <c r="Z27" s="576">
        <f>Z17*(Z14+Z26)</f>
        <v/>
      </c>
      <c r="AA27" s="576">
        <f>AA17*(AA14+AA26)</f>
        <v/>
      </c>
      <c r="AB27" s="576">
        <f>AB17*(AB14+AB26)</f>
        <v/>
      </c>
      <c r="AC27" s="576">
        <f>AC17*(AC14+AC26)</f>
        <v/>
      </c>
    </row>
    <row r="28" ht="12" customHeight="1" s="244">
      <c r="A28" s="261" t="n"/>
      <c r="B28" s="573" t="n"/>
      <c r="C28" s="564" t="n"/>
      <c r="D28" s="261" t="n"/>
      <c r="E28" s="259" t="n"/>
      <c r="F28" s="577">
        <f>F27/(1.163*F25)</f>
        <v/>
      </c>
      <c r="G28" s="577">
        <f>G27/(1.163*G25)</f>
        <v/>
      </c>
      <c r="H28" s="577">
        <f>H27/(1.163*H25)</f>
        <v/>
      </c>
      <c r="I28" s="577">
        <f>I27/(1.163*I25)</f>
        <v/>
      </c>
      <c r="J28" s="577">
        <f>J27/(1.163*J25)</f>
        <v/>
      </c>
      <c r="K28" s="577">
        <f>K27/(1.163*K25)</f>
        <v/>
      </c>
      <c r="L28" s="577">
        <f>L27/(1.163*L25)</f>
        <v/>
      </c>
      <c r="M28" s="577">
        <f>M27/(1.163*M25)</f>
        <v/>
      </c>
      <c r="N28" s="577">
        <f>N27/(1.163*N25)</f>
        <v/>
      </c>
      <c r="O28" s="577">
        <f>O27/(1.163*O25)</f>
        <v/>
      </c>
      <c r="P28" s="577">
        <f>P27/(1.163*P25)</f>
        <v/>
      </c>
      <c r="Q28" s="577">
        <f>Q27/(1.163*Q25)</f>
        <v/>
      </c>
      <c r="R28" s="577">
        <f>R27/(1.163*R25)</f>
        <v/>
      </c>
      <c r="S28" s="577">
        <f>S27/(1.163*S25)</f>
        <v/>
      </c>
      <c r="T28" s="577">
        <f>T27/(1.163*T25)</f>
        <v/>
      </c>
      <c r="U28" s="577">
        <f>U27/(1.163*U25)</f>
        <v/>
      </c>
      <c r="V28" s="577">
        <f>V27/(1.163*V25)</f>
        <v/>
      </c>
      <c r="W28" s="577">
        <f>W27/(1.163*W25)</f>
        <v/>
      </c>
      <c r="X28" s="577">
        <f>X27/(1.163*X25)</f>
        <v/>
      </c>
      <c r="Y28" s="577">
        <f>Y27/(1.163*Y25)</f>
        <v/>
      </c>
      <c r="Z28" s="577">
        <f>Z27/(1.163*Z25)</f>
        <v/>
      </c>
      <c r="AA28" s="577">
        <f>AA27/(1.163*AA25)</f>
        <v/>
      </c>
      <c r="AB28" s="577">
        <f>AB27/(1.163*AB25)</f>
        <v/>
      </c>
      <c r="AC28" s="577">
        <f>AC27/(1.163*AC25)</f>
        <v/>
      </c>
    </row>
    <row r="29" ht="12" customHeight="1" s="244">
      <c r="A29" s="261" t="n"/>
      <c r="B29" s="573" t="n"/>
      <c r="C29" s="564" t="n"/>
      <c r="D29" s="261" t="n"/>
      <c r="E29" s="259" t="n"/>
      <c r="F29" s="578">
        <f>F17/(F22*0.01)</f>
        <v/>
      </c>
      <c r="G29" s="578">
        <f>G17/(G22*0.01)</f>
        <v/>
      </c>
      <c r="H29" s="578">
        <f>H17/(H22*0.01)</f>
        <v/>
      </c>
      <c r="I29" s="578">
        <f>I17/(I22*0.01)</f>
        <v/>
      </c>
      <c r="J29" s="578">
        <f>J17/(J22*0.01)</f>
        <v/>
      </c>
      <c r="K29" s="578">
        <f>K17/(K22*0.01)</f>
        <v/>
      </c>
      <c r="L29" s="578">
        <f>L17/(L22*0.01)</f>
        <v/>
      </c>
      <c r="M29" s="578">
        <f>M17/(M22*0.01)</f>
        <v/>
      </c>
      <c r="N29" s="578">
        <f>N17/(N22*0.01)</f>
        <v/>
      </c>
      <c r="O29" s="578">
        <f>O17/(O22*0.01)</f>
        <v/>
      </c>
      <c r="P29" s="578">
        <f>P17/(P22*0.01)</f>
        <v/>
      </c>
      <c r="Q29" s="578">
        <f>Q17/(Q22*0.01)</f>
        <v/>
      </c>
      <c r="R29" s="578">
        <f>R17/(R22*0.01)</f>
        <v/>
      </c>
      <c r="S29" s="578">
        <f>S17/(S22*0.01)</f>
        <v/>
      </c>
      <c r="T29" s="578">
        <f>T17/(T22*0.01)</f>
        <v/>
      </c>
      <c r="U29" s="578">
        <f>U17/(U22*0.01)</f>
        <v/>
      </c>
      <c r="V29" s="578">
        <f>V17/(V22*0.01)</f>
        <v/>
      </c>
      <c r="W29" s="578">
        <f>W17/(W22*0.01)</f>
        <v/>
      </c>
      <c r="X29" s="578">
        <f>X17/(X22*0.01)</f>
        <v/>
      </c>
      <c r="Y29" s="578">
        <f>Y17/(Y22*0.01)</f>
        <v/>
      </c>
      <c r="Z29" s="578">
        <f>Z17/(Z22*0.01)</f>
        <v/>
      </c>
      <c r="AA29" s="578">
        <f>AA17/(AA22*0.01)</f>
        <v/>
      </c>
      <c r="AB29" s="578">
        <f>AB17/(AB22*0.01)</f>
        <v/>
      </c>
      <c r="AC29" s="578">
        <f>AC17/(AC22*0.01)</f>
        <v/>
      </c>
    </row>
    <row r="30" ht="12" customHeight="1" s="244">
      <c r="A30" s="261" t="n"/>
      <c r="B30" s="573" t="n"/>
      <c r="C30" s="564" t="inlineStr">
        <is>
          <t>BAĞLANTI BORULARI</t>
        </is>
      </c>
      <c r="D30" s="261" t="inlineStr">
        <is>
          <t>Kollektör ayakları devre boyuna dahildir</t>
        </is>
      </c>
      <c r="E30" s="259" t="n"/>
      <c r="F30" s="579" t="n">
        <v>0</v>
      </c>
      <c r="G30" s="579" t="n">
        <v>0</v>
      </c>
      <c r="H30" s="579" t="n">
        <v>0</v>
      </c>
      <c r="I30" s="579" t="n">
        <v>0</v>
      </c>
      <c r="J30" s="579" t="n">
        <v>0</v>
      </c>
      <c r="K30" s="579" t="n">
        <v>0</v>
      </c>
      <c r="L30" s="579" t="n">
        <v>0</v>
      </c>
      <c r="M30" s="579" t="n">
        <v>0</v>
      </c>
      <c r="N30" s="579" t="n">
        <v>0</v>
      </c>
      <c r="O30" s="579" t="n">
        <v>0</v>
      </c>
      <c r="P30" s="579" t="n">
        <v>0</v>
      </c>
      <c r="Q30" s="579" t="n">
        <v>0</v>
      </c>
      <c r="R30" s="579" t="n">
        <v>0</v>
      </c>
      <c r="S30" s="579" t="n">
        <v>0</v>
      </c>
      <c r="T30" s="579" t="n">
        <v>0</v>
      </c>
      <c r="U30" s="579" t="n">
        <v>0</v>
      </c>
      <c r="V30" s="579" t="n">
        <v>0</v>
      </c>
      <c r="W30" s="579" t="n">
        <v>0</v>
      </c>
      <c r="X30" s="579" t="n">
        <v>0</v>
      </c>
      <c r="Y30" s="579" t="n">
        <v>0</v>
      </c>
      <c r="Z30" s="579" t="n">
        <v>0</v>
      </c>
      <c r="AA30" s="579" t="n">
        <v>0</v>
      </c>
      <c r="AB30" s="579" t="n">
        <v>0</v>
      </c>
      <c r="AC30" s="579" t="n">
        <v>0</v>
      </c>
    </row>
    <row r="31" ht="12" customHeight="1" s="244">
      <c r="A31" s="261" t="n"/>
      <c r="B31" s="573" t="n"/>
      <c r="C31" s="564" t="n"/>
      <c r="D31" s="261" t="n"/>
      <c r="E31" s="259" t="n"/>
      <c r="F31" s="566">
        <f>F29+F30</f>
        <v/>
      </c>
      <c r="G31" s="566">
        <f>G29+G30</f>
        <v/>
      </c>
      <c r="H31" s="566">
        <f>H29+H30</f>
        <v/>
      </c>
      <c r="I31" s="566">
        <f>I29+I30</f>
        <v/>
      </c>
      <c r="J31" s="566">
        <f>J29+J30</f>
        <v/>
      </c>
      <c r="K31" s="566">
        <f>K29+K30</f>
        <v/>
      </c>
      <c r="L31" s="566">
        <f>L29+L30</f>
        <v/>
      </c>
      <c r="M31" s="566">
        <f>M29+M30</f>
        <v/>
      </c>
      <c r="N31" s="566">
        <f>N29+N30</f>
        <v/>
      </c>
      <c r="O31" s="566">
        <f>O29+O30</f>
        <v/>
      </c>
      <c r="P31" s="566">
        <f>P29+P30</f>
        <v/>
      </c>
      <c r="Q31" s="566">
        <f>Q29+Q30</f>
        <v/>
      </c>
      <c r="R31" s="566">
        <f>R29+R30</f>
        <v/>
      </c>
      <c r="S31" s="566">
        <f>S29+S30</f>
        <v/>
      </c>
      <c r="T31" s="566">
        <f>T29+T30</f>
        <v/>
      </c>
      <c r="U31" s="566">
        <f>U29+U30</f>
        <v/>
      </c>
      <c r="V31" s="566">
        <f>V29+V30</f>
        <v/>
      </c>
      <c r="W31" s="566">
        <f>W29+W30</f>
        <v/>
      </c>
      <c r="X31" s="566">
        <f>X29+X30</f>
        <v/>
      </c>
      <c r="Y31" s="566">
        <f>Y29+Y30</f>
        <v/>
      </c>
      <c r="Z31" s="566">
        <f>Z29+Z30</f>
        <v/>
      </c>
      <c r="AA31" s="566">
        <f>AA29+AA30</f>
        <v/>
      </c>
      <c r="AB31" s="566">
        <f>AB29+AB30</f>
        <v/>
      </c>
      <c r="AC31" s="566">
        <f>AC29+AC30</f>
        <v/>
      </c>
    </row>
    <row r="32" ht="12" customHeight="1" s="244">
      <c r="A32" s="261" t="n"/>
      <c r="B32" s="572" t="n"/>
      <c r="C32" s="56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578" t="n">
        <v>1571</v>
      </c>
      <c r="G32" s="578" t="n">
        <v>509</v>
      </c>
      <c r="H32" s="578" t="n">
        <v>592</v>
      </c>
      <c r="I32" s="578" t="n">
        <v>1070</v>
      </c>
      <c r="J32" s="578" t="n">
        <v>1062</v>
      </c>
      <c r="K32" s="578" t="n">
        <v>2079</v>
      </c>
      <c r="L32" s="578" t="n">
        <v>2308</v>
      </c>
      <c r="M32" s="578" t="n">
        <v>150</v>
      </c>
      <c r="N32" s="578" t="n">
        <v>1292</v>
      </c>
      <c r="O32" s="578" t="n">
        <v>419</v>
      </c>
      <c r="P32" s="578" t="n">
        <v>501</v>
      </c>
      <c r="Q32" s="578" t="n">
        <v>1072</v>
      </c>
      <c r="R32" s="578" t="n">
        <v>1042</v>
      </c>
      <c r="S32" s="578" t="n">
        <v>2104</v>
      </c>
      <c r="T32" s="578" t="n">
        <v>2300</v>
      </c>
      <c r="U32" s="578" t="n">
        <v>173</v>
      </c>
      <c r="V32" s="578" t="n">
        <v>687</v>
      </c>
      <c r="W32" s="578" t="n">
        <v>505</v>
      </c>
      <c r="X32" s="578" t="n">
        <v>595</v>
      </c>
      <c r="Y32" s="578" t="n">
        <v>1722</v>
      </c>
      <c r="Z32" s="578" t="n">
        <v>3163</v>
      </c>
      <c r="AA32" s="578" t="n">
        <v>2199</v>
      </c>
      <c r="AB32" s="578" t="n">
        <v>2211</v>
      </c>
      <c r="AC32" s="578" t="n">
        <v>92</v>
      </c>
    </row>
    <row r="33" ht="12" customHeight="1" s="244">
      <c r="A33" s="261" t="n"/>
      <c r="B33" s="572" t="n"/>
      <c r="C33" s="564" t="n"/>
      <c r="D33" s="261" t="n"/>
      <c r="E33" s="259" t="n"/>
      <c r="F33" s="566">
        <f>F32*0.05</f>
        <v/>
      </c>
      <c r="G33" s="566">
        <f>G32*0.05</f>
        <v/>
      </c>
      <c r="H33" s="566">
        <f>H32*0.05</f>
        <v/>
      </c>
      <c r="I33" s="566">
        <f>I32*0.05</f>
        <v/>
      </c>
      <c r="J33" s="566">
        <f>J32*0.05</f>
        <v/>
      </c>
      <c r="K33" s="566">
        <f>K32*0.05</f>
        <v/>
      </c>
      <c r="L33" s="566">
        <f>L32*0.05</f>
        <v/>
      </c>
      <c r="M33" s="566">
        <f>M32*0.05</f>
        <v/>
      </c>
      <c r="N33" s="566">
        <f>N32*0.05</f>
        <v/>
      </c>
      <c r="O33" s="566">
        <f>O32*0.05</f>
        <v/>
      </c>
      <c r="P33" s="566">
        <f>P32*0.05</f>
        <v/>
      </c>
      <c r="Q33" s="566">
        <f>Q32*0.05</f>
        <v/>
      </c>
      <c r="R33" s="566">
        <f>R32*0.05</f>
        <v/>
      </c>
      <c r="S33" s="566">
        <f>S32*0.05</f>
        <v/>
      </c>
      <c r="T33" s="566">
        <f>T32*0.05</f>
        <v/>
      </c>
      <c r="U33" s="566">
        <f>U32*0.05</f>
        <v/>
      </c>
      <c r="V33" s="566">
        <f>V32*0.05</f>
        <v/>
      </c>
      <c r="W33" s="566">
        <f>W32*0.05</f>
        <v/>
      </c>
      <c r="X33" s="566">
        <f>X32*0.05</f>
        <v/>
      </c>
      <c r="Y33" s="566">
        <f>Y32*0.05</f>
        <v/>
      </c>
      <c r="Z33" s="566">
        <f>Z32*0.05</f>
        <v/>
      </c>
      <c r="AA33" s="566">
        <f>AA32*0.05</f>
        <v/>
      </c>
      <c r="AB33" s="566">
        <f>AB32*0.05</f>
        <v/>
      </c>
      <c r="AC33" s="566">
        <f>AC32*0.05</f>
        <v/>
      </c>
    </row>
    <row r="34" ht="12" customHeight="1" s="244">
      <c r="A34" s="261" t="n"/>
      <c r="B34" s="572" t="n"/>
      <c r="C34" s="564" t="n"/>
      <c r="D34" s="261" t="n"/>
      <c r="E34" s="259" t="n"/>
      <c r="F34" s="566">
        <f>F32+F33</f>
        <v/>
      </c>
      <c r="G34" s="566">
        <f>G32+G33</f>
        <v/>
      </c>
      <c r="H34" s="566">
        <f>H32+H33</f>
        <v/>
      </c>
      <c r="I34" s="566">
        <f>I32+I33</f>
        <v/>
      </c>
      <c r="J34" s="566">
        <f>J32+J33</f>
        <v/>
      </c>
      <c r="K34" s="566">
        <f>K32+K33</f>
        <v/>
      </c>
      <c r="L34" s="566">
        <f>L32+L33</f>
        <v/>
      </c>
      <c r="M34" s="566">
        <f>M32+M33</f>
        <v/>
      </c>
      <c r="N34" s="566">
        <f>N32+N33</f>
        <v/>
      </c>
      <c r="O34" s="566">
        <f>O32+O33</f>
        <v/>
      </c>
      <c r="P34" s="566">
        <f>P32+P33</f>
        <v/>
      </c>
      <c r="Q34" s="566">
        <f>Q32+Q33</f>
        <v/>
      </c>
      <c r="R34" s="566">
        <f>R32+R33</f>
        <v/>
      </c>
      <c r="S34" s="566">
        <f>S32+S33</f>
        <v/>
      </c>
      <c r="T34" s="566">
        <f>T32+T33</f>
        <v/>
      </c>
      <c r="U34" s="566">
        <f>U32+U33</f>
        <v/>
      </c>
      <c r="V34" s="566">
        <f>V32+V33</f>
        <v/>
      </c>
      <c r="W34" s="566">
        <f>W32+W33</f>
        <v/>
      </c>
      <c r="X34" s="566">
        <f>X32+X33</f>
        <v/>
      </c>
      <c r="Y34" s="566">
        <f>Y32+Y33</f>
        <v/>
      </c>
      <c r="Z34" s="566">
        <f>Z32+Z33</f>
        <v/>
      </c>
      <c r="AA34" s="566">
        <f>AA32+AA33</f>
        <v/>
      </c>
      <c r="AB34" s="566">
        <f>AB32+AB33</f>
        <v/>
      </c>
      <c r="AC34" s="566">
        <f>AC32+AC33</f>
        <v/>
      </c>
    </row>
    <row r="35" ht="12" customHeight="1" s="244">
      <c r="A35" s="261" t="n"/>
      <c r="B35" s="572" t="n"/>
      <c r="C35" s="282" t="n"/>
      <c r="D35" s="261" t="n"/>
      <c r="E35" s="259" t="n"/>
      <c r="F35" s="580">
        <f>MAX(F34:AC34)-F34</f>
        <v/>
      </c>
      <c r="G35" s="580">
        <f>MAX(F34:AC34)-G34</f>
        <v/>
      </c>
      <c r="H35" s="580">
        <f>MAX(F34:AC34)-H34</f>
        <v/>
      </c>
      <c r="I35" s="580">
        <f>MAX(F34:AC34)-I34</f>
        <v/>
      </c>
      <c r="J35" s="580">
        <f>MAX(F34:AC34)-J34</f>
        <v/>
      </c>
      <c r="K35" s="580">
        <f>MAX(F34:AC34)-K34</f>
        <v/>
      </c>
      <c r="L35" s="580">
        <f>MAX(F34:AC34)-L34</f>
        <v/>
      </c>
      <c r="M35" s="580">
        <f>MAX(F34:AC34)-M34</f>
        <v/>
      </c>
      <c r="N35" s="580">
        <f>MAX(F34:AC34)-N34</f>
        <v/>
      </c>
      <c r="O35" s="580">
        <f>MAX(F34:AC34)-O34</f>
        <v/>
      </c>
      <c r="P35" s="580">
        <f>MAX(F34:AC34)-P34</f>
        <v/>
      </c>
      <c r="Q35" s="580">
        <f>MAX(F34:AC34)-Q34</f>
        <v/>
      </c>
      <c r="R35" s="580">
        <f>MAX(F34:AC34)-R34</f>
        <v/>
      </c>
      <c r="S35" s="580">
        <f>MAX(F34:AC34)-S34</f>
        <v/>
      </c>
      <c r="T35" s="580">
        <f>MAX(F34:AC34)-T34</f>
        <v/>
      </c>
      <c r="U35" s="580">
        <f>MAX(F34:AC34)-U34</f>
        <v/>
      </c>
      <c r="V35" s="580">
        <f>MAX(F34:AC34)-V34</f>
        <v/>
      </c>
      <c r="W35" s="580">
        <f>MAX(F34:AC34)-W34</f>
        <v/>
      </c>
      <c r="X35" s="580">
        <f>MAX(F34:AC34)-X34</f>
        <v/>
      </c>
      <c r="Y35" s="580">
        <f>MAX(F34:AC34)-Y34</f>
        <v/>
      </c>
      <c r="Z35" s="580">
        <f>MAX(F34:AC34)-Z34</f>
        <v/>
      </c>
      <c r="AA35" s="580">
        <f>MAX(F34:AC34)-AA34</f>
        <v/>
      </c>
      <c r="AB35" s="580">
        <f>MAX(F34:AC34)-AB34</f>
        <v/>
      </c>
      <c r="AC35" s="580">
        <f>MAX(F34:AC34)-AC34</f>
        <v/>
      </c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H38" s="243" t="n"/>
    </row>
    <row r="39" ht="12.75" customHeight="1" s="244">
      <c r="H39" s="581" t="n"/>
      <c r="I39" s="581" t="n"/>
      <c r="J39" s="581" t="n"/>
      <c r="K39" s="581" t="n"/>
      <c r="L39" s="581" t="n"/>
      <c r="M39" s="581" t="n"/>
      <c r="N39" s="581" t="n"/>
      <c r="O39" s="581" t="n"/>
      <c r="P39" s="581" t="n"/>
    </row>
    <row r="40" ht="12.75" customHeight="1" s="244">
      <c r="A40" s="582" t="inlineStr">
        <is>
          <t xml:space="preserve"> (1)</t>
        </is>
      </c>
      <c r="B40" s="243" t="inlineStr">
        <is>
          <t>Şek. 19.7.1 den seçilmiştir.</t>
        </is>
      </c>
      <c r="H40" s="581" t="n"/>
      <c r="I40" s="581" t="n"/>
      <c r="J40" s="581" t="n"/>
      <c r="K40" s="581" t="n"/>
      <c r="L40" s="581" t="n"/>
      <c r="M40" s="581" t="n"/>
      <c r="N40" s="581" t="n"/>
      <c r="O40" s="581" t="n"/>
      <c r="P40" s="581" t="n"/>
    </row>
    <row r="41" ht="12.75" customHeight="1" s="244">
      <c r="A41" s="582" t="inlineStr">
        <is>
          <t xml:space="preserve"> (2)</t>
        </is>
      </c>
      <c r="B41" s="243" t="inlineStr">
        <is>
          <t>Kombi gidiş suyu sıcaklığı 45 °C, dönüş 35 °C seçilmiştir.</t>
        </is>
      </c>
      <c r="H41" s="581" t="n"/>
      <c r="I41" s="581" t="n"/>
      <c r="J41" s="581" t="n"/>
      <c r="K41" s="581" t="n"/>
      <c r="L41" s="581" t="n"/>
      <c r="M41" s="581" t="n"/>
      <c r="N41" s="581" t="n"/>
      <c r="O41" s="581" t="n"/>
      <c r="P41" s="581" t="n"/>
    </row>
    <row r="42" ht="12.75" customHeight="1" s="244">
      <c r="A42" s="582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582" t="inlineStr">
        <is>
          <t xml:space="preserve"> (4)</t>
        </is>
      </c>
      <c r="B43" s="243" t="inlineStr">
        <is>
          <t>Alta geçen ısı 0,2 q" olarak alınmıştır. qh = mahal ısı kaybı (ISI KAYBI sayfaları) devrelere boru boyu oranında dağıtılmıştır (plan etiketi ve kolon şeması ile aynı).</t>
        </is>
      </c>
    </row>
    <row r="44" ht="12.75" customHeight="1" s="244">
      <c r="A44" s="582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582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82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83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47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54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584" t="n"/>
      <c r="Q1" s="585" t="n"/>
      <c r="R1" s="585" t="n"/>
      <c r="S1" s="585" t="n"/>
      <c r="T1" s="585" t="n"/>
      <c r="U1" s="585" t="n"/>
      <c r="V1" s="585" t="n"/>
      <c r="W1" s="585" t="n"/>
      <c r="X1" s="586" t="n"/>
      <c r="Y1" s="586" t="n"/>
    </row>
    <row r="2" ht="12.75" customFormat="1" customHeight="1" s="499">
      <c r="A2" s="550" t="inlineStr">
        <is>
          <t>1. KAT</t>
        </is>
      </c>
      <c r="B2" s="503" t="n"/>
      <c r="C2" s="551" t="inlineStr">
        <is>
          <t>DÖŞEMEDEN ISITMA HESAP ÖZETİ</t>
        </is>
      </c>
      <c r="D2" s="552" t="inlineStr">
        <is>
          <t>Ts.g  = 45 °C</t>
        </is>
      </c>
      <c r="E2" s="553" t="inlineStr">
        <is>
          <t>TOPLAM ISI = 11099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525" t="n"/>
      <c r="AA2" s="525" t="n"/>
      <c r="AB2" s="525" t="n"/>
      <c r="AC2" s="525" t="n"/>
    </row>
    <row r="3" ht="8.25" customFormat="1" customHeight="1" s="499">
      <c r="A3" s="502" t="n"/>
      <c r="B3" s="503" t="n"/>
      <c r="C3" s="507" t="n"/>
      <c r="D3" s="555" t="inlineStr">
        <is>
          <t>Isıtma Çevrim Sayısı : 24</t>
        </is>
      </c>
      <c r="E3" s="553" t="inlineStr">
        <is>
          <t>MAX. BASINÇ KAYBI = 2896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525" t="n"/>
      <c r="AA3" s="525" t="n"/>
      <c r="AB3" s="525" t="n"/>
      <c r="AC3" s="525" t="n"/>
    </row>
    <row r="4" ht="5.25" customFormat="1" customHeight="1" s="499">
      <c r="A4" s="502" t="n"/>
      <c r="B4" s="503" t="n"/>
      <c r="C4" s="507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525" t="n"/>
      <c r="AA4" s="525" t="n"/>
      <c r="AB4" s="525" t="n"/>
      <c r="AC4" s="525" t="n"/>
    </row>
    <row r="5" ht="15" customFormat="1" customHeight="1" s="499">
      <c r="A5" s="278" t="n"/>
      <c r="B5" s="277" t="n"/>
      <c r="C5" s="303" t="n"/>
      <c r="D5" s="501" t="inlineStr">
        <is>
          <t>Mak. Müh. CAN ÖZKAYA</t>
        </is>
      </c>
      <c r="E5" s="264" t="n"/>
      <c r="F5" s="264" t="n"/>
      <c r="G5" s="264" t="n"/>
      <c r="H5" s="264" t="n"/>
      <c r="I5" s="264" t="n"/>
      <c r="J5" s="260" t="n"/>
      <c r="K5" s="501" t="n"/>
      <c r="L5" s="501" t="n"/>
      <c r="M5" s="587" t="n"/>
      <c r="N5" s="587" t="n"/>
      <c r="O5" s="588" t="n"/>
      <c r="P5" s="588" t="n"/>
      <c r="Q5" s="588" t="n"/>
      <c r="R5" s="588" t="n"/>
      <c r="S5" s="588" t="n"/>
      <c r="T5" s="588" t="n"/>
      <c r="U5" s="588" t="n"/>
      <c r="V5" s="588" t="n"/>
      <c r="W5" s="588" t="n"/>
      <c r="X5" s="589" t="n"/>
      <c r="Y5" s="589" t="n"/>
      <c r="Z5" s="525" t="n"/>
      <c r="AA5" s="525" t="n"/>
      <c r="AB5" s="525" t="n"/>
      <c r="AC5" s="525" t="n"/>
    </row>
    <row r="6" ht="12" customHeight="1" s="244">
      <c r="A6" s="557" t="n"/>
      <c r="B6" s="557" t="n"/>
      <c r="C6" s="557" t="n"/>
      <c r="D6" s="557" t="n"/>
      <c r="E6" s="558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559" t="n"/>
      <c r="C7" s="560" t="n"/>
      <c r="D7" s="559" t="n"/>
      <c r="E7" s="561" t="n"/>
      <c r="F7" s="562" t="n">
        <v>8</v>
      </c>
      <c r="G7" s="562" t="n">
        <v>3</v>
      </c>
      <c r="H7" s="562" t="n">
        <v>2</v>
      </c>
      <c r="I7" s="562" t="n">
        <v>4</v>
      </c>
      <c r="J7" s="562" t="n">
        <v>5</v>
      </c>
      <c r="K7" s="562" t="n">
        <v>6</v>
      </c>
      <c r="L7" s="562" t="n">
        <v>7</v>
      </c>
      <c r="M7" s="562" t="n">
        <v>1</v>
      </c>
      <c r="N7" s="562" t="n">
        <v>16</v>
      </c>
      <c r="O7" s="562" t="n">
        <v>11</v>
      </c>
      <c r="P7" s="562" t="n">
        <v>10</v>
      </c>
      <c r="Q7" s="562" t="n">
        <v>9</v>
      </c>
      <c r="R7" s="562" t="n">
        <v>14</v>
      </c>
      <c r="S7" s="562" t="n">
        <v>15</v>
      </c>
      <c r="T7" s="562" t="n">
        <v>12</v>
      </c>
      <c r="U7" s="562" t="n">
        <v>13</v>
      </c>
      <c r="V7" s="562" t="n">
        <v>17</v>
      </c>
      <c r="W7" s="562" t="n">
        <v>22</v>
      </c>
      <c r="X7" s="562" t="n">
        <v>23</v>
      </c>
      <c r="Y7" s="562" t="n">
        <v>21</v>
      </c>
      <c r="Z7" s="562" t="n">
        <v>20</v>
      </c>
      <c r="AA7" s="562" t="n">
        <v>19</v>
      </c>
      <c r="AB7" s="562" t="n">
        <v>18</v>
      </c>
      <c r="AC7" s="562" t="n">
        <v>24</v>
      </c>
      <c r="AD7" s="561" t="n"/>
      <c r="AE7" s="561" t="n"/>
      <c r="AF7" s="561" t="n"/>
      <c r="AG7" s="561" t="n"/>
      <c r="AH7" s="561" t="n"/>
      <c r="AI7" s="561" t="n"/>
      <c r="AJ7" s="561" t="n"/>
      <c r="AK7" s="561" t="n"/>
      <c r="AL7" s="561" t="n"/>
      <c r="AM7" s="561" t="n"/>
      <c r="AN7" s="561" t="n"/>
      <c r="AO7" s="561" t="n"/>
      <c r="AP7" s="561" t="n"/>
      <c r="AQ7" s="561" t="n"/>
      <c r="AR7" s="561" t="n"/>
      <c r="AS7" s="561" t="n"/>
      <c r="AT7" s="561" t="n"/>
      <c r="AU7" s="561" t="n"/>
      <c r="AV7" s="561" t="n"/>
      <c r="AW7" s="561" t="n"/>
    </row>
    <row r="8" ht="12" customHeight="1" s="244">
      <c r="A8" s="261" t="n"/>
      <c r="B8" s="559" t="n"/>
      <c r="C8" s="560" t="n"/>
      <c r="D8" s="559" t="n"/>
      <c r="E8" s="561" t="n"/>
      <c r="F8" s="563" t="inlineStr">
        <is>
          <t>101</t>
        </is>
      </c>
      <c r="G8" s="563" t="inlineStr">
        <is>
          <t>102</t>
        </is>
      </c>
      <c r="H8" s="563" t="inlineStr">
        <is>
          <t>102</t>
        </is>
      </c>
      <c r="I8" s="563" t="inlineStr">
        <is>
          <t>103</t>
        </is>
      </c>
      <c r="J8" s="563" t="inlineStr">
        <is>
          <t>104</t>
        </is>
      </c>
      <c r="K8" s="563" t="inlineStr">
        <is>
          <t>105</t>
        </is>
      </c>
      <c r="L8" s="563" t="inlineStr">
        <is>
          <t>105</t>
        </is>
      </c>
      <c r="M8" s="563" t="inlineStr">
        <is>
          <t>106</t>
        </is>
      </c>
      <c r="N8" s="563" t="inlineStr">
        <is>
          <t>107</t>
        </is>
      </c>
      <c r="O8" s="563" t="inlineStr">
        <is>
          <t>108</t>
        </is>
      </c>
      <c r="P8" s="563" t="inlineStr">
        <is>
          <t>108</t>
        </is>
      </c>
      <c r="Q8" s="563" t="inlineStr">
        <is>
          <t>109</t>
        </is>
      </c>
      <c r="R8" s="563" t="inlineStr">
        <is>
          <t>110</t>
        </is>
      </c>
      <c r="S8" s="563" t="inlineStr">
        <is>
          <t>110</t>
        </is>
      </c>
      <c r="T8" s="563" t="inlineStr">
        <is>
          <t>111</t>
        </is>
      </c>
      <c r="U8" s="563" t="inlineStr">
        <is>
          <t>112</t>
        </is>
      </c>
      <c r="V8" s="563" t="inlineStr">
        <is>
          <t>113</t>
        </is>
      </c>
      <c r="W8" s="563" t="inlineStr">
        <is>
          <t>114</t>
        </is>
      </c>
      <c r="X8" s="563" t="inlineStr">
        <is>
          <t>114</t>
        </is>
      </c>
      <c r="Y8" s="563" t="inlineStr">
        <is>
          <t>115</t>
        </is>
      </c>
      <c r="Z8" s="563" t="inlineStr">
        <is>
          <t>116</t>
        </is>
      </c>
      <c r="AA8" s="563" t="inlineStr">
        <is>
          <t>117</t>
        </is>
      </c>
      <c r="AB8" s="563" t="inlineStr">
        <is>
          <t>117</t>
        </is>
      </c>
      <c r="AC8" s="563" t="inlineStr">
        <is>
          <t>118</t>
        </is>
      </c>
      <c r="AD8" s="561" t="n"/>
      <c r="AE8" s="590" t="n"/>
      <c r="AF8" s="590" t="n"/>
      <c r="AG8" s="561" t="n"/>
      <c r="AH8" s="561" t="n"/>
      <c r="AI8" s="561" t="n"/>
      <c r="AJ8" s="561" t="n"/>
      <c r="AK8" s="561" t="n"/>
      <c r="AL8" s="561" t="n"/>
      <c r="AM8" s="561" t="n"/>
      <c r="AN8" s="561" t="n"/>
      <c r="AO8" s="561" t="n"/>
      <c r="AP8" s="561" t="n"/>
      <c r="AQ8" s="561" t="n"/>
      <c r="AR8" s="590" t="n"/>
      <c r="AS8" s="561" t="n"/>
      <c r="AT8" s="561" t="n"/>
      <c r="AU8" s="561" t="n"/>
      <c r="AV8" s="561" t="n"/>
      <c r="AW8" s="590" t="n"/>
    </row>
    <row r="9" ht="30" customHeight="1" s="244">
      <c r="A9" s="261" t="n"/>
      <c r="B9" s="282" t="n"/>
      <c r="C9" s="564" t="n"/>
      <c r="D9" s="261" t="n"/>
      <c r="E9" s="259" t="n"/>
      <c r="F9" s="565" t="inlineStr">
        <is>
          <t>D4 mutfak</t>
        </is>
      </c>
      <c r="G9" s="565" t="inlineStr">
        <is>
          <t>D4 yatak od.</t>
        </is>
      </c>
      <c r="H9" s="565" t="inlineStr">
        <is>
          <t>D4 yatak od.</t>
        </is>
      </c>
      <c r="I9" s="565" t="inlineStr">
        <is>
          <t>D4 yatak od.</t>
        </is>
      </c>
      <c r="J9" s="565" t="inlineStr">
        <is>
          <t>D4 yatak od.</t>
        </is>
      </c>
      <c r="K9" s="565" t="inlineStr">
        <is>
          <t>D4 salon</t>
        </is>
      </c>
      <c r="L9" s="565" t="inlineStr">
        <is>
          <t>D4 salon</t>
        </is>
      </c>
      <c r="M9" s="565" t="inlineStr">
        <is>
          <t>D4 banyo</t>
        </is>
      </c>
      <c r="N9" s="565" t="inlineStr">
        <is>
          <t>D5 mutfak</t>
        </is>
      </c>
      <c r="O9" s="565" t="inlineStr">
        <is>
          <t>D5 yatak od.</t>
        </is>
      </c>
      <c r="P9" s="565" t="inlineStr">
        <is>
          <t>D5 yatak od.</t>
        </is>
      </c>
      <c r="Q9" s="565" t="inlineStr">
        <is>
          <t>D5 yatak od.</t>
        </is>
      </c>
      <c r="R9" s="565" t="inlineStr">
        <is>
          <t>D5 salon</t>
        </is>
      </c>
      <c r="S9" s="565" t="inlineStr">
        <is>
          <t>D5 salon</t>
        </is>
      </c>
      <c r="T9" s="565" t="inlineStr">
        <is>
          <t>D5 oda</t>
        </is>
      </c>
      <c r="U9" s="565" t="inlineStr">
        <is>
          <t>D5 wc-banyo</t>
        </is>
      </c>
      <c r="V9" s="565" t="inlineStr">
        <is>
          <t>D6 mutfak</t>
        </is>
      </c>
      <c r="W9" s="565" t="inlineStr">
        <is>
          <t>D6 yatak od.</t>
        </is>
      </c>
      <c r="X9" s="565" t="inlineStr">
        <is>
          <t>D6 yatak od.</t>
        </is>
      </c>
      <c r="Y9" s="565" t="inlineStr">
        <is>
          <t>D6 yatak od.</t>
        </is>
      </c>
      <c r="Z9" s="565" t="inlineStr">
        <is>
          <t>D6 yatak od.</t>
        </is>
      </c>
      <c r="AA9" s="565" t="inlineStr">
        <is>
          <t>D6 salon</t>
        </is>
      </c>
      <c r="AB9" s="565" t="inlineStr">
        <is>
          <t>D6 salon</t>
        </is>
      </c>
      <c r="AC9" s="565" t="inlineStr">
        <is>
          <t>D6 banyo</t>
        </is>
      </c>
      <c r="AD9" s="561" t="n"/>
      <c r="AE9" s="591" t="n"/>
      <c r="AF9" s="591" t="n"/>
      <c r="AG9" s="591" t="n"/>
      <c r="AH9" s="591" t="n"/>
      <c r="AI9" s="591" t="n"/>
      <c r="AJ9" s="561" t="n"/>
      <c r="AK9" s="561" t="n"/>
      <c r="AL9" s="561" t="n"/>
      <c r="AM9" s="561" t="n"/>
      <c r="AN9" s="561" t="n"/>
      <c r="AO9" s="592" t="n"/>
      <c r="AP9" s="592" t="n"/>
      <c r="AQ9" s="592" t="n"/>
      <c r="AR9" s="593" t="n"/>
      <c r="AS9" s="593" t="n"/>
      <c r="AT9" s="592" t="n"/>
      <c r="AU9" s="592" t="n"/>
      <c r="AV9" s="592" t="n"/>
      <c r="AW9" s="592" t="n"/>
    </row>
    <row r="10" ht="12" customHeight="1" s="244">
      <c r="A10" s="261" t="n"/>
      <c r="B10" s="282" t="n"/>
      <c r="C10" s="564" t="n"/>
      <c r="D10" s="261" t="n"/>
      <c r="E10" s="259" t="n"/>
      <c r="F10" s="566" t="n">
        <v>20</v>
      </c>
      <c r="G10" s="566" t="n">
        <v>20</v>
      </c>
      <c r="H10" s="566" t="n">
        <v>20</v>
      </c>
      <c r="I10" s="566" t="n">
        <v>20</v>
      </c>
      <c r="J10" s="566" t="n">
        <v>20</v>
      </c>
      <c r="K10" s="566" t="n">
        <v>20</v>
      </c>
      <c r="L10" s="566" t="n">
        <v>20</v>
      </c>
      <c r="M10" s="566" t="n">
        <v>24</v>
      </c>
      <c r="N10" s="566" t="n">
        <v>20</v>
      </c>
      <c r="O10" s="566" t="n">
        <v>20</v>
      </c>
      <c r="P10" s="566" t="n">
        <v>20</v>
      </c>
      <c r="Q10" s="566" t="n">
        <v>20</v>
      </c>
      <c r="R10" s="566" t="n">
        <v>20</v>
      </c>
      <c r="S10" s="566" t="n">
        <v>20</v>
      </c>
      <c r="T10" s="566" t="n">
        <v>20</v>
      </c>
      <c r="U10" s="566" t="n">
        <v>24</v>
      </c>
      <c r="V10" s="566" t="n">
        <v>20</v>
      </c>
      <c r="W10" s="566" t="n">
        <v>20</v>
      </c>
      <c r="X10" s="566" t="n">
        <v>20</v>
      </c>
      <c r="Y10" s="566" t="n">
        <v>20</v>
      </c>
      <c r="Z10" s="566" t="n">
        <v>20</v>
      </c>
      <c r="AA10" s="566" t="n">
        <v>20</v>
      </c>
      <c r="AB10" s="566" t="n">
        <v>20</v>
      </c>
      <c r="AC10" s="566" t="n">
        <v>24</v>
      </c>
      <c r="AD10" s="259" t="n"/>
      <c r="AE10" s="259" t="n"/>
      <c r="AF10" s="259" t="n"/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564" t="n"/>
      <c r="D11" s="261" t="n"/>
      <c r="E11" s="259" t="n"/>
      <c r="F11" s="566" t="n">
        <v>20</v>
      </c>
      <c r="G11" s="566" t="n">
        <v>20</v>
      </c>
      <c r="H11" s="566" t="n">
        <v>20</v>
      </c>
      <c r="I11" s="566" t="n">
        <v>20</v>
      </c>
      <c r="J11" s="566" t="n">
        <v>20</v>
      </c>
      <c r="K11" s="566" t="n">
        <v>20</v>
      </c>
      <c r="L11" s="566" t="n">
        <v>20</v>
      </c>
      <c r="M11" s="566" t="n">
        <v>20</v>
      </c>
      <c r="N11" s="566" t="n">
        <v>20</v>
      </c>
      <c r="O11" s="566" t="n">
        <v>20</v>
      </c>
      <c r="P11" s="566" t="n">
        <v>20</v>
      </c>
      <c r="Q11" s="566" t="n">
        <v>20</v>
      </c>
      <c r="R11" s="566" t="n">
        <v>20</v>
      </c>
      <c r="S11" s="566" t="n">
        <v>20</v>
      </c>
      <c r="T11" s="566" t="n">
        <v>20</v>
      </c>
      <c r="U11" s="566" t="n">
        <v>20</v>
      </c>
      <c r="V11" s="566" t="n">
        <v>20</v>
      </c>
      <c r="W11" s="566" t="n">
        <v>20</v>
      </c>
      <c r="X11" s="566" t="n">
        <v>20</v>
      </c>
      <c r="Y11" s="566" t="n">
        <v>20</v>
      </c>
      <c r="Z11" s="566" t="n">
        <v>20</v>
      </c>
      <c r="AA11" s="566" t="n">
        <v>20</v>
      </c>
      <c r="AB11" s="566" t="n">
        <v>20</v>
      </c>
      <c r="AC11" s="566" t="n">
        <v>20</v>
      </c>
      <c r="AD11" s="259" t="n"/>
      <c r="AE11" s="259" t="n"/>
      <c r="AF11" s="259" t="n"/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>
        <v>6</v>
      </c>
      <c r="B12" s="282" t="n"/>
      <c r="C12" s="564" t="n"/>
      <c r="D12" s="261" t="n"/>
      <c r="E12" s="259" t="n"/>
      <c r="F12" s="567" t="n">
        <v>5.76</v>
      </c>
      <c r="G12" s="567" t="n">
        <v>6.37</v>
      </c>
      <c r="H12" s="567" t="n">
        <v>6.96</v>
      </c>
      <c r="I12" s="567" t="n">
        <v>8.779999999999999</v>
      </c>
      <c r="J12" s="567" t="n">
        <v>8.83</v>
      </c>
      <c r="K12" s="567" t="n">
        <v>9.880000000000001</v>
      </c>
      <c r="L12" s="567" t="n">
        <v>10.25</v>
      </c>
      <c r="M12" s="567" t="n">
        <v>3.59</v>
      </c>
      <c r="N12" s="567" t="n">
        <v>5.54</v>
      </c>
      <c r="O12" s="567" t="n">
        <v>6.79</v>
      </c>
      <c r="P12" s="567" t="n">
        <v>7.35</v>
      </c>
      <c r="Q12" s="567" t="n">
        <v>8.640000000000001</v>
      </c>
      <c r="R12" s="567" t="n">
        <v>9.880000000000001</v>
      </c>
      <c r="S12" s="567" t="n">
        <v>10.87</v>
      </c>
      <c r="T12" s="567" t="n">
        <v>7.29</v>
      </c>
      <c r="U12" s="567" t="n">
        <v>2.41</v>
      </c>
      <c r="V12" s="567" t="n">
        <v>6.9</v>
      </c>
      <c r="W12" s="567" t="n">
        <v>6.49</v>
      </c>
      <c r="X12" s="567" t="n">
        <v>6.98</v>
      </c>
      <c r="Y12" s="567" t="n">
        <v>8.800000000000001</v>
      </c>
      <c r="Z12" s="567" t="n">
        <v>8.880000000000001</v>
      </c>
      <c r="AA12" s="567" t="n">
        <v>9.880000000000001</v>
      </c>
      <c r="AB12" s="567" t="n">
        <v>10.26</v>
      </c>
      <c r="AC12" s="567" t="n">
        <v>2.93</v>
      </c>
      <c r="AD12" s="594" t="n"/>
      <c r="AE12" s="594" t="n"/>
      <c r="AF12" s="594" t="n"/>
      <c r="AG12" s="594" t="n"/>
      <c r="AH12" s="594" t="n"/>
      <c r="AI12" s="594" t="n"/>
      <c r="AJ12" s="594" t="n"/>
      <c r="AK12" s="595" t="n"/>
      <c r="AL12" s="595" t="n"/>
      <c r="AM12" s="595" t="n"/>
      <c r="AN12" s="594" t="n"/>
      <c r="AO12" s="594" t="n"/>
      <c r="AP12" s="594" t="n"/>
      <c r="AQ12" s="594" t="n"/>
      <c r="AR12" s="594" t="n"/>
      <c r="AS12" s="594" t="n"/>
      <c r="AT12" s="594" t="n"/>
      <c r="AU12" s="594" t="n"/>
      <c r="AV12" s="594" t="n"/>
      <c r="AW12" s="594" t="n"/>
    </row>
    <row r="13" ht="12" customHeight="1" s="244">
      <c r="A13" s="261" t="n"/>
      <c r="B13" s="282" t="n"/>
      <c r="C13" s="564" t="inlineStr">
        <is>
          <t>DEVRE ISIL GÜCÜ</t>
        </is>
      </c>
      <c r="D13" s="261" t="inlineStr">
        <is>
          <t>Mahal ısı kaybı × devre boyu / mahal boru boyu</t>
        </is>
      </c>
      <c r="E13" s="259" t="n"/>
      <c r="F13" s="568" t="n">
        <v>571.7</v>
      </c>
      <c r="G13" s="568" t="n">
        <v>267.7</v>
      </c>
      <c r="H13" s="568" t="n">
        <v>292.8</v>
      </c>
      <c r="I13" s="568" t="n">
        <v>547.6</v>
      </c>
      <c r="J13" s="568" t="n">
        <v>535.8</v>
      </c>
      <c r="K13" s="568" t="n">
        <v>548.3</v>
      </c>
      <c r="L13" s="568" t="n">
        <v>568.7</v>
      </c>
      <c r="M13" s="568" t="n">
        <v>200.8</v>
      </c>
      <c r="N13" s="568" t="n">
        <v>539.7</v>
      </c>
      <c r="O13" s="568" t="n">
        <v>326</v>
      </c>
      <c r="P13" s="568" t="n">
        <v>352.7</v>
      </c>
      <c r="Q13" s="568" t="n">
        <v>561.9</v>
      </c>
      <c r="R13" s="568" t="n">
        <v>623.9</v>
      </c>
      <c r="S13" s="568" t="n">
        <v>686.9</v>
      </c>
      <c r="T13" s="568" t="n">
        <v>671.8</v>
      </c>
      <c r="U13" s="568" t="n">
        <v>114</v>
      </c>
      <c r="V13" s="568" t="n">
        <v>578.8</v>
      </c>
      <c r="W13" s="568" t="n">
        <v>348.5</v>
      </c>
      <c r="X13" s="568" t="n">
        <v>375.2</v>
      </c>
      <c r="Y13" s="568" t="n">
        <v>546.2</v>
      </c>
      <c r="Z13" s="568" t="n">
        <v>539.8</v>
      </c>
      <c r="AA13" s="568" t="n">
        <v>546.9</v>
      </c>
      <c r="AB13" s="568" t="n">
        <v>568</v>
      </c>
      <c r="AC13" s="568" t="n">
        <v>185.7</v>
      </c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  <c r="AO13" s="596" t="n"/>
      <c r="AP13" s="596" t="n"/>
      <c r="AQ13" s="596" t="n"/>
      <c r="AR13" s="596" t="n"/>
      <c r="AS13" s="596" t="n"/>
      <c r="AT13" s="596" t="n"/>
      <c r="AU13" s="596" t="n"/>
      <c r="AV13" s="596" t="n"/>
      <c r="AW13" s="596" t="n"/>
    </row>
    <row r="14" ht="12" customHeight="1" s="244">
      <c r="A14" s="261" t="n"/>
      <c r="B14" s="282" t="n"/>
      <c r="C14" s="564" t="n"/>
      <c r="D14" s="261" t="n"/>
      <c r="E14" s="259" t="n"/>
      <c r="F14" s="569">
        <f>F13/F12</f>
        <v/>
      </c>
      <c r="G14" s="569">
        <f>G13/G12</f>
        <v/>
      </c>
      <c r="H14" s="569">
        <f>H13/H12</f>
        <v/>
      </c>
      <c r="I14" s="569">
        <f>I13/I12</f>
        <v/>
      </c>
      <c r="J14" s="569">
        <f>J13/J12</f>
        <v/>
      </c>
      <c r="K14" s="569">
        <f>K13/K12</f>
        <v/>
      </c>
      <c r="L14" s="569">
        <f>L13/L12</f>
        <v/>
      </c>
      <c r="M14" s="569">
        <f>M13/M12</f>
        <v/>
      </c>
      <c r="N14" s="569">
        <f>N13/N12</f>
        <v/>
      </c>
      <c r="O14" s="569">
        <f>O13/O12</f>
        <v/>
      </c>
      <c r="P14" s="569">
        <f>P13/P12</f>
        <v/>
      </c>
      <c r="Q14" s="569">
        <f>Q13/Q12</f>
        <v/>
      </c>
      <c r="R14" s="569">
        <f>R13/R12</f>
        <v/>
      </c>
      <c r="S14" s="569">
        <f>S13/S12</f>
        <v/>
      </c>
      <c r="T14" s="569">
        <f>T13/T12</f>
        <v/>
      </c>
      <c r="U14" s="569">
        <f>U13/U12</f>
        <v/>
      </c>
      <c r="V14" s="569">
        <f>V13/V12</f>
        <v/>
      </c>
      <c r="W14" s="569">
        <f>W13/W12</f>
        <v/>
      </c>
      <c r="X14" s="569">
        <f>X13/X12</f>
        <v/>
      </c>
      <c r="Y14" s="569">
        <f>Y13/Y12</f>
        <v/>
      </c>
      <c r="Z14" s="569">
        <f>Z13/Z12</f>
        <v/>
      </c>
      <c r="AA14" s="569">
        <f>AA13/AA12</f>
        <v/>
      </c>
      <c r="AB14" s="569">
        <f>AB13/AB12</f>
        <v/>
      </c>
      <c r="AC14" s="569">
        <f>AC13/AC12</f>
        <v/>
      </c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</row>
    <row r="15" ht="12" customHeight="1" s="244">
      <c r="A15" s="261" t="n"/>
      <c r="B15" s="282" t="n"/>
      <c r="C15" s="564" t="n"/>
      <c r="D15" s="261" t="n"/>
      <c r="E15" s="259" t="n"/>
      <c r="F15" s="566" t="n">
        <v>0.012</v>
      </c>
      <c r="G15" s="566" t="n">
        <v>0.012</v>
      </c>
      <c r="H15" s="566" t="n">
        <v>0.012</v>
      </c>
      <c r="I15" s="566" t="n">
        <v>0.012</v>
      </c>
      <c r="J15" s="566" t="n">
        <v>0.012</v>
      </c>
      <c r="K15" s="566" t="n">
        <v>0.012</v>
      </c>
      <c r="L15" s="566" t="n">
        <v>0.012</v>
      </c>
      <c r="M15" s="566" t="n">
        <v>0.012</v>
      </c>
      <c r="N15" s="566" t="n">
        <v>0.012</v>
      </c>
      <c r="O15" s="566" t="n">
        <v>0.012</v>
      </c>
      <c r="P15" s="566" t="n">
        <v>0.012</v>
      </c>
      <c r="Q15" s="566" t="n">
        <v>0.012</v>
      </c>
      <c r="R15" s="566" t="n">
        <v>0.012</v>
      </c>
      <c r="S15" s="566" t="n">
        <v>0.012</v>
      </c>
      <c r="T15" s="566" t="n">
        <v>0.012</v>
      </c>
      <c r="U15" s="566" t="n">
        <v>0.012</v>
      </c>
      <c r="V15" s="566" t="n">
        <v>0.012</v>
      </c>
      <c r="W15" s="566" t="n">
        <v>0.012</v>
      </c>
      <c r="X15" s="566" t="n">
        <v>0.012</v>
      </c>
      <c r="Y15" s="566" t="n">
        <v>0.012</v>
      </c>
      <c r="Z15" s="566" t="n">
        <v>0.012</v>
      </c>
      <c r="AA15" s="566" t="n">
        <v>0.012</v>
      </c>
      <c r="AB15" s="566" t="n">
        <v>0.012</v>
      </c>
      <c r="AC15" s="566" t="n">
        <v>0.012</v>
      </c>
      <c r="AD15" s="259" t="n"/>
      <c r="AE15" s="259" t="n"/>
      <c r="AF15" s="259" t="n"/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564" t="n"/>
      <c r="D16" s="261" t="n"/>
      <c r="E16" s="259" t="n"/>
      <c r="F16" s="567" t="n">
        <v>1</v>
      </c>
      <c r="G16" s="567" t="n">
        <v>1</v>
      </c>
      <c r="H16" s="567" t="n">
        <v>1</v>
      </c>
      <c r="I16" s="567" t="n">
        <v>1</v>
      </c>
      <c r="J16" s="567" t="n">
        <v>1</v>
      </c>
      <c r="K16" s="567" t="n">
        <v>1</v>
      </c>
      <c r="L16" s="567" t="n">
        <v>1</v>
      </c>
      <c r="M16" s="567" t="n">
        <v>1</v>
      </c>
      <c r="N16" s="567" t="n">
        <v>1</v>
      </c>
      <c r="O16" s="567" t="n">
        <v>1</v>
      </c>
      <c r="P16" s="567" t="n">
        <v>1</v>
      </c>
      <c r="Q16" s="567" t="n">
        <v>1</v>
      </c>
      <c r="R16" s="567" t="n">
        <v>1</v>
      </c>
      <c r="S16" s="567" t="n">
        <v>1</v>
      </c>
      <c r="T16" s="567" t="n">
        <v>1</v>
      </c>
      <c r="U16" s="567" t="n">
        <v>1</v>
      </c>
      <c r="V16" s="567" t="n">
        <v>1</v>
      </c>
      <c r="W16" s="567" t="n">
        <v>1</v>
      </c>
      <c r="X16" s="567" t="n">
        <v>1</v>
      </c>
      <c r="Y16" s="567" t="n">
        <v>1</v>
      </c>
      <c r="Z16" s="567" t="n">
        <v>1</v>
      </c>
      <c r="AA16" s="567" t="n">
        <v>1</v>
      </c>
      <c r="AB16" s="567" t="n">
        <v>1</v>
      </c>
      <c r="AC16" s="567" t="n">
        <v>1</v>
      </c>
      <c r="AD16" s="594" t="n"/>
      <c r="AE16" s="594" t="n"/>
      <c r="AF16" s="594" t="n"/>
      <c r="AG16" s="594" t="n"/>
      <c r="AH16" s="594" t="n"/>
      <c r="AI16" s="594" t="n"/>
      <c r="AJ16" s="594" t="n"/>
      <c r="AK16" s="594" t="n"/>
      <c r="AL16" s="594" t="n"/>
      <c r="AM16" s="594" t="n"/>
      <c r="AN16" s="594" t="n"/>
      <c r="AO16" s="594" t="n"/>
      <c r="AP16" s="594" t="n"/>
      <c r="AQ16" s="594" t="n"/>
      <c r="AR16" s="594" t="n"/>
      <c r="AS16" s="594" t="n"/>
      <c r="AT16" s="594" t="n"/>
      <c r="AU16" s="594" t="n"/>
      <c r="AV16" s="594" t="n"/>
      <c r="AW16" s="594" t="n"/>
    </row>
    <row r="17" ht="12" customHeight="1" s="244">
      <c r="A17" s="261" t="n"/>
      <c r="B17" s="282" t="n"/>
      <c r="C17" s="564" t="n"/>
      <c r="D17" s="261" t="n"/>
      <c r="E17" s="259" t="n"/>
      <c r="F17" s="566">
        <f>F12</f>
        <v/>
      </c>
      <c r="G17" s="566">
        <f>G12</f>
        <v/>
      </c>
      <c r="H17" s="566">
        <f>H12</f>
        <v/>
      </c>
      <c r="I17" s="566">
        <f>I12</f>
        <v/>
      </c>
      <c r="J17" s="566">
        <f>J12</f>
        <v/>
      </c>
      <c r="K17" s="566">
        <f>K12</f>
        <v/>
      </c>
      <c r="L17" s="566">
        <f>L12</f>
        <v/>
      </c>
      <c r="M17" s="566">
        <f>M12</f>
        <v/>
      </c>
      <c r="N17" s="566">
        <f>N12</f>
        <v/>
      </c>
      <c r="O17" s="566">
        <f>O12</f>
        <v/>
      </c>
      <c r="P17" s="566">
        <f>P12</f>
        <v/>
      </c>
      <c r="Q17" s="566">
        <f>Q12</f>
        <v/>
      </c>
      <c r="R17" s="566">
        <f>R12</f>
        <v/>
      </c>
      <c r="S17" s="566">
        <f>S12</f>
        <v/>
      </c>
      <c r="T17" s="566">
        <f>T12</f>
        <v/>
      </c>
      <c r="U17" s="566">
        <f>U12</f>
        <v/>
      </c>
      <c r="V17" s="566">
        <f>V12</f>
        <v/>
      </c>
      <c r="W17" s="566">
        <f>W12</f>
        <v/>
      </c>
      <c r="X17" s="566">
        <f>X12</f>
        <v/>
      </c>
      <c r="Y17" s="566">
        <f>Y12</f>
        <v/>
      </c>
      <c r="Z17" s="566">
        <f>Z12</f>
        <v/>
      </c>
      <c r="AA17" s="566">
        <f>AA12</f>
        <v/>
      </c>
      <c r="AB17" s="566">
        <f>AB12</f>
        <v/>
      </c>
      <c r="AC17" s="566">
        <f>AC12</f>
        <v/>
      </c>
      <c r="AD17" s="259" t="n"/>
      <c r="AE17" s="259" t="n"/>
      <c r="AF17" s="259" t="n"/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564" t="n"/>
      <c r="D18" s="261" t="n"/>
      <c r="E18" s="259" t="n"/>
      <c r="F18" s="570">
        <f>F13/F17</f>
        <v/>
      </c>
      <c r="G18" s="570">
        <f>G13/G17</f>
        <v/>
      </c>
      <c r="H18" s="570">
        <f>H13/H17</f>
        <v/>
      </c>
      <c r="I18" s="570">
        <f>I13/I17</f>
        <v/>
      </c>
      <c r="J18" s="570">
        <f>J13/J17</f>
        <v/>
      </c>
      <c r="K18" s="570">
        <f>K13/K17</f>
        <v/>
      </c>
      <c r="L18" s="570">
        <f>L13/L17</f>
        <v/>
      </c>
      <c r="M18" s="570">
        <f>M13/M17</f>
        <v/>
      </c>
      <c r="N18" s="570">
        <f>N13/N17</f>
        <v/>
      </c>
      <c r="O18" s="570">
        <f>O13/O17</f>
        <v/>
      </c>
      <c r="P18" s="570">
        <f>P13/P17</f>
        <v/>
      </c>
      <c r="Q18" s="570">
        <f>Q13/Q17</f>
        <v/>
      </c>
      <c r="R18" s="570">
        <f>R13/R17</f>
        <v/>
      </c>
      <c r="S18" s="570">
        <f>S13/S17</f>
        <v/>
      </c>
      <c r="T18" s="570">
        <f>T13/T17</f>
        <v/>
      </c>
      <c r="U18" s="570">
        <f>U13/U17</f>
        <v/>
      </c>
      <c r="V18" s="570">
        <f>V13/V17</f>
        <v/>
      </c>
      <c r="W18" s="570">
        <f>W13/W17</f>
        <v/>
      </c>
      <c r="X18" s="570">
        <f>X13/X17</f>
        <v/>
      </c>
      <c r="Y18" s="570">
        <f>Y13/Y17</f>
        <v/>
      </c>
      <c r="Z18" s="570">
        <f>Z13/Z17</f>
        <v/>
      </c>
      <c r="AA18" s="570">
        <f>AA13/AA17</f>
        <v/>
      </c>
      <c r="AB18" s="570">
        <f>AB13/AB17</f>
        <v/>
      </c>
      <c r="AC18" s="570">
        <f>AC13/AC17</f>
        <v/>
      </c>
      <c r="AD18" s="598" t="n"/>
      <c r="AE18" s="598" t="n"/>
      <c r="AF18" s="598" t="n"/>
      <c r="AG18" s="598" t="n"/>
      <c r="AH18" s="598" t="n"/>
      <c r="AI18" s="598" t="n"/>
      <c r="AJ18" s="598" t="n"/>
      <c r="AK18" s="598" t="n"/>
      <c r="AL18" s="598" t="n"/>
      <c r="AM18" s="598" t="n"/>
      <c r="AN18" s="598" t="n"/>
      <c r="AO18" s="598" t="n"/>
      <c r="AP18" s="598" t="n"/>
      <c r="AQ18" s="598" t="n"/>
      <c r="AR18" s="598" t="n"/>
      <c r="AS18" s="598" t="n"/>
      <c r="AT18" s="598" t="n"/>
      <c r="AU18" s="598" t="n"/>
      <c r="AV18" s="598" t="n"/>
      <c r="AW18" s="598" t="n"/>
    </row>
    <row r="19" ht="19.5" customHeight="1" s="244">
      <c r="A19" s="261" t="n"/>
      <c r="B19" s="282" t="n"/>
      <c r="C19" s="564" t="n"/>
      <c r="D19" s="261" t="n"/>
      <c r="E19" s="259" t="n"/>
      <c r="F19" s="570">
        <f>F10+(F14/8.92)^0.91</f>
        <v/>
      </c>
      <c r="G19" s="570">
        <f>G10+(G14/8.92)^0.91</f>
        <v/>
      </c>
      <c r="H19" s="570">
        <f>H10+(H14/8.92)^0.91</f>
        <v/>
      </c>
      <c r="I19" s="570">
        <f>I10+(I14/8.92)^0.91</f>
        <v/>
      </c>
      <c r="J19" s="570">
        <f>J10+(J14/8.92)^0.91</f>
        <v/>
      </c>
      <c r="K19" s="570">
        <f>K10+(K14/8.92)^0.91</f>
        <v/>
      </c>
      <c r="L19" s="570">
        <f>L10+(L14/8.92)^0.91</f>
        <v/>
      </c>
      <c r="M19" s="570">
        <f>M10+(M14/8.92)^0.91</f>
        <v/>
      </c>
      <c r="N19" s="570">
        <f>N10+(N14/8.92)^0.91</f>
        <v/>
      </c>
      <c r="O19" s="570">
        <f>O10+(O14/8.92)^0.91</f>
        <v/>
      </c>
      <c r="P19" s="570">
        <f>P10+(P14/8.92)^0.91</f>
        <v/>
      </c>
      <c r="Q19" s="570">
        <f>Q10+(Q14/8.92)^0.91</f>
        <v/>
      </c>
      <c r="R19" s="570">
        <f>R10+(R14/8.92)^0.91</f>
        <v/>
      </c>
      <c r="S19" s="570">
        <f>S10+(S14/8.92)^0.91</f>
        <v/>
      </c>
      <c r="T19" s="570">
        <f>T10+(T14/8.92)^0.91</f>
        <v/>
      </c>
      <c r="U19" s="570">
        <f>U10+(U14/8.92)^0.91</f>
        <v/>
      </c>
      <c r="V19" s="570">
        <f>V10+(V14/8.92)^0.91</f>
        <v/>
      </c>
      <c r="W19" s="570">
        <f>W10+(W14/8.92)^0.91</f>
        <v/>
      </c>
      <c r="X19" s="570">
        <f>X10+(X14/8.92)^0.91</f>
        <v/>
      </c>
      <c r="Y19" s="570">
        <f>Y10+(Y14/8.92)^0.91</f>
        <v/>
      </c>
      <c r="Z19" s="570">
        <f>Z10+(Z14/8.92)^0.91</f>
        <v/>
      </c>
      <c r="AA19" s="570">
        <f>AA10+(AA14/8.92)^0.91</f>
        <v/>
      </c>
      <c r="AB19" s="570">
        <f>AB10+(AB14/8.92)^0.91</f>
        <v/>
      </c>
      <c r="AC19" s="570">
        <f>AC10+(AC14/8.92)^0.91</f>
        <v/>
      </c>
      <c r="AD19" s="598" t="n"/>
      <c r="AE19" s="598" t="n"/>
      <c r="AF19" s="598" t="n"/>
      <c r="AG19" s="598" t="n"/>
      <c r="AH19" s="598" t="n"/>
      <c r="AI19" s="598" t="n"/>
      <c r="AJ19" s="598" t="n"/>
      <c r="AK19" s="598" t="n"/>
      <c r="AL19" s="598" t="n"/>
      <c r="AM19" s="598" t="n"/>
      <c r="AN19" s="598" t="n"/>
      <c r="AO19" s="598" t="n"/>
      <c r="AP19" s="598" t="n"/>
      <c r="AQ19" s="598" t="n"/>
      <c r="AR19" s="598" t="n"/>
      <c r="AS19" s="598" t="n"/>
      <c r="AT19" s="598" t="n"/>
      <c r="AU19" s="598" t="n"/>
      <c r="AV19" s="598" t="n"/>
      <c r="AW19" s="598" t="n"/>
    </row>
    <row r="20" ht="12" customHeight="1" s="244">
      <c r="A20" s="261" t="n"/>
      <c r="B20" s="282" t="n"/>
      <c r="C20" s="564" t="n"/>
      <c r="D20" s="261" t="n"/>
      <c r="E20" s="259" t="n"/>
      <c r="F20" s="566" t="n">
        <v>45</v>
      </c>
      <c r="G20" s="566" t="n">
        <v>45</v>
      </c>
      <c r="H20" s="566" t="n">
        <v>45</v>
      </c>
      <c r="I20" s="566" t="n">
        <v>45</v>
      </c>
      <c r="J20" s="566" t="n">
        <v>45</v>
      </c>
      <c r="K20" s="566" t="n">
        <v>45</v>
      </c>
      <c r="L20" s="566" t="n">
        <v>45</v>
      </c>
      <c r="M20" s="566" t="n">
        <v>45</v>
      </c>
      <c r="N20" s="566" t="n">
        <v>45</v>
      </c>
      <c r="O20" s="566" t="n">
        <v>45</v>
      </c>
      <c r="P20" s="566" t="n">
        <v>45</v>
      </c>
      <c r="Q20" s="566" t="n">
        <v>45</v>
      </c>
      <c r="R20" s="566" t="n">
        <v>45</v>
      </c>
      <c r="S20" s="566" t="n">
        <v>45</v>
      </c>
      <c r="T20" s="566" t="n">
        <v>45</v>
      </c>
      <c r="U20" s="566" t="n">
        <v>45</v>
      </c>
      <c r="V20" s="566" t="n">
        <v>45</v>
      </c>
      <c r="W20" s="566" t="n">
        <v>45</v>
      </c>
      <c r="X20" s="566" t="n">
        <v>45</v>
      </c>
      <c r="Y20" s="566" t="n">
        <v>45</v>
      </c>
      <c r="Z20" s="566" t="n">
        <v>45</v>
      </c>
      <c r="AA20" s="566" t="n">
        <v>45</v>
      </c>
      <c r="AB20" s="566" t="n">
        <v>45</v>
      </c>
      <c r="AC20" s="566" t="n">
        <v>45</v>
      </c>
      <c r="AD20" s="259" t="n"/>
      <c r="AE20" s="259" t="n"/>
      <c r="AF20" s="259" t="n"/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572" t="n"/>
      <c r="C21" s="564" t="n"/>
      <c r="D21" s="261" t="n"/>
      <c r="E21" s="259" t="n"/>
      <c r="F21" s="566">
        <f>F20-F10</f>
        <v/>
      </c>
      <c r="G21" s="566">
        <f>G20-G10</f>
        <v/>
      </c>
      <c r="H21" s="566">
        <f>H20-H10</f>
        <v/>
      </c>
      <c r="I21" s="566">
        <f>I20-I10</f>
        <v/>
      </c>
      <c r="J21" s="566">
        <f>J20-J10</f>
        <v/>
      </c>
      <c r="K21" s="566">
        <f>K20-K10</f>
        <v/>
      </c>
      <c r="L21" s="566">
        <f>L20-L10</f>
        <v/>
      </c>
      <c r="M21" s="566">
        <f>M20-M10</f>
        <v/>
      </c>
      <c r="N21" s="566">
        <f>N20-N10</f>
        <v/>
      </c>
      <c r="O21" s="566">
        <f>O20-O10</f>
        <v/>
      </c>
      <c r="P21" s="566">
        <f>P20-P10</f>
        <v/>
      </c>
      <c r="Q21" s="566">
        <f>Q20-Q10</f>
        <v/>
      </c>
      <c r="R21" s="566">
        <f>R20-R10</f>
        <v/>
      </c>
      <c r="S21" s="566">
        <f>S20-S10</f>
        <v/>
      </c>
      <c r="T21" s="566">
        <f>T20-T10</f>
        <v/>
      </c>
      <c r="U21" s="566">
        <f>U20-U10</f>
        <v/>
      </c>
      <c r="V21" s="566">
        <f>V20-V10</f>
        <v/>
      </c>
      <c r="W21" s="566">
        <f>W20-W10</f>
        <v/>
      </c>
      <c r="X21" s="566">
        <f>X20-X10</f>
        <v/>
      </c>
      <c r="Y21" s="566">
        <f>Y20-Y10</f>
        <v/>
      </c>
      <c r="Z21" s="566">
        <f>Z20-Z10</f>
        <v/>
      </c>
      <c r="AA21" s="566">
        <f>AA20-AA10</f>
        <v/>
      </c>
      <c r="AB21" s="566">
        <f>AB20-AB10</f>
        <v/>
      </c>
      <c r="AC21" s="566">
        <f>AC20-AC10</f>
        <v/>
      </c>
      <c r="AD21" s="259" t="n"/>
      <c r="AE21" s="259" t="n"/>
      <c r="AF21" s="259" t="n"/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573" t="n"/>
      <c r="C22" s="564" t="n"/>
      <c r="D22" s="261" t="n"/>
      <c r="E22" s="259" t="n"/>
      <c r="F22" s="566" t="n">
        <v>15</v>
      </c>
      <c r="G22" s="566" t="n">
        <v>15</v>
      </c>
      <c r="H22" s="566" t="n">
        <v>15</v>
      </c>
      <c r="I22" s="566" t="n">
        <v>15</v>
      </c>
      <c r="J22" s="566" t="n">
        <v>15</v>
      </c>
      <c r="K22" s="566" t="n">
        <v>15</v>
      </c>
      <c r="L22" s="566" t="n">
        <v>15</v>
      </c>
      <c r="M22" s="566" t="n">
        <v>15</v>
      </c>
      <c r="N22" s="566" t="n">
        <v>15</v>
      </c>
      <c r="O22" s="566" t="n">
        <v>15</v>
      </c>
      <c r="P22" s="566" t="n">
        <v>15</v>
      </c>
      <c r="Q22" s="566" t="n">
        <v>15</v>
      </c>
      <c r="R22" s="566" t="n">
        <v>15</v>
      </c>
      <c r="S22" s="566" t="n">
        <v>15</v>
      </c>
      <c r="T22" s="566" t="n">
        <v>15</v>
      </c>
      <c r="U22" s="566" t="n">
        <v>15</v>
      </c>
      <c r="V22" s="566" t="n">
        <v>15</v>
      </c>
      <c r="W22" s="566" t="n">
        <v>15</v>
      </c>
      <c r="X22" s="566" t="n">
        <v>15</v>
      </c>
      <c r="Y22" s="566" t="n">
        <v>15</v>
      </c>
      <c r="Z22" s="566" t="n">
        <v>15</v>
      </c>
      <c r="AA22" s="566" t="n">
        <v>15</v>
      </c>
      <c r="AB22" s="566" t="n">
        <v>15</v>
      </c>
      <c r="AC22" s="566" t="n">
        <v>15</v>
      </c>
      <c r="AD22" s="259" t="n"/>
      <c r="AE22" s="259" t="n"/>
      <c r="AF22" s="259" t="n"/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573" t="n"/>
      <c r="C23" s="564" t="n"/>
      <c r="D23" s="261" t="n"/>
      <c r="E23" s="259" t="n"/>
      <c r="F23" s="574" t="n">
        <v>40</v>
      </c>
      <c r="G23" s="574" t="n">
        <v>40</v>
      </c>
      <c r="H23" s="574" t="n">
        <v>40</v>
      </c>
      <c r="I23" s="574" t="n">
        <v>40</v>
      </c>
      <c r="J23" s="574" t="n">
        <v>40</v>
      </c>
      <c r="K23" s="574" t="n">
        <v>40</v>
      </c>
      <c r="L23" s="574" t="n">
        <v>40</v>
      </c>
      <c r="M23" s="574" t="n">
        <v>40</v>
      </c>
      <c r="N23" s="574" t="n">
        <v>40</v>
      </c>
      <c r="O23" s="574" t="n">
        <v>40</v>
      </c>
      <c r="P23" s="574" t="n">
        <v>40</v>
      </c>
      <c r="Q23" s="574" t="n">
        <v>40</v>
      </c>
      <c r="R23" s="574" t="n">
        <v>40</v>
      </c>
      <c r="S23" s="574" t="n">
        <v>40</v>
      </c>
      <c r="T23" s="574" t="n">
        <v>40</v>
      </c>
      <c r="U23" s="574" t="n">
        <v>40</v>
      </c>
      <c r="V23" s="574" t="n">
        <v>40</v>
      </c>
      <c r="W23" s="574" t="n">
        <v>40</v>
      </c>
      <c r="X23" s="574" t="n">
        <v>40</v>
      </c>
      <c r="Y23" s="574" t="n">
        <v>40</v>
      </c>
      <c r="Z23" s="574" t="n">
        <v>40</v>
      </c>
      <c r="AA23" s="574" t="n">
        <v>40</v>
      </c>
      <c r="AB23" s="574" t="n">
        <v>40</v>
      </c>
      <c r="AC23" s="574" t="n">
        <v>40</v>
      </c>
      <c r="AD23" s="599" t="n"/>
      <c r="AE23" s="599" t="n"/>
      <c r="AF23" s="599" t="n"/>
      <c r="AG23" s="599" t="n"/>
      <c r="AH23" s="599" t="n"/>
      <c r="AI23" s="599" t="n"/>
      <c r="AJ23" s="599" t="n"/>
      <c r="AK23" s="599" t="n"/>
      <c r="AL23" s="599" t="n"/>
      <c r="AM23" s="599" t="n"/>
      <c r="AN23" s="599" t="n"/>
      <c r="AO23" s="599" t="n"/>
      <c r="AP23" s="599" t="n"/>
      <c r="AQ23" s="599" t="n"/>
      <c r="AR23" s="599" t="n"/>
      <c r="AS23" s="599" t="n"/>
      <c r="AT23" s="599" t="n"/>
      <c r="AU23" s="599" t="n"/>
      <c r="AV23" s="599" t="n"/>
      <c r="AW23" s="599" t="n"/>
    </row>
    <row r="24" ht="12" customHeight="1" s="244">
      <c r="A24" s="261" t="n"/>
      <c r="B24" s="572" t="n"/>
      <c r="C24" s="564" t="n"/>
      <c r="D24" s="261" t="n"/>
      <c r="E24" s="259" t="n"/>
      <c r="F24" s="566">
        <f>F23-F10</f>
        <v/>
      </c>
      <c r="G24" s="566">
        <f>G23-G10</f>
        <v/>
      </c>
      <c r="H24" s="566">
        <f>H23-H10</f>
        <v/>
      </c>
      <c r="I24" s="566">
        <f>I23-I10</f>
        <v/>
      </c>
      <c r="J24" s="566">
        <f>J23-J10</f>
        <v/>
      </c>
      <c r="K24" s="566">
        <f>K23-K10</f>
        <v/>
      </c>
      <c r="L24" s="566">
        <f>L23-L10</f>
        <v/>
      </c>
      <c r="M24" s="566">
        <f>M23-M10</f>
        <v/>
      </c>
      <c r="N24" s="566">
        <f>N23-N10</f>
        <v/>
      </c>
      <c r="O24" s="566">
        <f>O23-O10</f>
        <v/>
      </c>
      <c r="P24" s="566">
        <f>P23-P10</f>
        <v/>
      </c>
      <c r="Q24" s="566">
        <f>Q23-Q10</f>
        <v/>
      </c>
      <c r="R24" s="566">
        <f>R23-R10</f>
        <v/>
      </c>
      <c r="S24" s="566">
        <f>S23-S10</f>
        <v/>
      </c>
      <c r="T24" s="566">
        <f>T23-T10</f>
        <v/>
      </c>
      <c r="U24" s="566">
        <f>U23-U10</f>
        <v/>
      </c>
      <c r="V24" s="566">
        <f>V23-V10</f>
        <v/>
      </c>
      <c r="W24" s="566">
        <f>W23-W10</f>
        <v/>
      </c>
      <c r="X24" s="566">
        <f>X23-X10</f>
        <v/>
      </c>
      <c r="Y24" s="566">
        <f>Y23-Y10</f>
        <v/>
      </c>
      <c r="Z24" s="566">
        <f>Z23-Z10</f>
        <v/>
      </c>
      <c r="AA24" s="566">
        <f>AA23-AA10</f>
        <v/>
      </c>
      <c r="AB24" s="566">
        <f>AB23-AB10</f>
        <v/>
      </c>
      <c r="AC24" s="566">
        <f>AC23-AC10</f>
        <v/>
      </c>
      <c r="AD24" s="259" t="n"/>
      <c r="AE24" s="259" t="n"/>
      <c r="AF24" s="259" t="n"/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572" t="n"/>
      <c r="C25" s="564" t="n"/>
      <c r="D25" s="261" t="n"/>
      <c r="E25" s="259" t="n"/>
      <c r="F25" s="566">
        <f>2*(F21-F24)</f>
        <v/>
      </c>
      <c r="G25" s="566">
        <f>2*(G21-G24)</f>
        <v/>
      </c>
      <c r="H25" s="566">
        <f>2*(H21-H24)</f>
        <v/>
      </c>
      <c r="I25" s="566">
        <f>2*(I21-I24)</f>
        <v/>
      </c>
      <c r="J25" s="566">
        <f>2*(J21-J24)</f>
        <v/>
      </c>
      <c r="K25" s="566">
        <f>2*(K21-K24)</f>
        <v/>
      </c>
      <c r="L25" s="566">
        <f>2*(L21-L24)</f>
        <v/>
      </c>
      <c r="M25" s="566">
        <f>2*(M21-M24)</f>
        <v/>
      </c>
      <c r="N25" s="566">
        <f>2*(N21-N24)</f>
        <v/>
      </c>
      <c r="O25" s="566">
        <f>2*(O21-O24)</f>
        <v/>
      </c>
      <c r="P25" s="566">
        <f>2*(P21-P24)</f>
        <v/>
      </c>
      <c r="Q25" s="566">
        <f>2*(Q21-Q24)</f>
        <v/>
      </c>
      <c r="R25" s="566">
        <f>2*(R21-R24)</f>
        <v/>
      </c>
      <c r="S25" s="566">
        <f>2*(S21-S24)</f>
        <v/>
      </c>
      <c r="T25" s="566">
        <f>2*(T21-T24)</f>
        <v/>
      </c>
      <c r="U25" s="566">
        <f>2*(U21-U24)</f>
        <v/>
      </c>
      <c r="V25" s="566">
        <f>2*(V21-V24)</f>
        <v/>
      </c>
      <c r="W25" s="566">
        <f>2*(W21-W24)</f>
        <v/>
      </c>
      <c r="X25" s="566">
        <f>2*(X21-X24)</f>
        <v/>
      </c>
      <c r="Y25" s="566">
        <f>2*(Y21-Y24)</f>
        <v/>
      </c>
      <c r="Z25" s="566">
        <f>2*(Z21-Z24)</f>
        <v/>
      </c>
      <c r="AA25" s="566">
        <f>2*(AA21-AA24)</f>
        <v/>
      </c>
      <c r="AB25" s="566">
        <f>2*(AB21-AB24)</f>
        <v/>
      </c>
      <c r="AC25" s="566">
        <f>2*(AC21-AC24)</f>
        <v/>
      </c>
      <c r="AD25" s="259" t="n"/>
      <c r="AE25" s="259" t="n"/>
      <c r="AF25" s="259" t="n"/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573" t="n"/>
      <c r="C26" s="564" t="n"/>
      <c r="D26" s="575" t="n"/>
      <c r="E26" s="259" t="n"/>
      <c r="F26" s="570">
        <f>0.2*F14</f>
        <v/>
      </c>
      <c r="G26" s="570">
        <f>0.2*G14</f>
        <v/>
      </c>
      <c r="H26" s="570">
        <f>0.2*H14</f>
        <v/>
      </c>
      <c r="I26" s="570">
        <f>0.2*I14</f>
        <v/>
      </c>
      <c r="J26" s="570">
        <f>0.2*J14</f>
        <v/>
      </c>
      <c r="K26" s="570">
        <f>0.2*K14</f>
        <v/>
      </c>
      <c r="L26" s="570">
        <f>0.2*L14</f>
        <v/>
      </c>
      <c r="M26" s="570">
        <f>0.2*M14</f>
        <v/>
      </c>
      <c r="N26" s="570">
        <f>0.2*N14</f>
        <v/>
      </c>
      <c r="O26" s="570">
        <f>0.2*O14</f>
        <v/>
      </c>
      <c r="P26" s="570">
        <f>0.2*P14</f>
        <v/>
      </c>
      <c r="Q26" s="570">
        <f>0.2*Q14</f>
        <v/>
      </c>
      <c r="R26" s="570">
        <f>0.2*R14</f>
        <v/>
      </c>
      <c r="S26" s="570">
        <f>0.2*S14</f>
        <v/>
      </c>
      <c r="T26" s="570">
        <f>0.2*T14</f>
        <v/>
      </c>
      <c r="U26" s="570">
        <f>0.2*U14</f>
        <v/>
      </c>
      <c r="V26" s="570">
        <f>0.2*V14</f>
        <v/>
      </c>
      <c r="W26" s="570">
        <f>0.2*W14</f>
        <v/>
      </c>
      <c r="X26" s="570">
        <f>0.2*X14</f>
        <v/>
      </c>
      <c r="Y26" s="570">
        <f>0.2*Y14</f>
        <v/>
      </c>
      <c r="Z26" s="570">
        <f>0.2*Z14</f>
        <v/>
      </c>
      <c r="AA26" s="570">
        <f>0.2*AA14</f>
        <v/>
      </c>
      <c r="AB26" s="570">
        <f>0.2*AB14</f>
        <v/>
      </c>
      <c r="AC26" s="570">
        <f>0.2*AC14</f>
        <v/>
      </c>
      <c r="AD26" s="598" t="n"/>
      <c r="AE26" s="598" t="n"/>
      <c r="AF26" s="598" t="n"/>
      <c r="AG26" s="598" t="n"/>
      <c r="AH26" s="598" t="n"/>
      <c r="AI26" s="598" t="n"/>
      <c r="AJ26" s="598" t="n"/>
      <c r="AK26" s="598" t="n"/>
      <c r="AL26" s="598" t="n"/>
      <c r="AM26" s="598" t="n"/>
      <c r="AN26" s="598" t="n"/>
      <c r="AO26" s="598" t="n"/>
      <c r="AP26" s="598" t="n"/>
      <c r="AQ26" s="598" t="n"/>
      <c r="AR26" s="598" t="n"/>
      <c r="AS26" s="598" t="n"/>
      <c r="AT26" s="598" t="n"/>
      <c r="AU26" s="598" t="n"/>
      <c r="AV26" s="598" t="n"/>
      <c r="AW26" s="598" t="n"/>
    </row>
    <row r="27" ht="12" customHeight="1" s="244">
      <c r="A27" s="261" t="n"/>
      <c r="B27" s="573" t="n"/>
      <c r="C27" s="564" t="n"/>
      <c r="D27" s="261" t="n"/>
      <c r="E27" s="259" t="n"/>
      <c r="F27" s="576">
        <f>F17*(F14+F26)</f>
        <v/>
      </c>
      <c r="G27" s="576">
        <f>G17*(G14+G26)</f>
        <v/>
      </c>
      <c r="H27" s="576">
        <f>H17*(H14+H26)</f>
        <v/>
      </c>
      <c r="I27" s="576">
        <f>I17*(I14+I26)</f>
        <v/>
      </c>
      <c r="J27" s="576">
        <f>J17*(J14+J26)</f>
        <v/>
      </c>
      <c r="K27" s="576">
        <f>K17*(K14+K26)</f>
        <v/>
      </c>
      <c r="L27" s="576">
        <f>L17*(L14+L26)</f>
        <v/>
      </c>
      <c r="M27" s="576">
        <f>M17*(M14+M26)</f>
        <v/>
      </c>
      <c r="N27" s="576">
        <f>N17*(N14+N26)</f>
        <v/>
      </c>
      <c r="O27" s="576">
        <f>O17*(O14+O26)</f>
        <v/>
      </c>
      <c r="P27" s="576">
        <f>P17*(P14+P26)</f>
        <v/>
      </c>
      <c r="Q27" s="576">
        <f>Q17*(Q14+Q26)</f>
        <v/>
      </c>
      <c r="R27" s="576">
        <f>R17*(R14+R26)</f>
        <v/>
      </c>
      <c r="S27" s="576">
        <f>S17*(S14+S26)</f>
        <v/>
      </c>
      <c r="T27" s="576">
        <f>T17*(T14+T26)</f>
        <v/>
      </c>
      <c r="U27" s="576">
        <f>U17*(U14+U26)</f>
        <v/>
      </c>
      <c r="V27" s="576">
        <f>V17*(V14+V26)</f>
        <v/>
      </c>
      <c r="W27" s="576">
        <f>W17*(W14+W26)</f>
        <v/>
      </c>
      <c r="X27" s="576">
        <f>X17*(X14+X26)</f>
        <v/>
      </c>
      <c r="Y27" s="576">
        <f>Y17*(Y14+Y26)</f>
        <v/>
      </c>
      <c r="Z27" s="576">
        <f>Z17*(Z14+Z26)</f>
        <v/>
      </c>
      <c r="AA27" s="576">
        <f>AA17*(AA14+AA26)</f>
        <v/>
      </c>
      <c r="AB27" s="576">
        <f>AB17*(AB14+AB26)</f>
        <v/>
      </c>
      <c r="AC27" s="576">
        <f>AC17*(AC14+AC26)</f>
        <v/>
      </c>
      <c r="AD27" s="600" t="n"/>
      <c r="AE27" s="600" t="n"/>
      <c r="AF27" s="600" t="n"/>
      <c r="AG27" s="600" t="n"/>
      <c r="AH27" s="600" t="n"/>
      <c r="AI27" s="600" t="n"/>
      <c r="AJ27" s="600" t="n"/>
      <c r="AK27" s="600" t="n"/>
      <c r="AL27" s="600" t="n"/>
      <c r="AM27" s="600" t="n"/>
      <c r="AN27" s="600" t="n"/>
      <c r="AO27" s="600" t="n"/>
      <c r="AP27" s="600" t="n"/>
      <c r="AQ27" s="600" t="n"/>
      <c r="AR27" s="600" t="n"/>
      <c r="AS27" s="600" t="n"/>
      <c r="AT27" s="600" t="n"/>
      <c r="AU27" s="600" t="n"/>
      <c r="AV27" s="600" t="n"/>
      <c r="AW27" s="600" t="n"/>
    </row>
    <row r="28" ht="12" customHeight="1" s="244">
      <c r="A28" s="261" t="n"/>
      <c r="B28" s="573" t="n"/>
      <c r="C28" s="564" t="n"/>
      <c r="D28" s="261" t="n"/>
      <c r="E28" s="259" t="n"/>
      <c r="F28" s="577">
        <f>F27/(1.163*F25)</f>
        <v/>
      </c>
      <c r="G28" s="577">
        <f>G27/(1.163*G25)</f>
        <v/>
      </c>
      <c r="H28" s="577">
        <f>H27/(1.163*H25)</f>
        <v/>
      </c>
      <c r="I28" s="577">
        <f>I27/(1.163*I25)</f>
        <v/>
      </c>
      <c r="J28" s="577">
        <f>J27/(1.163*J25)</f>
        <v/>
      </c>
      <c r="K28" s="577">
        <f>K27/(1.163*K25)</f>
        <v/>
      </c>
      <c r="L28" s="577">
        <f>L27/(1.163*L25)</f>
        <v/>
      </c>
      <c r="M28" s="577">
        <f>M27/(1.163*M25)</f>
        <v/>
      </c>
      <c r="N28" s="577">
        <f>N27/(1.163*N25)</f>
        <v/>
      </c>
      <c r="O28" s="577">
        <f>O27/(1.163*O25)</f>
        <v/>
      </c>
      <c r="P28" s="577">
        <f>P27/(1.163*P25)</f>
        <v/>
      </c>
      <c r="Q28" s="577">
        <f>Q27/(1.163*Q25)</f>
        <v/>
      </c>
      <c r="R28" s="577">
        <f>R27/(1.163*R25)</f>
        <v/>
      </c>
      <c r="S28" s="577">
        <f>S27/(1.163*S25)</f>
        <v/>
      </c>
      <c r="T28" s="577">
        <f>T27/(1.163*T25)</f>
        <v/>
      </c>
      <c r="U28" s="577">
        <f>U27/(1.163*U25)</f>
        <v/>
      </c>
      <c r="V28" s="577">
        <f>V27/(1.163*V25)</f>
        <v/>
      </c>
      <c r="W28" s="577">
        <f>W27/(1.163*W25)</f>
        <v/>
      </c>
      <c r="X28" s="577">
        <f>X27/(1.163*X25)</f>
        <v/>
      </c>
      <c r="Y28" s="577">
        <f>Y27/(1.163*Y25)</f>
        <v/>
      </c>
      <c r="Z28" s="577">
        <f>Z27/(1.163*Z25)</f>
        <v/>
      </c>
      <c r="AA28" s="577">
        <f>AA27/(1.163*AA25)</f>
        <v/>
      </c>
      <c r="AB28" s="577">
        <f>AB27/(1.163*AB25)</f>
        <v/>
      </c>
      <c r="AC28" s="577">
        <f>AC27/(1.163*AC25)</f>
        <v/>
      </c>
      <c r="AD28" s="601" t="n"/>
      <c r="AE28" s="601" t="n"/>
      <c r="AF28" s="601" t="n"/>
      <c r="AG28" s="601" t="n"/>
      <c r="AH28" s="601" t="n"/>
      <c r="AI28" s="601" t="n"/>
      <c r="AJ28" s="601" t="n"/>
      <c r="AK28" s="601" t="n"/>
      <c r="AL28" s="601" t="n"/>
      <c r="AM28" s="601" t="n"/>
      <c r="AN28" s="601" t="n"/>
      <c r="AO28" s="601" t="n"/>
      <c r="AP28" s="601" t="n"/>
      <c r="AQ28" s="601" t="n"/>
      <c r="AR28" s="601" t="n"/>
      <c r="AS28" s="601" t="n"/>
      <c r="AT28" s="601" t="n"/>
      <c r="AU28" s="601" t="n"/>
      <c r="AV28" s="601" t="n"/>
      <c r="AW28" s="601" t="n"/>
    </row>
    <row r="29" ht="12" customHeight="1" s="244">
      <c r="A29" s="261" t="n"/>
      <c r="B29" s="573" t="n"/>
      <c r="C29" s="564" t="n"/>
      <c r="D29" s="261" t="n"/>
      <c r="E29" s="259" t="n"/>
      <c r="F29" s="578">
        <f>F17/(F22*0.01)</f>
        <v/>
      </c>
      <c r="G29" s="578">
        <f>G17/(G22*0.01)</f>
        <v/>
      </c>
      <c r="H29" s="578">
        <f>H17/(H22*0.01)</f>
        <v/>
      </c>
      <c r="I29" s="578">
        <f>I17/(I22*0.01)</f>
        <v/>
      </c>
      <c r="J29" s="578">
        <f>J17/(J22*0.01)</f>
        <v/>
      </c>
      <c r="K29" s="578">
        <f>K17/(K22*0.01)</f>
        <v/>
      </c>
      <c r="L29" s="578">
        <f>L17/(L22*0.01)</f>
        <v/>
      </c>
      <c r="M29" s="578">
        <f>M17/(M22*0.01)</f>
        <v/>
      </c>
      <c r="N29" s="578">
        <f>N17/(N22*0.01)</f>
        <v/>
      </c>
      <c r="O29" s="578">
        <f>O17/(O22*0.01)</f>
        <v/>
      </c>
      <c r="P29" s="578">
        <f>P17/(P22*0.01)</f>
        <v/>
      </c>
      <c r="Q29" s="578">
        <f>Q17/(Q22*0.01)</f>
        <v/>
      </c>
      <c r="R29" s="578">
        <f>R17/(R22*0.01)</f>
        <v/>
      </c>
      <c r="S29" s="578">
        <f>S17/(S22*0.01)</f>
        <v/>
      </c>
      <c r="T29" s="578">
        <f>T17/(T22*0.01)</f>
        <v/>
      </c>
      <c r="U29" s="578">
        <f>U17/(U22*0.01)</f>
        <v/>
      </c>
      <c r="V29" s="578">
        <f>V17/(V22*0.01)</f>
        <v/>
      </c>
      <c r="W29" s="578">
        <f>W17/(W22*0.01)</f>
        <v/>
      </c>
      <c r="X29" s="578">
        <f>X17/(X22*0.01)</f>
        <v/>
      </c>
      <c r="Y29" s="578">
        <f>Y17/(Y22*0.01)</f>
        <v/>
      </c>
      <c r="Z29" s="578">
        <f>Z17/(Z22*0.01)</f>
        <v/>
      </c>
      <c r="AA29" s="578">
        <f>AA17/(AA22*0.01)</f>
        <v/>
      </c>
      <c r="AB29" s="578">
        <f>AB17/(AB22*0.01)</f>
        <v/>
      </c>
      <c r="AC29" s="578">
        <f>AC17/(AC22*0.01)</f>
        <v/>
      </c>
      <c r="AD29" s="602" t="n"/>
      <c r="AE29" s="602" t="n"/>
      <c r="AF29" s="602" t="n"/>
      <c r="AG29" s="602" t="n"/>
      <c r="AH29" s="602" t="n"/>
      <c r="AI29" s="602" t="n"/>
      <c r="AJ29" s="602" t="n"/>
      <c r="AK29" s="602" t="n"/>
      <c r="AL29" s="602" t="n"/>
      <c r="AM29" s="602" t="n"/>
      <c r="AN29" s="602" t="n"/>
      <c r="AO29" s="602" t="n"/>
      <c r="AP29" s="602" t="n"/>
      <c r="AQ29" s="602" t="n"/>
      <c r="AR29" s="602" t="n"/>
      <c r="AS29" s="602" t="n"/>
      <c r="AT29" s="602" t="n"/>
      <c r="AU29" s="602" t="n"/>
      <c r="AV29" s="602" t="n"/>
      <c r="AW29" s="602" t="n"/>
    </row>
    <row r="30" ht="12" customHeight="1" s="244">
      <c r="A30" s="261" t="n"/>
      <c r="B30" s="573" t="n"/>
      <c r="C30" s="564" t="inlineStr">
        <is>
          <t>BAĞLANTI BORULARI</t>
        </is>
      </c>
      <c r="D30" s="261" t="inlineStr">
        <is>
          <t>Kollektör ayakları devre boyuna dahildir</t>
        </is>
      </c>
      <c r="E30" s="259" t="n"/>
      <c r="F30" s="579" t="n">
        <v>0</v>
      </c>
      <c r="G30" s="579" t="n">
        <v>0</v>
      </c>
      <c r="H30" s="579" t="n">
        <v>0</v>
      </c>
      <c r="I30" s="579" t="n">
        <v>0</v>
      </c>
      <c r="J30" s="579" t="n">
        <v>0</v>
      </c>
      <c r="K30" s="579" t="n">
        <v>0</v>
      </c>
      <c r="L30" s="579" t="n">
        <v>0</v>
      </c>
      <c r="M30" s="579" t="n">
        <v>0</v>
      </c>
      <c r="N30" s="579" t="n">
        <v>0</v>
      </c>
      <c r="O30" s="579" t="n">
        <v>0</v>
      </c>
      <c r="P30" s="579" t="n">
        <v>0</v>
      </c>
      <c r="Q30" s="579" t="n">
        <v>0</v>
      </c>
      <c r="R30" s="579" t="n">
        <v>0</v>
      </c>
      <c r="S30" s="579" t="n">
        <v>0</v>
      </c>
      <c r="T30" s="579" t="n">
        <v>0</v>
      </c>
      <c r="U30" s="579" t="n">
        <v>0</v>
      </c>
      <c r="V30" s="579" t="n">
        <v>0</v>
      </c>
      <c r="W30" s="579" t="n">
        <v>0</v>
      </c>
      <c r="X30" s="579" t="n">
        <v>0</v>
      </c>
      <c r="Y30" s="579" t="n">
        <v>0</v>
      </c>
      <c r="Z30" s="579" t="n">
        <v>0</v>
      </c>
      <c r="AA30" s="579" t="n">
        <v>0</v>
      </c>
      <c r="AB30" s="579" t="n">
        <v>0</v>
      </c>
      <c r="AC30" s="579" t="n">
        <v>0</v>
      </c>
      <c r="AD30" s="603" t="n"/>
      <c r="AE30" s="603" t="n"/>
      <c r="AF30" s="603" t="n"/>
      <c r="AG30" s="603" t="n"/>
      <c r="AO30" s="603" t="n"/>
      <c r="AP30" s="603" t="n"/>
      <c r="AQ30" s="603" t="n"/>
      <c r="AR30" s="603" t="n"/>
      <c r="AS30" s="603" t="n"/>
      <c r="AT30" s="603" t="n"/>
      <c r="AU30" s="603" t="n"/>
      <c r="AV30" s="603" t="n"/>
      <c r="AW30" s="603" t="n"/>
    </row>
    <row r="31" ht="12" customHeight="1" s="244">
      <c r="A31" s="261" t="n"/>
      <c r="B31" s="573" t="n"/>
      <c r="C31" s="564" t="n"/>
      <c r="D31" s="261" t="n"/>
      <c r="E31" s="259" t="n"/>
      <c r="F31" s="566">
        <f>F29+F30</f>
        <v/>
      </c>
      <c r="G31" s="566">
        <f>G29+G30</f>
        <v/>
      </c>
      <c r="H31" s="566">
        <f>H29+H30</f>
        <v/>
      </c>
      <c r="I31" s="566">
        <f>I29+I30</f>
        <v/>
      </c>
      <c r="J31" s="566">
        <f>J29+J30</f>
        <v/>
      </c>
      <c r="K31" s="566">
        <f>K29+K30</f>
        <v/>
      </c>
      <c r="L31" s="566">
        <f>L29+L30</f>
        <v/>
      </c>
      <c r="M31" s="566">
        <f>M29+M30</f>
        <v/>
      </c>
      <c r="N31" s="566">
        <f>N29+N30</f>
        <v/>
      </c>
      <c r="O31" s="566">
        <f>O29+O30</f>
        <v/>
      </c>
      <c r="P31" s="566">
        <f>P29+P30</f>
        <v/>
      </c>
      <c r="Q31" s="566">
        <f>Q29+Q30</f>
        <v/>
      </c>
      <c r="R31" s="566">
        <f>R29+R30</f>
        <v/>
      </c>
      <c r="S31" s="566">
        <f>S29+S30</f>
        <v/>
      </c>
      <c r="T31" s="566">
        <f>T29+T30</f>
        <v/>
      </c>
      <c r="U31" s="566">
        <f>U29+U30</f>
        <v/>
      </c>
      <c r="V31" s="566">
        <f>V29+V30</f>
        <v/>
      </c>
      <c r="W31" s="566">
        <f>W29+W30</f>
        <v/>
      </c>
      <c r="X31" s="566">
        <f>X29+X30</f>
        <v/>
      </c>
      <c r="Y31" s="566">
        <f>Y29+Y30</f>
        <v/>
      </c>
      <c r="Z31" s="566">
        <f>Z29+Z30</f>
        <v/>
      </c>
      <c r="AA31" s="566">
        <f>AA29+AA30</f>
        <v/>
      </c>
      <c r="AB31" s="566">
        <f>AB29+AB30</f>
        <v/>
      </c>
      <c r="AC31" s="566">
        <f>AC29+AC30</f>
        <v/>
      </c>
      <c r="AD31" s="259" t="n"/>
      <c r="AE31" s="259" t="n"/>
      <c r="AF31" s="259" t="n"/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572" t="n"/>
      <c r="C32" s="56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578" t="n">
        <v>690</v>
      </c>
      <c r="G32" s="578" t="n">
        <v>382</v>
      </c>
      <c r="H32" s="578" t="n">
        <v>457</v>
      </c>
      <c r="I32" s="578" t="n">
        <v>1007</v>
      </c>
      <c r="J32" s="578" t="n">
        <v>976</v>
      </c>
      <c r="K32" s="578" t="n">
        <v>1097</v>
      </c>
      <c r="L32" s="578" t="n">
        <v>1180</v>
      </c>
      <c r="M32" s="578" t="n">
        <v>153</v>
      </c>
      <c r="N32" s="578" t="n">
        <v>609</v>
      </c>
      <c r="O32" s="578" t="n">
        <v>449</v>
      </c>
      <c r="P32" s="578" t="n">
        <v>526</v>
      </c>
      <c r="Q32" s="578" t="n">
        <v>981</v>
      </c>
      <c r="R32" s="578" t="n">
        <v>2117</v>
      </c>
      <c r="S32" s="578" t="n">
        <v>2758</v>
      </c>
      <c r="T32" s="578" t="n">
        <v>2058</v>
      </c>
      <c r="U32" s="578" t="n">
        <v>79</v>
      </c>
      <c r="V32" s="578" t="n">
        <v>844</v>
      </c>
      <c r="W32" s="578" t="n">
        <v>500</v>
      </c>
      <c r="X32" s="578" t="n">
        <v>579</v>
      </c>
      <c r="Y32" s="578" t="n">
        <v>1007</v>
      </c>
      <c r="Z32" s="578" t="n">
        <v>998</v>
      </c>
      <c r="AA32" s="578" t="n">
        <v>1095</v>
      </c>
      <c r="AB32" s="578" t="n">
        <v>1181</v>
      </c>
      <c r="AC32" s="578" t="n">
        <v>120</v>
      </c>
      <c r="AD32" s="602" t="n"/>
      <c r="AE32" s="602" t="n"/>
      <c r="AF32" s="602" t="n"/>
      <c r="AG32" s="602" t="n"/>
      <c r="AH32" s="602" t="n"/>
      <c r="AI32" s="602" t="n"/>
      <c r="AJ32" s="602" t="n"/>
      <c r="AK32" s="602" t="n"/>
      <c r="AL32" s="602" t="n"/>
      <c r="AM32" s="602" t="n"/>
      <c r="AN32" s="602" t="n"/>
      <c r="AO32" s="602" t="n"/>
      <c r="AP32" s="602" t="n"/>
      <c r="AQ32" s="602" t="n"/>
      <c r="AR32" s="602" t="n"/>
      <c r="AS32" s="602" t="n"/>
      <c r="AT32" s="602" t="n"/>
      <c r="AU32" s="602" t="n"/>
      <c r="AV32" s="602" t="n"/>
      <c r="AW32" s="602" t="n"/>
    </row>
    <row r="33" ht="12" customHeight="1" s="244">
      <c r="A33" s="261" t="n"/>
      <c r="B33" s="572" t="n"/>
      <c r="C33" s="564" t="n"/>
      <c r="D33" s="261" t="n"/>
      <c r="E33" s="259" t="n"/>
      <c r="F33" s="566">
        <f>F32*0.05</f>
        <v/>
      </c>
      <c r="G33" s="566">
        <f>G32*0.05</f>
        <v/>
      </c>
      <c r="H33" s="566">
        <f>H32*0.05</f>
        <v/>
      </c>
      <c r="I33" s="566">
        <f>I32*0.05</f>
        <v/>
      </c>
      <c r="J33" s="566">
        <f>J32*0.05</f>
        <v/>
      </c>
      <c r="K33" s="566">
        <f>K32*0.05</f>
        <v/>
      </c>
      <c r="L33" s="566">
        <f>L32*0.05</f>
        <v/>
      </c>
      <c r="M33" s="566">
        <f>M32*0.05</f>
        <v/>
      </c>
      <c r="N33" s="566">
        <f>N32*0.05</f>
        <v/>
      </c>
      <c r="O33" s="566">
        <f>O32*0.05</f>
        <v/>
      </c>
      <c r="P33" s="566">
        <f>P32*0.05</f>
        <v/>
      </c>
      <c r="Q33" s="566">
        <f>Q32*0.05</f>
        <v/>
      </c>
      <c r="R33" s="566">
        <f>R32*0.05</f>
        <v/>
      </c>
      <c r="S33" s="566">
        <f>S32*0.05</f>
        <v/>
      </c>
      <c r="T33" s="566">
        <f>T32*0.05</f>
        <v/>
      </c>
      <c r="U33" s="566">
        <f>U32*0.05</f>
        <v/>
      </c>
      <c r="V33" s="566">
        <f>V32*0.05</f>
        <v/>
      </c>
      <c r="W33" s="566">
        <f>W32*0.05</f>
        <v/>
      </c>
      <c r="X33" s="566">
        <f>X32*0.05</f>
        <v/>
      </c>
      <c r="Y33" s="566">
        <f>Y32*0.05</f>
        <v/>
      </c>
      <c r="Z33" s="566">
        <f>Z32*0.05</f>
        <v/>
      </c>
      <c r="AA33" s="566">
        <f>AA32*0.05</f>
        <v/>
      </c>
      <c r="AB33" s="566">
        <f>AB32*0.05</f>
        <v/>
      </c>
      <c r="AC33" s="566">
        <f>AC32*0.05</f>
        <v/>
      </c>
      <c r="AD33" s="259" t="n"/>
      <c r="AE33" s="598" t="n"/>
      <c r="AF33" s="259" t="n"/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572" t="n"/>
      <c r="C34" s="564" t="n"/>
      <c r="D34" s="261" t="n"/>
      <c r="E34" s="259" t="n"/>
      <c r="F34" s="566">
        <f>F32+F33</f>
        <v/>
      </c>
      <c r="G34" s="566">
        <f>G32+G33</f>
        <v/>
      </c>
      <c r="H34" s="566">
        <f>H32+H33</f>
        <v/>
      </c>
      <c r="I34" s="566">
        <f>I32+I33</f>
        <v/>
      </c>
      <c r="J34" s="566">
        <f>J32+J33</f>
        <v/>
      </c>
      <c r="K34" s="566">
        <f>K32+K33</f>
        <v/>
      </c>
      <c r="L34" s="566">
        <f>L32+L33</f>
        <v/>
      </c>
      <c r="M34" s="566">
        <f>M32+M33</f>
        <v/>
      </c>
      <c r="N34" s="566">
        <f>N32+N33</f>
        <v/>
      </c>
      <c r="O34" s="566">
        <f>O32+O33</f>
        <v/>
      </c>
      <c r="P34" s="566">
        <f>P32+P33</f>
        <v/>
      </c>
      <c r="Q34" s="566">
        <f>Q32+Q33</f>
        <v/>
      </c>
      <c r="R34" s="566">
        <f>R32+R33</f>
        <v/>
      </c>
      <c r="S34" s="566">
        <f>S32+S33</f>
        <v/>
      </c>
      <c r="T34" s="566">
        <f>T32+T33</f>
        <v/>
      </c>
      <c r="U34" s="566">
        <f>U32+U33</f>
        <v/>
      </c>
      <c r="V34" s="566">
        <f>V32+V33</f>
        <v/>
      </c>
      <c r="W34" s="566">
        <f>W32+W33</f>
        <v/>
      </c>
      <c r="X34" s="566">
        <f>X32+X33</f>
        <v/>
      </c>
      <c r="Y34" s="566">
        <f>Y32+Y33</f>
        <v/>
      </c>
      <c r="Z34" s="566">
        <f>Z32+Z33</f>
        <v/>
      </c>
      <c r="AA34" s="566">
        <f>AA32+AA33</f>
        <v/>
      </c>
      <c r="AB34" s="566">
        <f>AB32+AB33</f>
        <v/>
      </c>
      <c r="AC34" s="566">
        <f>AC32+AC33</f>
        <v/>
      </c>
      <c r="AD34" s="259" t="n"/>
      <c r="AE34" s="259" t="n"/>
      <c r="AF34" s="259" t="n"/>
      <c r="AG34" s="598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572" t="n"/>
      <c r="C35" s="282" t="n"/>
      <c r="D35" s="261" t="n"/>
      <c r="E35" s="259" t="n"/>
      <c r="F35" s="580">
        <f>MAX(F34:AC34)-F34</f>
        <v/>
      </c>
      <c r="G35" s="580">
        <f>MAX(F34:AC34)-G34</f>
        <v/>
      </c>
      <c r="H35" s="580">
        <f>MAX(F34:AC34)-H34</f>
        <v/>
      </c>
      <c r="I35" s="580">
        <f>MAX(F34:AC34)-I34</f>
        <v/>
      </c>
      <c r="J35" s="580">
        <f>MAX(F34:AC34)-J34</f>
        <v/>
      </c>
      <c r="K35" s="580">
        <f>MAX(F34:AC34)-K34</f>
        <v/>
      </c>
      <c r="L35" s="580">
        <f>MAX(F34:AC34)-L34</f>
        <v/>
      </c>
      <c r="M35" s="580">
        <f>MAX(F34:AC34)-M34</f>
        <v/>
      </c>
      <c r="N35" s="580">
        <f>MAX(F34:AC34)-N34</f>
        <v/>
      </c>
      <c r="O35" s="580">
        <f>MAX(F34:AC34)-O34</f>
        <v/>
      </c>
      <c r="P35" s="580">
        <f>MAX(F34:AC34)-P34</f>
        <v/>
      </c>
      <c r="Q35" s="580">
        <f>MAX(F34:AC34)-Q34</f>
        <v/>
      </c>
      <c r="R35" s="580">
        <f>MAX(F34:AC34)-R34</f>
        <v/>
      </c>
      <c r="S35" s="580">
        <f>MAX(F34:AC34)-S34</f>
        <v/>
      </c>
      <c r="T35" s="580">
        <f>MAX(F34:AC34)-T34</f>
        <v/>
      </c>
      <c r="U35" s="580">
        <f>MAX(F34:AC34)-U34</f>
        <v/>
      </c>
      <c r="V35" s="580">
        <f>MAX(F34:AC34)-V34</f>
        <v/>
      </c>
      <c r="W35" s="580">
        <f>MAX(F34:AC34)-W34</f>
        <v/>
      </c>
      <c r="X35" s="580">
        <f>MAX(F34:AC34)-X34</f>
        <v/>
      </c>
      <c r="Y35" s="580">
        <f>MAX(F34:AC34)-Y34</f>
        <v/>
      </c>
      <c r="Z35" s="580">
        <f>MAX(F34:AC34)-Z34</f>
        <v/>
      </c>
      <c r="AA35" s="580">
        <f>MAX(F34:AC34)-AA34</f>
        <v/>
      </c>
      <c r="AB35" s="580">
        <f>MAX(F34:AC34)-AB34</f>
        <v/>
      </c>
      <c r="AC35" s="580">
        <f>MAX(F34:AC34)-AC34</f>
        <v/>
      </c>
      <c r="AD35" s="604" t="n"/>
      <c r="AE35" s="604" t="n"/>
      <c r="AF35" s="604" t="n"/>
      <c r="AG35" s="604" t="n"/>
      <c r="AH35" s="604" t="n"/>
      <c r="AI35" s="604" t="n"/>
      <c r="AJ35" s="604" t="n"/>
      <c r="AK35" s="604" t="n"/>
      <c r="AL35" s="604" t="n"/>
      <c r="AM35" s="604" t="n"/>
      <c r="AN35" s="604" t="n"/>
      <c r="AO35" s="604" t="n"/>
      <c r="AP35" s="604" t="n"/>
      <c r="AQ35" s="604" t="n"/>
      <c r="AR35" s="604" t="n"/>
      <c r="AS35" s="604" t="n"/>
      <c r="AT35" s="604" t="n"/>
      <c r="AU35" s="604" t="n"/>
      <c r="AV35" s="604" t="n"/>
      <c r="AW35" s="604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F38" s="243" t="inlineStr">
        <is>
          <t>GÖRE AYARLANMALIDIR….</t>
        </is>
      </c>
    </row>
    <row r="39" ht="12.75" customHeight="1" s="244">
      <c r="F39" s="581" t="inlineStr">
        <is>
          <t>Δpö</t>
        </is>
      </c>
      <c r="G39" s="581" t="inlineStr">
        <is>
          <t>EK VI-14i Tablosundan q değeri m³/h çevrilir DN10 borusu için</t>
        </is>
      </c>
      <c r="H39" s="581" t="n"/>
      <c r="I39" s="581" t="n"/>
    </row>
    <row r="40" ht="12.75" customHeight="1" s="244">
      <c r="A40" s="582" t="inlineStr">
        <is>
          <t xml:space="preserve"> (1)</t>
        </is>
      </c>
      <c r="B40" s="243" t="inlineStr">
        <is>
          <t>Şek. 19.7.1 den seçilmiştir.</t>
        </is>
      </c>
      <c r="F40" s="581" t="n"/>
      <c r="G40" s="581" t="inlineStr">
        <is>
          <t>R (Pa/m) 1metre borudaki basın. Kaybı bulunur..</t>
        </is>
      </c>
      <c r="H40" s="581" t="n"/>
      <c r="I40" s="581" t="n"/>
    </row>
    <row r="41" ht="12.75" customHeight="1" s="244">
      <c r="A41" s="582" t="inlineStr">
        <is>
          <t xml:space="preserve"> (2)</t>
        </is>
      </c>
      <c r="B41" s="243" t="inlineStr">
        <is>
          <t>Kombi gidiş suyu sıcaklığı 45 °C, dönüş 35 °C seçilmiştir.</t>
        </is>
      </c>
      <c r="F41" s="581" t="n"/>
      <c r="G41" s="581" t="inlineStr">
        <is>
          <t xml:space="preserve">toplam boru boyu ile çarpımından Δpö (Pa) bulunur.  </t>
        </is>
      </c>
      <c r="H41" s="581" t="n"/>
      <c r="I41" s="581" t="n"/>
    </row>
    <row r="42" ht="12.75" customHeight="1" s="244">
      <c r="A42" s="582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582" t="inlineStr">
        <is>
          <t xml:space="preserve"> (4)</t>
        </is>
      </c>
      <c r="B43" s="243" t="inlineStr">
        <is>
          <t>Alta geçen ısı 0,2 q" olarak alınmıştır. qh = mahal ısı kaybı (ISI KAYBI sayfaları) devrelere boru boyu oranında dağıtılmıştır (plan etiketi ve kolon şeması ile aynı).</t>
        </is>
      </c>
    </row>
    <row r="44" ht="12.75" customHeight="1" s="244">
      <c r="A44" s="582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582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82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83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workbookViewId="0">
      <selection activeCell="A1" sqref="A1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47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54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584" t="n"/>
      <c r="Q1" s="585" t="n"/>
      <c r="R1" s="585" t="n"/>
      <c r="S1" s="585" t="n"/>
      <c r="T1" s="585" t="n"/>
      <c r="U1" s="585" t="n"/>
      <c r="V1" s="585" t="n"/>
      <c r="W1" s="585" t="n"/>
      <c r="X1" s="586" t="n"/>
      <c r="Y1" s="586" t="n"/>
    </row>
    <row r="2" ht="12.75" customFormat="1" customHeight="1" s="499">
      <c r="A2" s="550" t="inlineStr">
        <is>
          <t>2. KAT</t>
        </is>
      </c>
      <c r="B2" s="503" t="n"/>
      <c r="C2" s="551" t="inlineStr">
        <is>
          <t>DÖŞEMEDEN ISITMA HESAP ÖZETİ</t>
        </is>
      </c>
      <c r="D2" s="552" t="inlineStr">
        <is>
          <t>Ts.g  = 45 °C</t>
        </is>
      </c>
      <c r="E2" s="553" t="inlineStr">
        <is>
          <t>TOPLAM ISI = 12502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525" t="n"/>
      <c r="AA2" s="525" t="n"/>
      <c r="AB2" s="525" t="n"/>
      <c r="AC2" s="525" t="n"/>
    </row>
    <row r="3" ht="8.25" customFormat="1" customHeight="1" s="499">
      <c r="A3" s="502" t="n"/>
      <c r="B3" s="503" t="n"/>
      <c r="C3" s="507" t="n"/>
      <c r="D3" s="555" t="inlineStr">
        <is>
          <t>Isıtma Çevrim Sayısı : 24</t>
        </is>
      </c>
      <c r="E3" s="553" t="inlineStr">
        <is>
          <t>MAX. BASINÇ KAYBI = 3699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525" t="n"/>
      <c r="AA3" s="525" t="n"/>
      <c r="AB3" s="525" t="n"/>
      <c r="AC3" s="525" t="n"/>
    </row>
    <row r="4" ht="5.25" customFormat="1" customHeight="1" s="499">
      <c r="A4" s="502" t="n"/>
      <c r="B4" s="503" t="n"/>
      <c r="C4" s="507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525" t="n"/>
      <c r="AA4" s="525" t="n"/>
      <c r="AB4" s="525" t="n"/>
      <c r="AC4" s="525" t="n"/>
    </row>
    <row r="5" ht="15" customFormat="1" customHeight="1" s="499">
      <c r="A5" s="278" t="n"/>
      <c r="B5" s="277" t="n"/>
      <c r="C5" s="303" t="n"/>
      <c r="D5" s="501" t="inlineStr">
        <is>
          <t>Mak. Müh. CAN ÖZKAYA</t>
        </is>
      </c>
      <c r="E5" s="264" t="n"/>
      <c r="F5" s="264" t="n"/>
      <c r="G5" s="264" t="n"/>
      <c r="H5" s="264" t="n"/>
      <c r="I5" s="264" t="n"/>
      <c r="J5" s="260" t="n"/>
      <c r="K5" s="501" t="n"/>
      <c r="L5" s="501" t="n"/>
      <c r="M5" s="587" t="n"/>
      <c r="N5" s="587" t="n"/>
      <c r="O5" s="588" t="n"/>
      <c r="P5" s="588" t="n"/>
      <c r="Q5" s="588" t="n"/>
      <c r="R5" s="588" t="n"/>
      <c r="S5" s="588" t="n"/>
      <c r="T5" s="588" t="n"/>
      <c r="U5" s="588" t="n"/>
      <c r="V5" s="588" t="n"/>
      <c r="W5" s="588" t="n"/>
      <c r="X5" s="589" t="n"/>
      <c r="Y5" s="589" t="n"/>
      <c r="Z5" s="525" t="n"/>
      <c r="AA5" s="525" t="n"/>
      <c r="AB5" s="525" t="n"/>
      <c r="AC5" s="525" t="n"/>
    </row>
    <row r="6" ht="12" customHeight="1" s="244">
      <c r="A6" s="557" t="n"/>
      <c r="B6" s="557" t="n"/>
      <c r="C6" s="557" t="n"/>
      <c r="D6" s="557" t="n"/>
      <c r="E6" s="558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559" t="n"/>
      <c r="C7" s="560" t="n"/>
      <c r="D7" s="559" t="n"/>
      <c r="E7" s="561" t="n"/>
      <c r="F7" s="562" t="n">
        <v>8</v>
      </c>
      <c r="G7" s="562" t="n">
        <v>3</v>
      </c>
      <c r="H7" s="562" t="n">
        <v>2</v>
      </c>
      <c r="I7" s="562" t="n">
        <v>4</v>
      </c>
      <c r="J7" s="562" t="n">
        <v>5</v>
      </c>
      <c r="K7" s="562" t="n">
        <v>6</v>
      </c>
      <c r="L7" s="562" t="n">
        <v>7</v>
      </c>
      <c r="M7" s="562" t="n">
        <v>1</v>
      </c>
      <c r="N7" s="562" t="n">
        <v>16</v>
      </c>
      <c r="O7" s="562" t="n">
        <v>11</v>
      </c>
      <c r="P7" s="562" t="n">
        <v>10</v>
      </c>
      <c r="Q7" s="562" t="n">
        <v>9</v>
      </c>
      <c r="R7" s="562" t="n">
        <v>14</v>
      </c>
      <c r="S7" s="562" t="n">
        <v>15</v>
      </c>
      <c r="T7" s="562" t="n">
        <v>12</v>
      </c>
      <c r="U7" s="562" t="n">
        <v>13</v>
      </c>
      <c r="V7" s="562" t="n">
        <v>17</v>
      </c>
      <c r="W7" s="562" t="n">
        <v>22</v>
      </c>
      <c r="X7" s="562" t="n">
        <v>23</v>
      </c>
      <c r="Y7" s="562" t="n">
        <v>21</v>
      </c>
      <c r="Z7" s="562" t="n">
        <v>20</v>
      </c>
      <c r="AA7" s="562" t="n">
        <v>19</v>
      </c>
      <c r="AB7" s="562" t="n">
        <v>18</v>
      </c>
      <c r="AC7" s="562" t="n">
        <v>24</v>
      </c>
      <c r="AD7" s="561" t="n"/>
      <c r="AE7" s="561" t="n"/>
      <c r="AF7" s="561" t="n"/>
      <c r="AG7" s="561" t="n"/>
      <c r="AH7" s="561" t="n"/>
      <c r="AI7" s="561" t="n"/>
      <c r="AJ7" s="561" t="n"/>
      <c r="AK7" s="561" t="n"/>
      <c r="AL7" s="561" t="n"/>
      <c r="AM7" s="561" t="n"/>
      <c r="AN7" s="561" t="n"/>
      <c r="AO7" s="561" t="n"/>
      <c r="AP7" s="561" t="n"/>
      <c r="AQ7" s="561" t="n"/>
      <c r="AR7" s="561" t="n"/>
      <c r="AS7" s="561" t="n"/>
      <c r="AT7" s="561" t="n"/>
      <c r="AU7" s="561" t="n"/>
      <c r="AV7" s="561" t="n"/>
      <c r="AW7" s="561" t="n"/>
    </row>
    <row r="8" ht="12" customHeight="1" s="244">
      <c r="A8" s="261" t="n"/>
      <c r="B8" s="559" t="n"/>
      <c r="C8" s="560" t="n"/>
      <c r="D8" s="559" t="n"/>
      <c r="E8" s="561" t="n"/>
      <c r="F8" s="563" t="inlineStr">
        <is>
          <t>201</t>
        </is>
      </c>
      <c r="G8" s="563" t="inlineStr">
        <is>
          <t>202</t>
        </is>
      </c>
      <c r="H8" s="563" t="inlineStr">
        <is>
          <t>202</t>
        </is>
      </c>
      <c r="I8" s="563" t="inlineStr">
        <is>
          <t>203</t>
        </is>
      </c>
      <c r="J8" s="563" t="inlineStr">
        <is>
          <t>204</t>
        </is>
      </c>
      <c r="K8" s="563" t="inlineStr">
        <is>
          <t>205</t>
        </is>
      </c>
      <c r="L8" s="563" t="inlineStr">
        <is>
          <t>205</t>
        </is>
      </c>
      <c r="M8" s="563" t="inlineStr">
        <is>
          <t>206</t>
        </is>
      </c>
      <c r="N8" s="563" t="inlineStr">
        <is>
          <t>207</t>
        </is>
      </c>
      <c r="O8" s="563" t="inlineStr">
        <is>
          <t>208</t>
        </is>
      </c>
      <c r="P8" s="563" t="inlineStr">
        <is>
          <t>208</t>
        </is>
      </c>
      <c r="Q8" s="563" t="inlineStr">
        <is>
          <t>209</t>
        </is>
      </c>
      <c r="R8" s="563" t="inlineStr">
        <is>
          <t>210</t>
        </is>
      </c>
      <c r="S8" s="563" t="inlineStr">
        <is>
          <t>210</t>
        </is>
      </c>
      <c r="T8" s="563" t="inlineStr">
        <is>
          <t>211</t>
        </is>
      </c>
      <c r="U8" s="563" t="inlineStr">
        <is>
          <t>212</t>
        </is>
      </c>
      <c r="V8" s="563" t="inlineStr">
        <is>
          <t>213</t>
        </is>
      </c>
      <c r="W8" s="563" t="inlineStr">
        <is>
          <t>214</t>
        </is>
      </c>
      <c r="X8" s="563" t="inlineStr">
        <is>
          <t>214</t>
        </is>
      </c>
      <c r="Y8" s="563" t="inlineStr">
        <is>
          <t>215</t>
        </is>
      </c>
      <c r="Z8" s="563" t="inlineStr">
        <is>
          <t>216</t>
        </is>
      </c>
      <c r="AA8" s="563" t="inlineStr">
        <is>
          <t>217</t>
        </is>
      </c>
      <c r="AB8" s="563" t="inlineStr">
        <is>
          <t>217</t>
        </is>
      </c>
      <c r="AC8" s="563" t="inlineStr">
        <is>
          <t>218</t>
        </is>
      </c>
      <c r="AD8" s="561" t="n"/>
      <c r="AE8" s="590" t="n"/>
      <c r="AF8" s="590" t="n"/>
      <c r="AG8" s="561" t="n"/>
      <c r="AH8" s="561" t="n"/>
      <c r="AI8" s="561" t="n"/>
      <c r="AJ8" s="561" t="n"/>
      <c r="AK8" s="561" t="n"/>
      <c r="AL8" s="561" t="n"/>
      <c r="AM8" s="561" t="n"/>
      <c r="AN8" s="561" t="n"/>
      <c r="AO8" s="561" t="n"/>
      <c r="AP8" s="561" t="n"/>
      <c r="AQ8" s="561" t="n"/>
      <c r="AR8" s="590" t="n"/>
      <c r="AS8" s="561" t="n"/>
      <c r="AT8" s="561" t="n"/>
      <c r="AU8" s="561" t="n"/>
      <c r="AV8" s="561" t="n"/>
      <c r="AW8" s="590" t="n"/>
    </row>
    <row r="9" ht="30" customHeight="1" s="244">
      <c r="A9" s="261" t="n"/>
      <c r="B9" s="282" t="n"/>
      <c r="C9" s="564" t="n"/>
      <c r="D9" s="261" t="n"/>
      <c r="E9" s="259" t="n"/>
      <c r="F9" s="565" t="inlineStr">
        <is>
          <t>D7 mutfak</t>
        </is>
      </c>
      <c r="G9" s="565" t="inlineStr">
        <is>
          <t>D7 yatak od.</t>
        </is>
      </c>
      <c r="H9" s="565" t="inlineStr">
        <is>
          <t>D7 yatak od.</t>
        </is>
      </c>
      <c r="I9" s="565" t="inlineStr">
        <is>
          <t>D7 yatak od.</t>
        </is>
      </c>
      <c r="J9" s="565" t="inlineStr">
        <is>
          <t>D7 yatak od.</t>
        </is>
      </c>
      <c r="K9" s="565" t="inlineStr">
        <is>
          <t>D7 salon</t>
        </is>
      </c>
      <c r="L9" s="565" t="inlineStr">
        <is>
          <t>D7 salon</t>
        </is>
      </c>
      <c r="M9" s="565" t="inlineStr">
        <is>
          <t>D7 banyo</t>
        </is>
      </c>
      <c r="N9" s="565" t="inlineStr">
        <is>
          <t>D8 mutfak</t>
        </is>
      </c>
      <c r="O9" s="565" t="inlineStr">
        <is>
          <t>D8 yatak od.</t>
        </is>
      </c>
      <c r="P9" s="565" t="inlineStr">
        <is>
          <t>D8 yatak od.</t>
        </is>
      </c>
      <c r="Q9" s="565" t="inlineStr">
        <is>
          <t>D8 yatak od.</t>
        </is>
      </c>
      <c r="R9" s="565" t="inlineStr">
        <is>
          <t>D8 salon</t>
        </is>
      </c>
      <c r="S9" s="565" t="inlineStr">
        <is>
          <t>D8 salon</t>
        </is>
      </c>
      <c r="T9" s="565" t="inlineStr">
        <is>
          <t>D8 oda</t>
        </is>
      </c>
      <c r="U9" s="565" t="inlineStr">
        <is>
          <t>D8 wc-banyo</t>
        </is>
      </c>
      <c r="V9" s="565" t="inlineStr">
        <is>
          <t>D9 mutfak</t>
        </is>
      </c>
      <c r="W9" s="565" t="inlineStr">
        <is>
          <t>D9 yatak od.</t>
        </is>
      </c>
      <c r="X9" s="565" t="inlineStr">
        <is>
          <t>D9 yatak od.</t>
        </is>
      </c>
      <c r="Y9" s="565" t="inlineStr">
        <is>
          <t>D9 yatak od.</t>
        </is>
      </c>
      <c r="Z9" s="565" t="inlineStr">
        <is>
          <t>D9 yatak od.</t>
        </is>
      </c>
      <c r="AA9" s="565" t="inlineStr">
        <is>
          <t>D9 salon</t>
        </is>
      </c>
      <c r="AB9" s="565" t="inlineStr">
        <is>
          <t>D9 salon</t>
        </is>
      </c>
      <c r="AC9" s="565" t="inlineStr">
        <is>
          <t>D9 banyo</t>
        </is>
      </c>
      <c r="AD9" s="561" t="n"/>
      <c r="AE9" s="591" t="n"/>
      <c r="AF9" s="591" t="n"/>
      <c r="AG9" s="591" t="n"/>
      <c r="AH9" s="591" t="n"/>
      <c r="AI9" s="591" t="n"/>
      <c r="AJ9" s="561" t="n"/>
      <c r="AK9" s="561" t="n"/>
      <c r="AL9" s="561" t="n"/>
      <c r="AM9" s="561" t="n"/>
      <c r="AN9" s="561" t="n"/>
      <c r="AO9" s="592" t="n"/>
      <c r="AP9" s="592" t="n"/>
      <c r="AQ9" s="592" t="n"/>
      <c r="AR9" s="593" t="n"/>
      <c r="AS9" s="593" t="n"/>
      <c r="AT9" s="592" t="n"/>
      <c r="AU9" s="592" t="n"/>
      <c r="AV9" s="592" t="n"/>
      <c r="AW9" s="592" t="n"/>
    </row>
    <row r="10" ht="12" customHeight="1" s="244">
      <c r="A10" s="261" t="n"/>
      <c r="B10" s="282" t="n"/>
      <c r="C10" s="564" t="n"/>
      <c r="D10" s="261" t="n"/>
      <c r="E10" s="259" t="n"/>
      <c r="F10" s="566" t="n">
        <v>20</v>
      </c>
      <c r="G10" s="566" t="n">
        <v>20</v>
      </c>
      <c r="H10" s="566" t="n">
        <v>20</v>
      </c>
      <c r="I10" s="566" t="n">
        <v>20</v>
      </c>
      <c r="J10" s="566" t="n">
        <v>20</v>
      </c>
      <c r="K10" s="566" t="n">
        <v>20</v>
      </c>
      <c r="L10" s="566" t="n">
        <v>20</v>
      </c>
      <c r="M10" s="566" t="n">
        <v>24</v>
      </c>
      <c r="N10" s="566" t="n">
        <v>20</v>
      </c>
      <c r="O10" s="566" t="n">
        <v>20</v>
      </c>
      <c r="P10" s="566" t="n">
        <v>20</v>
      </c>
      <c r="Q10" s="566" t="n">
        <v>20</v>
      </c>
      <c r="R10" s="566" t="n">
        <v>20</v>
      </c>
      <c r="S10" s="566" t="n">
        <v>20</v>
      </c>
      <c r="T10" s="566" t="n">
        <v>20</v>
      </c>
      <c r="U10" s="566" t="n">
        <v>24</v>
      </c>
      <c r="V10" s="566" t="n">
        <v>20</v>
      </c>
      <c r="W10" s="566" t="n">
        <v>20</v>
      </c>
      <c r="X10" s="566" t="n">
        <v>20</v>
      </c>
      <c r="Y10" s="566" t="n">
        <v>20</v>
      </c>
      <c r="Z10" s="566" t="n">
        <v>20</v>
      </c>
      <c r="AA10" s="566" t="n">
        <v>20</v>
      </c>
      <c r="AB10" s="566" t="n">
        <v>20</v>
      </c>
      <c r="AC10" s="566" t="n">
        <v>24</v>
      </c>
      <c r="AD10" s="259" t="n"/>
      <c r="AE10" s="259" t="n"/>
      <c r="AF10" s="259" t="n"/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564" t="n"/>
      <c r="D11" s="261" t="n"/>
      <c r="E11" s="259" t="n"/>
      <c r="F11" s="566" t="n">
        <v>20</v>
      </c>
      <c r="G11" s="566" t="n">
        <v>20</v>
      </c>
      <c r="H11" s="566" t="n">
        <v>20</v>
      </c>
      <c r="I11" s="566" t="n">
        <v>20</v>
      </c>
      <c r="J11" s="566" t="n">
        <v>20</v>
      </c>
      <c r="K11" s="566" t="n">
        <v>20</v>
      </c>
      <c r="L11" s="566" t="n">
        <v>20</v>
      </c>
      <c r="M11" s="566" t="n">
        <v>20</v>
      </c>
      <c r="N11" s="566" t="n">
        <v>20</v>
      </c>
      <c r="O11" s="566" t="n">
        <v>20</v>
      </c>
      <c r="P11" s="566" t="n">
        <v>20</v>
      </c>
      <c r="Q11" s="566" t="n">
        <v>20</v>
      </c>
      <c r="R11" s="566" t="n">
        <v>20</v>
      </c>
      <c r="S11" s="566" t="n">
        <v>20</v>
      </c>
      <c r="T11" s="566" t="n">
        <v>20</v>
      </c>
      <c r="U11" s="566" t="n">
        <v>20</v>
      </c>
      <c r="V11" s="566" t="n">
        <v>20</v>
      </c>
      <c r="W11" s="566" t="n">
        <v>20</v>
      </c>
      <c r="X11" s="566" t="n">
        <v>20</v>
      </c>
      <c r="Y11" s="566" t="n">
        <v>20</v>
      </c>
      <c r="Z11" s="566" t="n">
        <v>20</v>
      </c>
      <c r="AA11" s="566" t="n">
        <v>20</v>
      </c>
      <c r="AB11" s="566" t="n">
        <v>20</v>
      </c>
      <c r="AC11" s="566" t="n">
        <v>20</v>
      </c>
      <c r="AD11" s="259" t="n"/>
      <c r="AE11" s="259" t="n"/>
      <c r="AF11" s="259" t="n"/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>
        <v>6</v>
      </c>
      <c r="B12" s="282" t="n"/>
      <c r="C12" s="564" t="n"/>
      <c r="D12" s="261" t="n"/>
      <c r="E12" s="259" t="n"/>
      <c r="F12" s="567" t="n">
        <v>7.57</v>
      </c>
      <c r="G12" s="567" t="n">
        <v>6.35</v>
      </c>
      <c r="H12" s="567" t="n">
        <v>6.95</v>
      </c>
      <c r="I12" s="567" t="n">
        <v>8.76</v>
      </c>
      <c r="J12" s="567" t="n">
        <v>8.83</v>
      </c>
      <c r="K12" s="567" t="n">
        <v>9.800000000000001</v>
      </c>
      <c r="L12" s="567" t="n">
        <v>10.23</v>
      </c>
      <c r="M12" s="567" t="n">
        <v>3.64</v>
      </c>
      <c r="N12" s="567" t="n">
        <v>5.7</v>
      </c>
      <c r="O12" s="567" t="n">
        <v>6.78</v>
      </c>
      <c r="P12" s="567" t="n">
        <v>7.38</v>
      </c>
      <c r="Q12" s="567" t="n">
        <v>8.66</v>
      </c>
      <c r="R12" s="567" t="n">
        <v>11.07</v>
      </c>
      <c r="S12" s="567" t="n">
        <v>9.69</v>
      </c>
      <c r="T12" s="567" t="n">
        <v>7.28</v>
      </c>
      <c r="U12" s="567" t="n">
        <v>2.37</v>
      </c>
      <c r="V12" s="567" t="n">
        <v>6.9</v>
      </c>
      <c r="W12" s="567" t="n">
        <v>6.47</v>
      </c>
      <c r="X12" s="567" t="n">
        <v>6.96</v>
      </c>
      <c r="Y12" s="567" t="n">
        <v>8.77</v>
      </c>
      <c r="Z12" s="567" t="n">
        <v>8.85</v>
      </c>
      <c r="AA12" s="567" t="n">
        <v>9.720000000000001</v>
      </c>
      <c r="AB12" s="567" t="n">
        <v>10.26</v>
      </c>
      <c r="AC12" s="567" t="n">
        <v>3.67</v>
      </c>
      <c r="AD12" s="594" t="n"/>
      <c r="AE12" s="594" t="n"/>
      <c r="AF12" s="594" t="n"/>
      <c r="AG12" s="594" t="n"/>
      <c r="AH12" s="594" t="n"/>
      <c r="AI12" s="594" t="n"/>
      <c r="AJ12" s="594" t="n"/>
      <c r="AK12" s="595" t="n"/>
      <c r="AL12" s="595" t="n"/>
      <c r="AM12" s="595" t="n"/>
      <c r="AN12" s="594" t="n"/>
      <c r="AO12" s="594" t="n"/>
      <c r="AP12" s="594" t="n"/>
      <c r="AQ12" s="594" t="n"/>
      <c r="AR12" s="594" t="n"/>
      <c r="AS12" s="594" t="n"/>
      <c r="AT12" s="594" t="n"/>
      <c r="AU12" s="594" t="n"/>
      <c r="AV12" s="594" t="n"/>
      <c r="AW12" s="594" t="n"/>
    </row>
    <row r="13" ht="12" customHeight="1" s="244">
      <c r="A13" s="261" t="n"/>
      <c r="B13" s="282" t="n"/>
      <c r="C13" s="564" t="inlineStr">
        <is>
          <t>DEVRE ISIL GÜCÜ</t>
        </is>
      </c>
      <c r="D13" s="261" t="inlineStr">
        <is>
          <t>Mahal ısı kaybı × devre boyu / mahal boru boyu</t>
        </is>
      </c>
      <c r="E13" s="259" t="n"/>
      <c r="F13" s="568" t="n">
        <v>639.4</v>
      </c>
      <c r="G13" s="568" t="n">
        <v>314.4</v>
      </c>
      <c r="H13" s="568" t="n">
        <v>343.9</v>
      </c>
      <c r="I13" s="568" t="n">
        <v>613.2</v>
      </c>
      <c r="J13" s="568" t="n">
        <v>602</v>
      </c>
      <c r="K13" s="568" t="n">
        <v>620.2</v>
      </c>
      <c r="L13" s="568" t="n">
        <v>647.4</v>
      </c>
      <c r="M13" s="568" t="n">
        <v>232.8</v>
      </c>
      <c r="N13" s="568" t="n">
        <v>598.8</v>
      </c>
      <c r="O13" s="568" t="n">
        <v>385.7</v>
      </c>
      <c r="P13" s="568" t="n">
        <v>419.8</v>
      </c>
      <c r="Q13" s="568" t="n">
        <v>626.2</v>
      </c>
      <c r="R13" s="568" t="n">
        <v>782.5</v>
      </c>
      <c r="S13" s="568" t="n">
        <v>684.3</v>
      </c>
      <c r="T13" s="568" t="n">
        <v>726.4</v>
      </c>
      <c r="U13" s="568" t="n">
        <v>140.6</v>
      </c>
      <c r="V13" s="568" t="n">
        <v>644.6</v>
      </c>
      <c r="W13" s="568" t="n">
        <v>394.7</v>
      </c>
      <c r="X13" s="568" t="n">
        <v>425</v>
      </c>
      <c r="Y13" s="568" t="n">
        <v>611.8</v>
      </c>
      <c r="Z13" s="568" t="n">
        <v>606.4</v>
      </c>
      <c r="AA13" s="568" t="n">
        <v>615.4</v>
      </c>
      <c r="AB13" s="568" t="n">
        <v>649.7</v>
      </c>
      <c r="AC13" s="568" t="n">
        <v>176.7</v>
      </c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  <c r="AO13" s="596" t="n"/>
      <c r="AP13" s="596" t="n"/>
      <c r="AQ13" s="596" t="n"/>
      <c r="AR13" s="596" t="n"/>
      <c r="AS13" s="596" t="n"/>
      <c r="AT13" s="596" t="n"/>
      <c r="AU13" s="596" t="n"/>
      <c r="AV13" s="596" t="n"/>
      <c r="AW13" s="596" t="n"/>
    </row>
    <row r="14" ht="12" customHeight="1" s="244">
      <c r="A14" s="261" t="n"/>
      <c r="B14" s="282" t="n"/>
      <c r="C14" s="564" t="n"/>
      <c r="D14" s="261" t="n"/>
      <c r="E14" s="259" t="n"/>
      <c r="F14" s="569">
        <f>F13/F12</f>
        <v/>
      </c>
      <c r="G14" s="569">
        <f>G13/G12</f>
        <v/>
      </c>
      <c r="H14" s="569">
        <f>H13/H12</f>
        <v/>
      </c>
      <c r="I14" s="569">
        <f>I13/I12</f>
        <v/>
      </c>
      <c r="J14" s="569">
        <f>J13/J12</f>
        <v/>
      </c>
      <c r="K14" s="569">
        <f>K13/K12</f>
        <v/>
      </c>
      <c r="L14" s="569">
        <f>L13/L12</f>
        <v/>
      </c>
      <c r="M14" s="569">
        <f>M13/M12</f>
        <v/>
      </c>
      <c r="N14" s="569">
        <f>N13/N12</f>
        <v/>
      </c>
      <c r="O14" s="569">
        <f>O13/O12</f>
        <v/>
      </c>
      <c r="P14" s="569">
        <f>P13/P12</f>
        <v/>
      </c>
      <c r="Q14" s="569">
        <f>Q13/Q12</f>
        <v/>
      </c>
      <c r="R14" s="569">
        <f>R13/R12</f>
        <v/>
      </c>
      <c r="S14" s="569">
        <f>S13/S12</f>
        <v/>
      </c>
      <c r="T14" s="569">
        <f>T13/T12</f>
        <v/>
      </c>
      <c r="U14" s="569">
        <f>U13/U12</f>
        <v/>
      </c>
      <c r="V14" s="569">
        <f>V13/V12</f>
        <v/>
      </c>
      <c r="W14" s="569">
        <f>W13/W12</f>
        <v/>
      </c>
      <c r="X14" s="569">
        <f>X13/X12</f>
        <v/>
      </c>
      <c r="Y14" s="569">
        <f>Y13/Y12</f>
        <v/>
      </c>
      <c r="Z14" s="569">
        <f>Z13/Z12</f>
        <v/>
      </c>
      <c r="AA14" s="569">
        <f>AA13/AA12</f>
        <v/>
      </c>
      <c r="AB14" s="569">
        <f>AB13/AB12</f>
        <v/>
      </c>
      <c r="AC14" s="569">
        <f>AC13/AC12</f>
        <v/>
      </c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</row>
    <row r="15" ht="12" customHeight="1" s="244">
      <c r="A15" s="261" t="n"/>
      <c r="B15" s="282" t="n"/>
      <c r="C15" s="564" t="n"/>
      <c r="D15" s="261" t="n"/>
      <c r="E15" s="259" t="n"/>
      <c r="F15" s="566" t="n">
        <v>0.012</v>
      </c>
      <c r="G15" s="566" t="n">
        <v>0.012</v>
      </c>
      <c r="H15" s="566" t="n">
        <v>0.012</v>
      </c>
      <c r="I15" s="566" t="n">
        <v>0.012</v>
      </c>
      <c r="J15" s="566" t="n">
        <v>0.012</v>
      </c>
      <c r="K15" s="566" t="n">
        <v>0.012</v>
      </c>
      <c r="L15" s="566" t="n">
        <v>0.012</v>
      </c>
      <c r="M15" s="566" t="n">
        <v>0.012</v>
      </c>
      <c r="N15" s="566" t="n">
        <v>0.012</v>
      </c>
      <c r="O15" s="566" t="n">
        <v>0.012</v>
      </c>
      <c r="P15" s="566" t="n">
        <v>0.012</v>
      </c>
      <c r="Q15" s="566" t="n">
        <v>0.012</v>
      </c>
      <c r="R15" s="566" t="n">
        <v>0.012</v>
      </c>
      <c r="S15" s="566" t="n">
        <v>0.012</v>
      </c>
      <c r="T15" s="566" t="n">
        <v>0.012</v>
      </c>
      <c r="U15" s="566" t="n">
        <v>0.012</v>
      </c>
      <c r="V15" s="566" t="n">
        <v>0.012</v>
      </c>
      <c r="W15" s="566" t="n">
        <v>0.012</v>
      </c>
      <c r="X15" s="566" t="n">
        <v>0.012</v>
      </c>
      <c r="Y15" s="566" t="n">
        <v>0.012</v>
      </c>
      <c r="Z15" s="566" t="n">
        <v>0.012</v>
      </c>
      <c r="AA15" s="566" t="n">
        <v>0.012</v>
      </c>
      <c r="AB15" s="566" t="n">
        <v>0.012</v>
      </c>
      <c r="AC15" s="566" t="n">
        <v>0.012</v>
      </c>
      <c r="AD15" s="259" t="n"/>
      <c r="AE15" s="259" t="n"/>
      <c r="AF15" s="259" t="n"/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564" t="n"/>
      <c r="D16" s="261" t="n"/>
      <c r="E16" s="259" t="n"/>
      <c r="F16" s="567" t="n">
        <v>1</v>
      </c>
      <c r="G16" s="567" t="n">
        <v>1</v>
      </c>
      <c r="H16" s="567" t="n">
        <v>1</v>
      </c>
      <c r="I16" s="567" t="n">
        <v>1</v>
      </c>
      <c r="J16" s="567" t="n">
        <v>1</v>
      </c>
      <c r="K16" s="567" t="n">
        <v>1</v>
      </c>
      <c r="L16" s="567" t="n">
        <v>1</v>
      </c>
      <c r="M16" s="567" t="n">
        <v>1</v>
      </c>
      <c r="N16" s="567" t="n">
        <v>1</v>
      </c>
      <c r="O16" s="567" t="n">
        <v>1</v>
      </c>
      <c r="P16" s="567" t="n">
        <v>1</v>
      </c>
      <c r="Q16" s="567" t="n">
        <v>1</v>
      </c>
      <c r="R16" s="567" t="n">
        <v>1</v>
      </c>
      <c r="S16" s="567" t="n">
        <v>1</v>
      </c>
      <c r="T16" s="567" t="n">
        <v>1</v>
      </c>
      <c r="U16" s="567" t="n">
        <v>1</v>
      </c>
      <c r="V16" s="567" t="n">
        <v>1</v>
      </c>
      <c r="W16" s="567" t="n">
        <v>1</v>
      </c>
      <c r="X16" s="567" t="n">
        <v>1</v>
      </c>
      <c r="Y16" s="567" t="n">
        <v>1</v>
      </c>
      <c r="Z16" s="567" t="n">
        <v>1</v>
      </c>
      <c r="AA16" s="567" t="n">
        <v>1</v>
      </c>
      <c r="AB16" s="567" t="n">
        <v>1</v>
      </c>
      <c r="AC16" s="567" t="n">
        <v>1</v>
      </c>
      <c r="AD16" s="594" t="n"/>
      <c r="AE16" s="594" t="n"/>
      <c r="AF16" s="594" t="n"/>
      <c r="AG16" s="594" t="n"/>
      <c r="AH16" s="594" t="n"/>
      <c r="AI16" s="594" t="n"/>
      <c r="AJ16" s="594" t="n"/>
      <c r="AK16" s="594" t="n"/>
      <c r="AL16" s="594" t="n"/>
      <c r="AM16" s="594" t="n"/>
      <c r="AN16" s="594" t="n"/>
      <c r="AO16" s="594" t="n"/>
      <c r="AP16" s="594" t="n"/>
      <c r="AQ16" s="594" t="n"/>
      <c r="AR16" s="594" t="n"/>
      <c r="AS16" s="594" t="n"/>
      <c r="AT16" s="594" t="n"/>
      <c r="AU16" s="594" t="n"/>
      <c r="AV16" s="594" t="n"/>
      <c r="AW16" s="594" t="n"/>
    </row>
    <row r="17" ht="12" customHeight="1" s="244">
      <c r="A17" s="261" t="n"/>
      <c r="B17" s="282" t="n"/>
      <c r="C17" s="564" t="n"/>
      <c r="D17" s="261" t="n"/>
      <c r="E17" s="259" t="n"/>
      <c r="F17" s="566">
        <f>F12</f>
        <v/>
      </c>
      <c r="G17" s="566">
        <f>G12</f>
        <v/>
      </c>
      <c r="H17" s="566">
        <f>H12</f>
        <v/>
      </c>
      <c r="I17" s="566">
        <f>I12</f>
        <v/>
      </c>
      <c r="J17" s="566">
        <f>J12</f>
        <v/>
      </c>
      <c r="K17" s="566">
        <f>K12</f>
        <v/>
      </c>
      <c r="L17" s="566">
        <f>L12</f>
        <v/>
      </c>
      <c r="M17" s="566">
        <f>M12</f>
        <v/>
      </c>
      <c r="N17" s="566">
        <f>N12</f>
        <v/>
      </c>
      <c r="O17" s="566">
        <f>O12</f>
        <v/>
      </c>
      <c r="P17" s="566">
        <f>P12</f>
        <v/>
      </c>
      <c r="Q17" s="566">
        <f>Q12</f>
        <v/>
      </c>
      <c r="R17" s="566">
        <f>R12</f>
        <v/>
      </c>
      <c r="S17" s="566">
        <f>S12</f>
        <v/>
      </c>
      <c r="T17" s="566">
        <f>T12</f>
        <v/>
      </c>
      <c r="U17" s="566">
        <f>U12</f>
        <v/>
      </c>
      <c r="V17" s="566">
        <f>V12</f>
        <v/>
      </c>
      <c r="W17" s="566">
        <f>W12</f>
        <v/>
      </c>
      <c r="X17" s="566">
        <f>X12</f>
        <v/>
      </c>
      <c r="Y17" s="566">
        <f>Y12</f>
        <v/>
      </c>
      <c r="Z17" s="566">
        <f>Z12</f>
        <v/>
      </c>
      <c r="AA17" s="566">
        <f>AA12</f>
        <v/>
      </c>
      <c r="AB17" s="566">
        <f>AB12</f>
        <v/>
      </c>
      <c r="AC17" s="566">
        <f>AC12</f>
        <v/>
      </c>
      <c r="AD17" s="259" t="n"/>
      <c r="AE17" s="259" t="n"/>
      <c r="AF17" s="259" t="n"/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564" t="n"/>
      <c r="D18" s="261" t="n"/>
      <c r="E18" s="259" t="n"/>
      <c r="F18" s="570">
        <f>F13/F17</f>
        <v/>
      </c>
      <c r="G18" s="570">
        <f>G13/G17</f>
        <v/>
      </c>
      <c r="H18" s="570">
        <f>H13/H17</f>
        <v/>
      </c>
      <c r="I18" s="570">
        <f>I13/I17</f>
        <v/>
      </c>
      <c r="J18" s="570">
        <f>J13/J17</f>
        <v/>
      </c>
      <c r="K18" s="570">
        <f>K13/K17</f>
        <v/>
      </c>
      <c r="L18" s="570">
        <f>L13/L17</f>
        <v/>
      </c>
      <c r="M18" s="570">
        <f>M13/M17</f>
        <v/>
      </c>
      <c r="N18" s="570">
        <f>N13/N17</f>
        <v/>
      </c>
      <c r="O18" s="570">
        <f>O13/O17</f>
        <v/>
      </c>
      <c r="P18" s="570">
        <f>P13/P17</f>
        <v/>
      </c>
      <c r="Q18" s="570">
        <f>Q13/Q17</f>
        <v/>
      </c>
      <c r="R18" s="570">
        <f>R13/R17</f>
        <v/>
      </c>
      <c r="S18" s="570">
        <f>S13/S17</f>
        <v/>
      </c>
      <c r="T18" s="570">
        <f>T13/T17</f>
        <v/>
      </c>
      <c r="U18" s="570">
        <f>U13/U17</f>
        <v/>
      </c>
      <c r="V18" s="570">
        <f>V13/V17</f>
        <v/>
      </c>
      <c r="W18" s="570">
        <f>W13/W17</f>
        <v/>
      </c>
      <c r="X18" s="570">
        <f>X13/X17</f>
        <v/>
      </c>
      <c r="Y18" s="570">
        <f>Y13/Y17</f>
        <v/>
      </c>
      <c r="Z18" s="570">
        <f>Z13/Z17</f>
        <v/>
      </c>
      <c r="AA18" s="570">
        <f>AA13/AA17</f>
        <v/>
      </c>
      <c r="AB18" s="570">
        <f>AB13/AB17</f>
        <v/>
      </c>
      <c r="AC18" s="570">
        <f>AC13/AC17</f>
        <v/>
      </c>
      <c r="AD18" s="598" t="n"/>
      <c r="AE18" s="598" t="n"/>
      <c r="AF18" s="598" t="n"/>
      <c r="AG18" s="598" t="n"/>
      <c r="AH18" s="598" t="n"/>
      <c r="AI18" s="598" t="n"/>
      <c r="AJ18" s="598" t="n"/>
      <c r="AK18" s="598" t="n"/>
      <c r="AL18" s="598" t="n"/>
      <c r="AM18" s="598" t="n"/>
      <c r="AN18" s="598" t="n"/>
      <c r="AO18" s="598" t="n"/>
      <c r="AP18" s="598" t="n"/>
      <c r="AQ18" s="598" t="n"/>
      <c r="AR18" s="598" t="n"/>
      <c r="AS18" s="598" t="n"/>
      <c r="AT18" s="598" t="n"/>
      <c r="AU18" s="598" t="n"/>
      <c r="AV18" s="598" t="n"/>
      <c r="AW18" s="598" t="n"/>
    </row>
    <row r="19" ht="19.5" customHeight="1" s="244">
      <c r="A19" s="261" t="n"/>
      <c r="B19" s="282" t="n"/>
      <c r="C19" s="564" t="n"/>
      <c r="D19" s="261" t="n"/>
      <c r="E19" s="259" t="n"/>
      <c r="F19" s="570">
        <f>F10+(F14/8.92)^0.91</f>
        <v/>
      </c>
      <c r="G19" s="570">
        <f>G10+(G14/8.92)^0.91</f>
        <v/>
      </c>
      <c r="H19" s="570">
        <f>H10+(H14/8.92)^0.91</f>
        <v/>
      </c>
      <c r="I19" s="570">
        <f>I10+(I14/8.92)^0.91</f>
        <v/>
      </c>
      <c r="J19" s="570">
        <f>J10+(J14/8.92)^0.91</f>
        <v/>
      </c>
      <c r="K19" s="570">
        <f>K10+(K14/8.92)^0.91</f>
        <v/>
      </c>
      <c r="L19" s="570">
        <f>L10+(L14/8.92)^0.91</f>
        <v/>
      </c>
      <c r="M19" s="570">
        <f>M10+(M14/8.92)^0.91</f>
        <v/>
      </c>
      <c r="N19" s="571">
        <f>N10+(N14/8.92)^0.91</f>
        <v/>
      </c>
      <c r="O19" s="570">
        <f>O10+(O14/8.92)^0.91</f>
        <v/>
      </c>
      <c r="P19" s="570">
        <f>P10+(P14/8.92)^0.91</f>
        <v/>
      </c>
      <c r="Q19" s="570">
        <f>Q10+(Q14/8.92)^0.91</f>
        <v/>
      </c>
      <c r="R19" s="570">
        <f>R10+(R14/8.92)^0.91</f>
        <v/>
      </c>
      <c r="S19" s="570">
        <f>S10+(S14/8.92)^0.91</f>
        <v/>
      </c>
      <c r="T19" s="571">
        <f>T10+(T14/8.92)^0.91</f>
        <v/>
      </c>
      <c r="U19" s="570">
        <f>U10+(U14/8.92)^0.91</f>
        <v/>
      </c>
      <c r="V19" s="570">
        <f>V10+(V14/8.92)^0.91</f>
        <v/>
      </c>
      <c r="W19" s="570">
        <f>W10+(W14/8.92)^0.91</f>
        <v/>
      </c>
      <c r="X19" s="570">
        <f>X10+(X14/8.92)^0.91</f>
        <v/>
      </c>
      <c r="Y19" s="570">
        <f>Y10+(Y14/8.92)^0.91</f>
        <v/>
      </c>
      <c r="Z19" s="570">
        <f>Z10+(Z14/8.92)^0.91</f>
        <v/>
      </c>
      <c r="AA19" s="570">
        <f>AA10+(AA14/8.92)^0.91</f>
        <v/>
      </c>
      <c r="AB19" s="570">
        <f>AB10+(AB14/8.92)^0.91</f>
        <v/>
      </c>
      <c r="AC19" s="570">
        <f>AC10+(AC14/8.92)^0.91</f>
        <v/>
      </c>
      <c r="AD19" s="598" t="n"/>
      <c r="AE19" s="598" t="n"/>
      <c r="AF19" s="598" t="n"/>
      <c r="AG19" s="598" t="n"/>
      <c r="AH19" s="598" t="n"/>
      <c r="AI19" s="598" t="n"/>
      <c r="AJ19" s="598" t="n"/>
      <c r="AK19" s="598" t="n"/>
      <c r="AL19" s="598" t="n"/>
      <c r="AM19" s="598" t="n"/>
      <c r="AN19" s="598" t="n"/>
      <c r="AO19" s="598" t="n"/>
      <c r="AP19" s="598" t="n"/>
      <c r="AQ19" s="598" t="n"/>
      <c r="AR19" s="598" t="n"/>
      <c r="AS19" s="598" t="n"/>
      <c r="AT19" s="598" t="n"/>
      <c r="AU19" s="598" t="n"/>
      <c r="AV19" s="598" t="n"/>
      <c r="AW19" s="598" t="n"/>
    </row>
    <row r="20" ht="12" customHeight="1" s="244">
      <c r="A20" s="261" t="n"/>
      <c r="B20" s="282" t="n"/>
      <c r="C20" s="564" t="n"/>
      <c r="D20" s="261" t="n"/>
      <c r="E20" s="259" t="n"/>
      <c r="F20" s="566" t="n">
        <v>45</v>
      </c>
      <c r="G20" s="566" t="n">
        <v>45</v>
      </c>
      <c r="H20" s="566" t="n">
        <v>45</v>
      </c>
      <c r="I20" s="566" t="n">
        <v>45</v>
      </c>
      <c r="J20" s="566" t="n">
        <v>45</v>
      </c>
      <c r="K20" s="566" t="n">
        <v>45</v>
      </c>
      <c r="L20" s="566" t="n">
        <v>45</v>
      </c>
      <c r="M20" s="566" t="n">
        <v>45</v>
      </c>
      <c r="N20" s="566" t="n">
        <v>45</v>
      </c>
      <c r="O20" s="566" t="n">
        <v>45</v>
      </c>
      <c r="P20" s="566" t="n">
        <v>45</v>
      </c>
      <c r="Q20" s="566" t="n">
        <v>45</v>
      </c>
      <c r="R20" s="566" t="n">
        <v>45</v>
      </c>
      <c r="S20" s="566" t="n">
        <v>45</v>
      </c>
      <c r="T20" s="566" t="n">
        <v>45</v>
      </c>
      <c r="U20" s="566" t="n">
        <v>45</v>
      </c>
      <c r="V20" s="566" t="n">
        <v>45</v>
      </c>
      <c r="W20" s="566" t="n">
        <v>45</v>
      </c>
      <c r="X20" s="566" t="n">
        <v>45</v>
      </c>
      <c r="Y20" s="566" t="n">
        <v>45</v>
      </c>
      <c r="Z20" s="566" t="n">
        <v>45</v>
      </c>
      <c r="AA20" s="566" t="n">
        <v>45</v>
      </c>
      <c r="AB20" s="566" t="n">
        <v>45</v>
      </c>
      <c r="AC20" s="566" t="n">
        <v>45</v>
      </c>
      <c r="AD20" s="259" t="n"/>
      <c r="AE20" s="259" t="n"/>
      <c r="AF20" s="259" t="n"/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572" t="n"/>
      <c r="C21" s="564" t="n"/>
      <c r="D21" s="261" t="n"/>
      <c r="E21" s="259" t="n"/>
      <c r="F21" s="566">
        <f>F20-F10</f>
        <v/>
      </c>
      <c r="G21" s="566">
        <f>G20-G10</f>
        <v/>
      </c>
      <c r="H21" s="566">
        <f>H20-H10</f>
        <v/>
      </c>
      <c r="I21" s="566">
        <f>I20-I10</f>
        <v/>
      </c>
      <c r="J21" s="566">
        <f>J20-J10</f>
        <v/>
      </c>
      <c r="K21" s="566">
        <f>K20-K10</f>
        <v/>
      </c>
      <c r="L21" s="566">
        <f>L20-L10</f>
        <v/>
      </c>
      <c r="M21" s="566">
        <f>M20-M10</f>
        <v/>
      </c>
      <c r="N21" s="566">
        <f>N20-N10</f>
        <v/>
      </c>
      <c r="O21" s="566">
        <f>O20-O10</f>
        <v/>
      </c>
      <c r="P21" s="566">
        <f>P20-P10</f>
        <v/>
      </c>
      <c r="Q21" s="566">
        <f>Q20-Q10</f>
        <v/>
      </c>
      <c r="R21" s="566">
        <f>R20-R10</f>
        <v/>
      </c>
      <c r="S21" s="566">
        <f>S20-S10</f>
        <v/>
      </c>
      <c r="T21" s="566">
        <f>T20-T10</f>
        <v/>
      </c>
      <c r="U21" s="566">
        <f>U20-U10</f>
        <v/>
      </c>
      <c r="V21" s="566">
        <f>V20-V10</f>
        <v/>
      </c>
      <c r="W21" s="566">
        <f>W20-W10</f>
        <v/>
      </c>
      <c r="X21" s="566">
        <f>X20-X10</f>
        <v/>
      </c>
      <c r="Y21" s="566">
        <f>Y20-Y10</f>
        <v/>
      </c>
      <c r="Z21" s="566">
        <f>Z20-Z10</f>
        <v/>
      </c>
      <c r="AA21" s="566">
        <f>AA20-AA10</f>
        <v/>
      </c>
      <c r="AB21" s="566">
        <f>AB20-AB10</f>
        <v/>
      </c>
      <c r="AC21" s="566">
        <f>AC20-AC10</f>
        <v/>
      </c>
      <c r="AD21" s="259" t="n"/>
      <c r="AE21" s="259" t="n"/>
      <c r="AF21" s="259" t="n"/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573" t="n"/>
      <c r="C22" s="564" t="n"/>
      <c r="D22" s="261" t="n"/>
      <c r="E22" s="259" t="n"/>
      <c r="F22" s="566" t="n">
        <v>15</v>
      </c>
      <c r="G22" s="566" t="n">
        <v>15</v>
      </c>
      <c r="H22" s="566" t="n">
        <v>15</v>
      </c>
      <c r="I22" s="566" t="n">
        <v>15</v>
      </c>
      <c r="J22" s="566" t="n">
        <v>15</v>
      </c>
      <c r="K22" s="566" t="n">
        <v>15</v>
      </c>
      <c r="L22" s="566" t="n">
        <v>15</v>
      </c>
      <c r="M22" s="566" t="n">
        <v>15</v>
      </c>
      <c r="N22" s="566" t="n">
        <v>15</v>
      </c>
      <c r="O22" s="566" t="n">
        <v>15</v>
      </c>
      <c r="P22" s="566" t="n">
        <v>15</v>
      </c>
      <c r="Q22" s="566" t="n">
        <v>15</v>
      </c>
      <c r="R22" s="566" t="n">
        <v>15</v>
      </c>
      <c r="S22" s="566" t="n">
        <v>15</v>
      </c>
      <c r="T22" s="566" t="n">
        <v>15</v>
      </c>
      <c r="U22" s="566" t="n">
        <v>15</v>
      </c>
      <c r="V22" s="566" t="n">
        <v>15</v>
      </c>
      <c r="W22" s="566" t="n">
        <v>15</v>
      </c>
      <c r="X22" s="566" t="n">
        <v>15</v>
      </c>
      <c r="Y22" s="566" t="n">
        <v>15</v>
      </c>
      <c r="Z22" s="566" t="n">
        <v>15</v>
      </c>
      <c r="AA22" s="566" t="n">
        <v>15</v>
      </c>
      <c r="AB22" s="566" t="n">
        <v>15</v>
      </c>
      <c r="AC22" s="566" t="n">
        <v>15</v>
      </c>
      <c r="AD22" s="259" t="n"/>
      <c r="AE22" s="259" t="n"/>
      <c r="AF22" s="259" t="n"/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573" t="n"/>
      <c r="C23" s="564" t="n"/>
      <c r="D23" s="261" t="n"/>
      <c r="E23" s="259" t="n"/>
      <c r="F23" s="574" t="n">
        <v>40</v>
      </c>
      <c r="G23" s="574" t="n">
        <v>40</v>
      </c>
      <c r="H23" s="574" t="n">
        <v>40</v>
      </c>
      <c r="I23" s="574" t="n">
        <v>40</v>
      </c>
      <c r="J23" s="574" t="n">
        <v>40</v>
      </c>
      <c r="K23" s="574" t="n">
        <v>40</v>
      </c>
      <c r="L23" s="574" t="n">
        <v>40</v>
      </c>
      <c r="M23" s="574" t="n">
        <v>40</v>
      </c>
      <c r="N23" s="574" t="n">
        <v>40</v>
      </c>
      <c r="O23" s="574" t="n">
        <v>40</v>
      </c>
      <c r="P23" s="574" t="n">
        <v>40</v>
      </c>
      <c r="Q23" s="574" t="n">
        <v>40</v>
      </c>
      <c r="R23" s="574" t="n">
        <v>40</v>
      </c>
      <c r="S23" s="574" t="n">
        <v>40</v>
      </c>
      <c r="T23" s="574" t="n">
        <v>40</v>
      </c>
      <c r="U23" s="574" t="n">
        <v>40</v>
      </c>
      <c r="V23" s="574" t="n">
        <v>40</v>
      </c>
      <c r="W23" s="574" t="n">
        <v>40</v>
      </c>
      <c r="X23" s="574" t="n">
        <v>40</v>
      </c>
      <c r="Y23" s="574" t="n">
        <v>40</v>
      </c>
      <c r="Z23" s="574" t="n">
        <v>40</v>
      </c>
      <c r="AA23" s="574" t="n">
        <v>40</v>
      </c>
      <c r="AB23" s="574" t="n">
        <v>40</v>
      </c>
      <c r="AC23" s="574" t="n">
        <v>40</v>
      </c>
      <c r="AD23" s="599" t="n"/>
      <c r="AE23" s="599" t="n"/>
      <c r="AF23" s="599" t="n"/>
      <c r="AG23" s="599" t="n"/>
      <c r="AH23" s="599" t="n"/>
      <c r="AI23" s="599" t="n"/>
      <c r="AJ23" s="599" t="n"/>
      <c r="AK23" s="599" t="n"/>
      <c r="AL23" s="599" t="n"/>
      <c r="AM23" s="599" t="n"/>
      <c r="AN23" s="599" t="n"/>
      <c r="AO23" s="599" t="n"/>
      <c r="AP23" s="599" t="n"/>
      <c r="AQ23" s="599" t="n"/>
      <c r="AR23" s="599" t="n"/>
      <c r="AS23" s="599" t="n"/>
      <c r="AT23" s="599" t="n"/>
      <c r="AU23" s="599" t="n"/>
      <c r="AV23" s="599" t="n"/>
      <c r="AW23" s="599" t="n"/>
    </row>
    <row r="24" ht="12" customHeight="1" s="244">
      <c r="A24" s="261" t="n"/>
      <c r="B24" s="572" t="n"/>
      <c r="C24" s="564" t="n"/>
      <c r="D24" s="261" t="n"/>
      <c r="E24" s="259" t="n"/>
      <c r="F24" s="566">
        <f>F23-F10</f>
        <v/>
      </c>
      <c r="G24" s="566">
        <f>G23-G10</f>
        <v/>
      </c>
      <c r="H24" s="566">
        <f>H23-H10</f>
        <v/>
      </c>
      <c r="I24" s="566">
        <f>I23-I10</f>
        <v/>
      </c>
      <c r="J24" s="566">
        <f>J23-J10</f>
        <v/>
      </c>
      <c r="K24" s="566">
        <f>K23-K10</f>
        <v/>
      </c>
      <c r="L24" s="566">
        <f>L23-L10</f>
        <v/>
      </c>
      <c r="M24" s="566">
        <f>M23-M10</f>
        <v/>
      </c>
      <c r="N24" s="566">
        <f>N23-N10</f>
        <v/>
      </c>
      <c r="O24" s="566">
        <f>O23-O10</f>
        <v/>
      </c>
      <c r="P24" s="566">
        <f>P23-P10</f>
        <v/>
      </c>
      <c r="Q24" s="566">
        <f>Q23-Q10</f>
        <v/>
      </c>
      <c r="R24" s="566">
        <f>R23-R10</f>
        <v/>
      </c>
      <c r="S24" s="566">
        <f>S23-S10</f>
        <v/>
      </c>
      <c r="T24" s="566">
        <f>T23-T10</f>
        <v/>
      </c>
      <c r="U24" s="566">
        <f>U23-U10</f>
        <v/>
      </c>
      <c r="V24" s="566">
        <f>V23-V10</f>
        <v/>
      </c>
      <c r="W24" s="566">
        <f>W23-W10</f>
        <v/>
      </c>
      <c r="X24" s="566">
        <f>X23-X10</f>
        <v/>
      </c>
      <c r="Y24" s="566">
        <f>Y23-Y10</f>
        <v/>
      </c>
      <c r="Z24" s="566">
        <f>Z23-Z10</f>
        <v/>
      </c>
      <c r="AA24" s="566">
        <f>AA23-AA10</f>
        <v/>
      </c>
      <c r="AB24" s="566">
        <f>AB23-AB10</f>
        <v/>
      </c>
      <c r="AC24" s="566">
        <f>AC23-AC10</f>
        <v/>
      </c>
      <c r="AD24" s="259" t="n"/>
      <c r="AE24" s="259" t="n"/>
      <c r="AF24" s="259" t="n"/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572" t="n"/>
      <c r="C25" s="564" t="n"/>
      <c r="D25" s="261" t="n"/>
      <c r="E25" s="259" t="n"/>
      <c r="F25" s="566">
        <f>2*(F21-F24)</f>
        <v/>
      </c>
      <c r="G25" s="566">
        <f>2*(G21-G24)</f>
        <v/>
      </c>
      <c r="H25" s="566">
        <f>2*(H21-H24)</f>
        <v/>
      </c>
      <c r="I25" s="566">
        <f>2*(I21-I24)</f>
        <v/>
      </c>
      <c r="J25" s="566">
        <f>2*(J21-J24)</f>
        <v/>
      </c>
      <c r="K25" s="566">
        <f>2*(K21-K24)</f>
        <v/>
      </c>
      <c r="L25" s="566">
        <f>2*(L21-L24)</f>
        <v/>
      </c>
      <c r="M25" s="566">
        <f>2*(M21-M24)</f>
        <v/>
      </c>
      <c r="N25" s="566">
        <f>2*(N21-N24)</f>
        <v/>
      </c>
      <c r="O25" s="566">
        <f>2*(O21-O24)</f>
        <v/>
      </c>
      <c r="P25" s="566">
        <f>2*(P21-P24)</f>
        <v/>
      </c>
      <c r="Q25" s="566">
        <f>2*(Q21-Q24)</f>
        <v/>
      </c>
      <c r="R25" s="566">
        <f>2*(R21-R24)</f>
        <v/>
      </c>
      <c r="S25" s="566">
        <f>2*(S21-S24)</f>
        <v/>
      </c>
      <c r="T25" s="566">
        <f>2*(T21-T24)</f>
        <v/>
      </c>
      <c r="U25" s="566">
        <f>2*(U21-U24)</f>
        <v/>
      </c>
      <c r="V25" s="566">
        <f>2*(V21-V24)</f>
        <v/>
      </c>
      <c r="W25" s="566">
        <f>2*(W21-W24)</f>
        <v/>
      </c>
      <c r="X25" s="566">
        <f>2*(X21-X24)</f>
        <v/>
      </c>
      <c r="Y25" s="566">
        <f>2*(Y21-Y24)</f>
        <v/>
      </c>
      <c r="Z25" s="566">
        <f>2*(Z21-Z24)</f>
        <v/>
      </c>
      <c r="AA25" s="566">
        <f>2*(AA21-AA24)</f>
        <v/>
      </c>
      <c r="AB25" s="566">
        <f>2*(AB21-AB24)</f>
        <v/>
      </c>
      <c r="AC25" s="566">
        <f>2*(AC21-AC24)</f>
        <v/>
      </c>
      <c r="AD25" s="259" t="n"/>
      <c r="AE25" s="259" t="n"/>
      <c r="AF25" s="259" t="n"/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573" t="n"/>
      <c r="C26" s="564" t="n"/>
      <c r="D26" s="575" t="n"/>
      <c r="E26" s="259" t="n"/>
      <c r="F26" s="570">
        <f>0.2*F14</f>
        <v/>
      </c>
      <c r="G26" s="570">
        <f>0.2*G14</f>
        <v/>
      </c>
      <c r="H26" s="570">
        <f>0.2*H14</f>
        <v/>
      </c>
      <c r="I26" s="570">
        <f>0.2*I14</f>
        <v/>
      </c>
      <c r="J26" s="570">
        <f>0.2*J14</f>
        <v/>
      </c>
      <c r="K26" s="570">
        <f>0.2*K14</f>
        <v/>
      </c>
      <c r="L26" s="570">
        <f>0.2*L14</f>
        <v/>
      </c>
      <c r="M26" s="570">
        <f>0.2*M14</f>
        <v/>
      </c>
      <c r="N26" s="570">
        <f>0.2*N14</f>
        <v/>
      </c>
      <c r="O26" s="570">
        <f>0.2*O14</f>
        <v/>
      </c>
      <c r="P26" s="570">
        <f>0.2*P14</f>
        <v/>
      </c>
      <c r="Q26" s="570">
        <f>0.2*Q14</f>
        <v/>
      </c>
      <c r="R26" s="570">
        <f>0.2*R14</f>
        <v/>
      </c>
      <c r="S26" s="570">
        <f>0.2*S14</f>
        <v/>
      </c>
      <c r="T26" s="570">
        <f>0.2*T14</f>
        <v/>
      </c>
      <c r="U26" s="570">
        <f>0.2*U14</f>
        <v/>
      </c>
      <c r="V26" s="570">
        <f>0.2*V14</f>
        <v/>
      </c>
      <c r="W26" s="570">
        <f>0.2*W14</f>
        <v/>
      </c>
      <c r="X26" s="570">
        <f>0.2*X14</f>
        <v/>
      </c>
      <c r="Y26" s="570">
        <f>0.2*Y14</f>
        <v/>
      </c>
      <c r="Z26" s="570">
        <f>0.2*Z14</f>
        <v/>
      </c>
      <c r="AA26" s="570">
        <f>0.2*AA14</f>
        <v/>
      </c>
      <c r="AB26" s="570">
        <f>0.2*AB14</f>
        <v/>
      </c>
      <c r="AC26" s="570">
        <f>0.2*AC14</f>
        <v/>
      </c>
      <c r="AD26" s="598" t="n"/>
      <c r="AE26" s="598" t="n"/>
      <c r="AF26" s="598" t="n"/>
      <c r="AG26" s="598" t="n"/>
      <c r="AH26" s="598" t="n"/>
      <c r="AI26" s="598" t="n"/>
      <c r="AJ26" s="598" t="n"/>
      <c r="AK26" s="598" t="n"/>
      <c r="AL26" s="598" t="n"/>
      <c r="AM26" s="598" t="n"/>
      <c r="AN26" s="598" t="n"/>
      <c r="AO26" s="598" t="n"/>
      <c r="AP26" s="598" t="n"/>
      <c r="AQ26" s="598" t="n"/>
      <c r="AR26" s="598" t="n"/>
      <c r="AS26" s="598" t="n"/>
      <c r="AT26" s="598" t="n"/>
      <c r="AU26" s="598" t="n"/>
      <c r="AV26" s="598" t="n"/>
      <c r="AW26" s="598" t="n"/>
    </row>
    <row r="27" ht="12" customHeight="1" s="244">
      <c r="A27" s="261" t="n"/>
      <c r="B27" s="573" t="n"/>
      <c r="C27" s="564" t="n"/>
      <c r="D27" s="261" t="n"/>
      <c r="E27" s="259" t="n"/>
      <c r="F27" s="576">
        <f>F17*(F14+F26)</f>
        <v/>
      </c>
      <c r="G27" s="576">
        <f>G17*(G14+G26)</f>
        <v/>
      </c>
      <c r="H27" s="576">
        <f>H17*(H14+H26)</f>
        <v/>
      </c>
      <c r="I27" s="576">
        <f>I17*(I14+I26)</f>
        <v/>
      </c>
      <c r="J27" s="576">
        <f>J17*(J14+J26)</f>
        <v/>
      </c>
      <c r="K27" s="576">
        <f>K17*(K14+K26)</f>
        <v/>
      </c>
      <c r="L27" s="576">
        <f>L17*(L14+L26)</f>
        <v/>
      </c>
      <c r="M27" s="576">
        <f>M17*(M14+M26)</f>
        <v/>
      </c>
      <c r="N27" s="576">
        <f>N17*(N14+N26)</f>
        <v/>
      </c>
      <c r="O27" s="576">
        <f>O17*(O14+O26)</f>
        <v/>
      </c>
      <c r="P27" s="576">
        <f>P17*(P14+P26)</f>
        <v/>
      </c>
      <c r="Q27" s="576">
        <f>Q17*(Q14+Q26)</f>
        <v/>
      </c>
      <c r="R27" s="576">
        <f>R17*(R14+R26)</f>
        <v/>
      </c>
      <c r="S27" s="576">
        <f>S17*(S14+S26)</f>
        <v/>
      </c>
      <c r="T27" s="576">
        <f>T17*(T14+T26)</f>
        <v/>
      </c>
      <c r="U27" s="576">
        <f>U17*(U14+U26)</f>
        <v/>
      </c>
      <c r="V27" s="576">
        <f>V17*(V14+V26)</f>
        <v/>
      </c>
      <c r="W27" s="576">
        <f>W17*(W14+W26)</f>
        <v/>
      </c>
      <c r="X27" s="576">
        <f>X17*(X14+X26)</f>
        <v/>
      </c>
      <c r="Y27" s="576">
        <f>Y17*(Y14+Y26)</f>
        <v/>
      </c>
      <c r="Z27" s="576">
        <f>Z17*(Z14+Z26)</f>
        <v/>
      </c>
      <c r="AA27" s="576">
        <f>AA17*(AA14+AA26)</f>
        <v/>
      </c>
      <c r="AB27" s="576">
        <f>AB17*(AB14+AB26)</f>
        <v/>
      </c>
      <c r="AC27" s="576">
        <f>AC17*(AC14+AC26)</f>
        <v/>
      </c>
      <c r="AD27" s="600" t="n"/>
      <c r="AE27" s="600" t="n"/>
      <c r="AF27" s="600" t="n"/>
      <c r="AG27" s="600" t="n"/>
      <c r="AH27" s="600" t="n"/>
      <c r="AI27" s="600" t="n"/>
      <c r="AJ27" s="600" t="n"/>
      <c r="AK27" s="600" t="n"/>
      <c r="AL27" s="600" t="n"/>
      <c r="AM27" s="600" t="n"/>
      <c r="AN27" s="600" t="n"/>
      <c r="AO27" s="600" t="n"/>
      <c r="AP27" s="600" t="n"/>
      <c r="AQ27" s="600" t="n"/>
      <c r="AR27" s="600" t="n"/>
      <c r="AS27" s="600" t="n"/>
      <c r="AT27" s="600" t="n"/>
      <c r="AU27" s="600" t="n"/>
      <c r="AV27" s="600" t="n"/>
      <c r="AW27" s="600" t="n"/>
    </row>
    <row r="28" ht="12" customHeight="1" s="244">
      <c r="A28" s="261" t="n"/>
      <c r="B28" s="573" t="n"/>
      <c r="C28" s="564" t="n"/>
      <c r="D28" s="261" t="n"/>
      <c r="E28" s="259" t="n"/>
      <c r="F28" s="577">
        <f>F27/(1.163*F25)</f>
        <v/>
      </c>
      <c r="G28" s="577">
        <f>G27/(1.163*G25)</f>
        <v/>
      </c>
      <c r="H28" s="577">
        <f>H27/(1.163*H25)</f>
        <v/>
      </c>
      <c r="I28" s="577">
        <f>I27/(1.163*I25)</f>
        <v/>
      </c>
      <c r="J28" s="577">
        <f>J27/(1.163*J25)</f>
        <v/>
      </c>
      <c r="K28" s="577">
        <f>K27/(1.163*K25)</f>
        <v/>
      </c>
      <c r="L28" s="577">
        <f>L27/(1.163*L25)</f>
        <v/>
      </c>
      <c r="M28" s="577">
        <f>M27/(1.163*M25)</f>
        <v/>
      </c>
      <c r="N28" s="577">
        <f>N27/(1.163*N25)</f>
        <v/>
      </c>
      <c r="O28" s="577">
        <f>O27/(1.163*O25)</f>
        <v/>
      </c>
      <c r="P28" s="577">
        <f>P27/(1.163*P25)</f>
        <v/>
      </c>
      <c r="Q28" s="577">
        <f>Q27/(1.163*Q25)</f>
        <v/>
      </c>
      <c r="R28" s="577">
        <f>R27/(1.163*R25)</f>
        <v/>
      </c>
      <c r="S28" s="577">
        <f>S27/(1.163*S25)</f>
        <v/>
      </c>
      <c r="T28" s="577">
        <f>T27/(1.163*T25)</f>
        <v/>
      </c>
      <c r="U28" s="577">
        <f>U27/(1.163*U25)</f>
        <v/>
      </c>
      <c r="V28" s="577">
        <f>V27/(1.163*V25)</f>
        <v/>
      </c>
      <c r="W28" s="577">
        <f>W27/(1.163*W25)</f>
        <v/>
      </c>
      <c r="X28" s="577">
        <f>X27/(1.163*X25)</f>
        <v/>
      </c>
      <c r="Y28" s="577">
        <f>Y27/(1.163*Y25)</f>
        <v/>
      </c>
      <c r="Z28" s="577">
        <f>Z27/(1.163*Z25)</f>
        <v/>
      </c>
      <c r="AA28" s="577">
        <f>AA27/(1.163*AA25)</f>
        <v/>
      </c>
      <c r="AB28" s="577">
        <f>AB27/(1.163*AB25)</f>
        <v/>
      </c>
      <c r="AC28" s="577">
        <f>AC27/(1.163*AC25)</f>
        <v/>
      </c>
      <c r="AD28" s="601" t="n"/>
      <c r="AE28" s="601" t="n"/>
      <c r="AF28" s="601" t="n"/>
      <c r="AG28" s="601" t="n"/>
      <c r="AH28" s="601" t="n"/>
      <c r="AI28" s="601" t="n"/>
      <c r="AJ28" s="601" t="n"/>
      <c r="AK28" s="601" t="n"/>
      <c r="AL28" s="601" t="n"/>
      <c r="AM28" s="601" t="n"/>
      <c r="AN28" s="601" t="n"/>
      <c r="AO28" s="601" t="n"/>
      <c r="AP28" s="601" t="n"/>
      <c r="AQ28" s="601" t="n"/>
      <c r="AR28" s="601" t="n"/>
      <c r="AS28" s="601" t="n"/>
      <c r="AT28" s="601" t="n"/>
      <c r="AU28" s="601" t="n"/>
      <c r="AV28" s="601" t="n"/>
      <c r="AW28" s="601" t="n"/>
    </row>
    <row r="29" ht="12" customHeight="1" s="244">
      <c r="A29" s="261" t="n"/>
      <c r="B29" s="573" t="n"/>
      <c r="C29" s="564" t="n"/>
      <c r="D29" s="261" t="n"/>
      <c r="E29" s="259" t="n"/>
      <c r="F29" s="578">
        <f>F17/(F22*0.01)</f>
        <v/>
      </c>
      <c r="G29" s="578">
        <f>G17/(G22*0.01)</f>
        <v/>
      </c>
      <c r="H29" s="578">
        <f>H17/(H22*0.01)</f>
        <v/>
      </c>
      <c r="I29" s="578">
        <f>I17/(I22*0.01)</f>
        <v/>
      </c>
      <c r="J29" s="578">
        <f>J17/(J22*0.01)</f>
        <v/>
      </c>
      <c r="K29" s="578">
        <f>K17/(K22*0.01)</f>
        <v/>
      </c>
      <c r="L29" s="578">
        <f>L17/(L22*0.01)</f>
        <v/>
      </c>
      <c r="M29" s="578">
        <f>M17/(M22*0.01)</f>
        <v/>
      </c>
      <c r="N29" s="578">
        <f>N17/(N22*0.01)</f>
        <v/>
      </c>
      <c r="O29" s="578">
        <f>O17/(O22*0.01)</f>
        <v/>
      </c>
      <c r="P29" s="578">
        <f>P17/(P22*0.01)</f>
        <v/>
      </c>
      <c r="Q29" s="578">
        <f>Q17/(Q22*0.01)</f>
        <v/>
      </c>
      <c r="R29" s="578">
        <f>R17/(R22*0.01)</f>
        <v/>
      </c>
      <c r="S29" s="578">
        <f>S17/(S22*0.01)</f>
        <v/>
      </c>
      <c r="T29" s="578">
        <f>T17/(T22*0.01)</f>
        <v/>
      </c>
      <c r="U29" s="578">
        <f>U17/(U22*0.01)</f>
        <v/>
      </c>
      <c r="V29" s="578">
        <f>V17/(V22*0.01)</f>
        <v/>
      </c>
      <c r="W29" s="578">
        <f>W17/(W22*0.01)</f>
        <v/>
      </c>
      <c r="X29" s="578">
        <f>X17/(X22*0.01)</f>
        <v/>
      </c>
      <c r="Y29" s="578">
        <f>Y17/(Y22*0.01)</f>
        <v/>
      </c>
      <c r="Z29" s="578">
        <f>Z17/(Z22*0.01)</f>
        <v/>
      </c>
      <c r="AA29" s="578">
        <f>AA17/(AA22*0.01)</f>
        <v/>
      </c>
      <c r="AB29" s="578">
        <f>AB17/(AB22*0.01)</f>
        <v/>
      </c>
      <c r="AC29" s="578">
        <f>AC17/(AC22*0.01)</f>
        <v/>
      </c>
      <c r="AD29" s="602" t="n"/>
      <c r="AE29" s="602" t="n"/>
      <c r="AF29" s="602" t="n"/>
      <c r="AG29" s="602" t="n"/>
      <c r="AH29" s="602" t="n"/>
      <c r="AI29" s="602" t="n"/>
      <c r="AJ29" s="602" t="n"/>
      <c r="AK29" s="602" t="n"/>
      <c r="AL29" s="602" t="n"/>
      <c r="AM29" s="602" t="n"/>
      <c r="AN29" s="602" t="n"/>
      <c r="AO29" s="602" t="n"/>
      <c r="AP29" s="602" t="n"/>
      <c r="AQ29" s="602" t="n"/>
      <c r="AR29" s="602" t="n"/>
      <c r="AS29" s="602" t="n"/>
      <c r="AT29" s="602" t="n"/>
      <c r="AU29" s="602" t="n"/>
      <c r="AV29" s="602" t="n"/>
      <c r="AW29" s="602" t="n"/>
    </row>
    <row r="30" ht="12" customHeight="1" s="244">
      <c r="A30" s="261" t="n"/>
      <c r="B30" s="573" t="n"/>
      <c r="C30" s="564" t="inlineStr">
        <is>
          <t>BAĞLANTI BORULARI</t>
        </is>
      </c>
      <c r="D30" s="261" t="inlineStr">
        <is>
          <t>Kollektör ayakları devre boyuna dahildir</t>
        </is>
      </c>
      <c r="E30" s="259" t="n"/>
      <c r="F30" s="579" t="n">
        <v>0</v>
      </c>
      <c r="G30" s="579" t="n">
        <v>0</v>
      </c>
      <c r="H30" s="579" t="n">
        <v>0</v>
      </c>
      <c r="I30" s="579" t="n">
        <v>0</v>
      </c>
      <c r="J30" s="579" t="n">
        <v>0</v>
      </c>
      <c r="K30" s="579" t="n">
        <v>0</v>
      </c>
      <c r="L30" s="579" t="n">
        <v>0</v>
      </c>
      <c r="M30" s="579" t="n">
        <v>0</v>
      </c>
      <c r="N30" s="579" t="n">
        <v>0</v>
      </c>
      <c r="O30" s="579" t="n">
        <v>0</v>
      </c>
      <c r="P30" s="579" t="n">
        <v>0</v>
      </c>
      <c r="Q30" s="579" t="n">
        <v>0</v>
      </c>
      <c r="R30" s="579" t="n">
        <v>0</v>
      </c>
      <c r="S30" s="579" t="n">
        <v>0</v>
      </c>
      <c r="T30" s="579" t="n">
        <v>0</v>
      </c>
      <c r="U30" s="579" t="n">
        <v>0</v>
      </c>
      <c r="V30" s="579" t="n">
        <v>0</v>
      </c>
      <c r="W30" s="579" t="n">
        <v>0</v>
      </c>
      <c r="X30" s="579" t="n">
        <v>0</v>
      </c>
      <c r="Y30" s="579" t="n">
        <v>0</v>
      </c>
      <c r="Z30" s="579" t="n">
        <v>0</v>
      </c>
      <c r="AA30" s="579" t="n">
        <v>0</v>
      </c>
      <c r="AB30" s="579" t="n">
        <v>0</v>
      </c>
      <c r="AC30" s="579" t="n">
        <v>0</v>
      </c>
      <c r="AD30" s="603" t="n"/>
      <c r="AE30" s="603" t="n"/>
      <c r="AF30" s="603" t="n"/>
      <c r="AG30" s="603" t="n"/>
      <c r="AO30" s="603" t="n"/>
      <c r="AP30" s="603" t="n"/>
      <c r="AQ30" s="603" t="n"/>
      <c r="AR30" s="603" t="n"/>
      <c r="AS30" s="603" t="n"/>
      <c r="AT30" s="603" t="n"/>
      <c r="AU30" s="603" t="n"/>
      <c r="AV30" s="603" t="n"/>
      <c r="AW30" s="603" t="n"/>
    </row>
    <row r="31" ht="12" customHeight="1" s="244">
      <c r="A31" s="261" t="n"/>
      <c r="B31" s="573" t="n"/>
      <c r="C31" s="564" t="n"/>
      <c r="D31" s="261" t="n"/>
      <c r="E31" s="259" t="n"/>
      <c r="F31" s="566">
        <f>F29+F30</f>
        <v/>
      </c>
      <c r="G31" s="566">
        <f>G29+G30</f>
        <v/>
      </c>
      <c r="H31" s="566">
        <f>H29+H30</f>
        <v/>
      </c>
      <c r="I31" s="566">
        <f>I29+I30</f>
        <v/>
      </c>
      <c r="J31" s="566">
        <f>J29+J30</f>
        <v/>
      </c>
      <c r="K31" s="566">
        <f>K29+K30</f>
        <v/>
      </c>
      <c r="L31" s="566">
        <f>L29+L30</f>
        <v/>
      </c>
      <c r="M31" s="566">
        <f>M29+M30</f>
        <v/>
      </c>
      <c r="N31" s="566">
        <f>N29+N30</f>
        <v/>
      </c>
      <c r="O31" s="566">
        <f>O29+O30</f>
        <v/>
      </c>
      <c r="P31" s="566">
        <f>P29+P30</f>
        <v/>
      </c>
      <c r="Q31" s="566">
        <f>Q29+Q30</f>
        <v/>
      </c>
      <c r="R31" s="566">
        <f>R29+R30</f>
        <v/>
      </c>
      <c r="S31" s="566">
        <f>S29+S30</f>
        <v/>
      </c>
      <c r="T31" s="566">
        <f>T29+T30</f>
        <v/>
      </c>
      <c r="U31" s="566">
        <f>U29+U30</f>
        <v/>
      </c>
      <c r="V31" s="566">
        <f>V29+V30</f>
        <v/>
      </c>
      <c r="W31" s="566">
        <f>W29+W30</f>
        <v/>
      </c>
      <c r="X31" s="566">
        <f>X29+X30</f>
        <v/>
      </c>
      <c r="Y31" s="566">
        <f>Y29+Y30</f>
        <v/>
      </c>
      <c r="Z31" s="566">
        <f>Z29+Z30</f>
        <v/>
      </c>
      <c r="AA31" s="566">
        <f>AA29+AA30</f>
        <v/>
      </c>
      <c r="AB31" s="566">
        <f>AB29+AB30</f>
        <v/>
      </c>
      <c r="AC31" s="566">
        <f>AC29+AC30</f>
        <v/>
      </c>
      <c r="AD31" s="259" t="n"/>
      <c r="AE31" s="259" t="n"/>
      <c r="AF31" s="259" t="n"/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572" t="n"/>
      <c r="C32" s="56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578" t="n">
        <v>1727</v>
      </c>
      <c r="G32" s="578" t="n">
        <v>448</v>
      </c>
      <c r="H32" s="578" t="n">
        <v>536</v>
      </c>
      <c r="I32" s="578" t="n">
        <v>1903</v>
      </c>
      <c r="J32" s="578" t="n">
        <v>1832</v>
      </c>
      <c r="K32" s="578" t="n">
        <v>2098</v>
      </c>
      <c r="L32" s="578" t="n">
        <v>2361</v>
      </c>
      <c r="M32" s="578" t="n">
        <v>184</v>
      </c>
      <c r="N32" s="578" t="n">
        <v>1102</v>
      </c>
      <c r="O32" s="578" t="n">
        <v>529</v>
      </c>
      <c r="P32" s="578" t="n">
        <v>627</v>
      </c>
      <c r="Q32" s="578" t="n">
        <v>1868</v>
      </c>
      <c r="R32" s="578" t="n">
        <v>3523</v>
      </c>
      <c r="S32" s="578" t="n">
        <v>2437</v>
      </c>
      <c r="T32" s="578" t="n">
        <v>2354</v>
      </c>
      <c r="U32" s="578" t="n">
        <v>97</v>
      </c>
      <c r="V32" s="578" t="n">
        <v>1651</v>
      </c>
      <c r="W32" s="578" t="n">
        <v>565</v>
      </c>
      <c r="X32" s="578" t="n">
        <v>655</v>
      </c>
      <c r="Y32" s="578" t="n">
        <v>1902</v>
      </c>
      <c r="Z32" s="578" t="n">
        <v>1867</v>
      </c>
      <c r="AA32" s="578" t="n">
        <v>2055</v>
      </c>
      <c r="AB32" s="578" t="n">
        <v>2385</v>
      </c>
      <c r="AC32" s="578" t="n">
        <v>141</v>
      </c>
      <c r="AD32" s="602" t="n"/>
      <c r="AE32" s="602" t="n"/>
      <c r="AF32" s="602" t="n"/>
      <c r="AG32" s="602" t="n"/>
      <c r="AH32" s="602" t="n"/>
      <c r="AI32" s="602" t="n"/>
      <c r="AJ32" s="602" t="n"/>
      <c r="AK32" s="602" t="n"/>
      <c r="AL32" s="602" t="n"/>
      <c r="AM32" s="602" t="n"/>
      <c r="AN32" s="602" t="n"/>
      <c r="AO32" s="602" t="n"/>
      <c r="AP32" s="602" t="n"/>
      <c r="AQ32" s="602" t="n"/>
      <c r="AR32" s="602" t="n"/>
      <c r="AS32" s="602" t="n"/>
      <c r="AT32" s="602" t="n"/>
      <c r="AU32" s="602" t="n"/>
      <c r="AV32" s="602" t="n"/>
      <c r="AW32" s="602" t="n"/>
    </row>
    <row r="33" ht="12" customHeight="1" s="244">
      <c r="A33" s="261" t="n"/>
      <c r="B33" s="572" t="n"/>
      <c r="C33" s="564" t="n"/>
      <c r="D33" s="261" t="n"/>
      <c r="E33" s="259" t="n"/>
      <c r="F33" s="566">
        <f>F32*0.05</f>
        <v/>
      </c>
      <c r="G33" s="566">
        <f>G32*0.05</f>
        <v/>
      </c>
      <c r="H33" s="566">
        <f>H32*0.05</f>
        <v/>
      </c>
      <c r="I33" s="566">
        <f>I32*0.05</f>
        <v/>
      </c>
      <c r="J33" s="566">
        <f>J32*0.05</f>
        <v/>
      </c>
      <c r="K33" s="566">
        <f>K32*0.05</f>
        <v/>
      </c>
      <c r="L33" s="566">
        <f>L32*0.05</f>
        <v/>
      </c>
      <c r="M33" s="566">
        <f>M32*0.05</f>
        <v/>
      </c>
      <c r="N33" s="566">
        <f>N32*0.05</f>
        <v/>
      </c>
      <c r="O33" s="566">
        <f>O32*0.05</f>
        <v/>
      </c>
      <c r="P33" s="566">
        <f>P32*0.05</f>
        <v/>
      </c>
      <c r="Q33" s="566">
        <f>Q32*0.05</f>
        <v/>
      </c>
      <c r="R33" s="566">
        <f>R32*0.05</f>
        <v/>
      </c>
      <c r="S33" s="566">
        <f>S32*0.05</f>
        <v/>
      </c>
      <c r="T33" s="566">
        <f>T32*0.05</f>
        <v/>
      </c>
      <c r="U33" s="566">
        <f>U32*0.05</f>
        <v/>
      </c>
      <c r="V33" s="566">
        <f>V32*0.05</f>
        <v/>
      </c>
      <c r="W33" s="566">
        <f>W32*0.05</f>
        <v/>
      </c>
      <c r="X33" s="566">
        <f>X32*0.05</f>
        <v/>
      </c>
      <c r="Y33" s="566">
        <f>Y32*0.05</f>
        <v/>
      </c>
      <c r="Z33" s="566">
        <f>Z32*0.05</f>
        <v/>
      </c>
      <c r="AA33" s="566">
        <f>AA32*0.05</f>
        <v/>
      </c>
      <c r="AB33" s="566">
        <f>AB32*0.05</f>
        <v/>
      </c>
      <c r="AC33" s="566">
        <f>AC32*0.05</f>
        <v/>
      </c>
      <c r="AD33" s="259" t="n"/>
      <c r="AE33" s="598" t="n"/>
      <c r="AF33" s="259" t="n"/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572" t="n"/>
      <c r="C34" s="564" t="n"/>
      <c r="D34" s="261" t="n"/>
      <c r="E34" s="259" t="n"/>
      <c r="F34" s="566">
        <f>F32+F33</f>
        <v/>
      </c>
      <c r="G34" s="566">
        <f>G32+G33</f>
        <v/>
      </c>
      <c r="H34" s="566">
        <f>H32+H33</f>
        <v/>
      </c>
      <c r="I34" s="566">
        <f>I32+I33</f>
        <v/>
      </c>
      <c r="J34" s="566">
        <f>J32+J33</f>
        <v/>
      </c>
      <c r="K34" s="566">
        <f>K32+K33</f>
        <v/>
      </c>
      <c r="L34" s="566">
        <f>L32+L33</f>
        <v/>
      </c>
      <c r="M34" s="566">
        <f>M32+M33</f>
        <v/>
      </c>
      <c r="N34" s="566">
        <f>N32+N33</f>
        <v/>
      </c>
      <c r="O34" s="566">
        <f>O32+O33</f>
        <v/>
      </c>
      <c r="P34" s="566">
        <f>P32+P33</f>
        <v/>
      </c>
      <c r="Q34" s="566">
        <f>Q32+Q33</f>
        <v/>
      </c>
      <c r="R34" s="566">
        <f>R32+R33</f>
        <v/>
      </c>
      <c r="S34" s="566">
        <f>S32+S33</f>
        <v/>
      </c>
      <c r="T34" s="566">
        <f>T32+T33</f>
        <v/>
      </c>
      <c r="U34" s="566">
        <f>U32+U33</f>
        <v/>
      </c>
      <c r="V34" s="566">
        <f>V32+V33</f>
        <v/>
      </c>
      <c r="W34" s="566">
        <f>W32+W33</f>
        <v/>
      </c>
      <c r="X34" s="566">
        <f>X32+X33</f>
        <v/>
      </c>
      <c r="Y34" s="566">
        <f>Y32+Y33</f>
        <v/>
      </c>
      <c r="Z34" s="566">
        <f>Z32+Z33</f>
        <v/>
      </c>
      <c r="AA34" s="566">
        <f>AA32+AA33</f>
        <v/>
      </c>
      <c r="AB34" s="566">
        <f>AB32+AB33</f>
        <v/>
      </c>
      <c r="AC34" s="566">
        <f>AC32+AC33</f>
        <v/>
      </c>
      <c r="AD34" s="259" t="n"/>
      <c r="AE34" s="259" t="n"/>
      <c r="AF34" s="259" t="n"/>
      <c r="AG34" s="598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572" t="n"/>
      <c r="C35" s="282" t="n"/>
      <c r="D35" s="261" t="n"/>
      <c r="E35" s="259" t="n"/>
      <c r="F35" s="580">
        <f>MAX(F34:AC34)-F34</f>
        <v/>
      </c>
      <c r="G35" s="580">
        <f>MAX(F34:AC34)-G34</f>
        <v/>
      </c>
      <c r="H35" s="580">
        <f>MAX(F34:AC34)-H34</f>
        <v/>
      </c>
      <c r="I35" s="580">
        <f>MAX(F34:AC34)-I34</f>
        <v/>
      </c>
      <c r="J35" s="580">
        <f>MAX(F34:AC34)-J34</f>
        <v/>
      </c>
      <c r="K35" s="580">
        <f>MAX(F34:AC34)-K34</f>
        <v/>
      </c>
      <c r="L35" s="580">
        <f>MAX(F34:AC34)-L34</f>
        <v/>
      </c>
      <c r="M35" s="580">
        <f>MAX(F34:AC34)-M34</f>
        <v/>
      </c>
      <c r="N35" s="580">
        <f>MAX(F34:AC34)-N34</f>
        <v/>
      </c>
      <c r="O35" s="580">
        <f>MAX(F34:AC34)-O34</f>
        <v/>
      </c>
      <c r="P35" s="580">
        <f>MAX(F34:AC34)-P34</f>
        <v/>
      </c>
      <c r="Q35" s="580">
        <f>MAX(F34:AC34)-Q34</f>
        <v/>
      </c>
      <c r="R35" s="580">
        <f>MAX(F34:AC34)-R34</f>
        <v/>
      </c>
      <c r="S35" s="580">
        <f>MAX(F34:AC34)-S34</f>
        <v/>
      </c>
      <c r="T35" s="580">
        <f>MAX(F34:AC34)-T34</f>
        <v/>
      </c>
      <c r="U35" s="580">
        <f>MAX(F34:AC34)-U34</f>
        <v/>
      </c>
      <c r="V35" s="580">
        <f>MAX(F34:AC34)-V34</f>
        <v/>
      </c>
      <c r="W35" s="580">
        <f>MAX(F34:AC34)-W34</f>
        <v/>
      </c>
      <c r="X35" s="580">
        <f>MAX(F34:AC34)-X34</f>
        <v/>
      </c>
      <c r="Y35" s="580">
        <f>MAX(F34:AC34)-Y34</f>
        <v/>
      </c>
      <c r="Z35" s="580">
        <f>MAX(F34:AC34)-Z34</f>
        <v/>
      </c>
      <c r="AA35" s="580">
        <f>MAX(F34:AC34)-AA34</f>
        <v/>
      </c>
      <c r="AB35" s="580">
        <f>MAX(F34:AC34)-AB34</f>
        <v/>
      </c>
      <c r="AC35" s="580">
        <f>MAX(F34:AC34)-AC34</f>
        <v/>
      </c>
      <c r="AD35" s="604" t="n"/>
      <c r="AE35" s="604" t="n"/>
      <c r="AF35" s="604" t="n"/>
      <c r="AG35" s="604" t="n"/>
      <c r="AH35" s="604" t="n"/>
      <c r="AI35" s="604" t="n"/>
      <c r="AJ35" s="604" t="n"/>
      <c r="AK35" s="604" t="n"/>
      <c r="AL35" s="604" t="n"/>
      <c r="AM35" s="604" t="n"/>
      <c r="AN35" s="604" t="n"/>
      <c r="AO35" s="604" t="n"/>
      <c r="AP35" s="604" t="n"/>
      <c r="AQ35" s="604" t="n"/>
      <c r="AR35" s="604" t="n"/>
      <c r="AS35" s="604" t="n"/>
      <c r="AT35" s="604" t="n"/>
      <c r="AU35" s="604" t="n"/>
      <c r="AV35" s="604" t="n"/>
      <c r="AW35" s="604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F38" s="243" t="inlineStr">
        <is>
          <t>GÖRE AYARLANMALIDIR….</t>
        </is>
      </c>
    </row>
    <row r="39" ht="12.75" customHeight="1" s="244">
      <c r="F39" s="581" t="inlineStr">
        <is>
          <t>Δpö</t>
        </is>
      </c>
      <c r="G39" s="581" t="inlineStr">
        <is>
          <t>EK VI-14i Tablosundan q değeri m³/h çevrilir DN10 borusu için</t>
        </is>
      </c>
      <c r="H39" s="581" t="n"/>
      <c r="I39" s="581" t="n"/>
    </row>
    <row r="40" ht="12.75" customHeight="1" s="244">
      <c r="A40" s="582" t="inlineStr">
        <is>
          <t xml:space="preserve"> (1)</t>
        </is>
      </c>
      <c r="B40" s="243" t="inlineStr">
        <is>
          <t>Şek. 19.7.1 den seçilmiştir.</t>
        </is>
      </c>
      <c r="F40" s="581" t="n"/>
      <c r="G40" s="581" t="inlineStr">
        <is>
          <t>R (Pa/m) 1metre borudaki basın. Kaybı bulunur..</t>
        </is>
      </c>
      <c r="H40" s="581" t="n"/>
      <c r="I40" s="581" t="n"/>
    </row>
    <row r="41" ht="12.75" customHeight="1" s="244">
      <c r="A41" s="582" t="inlineStr">
        <is>
          <t xml:space="preserve"> (2)</t>
        </is>
      </c>
      <c r="B41" s="243" t="inlineStr">
        <is>
          <t>Kombi gidiş suyu sıcaklığı 45 °C, dönüş 35 °C seçilmiştir.</t>
        </is>
      </c>
      <c r="F41" s="581" t="n"/>
      <c r="G41" s="581" t="inlineStr">
        <is>
          <t xml:space="preserve">toplam boru boyu ile çarpımından Δpö (Pa) bulunur.  </t>
        </is>
      </c>
      <c r="H41" s="581" t="n"/>
      <c r="I41" s="581" t="n"/>
    </row>
    <row r="42" ht="12.75" customHeight="1" s="244">
      <c r="A42" s="582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582" t="inlineStr">
        <is>
          <t xml:space="preserve"> (4)</t>
        </is>
      </c>
      <c r="B43" s="243" t="inlineStr">
        <is>
          <t>Alta geçen ısı 0,2 q" olarak alınmıştır. qh = mahal ısı kaybı (ISI KAYBI sayfaları) devrelere boru boyu oranında dağıtılmıştır (plan etiketi ve kolon şeması ile aynı).</t>
        </is>
      </c>
    </row>
    <row r="44" ht="12.75" customHeight="1" s="244">
      <c r="A44" s="582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582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82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83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ROTAŞ MÜHENDİSLİK - CAN ÖZKAYA</dc:creator>
  <dc:title xmlns:dc="http://purl.org/dc/elements/1.1/">YERDEN ISITMA HESAPLARI</dc:title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2026-10-15T19:25:51Z</dcterms:modified>
  <cp:lastModifiedBy>ROTAŞ MÜHENDİSLİK</cp:lastModifiedBy>
  <cp:revision>0</cp:revision>
  <cp:lastPrinted>2022-06-03T11:29:57Z</cp:lastPrinted>
</cp:coreProperties>
</file>