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MPA-DEPO" sheetId="1" state="visible" r:id="rId1"/>
    <sheet xmlns:r="http://schemas.openxmlformats.org/officeDocument/2006/relationships" name="HİDROLİK" sheetId="2" state="visible" r:id="rId2"/>
    <sheet xmlns:r="http://schemas.openxmlformats.org/officeDocument/2006/relationships" name="METRAJ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2" fontId="0" fillId="0" borderId="1" pivotButton="0" quotePrefix="0" xfId="0"/>
    <xf numFmtId="0" fontId="3" fillId="0" borderId="0" pivotButton="0" quotePrefix="0" xfId="0"/>
    <xf numFmtId="0" fontId="3" fillId="2" borderId="1" pivotButton="0" quotePrefix="0" xfId="0"/>
    <xf numFmtId="164" fontId="0" fillId="0" borderId="1" pivotButton="0" quotePrefix="0" xfId="0"/>
    <xf numFmtId="164" fontId="0" fillId="0" borderId="0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8" customWidth="1" min="3" max="3"/>
    <col width="14" customWidth="1" min="4" max="4"/>
    <col width="8" customWidth="1" min="5" max="5"/>
    <col width="40" customWidth="1" min="6" max="6"/>
  </cols>
  <sheetData>
    <row r="1">
      <c r="A1" s="1" t="inlineStr">
        <is>
          <t>ROTAŞ MÜHENDİSLİK - VOYAP - YANGIN TESİSATI (SPRİNKLER + YANGIN DOLABI)</t>
        </is>
      </c>
    </row>
    <row r="2">
      <c r="A2" s="2" t="inlineStr">
        <is>
          <t>TASARIM ESASLARI, POMPA VE DEPO HESABI (TS EN 12845, BYKHY md. 94, TS EN 671-1)</t>
        </is>
      </c>
    </row>
    <row r="3">
      <c r="A3" s="3" t="inlineStr">
        <is>
          <t>NO</t>
        </is>
      </c>
      <c r="B3" s="3" t="inlineStr">
        <is>
          <t>KALEM</t>
        </is>
      </c>
      <c r="C3" s="3" t="inlineStr">
        <is>
          <t>SEMBOL</t>
        </is>
      </c>
      <c r="D3" s="3" t="inlineStr">
        <is>
          <t>DEĞER</t>
        </is>
      </c>
      <c r="E3" s="3" t="inlineStr">
        <is>
          <t>BİRİM</t>
        </is>
      </c>
      <c r="F3" s="3" t="inlineStr">
        <is>
          <t>AÇIKLAMA</t>
        </is>
      </c>
    </row>
    <row r="4">
      <c r="A4" s="4" t="n">
        <v>1</v>
      </c>
      <c r="B4" s="4" t="inlineStr">
        <is>
          <t>En elverişsiz sprinkler alanı</t>
        </is>
      </c>
      <c r="C4" s="4" t="inlineStr">
        <is>
          <t>Qsp</t>
        </is>
      </c>
      <c r="D4" s="5" t="n">
        <v>893.3</v>
      </c>
      <c r="E4" s="4" t="inlineStr">
        <is>
          <t>l/dk</t>
        </is>
      </c>
      <c r="F4" s="4" t="inlineStr">
        <is>
          <t>ZEMİN KAT OH2 (HİDROLİK sayfası)</t>
        </is>
      </c>
    </row>
    <row r="5">
      <c r="A5" s="4" t="n">
        <v>2</v>
      </c>
      <c r="B5" s="4" t="inlineStr">
        <is>
          <t>Yangın dolabı eş zamanlı adet</t>
        </is>
      </c>
      <c r="C5" s="4" t="inlineStr">
        <is>
          <t>n</t>
        </is>
      </c>
      <c r="D5" s="5" t="n">
        <v>2</v>
      </c>
      <c r="E5" s="4" t="inlineStr">
        <is>
          <t>adet</t>
        </is>
      </c>
      <c r="F5" s="4" t="inlineStr">
        <is>
          <t>en uzak iki dolap</t>
        </is>
      </c>
    </row>
    <row r="6">
      <c r="A6" s="4" t="n">
        <v>3</v>
      </c>
      <c r="B6" s="4" t="inlineStr">
        <is>
          <t>Dolap debisi (TS EN 671-1, Ø25)</t>
        </is>
      </c>
      <c r="C6" s="4" t="inlineStr">
        <is>
          <t>qd</t>
        </is>
      </c>
      <c r="D6" s="5" t="n">
        <v>100</v>
      </c>
      <c r="E6" s="4" t="inlineStr">
        <is>
          <t>l/dk</t>
        </is>
      </c>
      <c r="F6" s="4" t="inlineStr">
        <is>
          <t>BYKHY md. 94</t>
        </is>
      </c>
    </row>
    <row r="7">
      <c r="A7" s="4" t="n">
        <v>4</v>
      </c>
      <c r="B7" s="4" t="inlineStr">
        <is>
          <t>Dolap toplam debi</t>
        </is>
      </c>
      <c r="C7" s="4" t="inlineStr">
        <is>
          <t>Qd</t>
        </is>
      </c>
      <c r="D7" s="5">
        <f>D5*D6</f>
        <v/>
      </c>
      <c r="E7" s="4" t="inlineStr">
        <is>
          <t>l/dk</t>
        </is>
      </c>
      <c r="F7" s="4" t="inlineStr"/>
    </row>
    <row r="8">
      <c r="A8" s="4" t="n">
        <v>5</v>
      </c>
      <c r="B8" s="4" t="inlineStr">
        <is>
          <t>Toplam debi</t>
        </is>
      </c>
      <c r="C8" s="4" t="inlineStr">
        <is>
          <t>Q</t>
        </is>
      </c>
      <c r="D8" s="5">
        <f>D4+D7</f>
        <v/>
      </c>
      <c r="E8" s="4" t="inlineStr">
        <is>
          <t>l/dk</t>
        </is>
      </c>
      <c r="F8" s="4" t="inlineStr"/>
    </row>
    <row r="9">
      <c r="A9" s="4" t="n">
        <v>6</v>
      </c>
      <c r="B9" s="4" t="inlineStr">
        <is>
          <t>Toplam debi</t>
        </is>
      </c>
      <c r="C9" s="4" t="inlineStr">
        <is>
          <t>Q</t>
        </is>
      </c>
      <c r="D9" s="5">
        <f>D8*0.06</f>
        <v/>
      </c>
      <c r="E9" s="4" t="inlineStr">
        <is>
          <t>m³/h</t>
        </is>
      </c>
      <c r="F9" s="4" t="inlineStr"/>
    </row>
    <row r="10">
      <c r="A10" s="4" t="n">
        <v>7</v>
      </c>
      <c r="B10" s="4" t="inlineStr">
        <is>
          <t>Çalışma süresi (OH)</t>
        </is>
      </c>
      <c r="C10" s="4" t="inlineStr">
        <is>
          <t>t</t>
        </is>
      </c>
      <c r="D10" s="5" t="n">
        <v>60</v>
      </c>
      <c r="E10" s="4" t="inlineStr">
        <is>
          <t>dk</t>
        </is>
      </c>
      <c r="F10" s="4" t="inlineStr">
        <is>
          <t>TS EN 12845</t>
        </is>
      </c>
    </row>
    <row r="11">
      <c r="A11" s="4" t="n">
        <v>8</v>
      </c>
      <c r="B11" s="4" t="inlineStr">
        <is>
          <t>Gerekli su hacmi</t>
        </is>
      </c>
      <c r="C11" s="4" t="inlineStr">
        <is>
          <t>V</t>
        </is>
      </c>
      <c r="D11" s="5">
        <f>D8*D10/1000</f>
        <v/>
      </c>
      <c r="E11" s="4" t="inlineStr">
        <is>
          <t>m³</t>
        </is>
      </c>
      <c r="F11" s="4" t="inlineStr"/>
    </row>
    <row r="12">
      <c r="A12" s="4" t="n">
        <v>9</v>
      </c>
      <c r="B12" s="4" t="inlineStr">
        <is>
          <t>Mevcut depo net hacmi</t>
        </is>
      </c>
      <c r="C12" s="4" t="inlineStr">
        <is>
          <t>Vd</t>
        </is>
      </c>
      <c r="D12" s="5" t="n">
        <v>80</v>
      </c>
      <c r="E12" s="4" t="inlineStr">
        <is>
          <t>m³</t>
        </is>
      </c>
      <c r="F12" s="4" t="inlineStr">
        <is>
          <t>4,00 x 8,50 x 2,35 m</t>
        </is>
      </c>
    </row>
    <row r="13">
      <c r="A13" s="4" t="n">
        <v>10</v>
      </c>
      <c r="B13" s="4" t="inlineStr">
        <is>
          <t>Kontrol</t>
        </is>
      </c>
      <c r="C13" s="4" t="inlineStr"/>
      <c r="D13" s="5">
        <f>IF(D12&gt;=D11,"UYGUN","YETERSİZ")</f>
        <v/>
      </c>
      <c r="E13" s="4" t="inlineStr"/>
      <c r="F13" s="4" t="inlineStr"/>
    </row>
    <row r="14">
      <c r="A14" s="4" t="n">
        <v>11</v>
      </c>
      <c r="B14" s="4" t="inlineStr">
        <is>
          <t>Sprinkler için pompa basıncı (en elverişsiz)</t>
        </is>
      </c>
      <c r="C14" s="4" t="inlineStr">
        <is>
          <t>Psp</t>
        </is>
      </c>
      <c r="D14" s="5" t="n">
        <v>29.9</v>
      </c>
      <c r="E14" s="4" t="inlineStr">
        <is>
          <t>mSS</t>
        </is>
      </c>
      <c r="F14" s="4" t="inlineStr">
        <is>
          <t>HİDROLİK sayfası</t>
        </is>
      </c>
    </row>
    <row r="15">
      <c r="A15" s="4" t="n">
        <v>12</v>
      </c>
      <c r="B15" s="4" t="inlineStr">
        <is>
          <t>Dolap lüle basıncı</t>
        </is>
      </c>
      <c r="C15" s="4" t="inlineStr">
        <is>
          <t>pl</t>
        </is>
      </c>
      <c r="D15" s="5" t="n">
        <v>4</v>
      </c>
      <c r="E15" s="4" t="inlineStr">
        <is>
          <t>bar</t>
        </is>
      </c>
      <c r="F15" s="4" t="inlineStr">
        <is>
          <t>BYKHY md. 94</t>
        </is>
      </c>
    </row>
    <row r="16">
      <c r="A16" s="4" t="n">
        <v>13</v>
      </c>
      <c r="B16" s="4" t="inlineStr">
        <is>
          <t>2. kat dolap kotu (pompa ekseninden)</t>
        </is>
      </c>
      <c r="C16" s="4" t="inlineStr">
        <is>
          <t>z</t>
        </is>
      </c>
      <c r="D16" s="5" t="n">
        <v>11.3</v>
      </c>
      <c r="E16" s="4" t="inlineStr">
        <is>
          <t>m</t>
        </is>
      </c>
      <c r="F16" s="4" t="inlineStr">
        <is>
          <t>kat yükseklikleri kabulü</t>
        </is>
      </c>
    </row>
    <row r="17">
      <c r="A17" s="4" t="n">
        <v>14</v>
      </c>
      <c r="B17" s="4" t="inlineStr">
        <is>
          <t>Dolap hattı kayıpları (2" 25 m + 2½" 30 m + vana)</t>
        </is>
      </c>
      <c r="C17" s="4" t="inlineStr">
        <is>
          <t>Δp</t>
        </is>
      </c>
      <c r="D17" s="5" t="n">
        <v>0.41</v>
      </c>
      <c r="E17" s="4" t="inlineStr">
        <is>
          <t>bar</t>
        </is>
      </c>
      <c r="F17" s="4" t="inlineStr">
        <is>
          <t>Hazen-Williams C=120</t>
        </is>
      </c>
    </row>
    <row r="18">
      <c r="A18" s="4" t="n">
        <v>15</v>
      </c>
      <c r="B18" s="4" t="inlineStr">
        <is>
          <t>Dolap için pompa basıncı</t>
        </is>
      </c>
      <c r="C18" s="4" t="inlineStr">
        <is>
          <t>Pd</t>
        </is>
      </c>
      <c r="D18" s="5">
        <f>(D15+D17)*10.2+D16</f>
        <v/>
      </c>
      <c r="E18" s="4" t="inlineStr">
        <is>
          <t>mSS</t>
        </is>
      </c>
      <c r="F18" s="4" t="inlineStr"/>
    </row>
    <row r="19">
      <c r="A19" s="4" t="n">
        <v>16</v>
      </c>
      <c r="B19" s="4" t="inlineStr">
        <is>
          <t>Gerekli pompa basıncı</t>
        </is>
      </c>
      <c r="C19" s="4" t="inlineStr">
        <is>
          <t>H</t>
        </is>
      </c>
      <c r="D19" s="5">
        <f>MAX(D14,D18)</f>
        <v/>
      </c>
      <c r="E19" s="4" t="inlineStr">
        <is>
          <t>mSS</t>
        </is>
      </c>
      <c r="F19" s="4" t="inlineStr"/>
    </row>
    <row r="20">
      <c r="A20" s="4" t="n">
        <v>17</v>
      </c>
      <c r="B20" s="4" t="inlineStr">
        <is>
          <t>Seçilen pompa (elektrikli ana + dizel yedek)</t>
        </is>
      </c>
      <c r="C20" s="4" t="inlineStr">
        <is>
          <t>Qp</t>
        </is>
      </c>
      <c r="D20" s="5" t="n">
        <v>70</v>
      </c>
      <c r="E20" s="4" t="inlineStr">
        <is>
          <t>m³/h</t>
        </is>
      </c>
      <c r="F20" s="4" t="inlineStr">
        <is>
          <t>H=60 mSS</t>
        </is>
      </c>
    </row>
    <row r="21">
      <c r="A21" s="4" t="n">
        <v>18</v>
      </c>
      <c r="B21" s="4" t="inlineStr">
        <is>
          <t>Seçilen pompa basma yüksekliği</t>
        </is>
      </c>
      <c r="C21" s="4" t="inlineStr">
        <is>
          <t>Hp</t>
        </is>
      </c>
      <c r="D21" s="5" t="n">
        <v>60</v>
      </c>
      <c r="E21" s="4" t="inlineStr">
        <is>
          <t>mSS</t>
        </is>
      </c>
      <c r="F21" s="4" t="inlineStr"/>
    </row>
    <row r="22">
      <c r="A22" s="4" t="n">
        <v>19</v>
      </c>
      <c r="B22" s="4" t="inlineStr">
        <is>
          <t>Kontrol: eğride Q=D9 için basınç ≥ D19</t>
        </is>
      </c>
      <c r="C22" s="4" t="inlineStr"/>
      <c r="D22" s="5">
        <f>IF(AND(D21&gt;=D19,D20*1.4&gt;=D9),"UYGUN (eğriden teyit)","POMPA BÜYÜT")</f>
        <v/>
      </c>
      <c r="E22" s="4" t="inlineStr"/>
      <c r="F22" s="4" t="inlineStr">
        <is>
          <t>%140 debide ≥%70 basma</t>
        </is>
      </c>
    </row>
    <row r="23">
      <c r="A23" s="4" t="n">
        <v>20</v>
      </c>
      <c r="B23" s="4" t="inlineStr">
        <is>
          <t>Hidrolik güç</t>
        </is>
      </c>
      <c r="C23" s="4" t="inlineStr">
        <is>
          <t>Ph</t>
        </is>
      </c>
      <c r="D23" s="5">
        <f>1000*9.81*D20/3600*D21/1000</f>
        <v/>
      </c>
      <c r="E23" s="4" t="inlineStr">
        <is>
          <t>kW</t>
        </is>
      </c>
      <c r="F23" s="4" t="inlineStr"/>
    </row>
    <row r="24">
      <c r="A24" s="4" t="n">
        <v>21</v>
      </c>
      <c r="B24" s="4" t="inlineStr">
        <is>
          <t>Mil gücü (η=0,70)</t>
        </is>
      </c>
      <c r="C24" s="4" t="inlineStr">
        <is>
          <t>Pm</t>
        </is>
      </c>
      <c r="D24" s="5">
        <f>D23/0.7</f>
        <v/>
      </c>
      <c r="E24" s="4" t="inlineStr">
        <is>
          <t>kW</t>
        </is>
      </c>
      <c r="F24" s="4" t="inlineStr"/>
    </row>
    <row r="25">
      <c r="A25" s="4" t="n">
        <v>22</v>
      </c>
      <c r="B25" s="4" t="inlineStr">
        <is>
          <t>%150 debide güç (≈1,25 Pm)</t>
        </is>
      </c>
      <c r="C25" s="4" t="inlineStr">
        <is>
          <t>P150</t>
        </is>
      </c>
      <c r="D25" s="5">
        <f>D24*1.25</f>
        <v/>
      </c>
      <c r="E25" s="4" t="inlineStr">
        <is>
          <t>kW</t>
        </is>
      </c>
      <c r="F25" s="4" t="inlineStr">
        <is>
          <t>elektrikli 22 kW / dizel 30 kW</t>
        </is>
      </c>
    </row>
    <row r="26">
      <c r="A26" s="4" t="n">
        <v>23</v>
      </c>
      <c r="B26" s="4" t="inlineStr">
        <is>
          <t>Jokey pompa</t>
        </is>
      </c>
      <c r="C26" s="4" t="inlineStr">
        <is>
          <t>Qj</t>
        </is>
      </c>
      <c r="D26" s="5" t="n">
        <v>3</v>
      </c>
      <c r="E26" s="4" t="inlineStr">
        <is>
          <t>m³/h</t>
        </is>
      </c>
      <c r="F26" s="4" t="inlineStr">
        <is>
          <t>H=70 mSS, 1,5 kW</t>
        </is>
      </c>
    </row>
    <row r="27">
      <c r="A27" s="4" t="n">
        <v>24</v>
      </c>
      <c r="B27" s="4" t="inlineStr">
        <is>
          <t>Dizel yakıt (3 saat, 0,25 l/kWh x 30 kW)</t>
        </is>
      </c>
      <c r="C27" s="4" t="inlineStr">
        <is>
          <t>Vy</t>
        </is>
      </c>
      <c r="D27" s="5">
        <f>0.25*30*3</f>
        <v/>
      </c>
      <c r="E27" s="4" t="inlineStr">
        <is>
          <t>L</t>
        </is>
      </c>
      <c r="F27" s="4" t="inlineStr">
        <is>
          <t>seçim 100 L</t>
        </is>
      </c>
    </row>
    <row r="29">
      <c r="A29" t="inlineStr">
        <is>
          <t>NOT: Kat yükseklikleri bodrum 3,50 / zemin 3,50 / normal katlar 3,00 m kabul edilmiştir; mimari kesitten teyit edilecektir.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9" customWidth="1" min="4" max="4"/>
    <col width="8" customWidth="1" min="5" max="5"/>
    <col width="8" customWidth="1" min="6" max="6"/>
    <col width="10" customWidth="1" min="7" max="7"/>
    <col width="9" customWidth="1" min="8" max="8"/>
    <col width="9" customWidth="1" min="9" max="9"/>
    <col width="13" customWidth="1" min="10" max="10"/>
    <col width="12" customWidth="1" min="11" max="11"/>
    <col width="12" customWidth="1" min="12" max="12"/>
  </cols>
  <sheetData>
    <row r="1">
      <c r="A1" s="1" t="inlineStr">
        <is>
          <t>ROTAŞ MÜHENDİSLİK - VOYAP - YANGIN TESİSATI (SPRİNKLER + YANGIN DOLABI)</t>
        </is>
      </c>
    </row>
    <row r="2">
      <c r="A2" s="2" t="inlineStr">
        <is>
          <t>SPRİNKLER HİDROLİK HESABI - Hazen-Williams C=120, K80, pmin=0,35 bar, bağlantı payı %20 (ağaç üzerinde dengeli çözüm)</t>
        </is>
      </c>
    </row>
    <row r="3">
      <c r="A3" s="3" t="inlineStr">
        <is>
          <t>KAT</t>
        </is>
      </c>
      <c r="B3" s="3" t="inlineStr">
        <is>
          <t>SINIF</t>
        </is>
      </c>
      <c r="C3" s="3" t="inlineStr">
        <is>
          <t>mm/dk</t>
        </is>
      </c>
      <c r="D3" s="3" t="inlineStr">
        <is>
          <t>Alan m²</t>
        </is>
      </c>
      <c r="E3" s="3" t="inlineStr">
        <is>
          <t>Başlık</t>
        </is>
      </c>
      <c r="F3" s="3" t="inlineStr">
        <is>
          <t>Ara sev.</t>
        </is>
      </c>
      <c r="G3" s="3" t="inlineStr">
        <is>
          <t>q min l/dk</t>
        </is>
      </c>
      <c r="H3" s="3" t="inlineStr">
        <is>
          <t>p uç bar</t>
        </is>
      </c>
      <c r="I3" s="3" t="inlineStr">
        <is>
          <t>Q l/dk</t>
        </is>
      </c>
      <c r="J3" s="3" t="inlineStr">
        <is>
          <t>P kat girişi bar</t>
        </is>
      </c>
      <c r="K3" s="3" t="inlineStr">
        <is>
          <t>P pompa bar</t>
        </is>
      </c>
      <c r="L3" s="3" t="inlineStr">
        <is>
          <t>En uzak yol m</t>
        </is>
      </c>
    </row>
    <row r="4">
      <c r="A4" s="4" t="inlineStr">
        <is>
          <t>BODRUM KAT</t>
        </is>
      </c>
      <c r="B4" s="4" t="inlineStr">
        <is>
          <t>OH2</t>
        </is>
      </c>
      <c r="C4" s="4" t="n">
        <v>5</v>
      </c>
      <c r="D4" s="4" t="n">
        <v>144</v>
      </c>
      <c r="E4" s="4" t="n">
        <v>16</v>
      </c>
      <c r="F4" s="4" t="n">
        <v>0</v>
      </c>
      <c r="G4" s="4" t="n">
        <v>47.3</v>
      </c>
      <c r="H4" s="4" t="n">
        <v>0.35</v>
      </c>
      <c r="I4" s="4" t="n">
        <v>861</v>
      </c>
      <c r="J4" s="4" t="n">
        <v>1.13</v>
      </c>
      <c r="K4" s="4" t="n">
        <v>1.83</v>
      </c>
      <c r="L4" s="4" t="n">
        <v>61</v>
      </c>
    </row>
    <row r="5">
      <c r="A5" s="4" t="inlineStr">
        <is>
          <t>ZEMİN KAT</t>
        </is>
      </c>
      <c r="B5" s="4" t="inlineStr">
        <is>
          <t>OH2</t>
        </is>
      </c>
      <c r="C5" s="4" t="n">
        <v>5</v>
      </c>
      <c r="D5" s="4" t="n">
        <v>144</v>
      </c>
      <c r="E5" s="4" t="n">
        <v>12</v>
      </c>
      <c r="F5" s="4" t="n">
        <v>0</v>
      </c>
      <c r="G5" s="4" t="n">
        <v>60</v>
      </c>
      <c r="H5" s="4" t="n">
        <v>0.5600000000000001</v>
      </c>
      <c r="I5" s="4" t="n">
        <v>893</v>
      </c>
      <c r="J5" s="4" t="n">
        <v>1.34</v>
      </c>
      <c r="K5" s="4" t="n">
        <v>2.4</v>
      </c>
      <c r="L5" s="4" t="n">
        <v>85</v>
      </c>
    </row>
    <row r="6">
      <c r="A6" s="4" t="inlineStr">
        <is>
          <t>1. KAT</t>
        </is>
      </c>
      <c r="B6" s="4" t="inlineStr">
        <is>
          <t>OH1</t>
        </is>
      </c>
      <c r="C6" s="4" t="n">
        <v>5</v>
      </c>
      <c r="D6" s="4" t="n">
        <v>72</v>
      </c>
      <c r="E6" s="4" t="n">
        <v>6</v>
      </c>
      <c r="F6" s="4" t="n">
        <v>0</v>
      </c>
      <c r="G6" s="4" t="n">
        <v>60</v>
      </c>
      <c r="H6" s="4" t="n">
        <v>0.5600000000000001</v>
      </c>
      <c r="I6" s="4" t="n">
        <v>425</v>
      </c>
      <c r="J6" s="4" t="n">
        <v>1.31</v>
      </c>
      <c r="K6" s="4" t="n">
        <v>2.63</v>
      </c>
      <c r="L6" s="4" t="n">
        <v>69</v>
      </c>
    </row>
    <row r="7">
      <c r="A7" s="4" t="inlineStr">
        <is>
          <t>2. KAT</t>
        </is>
      </c>
      <c r="B7" s="4" t="inlineStr">
        <is>
          <t>OH1</t>
        </is>
      </c>
      <c r="C7" s="4" t="n">
        <v>5</v>
      </c>
      <c r="D7" s="4" t="n">
        <v>72</v>
      </c>
      <c r="E7" s="4" t="n">
        <v>6</v>
      </c>
      <c r="F7" s="4" t="n">
        <v>0</v>
      </c>
      <c r="G7" s="4" t="n">
        <v>60</v>
      </c>
      <c r="H7" s="4" t="n">
        <v>0.5600000000000001</v>
      </c>
      <c r="I7" s="4" t="n">
        <v>425</v>
      </c>
      <c r="J7" s="4" t="n">
        <v>1.31</v>
      </c>
      <c r="K7" s="4" t="n">
        <v>2.93</v>
      </c>
      <c r="L7" s="4" t="n">
        <v>69</v>
      </c>
    </row>
    <row r="9">
      <c r="A9" s="6" t="inlineStr">
        <is>
          <t>BODRUM KAT - kat girişinden en uzak başlığa boru yolu</t>
        </is>
      </c>
    </row>
    <row r="10">
      <c r="A10" s="7" t="inlineStr">
        <is>
          <t>Çap</t>
        </is>
      </c>
      <c r="B10" s="7" t="inlineStr">
        <is>
          <t>DN</t>
        </is>
      </c>
      <c r="C10" s="7" t="inlineStr">
        <is>
          <t>İç çap mm</t>
        </is>
      </c>
      <c r="D10" s="7" t="inlineStr">
        <is>
          <t>L m</t>
        </is>
      </c>
      <c r="E10" s="7" t="inlineStr">
        <is>
          <t>Q l/dk</t>
        </is>
      </c>
      <c r="F10" s="7" t="inlineStr">
        <is>
          <t>Δp bar</t>
        </is>
      </c>
      <c r="G10" s="7" t="inlineStr">
        <is>
          <t>v m/s</t>
        </is>
      </c>
    </row>
    <row r="11">
      <c r="A11" s="4" t="inlineStr">
        <is>
          <t>DN100</t>
        </is>
      </c>
      <c r="B11" s="4" t="n">
        <v>100</v>
      </c>
      <c r="C11" s="4" t="n">
        <v>105.3</v>
      </c>
      <c r="D11" s="4" t="n">
        <v>26.27</v>
      </c>
      <c r="E11" s="4" t="n">
        <v>861.1</v>
      </c>
      <c r="F11" s="8">
        <f>6.05E5*E11^1.85/(120^1.85*C11^4.87)*D11*1.2</f>
        <v/>
      </c>
      <c r="G11" s="8">
        <f>E11/60000/(PI()*(C11/1000)^2/4)</f>
        <v/>
      </c>
    </row>
    <row r="12">
      <c r="A12" s="4" t="inlineStr">
        <is>
          <t>DN80</t>
        </is>
      </c>
      <c r="B12" s="4" t="n">
        <v>80</v>
      </c>
      <c r="C12" s="4" t="n">
        <v>80.90000000000001</v>
      </c>
      <c r="D12" s="4" t="n">
        <v>15</v>
      </c>
      <c r="E12" s="4" t="n">
        <v>861.1</v>
      </c>
      <c r="F12" s="8">
        <f>6.05E5*E12^1.85/(120^1.85*C12^4.87)*D12*1.2</f>
        <v/>
      </c>
      <c r="G12" s="8">
        <f>E12/60000/(PI()*(C12/1000)^2/4)</f>
        <v/>
      </c>
    </row>
    <row r="13">
      <c r="A13" s="4" t="inlineStr">
        <is>
          <t>DN65</t>
        </is>
      </c>
      <c r="B13" s="4" t="n">
        <v>65</v>
      </c>
      <c r="C13" s="4" t="n">
        <v>68.90000000000001</v>
      </c>
      <c r="D13" s="4" t="n">
        <v>3</v>
      </c>
      <c r="E13" s="4" t="n">
        <v>861.1</v>
      </c>
      <c r="F13" s="8">
        <f>6.05E5*E13^1.85/(120^1.85*C13^4.87)*D13*1.2</f>
        <v/>
      </c>
      <c r="G13" s="8">
        <f>E13/60000/(PI()*(C13/1000)^2/4)</f>
        <v/>
      </c>
    </row>
    <row r="14">
      <c r="A14" s="4" t="inlineStr">
        <is>
          <t>DN65</t>
        </is>
      </c>
      <c r="B14" s="4" t="n">
        <v>65</v>
      </c>
      <c r="C14" s="4" t="n">
        <v>68.90000000000001</v>
      </c>
      <c r="D14" s="4" t="n">
        <v>3</v>
      </c>
      <c r="E14" s="4" t="n">
        <v>749.6</v>
      </c>
      <c r="F14" s="8">
        <f>6.05E5*E14^1.85/(120^1.85*C14^4.87)*D14*1.2</f>
        <v/>
      </c>
      <c r="G14" s="8">
        <f>E14/60000/(PI()*(C14/1000)^2/4)</f>
        <v/>
      </c>
    </row>
    <row r="15">
      <c r="A15" s="4" t="inlineStr">
        <is>
          <t>DN65</t>
        </is>
      </c>
      <c r="B15" s="4" t="n">
        <v>65</v>
      </c>
      <c r="C15" s="4" t="n">
        <v>68.90000000000001</v>
      </c>
      <c r="D15" s="4" t="n">
        <v>3</v>
      </c>
      <c r="E15" s="4" t="n">
        <v>581.6</v>
      </c>
      <c r="F15" s="8">
        <f>6.05E5*E15^1.85/(120^1.85*C15^4.87)*D15*1.2</f>
        <v/>
      </c>
      <c r="G15" s="8">
        <f>E15/60000/(PI()*(C15/1000)^2/4)</f>
        <v/>
      </c>
    </row>
    <row r="16">
      <c r="A16" s="4" t="inlineStr">
        <is>
          <t>DN50</t>
        </is>
      </c>
      <c r="B16" s="4" t="n">
        <v>50</v>
      </c>
      <c r="C16" s="4" t="n">
        <v>53.1</v>
      </c>
      <c r="D16" s="4" t="n">
        <v>3</v>
      </c>
      <c r="E16" s="4" t="n">
        <v>359.8</v>
      </c>
      <c r="F16" s="8">
        <f>6.05E5*E16^1.85/(120^1.85*C16^4.87)*D16*1.2</f>
        <v/>
      </c>
      <c r="G16" s="8">
        <f>E16/60000/(PI()*(C16/1000)^2/4)</f>
        <v/>
      </c>
    </row>
    <row r="17">
      <c r="A17" s="4" t="inlineStr">
        <is>
          <t>DN50</t>
        </is>
      </c>
      <c r="B17" s="4" t="n">
        <v>50</v>
      </c>
      <c r="C17" s="4" t="n">
        <v>53.1</v>
      </c>
      <c r="D17" s="4" t="n">
        <v>0.72</v>
      </c>
      <c r="E17" s="4" t="n">
        <v>303.3</v>
      </c>
      <c r="F17" s="8">
        <f>6.05E5*E17^1.85/(120^1.85*C17^4.87)*D17*1.2</f>
        <v/>
      </c>
      <c r="G17" s="8">
        <f>E17/60000/(PI()*(C17/1000)^2/4)</f>
        <v/>
      </c>
    </row>
    <row r="18">
      <c r="A18" s="4" t="inlineStr">
        <is>
          <t>DN40</t>
        </is>
      </c>
      <c r="B18" s="4" t="n">
        <v>40</v>
      </c>
      <c r="C18" s="4" t="n">
        <v>41.9</v>
      </c>
      <c r="D18" s="4" t="n">
        <v>0.62</v>
      </c>
      <c r="E18" s="4" t="n">
        <v>245</v>
      </c>
      <c r="F18" s="8">
        <f>6.05E5*E18^1.85/(120^1.85*C18^4.87)*D18*1.2</f>
        <v/>
      </c>
      <c r="G18" s="8">
        <f>E18/60000/(PI()*(C18/1000)^2/4)</f>
        <v/>
      </c>
    </row>
    <row r="19">
      <c r="A19" s="4" t="inlineStr">
        <is>
          <t>DN32</t>
        </is>
      </c>
      <c r="B19" s="4" t="n">
        <v>32</v>
      </c>
      <c r="C19" s="4" t="n">
        <v>36</v>
      </c>
      <c r="D19" s="4" t="n">
        <v>3</v>
      </c>
      <c r="E19" s="4" t="n">
        <v>146.9</v>
      </c>
      <c r="F19" s="8">
        <f>6.05E5*E19^1.85/(120^1.85*C19^4.87)*D19*1.2</f>
        <v/>
      </c>
      <c r="G19" s="8">
        <f>E19/60000/(PI()*(C19/1000)^2/4)</f>
        <v/>
      </c>
    </row>
    <row r="20">
      <c r="A20" s="4" t="inlineStr">
        <is>
          <t>DN25</t>
        </is>
      </c>
      <c r="B20" s="4" t="n">
        <v>25</v>
      </c>
      <c r="C20" s="4" t="n">
        <v>27.3</v>
      </c>
      <c r="D20" s="4" t="n">
        <v>0.61</v>
      </c>
      <c r="E20" s="4" t="n">
        <v>97.3</v>
      </c>
      <c r="F20" s="8">
        <f>6.05E5*E20^1.85/(120^1.85*C20^4.87)*D20*1.2</f>
        <v/>
      </c>
      <c r="G20" s="8">
        <f>E20/60000/(PI()*(C20/1000)^2/4)</f>
        <v/>
      </c>
    </row>
    <row r="21">
      <c r="A21" s="4" t="inlineStr">
        <is>
          <t>DN25</t>
        </is>
      </c>
      <c r="B21" s="4" t="n">
        <v>25</v>
      </c>
      <c r="C21" s="4" t="n">
        <v>27.3</v>
      </c>
      <c r="D21" s="4" t="n">
        <v>3.02</v>
      </c>
      <c r="E21" s="4" t="n">
        <v>47.3</v>
      </c>
      <c r="F21" s="8">
        <f>6.05E5*E21^1.85/(120^1.85*C21^4.87)*D21*1.2</f>
        <v/>
      </c>
      <c r="G21" s="8">
        <f>E21/60000/(PI()*(C21/1000)^2/4)</f>
        <v/>
      </c>
    </row>
    <row r="22">
      <c r="E22" t="inlineStr">
        <is>
          <t>Toplam</t>
        </is>
      </c>
      <c r="F22" s="9">
        <f>SUM(F11:F21)</f>
        <v/>
      </c>
    </row>
    <row r="24">
      <c r="A24" s="6" t="inlineStr">
        <is>
          <t>ZEMİN KAT - kat girişinden en uzak başlığa boru yolu</t>
        </is>
      </c>
    </row>
    <row r="25">
      <c r="A25" s="7" t="inlineStr">
        <is>
          <t>Çap</t>
        </is>
      </c>
      <c r="B25" s="7" t="inlineStr">
        <is>
          <t>DN</t>
        </is>
      </c>
      <c r="C25" s="7" t="inlineStr">
        <is>
          <t>İç çap mm</t>
        </is>
      </c>
      <c r="D25" s="7" t="inlineStr">
        <is>
          <t>L m</t>
        </is>
      </c>
      <c r="E25" s="7" t="inlineStr">
        <is>
          <t>Q l/dk</t>
        </is>
      </c>
      <c r="F25" s="7" t="inlineStr">
        <is>
          <t>Δp bar</t>
        </is>
      </c>
      <c r="G25" s="7" t="inlineStr">
        <is>
          <t>v m/s</t>
        </is>
      </c>
    </row>
    <row r="26">
      <c r="A26" s="4" t="inlineStr">
        <is>
          <t>DN150</t>
        </is>
      </c>
      <c r="B26" s="4" t="n">
        <v>150</v>
      </c>
      <c r="C26" s="4" t="n">
        <v>155.4</v>
      </c>
      <c r="D26" s="4" t="n">
        <v>5.35</v>
      </c>
      <c r="E26" s="4" t="n">
        <v>893.3</v>
      </c>
      <c r="F26" s="8">
        <f>6.05E5*E26^1.85/(120^1.85*C26^4.87)*D26*1.2</f>
        <v/>
      </c>
      <c r="G26" s="8">
        <f>E26/60000/(PI()*(C26/1000)^2/4)</f>
        <v/>
      </c>
    </row>
    <row r="27">
      <c r="A27" s="4" t="inlineStr">
        <is>
          <t>DN100</t>
        </is>
      </c>
      <c r="B27" s="4" t="n">
        <v>100</v>
      </c>
      <c r="C27" s="4" t="n">
        <v>105.3</v>
      </c>
      <c r="D27" s="4" t="n">
        <v>18.51</v>
      </c>
      <c r="E27" s="4" t="n">
        <v>667.3</v>
      </c>
      <c r="F27" s="8">
        <f>6.05E5*E27^1.85/(120^1.85*C27^4.87)*D27*1.2</f>
        <v/>
      </c>
      <c r="G27" s="8">
        <f>E27/60000/(PI()*(C27/1000)^2/4)</f>
        <v/>
      </c>
    </row>
    <row r="28">
      <c r="A28" s="4" t="inlineStr">
        <is>
          <t>DN100</t>
        </is>
      </c>
      <c r="B28" s="4" t="n">
        <v>100</v>
      </c>
      <c r="C28" s="4" t="n">
        <v>105.3</v>
      </c>
      <c r="D28" s="4" t="n">
        <v>7.24</v>
      </c>
      <c r="E28" s="4" t="n">
        <v>520.8</v>
      </c>
      <c r="F28" s="8">
        <f>6.05E5*E28^1.85/(120^1.85*C28^4.87)*D28*1.2</f>
        <v/>
      </c>
      <c r="G28" s="8">
        <f>E28/60000/(PI()*(C28/1000)^2/4)</f>
        <v/>
      </c>
    </row>
    <row r="29">
      <c r="A29" s="4" t="inlineStr">
        <is>
          <t>DN100</t>
        </is>
      </c>
      <c r="B29" s="4" t="n">
        <v>100</v>
      </c>
      <c r="C29" s="4" t="n">
        <v>105.3</v>
      </c>
      <c r="D29" s="4" t="n">
        <v>2.66</v>
      </c>
      <c r="E29" s="4" t="n">
        <v>432</v>
      </c>
      <c r="F29" s="8">
        <f>6.05E5*E29^1.85/(120^1.85*C29^4.87)*D29*1.2</f>
        <v/>
      </c>
      <c r="G29" s="8">
        <f>E29/60000/(PI()*(C29/1000)^2/4)</f>
        <v/>
      </c>
    </row>
    <row r="30">
      <c r="A30" s="4" t="inlineStr">
        <is>
          <t>DN100</t>
        </is>
      </c>
      <c r="B30" s="4" t="n">
        <v>100</v>
      </c>
      <c r="C30" s="4" t="n">
        <v>105.3</v>
      </c>
      <c r="D30" s="4" t="n">
        <v>3</v>
      </c>
      <c r="E30" s="4" t="n">
        <v>342.8</v>
      </c>
      <c r="F30" s="8">
        <f>6.05E5*E30^1.85/(120^1.85*C30^4.87)*D30*1.2</f>
        <v/>
      </c>
      <c r="G30" s="8">
        <f>E30/60000/(PI()*(C30/1000)^2/4)</f>
        <v/>
      </c>
    </row>
    <row r="31">
      <c r="A31" s="4" t="inlineStr">
        <is>
          <t>DN80</t>
        </is>
      </c>
      <c r="B31" s="4" t="n">
        <v>80</v>
      </c>
      <c r="C31" s="4" t="n">
        <v>80.90000000000001</v>
      </c>
      <c r="D31" s="4" t="n">
        <v>20.52</v>
      </c>
      <c r="E31" s="4" t="n">
        <v>342.8</v>
      </c>
      <c r="F31" s="8">
        <f>6.05E5*E31^1.85/(120^1.85*C31^4.87)*D31*1.2</f>
        <v/>
      </c>
      <c r="G31" s="8">
        <f>E31/60000/(PI()*(C31/1000)^2/4)</f>
        <v/>
      </c>
    </row>
    <row r="32">
      <c r="A32" s="4" t="inlineStr">
        <is>
          <t>DN65</t>
        </is>
      </c>
      <c r="B32" s="4" t="n">
        <v>65</v>
      </c>
      <c r="C32" s="4" t="n">
        <v>68.90000000000001</v>
      </c>
      <c r="D32" s="4" t="n">
        <v>9.76</v>
      </c>
      <c r="E32" s="4" t="n">
        <v>342.8</v>
      </c>
      <c r="F32" s="8">
        <f>6.05E5*E32^1.85/(120^1.85*C32^4.87)*D32*1.2</f>
        <v/>
      </c>
      <c r="G32" s="8">
        <f>E32/60000/(PI()*(C32/1000)^2/4)</f>
        <v/>
      </c>
    </row>
    <row r="33">
      <c r="A33" s="4" t="inlineStr">
        <is>
          <t>DN50</t>
        </is>
      </c>
      <c r="B33" s="4" t="n">
        <v>50</v>
      </c>
      <c r="C33" s="4" t="n">
        <v>53.1</v>
      </c>
      <c r="D33" s="4" t="n">
        <v>8.98</v>
      </c>
      <c r="E33" s="4" t="n">
        <v>342.8</v>
      </c>
      <c r="F33" s="8">
        <f>6.05E5*E33^1.85/(120^1.85*C33^4.87)*D33*1.2</f>
        <v/>
      </c>
      <c r="G33" s="8">
        <f>E33/60000/(PI()*(C33/1000)^2/4)</f>
        <v/>
      </c>
    </row>
    <row r="34">
      <c r="A34" s="4" t="inlineStr">
        <is>
          <t>DN40</t>
        </is>
      </c>
      <c r="B34" s="4" t="n">
        <v>40</v>
      </c>
      <c r="C34" s="4" t="n">
        <v>41.9</v>
      </c>
      <c r="D34" s="4" t="n">
        <v>0.02</v>
      </c>
      <c r="E34" s="4" t="n">
        <v>342.8</v>
      </c>
      <c r="F34" s="8">
        <f>6.05E5*E34^1.85/(120^1.85*C34^4.87)*D34*1.2</f>
        <v/>
      </c>
      <c r="G34" s="8">
        <f>E34/60000/(PI()*(C34/1000)^2/4)</f>
        <v/>
      </c>
    </row>
    <row r="35">
      <c r="A35" s="4" t="inlineStr">
        <is>
          <t>DN40</t>
        </is>
      </c>
      <c r="B35" s="4" t="n">
        <v>40</v>
      </c>
      <c r="C35" s="4" t="n">
        <v>41.9</v>
      </c>
      <c r="D35" s="4" t="n">
        <v>3.01</v>
      </c>
      <c r="E35" s="4" t="n">
        <v>267.7</v>
      </c>
      <c r="F35" s="8">
        <f>6.05E5*E35^1.85/(120^1.85*C35^4.87)*D35*1.2</f>
        <v/>
      </c>
      <c r="G35" s="8">
        <f>E35/60000/(PI()*(C35/1000)^2/4)</f>
        <v/>
      </c>
    </row>
    <row r="36">
      <c r="A36" s="4" t="inlineStr">
        <is>
          <t>DN32</t>
        </is>
      </c>
      <c r="B36" s="4" t="n">
        <v>32</v>
      </c>
      <c r="C36" s="4" t="n">
        <v>36</v>
      </c>
      <c r="D36" s="4" t="n">
        <v>0.02</v>
      </c>
      <c r="E36" s="4" t="n">
        <v>193.5</v>
      </c>
      <c r="F36" s="8">
        <f>6.05E5*E36^1.85/(120^1.85*C36^4.87)*D36*1.2</f>
        <v/>
      </c>
      <c r="G36" s="8">
        <f>E36/60000/(PI()*(C36/1000)^2/4)</f>
        <v/>
      </c>
    </row>
    <row r="37">
      <c r="A37" s="4" t="inlineStr">
        <is>
          <t>DN25</t>
        </is>
      </c>
      <c r="B37" s="4" t="n">
        <v>25</v>
      </c>
      <c r="C37" s="4" t="n">
        <v>27.3</v>
      </c>
      <c r="D37" s="4" t="n">
        <v>3.01</v>
      </c>
      <c r="E37" s="4" t="n">
        <v>123.2</v>
      </c>
      <c r="F37" s="8">
        <f>6.05E5*E37^1.85/(120^1.85*C37^4.87)*D37*1.2</f>
        <v/>
      </c>
      <c r="G37" s="8">
        <f>E37/60000/(PI()*(C37/1000)^2/4)</f>
        <v/>
      </c>
    </row>
    <row r="38">
      <c r="A38" s="4" t="inlineStr">
        <is>
          <t>DN25</t>
        </is>
      </c>
      <c r="B38" s="4" t="n">
        <v>25</v>
      </c>
      <c r="C38" s="4" t="n">
        <v>27.3</v>
      </c>
      <c r="D38" s="4" t="n">
        <v>3.05</v>
      </c>
      <c r="E38" s="4" t="n">
        <v>60</v>
      </c>
      <c r="F38" s="8">
        <f>6.05E5*E38^1.85/(120^1.85*C38^4.87)*D38*1.2</f>
        <v/>
      </c>
      <c r="G38" s="8">
        <f>E38/60000/(PI()*(C38/1000)^2/4)</f>
        <v/>
      </c>
    </row>
    <row r="39">
      <c r="E39" t="inlineStr">
        <is>
          <t>Toplam</t>
        </is>
      </c>
      <c r="F39" s="9">
        <f>SUM(F26:F38)</f>
        <v/>
      </c>
    </row>
    <row r="41">
      <c r="A41" s="6" t="inlineStr">
        <is>
          <t>1. KAT - kat girişinden en uzak başlığa boru yolu</t>
        </is>
      </c>
    </row>
    <row r="42">
      <c r="A42" s="7" t="inlineStr">
        <is>
          <t>Çap</t>
        </is>
      </c>
      <c r="B42" s="7" t="inlineStr">
        <is>
          <t>DN</t>
        </is>
      </c>
      <c r="C42" s="7" t="inlineStr">
        <is>
          <t>İç çap mm</t>
        </is>
      </c>
      <c r="D42" s="7" t="inlineStr">
        <is>
          <t>L m</t>
        </is>
      </c>
      <c r="E42" s="7" t="inlineStr">
        <is>
          <t>Q l/dk</t>
        </is>
      </c>
      <c r="F42" s="7" t="inlineStr">
        <is>
          <t>Δp bar</t>
        </is>
      </c>
      <c r="G42" s="7" t="inlineStr">
        <is>
          <t>v m/s</t>
        </is>
      </c>
    </row>
    <row r="43">
      <c r="A43" s="4" t="inlineStr">
        <is>
          <t>DN150</t>
        </is>
      </c>
      <c r="B43" s="4" t="n">
        <v>150</v>
      </c>
      <c r="C43" s="4" t="n">
        <v>155.4</v>
      </c>
      <c r="D43" s="4" t="n">
        <v>2.85</v>
      </c>
      <c r="E43" s="4" t="n">
        <v>424.5</v>
      </c>
      <c r="F43" s="8">
        <f>6.05E5*E43^1.85/(120^1.85*C43^4.87)*D43*1.2</f>
        <v/>
      </c>
      <c r="G43" s="8">
        <f>E43/60000/(PI()*(C43/1000)^2/4)</f>
        <v/>
      </c>
    </row>
    <row r="44">
      <c r="A44" s="4" t="inlineStr">
        <is>
          <t>DN100</t>
        </is>
      </c>
      <c r="B44" s="4" t="n">
        <v>100</v>
      </c>
      <c r="C44" s="4" t="n">
        <v>105.3</v>
      </c>
      <c r="D44" s="4" t="n">
        <v>24.31</v>
      </c>
      <c r="E44" s="4" t="n">
        <v>424.5</v>
      </c>
      <c r="F44" s="8">
        <f>6.05E5*E44^1.85/(120^1.85*C44^4.87)*D44*1.2</f>
        <v/>
      </c>
      <c r="G44" s="8">
        <f>E44/60000/(PI()*(C44/1000)^2/4)</f>
        <v/>
      </c>
    </row>
    <row r="45">
      <c r="A45" s="4" t="inlineStr">
        <is>
          <t>DN80</t>
        </is>
      </c>
      <c r="B45" s="4" t="n">
        <v>80</v>
      </c>
      <c r="C45" s="4" t="n">
        <v>80.90000000000001</v>
      </c>
      <c r="D45" s="4" t="n">
        <v>16.41</v>
      </c>
      <c r="E45" s="4" t="n">
        <v>424.5</v>
      </c>
      <c r="F45" s="8">
        <f>6.05E5*E45^1.85/(120^1.85*C45^4.87)*D45*1.2</f>
        <v/>
      </c>
      <c r="G45" s="8">
        <f>E45/60000/(PI()*(C45/1000)^2/4)</f>
        <v/>
      </c>
    </row>
    <row r="46">
      <c r="A46" s="4" t="inlineStr">
        <is>
          <t>DN65</t>
        </is>
      </c>
      <c r="B46" s="4" t="n">
        <v>65</v>
      </c>
      <c r="C46" s="4" t="n">
        <v>68.90000000000001</v>
      </c>
      <c r="D46" s="4" t="n">
        <v>7.31</v>
      </c>
      <c r="E46" s="4" t="n">
        <v>345.6</v>
      </c>
      <c r="F46" s="8">
        <f>6.05E5*E46^1.85/(120^1.85*C46^4.87)*D46*1.2</f>
        <v/>
      </c>
      <c r="G46" s="8">
        <f>E46/60000/(PI()*(C46/1000)^2/4)</f>
        <v/>
      </c>
    </row>
    <row r="47">
      <c r="A47" s="4" t="inlineStr">
        <is>
          <t>DN50</t>
        </is>
      </c>
      <c r="B47" s="4" t="n">
        <v>50</v>
      </c>
      <c r="C47" s="4" t="n">
        <v>53.1</v>
      </c>
      <c r="D47" s="4" t="n">
        <v>8.470000000000001</v>
      </c>
      <c r="E47" s="4" t="n">
        <v>345.6</v>
      </c>
      <c r="F47" s="8">
        <f>6.05E5*E47^1.85/(120^1.85*C47^4.87)*D47*1.2</f>
        <v/>
      </c>
      <c r="G47" s="8">
        <f>E47/60000/(PI()*(C47/1000)^2/4)</f>
        <v/>
      </c>
    </row>
    <row r="48">
      <c r="A48" s="4" t="inlineStr">
        <is>
          <t>DN40</t>
        </is>
      </c>
      <c r="B48" s="4" t="n">
        <v>40</v>
      </c>
      <c r="C48" s="4" t="n">
        <v>41.9</v>
      </c>
      <c r="D48" s="4" t="n">
        <v>3.28</v>
      </c>
      <c r="E48" s="4" t="n">
        <v>269.2</v>
      </c>
      <c r="F48" s="8">
        <f>6.05E5*E48^1.85/(120^1.85*C48^4.87)*D48*1.2</f>
        <v/>
      </c>
      <c r="G48" s="8">
        <f>E48/60000/(PI()*(C48/1000)^2/4)</f>
        <v/>
      </c>
    </row>
    <row r="49">
      <c r="A49" s="4" t="inlineStr">
        <is>
          <t>DN25</t>
        </is>
      </c>
      <c r="B49" s="4" t="n">
        <v>25</v>
      </c>
      <c r="C49" s="4" t="n">
        <v>27.3</v>
      </c>
      <c r="D49" s="4" t="n">
        <v>3.27</v>
      </c>
      <c r="E49" s="4" t="n">
        <v>123.2</v>
      </c>
      <c r="F49" s="8">
        <f>6.05E5*E49^1.85/(120^1.85*C49^4.87)*D49*1.2</f>
        <v/>
      </c>
      <c r="G49" s="8">
        <f>E49/60000/(PI()*(C49/1000)^2/4)</f>
        <v/>
      </c>
    </row>
    <row r="50">
      <c r="A50" s="4" t="inlineStr">
        <is>
          <t>DN25</t>
        </is>
      </c>
      <c r="B50" s="4" t="n">
        <v>25</v>
      </c>
      <c r="C50" s="4" t="n">
        <v>27.3</v>
      </c>
      <c r="D50" s="4" t="n">
        <v>3.02</v>
      </c>
      <c r="E50" s="4" t="n">
        <v>60</v>
      </c>
      <c r="F50" s="8">
        <f>6.05E5*E50^1.85/(120^1.85*C50^4.87)*D50*1.2</f>
        <v/>
      </c>
      <c r="G50" s="8">
        <f>E50/60000/(PI()*(C50/1000)^2/4)</f>
        <v/>
      </c>
    </row>
    <row r="51">
      <c r="E51" t="inlineStr">
        <is>
          <t>Toplam</t>
        </is>
      </c>
      <c r="F51" s="9">
        <f>SUM(F43:F50)</f>
        <v/>
      </c>
    </row>
    <row r="53">
      <c r="A53" s="6" t="inlineStr">
        <is>
          <t>2. KAT - kat girişinden en uzak başlığa boru yolu</t>
        </is>
      </c>
    </row>
    <row r="54">
      <c r="A54" s="7" t="inlineStr">
        <is>
          <t>Çap</t>
        </is>
      </c>
      <c r="B54" s="7" t="inlineStr">
        <is>
          <t>DN</t>
        </is>
      </c>
      <c r="C54" s="7" t="inlineStr">
        <is>
          <t>İç çap mm</t>
        </is>
      </c>
      <c r="D54" s="7" t="inlineStr">
        <is>
          <t>L m</t>
        </is>
      </c>
      <c r="E54" s="7" t="inlineStr">
        <is>
          <t>Q l/dk</t>
        </is>
      </c>
      <c r="F54" s="7" t="inlineStr">
        <is>
          <t>Δp bar</t>
        </is>
      </c>
      <c r="G54" s="7" t="inlineStr">
        <is>
          <t>v m/s</t>
        </is>
      </c>
    </row>
    <row r="55">
      <c r="A55" s="4" t="inlineStr">
        <is>
          <t>DN150</t>
        </is>
      </c>
      <c r="B55" s="4" t="n">
        <v>150</v>
      </c>
      <c r="C55" s="4" t="n">
        <v>155.4</v>
      </c>
      <c r="D55" s="4" t="n">
        <v>2.85</v>
      </c>
      <c r="E55" s="4" t="n">
        <v>424.5</v>
      </c>
      <c r="F55" s="8">
        <f>6.05E5*E55^1.85/(120^1.85*C55^4.87)*D55*1.2</f>
        <v/>
      </c>
      <c r="G55" s="8">
        <f>E55/60000/(PI()*(C55/1000)^2/4)</f>
        <v/>
      </c>
    </row>
    <row r="56">
      <c r="A56" s="4" t="inlineStr">
        <is>
          <t>DN100</t>
        </is>
      </c>
      <c r="B56" s="4" t="n">
        <v>100</v>
      </c>
      <c r="C56" s="4" t="n">
        <v>105.3</v>
      </c>
      <c r="D56" s="4" t="n">
        <v>24.31</v>
      </c>
      <c r="E56" s="4" t="n">
        <v>424.5</v>
      </c>
      <c r="F56" s="8">
        <f>6.05E5*E56^1.85/(120^1.85*C56^4.87)*D56*1.2</f>
        <v/>
      </c>
      <c r="G56" s="8">
        <f>E56/60000/(PI()*(C56/1000)^2/4)</f>
        <v/>
      </c>
    </row>
    <row r="57">
      <c r="A57" s="4" t="inlineStr">
        <is>
          <t>DN80</t>
        </is>
      </c>
      <c r="B57" s="4" t="n">
        <v>80</v>
      </c>
      <c r="C57" s="4" t="n">
        <v>80.90000000000001</v>
      </c>
      <c r="D57" s="4" t="n">
        <v>16.41</v>
      </c>
      <c r="E57" s="4" t="n">
        <v>424.5</v>
      </c>
      <c r="F57" s="8">
        <f>6.05E5*E57^1.85/(120^1.85*C57^4.87)*D57*1.2</f>
        <v/>
      </c>
      <c r="G57" s="8">
        <f>E57/60000/(PI()*(C57/1000)^2/4)</f>
        <v/>
      </c>
    </row>
    <row r="58">
      <c r="A58" s="4" t="inlineStr">
        <is>
          <t>DN65</t>
        </is>
      </c>
      <c r="B58" s="4" t="n">
        <v>65</v>
      </c>
      <c r="C58" s="4" t="n">
        <v>68.90000000000001</v>
      </c>
      <c r="D58" s="4" t="n">
        <v>7.31</v>
      </c>
      <c r="E58" s="4" t="n">
        <v>345.6</v>
      </c>
      <c r="F58" s="8">
        <f>6.05E5*E58^1.85/(120^1.85*C58^4.87)*D58*1.2</f>
        <v/>
      </c>
      <c r="G58" s="8">
        <f>E58/60000/(PI()*(C58/1000)^2/4)</f>
        <v/>
      </c>
    </row>
    <row r="59">
      <c r="A59" s="4" t="inlineStr">
        <is>
          <t>DN50</t>
        </is>
      </c>
      <c r="B59" s="4" t="n">
        <v>50</v>
      </c>
      <c r="C59" s="4" t="n">
        <v>53.1</v>
      </c>
      <c r="D59" s="4" t="n">
        <v>8.470000000000001</v>
      </c>
      <c r="E59" s="4" t="n">
        <v>345.6</v>
      </c>
      <c r="F59" s="8">
        <f>6.05E5*E59^1.85/(120^1.85*C59^4.87)*D59*1.2</f>
        <v/>
      </c>
      <c r="G59" s="8">
        <f>E59/60000/(PI()*(C59/1000)^2/4)</f>
        <v/>
      </c>
    </row>
    <row r="60">
      <c r="A60" s="4" t="inlineStr">
        <is>
          <t>DN40</t>
        </is>
      </c>
      <c r="B60" s="4" t="n">
        <v>40</v>
      </c>
      <c r="C60" s="4" t="n">
        <v>41.9</v>
      </c>
      <c r="D60" s="4" t="n">
        <v>3.28</v>
      </c>
      <c r="E60" s="4" t="n">
        <v>269.2</v>
      </c>
      <c r="F60" s="8">
        <f>6.05E5*E60^1.85/(120^1.85*C60^4.87)*D60*1.2</f>
        <v/>
      </c>
      <c r="G60" s="8">
        <f>E60/60000/(PI()*(C60/1000)^2/4)</f>
        <v/>
      </c>
    </row>
    <row r="61">
      <c r="A61" s="4" t="inlineStr">
        <is>
          <t>DN25</t>
        </is>
      </c>
      <c r="B61" s="4" t="n">
        <v>25</v>
      </c>
      <c r="C61" s="4" t="n">
        <v>27.3</v>
      </c>
      <c r="D61" s="4" t="n">
        <v>3.27</v>
      </c>
      <c r="E61" s="4" t="n">
        <v>123.2</v>
      </c>
      <c r="F61" s="8">
        <f>6.05E5*E61^1.85/(120^1.85*C61^4.87)*D61*1.2</f>
        <v/>
      </c>
      <c r="G61" s="8">
        <f>E61/60000/(PI()*(C61/1000)^2/4)</f>
        <v/>
      </c>
    </row>
    <row r="62">
      <c r="A62" s="4" t="inlineStr">
        <is>
          <t>DN25</t>
        </is>
      </c>
      <c r="B62" s="4" t="n">
        <v>25</v>
      </c>
      <c r="C62" s="4" t="n">
        <v>27.3</v>
      </c>
      <c r="D62" s="4" t="n">
        <v>3.02</v>
      </c>
      <c r="E62" s="4" t="n">
        <v>60</v>
      </c>
      <c r="F62" s="8">
        <f>6.05E5*E62^1.85/(120^1.85*C62^4.87)*D62*1.2</f>
        <v/>
      </c>
      <c r="G62" s="8">
        <f>E62/60000/(PI()*(C62/1000)^2/4)</f>
        <v/>
      </c>
    </row>
    <row r="63">
      <c r="E63" t="inlineStr">
        <is>
          <t>Toplam</t>
        </is>
      </c>
      <c r="F63" s="9">
        <f>SUM(F55:F62)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ROTAŞ MÜHENDİSLİK - VOYAP - YANGIN TESİSATI (SPRİNKLER + YANGIN DOLABI)</t>
        </is>
      </c>
    </row>
    <row r="2">
      <c r="A2" s="2" t="inlineStr">
        <is>
          <t>BORU VE MALZEME METRAJI (%10 fire hariç)</t>
        </is>
      </c>
    </row>
    <row r="3">
      <c r="A3" s="3" t="inlineStr">
        <is>
          <t>Çap</t>
        </is>
      </c>
      <c r="B3" s="3" t="inlineStr">
        <is>
          <t>BODRUM</t>
        </is>
      </c>
      <c r="C3" s="3" t="inlineStr">
        <is>
          <t>ZEMİN</t>
        </is>
      </c>
      <c r="D3" s="3" t="inlineStr">
        <is>
          <t>1. KAT</t>
        </is>
      </c>
      <c r="E3" s="3" t="inlineStr">
        <is>
          <t>2. KAT</t>
        </is>
      </c>
      <c r="F3" s="3" t="inlineStr">
        <is>
          <t>TOPLAM m</t>
        </is>
      </c>
    </row>
    <row r="4">
      <c r="A4" s="4" t="inlineStr">
        <is>
          <t>DN25</t>
        </is>
      </c>
      <c r="B4" s="4" t="n">
        <v>216.3</v>
      </c>
      <c r="C4" s="4" t="n">
        <v>188.9</v>
      </c>
      <c r="D4" s="4" t="n">
        <v>197</v>
      </c>
      <c r="E4" s="4" t="n">
        <v>197</v>
      </c>
      <c r="F4" s="10">
        <f>SUM(B4:E4)</f>
        <v/>
      </c>
    </row>
    <row r="5">
      <c r="A5" s="4" t="inlineStr">
        <is>
          <t>DN32</t>
        </is>
      </c>
      <c r="B5" s="4" t="n">
        <v>16.9</v>
      </c>
      <c r="C5" s="4" t="n">
        <v>15.6</v>
      </c>
      <c r="D5" s="4" t="n">
        <v>20.1</v>
      </c>
      <c r="E5" s="4" t="n">
        <v>20.1</v>
      </c>
      <c r="F5" s="10">
        <f>SUM(B5:E5)</f>
        <v/>
      </c>
    </row>
    <row r="6">
      <c r="A6" s="4" t="inlineStr">
        <is>
          <t>DN40</t>
        </is>
      </c>
      <c r="B6" s="4" t="n">
        <v>3.6</v>
      </c>
      <c r="C6" s="4" t="n">
        <v>28.5</v>
      </c>
      <c r="D6" s="4" t="n">
        <v>46.3</v>
      </c>
      <c r="E6" s="4" t="n">
        <v>46.3</v>
      </c>
      <c r="F6" s="10">
        <f>SUM(B6:E6)</f>
        <v/>
      </c>
    </row>
    <row r="7">
      <c r="A7" s="4" t="inlineStr">
        <is>
          <t>DN50</t>
        </is>
      </c>
      <c r="B7" s="4" t="n">
        <v>7.5</v>
      </c>
      <c r="C7" s="4" t="n">
        <v>41.5</v>
      </c>
      <c r="D7" s="4" t="n">
        <v>45.3</v>
      </c>
      <c r="E7" s="4" t="n">
        <v>45.3</v>
      </c>
      <c r="F7" s="10">
        <f>SUM(B7:E7)</f>
        <v/>
      </c>
    </row>
    <row r="8">
      <c r="A8" s="4" t="inlineStr">
        <is>
          <t>DN65</t>
        </is>
      </c>
      <c r="B8" s="4" t="n">
        <v>12.9</v>
      </c>
      <c r="C8" s="4" t="n">
        <v>11.7</v>
      </c>
      <c r="D8" s="4" t="n">
        <v>15</v>
      </c>
      <c r="E8" s="4" t="n">
        <v>15</v>
      </c>
      <c r="F8" s="10">
        <f>SUM(B8:E8)</f>
        <v/>
      </c>
    </row>
    <row r="9">
      <c r="A9" s="4" t="inlineStr">
        <is>
          <t>DN80</t>
        </is>
      </c>
      <c r="B9" s="4" t="n">
        <v>15</v>
      </c>
      <c r="C9" s="4" t="n">
        <v>27</v>
      </c>
      <c r="D9" s="4" t="n">
        <v>30</v>
      </c>
      <c r="E9" s="4" t="n">
        <v>30</v>
      </c>
      <c r="F9" s="10">
        <f>SUM(B9:E9)</f>
        <v/>
      </c>
    </row>
    <row r="10">
      <c r="A10" s="4" t="inlineStr">
        <is>
          <t>DN100</t>
        </is>
      </c>
      <c r="B10" s="4" t="n">
        <v>26.3</v>
      </c>
      <c r="C10" s="4" t="n">
        <v>34.7</v>
      </c>
      <c r="D10" s="4" t="n">
        <v>25.7</v>
      </c>
      <c r="E10" s="4" t="n">
        <v>25.7</v>
      </c>
      <c r="F10" s="10">
        <f>SUM(B10:E10)</f>
        <v/>
      </c>
    </row>
    <row r="11">
      <c r="A11" s="4" t="inlineStr">
        <is>
          <t>DN150</t>
        </is>
      </c>
      <c r="B11" s="4" t="n">
        <v>0</v>
      </c>
      <c r="C11" s="4" t="n">
        <v>5.3</v>
      </c>
      <c r="D11" s="4" t="n">
        <v>2.8</v>
      </c>
      <c r="E11" s="4" t="n">
        <v>2.8</v>
      </c>
      <c r="F11" s="10">
        <f>SUM(B11:E11)</f>
        <v/>
      </c>
    </row>
    <row r="13">
      <c r="A13" s="3" t="inlineStr">
        <is>
          <t>MALZEME</t>
        </is>
      </c>
      <c r="B13" s="3" t="inlineStr">
        <is>
          <t>MİKTAR</t>
        </is>
      </c>
      <c r="C13" s="3" t="inlineStr">
        <is>
          <t>BİRİM</t>
        </is>
      </c>
    </row>
    <row r="14">
      <c r="A14" s="4" t="inlineStr">
        <is>
          <t>Sprinkler upright K80 68°C</t>
        </is>
      </c>
      <c r="B14" s="4" t="n">
        <v>214</v>
      </c>
      <c r="C14" s="4" t="inlineStr">
        <is>
          <t>adet</t>
        </is>
      </c>
    </row>
    <row r="15">
      <c r="A15" s="4" t="inlineStr">
        <is>
          <t>Sprinkler pendant K80 68°C</t>
        </is>
      </c>
      <c r="B15" s="4" t="n">
        <v>244</v>
      </c>
      <c r="C15" s="4" t="inlineStr">
        <is>
          <t>adet</t>
        </is>
      </c>
    </row>
    <row r="16">
      <c r="A16" s="4" t="inlineStr">
        <is>
          <t>Ara seviye sprinkler (lift)</t>
        </is>
      </c>
      <c r="B16" s="4" t="n">
        <v>0</v>
      </c>
      <c r="C16" s="4" t="inlineStr">
        <is>
          <t>adet</t>
        </is>
      </c>
    </row>
    <row r="17">
      <c r="A17" s="4" t="inlineStr">
        <is>
          <t>Yangın dolabı TS EN 671-1</t>
        </is>
      </c>
      <c r="B17" s="4" t="n">
        <v>8</v>
      </c>
      <c r="C17" s="4" t="inlineStr">
        <is>
          <t>adet</t>
        </is>
      </c>
    </row>
    <row r="18">
      <c r="A18" s="4" t="inlineStr">
        <is>
          <t>Islak alarm vanası DN100</t>
        </is>
      </c>
      <c r="B18" s="4" t="n">
        <v>2</v>
      </c>
      <c r="C18" s="4" t="inlineStr">
        <is>
          <t>adet</t>
        </is>
      </c>
    </row>
    <row r="19">
      <c r="A19" s="4" t="inlineStr">
        <is>
          <t>Kat kontrol istasyonu DN100</t>
        </is>
      </c>
      <c r="B19" s="4" t="n">
        <v>3</v>
      </c>
      <c r="C19" s="4" t="inlineStr">
        <is>
          <t>takım</t>
        </is>
      </c>
    </row>
    <row r="20">
      <c r="A20" s="4" t="inlineStr">
        <is>
          <t>İtfaiye bağlantısı 2x2½"</t>
        </is>
      </c>
      <c r="B20" s="4" t="n">
        <v>1</v>
      </c>
      <c r="C20" s="4" t="inlineStr">
        <is>
          <t>adet</t>
        </is>
      </c>
    </row>
    <row r="21">
      <c r="A21" s="4" t="inlineStr">
        <is>
          <t>Yangın pompa grubu (E+D+J)</t>
        </is>
      </c>
      <c r="B21" s="4" t="n">
        <v>1</v>
      </c>
      <c r="C21" s="4" t="inlineStr">
        <is>
          <t>takım</t>
        </is>
      </c>
    </row>
    <row r="22">
      <c r="A22" s="4" t="inlineStr">
        <is>
          <t>Yangın suyu deposu 80 m³</t>
        </is>
      </c>
      <c r="B22" s="4" t="n">
        <v>1</v>
      </c>
      <c r="C22" s="4" t="inlineStr">
        <is>
          <t>adet</t>
        </is>
      </c>
    </row>
    <row r="23">
      <c r="A23" s="4" t="inlineStr">
        <is>
          <t>Yedek sprinkler dolabı (6 adet başlık + anahtar)</t>
        </is>
      </c>
      <c r="B23" s="4" t="n">
        <v>1</v>
      </c>
      <c r="C23" s="4" t="inlineStr">
        <is>
          <t>adet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2026-10-13T01:11:38Z</dcterms:created>
  <dcterms:modified xmlns:dcterms="http://purl.org/dc/terms/" xmlns:xsi="http://www.w3.org/2001/XMLSchema-instance" xsi:type="dcterms:W3CDTF">2026-10-13T01:11:38Z</dcterms:modified>
</cp:coreProperties>
</file>