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apak" sheetId="1" state="visible" r:id="rId1"/>
    <sheet xmlns:r="http://schemas.openxmlformats.org/officeDocument/2006/relationships" name="TEKNİK RAPOR" sheetId="2" state="visible" r:id="rId2"/>
    <sheet xmlns:r="http://schemas.openxmlformats.org/officeDocument/2006/relationships" name="1 NK" sheetId="3" state="visible" r:id="rId3"/>
    <sheet xmlns:r="http://schemas.openxmlformats.org/officeDocument/2006/relationships" name="2 NK" sheetId="4" state="visible" r:id="rId4"/>
    <sheet xmlns:r="http://schemas.openxmlformats.org/officeDocument/2006/relationships" name="PETEK LİST" sheetId="5" state="visible" r:id="rId5"/>
    <sheet xmlns:r="http://schemas.openxmlformats.org/officeDocument/2006/relationships" name="YERDEN ISITMA" sheetId="6" state="visible" r:id="rId6"/>
    <sheet xmlns:r="http://schemas.openxmlformats.org/officeDocument/2006/relationships" name="MMO YERDEN ISITMA" sheetId="7" state="visible" r:id="rId7"/>
    <sheet xmlns:r="http://schemas.openxmlformats.org/officeDocument/2006/relationships" name="YERDEN ISITMA- DEVAMI" sheetId="8" state="visible" r:id="rId8"/>
  </sheets>
  <externalReferences>
    <externalReference xmlns:r="http://schemas.openxmlformats.org/officeDocument/2006/relationships" r:id="rId9"/>
  </externalReferences>
  <definedNames>
    <definedName name="_xlnm.Print_Area" localSheetId="1">'TEKNİK RAPOR'!$A$1:$N$65</definedName>
    <definedName name="_xlnm.Print_Area" localSheetId="2">'1 NK'!$A$1:$Q$511</definedName>
    <definedName name="_xlnm.Print_Area" localSheetId="3">'2 NK'!$A$1:$Q$572</definedName>
    <definedName name="_xlnm.Print_Area" localSheetId="4">'PETEK LİST'!$A$1:$P$134</definedName>
    <definedName name="_xlnm.Print_Area" localSheetId="5">'YERDEN ISITMA'!$A$1:$N$134</definedName>
    <definedName name="_xlnm.Print_Area" localSheetId="6">'MMO YERDEN ISITMA'!$A$1:$DC$47</definedName>
    <definedName name="_xlnm.Print_Area" localSheetId="7">'YERDEN ISITMA- DEVAMI'!$A$1:$DC$47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6">
    <numFmt numFmtId="164" formatCode="[$-409]d\-mmm"/>
    <numFmt numFmtId="165" formatCode="[$-409]m/d/yyyy"/>
    <numFmt numFmtId="166" formatCode="General&quot; W/m²K&quot;"/>
    <numFmt numFmtId="167" formatCode="00000"/>
    <numFmt numFmtId="168" formatCode="#,##0&quot;  &quot;"/>
    <numFmt numFmtId="169" formatCode="&quot;  &quot;@"/>
  </numFmts>
  <fonts count="55">
    <font>
      <name val="Arial Tur"/>
      <charset val="162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62"/>
      <family val="2"/>
      <sz val="10"/>
    </font>
    <font>
      <name val="Calibri"/>
      <charset val="162"/>
      <family val="2"/>
      <color rgb="FF000000"/>
      <sz val="12"/>
    </font>
    <font>
      <name val="Swis721 Cn BT"/>
      <family val="2"/>
      <b val="1"/>
      <color rgb="FF000000"/>
      <sz val="40"/>
    </font>
    <font>
      <name val="Swis721 Cn BT"/>
      <family val="2"/>
      <b val="1"/>
      <color rgb="FF000000"/>
      <sz val="16"/>
    </font>
    <font>
      <name val="Times New Roman"/>
      <charset val="162"/>
      <family val="1"/>
      <b val="1"/>
      <color rgb="FF000000"/>
      <sz val="10"/>
    </font>
    <font>
      <name val="Times New Roman"/>
      <charset val="162"/>
      <family val="1"/>
      <b val="1"/>
      <color rgb="FF000000"/>
      <sz val="12"/>
    </font>
    <font>
      <name val="Calibri"/>
      <charset val="162"/>
      <family val="2"/>
      <color rgb="FF000000"/>
      <sz val="20"/>
    </font>
    <font>
      <name val="Calibri"/>
      <charset val="162"/>
      <family val="2"/>
      <b val="1"/>
      <color rgb="FF000000"/>
      <sz val="28"/>
    </font>
    <font>
      <name val="Calibri"/>
      <charset val="162"/>
      <family val="2"/>
      <color rgb="FF000000"/>
      <sz val="16"/>
    </font>
    <font>
      <name val="Calibri"/>
      <charset val="162"/>
      <family val="2"/>
      <color rgb="FF000000"/>
      <sz val="14"/>
    </font>
    <font>
      <name val="Arial Tur"/>
      <charset val="162"/>
      <family val="0"/>
      <b val="1"/>
      <sz val="14"/>
    </font>
    <font>
      <name val="Arial Tur"/>
      <charset val="162"/>
      <family val="2"/>
      <b val="1"/>
      <sz val="14"/>
    </font>
    <font>
      <name val="Arial Tur"/>
      <charset val="162"/>
      <family val="0"/>
      <b val="1"/>
      <sz val="10"/>
    </font>
    <font>
      <name val="Arial Tur"/>
      <charset val="162"/>
      <family val="2"/>
      <b val="1"/>
      <sz val="12"/>
    </font>
    <font>
      <name val="Arial Tur"/>
      <charset val="162"/>
      <family val="2"/>
      <sz val="12"/>
    </font>
    <font>
      <name val="Arial Tur"/>
      <charset val="162"/>
      <family val="0"/>
      <b val="1"/>
      <sz val="12"/>
    </font>
    <font>
      <name val="Arial Tur"/>
      <charset val="162"/>
      <family val="2"/>
      <sz val="11"/>
    </font>
    <font>
      <name val="Arial Tur"/>
      <charset val="162"/>
      <family val="0"/>
      <color rgb="FFFF0000"/>
      <sz val="12"/>
    </font>
    <font>
      <name val="Arial Tur"/>
      <charset val="162"/>
      <family val="0"/>
      <color rgb="FFFF0000"/>
      <sz val="9"/>
    </font>
    <font>
      <name val="Arial Tur"/>
      <charset val="162"/>
      <family val="2"/>
      <color rgb="FFFF0000"/>
      <sz val="9"/>
    </font>
    <font>
      <name val="Arial Tur"/>
      <charset val="162"/>
      <family val="0"/>
      <sz val="9"/>
    </font>
    <font>
      <name val="Arial Tur"/>
      <charset val="162"/>
      <family val="0"/>
      <sz val="8"/>
    </font>
    <font>
      <name val="Arial"/>
      <charset val="162"/>
      <family val="2"/>
      <sz val="8"/>
    </font>
    <font>
      <name val="Arial Tur"/>
      <charset val="162"/>
      <family val="2"/>
      <b val="1"/>
      <sz val="11"/>
    </font>
    <font>
      <name val="Arial Tur"/>
      <charset val="162"/>
      <family val="0"/>
      <sz val="7.5"/>
    </font>
    <font>
      <name val="Arial"/>
      <charset val="162"/>
      <family val="2"/>
      <sz val="7.5"/>
    </font>
    <font>
      <name val="Arial Tur"/>
      <charset val="162"/>
      <family val="0"/>
      <b val="1"/>
      <sz val="7.5"/>
    </font>
    <font>
      <name val="Symbol"/>
      <charset val="2"/>
      <family val="1"/>
      <sz val="7.5"/>
    </font>
    <font>
      <name val="Arial Tur"/>
      <charset val="162"/>
      <family val="2"/>
      <sz val="7.5"/>
    </font>
    <font>
      <name val="Arial Tur"/>
      <charset val="162"/>
      <family val="0"/>
      <sz val="7.5"/>
      <u val="single"/>
    </font>
    <font>
      <name val="Arial Tur"/>
      <charset val="162"/>
      <family val="0"/>
      <sz val="5"/>
    </font>
    <font>
      <name val="Arial Tur"/>
      <charset val="162"/>
      <family val="2"/>
      <i val="1"/>
      <sz val="7.5"/>
    </font>
    <font>
      <name val="Symbol"/>
      <charset val="2"/>
      <family val="1"/>
      <i val="1"/>
      <sz val="7.5"/>
    </font>
    <font>
      <name val="Arial Tur"/>
      <charset val="162"/>
      <family val="0"/>
      <i val="1"/>
      <sz val="7.5"/>
    </font>
    <font>
      <name val="Arial Tur"/>
      <charset val="162"/>
      <family val="2"/>
      <b val="1"/>
      <sz val="7.5"/>
    </font>
    <font>
      <name val="Arial"/>
      <charset val="162"/>
      <family val="2"/>
      <sz val="9"/>
    </font>
    <font>
      <name val="Arial"/>
      <charset val="162"/>
      <family val="2"/>
      <sz val="10"/>
      <vertAlign val="superscript"/>
    </font>
    <font>
      <name val="Arial"/>
      <charset val="162"/>
      <family val="2"/>
      <sz val="14"/>
    </font>
    <font>
      <name val="Arial Tur"/>
      <charset val="162"/>
      <family val="2"/>
      <sz val="8"/>
    </font>
    <font>
      <name val="Arial Tur"/>
      <charset val="162"/>
      <family val="0"/>
      <sz val="8"/>
      <vertAlign val="superscript"/>
    </font>
    <font>
      <name val="Arial Tur"/>
      <charset val="162"/>
      <family val="2"/>
      <sz val="8"/>
      <vertAlign val="superscript"/>
    </font>
    <font>
      <name val="Arial Tur"/>
      <charset val="162"/>
      <family val="2"/>
      <sz val="9"/>
    </font>
    <font>
      <name val="Arial Tur"/>
      <charset val="162"/>
      <family val="0"/>
      <sz val="6.5"/>
    </font>
    <font>
      <name val="Arial Tur"/>
      <charset val="162"/>
      <family val="0"/>
      <b val="1"/>
      <sz val="11"/>
    </font>
    <font>
      <name val="Arial Tur"/>
      <charset val="162"/>
      <family val="0"/>
      <b val="1"/>
      <sz val="9"/>
    </font>
    <font>
      <name val="Arial Tur"/>
      <charset val="162"/>
      <family val="2"/>
      <sz val="10"/>
    </font>
    <font>
      <name val="Arial Tur"/>
      <charset val="162"/>
      <family val="0"/>
      <sz val="8.5"/>
    </font>
    <font>
      <name val="Arial Tur"/>
      <charset val="162"/>
      <family val="0"/>
      <color rgb="FFFF0000"/>
      <sz val="10"/>
    </font>
    <font>
      <name val="Arial Tur"/>
      <family val="0"/>
      <color rgb="FF000000"/>
      <sz val="11"/>
    </font>
    <font>
      <name val="DejaVu Sans"/>
      <family val="2"/>
      <color rgb="FF000000"/>
      <sz val="11"/>
    </font>
    <font>
      <name val="Cambria Math"/>
      <family val="0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99CC00"/>
        <bgColor rgb="FFFFCC00"/>
      </patternFill>
    </fill>
  </fills>
  <borders count="54">
    <border>
      <left/>
      <right/>
      <top/>
      <bottom/>
      <diagonal/>
    </border>
    <border>
      <left style="double"/>
      <right style="double"/>
      <top style="double"/>
      <bottom style="thin"/>
      <diagonal/>
    </border>
    <border>
      <left style="double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double"/>
      <right/>
      <top/>
      <bottom/>
      <diagonal/>
    </border>
    <border>
      <left/>
      <right style="double"/>
      <top/>
      <bottom/>
      <diagonal/>
    </border>
    <border>
      <left style="double"/>
      <right style="double"/>
      <top style="thin"/>
      <bottom/>
      <diagonal/>
    </border>
    <border>
      <left style="double"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double"/>
      <top style="thin"/>
      <bottom style="double"/>
      <diagonal/>
    </border>
    <border>
      <left style="double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double"/>
      <bottom style="thin"/>
      <diagonal/>
    </border>
    <border>
      <left style="double"/>
      <right/>
      <top/>
      <bottom style="double"/>
      <diagonal/>
    </border>
    <border>
      <left/>
      <right/>
      <top/>
      <bottom style="double"/>
      <diagonal/>
    </border>
    <border>
      <left/>
      <right style="double"/>
      <top/>
      <bottom style="double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 style="thin"/>
      <top/>
      <bottom style="hair"/>
      <diagonal/>
    </border>
    <border>
      <left style="hair"/>
      <right/>
      <top/>
      <bottom style="hair"/>
      <diagonal/>
    </border>
    <border>
      <left style="hair"/>
      <right style="hair"/>
      <top/>
      <bottom/>
      <diagonal/>
    </border>
    <border>
      <left style="hair"/>
      <right style="thin"/>
      <top style="hair"/>
      <bottom style="hair"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 style="thin"/>
      <top style="thin"/>
      <bottom/>
      <diagonal/>
    </border>
    <border>
      <left/>
      <right/>
      <top style="double"/>
      <bottom/>
      <diagonal/>
    </border>
    <border>
      <left/>
      <right style="double"/>
      <top style="double"/>
      <bottom/>
      <diagonal/>
    </border>
    <border>
      <left/>
      <right/>
      <top style="double"/>
      <bottom style="thin"/>
      <diagonal/>
    </border>
    <border>
      <left/>
      <right style="double"/>
      <top style="double"/>
      <bottom style="thin"/>
      <diagonal/>
    </border>
    <border>
      <left/>
      <right style="double"/>
      <top style="thin"/>
      <bottom/>
      <diagonal/>
    </border>
    <border>
      <left style="double"/>
      <right/>
      <top/>
      <bottom style="thin"/>
      <diagonal/>
    </border>
    <border>
      <left/>
      <right style="double"/>
      <top/>
      <bottom style="thin"/>
      <diagonal/>
    </border>
    <border>
      <left/>
      <right style="double"/>
      <top style="thin"/>
      <bottom style="thin"/>
      <diagonal/>
    </border>
    <border>
      <left style="double"/>
      <right style="thin"/>
      <top/>
      <bottom/>
      <diagonal/>
    </border>
    <border>
      <left style="double"/>
      <right style="thin"/>
      <top/>
      <bottom style="double"/>
      <diagonal/>
    </border>
    <border>
      <left style="thin"/>
      <right style="thin"/>
      <top/>
      <bottom/>
      <diagonal/>
    </border>
    <border>
      <left style="thin"/>
      <right style="thin"/>
      <top/>
      <bottom style="double"/>
      <diagonal/>
    </border>
    <border>
      <left style="thin"/>
      <right/>
      <top/>
      <bottom style="double"/>
      <diagonal/>
    </border>
    <border>
      <left/>
      <right style="thin"/>
      <top/>
      <bottom style="double"/>
      <diagonal/>
    </border>
    <border>
      <left/>
      <right style="thin"/>
      <top style="double"/>
      <bottom/>
      <diagonal/>
    </border>
    <border>
      <left style="thin"/>
      <right style="double"/>
      <top/>
      <bottom/>
      <diagonal/>
    </border>
    <border>
      <left style="thin"/>
      <right style="double"/>
      <top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9" fontId="0" fillId="0" borderId="0"/>
  </cellStyleXfs>
  <cellXfs count="509"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12" fillId="0" borderId="5" applyAlignment="1" pivotButton="0" quotePrefix="0" xfId="0">
      <alignment horizontal="left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center" vertical="bottom"/>
    </xf>
    <xf numFmtId="0" fontId="13" fillId="0" borderId="8" applyAlignment="1" pivotButton="0" quotePrefix="0" xfId="0">
      <alignment horizontal="center" vertical="bottom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bottom"/>
    </xf>
    <xf numFmtId="0" fontId="0" fillId="0" borderId="13" applyAlignment="1" pivotButton="0" quotePrefix="0" xfId="0">
      <alignment horizontal="center" vertical="bottom"/>
    </xf>
    <xf numFmtId="0" fontId="0" fillId="0" borderId="14" applyAlignment="1" pivotButton="0" quotePrefix="0" xfId="0">
      <alignment horizontal="center" vertical="bottom"/>
    </xf>
    <xf numFmtId="0" fontId="0" fillId="0" borderId="3" applyAlignment="1" pivotButton="0" quotePrefix="0" xfId="0">
      <alignment horizontal="left" vertical="bottom"/>
    </xf>
    <xf numFmtId="0" fontId="0" fillId="0" borderId="4" applyAlignment="1" pivotButton="0" quotePrefix="0" xfId="0">
      <alignment horizontal="left" vertical="bottom"/>
    </xf>
    <xf numFmtId="165" fontId="0" fillId="0" borderId="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7" applyAlignment="1" pivotButton="0" quotePrefix="0" xfId="0">
      <alignment horizontal="general" vertical="bottom"/>
    </xf>
    <xf numFmtId="0" fontId="16" fillId="0" borderId="6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7" fillId="0" borderId="7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8" fillId="0" borderId="7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left" vertical="bottom" wrapText="1"/>
    </xf>
    <xf numFmtId="0" fontId="18" fillId="0" borderId="7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 vertical="bottom"/>
    </xf>
    <xf numFmtId="166" fontId="24" fillId="0" borderId="0" applyAlignment="1" pivotButton="0" quotePrefix="0" xfId="0">
      <alignment horizontal="left" vertical="bottom" wrapText="1"/>
    </xf>
    <xf numFmtId="0" fontId="18" fillId="0" borderId="0" applyAlignment="1" pivotButton="0" quotePrefix="0" xfId="0">
      <alignment horizontal="right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5" fillId="0" borderId="18" applyAlignment="1" pivotButton="0" quotePrefix="0" xfId="0">
      <alignment horizontal="general" vertical="center"/>
    </xf>
    <xf numFmtId="0" fontId="25" fillId="0" borderId="19" applyAlignment="1" pivotButton="0" quotePrefix="0" xfId="0">
      <alignment horizontal="general" vertical="center"/>
    </xf>
    <xf numFmtId="0" fontId="26" fillId="0" borderId="18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center"/>
    </xf>
    <xf numFmtId="0" fontId="27" fillId="0" borderId="19" applyAlignment="1" pivotButton="0" quotePrefix="0" xfId="0">
      <alignment horizontal="left" vertical="center"/>
    </xf>
    <xf numFmtId="0" fontId="25" fillId="0" borderId="20" applyAlignment="1" pivotButton="0" quotePrefix="0" xfId="0">
      <alignment horizontal="general" vertical="center"/>
    </xf>
    <xf numFmtId="0" fontId="25" fillId="0" borderId="4" applyAlignment="1" pivotButton="0" quotePrefix="0" xfId="0">
      <alignment horizontal="center" vertical="center"/>
    </xf>
    <xf numFmtId="0" fontId="25" fillId="0" borderId="4" applyAlignment="1" applyProtection="1" pivotButton="0" quotePrefix="0" xfId="0">
      <alignment horizontal="center" vertical="center"/>
      <protection locked="0" hidden="0"/>
    </xf>
    <xf numFmtId="165" fontId="25" fillId="0" borderId="4" applyAlignment="1" applyProtection="1" pivotButton="0" quotePrefix="0" xfId="0">
      <alignment horizontal="center" vertical="center"/>
      <protection locked="0" hidden="0"/>
    </xf>
    <xf numFmtId="0" fontId="25" fillId="0" borderId="0" applyAlignment="1" pivotButton="0" quotePrefix="0" xfId="0">
      <alignment horizontal="general" vertical="center"/>
    </xf>
    <xf numFmtId="0" fontId="28" fillId="0" borderId="21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center"/>
    </xf>
    <xf numFmtId="0" fontId="29" fillId="0" borderId="22" applyAlignment="1" pivotButton="0" quotePrefix="0" xfId="0">
      <alignment horizontal="general" vertical="center"/>
    </xf>
    <xf numFmtId="0" fontId="29" fillId="0" borderId="23" applyAlignment="1" pivotButton="0" quotePrefix="0" xfId="0">
      <alignment horizontal="general" vertical="center"/>
    </xf>
    <xf numFmtId="0" fontId="29" fillId="0" borderId="23" applyAlignment="1" applyProtection="1" pivotButton="0" quotePrefix="0" xfId="0">
      <alignment horizontal="general" vertical="center"/>
      <protection locked="0" hidden="0"/>
    </xf>
    <xf numFmtId="0" fontId="28" fillId="0" borderId="23" applyAlignment="1" applyProtection="1" pivotButton="0" quotePrefix="0" xfId="0">
      <alignment horizontal="general" vertical="center"/>
      <protection locked="0" hidden="0"/>
    </xf>
    <xf numFmtId="0" fontId="28" fillId="0" borderId="24" applyAlignment="1" applyProtection="1" pivotButton="0" quotePrefix="0" xfId="0">
      <alignment horizontal="general" vertical="center"/>
      <protection locked="0" hidden="0"/>
    </xf>
    <xf numFmtId="0" fontId="28" fillId="0" borderId="4" applyAlignment="1" pivotButton="0" quotePrefix="0" xfId="0">
      <alignment horizontal="center" vertical="center"/>
    </xf>
    <xf numFmtId="0" fontId="28" fillId="0" borderId="4" applyAlignment="1" applyProtection="1" pivotButton="0" quotePrefix="0" xfId="0">
      <alignment horizontal="center" vertical="center"/>
      <protection locked="0" hidden="0"/>
    </xf>
    <xf numFmtId="0" fontId="30" fillId="0" borderId="25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 textRotation="90"/>
    </xf>
    <xf numFmtId="0" fontId="28" fillId="0" borderId="4" applyAlignment="1" pivotButton="0" quotePrefix="0" xfId="0">
      <alignment horizontal="center" vertical="center" textRotation="90" wrapText="1"/>
    </xf>
    <xf numFmtId="0" fontId="28" fillId="0" borderId="0" applyAlignment="1" pivotButton="0" quotePrefix="0" xfId="0">
      <alignment horizontal="general" vertical="bottom"/>
    </xf>
    <xf numFmtId="0" fontId="28" fillId="0" borderId="4" applyAlignment="1" pivotButton="0" quotePrefix="0" xfId="0">
      <alignment horizontal="center" vertical="bottom"/>
    </xf>
    <xf numFmtId="0" fontId="31" fillId="0" borderId="4" applyAlignment="1" pivotButton="0" quotePrefix="0" xfId="0">
      <alignment horizontal="center" vertical="bottom"/>
    </xf>
    <xf numFmtId="0" fontId="33" fillId="0" borderId="4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25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right" vertical="center"/>
      <protection locked="0" hidden="0"/>
    </xf>
    <xf numFmtId="0" fontId="28" fillId="0" borderId="27" applyAlignment="1" applyProtection="1" pivotButton="0" quotePrefix="0" xfId="0">
      <alignment horizontal="center" vertical="center"/>
      <protection locked="0" hidden="0"/>
    </xf>
    <xf numFmtId="0" fontId="34" fillId="0" borderId="27" applyAlignment="1" applyProtection="1" pivotButton="0" quotePrefix="0" xfId="0">
      <alignment horizontal="center" vertical="center"/>
      <protection locked="0" hidden="0"/>
    </xf>
    <xf numFmtId="0" fontId="28" fillId="0" borderId="26" applyAlignment="1" applyProtection="1" pivotButton="0" quotePrefix="0" xfId="0">
      <alignment horizontal="general" vertical="center"/>
      <protection locked="0" hidden="0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168" fontId="28" fillId="0" borderId="33" applyAlignment="1" pivotButton="0" quotePrefix="0" xfId="0">
      <alignment horizontal="right" vertical="center"/>
    </xf>
    <xf numFmtId="0" fontId="28" fillId="0" borderId="22" applyAlignment="1" pivotButton="0" quotePrefix="0" xfId="0">
      <alignment horizontal="center" vertical="center"/>
    </xf>
    <xf numFmtId="167" fontId="28" fillId="0" borderId="23" applyAlignment="1" pivotButton="0" quotePrefix="0" xfId="0">
      <alignment horizontal="center" vertical="center"/>
    </xf>
    <xf numFmtId="4" fontId="28" fillId="0" borderId="23" applyAlignment="1" pivotButton="0" quotePrefix="0" xfId="0">
      <alignment horizontal="center" vertical="center"/>
    </xf>
    <xf numFmtId="3" fontId="28" fillId="0" borderId="23" applyAlignment="1" pivotButton="0" quotePrefix="0" xfId="0">
      <alignment horizontal="center" vertical="center"/>
    </xf>
    <xf numFmtId="168" fontId="28" fillId="0" borderId="34" applyAlignment="1" pivotButton="0" quotePrefix="0" xfId="0">
      <alignment horizontal="right" vertical="center"/>
    </xf>
    <xf numFmtId="3" fontId="28" fillId="0" borderId="4" applyAlignment="1" applyProtection="1" pivotButton="0" quotePrefix="0" xfId="0">
      <alignment horizontal="center" vertical="center"/>
      <protection locked="0" hidden="0"/>
    </xf>
    <xf numFmtId="4" fontId="28" fillId="0" borderId="4" applyAlignment="1" pivotButton="0" quotePrefix="0" xfId="0">
      <alignment horizontal="center" vertical="center"/>
    </xf>
    <xf numFmtId="168" fontId="28" fillId="0" borderId="4" applyAlignment="1" pivotButton="0" quotePrefix="0" xfId="0">
      <alignment horizontal="right" vertical="center"/>
    </xf>
    <xf numFmtId="0" fontId="28" fillId="0" borderId="18" applyAlignment="1" pivotButton="0" quotePrefix="0" xfId="0">
      <alignment horizontal="center" vertical="center"/>
    </xf>
    <xf numFmtId="49" fontId="28" fillId="0" borderId="19" applyAlignment="1" pivotButton="0" quotePrefix="0" xfId="0">
      <alignment horizontal="center" vertical="center"/>
    </xf>
    <xf numFmtId="4" fontId="28" fillId="0" borderId="19" applyAlignment="1" pivotButton="0" quotePrefix="0" xfId="0">
      <alignment horizontal="left" vertical="center"/>
    </xf>
    <xf numFmtId="4" fontId="35" fillId="0" borderId="19" applyAlignment="1" pivotButton="0" quotePrefix="0" xfId="0">
      <alignment horizontal="left" vertical="center"/>
    </xf>
    <xf numFmtId="4" fontId="28" fillId="0" borderId="19" applyAlignment="1" pivotButton="0" quotePrefix="0" xfId="0">
      <alignment horizontal="center" vertical="center"/>
    </xf>
    <xf numFmtId="3" fontId="28" fillId="0" borderId="19" applyAlignment="1" pivotButton="0" quotePrefix="0" xfId="0">
      <alignment horizontal="center" vertical="center"/>
    </xf>
    <xf numFmtId="4" fontId="31" fillId="0" borderId="19" applyAlignment="1" pivotButton="0" quotePrefix="0" xfId="0">
      <alignment horizontal="right" vertical="center"/>
    </xf>
    <xf numFmtId="4" fontId="32" fillId="0" borderId="0" applyAlignment="1" pivotButton="0" quotePrefix="0" xfId="0">
      <alignment horizontal="right" vertical="center"/>
    </xf>
    <xf numFmtId="168" fontId="28" fillId="0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 vertical="center"/>
    </xf>
    <xf numFmtId="168" fontId="28" fillId="0" borderId="2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35" fillId="0" borderId="21" applyAlignment="1" pivotButton="0" quotePrefix="0" xfId="0">
      <alignment horizontal="left" vertical="center"/>
    </xf>
    <xf numFmtId="4" fontId="28" fillId="0" borderId="0" applyAlignment="1" pivotButton="0" quotePrefix="0" xfId="0">
      <alignment horizontal="left" vertical="center"/>
    </xf>
    <xf numFmtId="4" fontId="36" fillId="0" borderId="0" applyAlignment="1" pivotButton="0" quotePrefix="0" xfId="0">
      <alignment horizontal="right" vertical="center"/>
    </xf>
    <xf numFmtId="4" fontId="37" fillId="0" borderId="0" applyAlignment="1" pivotButton="0" quotePrefix="0" xfId="0">
      <alignment horizontal="lef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4" fontId="28" fillId="0" borderId="27" applyAlignment="1" pivotButton="0" quotePrefix="0" xfId="0">
      <alignment horizontal="center" vertical="center"/>
    </xf>
    <xf numFmtId="4" fontId="32" fillId="0" borderId="26" applyAlignment="1" pivotButton="0" quotePrefix="0" xfId="0">
      <alignment horizontal="right" vertical="center"/>
    </xf>
    <xf numFmtId="4" fontId="28" fillId="0" borderId="4" applyAlignment="1" applyProtection="1" pivotButton="0" quotePrefix="0" xfId="0">
      <alignment horizontal="center" vertical="center"/>
      <protection locked="0" hidden="0"/>
    </xf>
    <xf numFmtId="0" fontId="28" fillId="0" borderId="21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169" fontId="28" fillId="0" borderId="25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center" vertical="center"/>
      <protection locked="0" hidden="0"/>
    </xf>
    <xf numFmtId="169" fontId="28" fillId="0" borderId="26" applyAlignment="1" applyProtection="1" pivotButton="0" quotePrefix="0" xfId="0">
      <alignment horizontal="general" vertical="center"/>
      <protection locked="0" hidden="0"/>
    </xf>
    <xf numFmtId="4" fontId="28" fillId="0" borderId="0" applyAlignment="1" pivotButton="0" quotePrefix="0" xfId="0">
      <alignment horizontal="center" vertical="center"/>
    </xf>
    <xf numFmtId="4" fontId="28" fillId="0" borderId="0" applyAlignment="1" pivotButton="0" quotePrefix="0" xfId="0">
      <alignment horizontal="center" vertical="center"/>
    </xf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/>
    </xf>
    <xf numFmtId="0" fontId="4" fillId="0" borderId="4" applyAlignment="1" pivotButton="0" quotePrefix="0" xfId="20">
      <alignment horizontal="center" vertical="center" wrapText="1"/>
    </xf>
    <xf numFmtId="0" fontId="4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center"/>
    </xf>
    <xf numFmtId="165" fontId="4" fillId="0" borderId="4" applyAlignment="1" pivotButton="0" quotePrefix="0" xfId="20">
      <alignment horizontal="center" vertical="center"/>
    </xf>
    <xf numFmtId="0" fontId="26" fillId="0" borderId="4" applyAlignment="1" pivotButton="0" quotePrefix="0" xfId="20">
      <alignment horizontal="center" vertical="center" textRotation="90"/>
    </xf>
    <xf numFmtId="0" fontId="4" fillId="0" borderId="4" applyAlignment="1" pivotButton="0" quotePrefix="0" xfId="20">
      <alignment horizontal="center" vertical="center" textRotation="90"/>
    </xf>
    <xf numFmtId="0" fontId="39" fillId="0" borderId="4" applyAlignment="1" pivotButton="0" quotePrefix="0" xfId="20">
      <alignment horizontal="center" vertical="center"/>
    </xf>
    <xf numFmtId="0" fontId="40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bottom"/>
    </xf>
    <xf numFmtId="0" fontId="26" fillId="0" borderId="4" applyAlignment="1" pivotButton="0" quotePrefix="0" xfId="20">
      <alignment horizontal="center" vertical="bottom"/>
    </xf>
    <xf numFmtId="49" fontId="4" fillId="0" borderId="4" applyAlignment="1" pivotButton="0" quotePrefix="0" xfId="20">
      <alignment horizontal="center" vertical="bottom"/>
    </xf>
    <xf numFmtId="3" fontId="4" fillId="0" borderId="4" applyAlignment="1" pivotButton="0" quotePrefix="0" xfId="20">
      <alignment horizontal="center" vertical="bottom"/>
    </xf>
    <xf numFmtId="4" fontId="4" fillId="0" borderId="4" applyAlignment="1" pivotButton="0" quotePrefix="0" xfId="20">
      <alignment horizontal="left" vertical="bottom"/>
    </xf>
    <xf numFmtId="0" fontId="4" fillId="0" borderId="4" applyAlignment="1" pivotButton="0" quotePrefix="0" xfId="20">
      <alignment horizontal="center" vertical="bottom"/>
    </xf>
    <xf numFmtId="4" fontId="4" fillId="2" borderId="4" applyAlignment="1" pivotButton="0" quotePrefix="0" xfId="20">
      <alignment horizontal="left" vertical="bottom"/>
    </xf>
    <xf numFmtId="0" fontId="4" fillId="2" borderId="4" applyAlignment="1" pivotButton="0" quotePrefix="0" xfId="2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4" fillId="0" borderId="36" applyAlignment="1" pivotButton="0" quotePrefix="0" xfId="20">
      <alignment horizontal="center" vertical="center" wrapText="1"/>
    </xf>
    <xf numFmtId="0" fontId="4" fillId="0" borderId="36" applyAlignment="1" pivotButton="0" quotePrefix="0" xfId="20">
      <alignment horizontal="center" vertical="center"/>
    </xf>
    <xf numFmtId="0" fontId="4" fillId="0" borderId="0" applyAlignment="1" pivotButton="0" quotePrefix="0" xfId="20">
      <alignment horizontal="general" vertical="center"/>
    </xf>
    <xf numFmtId="0" fontId="20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textRotation="90" wrapText="1"/>
    </xf>
    <xf numFmtId="3" fontId="17" fillId="0" borderId="4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general" vertical="bottom" wrapText="1"/>
    </xf>
    <xf numFmtId="0" fontId="42" fillId="0" borderId="4" applyAlignment="1" pivotButton="0" quotePrefix="0" xfId="0">
      <alignment horizontal="center" vertical="center"/>
    </xf>
    <xf numFmtId="1" fontId="42" fillId="0" borderId="4" applyAlignment="1" pivotButton="0" quotePrefix="0" xfId="0">
      <alignment horizontal="center" vertical="center"/>
    </xf>
    <xf numFmtId="3" fontId="42" fillId="0" borderId="4" applyAlignment="1" pivotButton="0" quotePrefix="0" xfId="0">
      <alignment horizontal="center" vertical="center"/>
    </xf>
    <xf numFmtId="0" fontId="42" fillId="0" borderId="4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46" fillId="0" borderId="4" applyAlignment="1" pivotButton="0" quotePrefix="0" xfId="0">
      <alignment horizontal="center" vertical="bottom"/>
    </xf>
    <xf numFmtId="49" fontId="0" fillId="0" borderId="4" applyAlignment="1" pivotButton="0" quotePrefix="0" xfId="0">
      <alignment horizontal="center" vertical="bottom"/>
    </xf>
    <xf numFmtId="4" fontId="0" fillId="0" borderId="4" applyAlignment="1" pivotButton="0" quotePrefix="0" xfId="0">
      <alignment horizontal="center" vertical="bottom"/>
    </xf>
    <xf numFmtId="3" fontId="0" fillId="0" borderId="4" applyAlignment="1" pivotButton="0" quotePrefix="0" xfId="0">
      <alignment horizontal="center" vertical="bottom"/>
    </xf>
    <xf numFmtId="0" fontId="4" fillId="0" borderId="4" applyAlignment="1" pivotButton="0" quotePrefix="0" xfId="20">
      <alignment horizontal="center" vertical="bottom"/>
    </xf>
    <xf numFmtId="3" fontId="0" fillId="0" borderId="4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4" fillId="0" borderId="34" applyAlignment="1" pivotButton="0" quotePrefix="0" xfId="20">
      <alignment horizontal="center" vertical="center" wrapText="1"/>
    </xf>
    <xf numFmtId="0" fontId="4" fillId="0" borderId="34" applyAlignment="1" pivotButton="0" quotePrefix="0" xfId="20">
      <alignment horizontal="center" vertical="center"/>
    </xf>
    <xf numFmtId="0" fontId="4" fillId="0" borderId="34" applyAlignment="1" pivotButton="0" quotePrefix="0" xfId="20">
      <alignment horizontal="left" vertical="center"/>
    </xf>
    <xf numFmtId="0" fontId="26" fillId="0" borderId="4" applyAlignment="1" pivotButton="0" quotePrefix="0" xfId="20">
      <alignment horizontal="left" vertical="center"/>
    </xf>
    <xf numFmtId="0" fontId="26" fillId="0" borderId="0" applyAlignment="1" pivotButton="0" quotePrefix="0" xfId="20">
      <alignment horizontal="left" vertical="center"/>
    </xf>
    <xf numFmtId="0" fontId="4" fillId="0" borderId="4" applyAlignment="1" pivotButton="0" quotePrefix="0" xfId="20">
      <alignment horizontal="left" vertical="center"/>
    </xf>
    <xf numFmtId="0" fontId="4" fillId="0" borderId="0" applyAlignment="1" pivotButton="0" quotePrefix="0" xfId="2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9" fillId="0" borderId="4" applyAlignment="1" pivotButton="0" quotePrefix="0" xfId="0">
      <alignment horizontal="center" vertical="bottom"/>
    </xf>
    <xf numFmtId="0" fontId="24" fillId="0" borderId="4" applyAlignment="1" pivotButton="0" quotePrefix="0" xfId="0">
      <alignment horizontal="left" vertical="bottom"/>
    </xf>
    <xf numFmtId="0" fontId="19" fillId="0" borderId="4" applyAlignment="1" pivotButton="0" quotePrefix="0" xfId="0">
      <alignment horizontal="center" vertical="center"/>
    </xf>
    <xf numFmtId="0" fontId="47" fillId="0" borderId="4" applyAlignment="1" pivotButton="0" quotePrefix="0" xfId="0">
      <alignment horizontal="center" vertical="center"/>
    </xf>
    <xf numFmtId="164" fontId="19" fillId="0" borderId="4" applyAlignment="1" pivotButton="0" quotePrefix="0" xfId="0">
      <alignment horizontal="center" vertical="center"/>
    </xf>
    <xf numFmtId="0" fontId="24" fillId="0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center"/>
    </xf>
    <xf numFmtId="0" fontId="48" fillId="0" borderId="4" applyAlignment="1" pivotButton="0" quotePrefix="0" xfId="0">
      <alignment horizontal="center" vertical="center" wrapText="1"/>
    </xf>
    <xf numFmtId="0" fontId="47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bottom"/>
    </xf>
    <xf numFmtId="0" fontId="49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center"/>
    </xf>
    <xf numFmtId="0" fontId="50" fillId="0" borderId="4" applyAlignment="1" pivotButton="0" quotePrefix="0" xfId="0">
      <alignment horizontal="center" vertical="bottom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7" applyAlignment="1" pivotButton="0" quotePrefix="0" xfId="0">
      <alignment horizontal="general" vertical="center"/>
    </xf>
    <xf numFmtId="0" fontId="50" fillId="0" borderId="25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5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0" fontId="16" fillId="0" borderId="27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4" fillId="0" borderId="25" applyAlignment="1" pivotButton="0" quotePrefix="0" xfId="20">
      <alignment horizontal="general" vertical="center"/>
    </xf>
    <xf numFmtId="0" fontId="4" fillId="0" borderId="27" applyAlignment="1" pivotButton="0" quotePrefix="0" xfId="20">
      <alignment horizontal="general" vertical="center"/>
    </xf>
    <xf numFmtId="0" fontId="4" fillId="0" borderId="26" applyAlignment="1" pivotButton="0" quotePrefix="0" xfId="20">
      <alignment horizontal="general" vertical="center"/>
    </xf>
    <xf numFmtId="0" fontId="19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2" fontId="0" fillId="3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bottom"/>
    </xf>
    <xf numFmtId="0" fontId="0" fillId="0" borderId="39" pivotButton="0" quotePrefix="0" xfId="0"/>
    <xf numFmtId="0" fontId="0" fillId="0" borderId="4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 wrapText="1"/>
    </xf>
    <xf numFmtId="0" fontId="0" fillId="0" borderId="19" pivotButton="0" quotePrefix="0" xfId="0"/>
    <xf numFmtId="0" fontId="0" fillId="0" borderId="41" pivotButton="0" quotePrefix="0" xfId="0"/>
    <xf numFmtId="0" fontId="10" fillId="0" borderId="0" applyAlignment="1" pivotButton="0" quotePrefix="0" xfId="0">
      <alignment horizontal="general" vertical="bottom"/>
    </xf>
    <xf numFmtId="0" fontId="0" fillId="0" borderId="6" pivotButton="0" quotePrefix="0" xfId="0"/>
    <xf numFmtId="0" fontId="0" fillId="0" borderId="7" pivotButton="0" quotePrefix="0" xfId="0"/>
    <xf numFmtId="0" fontId="0" fillId="0" borderId="42" pivotButton="0" quotePrefix="0" xfId="0"/>
    <xf numFmtId="0" fontId="0" fillId="0" borderId="23" pivotButton="0" quotePrefix="0" xfId="0"/>
    <xf numFmtId="0" fontId="0" fillId="0" borderId="43" pivotButton="0" quotePrefix="0" xfId="0"/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bottom"/>
    </xf>
    <xf numFmtId="0" fontId="0" fillId="0" borderId="27" pivotButton="0" quotePrefix="0" xfId="0"/>
    <xf numFmtId="0" fontId="0" fillId="0" borderId="44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0" borderId="20" pivotButton="0" quotePrefix="0" xfId="0"/>
    <xf numFmtId="0" fontId="12" fillId="0" borderId="5" applyAlignment="1" pivotButton="0" quotePrefix="0" xfId="0">
      <alignment horizontal="left" vertical="bottom"/>
    </xf>
    <xf numFmtId="0" fontId="0" fillId="0" borderId="24" pivotButton="0" quotePrefix="0" xfId="0"/>
    <xf numFmtId="0" fontId="0" fillId="0" borderId="22" pivotButton="0" quotePrefix="0" xfId="0"/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3" fillId="0" borderId="8" applyAlignment="1" pivotButton="0" quotePrefix="0" xfId="0">
      <alignment horizontal="center" vertical="bottom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17" pivotButton="0" quotePrefix="0" xfId="0"/>
    <xf numFmtId="0" fontId="14" fillId="0" borderId="12" applyAlignment="1" pivotButton="0" quotePrefix="0" xfId="0">
      <alignment horizontal="center" vertical="bottom"/>
    </xf>
    <xf numFmtId="0" fontId="0" fillId="0" borderId="37" pivotButton="0" quotePrefix="0" xfId="0"/>
    <xf numFmtId="0" fontId="0" fillId="0" borderId="51" pivotButton="0" quotePrefix="0" xfId="0"/>
    <xf numFmtId="0" fontId="0" fillId="0" borderId="13" applyAlignment="1" pivotButton="0" quotePrefix="0" xfId="0">
      <alignment horizontal="center" vertical="bottom"/>
    </xf>
    <xf numFmtId="0" fontId="0" fillId="0" borderId="14" applyAlignment="1" pivotButton="0" quotePrefix="0" xfId="0">
      <alignment horizontal="center" vertical="bottom"/>
    </xf>
    <xf numFmtId="0" fontId="0" fillId="0" borderId="34" pivotButton="0" quotePrefix="0" xfId="0"/>
    <xf numFmtId="0" fontId="0" fillId="0" borderId="53" pivotButton="0" quotePrefix="0" xfId="0"/>
    <xf numFmtId="0" fontId="0" fillId="0" borderId="3" applyAlignment="1" pivotButton="0" quotePrefix="0" xfId="0">
      <alignment horizontal="left" vertical="bottom"/>
    </xf>
    <xf numFmtId="0" fontId="0" fillId="0" borderId="4" applyAlignment="1" pivotButton="0" quotePrefix="0" xfId="0">
      <alignment horizontal="left" vertical="bottom"/>
    </xf>
    <xf numFmtId="165" fontId="0" fillId="0" borderId="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7" applyAlignment="1" pivotButton="0" quotePrefix="0" xfId="0">
      <alignment horizontal="general" vertical="bottom"/>
    </xf>
    <xf numFmtId="0" fontId="16" fillId="0" borderId="6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7" fillId="0" borderId="7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8" fillId="0" borderId="7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left" vertical="bottom" wrapText="1"/>
    </xf>
    <xf numFmtId="0" fontId="18" fillId="0" borderId="7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 vertical="bottom"/>
    </xf>
    <xf numFmtId="166" fontId="24" fillId="0" borderId="0" applyAlignment="1" pivotButton="0" quotePrefix="0" xfId="0">
      <alignment horizontal="left" vertical="bottom" wrapText="1"/>
    </xf>
    <xf numFmtId="0" fontId="18" fillId="0" borderId="0" applyAlignment="1" pivotButton="0" quotePrefix="0" xfId="0">
      <alignment horizontal="right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25" fillId="0" borderId="18" applyAlignment="1" pivotButton="0" quotePrefix="0" xfId="0">
      <alignment horizontal="general" vertical="center"/>
    </xf>
    <xf numFmtId="0" fontId="25" fillId="0" borderId="19" applyAlignment="1" pivotButton="0" quotePrefix="0" xfId="0">
      <alignment horizontal="general" vertical="center"/>
    </xf>
    <xf numFmtId="0" fontId="26" fillId="0" borderId="18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center"/>
    </xf>
    <xf numFmtId="0" fontId="27" fillId="0" borderId="19" applyAlignment="1" pivotButton="0" quotePrefix="0" xfId="0">
      <alignment horizontal="left" vertical="center"/>
    </xf>
    <xf numFmtId="0" fontId="25" fillId="0" borderId="20" applyAlignment="1" pivotButton="0" quotePrefix="0" xfId="0">
      <alignment horizontal="general" vertical="center"/>
    </xf>
    <xf numFmtId="0" fontId="25" fillId="0" borderId="4" applyAlignment="1" pivotButton="0" quotePrefix="0" xfId="0">
      <alignment horizontal="center" vertical="center"/>
    </xf>
    <xf numFmtId="0" fontId="25" fillId="0" borderId="4" applyAlignment="1" applyProtection="1" pivotButton="0" quotePrefix="0" xfId="0">
      <alignment horizontal="center" vertical="center"/>
      <protection locked="0" hidden="0"/>
    </xf>
    <xf numFmtId="165" fontId="25" fillId="0" borderId="4" applyAlignment="1" applyProtection="1" pivotButton="0" quotePrefix="0" xfId="0">
      <alignment horizontal="center" vertical="center"/>
      <protection locked="0" hidden="0"/>
    </xf>
    <xf numFmtId="0" fontId="28" fillId="0" borderId="0" applyAlignment="1" pivotButton="0" quotePrefix="0" xfId="0">
      <alignment horizontal="general" vertical="center"/>
    </xf>
    <xf numFmtId="0" fontId="28" fillId="0" borderId="21" applyAlignment="1" pivotButton="0" quotePrefix="0" xfId="0">
      <alignment horizontal="general" vertical="center"/>
    </xf>
    <xf numFmtId="0" fontId="29" fillId="0" borderId="22" applyAlignment="1" pivotButton="0" quotePrefix="0" xfId="0">
      <alignment horizontal="general" vertical="center"/>
    </xf>
    <xf numFmtId="0" fontId="29" fillId="0" borderId="23" applyAlignment="1" pivotButton="0" quotePrefix="0" xfId="0">
      <alignment horizontal="general" vertical="center"/>
    </xf>
    <xf numFmtId="0" fontId="29" fillId="0" borderId="23" applyAlignment="1" applyProtection="1" pivotButton="0" quotePrefix="0" xfId="0">
      <alignment horizontal="general" vertical="center"/>
      <protection locked="0" hidden="0"/>
    </xf>
    <xf numFmtId="0" fontId="28" fillId="0" borderId="23" applyAlignment="1" applyProtection="1" pivotButton="0" quotePrefix="0" xfId="0">
      <alignment horizontal="general" vertical="center"/>
      <protection locked="0" hidden="0"/>
    </xf>
    <xf numFmtId="0" fontId="28" fillId="0" borderId="24" applyAlignment="1" applyProtection="1" pivotButton="0" quotePrefix="0" xfId="0">
      <alignment horizontal="general" vertical="center"/>
      <protection locked="0" hidden="0"/>
    </xf>
    <xf numFmtId="0" fontId="28" fillId="0" borderId="4" applyAlignment="1" pivotButton="0" quotePrefix="0" xfId="0">
      <alignment horizontal="center" vertical="center"/>
    </xf>
    <xf numFmtId="0" fontId="28" fillId="0" borderId="4" applyAlignment="1" applyProtection="1" pivotButton="0" quotePrefix="0" xfId="0">
      <alignment horizontal="center" vertical="center"/>
      <protection locked="0" hidden="0"/>
    </xf>
    <xf numFmtId="0" fontId="30" fillId="0" borderId="25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bottom"/>
    </xf>
    <xf numFmtId="0" fontId="28" fillId="0" borderId="4" applyAlignment="1" pivotButton="0" quotePrefix="0" xfId="0">
      <alignment horizontal="center" vertical="center" textRotation="90"/>
    </xf>
    <xf numFmtId="0" fontId="28" fillId="0" borderId="4" applyAlignment="1" pivotButton="0" quotePrefix="0" xfId="0">
      <alignment horizontal="center" vertical="center" textRotation="90" wrapText="1"/>
    </xf>
    <xf numFmtId="0" fontId="28" fillId="0" borderId="4" applyAlignment="1" pivotButton="0" quotePrefix="0" xfId="0">
      <alignment horizontal="center" vertical="bottom"/>
    </xf>
    <xf numFmtId="0" fontId="31" fillId="0" borderId="4" applyAlignment="1" pivotButton="0" quotePrefix="0" xfId="0">
      <alignment horizontal="center" vertical="bottom"/>
    </xf>
    <xf numFmtId="0" fontId="28" fillId="0" borderId="0" applyAlignment="1" pivotButton="0" quotePrefix="0" xfId="0">
      <alignment horizontal="center" vertical="center"/>
    </xf>
    <xf numFmtId="0" fontId="33" fillId="0" borderId="4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 wrapText="1"/>
    </xf>
    <xf numFmtId="0" fontId="28" fillId="0" borderId="25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right" vertical="center"/>
      <protection locked="0" hidden="0"/>
    </xf>
    <xf numFmtId="0" fontId="28" fillId="0" borderId="27" applyAlignment="1" applyProtection="1" pivotButton="0" quotePrefix="0" xfId="0">
      <alignment horizontal="center" vertical="center"/>
      <protection locked="0" hidden="0"/>
    </xf>
    <xf numFmtId="0" fontId="34" fillId="0" borderId="27" applyAlignment="1" applyProtection="1" pivotButton="0" quotePrefix="0" xfId="0">
      <alignment horizontal="center" vertical="center"/>
      <protection locked="0" hidden="0"/>
    </xf>
    <xf numFmtId="0" fontId="0" fillId="0" borderId="27" applyProtection="1" pivotButton="0" quotePrefix="0" xfId="0">
      <protection locked="0" hidden="0"/>
    </xf>
    <xf numFmtId="0" fontId="28" fillId="0" borderId="26" applyAlignment="1" applyProtection="1" pivotButton="0" quotePrefix="0" xfId="0">
      <alignment horizontal="general" vertical="center"/>
      <protection locked="0" hidden="0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0" fontId="28" fillId="0" borderId="22" applyAlignment="1" pivotButton="0" quotePrefix="0" xfId="0">
      <alignment horizontal="center" vertical="center"/>
    </xf>
    <xf numFmtId="167" fontId="28" fillId="0" borderId="23" applyAlignment="1" pivotButton="0" quotePrefix="0" xfId="0">
      <alignment horizontal="center" vertical="center"/>
    </xf>
    <xf numFmtId="4" fontId="28" fillId="0" borderId="23" applyAlignment="1" pivotButton="0" quotePrefix="0" xfId="0">
      <alignment horizontal="center" vertical="center"/>
    </xf>
    <xf numFmtId="3" fontId="28" fillId="0" borderId="23" applyAlignment="1" pivotButton="0" quotePrefix="0" xfId="0">
      <alignment horizontal="center" vertical="center"/>
    </xf>
    <xf numFmtId="168" fontId="28" fillId="0" borderId="34" applyAlignment="1" pivotButton="0" quotePrefix="0" xfId="0">
      <alignment horizontal="right" vertical="center"/>
    </xf>
    <xf numFmtId="3" fontId="28" fillId="0" borderId="4" applyAlignment="1" applyProtection="1" pivotButton="0" quotePrefix="0" xfId="0">
      <alignment horizontal="center" vertical="center"/>
      <protection locked="0" hidden="0"/>
    </xf>
    <xf numFmtId="4" fontId="28" fillId="0" borderId="4" applyAlignment="1" pivotButton="0" quotePrefix="0" xfId="0">
      <alignment horizontal="center" vertical="center"/>
    </xf>
    <xf numFmtId="168" fontId="28" fillId="0" borderId="4" applyAlignment="1" pivotButton="0" quotePrefix="0" xfId="0">
      <alignment horizontal="right" vertical="center"/>
    </xf>
    <xf numFmtId="0" fontId="28" fillId="0" borderId="18" applyAlignment="1" pivotButton="0" quotePrefix="0" xfId="0">
      <alignment horizontal="center" vertical="center"/>
    </xf>
    <xf numFmtId="49" fontId="28" fillId="0" borderId="19" applyAlignment="1" pivotButton="0" quotePrefix="0" xfId="0">
      <alignment horizontal="center" vertical="center"/>
    </xf>
    <xf numFmtId="4" fontId="28" fillId="0" borderId="19" applyAlignment="1" pivotButton="0" quotePrefix="0" xfId="0">
      <alignment horizontal="left" vertical="center"/>
    </xf>
    <xf numFmtId="4" fontId="35" fillId="0" borderId="19" applyAlignment="1" pivotButton="0" quotePrefix="0" xfId="0">
      <alignment horizontal="left" vertical="center"/>
    </xf>
    <xf numFmtId="4" fontId="28" fillId="0" borderId="19" applyAlignment="1" pivotButton="0" quotePrefix="0" xfId="0">
      <alignment horizontal="center" vertical="center"/>
    </xf>
    <xf numFmtId="3" fontId="28" fillId="0" borderId="19" applyAlignment="1" pivotButton="0" quotePrefix="0" xfId="0">
      <alignment horizontal="center" vertical="center"/>
    </xf>
    <xf numFmtId="4" fontId="31" fillId="0" borderId="19" applyAlignment="1" pivotButton="0" quotePrefix="0" xfId="0">
      <alignment horizontal="right" vertical="center"/>
    </xf>
    <xf numFmtId="4" fontId="32" fillId="0" borderId="0" applyAlignment="1" pivotButton="0" quotePrefix="0" xfId="0">
      <alignment horizontal="right" vertical="center"/>
    </xf>
    <xf numFmtId="168" fontId="28" fillId="0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 vertical="center"/>
    </xf>
    <xf numFmtId="168" fontId="28" fillId="0" borderId="20" applyAlignment="1" pivotButton="0" quotePrefix="0" xfId="0">
      <alignment horizontal="center" vertical="center"/>
    </xf>
    <xf numFmtId="0" fontId="35" fillId="0" borderId="21" applyAlignment="1" pivotButton="0" quotePrefix="0" xfId="0">
      <alignment horizontal="left" vertical="center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0" applyAlignment="1" pivotButton="0" quotePrefix="0" xfId="0">
      <alignment horizontal="left" vertical="center"/>
    </xf>
    <xf numFmtId="4" fontId="36" fillId="0" borderId="0" applyAlignment="1" pivotButton="0" quotePrefix="0" xfId="0">
      <alignment horizontal="right" vertical="center"/>
    </xf>
    <xf numFmtId="4" fontId="37" fillId="0" borderId="0" applyAlignment="1" pivotButton="0" quotePrefix="0" xfId="0">
      <alignment horizontal="lef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4" fontId="28" fillId="0" borderId="27" applyAlignment="1" pivotButton="0" quotePrefix="0" xfId="0">
      <alignment horizontal="center" vertical="center"/>
    </xf>
    <xf numFmtId="4" fontId="32" fillId="0" borderId="26" applyAlignment="1" pivotButton="0" quotePrefix="0" xfId="0">
      <alignment horizontal="right" vertical="center"/>
    </xf>
    <xf numFmtId="4" fontId="28" fillId="0" borderId="4" applyAlignment="1" applyProtection="1" pivotButton="0" quotePrefix="0" xfId="0">
      <alignment horizontal="center" vertical="center"/>
      <protection locked="0" hidden="0"/>
    </xf>
    <xf numFmtId="0" fontId="28" fillId="0" borderId="21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0" fontId="28" fillId="0" borderId="0" applyAlignment="1" pivotButton="0" quotePrefix="0" xfId="0">
      <alignment horizontal="left" vertical="center"/>
    </xf>
    <xf numFmtId="169" fontId="28" fillId="0" borderId="27" applyAlignment="1" applyProtection="1" pivotButton="0" quotePrefix="0" xfId="0">
      <alignment horizontal="general" vertical="center"/>
      <protection locked="0" hidden="0"/>
    </xf>
    <xf numFmtId="49" fontId="28" fillId="0" borderId="19" applyAlignment="1" pivotButton="0" quotePrefix="0" xfId="0">
      <alignment horizontal="center" vertical="center"/>
    </xf>
    <xf numFmtId="167" fontId="28" fillId="0" borderId="23" applyAlignment="1" pivotButton="0" quotePrefix="0" xfId="0">
      <alignment horizontal="center" vertical="center"/>
    </xf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/>
    </xf>
    <xf numFmtId="0" fontId="4" fillId="0" borderId="4" applyAlignment="1" pivotButton="0" quotePrefix="0" xfId="20">
      <alignment horizontal="center" vertical="center" wrapText="1"/>
    </xf>
    <xf numFmtId="0" fontId="4" fillId="0" borderId="4" applyAlignment="1" pivotButton="0" quotePrefix="0" xfId="20">
      <alignment horizontal="center" vertical="center"/>
    </xf>
    <xf numFmtId="0" fontId="0" fillId="0" borderId="21" pivotButton="0" quotePrefix="0" xfId="0"/>
    <xf numFmtId="0" fontId="0" fillId="0" borderId="35" pivotButton="0" quotePrefix="0" xfId="0"/>
    <xf numFmtId="165" fontId="4" fillId="0" borderId="4" applyAlignment="1" pivotButton="0" quotePrefix="0" xfId="20">
      <alignment horizontal="center" vertical="center"/>
    </xf>
    <xf numFmtId="0" fontId="26" fillId="0" borderId="4" applyAlignment="1" pivotButton="0" quotePrefix="0" xfId="20">
      <alignment horizontal="center" vertical="center" textRotation="90"/>
    </xf>
    <xf numFmtId="0" fontId="4" fillId="0" borderId="4" applyAlignment="1" pivotButton="0" quotePrefix="0" xfId="20">
      <alignment horizontal="center" vertical="center" textRotation="90"/>
    </xf>
    <xf numFmtId="0" fontId="0" fillId="0" borderId="47" pivotButton="0" quotePrefix="0" xfId="0"/>
    <xf numFmtId="0" fontId="39" fillId="0" borderId="4" applyAlignment="1" pivotButton="0" quotePrefix="0" xfId="20">
      <alignment horizontal="center" vertical="center"/>
    </xf>
    <xf numFmtId="0" fontId="40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bottom"/>
    </xf>
    <xf numFmtId="0" fontId="26" fillId="0" borderId="4" applyAlignment="1" pivotButton="0" quotePrefix="0" xfId="20">
      <alignment horizontal="center" vertical="bottom"/>
    </xf>
    <xf numFmtId="49" fontId="4" fillId="0" borderId="4" applyAlignment="1" pivotButton="0" quotePrefix="0" xfId="20">
      <alignment horizontal="center" vertical="bottom"/>
    </xf>
    <xf numFmtId="3" fontId="4" fillId="0" borderId="4" applyAlignment="1" pivotButton="0" quotePrefix="0" xfId="20">
      <alignment horizontal="center" vertical="bottom"/>
    </xf>
    <xf numFmtId="4" fontId="4" fillId="0" borderId="4" applyAlignment="1" pivotButton="0" quotePrefix="0" xfId="20">
      <alignment horizontal="left" vertical="bottom"/>
    </xf>
    <xf numFmtId="0" fontId="4" fillId="0" borderId="4" applyAlignment="1" pivotButton="0" quotePrefix="0" xfId="0">
      <alignment horizontal="center" vertical="bottom"/>
    </xf>
    <xf numFmtId="0" fontId="26" fillId="0" borderId="4" applyAlignment="1" pivotButton="0" quotePrefix="0" xfId="0">
      <alignment horizontal="center" vertical="bottom"/>
    </xf>
    <xf numFmtId="49" fontId="4" fillId="0" borderId="4" applyAlignment="1" pivotButton="0" quotePrefix="0" xfId="0">
      <alignment horizontal="center" vertical="bottom"/>
    </xf>
    <xf numFmtId="3" fontId="4" fillId="0" borderId="4" applyAlignment="1" pivotButton="0" quotePrefix="0" xfId="0">
      <alignment horizontal="center" vertical="bottom"/>
    </xf>
    <xf numFmtId="4" fontId="4" fillId="0" borderId="4" applyAlignment="1" pivotButton="0" quotePrefix="0" xfId="0">
      <alignment horizontal="left" vertical="bottom"/>
    </xf>
    <xf numFmtId="4" fontId="4" fillId="2" borderId="4" applyAlignment="1" pivotButton="0" quotePrefix="0" xfId="0">
      <alignment horizontal="left" vertical="bottom"/>
    </xf>
    <xf numFmtId="0" fontId="4" fillId="2" borderId="4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4" fillId="0" borderId="36" applyAlignment="1" pivotButton="0" quotePrefix="0" xfId="20">
      <alignment horizontal="center" vertical="center" wrapText="1"/>
    </xf>
    <xf numFmtId="0" fontId="4" fillId="0" borderId="36" applyAlignment="1" pivotButton="0" quotePrefix="0" xfId="20">
      <alignment horizontal="center" vertical="center"/>
    </xf>
    <xf numFmtId="0" fontId="4" fillId="0" borderId="0" applyAlignment="1" pivotButton="0" quotePrefix="0" xfId="20">
      <alignment horizontal="general" vertical="center"/>
    </xf>
    <xf numFmtId="0" fontId="20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textRotation="90" wrapText="1"/>
    </xf>
    <xf numFmtId="3" fontId="17" fillId="0" borderId="4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general" vertical="bottom" wrapText="1"/>
    </xf>
    <xf numFmtId="0" fontId="42" fillId="0" borderId="4" applyAlignment="1" pivotButton="0" quotePrefix="0" xfId="0">
      <alignment horizontal="center" vertical="center"/>
    </xf>
    <xf numFmtId="1" fontId="42" fillId="0" borderId="4" applyAlignment="1" pivotButton="0" quotePrefix="0" xfId="0">
      <alignment horizontal="center" vertical="center"/>
    </xf>
    <xf numFmtId="3" fontId="42" fillId="0" borderId="4" applyAlignment="1" pivotButton="0" quotePrefix="0" xfId="0">
      <alignment horizontal="center" vertical="center"/>
    </xf>
    <xf numFmtId="0" fontId="42" fillId="0" borderId="4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46" fillId="0" borderId="4" applyAlignment="1" pivotButton="0" quotePrefix="0" xfId="0">
      <alignment horizontal="center" vertical="bottom"/>
    </xf>
    <xf numFmtId="49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4" fontId="0" fillId="0" borderId="4" applyAlignment="1" pivotButton="0" quotePrefix="0" xfId="0">
      <alignment horizontal="center" vertical="bottom"/>
    </xf>
    <xf numFmtId="3" fontId="0" fillId="0" borderId="4" applyAlignment="1" pivotButton="0" quotePrefix="0" xfId="0">
      <alignment horizontal="center" vertical="bottom"/>
    </xf>
    <xf numFmtId="0" fontId="0" fillId="0" borderId="4" applyAlignment="1" pivotButton="0" quotePrefix="0" xfId="20">
      <alignment horizontal="center" vertical="bottom"/>
    </xf>
    <xf numFmtId="0" fontId="46" fillId="0" borderId="4" applyAlignment="1" pivotButton="0" quotePrefix="0" xfId="20">
      <alignment horizontal="center" vertical="bottom"/>
    </xf>
    <xf numFmtId="49" fontId="0" fillId="0" borderId="4" applyAlignment="1" pivotButton="0" quotePrefix="0" xfId="2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4" fillId="0" borderId="34" applyAlignment="1" pivotButton="0" quotePrefix="0" xfId="20">
      <alignment horizontal="center" vertical="center" wrapText="1"/>
    </xf>
    <xf numFmtId="0" fontId="4" fillId="0" borderId="34" applyAlignment="1" pivotButton="0" quotePrefix="0" xfId="20">
      <alignment horizontal="center" vertical="center"/>
    </xf>
    <xf numFmtId="0" fontId="4" fillId="0" borderId="34" applyAlignment="1" pivotButton="0" quotePrefix="0" xfId="20">
      <alignment horizontal="left" vertical="center"/>
    </xf>
    <xf numFmtId="0" fontId="26" fillId="0" borderId="4" applyAlignment="1" pivotButton="0" quotePrefix="0" xfId="20">
      <alignment horizontal="left" vertical="center"/>
    </xf>
    <xf numFmtId="0" fontId="26" fillId="0" borderId="0" applyAlignment="1" pivotButton="0" quotePrefix="0" xfId="20">
      <alignment horizontal="left" vertical="center"/>
    </xf>
    <xf numFmtId="0" fontId="4" fillId="0" borderId="4" applyAlignment="1" pivotButton="0" quotePrefix="0" xfId="20">
      <alignment horizontal="left" vertical="center"/>
    </xf>
    <xf numFmtId="0" fontId="4" fillId="0" borderId="0" applyAlignment="1" pivotButton="0" quotePrefix="0" xfId="2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bottom"/>
    </xf>
    <xf numFmtId="0" fontId="24" fillId="0" borderId="4" applyAlignment="1" pivotButton="0" quotePrefix="0" xfId="0">
      <alignment horizontal="left" vertical="bottom"/>
    </xf>
    <xf numFmtId="0" fontId="19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164" fontId="19" fillId="0" borderId="4" applyAlignment="1" pivotButton="0" quotePrefix="0" xfId="0">
      <alignment horizontal="center" vertical="center"/>
    </xf>
    <xf numFmtId="0" fontId="24" fillId="0" borderId="4" applyAlignment="1" pivotButton="0" quotePrefix="0" xfId="0">
      <alignment horizontal="general" vertical="bottom"/>
    </xf>
    <xf numFmtId="0" fontId="48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bottom"/>
    </xf>
    <xf numFmtId="0" fontId="49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center"/>
    </xf>
    <xf numFmtId="0" fontId="50" fillId="0" borderId="4" applyAlignment="1" pivotButton="0" quotePrefix="0" xfId="0">
      <alignment horizontal="center" vertical="bottom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7" applyAlignment="1" pivotButton="0" quotePrefix="0" xfId="0">
      <alignment horizontal="general" vertical="center"/>
    </xf>
    <xf numFmtId="0" fontId="0" fillId="6" borderId="4" applyAlignment="1" pivotButton="0" quotePrefix="0" xfId="0">
      <alignment horizontal="center" vertical="center"/>
    </xf>
    <xf numFmtId="0" fontId="5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0" fontId="16" fillId="0" borderId="27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4" fillId="0" borderId="25" applyAlignment="1" pivotButton="0" quotePrefix="0" xfId="20">
      <alignment horizontal="general" vertical="center"/>
    </xf>
    <xf numFmtId="0" fontId="4" fillId="0" borderId="27" applyAlignment="1" pivotButton="0" quotePrefix="0" xfId="20">
      <alignment horizontal="general" vertical="center"/>
    </xf>
    <xf numFmtId="0" fontId="4" fillId="0" borderId="26" applyAlignment="1" pivotButton="0" quotePrefix="0" xfId="20">
      <alignment horizontal="general" vertical="center"/>
    </xf>
    <xf numFmtId="0" fontId="47" fillId="0" borderId="4" applyAlignment="1" pivotButton="0" quotePrefix="0" xfId="0">
      <alignment horizontal="center" vertical="center" wrapText="1"/>
    </xf>
    <xf numFmtId="0" fontId="50" fillId="0" borderId="25" applyAlignment="1" pivotButton="0" quotePrefix="0" xfId="0">
      <alignment horizontal="general" vertical="center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Yüzde 2" xfId="7"/>
  </cellStyles>
  <dxfs count="27"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Users/user/Desktop/dcm/PROJE/MEKAN&#304;K%20HESAPLAR/MEKAN&#304;K%20HESAPLAR%20KOMB&#304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apak"/>
      <sheetName val="TEKNİK RAPOR"/>
      <sheetName val="TEKNİK RAPOR (2)"/>
      <sheetName val="ZEMİN"/>
      <sheetName val="1 NK"/>
      <sheetName val="PETEK LİST"/>
      <sheetName val="TAHHÜTNAME"/>
      <sheetName val="FENNİ MESUL"/>
      <sheetName val="HİDRAFOR HESABI ÜMİT"/>
      <sheetName val="Sayfa1"/>
    </sheetNames>
    <sheetDataSet>
      <sheetData sheetId="0">
        <row r="41">
          <cell r="G41">
            <v>44267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20.99" customWidth="1" style="243" min="1" max="1"/>
    <col width="16.13" customWidth="1" style="243" min="2" max="2"/>
    <col width="14.14" customWidth="1" style="243" min="3" max="3"/>
    <col width="11.7" customWidth="1" style="243" min="4" max="4"/>
    <col width="9.85" customWidth="1" style="243" min="5" max="5"/>
    <col width="10.56" customWidth="1" style="243" min="6" max="6"/>
    <col width="11.13" customWidth="1" style="243" min="7" max="7"/>
    <col width="7.14" customWidth="1" style="243" min="8" max="8"/>
    <col width="10.28" customWidth="1" style="243" min="9" max="9"/>
  </cols>
  <sheetData>
    <row r="1" ht="16.5" customHeight="1" s="244">
      <c r="A1" s="245" t="inlineStr">
        <is>
          <t>P R O J E Y İ   H A Z I R L A Y A N</t>
        </is>
      </c>
      <c r="B1" s="246" t="n"/>
      <c r="C1" s="246" t="n"/>
      <c r="D1" s="246" t="n"/>
      <c r="E1" s="246" t="n"/>
      <c r="F1" s="246" t="n"/>
      <c r="G1" s="246" t="n"/>
      <c r="H1" s="246" t="n"/>
      <c r="I1" s="247" t="n"/>
      <c r="J1" s="248" t="n"/>
    </row>
    <row r="2" ht="26.25" customHeight="1" s="244">
      <c r="A2" s="249" t="inlineStr">
        <is>
          <t xml:space="preserve">ROTAŞ MÜHENDİSLİK.PROJE.MÜŞAVİRLİK.
Mak. Müh. Bayram GENÇ
Semerciler Mah. Sait Faik Sk. No:22/C Z01 Adapazarı/Sakarya
TEL: 0264 272 00 49   rotasmuhendislik@gmail.com
</t>
        </is>
      </c>
      <c r="B2" s="250" t="n"/>
      <c r="C2" s="250" t="n"/>
      <c r="D2" s="250" t="n"/>
      <c r="E2" s="250" t="n"/>
      <c r="F2" s="250" t="n"/>
      <c r="G2" s="250" t="n"/>
      <c r="H2" s="250" t="n"/>
      <c r="I2" s="251" t="n"/>
      <c r="J2" s="252" t="n"/>
    </row>
    <row r="3" ht="26.25" customHeight="1" s="244">
      <c r="A3" s="253" t="n"/>
      <c r="I3" s="254" t="n"/>
      <c r="J3" s="252" t="n"/>
    </row>
    <row r="4" ht="18" customHeight="1" s="244">
      <c r="A4" s="253" t="n"/>
      <c r="I4" s="254" t="n"/>
      <c r="J4" s="252" t="n"/>
    </row>
    <row r="5" ht="26.25" customHeight="1" s="244">
      <c r="A5" s="253" t="n"/>
      <c r="I5" s="254" t="n"/>
      <c r="J5" s="252" t="n"/>
    </row>
    <row r="6" ht="26.25" customHeight="1" s="244">
      <c r="A6" s="253" t="n"/>
      <c r="I6" s="254" t="n"/>
      <c r="J6" s="252" t="n"/>
    </row>
    <row r="7" ht="26.25" customHeight="1" s="244">
      <c r="A7" s="253" t="n"/>
      <c r="I7" s="254" t="n"/>
      <c r="J7" s="252" t="n"/>
    </row>
    <row r="8" ht="26.25" customHeight="1" s="244">
      <c r="A8" s="255" t="n"/>
      <c r="B8" s="256" t="n"/>
      <c r="C8" s="256" t="n"/>
      <c r="D8" s="256" t="n"/>
      <c r="E8" s="256" t="n"/>
      <c r="F8" s="256" t="n"/>
      <c r="G8" s="256" t="n"/>
      <c r="H8" s="256" t="n"/>
      <c r="I8" s="257" t="n"/>
      <c r="J8" s="252" t="n"/>
    </row>
    <row r="9" ht="33.75" customHeight="1" s="244">
      <c r="A9" s="258" t="inlineStr">
        <is>
          <t>ÜNVANI</t>
        </is>
      </c>
      <c r="B9" s="259" t="inlineStr">
        <is>
          <t>Adı Soyadı</t>
        </is>
      </c>
      <c r="C9" s="260" t="n"/>
      <c r="D9" s="261" t="inlineStr">
        <is>
          <t>Oda Sicil No</t>
        </is>
      </c>
      <c r="E9" s="260" t="n"/>
      <c r="F9" s="262" t="inlineStr">
        <is>
          <t>SMM Büro 
Tescil No</t>
        </is>
      </c>
      <c r="G9" s="263" t="inlineStr">
        <is>
          <t>İmza</t>
        </is>
      </c>
      <c r="H9" s="264" t="n"/>
      <c r="I9" s="265" t="n"/>
      <c r="J9" s="252" t="n"/>
      <c r="M9" s="266" t="n"/>
    </row>
    <row r="10" ht="88.5" customHeight="1" s="244">
      <c r="A10" s="267" t="inlineStr">
        <is>
          <t>Makine Mühendisi</t>
        </is>
      </c>
      <c r="B10" s="268" t="inlineStr">
        <is>
          <t>BAYRAM GENÇ</t>
        </is>
      </c>
      <c r="C10" s="260" t="n"/>
      <c r="D10" s="269" t="n"/>
      <c r="E10" s="260" t="n"/>
      <c r="F10" s="269" t="n"/>
      <c r="G10" s="270" t="n"/>
      <c r="H10" s="264" t="n"/>
      <c r="I10" s="265" t="n"/>
    </row>
    <row r="11" ht="27.75" customHeight="1" s="244">
      <c r="A11" s="271" t="inlineStr">
        <is>
          <t>OFİSLER YERDEN ISITMA (MERKEZİ KAZAN DAİRESİ, 45/35 °C) ISI KAYBI VE DEVRE HESAP RAPORU</t>
        </is>
      </c>
      <c r="B11" s="250" t="n"/>
      <c r="C11" s="250" t="n"/>
      <c r="D11" s="250" t="n"/>
      <c r="E11" s="250" t="n"/>
      <c r="F11" s="250" t="n"/>
      <c r="G11" s="250" t="n"/>
      <c r="H11" s="250" t="n"/>
      <c r="I11" s="251" t="n"/>
    </row>
    <row r="12" ht="27.75" customHeight="1" s="244">
      <c r="A12" s="253" t="n"/>
      <c r="I12" s="254" t="n"/>
    </row>
    <row r="13" ht="27.75" customHeight="1" s="244">
      <c r="A13" s="255" t="n"/>
      <c r="B13" s="256" t="n"/>
      <c r="C13" s="256" t="n"/>
      <c r="D13" s="256" t="n"/>
      <c r="E13" s="256" t="n"/>
      <c r="F13" s="256" t="n"/>
      <c r="G13" s="256" t="n"/>
      <c r="H13" s="256" t="n"/>
      <c r="I13" s="257" t="n"/>
    </row>
    <row r="14" ht="12.75" customHeight="1" s="244">
      <c r="A14" s="272" t="inlineStr">
        <is>
          <t xml:space="preserve">  Yapı Denetim Onay</t>
        </is>
      </c>
      <c r="B14" s="250" t="n"/>
      <c r="C14" s="251" t="n"/>
      <c r="D14" s="272" t="inlineStr">
        <is>
          <t>Belediye Onay</t>
        </is>
      </c>
      <c r="E14" s="250" t="n"/>
      <c r="F14" s="250" t="n"/>
      <c r="G14" s="250" t="n"/>
      <c r="H14" s="250" t="n"/>
      <c r="I14" s="251" t="n"/>
    </row>
    <row r="15" ht="12.75" customHeight="1" s="244">
      <c r="A15" s="253" t="n"/>
      <c r="C15" s="254" t="n"/>
      <c r="D15" s="253" t="n"/>
      <c r="I15" s="254" t="n"/>
    </row>
    <row r="16" ht="12.75" customHeight="1" s="244">
      <c r="A16" s="253" t="n"/>
      <c r="C16" s="254" t="n"/>
      <c r="D16" s="253" t="n"/>
      <c r="I16" s="254" t="n"/>
    </row>
    <row r="17" ht="12.75" customHeight="1" s="244">
      <c r="A17" s="253" t="n"/>
      <c r="C17" s="254" t="n"/>
      <c r="D17" s="253" t="n"/>
      <c r="I17" s="254" t="n"/>
    </row>
    <row r="18" ht="12.75" customHeight="1" s="244">
      <c r="A18" s="253" t="n"/>
      <c r="C18" s="254" t="n"/>
      <c r="D18" s="253" t="n"/>
      <c r="I18" s="254" t="n"/>
    </row>
    <row r="19" ht="12.75" customHeight="1" s="244">
      <c r="A19" s="253" t="n"/>
      <c r="C19" s="254" t="n"/>
      <c r="D19" s="253" t="n"/>
      <c r="I19" s="254" t="n"/>
    </row>
    <row r="20" ht="12.75" customHeight="1" s="244">
      <c r="A20" s="253" t="n"/>
      <c r="C20" s="254" t="n"/>
      <c r="D20" s="253" t="n"/>
      <c r="I20" s="254" t="n"/>
    </row>
    <row r="21" ht="12.75" customHeight="1" s="244">
      <c r="A21" s="253" t="n"/>
      <c r="C21" s="254" t="n"/>
      <c r="D21" s="253" t="n"/>
      <c r="I21" s="254" t="n"/>
    </row>
    <row r="22" ht="27.75" customHeight="1" s="244">
      <c r="A22" s="253" t="n"/>
      <c r="C22" s="254" t="n"/>
      <c r="D22" s="253" t="n"/>
      <c r="I22" s="254" t="n"/>
    </row>
    <row r="23" ht="27.75" customHeight="1" s="244">
      <c r="A23" s="253" t="n"/>
      <c r="C23" s="254" t="n"/>
      <c r="D23" s="253" t="n"/>
      <c r="I23" s="254" t="n"/>
    </row>
    <row r="24" ht="27.75" customHeight="1" s="244">
      <c r="A24" s="253" t="n"/>
      <c r="C24" s="254" t="n"/>
      <c r="D24" s="253" t="n"/>
      <c r="I24" s="254" t="n"/>
    </row>
    <row r="25" ht="12.75" customHeight="1" s="244">
      <c r="A25" s="253" t="n"/>
      <c r="C25" s="254" t="n"/>
      <c r="D25" s="253" t="n"/>
      <c r="I25" s="254" t="n"/>
    </row>
    <row r="26" ht="6" customHeight="1" s="244">
      <c r="A26" s="253" t="n"/>
      <c r="C26" s="254" t="n"/>
      <c r="D26" s="253" t="n"/>
      <c r="I26" s="254" t="n"/>
    </row>
    <row r="27" hidden="1" ht="12.75" customHeight="1" s="244">
      <c r="A27" s="253" t="n"/>
      <c r="C27" s="254" t="n"/>
      <c r="D27" s="253" t="n"/>
      <c r="I27" s="254" t="n"/>
    </row>
    <row r="28" hidden="1" ht="12.75" customHeight="1" s="244">
      <c r="A28" s="253" t="n"/>
      <c r="C28" s="254" t="n"/>
      <c r="D28" s="253" t="n"/>
      <c r="I28" s="254" t="n"/>
    </row>
    <row r="29" ht="12.75" customHeight="1" s="244">
      <c r="A29" s="255" t="n"/>
      <c r="B29" s="256" t="n"/>
      <c r="C29" s="257" t="n"/>
      <c r="D29" s="255" t="n"/>
      <c r="E29" s="256" t="n"/>
      <c r="F29" s="256" t="n"/>
      <c r="G29" s="256" t="n"/>
      <c r="H29" s="256" t="n"/>
      <c r="I29" s="257" t="n"/>
    </row>
    <row r="30" ht="15.75" customHeight="1" s="244">
      <c r="A30" s="273" t="inlineStr">
        <is>
          <t>P R O J E Y İ     Y A P T I R A N</t>
        </is>
      </c>
      <c r="B30" s="264" t="n"/>
      <c r="C30" s="264" t="n"/>
      <c r="D30" s="264" t="n"/>
      <c r="E30" s="264" t="n"/>
      <c r="F30" s="264" t="n"/>
      <c r="G30" s="264" t="n"/>
      <c r="H30" s="264" t="n"/>
      <c r="I30" s="265" t="n"/>
    </row>
    <row r="31" ht="12.75" customHeight="1" s="244">
      <c r="A31" s="274" t="inlineStr">
        <is>
          <t>ADI SOYADI/ÜNVANI</t>
        </is>
      </c>
      <c r="B31" s="275" t="n"/>
      <c r="C31" s="276" t="inlineStr">
        <is>
          <t>VOYAP - İŞ MERKEZİ (BODRUM + ZEMİN + 2 KAT, 5 DÜKKÂN + 28 OFİS)</t>
        </is>
      </c>
      <c r="D31" s="250" t="n"/>
      <c r="E31" s="250" t="n"/>
      <c r="F31" s="250" t="n"/>
      <c r="G31" s="250" t="n"/>
      <c r="H31" s="250" t="n"/>
      <c r="I31" s="251" t="n"/>
    </row>
    <row r="32" ht="12.75" customHeight="1" s="244">
      <c r="A32" s="255" t="n"/>
      <c r="B32" s="277" t="n"/>
      <c r="C32" s="278" t="n"/>
      <c r="D32" s="256" t="n"/>
      <c r="E32" s="256" t="n"/>
      <c r="F32" s="256" t="n"/>
      <c r="G32" s="256" t="n"/>
      <c r="H32" s="256" t="n"/>
      <c r="I32" s="257" t="n"/>
    </row>
    <row r="33" ht="12.75" customHeight="1" s="244">
      <c r="A33" s="279" t="n"/>
      <c r="I33" s="280" t="n"/>
    </row>
    <row r="34" ht="15.75" customHeight="1" s="244">
      <c r="A34" s="273" t="inlineStr">
        <is>
          <t>Y A P I N I N   B U L U N D U Ğ U   Y E R</t>
        </is>
      </c>
      <c r="B34" s="264" t="n"/>
      <c r="C34" s="264" t="n"/>
      <c r="D34" s="264" t="n"/>
      <c r="E34" s="264" t="n"/>
      <c r="F34" s="264" t="n"/>
      <c r="G34" s="264" t="n"/>
      <c r="H34" s="264" t="n"/>
      <c r="I34" s="265" t="n"/>
    </row>
    <row r="35" ht="12.75" customHeight="1" s="244">
      <c r="A35" s="281" t="inlineStr">
        <is>
          <t>İl</t>
        </is>
      </c>
      <c r="B35" s="282" t="inlineStr">
        <is>
          <t>İlçe</t>
        </is>
      </c>
      <c r="C35" s="243" t="inlineStr">
        <is>
          <t>Belediye</t>
        </is>
      </c>
      <c r="D35" s="282" t="inlineStr">
        <is>
          <t>Mahalle</t>
        </is>
      </c>
      <c r="E35" s="261" t="inlineStr">
        <is>
          <t>Sok.</t>
        </is>
      </c>
      <c r="F35" s="260" t="n"/>
      <c r="G35" s="282" t="inlineStr">
        <is>
          <t>Pafta</t>
        </is>
      </c>
      <c r="H35" s="282" t="inlineStr">
        <is>
          <t>Ada</t>
        </is>
      </c>
      <c r="I35" s="283" t="inlineStr">
        <is>
          <t>Parsel</t>
        </is>
      </c>
      <c r="K35" s="284" t="n"/>
    </row>
    <row r="36" ht="12.75" customHeight="1" s="244">
      <c r="A36" s="281" t="inlineStr">
        <is>
          <t>DÜZCE</t>
        </is>
      </c>
      <c r="B36" s="282" t="inlineStr">
        <is>
          <t>DÜZCE</t>
        </is>
      </c>
      <c r="C36" s="282">
        <f>B36</f>
        <v/>
      </c>
      <c r="D36" s="282" t="inlineStr">
        <is>
          <t>KAZUKOĞLU</t>
        </is>
      </c>
      <c r="E36" s="261" t="n"/>
      <c r="F36" s="260" t="n"/>
      <c r="G36" s="262" t="inlineStr">
        <is>
          <t xml:space="preserve"> ---</t>
        </is>
      </c>
      <c r="H36" s="282" t="inlineStr">
        <is>
          <t xml:space="preserve"> ---</t>
        </is>
      </c>
      <c r="I36" s="263" t="n">
        <v>982</v>
      </c>
    </row>
    <row r="37" ht="12.75" customHeight="1" s="244">
      <c r="A37" s="279" t="n"/>
      <c r="I37" s="280" t="n"/>
    </row>
    <row r="38" ht="12.75" customHeight="1" s="244">
      <c r="A38" s="285" t="inlineStr">
        <is>
          <t>YAPININ ÖZELLİKLERİ</t>
        </is>
      </c>
      <c r="B38" s="250" t="n"/>
      <c r="C38" s="250" t="n"/>
      <c r="D38" s="250" t="n"/>
      <c r="E38" s="250" t="n"/>
      <c r="F38" s="250" t="n"/>
      <c r="G38" s="250" t="n"/>
      <c r="H38" s="250" t="n"/>
      <c r="I38" s="251" t="n"/>
    </row>
    <row r="39" ht="12.75" customHeight="1" s="244">
      <c r="A39" s="253" t="n"/>
      <c r="I39" s="254" t="n"/>
    </row>
    <row r="40" ht="38.25" customHeight="1" s="244">
      <c r="A40" s="286" t="inlineStr">
        <is>
          <t>Yapının
 Sistemi</t>
        </is>
      </c>
      <c r="B40" s="287" t="inlineStr">
        <is>
          <t>Yapının
Sınıfı</t>
        </is>
      </c>
      <c r="C40" s="287" t="inlineStr">
        <is>
          <t>Toplam
Bağımsız
Bölüm</t>
        </is>
      </c>
      <c r="D40" s="269" t="inlineStr">
        <is>
          <t>Toplam Kat Sayısı</t>
        </is>
      </c>
      <c r="E40" s="260" t="n"/>
      <c r="F40" s="287" t="inlineStr">
        <is>
          <t>Toplam
İnşaat
Alanı m²</t>
        </is>
      </c>
      <c r="G40" s="287" t="inlineStr">
        <is>
          <t>Tarih</t>
        </is>
      </c>
      <c r="H40" s="270" t="inlineStr">
        <is>
          <t>Kullanım Amacı</t>
        </is>
      </c>
      <c r="I40" s="265" t="n"/>
    </row>
    <row r="41" ht="12.75" customHeight="1" s="244">
      <c r="A41" s="288" t="inlineStr">
        <is>
          <t>BETONARME</t>
        </is>
      </c>
      <c r="B41" s="289" t="n"/>
      <c r="C41" s="289" t="n"/>
      <c r="D41" s="290" t="n"/>
      <c r="E41" s="275" t="n"/>
      <c r="F41" s="289" t="n"/>
      <c r="G41" s="291" t="n">
        <v>46308</v>
      </c>
      <c r="H41" s="292" t="inlineStr">
        <is>
          <t>İŞ YERİ (DÜKKÂN + OFİS)</t>
        </is>
      </c>
      <c r="I41" s="251" t="n"/>
    </row>
    <row r="42" ht="13.5" customHeight="1" s="244">
      <c r="A42" s="293" t="n"/>
      <c r="B42" s="294" t="n"/>
      <c r="C42" s="294" t="n"/>
      <c r="D42" s="295" t="n"/>
      <c r="E42" s="296" t="n"/>
      <c r="F42" s="294" t="n"/>
      <c r="G42" s="294" t="n"/>
      <c r="H42" s="295" t="n"/>
      <c r="I42" s="297" t="n"/>
    </row>
    <row r="43" ht="13.5" customHeight="1" s="244"/>
  </sheetData>
  <mergeCells count="27">
    <mergeCell ref="G10:I10"/>
    <mergeCell ref="D10:E10"/>
    <mergeCell ref="D41:E42"/>
    <mergeCell ref="A41:A42"/>
    <mergeCell ref="D40:E40"/>
    <mergeCell ref="A38:I39"/>
    <mergeCell ref="H40:I40"/>
    <mergeCell ref="E35:F35"/>
    <mergeCell ref="C41:C42"/>
    <mergeCell ref="F41:F42"/>
    <mergeCell ref="C31:I32"/>
    <mergeCell ref="A2:I8"/>
    <mergeCell ref="A14:C29"/>
    <mergeCell ref="B10:C10"/>
    <mergeCell ref="A31:B32"/>
    <mergeCell ref="G9:I9"/>
    <mergeCell ref="D14:I29"/>
    <mergeCell ref="E36:F36"/>
    <mergeCell ref="B9:C9"/>
    <mergeCell ref="A34:I34"/>
    <mergeCell ref="D9:E9"/>
    <mergeCell ref="G41:G42"/>
    <mergeCell ref="A30:I30"/>
    <mergeCell ref="H41:I42"/>
    <mergeCell ref="A1:I1"/>
    <mergeCell ref="B41:B42"/>
    <mergeCell ref="A11:I13"/>
  </mergeCells>
  <printOptions horizontalCentered="0" verticalCentered="0" headings="0" gridLines="0" gridLinesSet="1"/>
  <pageMargins left="0.157638888888889" right="0.157638888888889" top="0.479861111111111" bottom="0.15763888888888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N65"/>
  <sheetViews>
    <sheetView showFormulas="0" showGridLines="1" showRowColHeaders="1" showZeros="1" rightToLeft="0" tabSelected="0" showOutlineSymbols="1" defaultGridColor="1" view="normal" topLeftCell="A1" colorId="64" zoomScale="145" zoomScaleNormal="145" zoomScalePageLayoutView="100" workbookViewId="0">
      <selection pane="topLeft" activeCell="F24" activeCellId="0" sqref="F24"/>
    </sheetView>
  </sheetViews>
  <sheetFormatPr baseColWidth="8" defaultColWidth="9.0546875" defaultRowHeight="12.75" zeroHeight="0" outlineLevelRow="0"/>
  <cols>
    <col width="4.99" customWidth="1" style="243" min="1" max="1"/>
    <col width="12.14" customWidth="1" style="243" min="2" max="2"/>
    <col width="10.28" customWidth="1" style="243" min="3" max="4"/>
    <col width="22.85" customWidth="1" style="243" min="6" max="6"/>
    <col width="22.7" customWidth="1" style="243" min="7" max="7"/>
    <col width="14.85" customWidth="1" style="243" min="8" max="8"/>
    <col width="17.56" customWidth="1" style="243" min="9" max="9"/>
  </cols>
  <sheetData>
    <row r="1" ht="12" customHeight="1" s="244">
      <c r="A1" s="298" t="inlineStr">
        <is>
          <t>KALORİFER TESİSATI PROJESİ TEKNİK RAPORU</t>
        </is>
      </c>
      <c r="B1" s="299" t="n"/>
      <c r="C1" s="299" t="n"/>
      <c r="D1" s="299" t="n"/>
      <c r="E1" s="299" t="n"/>
      <c r="F1" s="300" t="n"/>
      <c r="G1" s="301" t="inlineStr">
        <is>
          <t>Sayfa</t>
        </is>
      </c>
      <c r="H1" s="302" t="n">
        <v>1</v>
      </c>
    </row>
    <row r="2" ht="12" customHeight="1" s="244">
      <c r="A2" s="255" t="n"/>
      <c r="B2" s="256" t="n"/>
      <c r="C2" s="256" t="n"/>
      <c r="D2" s="256" t="n"/>
      <c r="E2" s="256" t="n"/>
      <c r="F2" s="277" t="n"/>
      <c r="G2" s="303" t="n"/>
      <c r="H2" s="304" t="n"/>
    </row>
    <row r="3" ht="17.25" customHeight="1" s="244">
      <c r="A3" s="305" t="inlineStr">
        <is>
          <t>Proje Adı              :</t>
        </is>
      </c>
      <c r="B3" s="260" t="n"/>
      <c r="C3" s="306">
        <f>kapak!C31</f>
        <v/>
      </c>
      <c r="D3" s="264" t="n"/>
      <c r="E3" s="264" t="n"/>
      <c r="F3" s="260" t="n"/>
      <c r="G3" s="261" t="inlineStr">
        <is>
          <t>Tarih</t>
        </is>
      </c>
      <c r="H3" s="307">
        <f>kapak!G41</f>
        <v/>
      </c>
    </row>
    <row r="4" ht="17.25" customHeight="1" s="244">
      <c r="A4" s="305" t="inlineStr">
        <is>
          <t>Düzenleyen          :</t>
        </is>
      </c>
      <c r="B4" s="260" t="n"/>
      <c r="C4" s="306">
        <f>kapak!B10</f>
        <v/>
      </c>
      <c r="D4" s="264" t="n"/>
      <c r="E4" s="264" t="n"/>
      <c r="F4" s="260" t="n"/>
      <c r="G4" s="303" t="n"/>
      <c r="H4" s="304" t="n"/>
    </row>
    <row r="5" ht="18" customHeight="1" s="244">
      <c r="A5" s="279" t="n"/>
      <c r="B5" s="308" t="n"/>
      <c r="C5" s="308" t="n"/>
      <c r="D5" s="308" t="n"/>
      <c r="E5" s="308" t="n"/>
      <c r="F5" s="308" t="n"/>
      <c r="G5" s="308" t="n"/>
      <c r="H5" s="309" t="n"/>
      <c r="I5" s="308" t="n"/>
    </row>
    <row r="6" ht="15.75" customHeight="1" s="244">
      <c r="A6" s="310" t="n"/>
      <c r="B6" s="311" t="n"/>
      <c r="C6" s="311" t="n"/>
      <c r="D6" s="311" t="n"/>
      <c r="E6" s="311" t="n"/>
      <c r="F6" s="311" t="n"/>
      <c r="G6" s="311" t="n"/>
      <c r="H6" s="312" t="n"/>
      <c r="I6" s="311" t="n"/>
    </row>
    <row r="7" ht="15" customHeight="1" s="244">
      <c r="A7" s="310" t="inlineStr">
        <is>
          <t>1.1.</t>
        </is>
      </c>
      <c r="B7" s="313" t="inlineStr">
        <is>
          <t>Binanın kalorifer projesi aşağıdaki değerler esas alınarak hazırlanmıştır.</t>
        </is>
      </c>
      <c r="C7" s="313" t="n"/>
      <c r="D7" s="313" t="n"/>
      <c r="E7" s="313" t="n"/>
      <c r="F7" s="313" t="n"/>
      <c r="G7" s="313" t="n"/>
      <c r="H7" s="314" t="n"/>
      <c r="I7" s="313" t="n"/>
    </row>
    <row r="8" ht="15.75" customHeight="1" s="244">
      <c r="A8" s="310" t="n"/>
      <c r="B8" s="315" t="inlineStr">
        <is>
          <t xml:space="preserve">Binanın Yeri </t>
        </is>
      </c>
      <c r="D8" s="313" t="n"/>
      <c r="E8" s="316">
        <f>kapak!B36</f>
        <v/>
      </c>
      <c r="F8" s="313" t="inlineStr">
        <is>
          <t xml:space="preserve">   / DÜZCE</t>
        </is>
      </c>
      <c r="G8" s="313" t="n"/>
      <c r="H8" s="314" t="n"/>
      <c r="I8" s="313" t="n"/>
    </row>
    <row r="9" ht="15.75" customHeight="1" s="244">
      <c r="A9" s="310" t="n"/>
      <c r="B9" s="315" t="inlineStr">
        <is>
          <t xml:space="preserve">Sıcaklık Bölgesi </t>
        </is>
      </c>
      <c r="E9" s="317" t="inlineStr">
        <is>
          <t>:2.Bölge</t>
        </is>
      </c>
      <c r="F9" s="318" t="inlineStr">
        <is>
          <t xml:space="preserve"> -9 Rüzgarlı</t>
        </is>
      </c>
      <c r="G9" s="313" t="n"/>
      <c r="H9" s="314" t="n"/>
      <c r="I9" s="313" t="n"/>
    </row>
    <row r="10" ht="15.75" customHeight="1" s="244">
      <c r="A10" s="310" t="n"/>
      <c r="B10" s="315" t="inlineStr">
        <is>
          <t>Bina Tipi</t>
        </is>
      </c>
      <c r="D10" s="313" t="n"/>
      <c r="E10" s="313" t="inlineStr">
        <is>
          <t>:Konut</t>
        </is>
      </c>
      <c r="F10" s="313" t="n"/>
      <c r="G10" s="313" t="n"/>
      <c r="H10" s="314" t="n"/>
      <c r="I10" s="313" t="n"/>
    </row>
    <row r="11" ht="15.75" customHeight="1" s="244">
      <c r="A11" s="310" t="n"/>
      <c r="B11" s="315" t="inlineStr">
        <is>
          <t>Isıtıcı Cinsi</t>
        </is>
      </c>
      <c r="D11" s="313" t="n"/>
      <c r="E11" s="313" t="inlineStr">
        <is>
          <t>: Merkezi sistem: sığınak içi kazan dairesi, duvar tipi yoğuşmalı kaskad kazanlar (doğalgaz)</t>
        </is>
      </c>
      <c r="F11" s="313" t="n"/>
      <c r="G11" s="313" t="n"/>
      <c r="H11" s="314" t="n"/>
      <c r="I11" s="313" t="n"/>
      <c r="K11" s="319" t="n"/>
      <c r="L11" s="319" t="n"/>
      <c r="M11" s="319" t="n"/>
      <c r="N11" s="319" t="n"/>
    </row>
    <row r="12" ht="15.75" customHeight="1" s="244">
      <c r="A12" s="310" t="n"/>
      <c r="B12" s="315" t="inlineStr">
        <is>
          <t>Kullanılacak Yakıt</t>
        </is>
      </c>
      <c r="D12" s="313" t="n"/>
      <c r="E12" s="313" t="inlineStr">
        <is>
          <t>: Doğalgaz</t>
        </is>
      </c>
      <c r="F12" s="313" t="n"/>
      <c r="G12" s="313" t="n"/>
      <c r="H12" s="314" t="n"/>
      <c r="I12" s="313" t="n"/>
      <c r="K12" s="319" t="n"/>
      <c r="L12" s="319" t="n"/>
      <c r="M12" s="319" t="n"/>
      <c r="N12" s="319" t="n"/>
    </row>
    <row r="13" ht="15.75" customHeight="1" s="244">
      <c r="A13" s="310" t="n"/>
      <c r="B13" s="315" t="inlineStr">
        <is>
          <t>Radyatör Türü / Isıl Verimi</t>
        </is>
      </c>
      <c r="D13" s="313" t="n"/>
      <c r="E13" s="313" t="inlineStr">
        <is>
          <t>: Zeminden ısıtma borusu PEX 16x2,0 / 45-35 °C (3 yollu karışım vanalı ofis devresi)</t>
        </is>
      </c>
      <c r="F13" s="313" t="n"/>
      <c r="G13" s="313" t="n"/>
      <c r="H13" s="314" t="n"/>
      <c r="I13" s="313" t="n"/>
      <c r="K13" s="319" t="n"/>
      <c r="L13" s="319" t="n"/>
      <c r="M13" s="319" t="n"/>
      <c r="N13" s="319" t="n"/>
    </row>
    <row r="14" ht="31.5" customHeight="1" s="244">
      <c r="A14" s="310" t="n"/>
      <c r="B14" s="320" t="inlineStr">
        <is>
          <t>Binanın bulunduğu yerleşim bölgesi</t>
        </is>
      </c>
      <c r="E14" s="313" t="inlineStr">
        <is>
          <t>: Bitişik nizam</t>
        </is>
      </c>
      <c r="F14" s="313" t="n"/>
      <c r="G14" s="313" t="n"/>
      <c r="H14" s="314" t="n"/>
      <c r="I14" s="313" t="n"/>
    </row>
    <row r="15" ht="15.75" customHeight="1" s="244">
      <c r="A15" s="310" t="n"/>
      <c r="B15" s="315" t="inlineStr">
        <is>
          <t>Havalandırma Tipi</t>
        </is>
      </c>
      <c r="D15" s="313" t="n"/>
      <c r="E15" s="313" t="inlineStr">
        <is>
          <t>:Doğal havalandırma</t>
        </is>
      </c>
      <c r="F15" s="313" t="n"/>
      <c r="G15" s="313" t="n"/>
      <c r="H15" s="314" t="n"/>
      <c r="I15" s="313" t="n"/>
    </row>
    <row r="16" ht="15.75" customHeight="1" s="244">
      <c r="A16" s="310" t="n"/>
      <c r="B16" s="315" t="inlineStr">
        <is>
          <t>Bina tanımı</t>
        </is>
      </c>
      <c r="D16" s="313" t="n"/>
      <c r="E16" s="313" t="inlineStr">
        <is>
          <t>: Bodrum + zemin (5 dükkân, radyatör) + 2 normal kat (her katta 14 ofis, yerden ısıtma)</t>
        </is>
      </c>
      <c r="F16" s="313" t="n"/>
      <c r="G16" s="313" t="n"/>
      <c r="H16" s="314" t="n"/>
      <c r="I16" s="313" t="n"/>
    </row>
    <row r="17" ht="15.75" customHeight="1" s="244">
      <c r="A17" s="310" t="n"/>
      <c r="B17" s="315" t="inlineStr">
        <is>
          <t>Radyatör Türü</t>
        </is>
      </c>
      <c r="C17" s="313" t="n"/>
      <c r="D17" s="313" t="n"/>
      <c r="E17" s="313" t="inlineStr">
        <is>
          <t>: Zeminden ısıtma borusu PEX 16x2,0 (oksijen bariyerli)</t>
        </is>
      </c>
      <c r="F17" s="313" t="n"/>
      <c r="G17" s="313" t="n"/>
      <c r="H17" s="314" t="n"/>
      <c r="I17" s="313" t="n"/>
    </row>
    <row r="18" ht="15.75" customHeight="1" s="244">
      <c r="A18" s="310" t="n"/>
      <c r="B18" s="315" t="inlineStr">
        <is>
          <t>Çalışma Sıcaklığı</t>
        </is>
      </c>
      <c r="C18" s="313" t="n"/>
      <c r="D18" s="313" t="n"/>
      <c r="E18" s="317" t="inlineStr">
        <is>
          <t>: 45 - 35 °C</t>
        </is>
      </c>
      <c r="F18" s="313" t="n"/>
      <c r="G18" s="313" t="n"/>
      <c r="H18" s="314" t="n"/>
      <c r="I18" s="313" t="n"/>
    </row>
    <row r="19" ht="15.75" customHeight="1" s="244">
      <c r="A19" s="310" t="n"/>
      <c r="B19" s="315" t="n"/>
      <c r="C19" s="313" t="n"/>
      <c r="D19" s="313" t="n"/>
      <c r="E19" s="313" t="n"/>
      <c r="F19" s="313" t="n"/>
      <c r="G19" s="313" t="n"/>
      <c r="H19" s="314" t="n"/>
      <c r="I19" s="313" t="n"/>
    </row>
    <row r="20" ht="15.75" customHeight="1" s="244">
      <c r="A20" s="310" t="inlineStr">
        <is>
          <t>1.2.</t>
        </is>
      </c>
      <c r="B20" s="315" t="inlineStr">
        <is>
          <t>Mahal Sıcaklıkları :</t>
        </is>
      </c>
      <c r="C20" s="313" t="n"/>
      <c r="D20" s="313" t="n"/>
      <c r="E20" s="313" t="n"/>
      <c r="F20" s="313" t="n"/>
      <c r="G20" s="313" t="n"/>
      <c r="H20" s="314" t="n"/>
      <c r="I20" s="313" t="n"/>
    </row>
    <row r="21" ht="15" customHeight="1" s="244">
      <c r="A21" s="310" t="n"/>
      <c r="B21" s="313" t="inlineStr">
        <is>
          <t>Salon</t>
        </is>
      </c>
      <c r="F21" s="317" t="inlineStr">
        <is>
          <t>: 22°C</t>
        </is>
      </c>
      <c r="H21" s="321" t="n"/>
      <c r="I21" s="313" t="n"/>
    </row>
    <row r="22" ht="15" customHeight="1" s="244">
      <c r="A22" s="310" t="n"/>
      <c r="B22" s="313" t="inlineStr">
        <is>
          <t>Oturma Odası</t>
        </is>
      </c>
      <c r="F22" s="317" t="inlineStr">
        <is>
          <t>: 20°C</t>
        </is>
      </c>
      <c r="H22" s="321" t="n"/>
      <c r="I22" s="313" t="n"/>
    </row>
    <row r="23" ht="15" customHeight="1" s="244">
      <c r="A23" s="310" t="n"/>
      <c r="B23" s="313" t="inlineStr">
        <is>
          <t>Yatak Odası</t>
        </is>
      </c>
      <c r="F23" s="317" t="inlineStr">
        <is>
          <t>: 20°C</t>
        </is>
      </c>
      <c r="H23" s="321" t="n"/>
      <c r="I23" s="313" t="n"/>
    </row>
    <row r="24" ht="15" customHeight="1" s="244">
      <c r="A24" s="310" t="n"/>
      <c r="B24" s="313" t="inlineStr">
        <is>
          <t>Banyo</t>
        </is>
      </c>
      <c r="F24" s="317" t="inlineStr">
        <is>
          <t>: 26°C</t>
        </is>
      </c>
      <c r="H24" s="321" t="n"/>
      <c r="I24" s="313" t="n"/>
    </row>
    <row r="25" ht="15" customHeight="1" s="244">
      <c r="A25" s="310" t="n"/>
      <c r="B25" s="313" t="inlineStr">
        <is>
          <t>Antre</t>
        </is>
      </c>
      <c r="F25" s="317" t="inlineStr">
        <is>
          <t>: 22°C ( ZEMİN KAT ANTRE İLE SALON ARASINDA DUVAR OLMADIĞI</t>
        </is>
      </c>
      <c r="H25" s="321" t="n"/>
      <c r="I25" s="313" t="n"/>
    </row>
    <row r="26" ht="15" customHeight="1" s="244">
      <c r="A26" s="310" t="n"/>
      <c r="B26" s="313" t="n"/>
      <c r="F26" s="322" t="inlineStr">
        <is>
          <t xml:space="preserve">              İÇİN ANTRE SICAKLIĞI HESABA 22 °C OLARAK </t>
        </is>
      </c>
      <c r="H26" s="321" t="n"/>
      <c r="I26" s="313" t="n"/>
    </row>
    <row r="27" ht="15" customHeight="1" s="244">
      <c r="A27" s="310" t="n"/>
      <c r="B27" s="313" t="n"/>
      <c r="F27" s="322" t="inlineStr">
        <is>
          <t xml:space="preserve">              KATILMIŞTIR OLUP SALON, MUTFAK VE ANTRE</t>
        </is>
      </c>
      <c r="H27" s="321" t="n"/>
      <c r="I27" s="313" t="n"/>
    </row>
    <row r="28" ht="15" customHeight="1" s="244">
      <c r="A28" s="310" t="n"/>
      <c r="B28" s="313" t="n"/>
      <c r="F28" s="322" t="inlineStr">
        <is>
          <t xml:space="preserve">              BİRLEŞİK HESAP EDİLMİŞTİR..)</t>
        </is>
      </c>
      <c r="H28" s="321" t="n"/>
      <c r="I28" s="313" t="n"/>
    </row>
    <row r="29" ht="15" customHeight="1" s="244">
      <c r="A29" s="310" t="n"/>
      <c r="B29" s="313" t="inlineStr">
        <is>
          <t xml:space="preserve">Çatı Arası </t>
        </is>
      </c>
      <c r="F29" s="317" t="inlineStr">
        <is>
          <t>:  -3°C (çatı)</t>
        </is>
      </c>
      <c r="H29" s="321" t="n"/>
      <c r="I29" s="313" t="n"/>
    </row>
    <row r="30" ht="15" customHeight="1" s="244">
      <c r="A30" s="310" t="n"/>
      <c r="B30" s="313" t="inlineStr">
        <is>
          <t xml:space="preserve">Toprağa Bitişik Döşeme </t>
        </is>
      </c>
      <c r="F30" s="317" t="inlineStr">
        <is>
          <t>:   6°C</t>
        </is>
      </c>
      <c r="H30" s="321" t="n"/>
      <c r="I30" s="313" t="n"/>
    </row>
    <row r="31" ht="15" customHeight="1" s="244">
      <c r="A31" s="310" t="n"/>
      <c r="B31" s="313" t="inlineStr">
        <is>
          <t>Mutfak</t>
        </is>
      </c>
      <c r="F31" s="317" t="inlineStr">
        <is>
          <t>: 18°C</t>
        </is>
      </c>
      <c r="H31" s="321" t="n"/>
      <c r="I31" s="313" t="n"/>
    </row>
    <row r="32" ht="15" customHeight="1" s="244">
      <c r="A32" s="310" t="n"/>
      <c r="B32" s="313" t="n"/>
      <c r="D32" s="317" t="n"/>
      <c r="E32" s="313" t="n"/>
      <c r="F32" s="313" t="n"/>
      <c r="H32" s="321" t="n"/>
      <c r="I32" s="313" t="n"/>
    </row>
    <row r="33" ht="15.75" customHeight="1" s="244">
      <c r="A33" s="310" t="inlineStr">
        <is>
          <t>1.3.</t>
        </is>
      </c>
      <c r="B33" s="315" t="inlineStr">
        <is>
          <t>Isı İletim Katsayıları:</t>
        </is>
      </c>
      <c r="C33" s="317" t="n"/>
      <c r="D33" s="317" t="n"/>
      <c r="E33" s="313" t="n"/>
      <c r="F33" s="313" t="n"/>
      <c r="G33" s="313" t="n"/>
      <c r="H33" s="314" t="n"/>
      <c r="I33" s="313" t="n"/>
    </row>
    <row r="34" ht="15.75" customHeight="1" s="244">
      <c r="A34" s="310" t="n"/>
      <c r="B34" s="315" t="n"/>
      <c r="C34" s="317" t="n"/>
      <c r="D34" s="317" t="n"/>
      <c r="H34" s="280" t="n"/>
    </row>
    <row r="35" ht="15" customHeight="1" s="244">
      <c r="A35" s="310" t="n"/>
      <c r="B35" s="313" t="inlineStr">
        <is>
          <t>Dış Duvar                                         :</t>
        </is>
      </c>
      <c r="E35" s="243" t="inlineStr">
        <is>
          <t>:</t>
        </is>
      </c>
      <c r="F35" s="317" t="n">
        <v>0.479</v>
      </c>
      <c r="G35" s="323" t="inlineStr">
        <is>
          <t>W/M²k</t>
        </is>
      </c>
      <c r="H35" s="280" t="n"/>
    </row>
    <row r="36" ht="15" customHeight="1" s="244">
      <c r="A36" s="310" t="n"/>
      <c r="B36" s="313" t="inlineStr">
        <is>
          <t>Kiriş 25 cm</t>
        </is>
      </c>
      <c r="E36" s="243" t="inlineStr">
        <is>
          <t>:</t>
        </is>
      </c>
      <c r="F36" s="317" t="n">
        <v>0.577</v>
      </c>
      <c r="G36" s="323" t="inlineStr">
        <is>
          <t>W/M²k</t>
        </is>
      </c>
      <c r="H36" s="280" t="n"/>
    </row>
    <row r="37" ht="15" customHeight="1" s="244">
      <c r="A37" s="310" t="n"/>
      <c r="B37" s="313" t="inlineStr">
        <is>
          <t>Kiriş 30 cm</t>
        </is>
      </c>
      <c r="E37" s="243" t="inlineStr">
        <is>
          <t>:</t>
        </is>
      </c>
      <c r="F37" s="317" t="n">
        <v>0.577</v>
      </c>
      <c r="G37" s="323" t="inlineStr">
        <is>
          <t>W/M²k</t>
        </is>
      </c>
      <c r="H37" s="280" t="n"/>
    </row>
    <row r="38" ht="15" customHeight="1" s="244">
      <c r="A38" s="310" t="n"/>
      <c r="B38" s="313" t="inlineStr">
        <is>
          <t>Kapı                                                  :</t>
        </is>
      </c>
      <c r="E38" s="243" t="inlineStr">
        <is>
          <t>:</t>
        </is>
      </c>
      <c r="F38" s="317" t="n">
        <v>3.5</v>
      </c>
      <c r="G38" s="323" t="inlineStr">
        <is>
          <t>W/M²k</t>
        </is>
      </c>
      <c r="H38" s="280" t="n"/>
    </row>
    <row r="39" ht="15" customHeight="1" s="244">
      <c r="A39" s="310" t="n"/>
      <c r="B39" s="313" t="inlineStr">
        <is>
          <t>Pencere                                           :</t>
        </is>
      </c>
      <c r="E39" s="243" t="inlineStr">
        <is>
          <t>:</t>
        </is>
      </c>
      <c r="F39" s="317" t="n">
        <v>2.4</v>
      </c>
      <c r="G39" s="323" t="inlineStr">
        <is>
          <t>W/M²k</t>
        </is>
      </c>
      <c r="H39" s="280" t="n"/>
    </row>
    <row r="40" ht="15" customHeight="1" s="244">
      <c r="A40" s="310" t="n"/>
      <c r="B40" s="313" t="inlineStr">
        <is>
          <t>Döşeme      ara                              :</t>
        </is>
      </c>
      <c r="E40" s="243" t="inlineStr">
        <is>
          <t>:</t>
        </is>
      </c>
      <c r="F40" s="317" t="n">
        <v>0.5610000000000001</v>
      </c>
      <c r="G40" s="323" t="inlineStr">
        <is>
          <t>W/M²k</t>
        </is>
      </c>
      <c r="H40" s="280" t="n"/>
    </row>
    <row r="41" ht="15" customHeight="1" s="244">
      <c r="A41" s="310" t="n"/>
      <c r="B41" s="313" t="inlineStr">
        <is>
          <t xml:space="preserve">Merdiven Duvarı </t>
        </is>
      </c>
      <c r="E41" s="243" t="inlineStr">
        <is>
          <t>:</t>
        </is>
      </c>
      <c r="F41" s="317" t="n">
        <v>0</v>
      </c>
      <c r="G41" s="323" t="inlineStr">
        <is>
          <t>W/M²k</t>
        </is>
      </c>
      <c r="H41" s="280" t="n"/>
    </row>
    <row r="42" ht="15" customHeight="1" s="244">
      <c r="A42" s="310" t="n"/>
      <c r="B42" s="313" t="inlineStr">
        <is>
          <t xml:space="preserve">Merdiven Kiriş-kolon </t>
        </is>
      </c>
      <c r="E42" s="243" t="inlineStr">
        <is>
          <t>:</t>
        </is>
      </c>
      <c r="F42" s="317" t="n">
        <v>0</v>
      </c>
      <c r="G42" s="323" t="inlineStr">
        <is>
          <t>W/M²k</t>
        </is>
      </c>
      <c r="H42" s="280" t="n"/>
    </row>
    <row r="43" ht="15" customHeight="1" s="244">
      <c r="A43" s="310" t="n"/>
      <c r="B43" s="313" t="inlineStr">
        <is>
          <t xml:space="preserve">Döşeme  </t>
        </is>
      </c>
      <c r="E43" s="243" t="inlineStr">
        <is>
          <t>:</t>
        </is>
      </c>
      <c r="F43" s="317" t="n">
        <v>0.269</v>
      </c>
      <c r="G43" s="323" t="inlineStr">
        <is>
          <t>W/M²k</t>
        </is>
      </c>
      <c r="H43" s="280" t="n"/>
    </row>
    <row r="44" ht="15" customHeight="1" s="244">
      <c r="A44" s="310" t="n"/>
      <c r="B44" s="313" t="inlineStr">
        <is>
          <t>Tavan                                               :</t>
        </is>
      </c>
      <c r="E44" s="243" t="inlineStr">
        <is>
          <t>:</t>
        </is>
      </c>
      <c r="F44" s="317" t="n">
        <v>0.318</v>
      </c>
      <c r="G44" s="323" t="inlineStr">
        <is>
          <t>W/M²k</t>
        </is>
      </c>
      <c r="H44" s="280" t="n"/>
    </row>
    <row r="45" ht="15" customHeight="1" s="244">
      <c r="A45" s="310" t="n"/>
      <c r="B45" s="313" t="inlineStr">
        <is>
          <t>Döşeme  Açık Geçit</t>
        </is>
      </c>
      <c r="E45" s="243" t="inlineStr">
        <is>
          <t>:</t>
        </is>
      </c>
      <c r="F45" s="317" t="n">
        <v>0.327</v>
      </c>
      <c r="G45" s="323" t="inlineStr">
        <is>
          <t>W/M²k</t>
        </is>
      </c>
      <c r="H45" s="280" t="n"/>
    </row>
    <row r="46" ht="15" customHeight="1" s="244">
      <c r="A46" s="310" t="n"/>
      <c r="B46" s="313" t="inlineStr">
        <is>
          <t>Bağımsız bölüm</t>
        </is>
      </c>
      <c r="C46" s="324" t="n"/>
      <c r="D46" s="323" t="n"/>
      <c r="E46" s="243" t="inlineStr">
        <is>
          <t>:</t>
        </is>
      </c>
      <c r="F46" s="317" t="n">
        <v>0</v>
      </c>
      <c r="G46" s="323" t="inlineStr">
        <is>
          <t>W/M²k</t>
        </is>
      </c>
      <c r="H46" s="280" t="n"/>
    </row>
    <row r="47" ht="15" customHeight="1" s="244">
      <c r="A47" s="310" t="n"/>
      <c r="B47" s="313" t="inlineStr">
        <is>
          <t>Bağımsız bölüm kolon kiriş</t>
        </is>
      </c>
      <c r="C47" s="324" t="n"/>
      <c r="D47" s="323" t="n"/>
      <c r="E47" s="243" t="inlineStr">
        <is>
          <t>:</t>
        </is>
      </c>
      <c r="F47" s="317" t="n">
        <v>0</v>
      </c>
      <c r="G47" s="323" t="inlineStr">
        <is>
          <t>W/M²k</t>
        </is>
      </c>
      <c r="H47" s="280" t="n"/>
    </row>
    <row r="48" ht="15" customHeight="1" s="244">
      <c r="A48" s="310" t="n"/>
      <c r="B48" s="313" t="inlineStr">
        <is>
          <t>İç Duvar</t>
        </is>
      </c>
      <c r="C48" s="324" t="n"/>
      <c r="D48" s="323" t="n"/>
      <c r="E48" s="243" t="inlineStr">
        <is>
          <t>:</t>
        </is>
      </c>
      <c r="F48" s="317" t="n">
        <v>0.8139999999999999</v>
      </c>
      <c r="G48" s="323" t="inlineStr">
        <is>
          <t>W/M²k</t>
        </is>
      </c>
      <c r="H48" s="280" t="n"/>
    </row>
    <row r="49" ht="15.75" customHeight="1" s="244">
      <c r="A49" s="310" t="n"/>
      <c r="B49" s="315" t="inlineStr">
        <is>
          <t>Kullanılan Kısaltmalar:</t>
        </is>
      </c>
      <c r="D49" s="323" t="n"/>
      <c r="H49" s="280" t="n"/>
    </row>
    <row r="50" ht="15" customHeight="1" s="244">
      <c r="A50" s="310" t="n"/>
      <c r="B50" s="313" t="inlineStr">
        <is>
          <t>Dış Duvar</t>
        </is>
      </c>
      <c r="D50" s="323" t="n"/>
      <c r="E50" s="317" t="inlineStr">
        <is>
          <t>:DD</t>
        </is>
      </c>
      <c r="H50" s="280" t="n"/>
    </row>
    <row r="51" ht="15" customHeight="1" s="244">
      <c r="A51" s="310" t="n"/>
      <c r="B51" s="313" t="inlineStr">
        <is>
          <t>Pencere</t>
        </is>
      </c>
      <c r="D51" s="323" t="n"/>
      <c r="E51" s="317" t="inlineStr">
        <is>
          <t>:ÇP</t>
        </is>
      </c>
      <c r="H51" s="280" t="n"/>
    </row>
    <row r="52" ht="15" customHeight="1" s="244">
      <c r="A52" s="310" t="n"/>
      <c r="B52" s="313" t="inlineStr">
        <is>
          <t>İç Kapı</t>
        </is>
      </c>
      <c r="E52" s="317" t="inlineStr">
        <is>
          <t>:İK</t>
        </is>
      </c>
      <c r="H52" s="280" t="n"/>
    </row>
    <row r="53" ht="15" customHeight="1" s="244">
      <c r="A53" s="310" t="n"/>
      <c r="B53" s="313" t="inlineStr">
        <is>
          <t>Dış Kapı</t>
        </is>
      </c>
      <c r="E53" s="317" t="inlineStr">
        <is>
          <t>:DK</t>
        </is>
      </c>
      <c r="H53" s="280" t="n"/>
    </row>
    <row r="54" ht="15" customHeight="1" s="244">
      <c r="A54" s="310" t="n"/>
      <c r="B54" s="313" t="inlineStr">
        <is>
          <t>Balkon Kapısı</t>
        </is>
      </c>
      <c r="E54" s="317" t="inlineStr">
        <is>
          <t>:BK</t>
        </is>
      </c>
      <c r="H54" s="280" t="n"/>
    </row>
    <row r="55" ht="15" customHeight="1" s="244">
      <c r="A55" s="310" t="n"/>
      <c r="B55" s="313" t="inlineStr">
        <is>
          <t>Döşeme</t>
        </is>
      </c>
      <c r="E55" s="317" t="inlineStr">
        <is>
          <t>:Dö</t>
        </is>
      </c>
      <c r="H55" s="280" t="n"/>
    </row>
    <row r="56" ht="15" customHeight="1" s="244">
      <c r="A56" s="310" t="n"/>
      <c r="B56" s="313" t="inlineStr">
        <is>
          <t>Tavan</t>
        </is>
      </c>
      <c r="E56" s="317" t="inlineStr">
        <is>
          <t>:Ta</t>
        </is>
      </c>
      <c r="H56" s="280" t="n"/>
    </row>
    <row r="57" ht="15" customHeight="1" s="244">
      <c r="A57" s="310" t="n"/>
      <c r="B57" s="313" t="inlineStr">
        <is>
          <t>Dükkan</t>
        </is>
      </c>
      <c r="E57" s="317" t="inlineStr">
        <is>
          <t>:DÜK</t>
        </is>
      </c>
      <c r="H57" s="280" t="n"/>
    </row>
    <row r="58" ht="15" customHeight="1" s="244">
      <c r="A58" s="310" t="n"/>
      <c r="B58" s="313" t="inlineStr">
        <is>
          <t>Bodrum</t>
        </is>
      </c>
      <c r="E58" s="317" t="inlineStr">
        <is>
          <t>:B</t>
        </is>
      </c>
      <c r="H58" s="280" t="n"/>
    </row>
    <row r="59" ht="15" customHeight="1" s="244">
      <c r="A59" s="310" t="n"/>
      <c r="B59" s="313" t="inlineStr">
        <is>
          <t xml:space="preserve">Sürgülü  kapı                                </t>
        </is>
      </c>
      <c r="E59" s="317" t="inlineStr">
        <is>
          <t>:SK</t>
        </is>
      </c>
      <c r="H59" s="280" t="n"/>
    </row>
    <row r="60" ht="15" customHeight="1" s="244">
      <c r="A60" s="310" t="n"/>
      <c r="B60" s="313" t="inlineStr">
        <is>
          <t>Kiriş - Kolon</t>
        </is>
      </c>
      <c r="E60" s="317" t="inlineStr">
        <is>
          <t>: DD2</t>
        </is>
      </c>
      <c r="H60" s="280" t="n"/>
    </row>
    <row r="61" ht="15" customHeight="1" s="244">
      <c r="A61" s="310" t="n"/>
      <c r="B61" s="313" t="inlineStr">
        <is>
          <t>İç Taban</t>
        </is>
      </c>
      <c r="E61" s="317" t="inlineStr">
        <is>
          <t>:Dö</t>
        </is>
      </c>
      <c r="H61" s="280" t="n"/>
    </row>
    <row r="62" ht="15" customHeight="1" s="244">
      <c r="A62" s="310" t="n"/>
      <c r="B62" s="313" t="inlineStr">
        <is>
          <t>İç Duvar</t>
        </is>
      </c>
      <c r="E62" s="317" t="inlineStr">
        <is>
          <t>: İD</t>
        </is>
      </c>
      <c r="H62" s="280" t="n"/>
    </row>
    <row r="63" ht="15" customHeight="1" s="244">
      <c r="A63" s="279" t="n"/>
      <c r="B63" s="313" t="inlineStr">
        <is>
          <t xml:space="preserve">Merdiven Duvarı </t>
        </is>
      </c>
      <c r="E63" s="317" t="inlineStr">
        <is>
          <t>: İDM</t>
        </is>
      </c>
      <c r="H63" s="280" t="n"/>
    </row>
    <row r="64" ht="15" customHeight="1" s="244">
      <c r="A64" s="279" t="n"/>
      <c r="B64" s="313" t="inlineStr">
        <is>
          <t xml:space="preserve">Merdiven Kiriş-kolon </t>
        </is>
      </c>
      <c r="E64" s="317" t="inlineStr">
        <is>
          <t>: İDMK</t>
        </is>
      </c>
      <c r="H64" s="280" t="n"/>
    </row>
    <row r="65" ht="13.5" customHeight="1" s="244">
      <c r="A65" s="325" t="n"/>
      <c r="B65" s="326" t="n"/>
      <c r="C65" s="326" t="n"/>
      <c r="D65" s="326" t="n"/>
      <c r="E65" s="326" t="n"/>
      <c r="F65" s="326" t="n"/>
      <c r="G65" s="326" t="n"/>
      <c r="H65" s="327" t="n"/>
    </row>
    <row r="66" ht="13.5" customHeight="1" s="244"/>
  </sheetData>
  <mergeCells count="10">
    <mergeCell ref="A4:B4"/>
    <mergeCell ref="B14:D14"/>
    <mergeCell ref="C3:F3"/>
    <mergeCell ref="C4:F4"/>
    <mergeCell ref="G3:G4"/>
    <mergeCell ref="A1:F2"/>
    <mergeCell ref="H3:H4"/>
    <mergeCell ref="G1:G2"/>
    <mergeCell ref="H1:H2"/>
    <mergeCell ref="A3:B3"/>
  </mergeCells>
  <printOptions horizontalCentered="1" verticalCentered="0" headings="0" gridLines="0" gridLinesSet="1"/>
  <pageMargins left="0.309722222222222" right="0.3" top="0.590277777777778" bottom="0.19652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Q511"/>
  <sheetViews>
    <sheetView showFormulas="0" showGridLines="1" showRowColHeaders="1" showZeros="1" rightToLeft="0" tabSelected="0" showOutlineSymbols="1" defaultGridColor="1" view="normal" topLeftCell="A7" colorId="64" zoomScale="145" zoomScaleNormal="145" zoomScalePageLayoutView="100" workbookViewId="0">
      <selection pane="topLeft" activeCell="H18" activeCellId="0" sqref="H18"/>
    </sheetView>
  </sheetViews>
  <sheetFormatPr baseColWidth="8" defaultColWidth="6.84765625" defaultRowHeight="11.25" zeroHeight="0" outlineLevelRow="0"/>
  <cols>
    <col width="7.28" customWidth="1" style="328" min="1" max="1"/>
    <col width="3.85" customWidth="1" style="328" min="2" max="3"/>
    <col width="5.56" customWidth="1" style="328" min="4" max="4"/>
    <col width="6.13" customWidth="1" style="328" min="5" max="5"/>
    <col width="5.56" customWidth="1" style="328" min="6" max="7"/>
    <col width="6.56" customWidth="1" style="328" min="8" max="9"/>
    <col width="6.41" customWidth="1" style="328" min="10" max="10"/>
    <col width="6.13" customWidth="1" style="328" min="11" max="11"/>
    <col width="7.28" customWidth="1" style="328" min="12" max="12"/>
    <col width="5.56" customWidth="1" style="328" min="13" max="16"/>
    <col width="8.279999999999999" customWidth="1" style="328" min="17" max="17"/>
    <col width="6.85" customWidth="1" style="328" min="18" max="257"/>
  </cols>
  <sheetData>
    <row r="1" ht="9.75" customFormat="1" customHeight="1" s="329">
      <c r="A1" s="330" t="n"/>
      <c r="B1" s="331" t="n"/>
      <c r="C1" s="331" t="n"/>
      <c r="D1" s="331" t="n"/>
      <c r="E1" s="331" t="n"/>
      <c r="F1" s="332" t="n"/>
      <c r="G1" s="333" t="n"/>
      <c r="H1" s="334" t="inlineStr">
        <is>
          <t>ISI  KAYBI  HESABI</t>
        </is>
      </c>
      <c r="I1" s="333" t="n"/>
      <c r="J1" s="333" t="n"/>
      <c r="K1" s="331" t="n"/>
      <c r="L1" s="335" t="n"/>
      <c r="M1" s="331" t="n"/>
      <c r="N1" s="336" t="inlineStr">
        <is>
          <t>Kat :</t>
        </is>
      </c>
      <c r="O1" s="337" t="inlineStr">
        <is>
          <t>1. KAT OFİSLER</t>
        </is>
      </c>
      <c r="P1" s="337" t="inlineStr">
        <is>
          <t>Tarih</t>
        </is>
      </c>
      <c r="Q1" s="338">
        <f>kapak!G41</f>
        <v/>
      </c>
    </row>
    <row r="2" ht="10.5" customFormat="1" customHeight="1" s="339">
      <c r="A2" s="340" t="n"/>
      <c r="F2" s="341" t="inlineStr">
        <is>
          <t xml:space="preserve">   PROJE ADI :</t>
        </is>
      </c>
      <c r="G2" s="342" t="n"/>
      <c r="H2" s="343">
        <f>kapak!C31</f>
        <v/>
      </c>
      <c r="I2" s="343" t="n"/>
      <c r="J2" s="343" t="n"/>
      <c r="K2" s="344" t="n"/>
      <c r="L2" s="345" t="n"/>
      <c r="N2" s="346" t="inlineStr">
        <is>
          <t xml:space="preserve">  Sayfa :</t>
        </is>
      </c>
      <c r="O2" s="347" t="n">
        <v>3</v>
      </c>
      <c r="P2" s="347" t="n"/>
      <c r="Q2" s="347" t="n"/>
    </row>
    <row r="3" ht="8.25" customFormat="1" customHeight="1" s="339">
      <c r="A3" s="348" t="inlineStr">
        <is>
          <t xml:space="preserve"> Yapı Bileşeni</t>
        </is>
      </c>
      <c r="B3" s="264" t="n"/>
      <c r="C3" s="264" t="n"/>
      <c r="D3" s="264" t="n"/>
      <c r="E3" s="349" t="inlineStr">
        <is>
          <t xml:space="preserve"> Alan Hesabı</t>
        </is>
      </c>
      <c r="F3" s="264" t="n"/>
      <c r="G3" s="264" t="n"/>
      <c r="H3" s="260" t="n"/>
      <c r="I3" s="350" t="inlineStr">
        <is>
          <t xml:space="preserve">                 Isı kaybı hesabı</t>
        </is>
      </c>
      <c r="J3" s="264" t="n"/>
      <c r="K3" s="264" t="n"/>
      <c r="L3" s="260" t="n"/>
      <c r="M3" s="350" t="inlineStr">
        <is>
          <t xml:space="preserve">            Zamlar</t>
        </is>
      </c>
      <c r="N3" s="264" t="n"/>
      <c r="O3" s="264" t="n"/>
      <c r="P3" s="260" t="n"/>
      <c r="Q3" s="350" t="inlineStr">
        <is>
          <t xml:space="preserve">Toplam </t>
        </is>
      </c>
    </row>
    <row r="4" ht="31.5" customFormat="1" customHeight="1" s="351">
      <c r="A4" s="352" t="inlineStr">
        <is>
          <t>İşaret</t>
        </is>
      </c>
      <c r="B4" s="352" t="inlineStr">
        <is>
          <t>Yön</t>
        </is>
      </c>
      <c r="C4" s="352" t="inlineStr">
        <is>
          <t>Kalınlık</t>
        </is>
      </c>
      <c r="D4" s="352" t="inlineStr">
        <is>
          <t>Uzunluk</t>
        </is>
      </c>
      <c r="E4" s="352" t="inlineStr">
        <is>
          <t>Yükseklik</t>
        </is>
      </c>
      <c r="F4" s="353" t="inlineStr">
        <is>
          <t xml:space="preserve">  Toplam Alan</t>
        </is>
      </c>
      <c r="G4" s="352" t="inlineStr">
        <is>
          <t>Miktar</t>
        </is>
      </c>
      <c r="H4" s="353" t="inlineStr">
        <is>
          <t>Çıkarıla alan</t>
        </is>
      </c>
      <c r="I4" s="353" t="inlineStr">
        <is>
          <t>Hesaba giren Alan</t>
        </is>
      </c>
      <c r="J4" s="353" t="inlineStr">
        <is>
          <t xml:space="preserve">    Isı İletim Katsayısı</t>
        </is>
      </c>
      <c r="K4" s="353" t="inlineStr">
        <is>
          <t xml:space="preserve">Sıcaklık Farkı </t>
        </is>
      </c>
      <c r="L4" s="353" t="inlineStr">
        <is>
          <t>Zamsız Isı Kaybı</t>
        </is>
      </c>
      <c r="M4" s="352" t="inlineStr">
        <is>
          <t>İşletme</t>
        </is>
      </c>
      <c r="N4" s="352" t="inlineStr">
        <is>
          <t>Kat Yük.</t>
        </is>
      </c>
      <c r="O4" s="352" t="inlineStr">
        <is>
          <t>Yön</t>
        </is>
      </c>
      <c r="P4" s="352" t="inlineStr">
        <is>
          <t>Toplam</t>
        </is>
      </c>
      <c r="Q4" s="353" t="inlineStr">
        <is>
          <t>Toplam Is
ı İhtiyacı</t>
        </is>
      </c>
    </row>
    <row r="5" ht="9.75" customFormat="1" customHeight="1" s="351">
      <c r="A5" s="354" t="n"/>
      <c r="B5" s="354" t="n"/>
      <c r="C5" s="354" t="n"/>
      <c r="D5" s="354" t="n"/>
      <c r="E5" s="354" t="n"/>
      <c r="F5" s="354" t="inlineStr">
        <is>
          <t>[Ao]</t>
        </is>
      </c>
      <c r="G5" s="354" t="n"/>
      <c r="H5" s="354" t="n"/>
      <c r="I5" s="354" t="inlineStr">
        <is>
          <t>[A]</t>
        </is>
      </c>
      <c r="J5" s="354" t="inlineStr">
        <is>
          <t>[k]</t>
        </is>
      </c>
      <c r="K5" s="355" t="inlineStr">
        <is>
          <t>D T</t>
        </is>
      </c>
      <c r="L5" s="354" t="inlineStr">
        <is>
          <t>Qo</t>
        </is>
      </c>
      <c r="M5" s="354" t="inlineStr">
        <is>
          <t>ZD</t>
        </is>
      </c>
      <c r="N5" s="354" t="inlineStr">
        <is>
          <t>ZW</t>
        </is>
      </c>
      <c r="O5" s="354" t="inlineStr">
        <is>
          <t>ZH</t>
        </is>
      </c>
      <c r="P5" s="354" t="inlineStr">
        <is>
          <t>Z</t>
        </is>
      </c>
      <c r="Q5" s="354" t="inlineStr">
        <is>
          <t>Qh=Qi+Qs</t>
        </is>
      </c>
    </row>
    <row r="6" ht="15.75" customFormat="1" customHeight="1" s="356">
      <c r="A6" s="346" t="n"/>
      <c r="B6" s="346" t="n"/>
      <c r="C6" s="346" t="inlineStr">
        <is>
          <t>cm</t>
        </is>
      </c>
      <c r="D6" s="346" t="inlineStr">
        <is>
          <t>m</t>
        </is>
      </c>
      <c r="E6" s="346" t="inlineStr">
        <is>
          <t>m</t>
        </is>
      </c>
      <c r="F6" s="346" t="inlineStr">
        <is>
          <t>m²</t>
        </is>
      </c>
      <c r="G6" s="346" t="inlineStr">
        <is>
          <t>ad</t>
        </is>
      </c>
      <c r="H6" s="346" t="inlineStr">
        <is>
          <t>m²</t>
        </is>
      </c>
      <c r="I6" s="346" t="inlineStr">
        <is>
          <t>m²</t>
        </is>
      </c>
      <c r="J6" s="357" t="inlineStr">
        <is>
          <t>watt  m²hºC</t>
        </is>
      </c>
      <c r="K6" s="346" t="inlineStr">
        <is>
          <t>ºC</t>
        </is>
      </c>
      <c r="L6" s="358" t="inlineStr">
        <is>
          <t>watt</t>
        </is>
      </c>
      <c r="M6" s="346" t="inlineStr">
        <is>
          <t>%</t>
        </is>
      </c>
      <c r="N6" s="346" t="inlineStr">
        <is>
          <t>%</t>
        </is>
      </c>
      <c r="O6" s="346" t="inlineStr">
        <is>
          <t>%</t>
        </is>
      </c>
      <c r="P6" s="346" t="inlineStr">
        <is>
          <t>1+%</t>
        </is>
      </c>
      <c r="Q6" s="358" t="inlineStr">
        <is>
          <t>watt</t>
        </is>
      </c>
    </row>
    <row r="7" ht="9.75" customFormat="1" customHeight="1" s="356">
      <c r="A7" s="346" t="n">
        <v>1</v>
      </c>
      <c r="B7" s="346" t="n">
        <v>2</v>
      </c>
      <c r="C7" s="346" t="n">
        <v>3</v>
      </c>
      <c r="D7" s="346" t="n">
        <v>4</v>
      </c>
      <c r="E7" s="346" t="n">
        <v>5</v>
      </c>
      <c r="F7" s="346" t="n">
        <v>6</v>
      </c>
      <c r="G7" s="346" t="n">
        <v>7</v>
      </c>
      <c r="H7" s="346" t="n">
        <v>8</v>
      </c>
      <c r="I7" s="346" t="n">
        <v>9</v>
      </c>
      <c r="J7" s="346" t="n">
        <v>10</v>
      </c>
      <c r="K7" s="346" t="n">
        <v>11</v>
      </c>
      <c r="L7" s="346" t="n">
        <v>12</v>
      </c>
      <c r="M7" s="346" t="n">
        <v>13</v>
      </c>
      <c r="N7" s="346" t="n">
        <v>14</v>
      </c>
      <c r="O7" s="346" t="n">
        <v>15</v>
      </c>
      <c r="P7" s="346" t="n">
        <v>16</v>
      </c>
      <c r="Q7" s="346" t="n">
        <v>17</v>
      </c>
    </row>
    <row r="8" ht="10.35" customFormat="1" customHeight="1" s="356">
      <c r="A8" s="359" t="n"/>
      <c r="B8" s="360" t="n"/>
      <c r="C8" s="360" t="n"/>
      <c r="D8" s="360" t="n"/>
      <c r="E8" s="360" t="n"/>
      <c r="F8" s="361" t="inlineStr">
        <is>
          <t>1</t>
        </is>
      </c>
      <c r="G8" s="362" t="inlineStr">
        <is>
          <t>0</t>
        </is>
      </c>
      <c r="H8" s="360" t="inlineStr">
        <is>
          <t>1A1-01</t>
        </is>
      </c>
      <c r="I8" s="363" t="inlineStr">
        <is>
          <t>OFİS A1 BANYO</t>
        </is>
      </c>
      <c r="J8" s="364" t="n"/>
      <c r="K8" s="360" t="inlineStr">
        <is>
          <t>24ºC</t>
        </is>
      </c>
      <c r="L8" s="360" t="n"/>
      <c r="M8" s="360" t="n"/>
      <c r="N8" s="360" t="n"/>
      <c r="O8" s="360" t="n"/>
      <c r="P8" s="360" t="n"/>
      <c r="Q8" s="365" t="n"/>
    </row>
    <row r="9" ht="9.949999999999999" customFormat="1" customHeight="1" s="356">
      <c r="A9" s="366" t="inlineStr">
        <is>
          <t>İDM</t>
        </is>
      </c>
      <c r="B9" s="367" t="inlineStr"/>
      <c r="C9" s="368" t="n"/>
      <c r="D9" s="369" t="n">
        <v>1.13</v>
      </c>
      <c r="E9" s="369" t="n">
        <v>3</v>
      </c>
      <c r="F9" s="370">
        <f>IF(D9=0," ",D9*E9)</f>
        <v/>
      </c>
      <c r="G9" s="371" t="n">
        <v>1</v>
      </c>
      <c r="H9" s="372" t="n"/>
      <c r="I9" s="370">
        <f>IF(F9=" "," ",F9*G9-H9)</f>
        <v/>
      </c>
      <c r="J9" s="369" t="n">
        <v>0.332</v>
      </c>
      <c r="K9" s="371" t="n">
        <v>9</v>
      </c>
      <c r="L9" s="373">
        <f>IF(I9=" "," ",I9*J9*K9)</f>
        <v/>
      </c>
      <c r="M9" s="374" t="n">
        <v>7</v>
      </c>
      <c r="N9" s="371" t="n">
        <v>0</v>
      </c>
      <c r="O9" s="374" t="n">
        <v>0</v>
      </c>
      <c r="P9" s="370">
        <f>IF(M9=" "," ",(1+(M9+N9+O9)/100))</f>
        <v/>
      </c>
      <c r="Q9" s="375">
        <f>IF(L9=" "," ",L9*P9)</f>
        <v/>
      </c>
    </row>
    <row r="10" ht="9.949999999999999" customFormat="1" customHeight="1" s="356">
      <c r="A10" s="366" t="inlineStr">
        <is>
          <t>İDM</t>
        </is>
      </c>
      <c r="B10" s="367" t="inlineStr"/>
      <c r="C10" s="368" t="n"/>
      <c r="D10" s="369" t="n">
        <v>0.22</v>
      </c>
      <c r="E10" s="369" t="n">
        <v>3</v>
      </c>
      <c r="F10" s="370">
        <f>IF(D10=0," ",D10*E10)</f>
        <v/>
      </c>
      <c r="G10" s="371" t="n">
        <v>1</v>
      </c>
      <c r="H10" s="372" t="n"/>
      <c r="I10" s="370">
        <f>IF(F10=" "," ",F10*G10-H10)</f>
        <v/>
      </c>
      <c r="J10" s="369" t="n">
        <v>0.332</v>
      </c>
      <c r="K10" s="371" t="n">
        <v>9</v>
      </c>
      <c r="L10" s="373">
        <f>IF(I10=" "," ",I10*J10*K10)</f>
        <v/>
      </c>
      <c r="M10" s="374" t="n">
        <v>7</v>
      </c>
      <c r="N10" s="371" t="n">
        <v>0</v>
      </c>
      <c r="O10" s="374" t="n">
        <v>0</v>
      </c>
      <c r="P10" s="370">
        <f>IF(M10=" "," ",(1+(M10+N10+O10)/100))</f>
        <v/>
      </c>
      <c r="Q10" s="375">
        <f>IF(L10=" "," ",L10*P10)</f>
        <v/>
      </c>
    </row>
    <row r="11" ht="9.949999999999999" customFormat="1" customHeight="1" s="356">
      <c r="A11" s="366" t="inlineStr">
        <is>
          <t>İDM</t>
        </is>
      </c>
      <c r="B11" s="367" t="inlineStr"/>
      <c r="C11" s="368" t="n"/>
      <c r="D11" s="369" t="n">
        <v>0.29</v>
      </c>
      <c r="E11" s="369" t="n">
        <v>3</v>
      </c>
      <c r="F11" s="370">
        <f>IF(D11=0," ",D11*E11)</f>
        <v/>
      </c>
      <c r="G11" s="371" t="n">
        <v>1</v>
      </c>
      <c r="H11" s="372" t="n"/>
      <c r="I11" s="370">
        <f>IF(F11=" "," ",F11*G11-H11)</f>
        <v/>
      </c>
      <c r="J11" s="369" t="n">
        <v>0.332</v>
      </c>
      <c r="K11" s="371" t="n">
        <v>14</v>
      </c>
      <c r="L11" s="373">
        <f>IF(I11=" "," ",I11*J11*K11)</f>
        <v/>
      </c>
      <c r="M11" s="374" t="n">
        <v>7</v>
      </c>
      <c r="N11" s="371" t="n">
        <v>0</v>
      </c>
      <c r="O11" s="374" t="n">
        <v>0</v>
      </c>
      <c r="P11" s="370">
        <f>IF(M11=" "," ",(1+(M11+N11+O11)/100))</f>
        <v/>
      </c>
      <c r="Q11" s="375">
        <f>IF(L11=" "," ",L11*P11)</f>
        <v/>
      </c>
    </row>
    <row r="12" ht="9.949999999999999" customFormat="1" customHeight="1" s="356">
      <c r="A12" s="366" t="inlineStr">
        <is>
          <t>İDM</t>
        </is>
      </c>
      <c r="B12" s="367" t="inlineStr"/>
      <c r="C12" s="368" t="n"/>
      <c r="D12" s="369" t="n">
        <v>0.3</v>
      </c>
      <c r="E12" s="369" t="n">
        <v>3</v>
      </c>
      <c r="F12" s="370">
        <f>IF(D12=0," ",D12*E12)</f>
        <v/>
      </c>
      <c r="G12" s="371" t="n">
        <v>1</v>
      </c>
      <c r="H12" s="372" t="n"/>
      <c r="I12" s="370">
        <f>IF(F12=" "," ",F12*G12-H12)</f>
        <v/>
      </c>
      <c r="J12" s="369" t="n">
        <v>0.332</v>
      </c>
      <c r="K12" s="371" t="n">
        <v>14</v>
      </c>
      <c r="L12" s="373">
        <f>IF(I12=" "," ",I12*J12*K12)</f>
        <v/>
      </c>
      <c r="M12" s="374" t="n">
        <v>7</v>
      </c>
      <c r="N12" s="371" t="n">
        <v>0</v>
      </c>
      <c r="O12" s="374" t="n">
        <v>0</v>
      </c>
      <c r="P12" s="370">
        <f>IF(M12=" "," ",(1+(M12+N12+O12)/100))</f>
        <v/>
      </c>
      <c r="Q12" s="375">
        <f>IF(L12=" "," ",L12*P12)</f>
        <v/>
      </c>
    </row>
    <row r="13" ht="9.949999999999999" customFormat="1" customHeight="1" s="356">
      <c r="A13" s="366" t="inlineStr">
        <is>
          <t>İDM</t>
        </is>
      </c>
      <c r="B13" s="367" t="inlineStr"/>
      <c r="C13" s="368" t="n"/>
      <c r="D13" s="369" t="n">
        <v>0.9</v>
      </c>
      <c r="E13" s="369" t="n">
        <v>3</v>
      </c>
      <c r="F13" s="370">
        <f>IF(D13=0," ",D13*E13)</f>
        <v/>
      </c>
      <c r="G13" s="371" t="n">
        <v>1</v>
      </c>
      <c r="H13" s="372" t="n"/>
      <c r="I13" s="370">
        <f>IF(F13=" "," ",F13*G13-H13)</f>
        <v/>
      </c>
      <c r="J13" s="369" t="n">
        <v>0.332</v>
      </c>
      <c r="K13" s="371" t="n">
        <v>14</v>
      </c>
      <c r="L13" s="373">
        <f>IF(I13=" "," ",I13*J13*K13)</f>
        <v/>
      </c>
      <c r="M13" s="374" t="n">
        <v>7</v>
      </c>
      <c r="N13" s="371" t="n">
        <v>0</v>
      </c>
      <c r="O13" s="374" t="n">
        <v>0</v>
      </c>
      <c r="P13" s="370">
        <f>IF(M13=" "," ",(1+(M13+N13+O13)/100))</f>
        <v/>
      </c>
      <c r="Q13" s="375">
        <f>IF(L13=" "," ",L13*P13)</f>
        <v/>
      </c>
    </row>
    <row r="14" ht="9.949999999999999" customFormat="1" customHeight="1" s="356">
      <c r="A14" s="366" t="inlineStr">
        <is>
          <t>İDM</t>
        </is>
      </c>
      <c r="B14" s="367" t="inlineStr"/>
      <c r="C14" s="368" t="n"/>
      <c r="D14" s="369" t="n">
        <v>0.45</v>
      </c>
      <c r="E14" s="369" t="n">
        <v>3</v>
      </c>
      <c r="F14" s="370">
        <f>IF(D14=0," ",D14*E14)</f>
        <v/>
      </c>
      <c r="G14" s="371" t="n">
        <v>1</v>
      </c>
      <c r="H14" s="372" t="n"/>
      <c r="I14" s="370">
        <f>IF(F14=" "," ",F14*G14-H14)</f>
        <v/>
      </c>
      <c r="J14" s="369" t="n">
        <v>0.332</v>
      </c>
      <c r="K14" s="371" t="n">
        <v>14</v>
      </c>
      <c r="L14" s="373">
        <f>IF(I14=" "," ",I14*J14*K14)</f>
        <v/>
      </c>
      <c r="M14" s="374" t="n">
        <v>7</v>
      </c>
      <c r="N14" s="371" t="n">
        <v>0</v>
      </c>
      <c r="O14" s="374" t="n">
        <v>0</v>
      </c>
      <c r="P14" s="370">
        <f>IF(M14=" "," ",(1+(M14+N14+O14)/100))</f>
        <v/>
      </c>
      <c r="Q14" s="375">
        <f>IF(L14=" "," ",L14*P14)</f>
        <v/>
      </c>
    </row>
    <row r="15" ht="9.949999999999999" customFormat="1" customHeight="1" s="356">
      <c r="A15" s="366" t="inlineStr">
        <is>
          <t>İDM</t>
        </is>
      </c>
      <c r="B15" s="367" t="inlineStr"/>
      <c r="C15" s="368" t="n"/>
      <c r="D15" s="369" t="n">
        <v>0.4</v>
      </c>
      <c r="E15" s="369" t="n">
        <v>3</v>
      </c>
      <c r="F15" s="370">
        <f>IF(D15=0," ",D15*E15)</f>
        <v/>
      </c>
      <c r="G15" s="371" t="n">
        <v>1</v>
      </c>
      <c r="H15" s="372" t="n"/>
      <c r="I15" s="370">
        <f>IF(F15=" "," ",F15*G15-H15)</f>
        <v/>
      </c>
      <c r="J15" s="369" t="n">
        <v>0.332</v>
      </c>
      <c r="K15" s="371" t="n">
        <v>14</v>
      </c>
      <c r="L15" s="373">
        <f>IF(I15=" "," ",I15*J15*K15)</f>
        <v/>
      </c>
      <c r="M15" s="374" t="n">
        <v>7</v>
      </c>
      <c r="N15" s="371" t="n">
        <v>0</v>
      </c>
      <c r="O15" s="374" t="n">
        <v>0</v>
      </c>
      <c r="P15" s="370">
        <f>IF(M15=" "," ",(1+(M15+N15+O15)/100))</f>
        <v/>
      </c>
      <c r="Q15" s="375">
        <f>IF(L15=" "," ",L15*P15)</f>
        <v/>
      </c>
    </row>
    <row r="16" ht="9.949999999999999" customFormat="1" customHeight="1" s="356">
      <c r="A16" s="366" t="inlineStr">
        <is>
          <t>İDM</t>
        </is>
      </c>
      <c r="B16" s="367" t="inlineStr"/>
      <c r="C16" s="368" t="n"/>
      <c r="D16" s="369" t="n">
        <v>0.25</v>
      </c>
      <c r="E16" s="369" t="n">
        <v>3</v>
      </c>
      <c r="F16" s="370">
        <f>IF(D16=0," ",D16*E16)</f>
        <v/>
      </c>
      <c r="G16" s="371" t="n">
        <v>1</v>
      </c>
      <c r="H16" s="372" t="n"/>
      <c r="I16" s="370">
        <f>IF(F16=" "," ",F16*G16-H16)</f>
        <v/>
      </c>
      <c r="J16" s="369" t="n">
        <v>0.332</v>
      </c>
      <c r="K16" s="371" t="n">
        <v>14</v>
      </c>
      <c r="L16" s="373">
        <f>IF(I16=" "," ",I16*J16*K16)</f>
        <v/>
      </c>
      <c r="M16" s="374" t="n">
        <v>7</v>
      </c>
      <c r="N16" s="371" t="n">
        <v>0</v>
      </c>
      <c r="O16" s="374" t="n">
        <v>0</v>
      </c>
      <c r="P16" s="370">
        <f>IF(M16=" "," ",(1+(M16+N16+O16)/100))</f>
        <v/>
      </c>
      <c r="Q16" s="375">
        <f>IF(L16=" "," ",L16*P16)</f>
        <v/>
      </c>
    </row>
    <row r="17" ht="9.949999999999999" customFormat="1" customHeight="1" s="356">
      <c r="A17" s="366" t="inlineStr">
        <is>
          <t>İDM</t>
        </is>
      </c>
      <c r="B17" s="367" t="inlineStr"/>
      <c r="C17" s="368" t="n"/>
      <c r="D17" s="369" t="n">
        <v>0.4</v>
      </c>
      <c r="E17" s="369" t="n">
        <v>3</v>
      </c>
      <c r="F17" s="370">
        <f>IF(D17=0," ",D17*E17)</f>
        <v/>
      </c>
      <c r="G17" s="371" t="n">
        <v>1</v>
      </c>
      <c r="H17" s="372" t="n"/>
      <c r="I17" s="370">
        <f>IF(F17=" "," ",F17*G17-H17)</f>
        <v/>
      </c>
      <c r="J17" s="369" t="n">
        <v>0.332</v>
      </c>
      <c r="K17" s="371" t="n">
        <v>14</v>
      </c>
      <c r="L17" s="373">
        <f>IF(I17=" "," ",I17*J17*K17)</f>
        <v/>
      </c>
      <c r="M17" s="374" t="n">
        <v>7</v>
      </c>
      <c r="N17" s="371" t="n">
        <v>0</v>
      </c>
      <c r="O17" s="374" t="n">
        <v>0</v>
      </c>
      <c r="P17" s="370">
        <f>IF(M17=" "," ",(1+(M17+N17+O17)/100))</f>
        <v/>
      </c>
      <c r="Q17" s="375">
        <f>IF(L17=" "," ",L17*P17)</f>
        <v/>
      </c>
    </row>
    <row r="18" ht="9.949999999999999" customFormat="1" customHeight="1" s="356">
      <c r="A18" s="366" t="inlineStr">
        <is>
          <t>İDM</t>
        </is>
      </c>
      <c r="B18" s="367" t="inlineStr"/>
      <c r="C18" s="368" t="n"/>
      <c r="D18" s="369" t="n">
        <v>0.3</v>
      </c>
      <c r="E18" s="369" t="n">
        <v>3</v>
      </c>
      <c r="F18" s="370">
        <f>IF(D18=0," ",D18*E18)</f>
        <v/>
      </c>
      <c r="G18" s="371" t="n">
        <v>1</v>
      </c>
      <c r="H18" s="372" t="n"/>
      <c r="I18" s="370">
        <f>IF(F18=" "," ",F18*G18-H18)</f>
        <v/>
      </c>
      <c r="J18" s="369" t="n">
        <v>0.332</v>
      </c>
      <c r="K18" s="371" t="n">
        <v>14</v>
      </c>
      <c r="L18" s="373">
        <f>IF(I18=" "," ",I18*J18*K18)</f>
        <v/>
      </c>
      <c r="M18" s="374" t="n">
        <v>7</v>
      </c>
      <c r="N18" s="371" t="n">
        <v>0</v>
      </c>
      <c r="O18" s="374" t="n">
        <v>0</v>
      </c>
      <c r="P18" s="370">
        <f>IF(M18=" "," ",(1+(M18+N18+O18)/100))</f>
        <v/>
      </c>
      <c r="Q18" s="375">
        <f>IF(L18=" "," ",L18*P18)</f>
        <v/>
      </c>
    </row>
    <row r="19" ht="9.949999999999999" customFormat="1" customHeight="1" s="356">
      <c r="A19" s="376" t="n"/>
      <c r="B19" s="377" t="n"/>
      <c r="C19" s="377" t="n"/>
      <c r="D19" s="378" t="n"/>
      <c r="E19" s="378" t="n"/>
      <c r="F19" s="378" t="n"/>
      <c r="G19" s="379" t="n"/>
      <c r="H19" s="378" t="n"/>
      <c r="I19" s="378" t="n"/>
      <c r="J19" s="378" t="n"/>
      <c r="K19" s="379" t="n"/>
      <c r="L19" s="380" t="n"/>
      <c r="M19" s="381" t="n"/>
      <c r="N19" s="381" t="n"/>
      <c r="O19" s="381" t="n"/>
      <c r="P19" s="382" t="n"/>
      <c r="Q19" s="383">
        <f>SUM(Q9:Q18)</f>
        <v/>
      </c>
    </row>
    <row r="20" ht="9.949999999999999" customFormat="1" customHeight="1" s="356">
      <c r="A20" s="384" t="n"/>
      <c r="B20" s="385" t="n"/>
      <c r="C20" s="385" t="n"/>
      <c r="D20" s="386" t="n"/>
      <c r="E20" s="387" t="n"/>
      <c r="F20" s="388" t="n"/>
      <c r="G20" s="389" t="n"/>
      <c r="H20" s="388" t="n"/>
      <c r="I20" s="390" t="n"/>
      <c r="J20" s="391" t="inlineStr">
        <is>
          <t>Qs=</t>
        </is>
      </c>
      <c r="K20" s="390" t="inlineStr">
        <is>
          <t>S a</t>
        </is>
      </c>
      <c r="L20" s="388" t="inlineStr">
        <is>
          <t>L</t>
        </is>
      </c>
      <c r="M20" s="389" t="inlineStr">
        <is>
          <t>R</t>
        </is>
      </c>
      <c r="N20" s="392" t="inlineStr">
        <is>
          <t>H</t>
        </is>
      </c>
      <c r="O20" s="393" t="inlineStr">
        <is>
          <t>D  T</t>
        </is>
      </c>
      <c r="P20" s="389" t="inlineStr">
        <is>
          <t>Ze</t>
        </is>
      </c>
      <c r="Q20" s="394" t="n"/>
    </row>
    <row r="21" ht="9.949999999999999" customFormat="1" customHeight="1" s="356">
      <c r="A21" s="395" t="inlineStr">
        <is>
          <t xml:space="preserve"> </t>
        </is>
      </c>
      <c r="B21" s="396" t="n"/>
      <c r="C21" s="397" t="n"/>
      <c r="D21" s="397" t="n"/>
      <c r="E21" s="398" t="n"/>
      <c r="F21" s="399" t="n"/>
      <c r="G21" s="400" t="n"/>
      <c r="H21" s="401" t="n"/>
      <c r="I21" s="402" t="n"/>
      <c r="J21" s="403" t="inlineStr">
        <is>
          <t>Qs  =</t>
        </is>
      </c>
      <c r="K21" s="404" t="n">
        <v>2</v>
      </c>
      <c r="L21" s="404" t="n">
        <v>0</v>
      </c>
      <c r="M21" s="404" t="n">
        <v>0.9</v>
      </c>
      <c r="N21" s="404" t="n">
        <v>0.67</v>
      </c>
      <c r="O21" s="381" t="n">
        <v>27</v>
      </c>
      <c r="P21" s="404" t="n">
        <v>1</v>
      </c>
      <c r="Q21" s="383">
        <f>K21*L21*M21*N21*O21*P21</f>
        <v/>
      </c>
    </row>
    <row r="22" ht="9.949999999999999" customFormat="1" customHeight="1" s="356">
      <c r="A22" s="405" t="n"/>
      <c r="B22" s="406" t="n"/>
      <c r="C22" s="397" t="n"/>
      <c r="D22" s="397" t="n"/>
      <c r="E22" s="378" t="n"/>
      <c r="F22" s="256" t="n"/>
      <c r="G22" s="407" t="n"/>
      <c r="H22" s="397" t="n"/>
      <c r="I22" s="397" t="n"/>
      <c r="J22" s="397" t="n"/>
      <c r="K22" s="407" t="n"/>
      <c r="L22" s="408" t="n"/>
      <c r="M22" s="409" t="inlineStr">
        <is>
          <t xml:space="preserve">   TOPLAM ISI KAYBI =</t>
        </is>
      </c>
      <c r="N22" s="409" t="n"/>
      <c r="O22" s="410" t="n"/>
      <c r="P22" s="409" t="n"/>
      <c r="Q22" s="411">
        <f>Q19+Q21</f>
        <v/>
      </c>
    </row>
    <row r="23" ht="10.35" customFormat="1" customHeight="1" s="356">
      <c r="A23" s="359" t="n"/>
      <c r="B23" s="360" t="n"/>
      <c r="C23" s="360" t="n"/>
      <c r="D23" s="360" t="n"/>
      <c r="E23" s="360" t="n"/>
      <c r="F23" s="361" t="inlineStr">
        <is>
          <t>1</t>
        </is>
      </c>
      <c r="G23" s="362" t="inlineStr">
        <is>
          <t>0</t>
        </is>
      </c>
      <c r="H23" s="360" t="inlineStr">
        <is>
          <t>1A1-02</t>
        </is>
      </c>
      <c r="I23" s="363" t="inlineStr">
        <is>
          <t>OFİS A1 MUTFAK</t>
        </is>
      </c>
      <c r="J23" s="364" t="n"/>
      <c r="K23" s="360" t="inlineStr">
        <is>
          <t>20ºC</t>
        </is>
      </c>
      <c r="L23" s="360" t="n"/>
      <c r="M23" s="360" t="n"/>
      <c r="N23" s="360" t="n"/>
      <c r="O23" s="360" t="n"/>
      <c r="P23" s="360" t="n"/>
      <c r="Q23" s="365" t="n"/>
    </row>
    <row r="24" ht="9.949999999999999" customFormat="1" customHeight="1" s="412">
      <c r="A24" s="366" t="inlineStr">
        <is>
          <t>İDM</t>
        </is>
      </c>
      <c r="B24" s="367" t="inlineStr"/>
      <c r="C24" s="368" t="n"/>
      <c r="D24" s="369" t="n">
        <v>0.33</v>
      </c>
      <c r="E24" s="369" t="n">
        <v>3</v>
      </c>
      <c r="F24" s="370">
        <f>IF(D24=0," ",D24*E24)</f>
        <v/>
      </c>
      <c r="G24" s="371" t="n">
        <v>1</v>
      </c>
      <c r="H24" s="372" t="n"/>
      <c r="I24" s="370">
        <f>IF(F24=" "," ",F24*G24-H24)</f>
        <v/>
      </c>
      <c r="J24" s="369" t="n">
        <v>0.332</v>
      </c>
      <c r="K24" s="371" t="n">
        <v>10</v>
      </c>
      <c r="L24" s="373">
        <f>IF(I24=" "," ",I24*J24*K24)</f>
        <v/>
      </c>
      <c r="M24" s="374" t="n">
        <v>7</v>
      </c>
      <c r="N24" s="371" t="n">
        <v>0</v>
      </c>
      <c r="O24" s="374" t="n">
        <v>0</v>
      </c>
      <c r="P24" s="370">
        <f>IF(M24=" "," ",(1+(M24+N24+O24)/100))</f>
        <v/>
      </c>
      <c r="Q24" s="375">
        <f>IF(L24=" "," ",L24*P24)</f>
        <v/>
      </c>
    </row>
    <row r="25" ht="9.949999999999999" customFormat="1" customHeight="1" s="412">
      <c r="A25" s="366" t="inlineStr">
        <is>
          <t>İDM</t>
        </is>
      </c>
      <c r="B25" s="367" t="inlineStr"/>
      <c r="C25" s="368" t="n"/>
      <c r="D25" s="369" t="n">
        <v>1.35</v>
      </c>
      <c r="E25" s="369" t="n">
        <v>3</v>
      </c>
      <c r="F25" s="370">
        <f>IF(D25=0," ",D25*E25)</f>
        <v/>
      </c>
      <c r="G25" s="371" t="n">
        <v>1</v>
      </c>
      <c r="H25" s="372" t="n"/>
      <c r="I25" s="370">
        <f>IF(F25=" "," ",F25*G25-H25)</f>
        <v/>
      </c>
      <c r="J25" s="369" t="n">
        <v>0.332</v>
      </c>
      <c r="K25" s="371" t="n">
        <v>5</v>
      </c>
      <c r="L25" s="373">
        <f>IF(I25=" "," ",I25*J25*K25)</f>
        <v/>
      </c>
      <c r="M25" s="374" t="n">
        <v>7</v>
      </c>
      <c r="N25" s="371" t="n">
        <v>0</v>
      </c>
      <c r="O25" s="374" t="n">
        <v>0</v>
      </c>
      <c r="P25" s="370">
        <f>IF(M25=" "," ",(1+(M25+N25+O25)/100))</f>
        <v/>
      </c>
      <c r="Q25" s="375">
        <f>IF(L25=" "," ",L25*P25)</f>
        <v/>
      </c>
    </row>
    <row r="26" ht="9.949999999999999" customFormat="1" customHeight="1" s="351">
      <c r="A26" s="376" t="n"/>
      <c r="B26" s="377" t="n"/>
      <c r="C26" s="377" t="n"/>
      <c r="D26" s="378" t="n"/>
      <c r="E26" s="378" t="n"/>
      <c r="F26" s="378" t="n"/>
      <c r="G26" s="379" t="n"/>
      <c r="H26" s="378" t="n"/>
      <c r="I26" s="378" t="n"/>
      <c r="J26" s="378" t="n"/>
      <c r="K26" s="379" t="n"/>
      <c r="L26" s="380" t="n"/>
      <c r="M26" s="381" t="n"/>
      <c r="N26" s="381" t="n"/>
      <c r="O26" s="381" t="n"/>
      <c r="P26" s="382" t="n"/>
      <c r="Q26" s="383">
        <f>SUM(Q24:Q25)</f>
        <v/>
      </c>
    </row>
    <row r="27" ht="9.949999999999999" customFormat="1" customHeight="1" s="356">
      <c r="A27" s="384" t="n"/>
      <c r="B27" s="385" t="n"/>
      <c r="C27" s="385" t="n"/>
      <c r="D27" s="386" t="n"/>
      <c r="E27" s="387" t="n"/>
      <c r="F27" s="388" t="n"/>
      <c r="G27" s="389" t="n"/>
      <c r="H27" s="388" t="n"/>
      <c r="I27" s="390" t="n"/>
      <c r="J27" s="391" t="inlineStr">
        <is>
          <t>Qs=</t>
        </is>
      </c>
      <c r="K27" s="390" t="inlineStr">
        <is>
          <t>S a</t>
        </is>
      </c>
      <c r="L27" s="388" t="inlineStr">
        <is>
          <t>L</t>
        </is>
      </c>
      <c r="M27" s="389" t="inlineStr">
        <is>
          <t>R</t>
        </is>
      </c>
      <c r="N27" s="392" t="inlineStr">
        <is>
          <t>H</t>
        </is>
      </c>
      <c r="O27" s="393" t="inlineStr">
        <is>
          <t>D  T</t>
        </is>
      </c>
      <c r="P27" s="389" t="inlineStr">
        <is>
          <t>Ze</t>
        </is>
      </c>
      <c r="Q27" s="394" t="n"/>
    </row>
    <row r="28" ht="9.949999999999999" customFormat="1" customHeight="1" s="356">
      <c r="A28" s="395" t="inlineStr">
        <is>
          <t xml:space="preserve"> </t>
        </is>
      </c>
      <c r="B28" s="396" t="n"/>
      <c r="C28" s="397" t="n"/>
      <c r="D28" s="397" t="n"/>
      <c r="E28" s="398" t="n"/>
      <c r="F28" s="399" t="n"/>
      <c r="G28" s="400" t="n"/>
      <c r="H28" s="401" t="n"/>
      <c r="I28" s="402" t="n"/>
      <c r="J28" s="403" t="inlineStr">
        <is>
          <t>Qs  =</t>
        </is>
      </c>
      <c r="K28" s="404" t="n">
        <v>2</v>
      </c>
      <c r="L28" s="404" t="n">
        <v>0</v>
      </c>
      <c r="M28" s="404" t="n">
        <v>0.9</v>
      </c>
      <c r="N28" s="404" t="n">
        <v>0.67</v>
      </c>
      <c r="O28" s="381" t="n">
        <v>23</v>
      </c>
      <c r="P28" s="404" t="n">
        <v>1</v>
      </c>
      <c r="Q28" s="383">
        <f>K28*L28*M28*N28*O28*P28</f>
        <v/>
      </c>
    </row>
    <row r="29" ht="9.949999999999999" customFormat="1" customHeight="1" s="356">
      <c r="A29" s="405" t="n"/>
      <c r="B29" s="406" t="n"/>
      <c r="C29" s="397" t="n"/>
      <c r="D29" s="397" t="n"/>
      <c r="E29" s="378" t="n"/>
      <c r="F29" s="256" t="n"/>
      <c r="G29" s="407" t="n"/>
      <c r="H29" s="397" t="n"/>
      <c r="I29" s="397" t="n"/>
      <c r="J29" s="397" t="n"/>
      <c r="K29" s="407" t="n"/>
      <c r="L29" s="408" t="n"/>
      <c r="M29" s="409" t="inlineStr">
        <is>
          <t xml:space="preserve">   TOPLAM ISI KAYBI =</t>
        </is>
      </c>
      <c r="N29" s="409" t="n"/>
      <c r="O29" s="410" t="n"/>
      <c r="P29" s="409" t="n"/>
      <c r="Q29" s="411">
        <f>Q26+Q28</f>
        <v/>
      </c>
    </row>
    <row r="30" ht="10.35" customFormat="1" customHeight="1" s="356">
      <c r="A30" s="359" t="n"/>
      <c r="B30" s="360" t="n"/>
      <c r="C30" s="360" t="n"/>
      <c r="D30" s="360" t="n"/>
      <c r="E30" s="360" t="n"/>
      <c r="F30" s="361" t="inlineStr">
        <is>
          <t>1</t>
        </is>
      </c>
      <c r="G30" s="362" t="inlineStr">
        <is>
          <t>0</t>
        </is>
      </c>
      <c r="H30" s="360" t="inlineStr">
        <is>
          <t>1A1-03</t>
        </is>
      </c>
      <c r="I30" s="363" t="inlineStr">
        <is>
          <t>OFİS A1 ODA 1</t>
        </is>
      </c>
      <c r="J30" s="364" t="n"/>
      <c r="K30" s="360" t="inlineStr">
        <is>
          <t>20ºC</t>
        </is>
      </c>
      <c r="L30" s="360" t="n"/>
      <c r="M30" s="360" t="n"/>
      <c r="N30" s="360" t="n"/>
      <c r="O30" s="360" t="n"/>
      <c r="P30" s="360" t="n"/>
      <c r="Q30" s="365" t="n"/>
    </row>
    <row r="31" ht="9.949999999999999" customFormat="1" customHeight="1" s="356">
      <c r="A31" s="366" t="inlineStr">
        <is>
          <t>DD</t>
        </is>
      </c>
      <c r="B31" s="367" t="inlineStr">
        <is>
          <t>K</t>
        </is>
      </c>
      <c r="C31" s="368" t="n"/>
      <c r="D31" s="369" t="n">
        <v>2.48</v>
      </c>
      <c r="E31" s="369" t="n">
        <v>2.5</v>
      </c>
      <c r="F31" s="370">
        <f>IF(D31=0," ",D31*E31)</f>
        <v/>
      </c>
      <c r="G31" s="371" t="n">
        <v>1</v>
      </c>
      <c r="H31" s="372">
        <f>F33*G33</f>
        <v/>
      </c>
      <c r="I31" s="370">
        <f>IF(F31=" "," ",F31*G31-H31)</f>
        <v/>
      </c>
      <c r="J31" s="369" t="n">
        <v>0.344</v>
      </c>
      <c r="K31" s="371" t="n">
        <v>23</v>
      </c>
      <c r="L31" s="373">
        <f>IF(I31=" "," ",I31*J31*K31)</f>
        <v/>
      </c>
      <c r="M31" s="374" t="n">
        <v>7</v>
      </c>
      <c r="N31" s="371" t="n">
        <v>0</v>
      </c>
      <c r="O31" s="374" t="n">
        <v>5</v>
      </c>
      <c r="P31" s="370">
        <f>IF(M31=" "," ",(1+(M31+N31+O31)/100))</f>
        <v/>
      </c>
      <c r="Q31" s="375">
        <f>IF(L31=" "," ",L31*P31)</f>
        <v/>
      </c>
    </row>
    <row r="32" ht="9.949999999999999" customFormat="1" customHeight="1" s="356">
      <c r="A32" s="366" t="inlineStr">
        <is>
          <t>DD25</t>
        </is>
      </c>
      <c r="B32" s="367" t="inlineStr">
        <is>
          <t>K</t>
        </is>
      </c>
      <c r="C32" s="368" t="n"/>
      <c r="D32" s="369">
        <f>D31</f>
        <v/>
      </c>
      <c r="E32" s="369" t="n">
        <v>0.5</v>
      </c>
      <c r="F32" s="370">
        <f>IF(D32=0," ",D32*E32)</f>
        <v/>
      </c>
      <c r="G32" s="371" t="n">
        <v>1</v>
      </c>
      <c r="H32" s="372" t="n"/>
      <c r="I32" s="370">
        <f>IF(F32=" "," ",F32*G32-H32)</f>
        <v/>
      </c>
      <c r="J32" s="369" t="n">
        <v>0.387</v>
      </c>
      <c r="K32" s="371" t="n">
        <v>23</v>
      </c>
      <c r="L32" s="373">
        <f>IF(I32=" "," ",I32*J32*K32)</f>
        <v/>
      </c>
      <c r="M32" s="374" t="n">
        <v>7</v>
      </c>
      <c r="N32" s="371" t="n">
        <v>0</v>
      </c>
      <c r="O32" s="374" t="n">
        <v>5</v>
      </c>
      <c r="P32" s="370">
        <f>IF(M32=" "," ",(1+(M32+N32+O32)/100))</f>
        <v/>
      </c>
      <c r="Q32" s="375">
        <f>IF(L32=" "," ",L32*P32)</f>
        <v/>
      </c>
    </row>
    <row r="33" ht="9.949999999999999" customFormat="1" customHeight="1" s="356">
      <c r="A33" s="366" t="inlineStr">
        <is>
          <t>ÇP</t>
        </is>
      </c>
      <c r="B33" s="367" t="inlineStr">
        <is>
          <t>K</t>
        </is>
      </c>
      <c r="C33" s="368" t="n"/>
      <c r="D33" s="369" t="n">
        <v>1.36</v>
      </c>
      <c r="E33" s="369" t="n">
        <v>1.5</v>
      </c>
      <c r="F33" s="370">
        <f>IF(D33=0," ",D33*E33)</f>
        <v/>
      </c>
      <c r="G33" s="371" t="n">
        <v>1</v>
      </c>
      <c r="H33" s="372" t="n"/>
      <c r="I33" s="370">
        <f>IF(F33=" "," ",F33*G33-H33)</f>
        <v/>
      </c>
      <c r="J33" s="369" t="n">
        <v>1.8</v>
      </c>
      <c r="K33" s="371" t="n">
        <v>23</v>
      </c>
      <c r="L33" s="373">
        <f>IF(I33=" "," ",I33*J33*K33)</f>
        <v/>
      </c>
      <c r="M33" s="374" t="n">
        <v>7</v>
      </c>
      <c r="N33" s="371" t="n">
        <v>0</v>
      </c>
      <c r="O33" s="374" t="n">
        <v>5</v>
      </c>
      <c r="P33" s="370">
        <f>IF(M33=" "," ",(1+(M33+N33+O33)/100))</f>
        <v/>
      </c>
      <c r="Q33" s="375">
        <f>IF(L33=" "," ",L33*P33)</f>
        <v/>
      </c>
    </row>
    <row r="34" ht="9.949999999999999" customFormat="1" customHeight="1" s="356">
      <c r="A34" s="366" t="inlineStr">
        <is>
          <t>İDM</t>
        </is>
      </c>
      <c r="B34" s="367" t="inlineStr"/>
      <c r="C34" s="368" t="n"/>
      <c r="D34" s="369" t="n">
        <v>0.78</v>
      </c>
      <c r="E34" s="369" t="n">
        <v>3</v>
      </c>
      <c r="F34" s="370">
        <f>IF(D34=0," ",D34*E34)</f>
        <v/>
      </c>
      <c r="G34" s="371" t="n">
        <v>1</v>
      </c>
      <c r="H34" s="372" t="n"/>
      <c r="I34" s="370">
        <f>IF(F34=" "," ",F34*G34-H34)</f>
        <v/>
      </c>
      <c r="J34" s="369" t="n">
        <v>0.332</v>
      </c>
      <c r="K34" s="371" t="n">
        <v>10</v>
      </c>
      <c r="L34" s="373">
        <f>IF(I34=" "," ",I34*J34*K34)</f>
        <v/>
      </c>
      <c r="M34" s="374" t="n">
        <v>7</v>
      </c>
      <c r="N34" s="371" t="n">
        <v>0</v>
      </c>
      <c r="O34" s="374" t="n">
        <v>0</v>
      </c>
      <c r="P34" s="370">
        <f>IF(M34=" "," ",(1+(M34+N34+O34)/100))</f>
        <v/>
      </c>
      <c r="Q34" s="375">
        <f>IF(L34=" "," ",L34*P34)</f>
        <v/>
      </c>
    </row>
    <row r="35" ht="9.949999999999999" customFormat="1" customHeight="1" s="356">
      <c r="A35" s="366" t="inlineStr">
        <is>
          <t>İDM</t>
        </is>
      </c>
      <c r="B35" s="367" t="inlineStr"/>
      <c r="C35" s="368" t="n"/>
      <c r="D35" s="369" t="n">
        <v>0.27</v>
      </c>
      <c r="E35" s="369" t="n">
        <v>3</v>
      </c>
      <c r="F35" s="370">
        <f>IF(D35=0," ",D35*E35)</f>
        <v/>
      </c>
      <c r="G35" s="371" t="n">
        <v>1</v>
      </c>
      <c r="H35" s="372" t="n"/>
      <c r="I35" s="370">
        <f>IF(F35=" "," ",F35*G35-H35)</f>
        <v/>
      </c>
      <c r="J35" s="369" t="n">
        <v>0.332</v>
      </c>
      <c r="K35" s="371" t="n">
        <v>10</v>
      </c>
      <c r="L35" s="373">
        <f>IF(I35=" "," ",I35*J35*K35)</f>
        <v/>
      </c>
      <c r="M35" s="374" t="n">
        <v>7</v>
      </c>
      <c r="N35" s="371" t="n">
        <v>0</v>
      </c>
      <c r="O35" s="374" t="n">
        <v>0</v>
      </c>
      <c r="P35" s="370">
        <f>IF(M35=" "," ",(1+(M35+N35+O35)/100))</f>
        <v/>
      </c>
      <c r="Q35" s="375">
        <f>IF(L35=" "," ",L35*P35)</f>
        <v/>
      </c>
    </row>
    <row r="36" ht="9.949999999999999" customFormat="1" customHeight="1" s="412">
      <c r="A36" s="366" t="inlineStr">
        <is>
          <t>İDM</t>
        </is>
      </c>
      <c r="B36" s="367" t="inlineStr"/>
      <c r="C36" s="368" t="n"/>
      <c r="D36" s="369" t="n">
        <v>7</v>
      </c>
      <c r="E36" s="369" t="n">
        <v>3</v>
      </c>
      <c r="F36" s="370">
        <f>IF(D36=0," ",D36*E36)</f>
        <v/>
      </c>
      <c r="G36" s="371" t="n">
        <v>1</v>
      </c>
      <c r="H36" s="372" t="n"/>
      <c r="I36" s="370">
        <f>IF(F36=" "," ",F36*G36-H36)</f>
        <v/>
      </c>
      <c r="J36" s="369" t="n">
        <v>0.332</v>
      </c>
      <c r="K36" s="371" t="n">
        <v>5</v>
      </c>
      <c r="L36" s="373">
        <f>IF(I36=" "," ",I36*J36*K36)</f>
        <v/>
      </c>
      <c r="M36" s="374" t="n">
        <v>7</v>
      </c>
      <c r="N36" s="371" t="n">
        <v>0</v>
      </c>
      <c r="O36" s="374" t="n">
        <v>0</v>
      </c>
      <c r="P36" s="370">
        <f>IF(M36=" "," ",(1+(M36+N36+O36)/100))</f>
        <v/>
      </c>
      <c r="Q36" s="375">
        <f>IF(L36=" "," ",L36*P36)</f>
        <v/>
      </c>
    </row>
    <row r="37" ht="9.949999999999999" customFormat="1" customHeight="1" s="412">
      <c r="A37" s="376" t="n"/>
      <c r="B37" s="377" t="n"/>
      <c r="C37" s="377" t="n"/>
      <c r="D37" s="378" t="n"/>
      <c r="E37" s="378" t="n"/>
      <c r="F37" s="378" t="n"/>
      <c r="G37" s="379" t="n"/>
      <c r="H37" s="378" t="n"/>
      <c r="I37" s="378" t="n"/>
      <c r="J37" s="378" t="n"/>
      <c r="K37" s="379" t="n"/>
      <c r="L37" s="380" t="n"/>
      <c r="M37" s="381" t="n"/>
      <c r="N37" s="381" t="n"/>
      <c r="O37" s="381" t="n"/>
      <c r="P37" s="382" t="n"/>
      <c r="Q37" s="383">
        <f>SUM(Q31:Q36)</f>
        <v/>
      </c>
    </row>
    <row r="38" ht="9.949999999999999" customFormat="1" customHeight="1" s="351">
      <c r="A38" s="384" t="n"/>
      <c r="B38" s="385" t="n"/>
      <c r="C38" s="385" t="n"/>
      <c r="D38" s="386" t="n"/>
      <c r="E38" s="387" t="n"/>
      <c r="F38" s="388" t="n"/>
      <c r="G38" s="389" t="n"/>
      <c r="H38" s="388" t="n"/>
      <c r="I38" s="390" t="n"/>
      <c r="J38" s="391" t="inlineStr">
        <is>
          <t>Qs=</t>
        </is>
      </c>
      <c r="K38" s="390" t="inlineStr">
        <is>
          <t>S a</t>
        </is>
      </c>
      <c r="L38" s="388" t="inlineStr">
        <is>
          <t>L</t>
        </is>
      </c>
      <c r="M38" s="389" t="inlineStr">
        <is>
          <t>R</t>
        </is>
      </c>
      <c r="N38" s="392" t="inlineStr">
        <is>
          <t>H</t>
        </is>
      </c>
      <c r="O38" s="393" t="inlineStr">
        <is>
          <t>D  T</t>
        </is>
      </c>
      <c r="P38" s="389" t="inlineStr">
        <is>
          <t>Ze</t>
        </is>
      </c>
      <c r="Q38" s="394" t="n"/>
    </row>
    <row r="39" ht="9.949999999999999" customFormat="1" customHeight="1" s="356">
      <c r="A39" s="395" t="inlineStr">
        <is>
          <t xml:space="preserve"> </t>
        </is>
      </c>
      <c r="B39" s="413" t="n"/>
      <c r="C39" s="397" t="n"/>
      <c r="D39" s="397" t="n"/>
      <c r="E39" s="398" t="n"/>
      <c r="F39" s="399" t="n"/>
      <c r="G39" s="400" t="n"/>
      <c r="H39" s="401" t="n"/>
      <c r="I39" s="402" t="n"/>
      <c r="J39" s="403" t="inlineStr">
        <is>
          <t>Qs  =</t>
        </is>
      </c>
      <c r="K39" s="404" t="n">
        <v>2</v>
      </c>
      <c r="L39" s="404">
        <f>(D33+E33)*2*G33</f>
        <v/>
      </c>
      <c r="M39" s="404" t="n">
        <v>0.9</v>
      </c>
      <c r="N39" s="404" t="n">
        <v>0.67</v>
      </c>
      <c r="O39" s="381" t="n">
        <v>23</v>
      </c>
      <c r="P39" s="404" t="n">
        <v>1</v>
      </c>
      <c r="Q39" s="383">
        <f>K39*L39*M39*N39*O39*P39</f>
        <v/>
      </c>
    </row>
    <row r="40" ht="9.949999999999999" customFormat="1" customHeight="1" s="356">
      <c r="A40" s="405" t="n"/>
      <c r="B40" s="406" t="n"/>
      <c r="C40" s="397" t="n"/>
      <c r="D40" s="397" t="n"/>
      <c r="E40" s="378" t="n"/>
      <c r="F40" s="256" t="n"/>
      <c r="G40" s="407" t="n"/>
      <c r="H40" s="397" t="n"/>
      <c r="I40" s="397" t="n"/>
      <c r="J40" s="397" t="n"/>
      <c r="K40" s="407" t="n"/>
      <c r="L40" s="408" t="n"/>
      <c r="M40" s="409" t="inlineStr">
        <is>
          <t xml:space="preserve">   TOPLAM ISI KAYBI =</t>
        </is>
      </c>
      <c r="N40" s="409" t="n"/>
      <c r="O40" s="410" t="n"/>
      <c r="P40" s="409" t="n"/>
      <c r="Q40" s="411">
        <f>Q37+Q39</f>
        <v/>
      </c>
    </row>
    <row r="41" ht="10.35" customFormat="1" customHeight="1" s="356">
      <c r="A41" s="359" t="n"/>
      <c r="B41" s="360" t="n"/>
      <c r="C41" s="360" t="n"/>
      <c r="D41" s="360" t="n"/>
      <c r="E41" s="360" t="n"/>
      <c r="F41" s="361" t="inlineStr">
        <is>
          <t>1</t>
        </is>
      </c>
      <c r="G41" s="362" t="inlineStr">
        <is>
          <t>0</t>
        </is>
      </c>
      <c r="H41" s="360" t="inlineStr">
        <is>
          <t>1A1-04</t>
        </is>
      </c>
      <c r="I41" s="363" t="inlineStr">
        <is>
          <t>OFİS A1 HOL</t>
        </is>
      </c>
      <c r="J41" s="364" t="n"/>
      <c r="K41" s="360" t="inlineStr">
        <is>
          <t>20ºC</t>
        </is>
      </c>
      <c r="L41" s="360" t="n"/>
      <c r="M41" s="360" t="n"/>
      <c r="N41" s="360" t="n"/>
      <c r="O41" s="360" t="n"/>
      <c r="P41" s="360" t="n"/>
      <c r="Q41" s="365" t="n"/>
    </row>
    <row r="42" ht="9.949999999999999" customFormat="1" customHeight="1" s="356">
      <c r="A42" s="366" t="inlineStr">
        <is>
          <t>İDM</t>
        </is>
      </c>
      <c r="B42" s="367" t="inlineStr"/>
      <c r="C42" s="368" t="n"/>
      <c r="D42" s="369" t="n">
        <v>0.79</v>
      </c>
      <c r="E42" s="369" t="n">
        <v>3</v>
      </c>
      <c r="F42" s="370">
        <f>IF(D42=0," ",D42*E42)</f>
        <v/>
      </c>
      <c r="G42" s="371" t="n">
        <v>1</v>
      </c>
      <c r="H42" s="372" t="n"/>
      <c r="I42" s="370">
        <f>IF(F42=" "," ",F42*G42-H42)</f>
        <v/>
      </c>
      <c r="J42" s="369" t="n">
        <v>0.332</v>
      </c>
      <c r="K42" s="371" t="n">
        <v>10</v>
      </c>
      <c r="L42" s="373">
        <f>IF(I42=" "," ",I42*J42*K42)</f>
        <v/>
      </c>
      <c r="M42" s="374" t="n">
        <v>7</v>
      </c>
      <c r="N42" s="371" t="n">
        <v>0</v>
      </c>
      <c r="O42" s="374" t="n">
        <v>0</v>
      </c>
      <c r="P42" s="370">
        <f>IF(M42=" "," ",(1+(M42+N42+O42)/100))</f>
        <v/>
      </c>
      <c r="Q42" s="375">
        <f>IF(L42=" "," ",L42*P42)</f>
        <v/>
      </c>
    </row>
    <row r="43" ht="9.949999999999999" customFormat="1" customHeight="1" s="356">
      <c r="A43" s="366" t="inlineStr">
        <is>
          <t>İDM</t>
        </is>
      </c>
      <c r="B43" s="367" t="inlineStr"/>
      <c r="C43" s="368" t="n"/>
      <c r="D43" s="369" t="n">
        <v>0.8</v>
      </c>
      <c r="E43" s="369" t="n">
        <v>3</v>
      </c>
      <c r="F43" s="370">
        <f>IF(D43=0," ",D43*E43)</f>
        <v/>
      </c>
      <c r="G43" s="371" t="n">
        <v>1</v>
      </c>
      <c r="H43" s="372" t="n"/>
      <c r="I43" s="370">
        <f>IF(F43=" "," ",F43*G43-H43)</f>
        <v/>
      </c>
      <c r="J43" s="369" t="n">
        <v>0.332</v>
      </c>
      <c r="K43" s="371" t="n">
        <v>10</v>
      </c>
      <c r="L43" s="373">
        <f>IF(I43=" "," ",I43*J43*K43)</f>
        <v/>
      </c>
      <c r="M43" s="374" t="n">
        <v>7</v>
      </c>
      <c r="N43" s="371" t="n">
        <v>0</v>
      </c>
      <c r="O43" s="374" t="n">
        <v>0</v>
      </c>
      <c r="P43" s="370">
        <f>IF(M43=" "," ",(1+(M43+N43+O43)/100))</f>
        <v/>
      </c>
      <c r="Q43" s="375">
        <f>IF(L43=" "," ",L43*P43)</f>
        <v/>
      </c>
    </row>
    <row r="44" ht="9.949999999999999" customFormat="1" customHeight="1" s="356">
      <c r="A44" s="376" t="n"/>
      <c r="B44" s="377" t="n"/>
      <c r="C44" s="377" t="n"/>
      <c r="D44" s="378" t="n"/>
      <c r="E44" s="378" t="n"/>
      <c r="F44" s="378" t="n"/>
      <c r="G44" s="379" t="n"/>
      <c r="H44" s="378" t="n"/>
      <c r="I44" s="378" t="n"/>
      <c r="J44" s="378" t="n"/>
      <c r="K44" s="379" t="n"/>
      <c r="L44" s="380" t="n"/>
      <c r="M44" s="381" t="n"/>
      <c r="N44" s="381" t="n"/>
      <c r="O44" s="381" t="n"/>
      <c r="P44" s="382" t="n"/>
      <c r="Q44" s="383">
        <f>SUM(Q42:Q43)</f>
        <v/>
      </c>
    </row>
    <row r="45" ht="9.949999999999999" customFormat="1" customHeight="1" s="356">
      <c r="A45" s="384" t="n"/>
      <c r="B45" s="385" t="n"/>
      <c r="C45" s="385" t="n"/>
      <c r="D45" s="386" t="n"/>
      <c r="E45" s="387" t="n"/>
      <c r="F45" s="388" t="n"/>
      <c r="G45" s="389" t="n"/>
      <c r="H45" s="388" t="n"/>
      <c r="I45" s="390" t="n"/>
      <c r="J45" s="391" t="inlineStr">
        <is>
          <t>Qs=</t>
        </is>
      </c>
      <c r="K45" s="390" t="inlineStr">
        <is>
          <t>S a</t>
        </is>
      </c>
      <c r="L45" s="388" t="inlineStr">
        <is>
          <t>L</t>
        </is>
      </c>
      <c r="M45" s="389" t="inlineStr">
        <is>
          <t>R</t>
        </is>
      </c>
      <c r="N45" s="392" t="inlineStr">
        <is>
          <t>H</t>
        </is>
      </c>
      <c r="O45" s="393" t="inlineStr">
        <is>
          <t>D  T</t>
        </is>
      </c>
      <c r="P45" s="389" t="inlineStr">
        <is>
          <t>Ze</t>
        </is>
      </c>
      <c r="Q45" s="394" t="n"/>
    </row>
    <row r="46" ht="9.949999999999999" customFormat="1" customHeight="1" s="356">
      <c r="A46" s="395" t="inlineStr">
        <is>
          <t xml:space="preserve"> </t>
        </is>
      </c>
      <c r="B46" s="396" t="n"/>
      <c r="C46" s="397" t="n"/>
      <c r="D46" s="397" t="n"/>
      <c r="E46" s="398" t="n"/>
      <c r="F46" s="399" t="n"/>
      <c r="G46" s="400" t="n"/>
      <c r="H46" s="401" t="n"/>
      <c r="I46" s="402" t="n"/>
      <c r="J46" s="403" t="inlineStr">
        <is>
          <t>Qs  =</t>
        </is>
      </c>
      <c r="K46" s="404" t="n">
        <v>2</v>
      </c>
      <c r="L46" s="404" t="n">
        <v>0</v>
      </c>
      <c r="M46" s="404" t="n">
        <v>0.9</v>
      </c>
      <c r="N46" s="404" t="n">
        <v>0.67</v>
      </c>
      <c r="O46" s="381" t="n">
        <v>23</v>
      </c>
      <c r="P46" s="404" t="n">
        <v>1</v>
      </c>
      <c r="Q46" s="383">
        <f>K46*L46*M46*N46*O46*P46</f>
        <v/>
      </c>
    </row>
    <row r="47" ht="9.949999999999999" customFormat="1" customHeight="1" s="356">
      <c r="A47" s="405" t="n"/>
      <c r="B47" s="406" t="n"/>
      <c r="C47" s="397" t="n"/>
      <c r="D47" s="397" t="n"/>
      <c r="E47" s="378" t="n"/>
      <c r="F47" s="256" t="n"/>
      <c r="G47" s="407" t="n"/>
      <c r="H47" s="397" t="n"/>
      <c r="I47" s="397" t="n"/>
      <c r="J47" s="397" t="n"/>
      <c r="K47" s="407" t="n"/>
      <c r="L47" s="408" t="n"/>
      <c r="M47" s="409" t="inlineStr">
        <is>
          <t xml:space="preserve">   TOPLAM ISI KAYBI =</t>
        </is>
      </c>
      <c r="N47" s="409" t="n"/>
      <c r="O47" s="410" t="n"/>
      <c r="P47" s="409" t="n"/>
      <c r="Q47" s="411">
        <f>Q44+Q46</f>
        <v/>
      </c>
    </row>
    <row r="48" ht="10.35" customFormat="1" customHeight="1" s="412">
      <c r="A48" s="359" t="n"/>
      <c r="B48" s="360" t="n"/>
      <c r="C48" s="360" t="n"/>
      <c r="D48" s="360" t="n"/>
      <c r="E48" s="360" t="n"/>
      <c r="F48" s="361" t="inlineStr">
        <is>
          <t>1</t>
        </is>
      </c>
      <c r="G48" s="362" t="inlineStr">
        <is>
          <t>0</t>
        </is>
      </c>
      <c r="H48" s="360" t="inlineStr">
        <is>
          <t>1A1-05</t>
        </is>
      </c>
      <c r="I48" s="363" t="inlineStr">
        <is>
          <t>OFİS A1 ODA 2</t>
        </is>
      </c>
      <c r="J48" s="364" t="n"/>
      <c r="K48" s="360" t="inlineStr">
        <is>
          <t>20ºC</t>
        </is>
      </c>
      <c r="L48" s="360" t="n"/>
      <c r="M48" s="360" t="n"/>
      <c r="N48" s="360" t="n"/>
      <c r="O48" s="360" t="n"/>
      <c r="P48" s="360" t="n"/>
      <c r="Q48" s="365" t="n"/>
    </row>
    <row r="49" ht="9.949999999999999" customFormat="1" customHeight="1" s="412">
      <c r="A49" s="366" t="inlineStr">
        <is>
          <t>DD</t>
        </is>
      </c>
      <c r="B49" s="367" t="inlineStr">
        <is>
          <t>K</t>
        </is>
      </c>
      <c r="C49" s="368" t="n"/>
      <c r="D49" s="369" t="n">
        <v>2.7</v>
      </c>
      <c r="E49" s="369" t="n">
        <v>2.5</v>
      </c>
      <c r="F49" s="370">
        <f>IF(D49=0," ",D49*E49)</f>
        <v/>
      </c>
      <c r="G49" s="371" t="n">
        <v>1</v>
      </c>
      <c r="H49" s="372">
        <f>F51*G51</f>
        <v/>
      </c>
      <c r="I49" s="370">
        <f>IF(F49=" "," ",F49*G49-H49)</f>
        <v/>
      </c>
      <c r="J49" s="369" t="n">
        <v>0.344</v>
      </c>
      <c r="K49" s="371" t="n">
        <v>23</v>
      </c>
      <c r="L49" s="373">
        <f>IF(I49=" "," ",I49*J49*K49)</f>
        <v/>
      </c>
      <c r="M49" s="374" t="n">
        <v>7</v>
      </c>
      <c r="N49" s="371" t="n">
        <v>0</v>
      </c>
      <c r="O49" s="374" t="n">
        <v>5</v>
      </c>
      <c r="P49" s="370">
        <f>IF(M49=" "," ",(1+(M49+N49+O49)/100))</f>
        <v/>
      </c>
      <c r="Q49" s="375">
        <f>IF(L49=" "," ",L49*P49)</f>
        <v/>
      </c>
    </row>
    <row r="50" ht="9.949999999999999" customFormat="1" customHeight="1" s="351">
      <c r="A50" s="366" t="inlineStr">
        <is>
          <t>DD25</t>
        </is>
      </c>
      <c r="B50" s="367" t="inlineStr">
        <is>
          <t>K</t>
        </is>
      </c>
      <c r="C50" s="368" t="n"/>
      <c r="D50" s="369">
        <f>D49</f>
        <v/>
      </c>
      <c r="E50" s="369" t="n">
        <v>0.5</v>
      </c>
      <c r="F50" s="370">
        <f>IF(D50=0," ",D50*E50)</f>
        <v/>
      </c>
      <c r="G50" s="371" t="n">
        <v>1</v>
      </c>
      <c r="H50" s="372" t="n"/>
      <c r="I50" s="370">
        <f>IF(F50=" "," ",F50*G50-H50)</f>
        <v/>
      </c>
      <c r="J50" s="369" t="n">
        <v>0.387</v>
      </c>
      <c r="K50" s="371" t="n">
        <v>23</v>
      </c>
      <c r="L50" s="373">
        <f>IF(I50=" "," ",I50*J50*K50)</f>
        <v/>
      </c>
      <c r="M50" s="374" t="n">
        <v>7</v>
      </c>
      <c r="N50" s="371" t="n">
        <v>0</v>
      </c>
      <c r="O50" s="374" t="n">
        <v>5</v>
      </c>
      <c r="P50" s="370">
        <f>IF(M50=" "," ",(1+(M50+N50+O50)/100))</f>
        <v/>
      </c>
      <c r="Q50" s="375">
        <f>IF(L50=" "," ",L50*P50)</f>
        <v/>
      </c>
    </row>
    <row r="51" ht="9.949999999999999" customFormat="1" customHeight="1" s="356">
      <c r="A51" s="366" t="inlineStr">
        <is>
          <t>ÇP</t>
        </is>
      </c>
      <c r="B51" s="367" t="inlineStr">
        <is>
          <t>K</t>
        </is>
      </c>
      <c r="C51" s="368" t="n"/>
      <c r="D51" s="369" t="n">
        <v>1.49</v>
      </c>
      <c r="E51" s="369" t="n">
        <v>1.5</v>
      </c>
      <c r="F51" s="370">
        <f>IF(D51=0," ",D51*E51)</f>
        <v/>
      </c>
      <c r="G51" s="371" t="n">
        <v>1</v>
      </c>
      <c r="H51" s="372" t="n"/>
      <c r="I51" s="370">
        <f>IF(F51=" "," ",F51*G51-H51)</f>
        <v/>
      </c>
      <c r="J51" s="369" t="n">
        <v>1.8</v>
      </c>
      <c r="K51" s="371" t="n">
        <v>23</v>
      </c>
      <c r="L51" s="373">
        <f>IF(I51=" "," ",I51*J51*K51)</f>
        <v/>
      </c>
      <c r="M51" s="374" t="n">
        <v>7</v>
      </c>
      <c r="N51" s="371" t="n">
        <v>0</v>
      </c>
      <c r="O51" s="374" t="n">
        <v>5</v>
      </c>
      <c r="P51" s="370">
        <f>IF(M51=" "," ",(1+(M51+N51+O51)/100))</f>
        <v/>
      </c>
      <c r="Q51" s="375">
        <f>IF(L51=" "," ",L51*P51)</f>
        <v/>
      </c>
    </row>
    <row r="52" ht="9.949999999999999" customFormat="1" customHeight="1" s="356">
      <c r="A52" s="376" t="n"/>
      <c r="B52" s="377" t="n"/>
      <c r="C52" s="377" t="n"/>
      <c r="D52" s="378" t="n"/>
      <c r="E52" s="378" t="n"/>
      <c r="F52" s="378" t="n"/>
      <c r="G52" s="379" t="n"/>
      <c r="H52" s="378" t="n"/>
      <c r="I52" s="378" t="n"/>
      <c r="J52" s="378" t="n"/>
      <c r="K52" s="379" t="n"/>
      <c r="L52" s="380" t="n"/>
      <c r="M52" s="381" t="n"/>
      <c r="N52" s="381" t="n"/>
      <c r="O52" s="381" t="n"/>
      <c r="P52" s="382" t="n"/>
      <c r="Q52" s="383">
        <f>SUM(Q49:Q51)</f>
        <v/>
      </c>
    </row>
    <row r="53" ht="9.949999999999999" customFormat="1" customHeight="1" s="356">
      <c r="A53" s="384" t="n"/>
      <c r="B53" s="385" t="n"/>
      <c r="C53" s="385" t="n"/>
      <c r="D53" s="386" t="n"/>
      <c r="E53" s="387" t="n"/>
      <c r="F53" s="388" t="n"/>
      <c r="G53" s="389" t="n"/>
      <c r="H53" s="388" t="n"/>
      <c r="I53" s="390" t="n"/>
      <c r="J53" s="391" t="inlineStr">
        <is>
          <t>Qs=</t>
        </is>
      </c>
      <c r="K53" s="390" t="inlineStr">
        <is>
          <t>S a</t>
        </is>
      </c>
      <c r="L53" s="388" t="inlineStr">
        <is>
          <t>L</t>
        </is>
      </c>
      <c r="M53" s="389" t="inlineStr">
        <is>
          <t>R</t>
        </is>
      </c>
      <c r="N53" s="392" t="inlineStr">
        <is>
          <t>H</t>
        </is>
      </c>
      <c r="O53" s="393" t="inlineStr">
        <is>
          <t>D  T</t>
        </is>
      </c>
      <c r="P53" s="389" t="inlineStr">
        <is>
          <t>Ze</t>
        </is>
      </c>
      <c r="Q53" s="394" t="n"/>
    </row>
    <row r="54" ht="9.949999999999999" customFormat="1" customHeight="1" s="356">
      <c r="A54" s="395" t="inlineStr">
        <is>
          <t xml:space="preserve"> </t>
        </is>
      </c>
      <c r="B54" s="396" t="n"/>
      <c r="C54" s="397" t="n"/>
      <c r="D54" s="397" t="n"/>
      <c r="E54" s="398" t="n"/>
      <c r="F54" s="399" t="n"/>
      <c r="G54" s="400" t="n"/>
      <c r="H54" s="401" t="n"/>
      <c r="I54" s="402" t="n"/>
      <c r="J54" s="403" t="inlineStr">
        <is>
          <t>Qs  =</t>
        </is>
      </c>
      <c r="K54" s="404" t="n">
        <v>2</v>
      </c>
      <c r="L54" s="404">
        <f>(D51+E51)*2*G51</f>
        <v/>
      </c>
      <c r="M54" s="404" t="n">
        <v>0.9</v>
      </c>
      <c r="N54" s="404" t="n">
        <v>0.67</v>
      </c>
      <c r="O54" s="381" t="n">
        <v>23</v>
      </c>
      <c r="P54" s="404" t="n">
        <v>1</v>
      </c>
      <c r="Q54" s="383">
        <f>K54*L54*M54*N54*O54*P54</f>
        <v/>
      </c>
    </row>
    <row r="55" ht="9.949999999999999" customFormat="1" customHeight="1" s="356">
      <c r="A55" s="405" t="n"/>
      <c r="B55" s="406" t="n"/>
      <c r="C55" s="397" t="n"/>
      <c r="D55" s="397" t="n"/>
      <c r="E55" s="378" t="n"/>
      <c r="F55" s="256" t="n"/>
      <c r="G55" s="407" t="n"/>
      <c r="H55" s="397" t="n"/>
      <c r="I55" s="397" t="n"/>
      <c r="J55" s="397" t="n"/>
      <c r="K55" s="407" t="n"/>
      <c r="L55" s="408" t="n"/>
      <c r="M55" s="409" t="inlineStr">
        <is>
          <t xml:space="preserve">   TOPLAM ISI KAYBI =</t>
        </is>
      </c>
      <c r="N55" s="409" t="n"/>
      <c r="O55" s="410" t="n"/>
      <c r="P55" s="409" t="n"/>
      <c r="Q55" s="411">
        <f>Q52+Q54</f>
        <v/>
      </c>
    </row>
    <row r="56" ht="10.35" customFormat="1" customHeight="1" s="356">
      <c r="A56" s="359" t="n"/>
      <c r="B56" s="360" t="n"/>
      <c r="C56" s="360" t="n"/>
      <c r="D56" s="360" t="n"/>
      <c r="E56" s="360" t="n"/>
      <c r="F56" s="361" t="inlineStr">
        <is>
          <t>1</t>
        </is>
      </c>
      <c r="G56" s="362" t="inlineStr">
        <is>
          <t>0</t>
        </is>
      </c>
      <c r="H56" s="360" t="inlineStr">
        <is>
          <t>1A2-01</t>
        </is>
      </c>
      <c r="I56" s="363" t="inlineStr">
        <is>
          <t>OFİS A2 MUTFAK</t>
        </is>
      </c>
      <c r="J56" s="364" t="n"/>
      <c r="K56" s="360" t="inlineStr">
        <is>
          <t>20ºC</t>
        </is>
      </c>
      <c r="L56" s="360" t="n"/>
      <c r="M56" s="360" t="n"/>
      <c r="N56" s="360" t="n"/>
      <c r="O56" s="360" t="n"/>
      <c r="P56" s="360" t="n"/>
      <c r="Q56" s="365" t="n"/>
    </row>
    <row r="57" ht="9.949999999999999" customFormat="1" customHeight="1" s="356">
      <c r="A57" s="376" t="n"/>
      <c r="B57" s="377" t="n"/>
      <c r="C57" s="377" t="n"/>
      <c r="D57" s="378" t="n"/>
      <c r="E57" s="378" t="n"/>
      <c r="F57" s="378" t="n"/>
      <c r="G57" s="379" t="n"/>
      <c r="H57" s="378" t="n"/>
      <c r="I57" s="378" t="n"/>
      <c r="J57" s="378" t="n"/>
      <c r="K57" s="379" t="n"/>
      <c r="L57" s="380" t="n"/>
      <c r="M57" s="381" t="n"/>
      <c r="N57" s="381" t="n"/>
      <c r="O57" s="381" t="n"/>
      <c r="P57" s="382" t="n"/>
      <c r="Q57" s="383" t="n">
        <v>0</v>
      </c>
    </row>
    <row r="58" ht="9.949999999999999" customFormat="1" customHeight="1" s="356">
      <c r="A58" s="384" t="n"/>
      <c r="B58" s="385" t="n"/>
      <c r="C58" s="385" t="n"/>
      <c r="D58" s="386" t="n"/>
      <c r="E58" s="387" t="n"/>
      <c r="F58" s="388" t="n"/>
      <c r="G58" s="389" t="n"/>
      <c r="H58" s="388" t="n"/>
      <c r="I58" s="390" t="n"/>
      <c r="J58" s="391" t="inlineStr">
        <is>
          <t>Qs=</t>
        </is>
      </c>
      <c r="K58" s="390" t="inlineStr">
        <is>
          <t>S a</t>
        </is>
      </c>
      <c r="L58" s="388" t="inlineStr">
        <is>
          <t>L</t>
        </is>
      </c>
      <c r="M58" s="389" t="inlineStr">
        <is>
          <t>R</t>
        </is>
      </c>
      <c r="N58" s="392" t="inlineStr">
        <is>
          <t>H</t>
        </is>
      </c>
      <c r="O58" s="393" t="inlineStr">
        <is>
          <t>D  T</t>
        </is>
      </c>
      <c r="P58" s="389" t="inlineStr">
        <is>
          <t>Ze</t>
        </is>
      </c>
      <c r="Q58" s="394" t="n"/>
    </row>
    <row r="59" ht="9.949999999999999" customFormat="1" customHeight="1" s="356">
      <c r="A59" s="395" t="inlineStr">
        <is>
          <t xml:space="preserve"> </t>
        </is>
      </c>
      <c r="B59" s="396" t="n"/>
      <c r="C59" s="397" t="n"/>
      <c r="D59" s="397" t="n"/>
      <c r="E59" s="398" t="n"/>
      <c r="F59" s="399" t="n"/>
      <c r="G59" s="400" t="n"/>
      <c r="H59" s="401" t="n"/>
      <c r="I59" s="402" t="n"/>
      <c r="J59" s="403" t="inlineStr">
        <is>
          <t>Qs  =</t>
        </is>
      </c>
      <c r="K59" s="404" t="n">
        <v>2</v>
      </c>
      <c r="L59" s="404" t="n">
        <v>0</v>
      </c>
      <c r="M59" s="404" t="n">
        <v>0.9</v>
      </c>
      <c r="N59" s="404" t="n">
        <v>0.67</v>
      </c>
      <c r="O59" s="381" t="n">
        <v>23</v>
      </c>
      <c r="P59" s="404" t="n">
        <v>1</v>
      </c>
      <c r="Q59" s="383">
        <f>K59*L59*M59*N59*O59*P59</f>
        <v/>
      </c>
    </row>
    <row r="60" ht="9.949999999999999" customFormat="1" customHeight="1" s="356">
      <c r="A60" s="405" t="n"/>
      <c r="B60" s="406" t="n"/>
      <c r="C60" s="397" t="n"/>
      <c r="D60" s="397" t="n"/>
      <c r="E60" s="378" t="n"/>
      <c r="F60" s="256" t="n"/>
      <c r="G60" s="407" t="n"/>
      <c r="H60" s="397" t="n"/>
      <c r="I60" s="397" t="n"/>
      <c r="J60" s="397" t="n"/>
      <c r="K60" s="407" t="n"/>
      <c r="L60" s="408" t="n"/>
      <c r="M60" s="409" t="inlineStr">
        <is>
          <t xml:space="preserve">   TOPLAM ISI KAYBI =</t>
        </is>
      </c>
      <c r="N60" s="409" t="n"/>
      <c r="O60" s="410" t="n"/>
      <c r="P60" s="409" t="n"/>
      <c r="Q60" s="411">
        <f>Q57+Q59</f>
        <v/>
      </c>
    </row>
    <row r="61" ht="10.35" customFormat="1" customHeight="1" s="356">
      <c r="A61" s="359" t="n"/>
      <c r="B61" s="360" t="n"/>
      <c r="C61" s="360" t="n"/>
      <c r="D61" s="360" t="n"/>
      <c r="E61" s="360" t="n"/>
      <c r="F61" s="361" t="inlineStr">
        <is>
          <t>1</t>
        </is>
      </c>
      <c r="G61" s="362" t="inlineStr">
        <is>
          <t>0</t>
        </is>
      </c>
      <c r="H61" s="360" t="inlineStr">
        <is>
          <t>1A2-02</t>
        </is>
      </c>
      <c r="I61" s="363" t="inlineStr">
        <is>
          <t>OFİS A2 BANYO</t>
        </is>
      </c>
      <c r="J61" s="364" t="n"/>
      <c r="K61" s="360" t="inlineStr">
        <is>
          <t>24ºC</t>
        </is>
      </c>
      <c r="L61" s="360" t="n"/>
      <c r="M61" s="360" t="n"/>
      <c r="N61" s="360" t="n"/>
      <c r="O61" s="360" t="n"/>
      <c r="P61" s="360" t="n"/>
      <c r="Q61" s="365" t="n"/>
    </row>
    <row r="62" ht="9.949999999999999" customFormat="1" customHeight="1" s="356">
      <c r="A62" s="366" t="inlineStr">
        <is>
          <t>İDM</t>
        </is>
      </c>
      <c r="B62" s="367" t="inlineStr"/>
      <c r="C62" s="368" t="n"/>
      <c r="D62" s="369" t="n">
        <v>0.35</v>
      </c>
      <c r="E62" s="369" t="n">
        <v>3</v>
      </c>
      <c r="F62" s="370">
        <f>IF(D62=0," ",D62*E62)</f>
        <v/>
      </c>
      <c r="G62" s="371" t="n">
        <v>1</v>
      </c>
      <c r="H62" s="372" t="n"/>
      <c r="I62" s="370">
        <f>IF(F62=" "," ",F62*G62-H62)</f>
        <v/>
      </c>
      <c r="J62" s="369" t="n">
        <v>0.332</v>
      </c>
      <c r="K62" s="371" t="n">
        <v>14</v>
      </c>
      <c r="L62" s="373">
        <f>IF(I62=" "," ",I62*J62*K62)</f>
        <v/>
      </c>
      <c r="M62" s="374" t="n">
        <v>7</v>
      </c>
      <c r="N62" s="371" t="n">
        <v>0</v>
      </c>
      <c r="O62" s="374" t="n">
        <v>0</v>
      </c>
      <c r="P62" s="370">
        <f>IF(M62=" "," ",(1+(M62+N62+O62)/100))</f>
        <v/>
      </c>
      <c r="Q62" s="375">
        <f>IF(L62=" "," ",L62*P62)</f>
        <v/>
      </c>
    </row>
    <row r="63" ht="9.949999999999999" customFormat="1" customHeight="1" s="412">
      <c r="A63" s="366" t="inlineStr">
        <is>
          <t>İDM</t>
        </is>
      </c>
      <c r="B63" s="367" t="inlineStr"/>
      <c r="C63" s="368" t="n"/>
      <c r="D63" s="369" t="n">
        <v>0.35</v>
      </c>
      <c r="E63" s="369" t="n">
        <v>3</v>
      </c>
      <c r="F63" s="370">
        <f>IF(D63=0," ",D63*E63)</f>
        <v/>
      </c>
      <c r="G63" s="371" t="n">
        <v>1</v>
      </c>
      <c r="H63" s="372" t="n"/>
      <c r="I63" s="370">
        <f>IF(F63=" "," ",F63*G63-H63)</f>
        <v/>
      </c>
      <c r="J63" s="369" t="n">
        <v>0.332</v>
      </c>
      <c r="K63" s="371" t="n">
        <v>14</v>
      </c>
      <c r="L63" s="373">
        <f>IF(I63=" "," ",I63*J63*K63)</f>
        <v/>
      </c>
      <c r="M63" s="374" t="n">
        <v>7</v>
      </c>
      <c r="N63" s="371" t="n">
        <v>0</v>
      </c>
      <c r="O63" s="374" t="n">
        <v>0</v>
      </c>
      <c r="P63" s="370">
        <f>IF(M63=" "," ",(1+(M63+N63+O63)/100))</f>
        <v/>
      </c>
      <c r="Q63" s="375">
        <f>IF(L63=" "," ",L63*P63)</f>
        <v/>
      </c>
    </row>
    <row r="64" ht="9.949999999999999" customFormat="1" customHeight="1" s="412">
      <c r="A64" s="366" t="inlineStr">
        <is>
          <t>İDM</t>
        </is>
      </c>
      <c r="B64" s="367" t="inlineStr"/>
      <c r="C64" s="368" t="n"/>
      <c r="D64" s="369" t="n">
        <v>0.4</v>
      </c>
      <c r="E64" s="369" t="n">
        <v>3</v>
      </c>
      <c r="F64" s="370">
        <f>IF(D64=0," ",D64*E64)</f>
        <v/>
      </c>
      <c r="G64" s="371" t="n">
        <v>1</v>
      </c>
      <c r="H64" s="372" t="n"/>
      <c r="I64" s="370">
        <f>IF(F64=" "," ",F64*G64-H64)</f>
        <v/>
      </c>
      <c r="J64" s="369" t="n">
        <v>0.332</v>
      </c>
      <c r="K64" s="371" t="n">
        <v>14</v>
      </c>
      <c r="L64" s="373">
        <f>IF(I64=" "," ",I64*J64*K64)</f>
        <v/>
      </c>
      <c r="M64" s="374" t="n">
        <v>7</v>
      </c>
      <c r="N64" s="371" t="n">
        <v>0</v>
      </c>
      <c r="O64" s="374" t="n">
        <v>0</v>
      </c>
      <c r="P64" s="370">
        <f>IF(M64=" "," ",(1+(M64+N64+O64)/100))</f>
        <v/>
      </c>
      <c r="Q64" s="375">
        <f>IF(L64=" "," ",L64*P64)</f>
        <v/>
      </c>
    </row>
    <row r="65" ht="9.949999999999999" customFormat="1" customHeight="1" s="351">
      <c r="A65" s="366" t="inlineStr">
        <is>
          <t>İDM</t>
        </is>
      </c>
      <c r="B65" s="367" t="inlineStr"/>
      <c r="C65" s="368" t="n"/>
      <c r="D65" s="369" t="n">
        <v>0.45</v>
      </c>
      <c r="E65" s="369" t="n">
        <v>3</v>
      </c>
      <c r="F65" s="370">
        <f>IF(D65=0," ",D65*E65)</f>
        <v/>
      </c>
      <c r="G65" s="371" t="n">
        <v>1</v>
      </c>
      <c r="H65" s="372" t="n"/>
      <c r="I65" s="370">
        <f>IF(F65=" "," ",F65*G65-H65)</f>
        <v/>
      </c>
      <c r="J65" s="369" t="n">
        <v>0.332</v>
      </c>
      <c r="K65" s="371" t="n">
        <v>14</v>
      </c>
      <c r="L65" s="373">
        <f>IF(I65=" "," ",I65*J65*K65)</f>
        <v/>
      </c>
      <c r="M65" s="374" t="n">
        <v>7</v>
      </c>
      <c r="N65" s="371" t="n">
        <v>0</v>
      </c>
      <c r="O65" s="374" t="n">
        <v>0</v>
      </c>
      <c r="P65" s="370">
        <f>IF(M65=" "," ",(1+(M65+N65+O65)/100))</f>
        <v/>
      </c>
      <c r="Q65" s="375">
        <f>IF(L65=" "," ",L65*P65)</f>
        <v/>
      </c>
    </row>
    <row r="66" ht="9.949999999999999" customFormat="1" customHeight="1" s="356">
      <c r="A66" s="366" t="inlineStr">
        <is>
          <t>İDM</t>
        </is>
      </c>
      <c r="B66" s="367" t="inlineStr"/>
      <c r="C66" s="368" t="n"/>
      <c r="D66" s="369" t="n">
        <v>0.85</v>
      </c>
      <c r="E66" s="369" t="n">
        <v>3</v>
      </c>
      <c r="F66" s="370">
        <f>IF(D66=0," ",D66*E66)</f>
        <v/>
      </c>
      <c r="G66" s="371" t="n">
        <v>1</v>
      </c>
      <c r="H66" s="372" t="n"/>
      <c r="I66" s="370">
        <f>IF(F66=" "," ",F66*G66-H66)</f>
        <v/>
      </c>
      <c r="J66" s="369" t="n">
        <v>0.332</v>
      </c>
      <c r="K66" s="371" t="n">
        <v>14</v>
      </c>
      <c r="L66" s="373">
        <f>IF(I66=" "," ",I66*J66*K66)</f>
        <v/>
      </c>
      <c r="M66" s="374" t="n">
        <v>7</v>
      </c>
      <c r="N66" s="371" t="n">
        <v>0</v>
      </c>
      <c r="O66" s="374" t="n">
        <v>0</v>
      </c>
      <c r="P66" s="370">
        <f>IF(M66=" "," ",(1+(M66+N66+O66)/100))</f>
        <v/>
      </c>
      <c r="Q66" s="375">
        <f>IF(L66=" "," ",L66*P66)</f>
        <v/>
      </c>
    </row>
    <row r="67" ht="9.949999999999999" customFormat="1" customHeight="1" s="356">
      <c r="A67" s="366" t="inlineStr">
        <is>
          <t>İDM</t>
        </is>
      </c>
      <c r="B67" s="367" t="inlineStr"/>
      <c r="C67" s="368" t="n"/>
      <c r="D67" s="369" t="n">
        <v>0.3</v>
      </c>
      <c r="E67" s="369" t="n">
        <v>3</v>
      </c>
      <c r="F67" s="370">
        <f>IF(D67=0," ",D67*E67)</f>
        <v/>
      </c>
      <c r="G67" s="371" t="n">
        <v>1</v>
      </c>
      <c r="H67" s="372" t="n"/>
      <c r="I67" s="370">
        <f>IF(F67=" "," ",F67*G67-H67)</f>
        <v/>
      </c>
      <c r="J67" s="369" t="n">
        <v>0.332</v>
      </c>
      <c r="K67" s="371" t="n">
        <v>14</v>
      </c>
      <c r="L67" s="373">
        <f>IF(I67=" "," ",I67*J67*K67)</f>
        <v/>
      </c>
      <c r="M67" s="374" t="n">
        <v>7</v>
      </c>
      <c r="N67" s="371" t="n">
        <v>0</v>
      </c>
      <c r="O67" s="374" t="n">
        <v>0</v>
      </c>
      <c r="P67" s="370">
        <f>IF(M67=" "," ",(1+(M67+N67+O67)/100))</f>
        <v/>
      </c>
      <c r="Q67" s="375">
        <f>IF(L67=" "," ",L67*P67)</f>
        <v/>
      </c>
    </row>
    <row r="68" ht="9.949999999999999" customFormat="1" customHeight="1" s="356">
      <c r="A68" s="366" t="inlineStr">
        <is>
          <t>İDM</t>
        </is>
      </c>
      <c r="B68" s="367" t="inlineStr"/>
      <c r="C68" s="368" t="n"/>
      <c r="D68" s="369" t="n">
        <v>0.29</v>
      </c>
      <c r="E68" s="369" t="n">
        <v>3</v>
      </c>
      <c r="F68" s="370">
        <f>IF(D68=0," ",D68*E68)</f>
        <v/>
      </c>
      <c r="G68" s="371" t="n">
        <v>1</v>
      </c>
      <c r="H68" s="372" t="n"/>
      <c r="I68" s="370">
        <f>IF(F68=" "," ",F68*G68-H68)</f>
        <v/>
      </c>
      <c r="J68" s="369" t="n">
        <v>0.332</v>
      </c>
      <c r="K68" s="371" t="n">
        <v>14</v>
      </c>
      <c r="L68" s="373">
        <f>IF(I68=" "," ",I68*J68*K68)</f>
        <v/>
      </c>
      <c r="M68" s="374" t="n">
        <v>7</v>
      </c>
      <c r="N68" s="371" t="n">
        <v>0</v>
      </c>
      <c r="O68" s="374" t="n">
        <v>0</v>
      </c>
      <c r="P68" s="370">
        <f>IF(M68=" "," ",(1+(M68+N68+O68)/100))</f>
        <v/>
      </c>
      <c r="Q68" s="375">
        <f>IF(L68=" "," ",L68*P68)</f>
        <v/>
      </c>
    </row>
    <row r="69" ht="9.949999999999999" customFormat="1" customHeight="1" s="356">
      <c r="A69" s="366" t="inlineStr">
        <is>
          <t>İDM</t>
        </is>
      </c>
      <c r="B69" s="367" t="inlineStr"/>
      <c r="C69" s="368" t="n"/>
      <c r="D69" s="369" t="n">
        <v>0.22</v>
      </c>
      <c r="E69" s="369" t="n">
        <v>3</v>
      </c>
      <c r="F69" s="370">
        <f>IF(D69=0," ",D69*E69)</f>
        <v/>
      </c>
      <c r="G69" s="371" t="n">
        <v>1</v>
      </c>
      <c r="H69" s="372" t="n"/>
      <c r="I69" s="370">
        <f>IF(F69=" "," ",F69*G69-H69)</f>
        <v/>
      </c>
      <c r="J69" s="369" t="n">
        <v>0.332</v>
      </c>
      <c r="K69" s="371" t="n">
        <v>14</v>
      </c>
      <c r="L69" s="373">
        <f>IF(I69=" "," ",I69*J69*K69)</f>
        <v/>
      </c>
      <c r="M69" s="374" t="n">
        <v>7</v>
      </c>
      <c r="N69" s="371" t="n">
        <v>0</v>
      </c>
      <c r="O69" s="374" t="n">
        <v>0</v>
      </c>
      <c r="P69" s="370">
        <f>IF(M69=" "," ",(1+(M69+N69+O69)/100))</f>
        <v/>
      </c>
      <c r="Q69" s="375">
        <f>IF(L69=" "," ",L69*P69)</f>
        <v/>
      </c>
    </row>
    <row r="70" ht="9.949999999999999" customFormat="1" customHeight="1" s="356">
      <c r="A70" s="376" t="n"/>
      <c r="B70" s="377" t="n"/>
      <c r="C70" s="377" t="n"/>
      <c r="D70" s="378" t="n"/>
      <c r="E70" s="378" t="n"/>
      <c r="F70" s="378" t="n"/>
      <c r="G70" s="379" t="n"/>
      <c r="H70" s="378" t="n"/>
      <c r="I70" s="378" t="n"/>
      <c r="J70" s="378" t="n"/>
      <c r="K70" s="379" t="n"/>
      <c r="L70" s="380" t="n"/>
      <c r="M70" s="381" t="n"/>
      <c r="N70" s="381" t="n"/>
      <c r="O70" s="381" t="n"/>
      <c r="P70" s="382" t="n"/>
      <c r="Q70" s="383">
        <f>SUM(Q62:Q69)</f>
        <v/>
      </c>
    </row>
    <row r="71" ht="9.949999999999999" customFormat="1" customHeight="1" s="356">
      <c r="A71" s="384" t="n"/>
      <c r="B71" s="385" t="n"/>
      <c r="C71" s="385" t="n"/>
      <c r="D71" s="386" t="n"/>
      <c r="E71" s="387" t="n"/>
      <c r="F71" s="388" t="n"/>
      <c r="G71" s="389" t="n"/>
      <c r="H71" s="388" t="n"/>
      <c r="I71" s="390" t="n"/>
      <c r="J71" s="391" t="inlineStr">
        <is>
          <t>Qs=</t>
        </is>
      </c>
      <c r="K71" s="390" t="inlineStr">
        <is>
          <t>S a</t>
        </is>
      </c>
      <c r="L71" s="388" t="inlineStr">
        <is>
          <t>L</t>
        </is>
      </c>
      <c r="M71" s="389" t="inlineStr">
        <is>
          <t>R</t>
        </is>
      </c>
      <c r="N71" s="392" t="inlineStr">
        <is>
          <t>H</t>
        </is>
      </c>
      <c r="O71" s="393" t="inlineStr">
        <is>
          <t>D  T</t>
        </is>
      </c>
      <c r="P71" s="389" t="inlineStr">
        <is>
          <t>Ze</t>
        </is>
      </c>
      <c r="Q71" s="394" t="n"/>
    </row>
    <row r="72" ht="9.949999999999999" customFormat="1" customHeight="1" s="356">
      <c r="A72" s="395" t="inlineStr">
        <is>
          <t xml:space="preserve"> </t>
        </is>
      </c>
      <c r="B72" s="396" t="n"/>
      <c r="C72" s="397" t="n"/>
      <c r="D72" s="397" t="n"/>
      <c r="E72" s="398" t="n"/>
      <c r="F72" s="399" t="n"/>
      <c r="G72" s="400" t="n"/>
      <c r="H72" s="401" t="n"/>
      <c r="I72" s="402" t="n"/>
      <c r="J72" s="403" t="inlineStr">
        <is>
          <t>Qs  =</t>
        </is>
      </c>
      <c r="K72" s="404" t="n">
        <v>2</v>
      </c>
      <c r="L72" s="404" t="n">
        <v>0</v>
      </c>
      <c r="M72" s="404" t="n">
        <v>0.9</v>
      </c>
      <c r="N72" s="404" t="n">
        <v>0.67</v>
      </c>
      <c r="O72" s="381" t="n">
        <v>27</v>
      </c>
      <c r="P72" s="404" t="n">
        <v>1</v>
      </c>
      <c r="Q72" s="383">
        <f>K72*L72*M72*N72*O72*P72</f>
        <v/>
      </c>
    </row>
    <row r="73" ht="9.949999999999999" customFormat="1" customHeight="1" s="356">
      <c r="A73" s="405" t="n"/>
      <c r="B73" s="406" t="n"/>
      <c r="C73" s="397" t="n"/>
      <c r="D73" s="397" t="n"/>
      <c r="E73" s="378" t="n"/>
      <c r="F73" s="256" t="n"/>
      <c r="G73" s="407" t="n"/>
      <c r="H73" s="397" t="n"/>
      <c r="I73" s="397" t="n"/>
      <c r="J73" s="397" t="n"/>
      <c r="K73" s="407" t="n"/>
      <c r="L73" s="408" t="n"/>
      <c r="M73" s="409" t="inlineStr">
        <is>
          <t xml:space="preserve">   TOPLAM ISI KAYBI =</t>
        </is>
      </c>
      <c r="N73" s="409" t="n"/>
      <c r="O73" s="410" t="n"/>
      <c r="P73" s="409" t="n"/>
      <c r="Q73" s="411">
        <f>Q70+Q72</f>
        <v/>
      </c>
    </row>
    <row r="74" ht="10.35" customFormat="1" customHeight="1" s="356">
      <c r="A74" s="359" t="n"/>
      <c r="B74" s="360" t="n"/>
      <c r="C74" s="360" t="n"/>
      <c r="D74" s="360" t="n"/>
      <c r="E74" s="360" t="n"/>
      <c r="F74" s="361" t="inlineStr">
        <is>
          <t>1</t>
        </is>
      </c>
      <c r="G74" s="362" t="inlineStr">
        <is>
          <t>0</t>
        </is>
      </c>
      <c r="H74" s="360" t="inlineStr">
        <is>
          <t>1A2-03</t>
        </is>
      </c>
      <c r="I74" s="363" t="inlineStr">
        <is>
          <t>OFİS A2 ODA 1</t>
        </is>
      </c>
      <c r="J74" s="364" t="n"/>
      <c r="K74" s="360" t="inlineStr">
        <is>
          <t>20ºC</t>
        </is>
      </c>
      <c r="L74" s="360" t="n"/>
      <c r="M74" s="360" t="n"/>
      <c r="N74" s="360" t="n"/>
      <c r="O74" s="360" t="n"/>
      <c r="P74" s="360" t="n"/>
      <c r="Q74" s="365" t="n"/>
    </row>
    <row r="75" ht="9.949999999999999" customFormat="1" customHeight="1" s="356">
      <c r="A75" s="366" t="inlineStr">
        <is>
          <t>DD</t>
        </is>
      </c>
      <c r="B75" s="367" t="inlineStr">
        <is>
          <t>K</t>
        </is>
      </c>
      <c r="C75" s="368" t="n"/>
      <c r="D75" s="369" t="n">
        <v>2.7</v>
      </c>
      <c r="E75" s="369" t="n">
        <v>2.5</v>
      </c>
      <c r="F75" s="370">
        <f>IF(D75=0," ",D75*E75)</f>
        <v/>
      </c>
      <c r="G75" s="371" t="n">
        <v>1</v>
      </c>
      <c r="H75" s="372">
        <f>F77*G77</f>
        <v/>
      </c>
      <c r="I75" s="370">
        <f>IF(F75=" "," ",F75*G75-H75)</f>
        <v/>
      </c>
      <c r="J75" s="369" t="n">
        <v>0.344</v>
      </c>
      <c r="K75" s="371" t="n">
        <v>23</v>
      </c>
      <c r="L75" s="373">
        <f>IF(I75=" "," ",I75*J75*K75)</f>
        <v/>
      </c>
      <c r="M75" s="374" t="n">
        <v>7</v>
      </c>
      <c r="N75" s="371" t="n">
        <v>0</v>
      </c>
      <c r="O75" s="374" t="n">
        <v>5</v>
      </c>
      <c r="P75" s="370">
        <f>IF(M75=" "," ",(1+(M75+N75+O75)/100))</f>
        <v/>
      </c>
      <c r="Q75" s="375">
        <f>IF(L75=" "," ",L75*P75)</f>
        <v/>
      </c>
    </row>
    <row r="76" ht="9.949999999999999" customFormat="1" customHeight="1" s="412">
      <c r="A76" s="366" t="inlineStr">
        <is>
          <t>DD25</t>
        </is>
      </c>
      <c r="B76" s="367" t="inlineStr">
        <is>
          <t>K</t>
        </is>
      </c>
      <c r="C76" s="368" t="n"/>
      <c r="D76" s="369">
        <f>D75</f>
        <v/>
      </c>
      <c r="E76" s="369" t="n">
        <v>0.5</v>
      </c>
      <c r="F76" s="370">
        <f>IF(D76=0," ",D76*E76)</f>
        <v/>
      </c>
      <c r="G76" s="371" t="n">
        <v>1</v>
      </c>
      <c r="H76" s="372" t="n"/>
      <c r="I76" s="370">
        <f>IF(F76=" "," ",F76*G76-H76)</f>
        <v/>
      </c>
      <c r="J76" s="369" t="n">
        <v>0.387</v>
      </c>
      <c r="K76" s="371" t="n">
        <v>23</v>
      </c>
      <c r="L76" s="373">
        <f>IF(I76=" "," ",I76*J76*K76)</f>
        <v/>
      </c>
      <c r="M76" s="374" t="n">
        <v>7</v>
      </c>
      <c r="N76" s="371" t="n">
        <v>0</v>
      </c>
      <c r="O76" s="374" t="n">
        <v>5</v>
      </c>
      <c r="P76" s="370">
        <f>IF(M76=" "," ",(1+(M76+N76+O76)/100))</f>
        <v/>
      </c>
      <c r="Q76" s="375">
        <f>IF(L76=" "," ",L76*P76)</f>
        <v/>
      </c>
    </row>
    <row r="77" ht="9.949999999999999" customFormat="1" customHeight="1" s="412">
      <c r="A77" s="366" t="inlineStr">
        <is>
          <t>ÇP</t>
        </is>
      </c>
      <c r="B77" s="367" t="inlineStr">
        <is>
          <t>K</t>
        </is>
      </c>
      <c r="C77" s="368" t="n"/>
      <c r="D77" s="369" t="n">
        <v>1.49</v>
      </c>
      <c r="E77" s="369" t="n">
        <v>1.5</v>
      </c>
      <c r="F77" s="370">
        <f>IF(D77=0," ",D77*E77)</f>
        <v/>
      </c>
      <c r="G77" s="371" t="n">
        <v>1</v>
      </c>
      <c r="H77" s="372" t="n"/>
      <c r="I77" s="370">
        <f>IF(F77=" "," ",F77*G77-H77)</f>
        <v/>
      </c>
      <c r="J77" s="369" t="n">
        <v>1.8</v>
      </c>
      <c r="K77" s="371" t="n">
        <v>23</v>
      </c>
      <c r="L77" s="373">
        <f>IF(I77=" "," ",I77*J77*K77)</f>
        <v/>
      </c>
      <c r="M77" s="374" t="n">
        <v>7</v>
      </c>
      <c r="N77" s="371" t="n">
        <v>0</v>
      </c>
      <c r="O77" s="374" t="n">
        <v>5</v>
      </c>
      <c r="P77" s="370">
        <f>IF(M77=" "," ",(1+(M77+N77+O77)/100))</f>
        <v/>
      </c>
      <c r="Q77" s="375">
        <f>IF(L77=" "," ",L77*P77)</f>
        <v/>
      </c>
    </row>
    <row r="78" ht="9.949999999999999" customFormat="1" customHeight="1" s="351">
      <c r="A78" s="376" t="n"/>
      <c r="B78" s="377" t="n"/>
      <c r="C78" s="377" t="n"/>
      <c r="D78" s="378" t="n"/>
      <c r="E78" s="378" t="n"/>
      <c r="F78" s="378" t="n"/>
      <c r="G78" s="379" t="n"/>
      <c r="H78" s="378" t="n"/>
      <c r="I78" s="378" t="n"/>
      <c r="J78" s="378" t="n"/>
      <c r="K78" s="379" t="n"/>
      <c r="L78" s="380" t="n"/>
      <c r="M78" s="381" t="n"/>
      <c r="N78" s="381" t="n"/>
      <c r="O78" s="381" t="n"/>
      <c r="P78" s="382" t="n"/>
      <c r="Q78" s="383">
        <f>SUM(Q75:Q77)</f>
        <v/>
      </c>
    </row>
    <row r="79" ht="9.949999999999999" customHeight="1" s="244">
      <c r="A79" s="384" t="n"/>
      <c r="B79" s="385" t="n"/>
      <c r="C79" s="385" t="n"/>
      <c r="D79" s="386" t="n"/>
      <c r="E79" s="387" t="n"/>
      <c r="F79" s="388" t="n"/>
      <c r="G79" s="389" t="n"/>
      <c r="H79" s="388" t="n"/>
      <c r="I79" s="390" t="n"/>
      <c r="J79" s="391" t="inlineStr">
        <is>
          <t>Qs=</t>
        </is>
      </c>
      <c r="K79" s="390" t="inlineStr">
        <is>
          <t>S a</t>
        </is>
      </c>
      <c r="L79" s="388" t="inlineStr">
        <is>
          <t>L</t>
        </is>
      </c>
      <c r="M79" s="389" t="inlineStr">
        <is>
          <t>R</t>
        </is>
      </c>
      <c r="N79" s="392" t="inlineStr">
        <is>
          <t>H</t>
        </is>
      </c>
      <c r="O79" s="393" t="inlineStr">
        <is>
          <t>D  T</t>
        </is>
      </c>
      <c r="P79" s="389" t="inlineStr">
        <is>
          <t>Ze</t>
        </is>
      </c>
      <c r="Q79" s="394" t="n"/>
    </row>
    <row r="80" ht="9.949999999999999" customHeight="1" s="244">
      <c r="A80" s="395" t="inlineStr">
        <is>
          <t xml:space="preserve"> </t>
        </is>
      </c>
      <c r="C80" s="397" t="n"/>
      <c r="D80" s="397" t="n"/>
      <c r="E80" s="398" t="n"/>
      <c r="F80" s="399" t="n"/>
      <c r="G80" s="400" t="n"/>
      <c r="H80" s="401" t="n"/>
      <c r="I80" s="402" t="n"/>
      <c r="J80" s="403" t="inlineStr">
        <is>
          <t>Qs  =</t>
        </is>
      </c>
      <c r="K80" s="404" t="n">
        <v>2</v>
      </c>
      <c r="L80" s="404">
        <f>(D77+E77)*2*G77</f>
        <v/>
      </c>
      <c r="M80" s="404" t="n">
        <v>0.9</v>
      </c>
      <c r="N80" s="404" t="n">
        <v>0.67</v>
      </c>
      <c r="O80" s="381" t="n">
        <v>23</v>
      </c>
      <c r="P80" s="404" t="n">
        <v>1</v>
      </c>
      <c r="Q80" s="383">
        <f>K80*L80*M80*N80*O80*P80</f>
        <v/>
      </c>
    </row>
    <row r="81" ht="9.949999999999999" customHeight="1" s="244">
      <c r="A81" s="405" t="n"/>
      <c r="B81" s="406" t="n"/>
      <c r="C81" s="397" t="n"/>
      <c r="D81" s="397" t="n"/>
      <c r="E81" s="378" t="n"/>
      <c r="F81" s="256" t="n"/>
      <c r="G81" s="407" t="n"/>
      <c r="H81" s="397" t="n"/>
      <c r="I81" s="397" t="n"/>
      <c r="J81" s="397" t="n"/>
      <c r="K81" s="407" t="n"/>
      <c r="L81" s="408" t="n"/>
      <c r="M81" s="409" t="inlineStr">
        <is>
          <t xml:space="preserve">   TOPLAM ISI KAYBI =</t>
        </is>
      </c>
      <c r="N81" s="409" t="n"/>
      <c r="O81" s="410" t="n"/>
      <c r="P81" s="409" t="n"/>
      <c r="Q81" s="411">
        <f>Q78+Q80</f>
        <v/>
      </c>
    </row>
    <row r="82" ht="10.35" customHeight="1" s="244">
      <c r="A82" s="359" t="n"/>
      <c r="B82" s="360" t="n"/>
      <c r="C82" s="360" t="n"/>
      <c r="D82" s="360" t="n"/>
      <c r="E82" s="360" t="n"/>
      <c r="F82" s="361" t="inlineStr">
        <is>
          <t>1</t>
        </is>
      </c>
      <c r="G82" s="362" t="inlineStr">
        <is>
          <t>0</t>
        </is>
      </c>
      <c r="H82" s="360" t="inlineStr">
        <is>
          <t>1A2-04</t>
        </is>
      </c>
      <c r="I82" s="363" t="inlineStr">
        <is>
          <t>OFİS A2 ODA 2</t>
        </is>
      </c>
      <c r="J82" s="364" t="n"/>
      <c r="K82" s="360" t="inlineStr">
        <is>
          <t>20ºC</t>
        </is>
      </c>
      <c r="L82" s="360" t="n"/>
      <c r="M82" s="360" t="n"/>
      <c r="N82" s="360" t="n"/>
      <c r="O82" s="360" t="n"/>
      <c r="P82" s="360" t="n"/>
      <c r="Q82" s="365" t="n"/>
    </row>
    <row r="83" ht="9.949999999999999" customHeight="1" s="244">
      <c r="A83" s="366" t="inlineStr">
        <is>
          <t>DD</t>
        </is>
      </c>
      <c r="B83" s="367" t="inlineStr">
        <is>
          <t>K</t>
        </is>
      </c>
      <c r="C83" s="368" t="n"/>
      <c r="D83" s="369" t="n">
        <v>0.58</v>
      </c>
      <c r="E83" s="369" t="n">
        <v>2.5</v>
      </c>
      <c r="F83" s="370">
        <f>IF(D83=0," ",D83*E83)</f>
        <v/>
      </c>
      <c r="G83" s="371" t="n">
        <v>1</v>
      </c>
      <c r="H83" s="372" t="n"/>
      <c r="I83" s="370">
        <f>IF(F83=" "," ",F83*G83-H83)</f>
        <v/>
      </c>
      <c r="J83" s="369" t="n">
        <v>0.344</v>
      </c>
      <c r="K83" s="371" t="n">
        <v>23</v>
      </c>
      <c r="L83" s="373">
        <f>IF(I83=" "," ",I83*J83*K83)</f>
        <v/>
      </c>
      <c r="M83" s="374" t="n">
        <v>7</v>
      </c>
      <c r="N83" s="371" t="n">
        <v>0</v>
      </c>
      <c r="O83" s="374" t="n">
        <v>5</v>
      </c>
      <c r="P83" s="370">
        <f>IF(M83=" "," ",(1+(M83+N83+O83)/100))</f>
        <v/>
      </c>
      <c r="Q83" s="375">
        <f>IF(L83=" "," ",L83*P83)</f>
        <v/>
      </c>
    </row>
    <row r="84" ht="9.949999999999999" customFormat="1" customHeight="1" s="329">
      <c r="A84" s="366" t="inlineStr">
        <is>
          <t>DD25</t>
        </is>
      </c>
      <c r="B84" s="367" t="inlineStr">
        <is>
          <t>K</t>
        </is>
      </c>
      <c r="C84" s="368" t="n"/>
      <c r="D84" s="369">
        <f>D83</f>
        <v/>
      </c>
      <c r="E84" s="369" t="n">
        <v>0.5</v>
      </c>
      <c r="F84" s="370">
        <f>IF(D84=0," ",D84*E84)</f>
        <v/>
      </c>
      <c r="G84" s="371" t="n">
        <v>1</v>
      </c>
      <c r="H84" s="372" t="n"/>
      <c r="I84" s="370">
        <f>IF(F84=" "," ",F84*G84-H84)</f>
        <v/>
      </c>
      <c r="J84" s="369" t="n">
        <v>0.387</v>
      </c>
      <c r="K84" s="371" t="n">
        <v>23</v>
      </c>
      <c r="L84" s="373">
        <f>IF(I84=" "," ",I84*J84*K84)</f>
        <v/>
      </c>
      <c r="M84" s="374" t="n">
        <v>7</v>
      </c>
      <c r="N84" s="371" t="n">
        <v>0</v>
      </c>
      <c r="O84" s="374" t="n">
        <v>5</v>
      </c>
      <c r="P84" s="370">
        <f>IF(M84=" "," ",(1+(M84+N84+O84)/100))</f>
        <v/>
      </c>
      <c r="Q84" s="375">
        <f>IF(L84=" "," ",L84*P84)</f>
        <v/>
      </c>
    </row>
    <row r="85" ht="9.949999999999999" customFormat="1" customHeight="1" s="339">
      <c r="A85" s="366" t="inlineStr">
        <is>
          <t>DD</t>
        </is>
      </c>
      <c r="B85" s="367" t="inlineStr">
        <is>
          <t>K</t>
        </is>
      </c>
      <c r="C85" s="368" t="n"/>
      <c r="D85" s="369" t="n">
        <v>1.18</v>
      </c>
      <c r="E85" s="369" t="n">
        <v>2.5</v>
      </c>
      <c r="F85" s="370">
        <f>IF(D85=0," ",D85*E85)</f>
        <v/>
      </c>
      <c r="G85" s="371" t="n">
        <v>1</v>
      </c>
      <c r="H85" s="372">
        <f>F87*G87</f>
        <v/>
      </c>
      <c r="I85" s="370">
        <f>IF(F85=" "," ",F85*G85-H85)</f>
        <v/>
      </c>
      <c r="J85" s="369" t="n">
        <v>0.344</v>
      </c>
      <c r="K85" s="371" t="n">
        <v>23</v>
      </c>
      <c r="L85" s="373">
        <f>IF(I85=" "," ",I85*J85*K85)</f>
        <v/>
      </c>
      <c r="M85" s="374" t="n">
        <v>7</v>
      </c>
      <c r="N85" s="371" t="n">
        <v>0</v>
      </c>
      <c r="O85" s="374" t="n">
        <v>5</v>
      </c>
      <c r="P85" s="370">
        <f>IF(M85=" "," ",(1+(M85+N85+O85)/100))</f>
        <v/>
      </c>
      <c r="Q85" s="375">
        <f>IF(L85=" "," ",L85*P85)</f>
        <v/>
      </c>
    </row>
    <row r="86" ht="9.949999999999999" customFormat="1" customHeight="1" s="339">
      <c r="A86" s="366" t="inlineStr">
        <is>
          <t>DD25</t>
        </is>
      </c>
      <c r="B86" s="367" t="inlineStr">
        <is>
          <t>K</t>
        </is>
      </c>
      <c r="C86" s="368" t="n"/>
      <c r="D86" s="369">
        <f>D85</f>
        <v/>
      </c>
      <c r="E86" s="369" t="n">
        <v>0.5</v>
      </c>
      <c r="F86" s="370">
        <f>IF(D86=0," ",D86*E86)</f>
        <v/>
      </c>
      <c r="G86" s="371" t="n">
        <v>1</v>
      </c>
      <c r="H86" s="372" t="n"/>
      <c r="I86" s="370">
        <f>IF(F86=" "," ",F86*G86-H86)</f>
        <v/>
      </c>
      <c r="J86" s="369" t="n">
        <v>0.387</v>
      </c>
      <c r="K86" s="371" t="n">
        <v>23</v>
      </c>
      <c r="L86" s="373">
        <f>IF(I86=" "," ",I86*J86*K86)</f>
        <v/>
      </c>
      <c r="M86" s="374" t="n">
        <v>7</v>
      </c>
      <c r="N86" s="371" t="n">
        <v>0</v>
      </c>
      <c r="O86" s="374" t="n">
        <v>5</v>
      </c>
      <c r="P86" s="370">
        <f>IF(M86=" "," ",(1+(M86+N86+O86)/100))</f>
        <v/>
      </c>
      <c r="Q86" s="375">
        <f>IF(L86=" "," ",L86*P86)</f>
        <v/>
      </c>
    </row>
    <row r="87" ht="9.949999999999999" customFormat="1" customHeight="1" s="351">
      <c r="A87" s="366" t="inlineStr">
        <is>
          <t>ÇP</t>
        </is>
      </c>
      <c r="B87" s="367" t="inlineStr">
        <is>
          <t>K</t>
        </is>
      </c>
      <c r="C87" s="368" t="n"/>
      <c r="D87" s="369" t="n">
        <v>0.65</v>
      </c>
      <c r="E87" s="369" t="n">
        <v>1.5</v>
      </c>
      <c r="F87" s="370">
        <f>IF(D87=0," ",D87*E87)</f>
        <v/>
      </c>
      <c r="G87" s="371" t="n">
        <v>1</v>
      </c>
      <c r="H87" s="372" t="n"/>
      <c r="I87" s="370">
        <f>IF(F87=" "," ",F87*G87-H87)</f>
        <v/>
      </c>
      <c r="J87" s="369" t="n">
        <v>1.8</v>
      </c>
      <c r="K87" s="371" t="n">
        <v>23</v>
      </c>
      <c r="L87" s="373">
        <f>IF(I87=" "," ",I87*J87*K87)</f>
        <v/>
      </c>
      <c r="M87" s="374" t="n">
        <v>7</v>
      </c>
      <c r="N87" s="371" t="n">
        <v>0</v>
      </c>
      <c r="O87" s="374" t="n">
        <v>5</v>
      </c>
      <c r="P87" s="370">
        <f>IF(M87=" "," ",(1+(M87+N87+O87)/100))</f>
        <v/>
      </c>
      <c r="Q87" s="375">
        <f>IF(L87=" "," ",L87*P87)</f>
        <v/>
      </c>
    </row>
    <row r="88" ht="9.949999999999999" customFormat="1" customHeight="1" s="351">
      <c r="A88" s="376" t="n"/>
      <c r="B88" s="377" t="n"/>
      <c r="C88" s="377" t="n"/>
      <c r="D88" s="378" t="n"/>
      <c r="E88" s="378" t="n"/>
      <c r="F88" s="378" t="n"/>
      <c r="G88" s="379" t="n"/>
      <c r="H88" s="378" t="n"/>
      <c r="I88" s="378" t="n"/>
      <c r="J88" s="378" t="n"/>
      <c r="K88" s="379" t="n"/>
      <c r="L88" s="380" t="n"/>
      <c r="M88" s="381" t="n"/>
      <c r="N88" s="381" t="n"/>
      <c r="O88" s="381" t="n"/>
      <c r="P88" s="382" t="n"/>
      <c r="Q88" s="383">
        <f>SUM(Q83:Q87)</f>
        <v/>
      </c>
    </row>
    <row r="89" ht="9.949999999999999" customFormat="1" customHeight="1" s="356">
      <c r="A89" s="384" t="n"/>
      <c r="B89" s="385" t="n"/>
      <c r="C89" s="385" t="n"/>
      <c r="D89" s="386" t="n"/>
      <c r="E89" s="387" t="n"/>
      <c r="F89" s="388" t="n"/>
      <c r="G89" s="389" t="n"/>
      <c r="H89" s="388" t="n"/>
      <c r="I89" s="390" t="n"/>
      <c r="J89" s="391" t="inlineStr">
        <is>
          <t>Qs=</t>
        </is>
      </c>
      <c r="K89" s="390" t="inlineStr">
        <is>
          <t>S a</t>
        </is>
      </c>
      <c r="L89" s="388" t="inlineStr">
        <is>
          <t>L</t>
        </is>
      </c>
      <c r="M89" s="389" t="inlineStr">
        <is>
          <t>R</t>
        </is>
      </c>
      <c r="N89" s="392" t="inlineStr">
        <is>
          <t>H</t>
        </is>
      </c>
      <c r="O89" s="393" t="inlineStr">
        <is>
          <t>D  T</t>
        </is>
      </c>
      <c r="P89" s="389" t="inlineStr">
        <is>
          <t>Ze</t>
        </is>
      </c>
      <c r="Q89" s="394" t="n"/>
    </row>
    <row r="90" ht="9.949999999999999" customFormat="1" customHeight="1" s="356">
      <c r="A90" s="395" t="inlineStr">
        <is>
          <t xml:space="preserve"> </t>
        </is>
      </c>
      <c r="B90" s="346" t="n"/>
      <c r="C90" s="397" t="n"/>
      <c r="D90" s="397" t="n"/>
      <c r="E90" s="398" t="n"/>
      <c r="F90" s="399" t="n"/>
      <c r="G90" s="400" t="n"/>
      <c r="H90" s="401" t="n"/>
      <c r="I90" s="402" t="n"/>
      <c r="J90" s="403" t="inlineStr">
        <is>
          <t>Qs  =</t>
        </is>
      </c>
      <c r="K90" s="404" t="n">
        <v>2</v>
      </c>
      <c r="L90" s="404">
        <f>(D87+E87)*2*G87</f>
        <v/>
      </c>
      <c r="M90" s="404" t="n">
        <v>0.9</v>
      </c>
      <c r="N90" s="404" t="n">
        <v>0.67</v>
      </c>
      <c r="O90" s="381" t="n">
        <v>23</v>
      </c>
      <c r="P90" s="404" t="n">
        <v>1</v>
      </c>
      <c r="Q90" s="383">
        <f>K90*L90*M90*N90*O90*P90</f>
        <v/>
      </c>
    </row>
    <row r="91" ht="9.949999999999999" customFormat="1" customHeight="1" s="356">
      <c r="A91" s="405" t="n"/>
      <c r="B91" s="406" t="n"/>
      <c r="C91" s="397" t="n"/>
      <c r="D91" s="397" t="n"/>
      <c r="E91" s="378" t="n"/>
      <c r="F91" s="256" t="n"/>
      <c r="G91" s="407" t="n"/>
      <c r="H91" s="397" t="n"/>
      <c r="I91" s="397" t="n"/>
      <c r="J91" s="397" t="n"/>
      <c r="K91" s="407" t="n"/>
      <c r="L91" s="408" t="n"/>
      <c r="M91" s="409" t="inlineStr">
        <is>
          <t xml:space="preserve">   TOPLAM ISI KAYBI =</t>
        </is>
      </c>
      <c r="N91" s="409" t="n"/>
      <c r="O91" s="410" t="n"/>
      <c r="P91" s="409" t="n"/>
      <c r="Q91" s="411">
        <f>Q88+Q90</f>
        <v/>
      </c>
    </row>
    <row r="92" ht="10.35" customFormat="1" customHeight="1" s="356">
      <c r="A92" s="359" t="n"/>
      <c r="B92" s="360" t="n"/>
      <c r="C92" s="360" t="n"/>
      <c r="D92" s="360" t="n"/>
      <c r="E92" s="360" t="n"/>
      <c r="F92" s="361" t="inlineStr">
        <is>
          <t>1</t>
        </is>
      </c>
      <c r="G92" s="362" t="inlineStr">
        <is>
          <t>0</t>
        </is>
      </c>
      <c r="H92" s="360" t="inlineStr">
        <is>
          <t>1A2-05</t>
        </is>
      </c>
      <c r="I92" s="363" t="inlineStr">
        <is>
          <t>OFİS A2 HOL</t>
        </is>
      </c>
      <c r="J92" s="364" t="n"/>
      <c r="K92" s="360" t="inlineStr">
        <is>
          <t>20ºC</t>
        </is>
      </c>
      <c r="L92" s="360" t="n"/>
      <c r="M92" s="360" t="n"/>
      <c r="N92" s="360" t="n"/>
      <c r="O92" s="360" t="n"/>
      <c r="P92" s="360" t="n"/>
      <c r="Q92" s="365" t="n"/>
    </row>
    <row r="93" ht="9.949999999999999" customFormat="1" customHeight="1" s="356">
      <c r="A93" s="366" t="inlineStr">
        <is>
          <t>İDM</t>
        </is>
      </c>
      <c r="B93" s="367" t="inlineStr"/>
      <c r="C93" s="368" t="n"/>
      <c r="D93" s="369" t="n">
        <v>0.33</v>
      </c>
      <c r="E93" s="369" t="n">
        <v>3</v>
      </c>
      <c r="F93" s="370">
        <f>IF(D93=0," ",D93*E93)</f>
        <v/>
      </c>
      <c r="G93" s="371" t="n">
        <v>1</v>
      </c>
      <c r="H93" s="372" t="n"/>
      <c r="I93" s="370">
        <f>IF(F93=" "," ",F93*G93-H93)</f>
        <v/>
      </c>
      <c r="J93" s="369" t="n">
        <v>0.332</v>
      </c>
      <c r="K93" s="371" t="n">
        <v>10</v>
      </c>
      <c r="L93" s="373">
        <f>IF(I93=" "," ",I93*J93*K93)</f>
        <v/>
      </c>
      <c r="M93" s="374" t="n">
        <v>7</v>
      </c>
      <c r="N93" s="371" t="n">
        <v>0</v>
      </c>
      <c r="O93" s="374" t="n">
        <v>0</v>
      </c>
      <c r="P93" s="370">
        <f>IF(M93=" "," ",(1+(M93+N93+O93)/100))</f>
        <v/>
      </c>
      <c r="Q93" s="375">
        <f>IF(L93=" "," ",L93*P93)</f>
        <v/>
      </c>
    </row>
    <row r="94" ht="9.949999999999999" customFormat="1" customHeight="1" s="356">
      <c r="A94" s="366" t="inlineStr">
        <is>
          <t>İDM</t>
        </is>
      </c>
      <c r="B94" s="367" t="inlineStr"/>
      <c r="C94" s="368" t="n"/>
      <c r="D94" s="369" t="n">
        <v>1.76</v>
      </c>
      <c r="E94" s="369" t="n">
        <v>3</v>
      </c>
      <c r="F94" s="370">
        <f>IF(D94=0," ",D94*E94)</f>
        <v/>
      </c>
      <c r="G94" s="371" t="n">
        <v>1</v>
      </c>
      <c r="H94" s="372" t="n"/>
      <c r="I94" s="370">
        <f>IF(F94=" "," ",F94*G94-H94)</f>
        <v/>
      </c>
      <c r="J94" s="369" t="n">
        <v>0.332</v>
      </c>
      <c r="K94" s="371" t="n">
        <v>10</v>
      </c>
      <c r="L94" s="373">
        <f>IF(I94=" "," ",I94*J94*K94)</f>
        <v/>
      </c>
      <c r="M94" s="374" t="n">
        <v>7</v>
      </c>
      <c r="N94" s="371" t="n">
        <v>0</v>
      </c>
      <c r="O94" s="374" t="n">
        <v>0</v>
      </c>
      <c r="P94" s="370">
        <f>IF(M94=" "," ",(1+(M94+N94+O94)/100))</f>
        <v/>
      </c>
      <c r="Q94" s="375">
        <f>IF(L94=" "," ",L94*P94)</f>
        <v/>
      </c>
    </row>
    <row r="95" ht="9.949999999999999" customFormat="1" customHeight="1" s="356">
      <c r="A95" s="366" t="inlineStr">
        <is>
          <t>İDM</t>
        </is>
      </c>
      <c r="B95" s="367" t="inlineStr"/>
      <c r="C95" s="368" t="n"/>
      <c r="D95" s="369" t="n">
        <v>0.37</v>
      </c>
      <c r="E95" s="369" t="n">
        <v>3</v>
      </c>
      <c r="F95" s="370">
        <f>IF(D95=0," ",D95*E95)</f>
        <v/>
      </c>
      <c r="G95" s="371" t="n">
        <v>1</v>
      </c>
      <c r="H95" s="372" t="n"/>
      <c r="I95" s="370">
        <f>IF(F95=" "," ",F95*G95-H95)</f>
        <v/>
      </c>
      <c r="J95" s="369" t="n">
        <v>0.332</v>
      </c>
      <c r="K95" s="371" t="n">
        <v>10</v>
      </c>
      <c r="L95" s="373">
        <f>IF(I95=" "," ",I95*J95*K95)</f>
        <v/>
      </c>
      <c r="M95" s="374" t="n">
        <v>7</v>
      </c>
      <c r="N95" s="371" t="n">
        <v>0</v>
      </c>
      <c r="O95" s="374" t="n">
        <v>0</v>
      </c>
      <c r="P95" s="370">
        <f>IF(M95=" "," ",(1+(M95+N95+O95)/100))</f>
        <v/>
      </c>
      <c r="Q95" s="375">
        <f>IF(L95=" "," ",L95*P95)</f>
        <v/>
      </c>
    </row>
    <row r="96" ht="9.949999999999999" customFormat="1" customHeight="1" s="356">
      <c r="A96" s="376" t="n"/>
      <c r="B96" s="377" t="n"/>
      <c r="C96" s="377" t="n"/>
      <c r="D96" s="378" t="n"/>
      <c r="E96" s="378" t="n"/>
      <c r="F96" s="378" t="n"/>
      <c r="G96" s="379" t="n"/>
      <c r="H96" s="378" t="n"/>
      <c r="I96" s="378" t="n"/>
      <c r="J96" s="378" t="n"/>
      <c r="K96" s="379" t="n"/>
      <c r="L96" s="380" t="n"/>
      <c r="M96" s="381" t="n"/>
      <c r="N96" s="381" t="n"/>
      <c r="O96" s="381" t="n"/>
      <c r="P96" s="382" t="n"/>
      <c r="Q96" s="383">
        <f>SUM(Q93:Q95)</f>
        <v/>
      </c>
    </row>
    <row r="97" ht="9.949999999999999" customFormat="1" customHeight="1" s="356">
      <c r="A97" s="384" t="n"/>
      <c r="B97" s="385" t="n"/>
      <c r="C97" s="385" t="n"/>
      <c r="D97" s="386" t="n"/>
      <c r="E97" s="387" t="n"/>
      <c r="F97" s="388" t="n"/>
      <c r="G97" s="389" t="n"/>
      <c r="H97" s="388" t="n"/>
      <c r="I97" s="390" t="n"/>
      <c r="J97" s="391" t="inlineStr">
        <is>
          <t>Qs=</t>
        </is>
      </c>
      <c r="K97" s="390" t="inlineStr">
        <is>
          <t>S a</t>
        </is>
      </c>
      <c r="L97" s="388" t="inlineStr">
        <is>
          <t>L</t>
        </is>
      </c>
      <c r="M97" s="389" t="inlineStr">
        <is>
          <t>R</t>
        </is>
      </c>
      <c r="N97" s="392" t="inlineStr">
        <is>
          <t>H</t>
        </is>
      </c>
      <c r="O97" s="393" t="inlineStr">
        <is>
          <t>D  T</t>
        </is>
      </c>
      <c r="P97" s="389" t="inlineStr">
        <is>
          <t>Ze</t>
        </is>
      </c>
      <c r="Q97" s="394" t="n"/>
    </row>
    <row r="98" ht="9.949999999999999" customFormat="1" customHeight="1" s="356">
      <c r="A98" s="395" t="inlineStr">
        <is>
          <t xml:space="preserve"> </t>
        </is>
      </c>
      <c r="B98" s="396" t="n"/>
      <c r="C98" s="397" t="n"/>
      <c r="D98" s="397" t="n"/>
      <c r="E98" s="398" t="n"/>
      <c r="F98" s="399" t="n"/>
      <c r="G98" s="400" t="n"/>
      <c r="H98" s="401" t="n"/>
      <c r="I98" s="402" t="n"/>
      <c r="J98" s="403" t="inlineStr">
        <is>
          <t>Qs  =</t>
        </is>
      </c>
      <c r="K98" s="404" t="n">
        <v>2</v>
      </c>
      <c r="L98" s="404" t="n">
        <v>0</v>
      </c>
      <c r="M98" s="404" t="n">
        <v>0.9</v>
      </c>
      <c r="N98" s="404" t="n">
        <v>0.67</v>
      </c>
      <c r="O98" s="381" t="n">
        <v>23</v>
      </c>
      <c r="P98" s="404" t="n">
        <v>1</v>
      </c>
      <c r="Q98" s="383">
        <f>K98*L98*M98*N98*O98*P98</f>
        <v/>
      </c>
    </row>
    <row r="99" ht="9.949999999999999" customFormat="1" customHeight="1" s="356">
      <c r="A99" s="405" t="n"/>
      <c r="B99" s="406" t="n"/>
      <c r="C99" s="397" t="n"/>
      <c r="D99" s="397" t="n"/>
      <c r="E99" s="378" t="n"/>
      <c r="F99" s="256" t="n"/>
      <c r="G99" s="407" t="n"/>
      <c r="H99" s="397" t="n"/>
      <c r="I99" s="397" t="n"/>
      <c r="J99" s="397" t="n"/>
      <c r="K99" s="407" t="n"/>
      <c r="L99" s="408" t="n"/>
      <c r="M99" s="409" t="inlineStr">
        <is>
          <t xml:space="preserve">   TOPLAM ISI KAYBI =</t>
        </is>
      </c>
      <c r="N99" s="409" t="n"/>
      <c r="O99" s="410" t="n"/>
      <c r="P99" s="409" t="n"/>
      <c r="Q99" s="411">
        <f>Q96+Q98</f>
        <v/>
      </c>
    </row>
    <row r="100" ht="10.35" customFormat="1" customHeight="1" s="356">
      <c r="A100" s="359" t="n"/>
      <c r="B100" s="360" t="n"/>
      <c r="C100" s="360" t="n"/>
      <c r="D100" s="360" t="n"/>
      <c r="E100" s="360" t="n"/>
      <c r="F100" s="361" t="inlineStr">
        <is>
          <t>1</t>
        </is>
      </c>
      <c r="G100" s="362" t="inlineStr">
        <is>
          <t>0</t>
        </is>
      </c>
      <c r="H100" s="360" t="inlineStr">
        <is>
          <t>1A3-01</t>
        </is>
      </c>
      <c r="I100" s="363" t="inlineStr">
        <is>
          <t>OFİS A3 BANYO</t>
        </is>
      </c>
      <c r="J100" s="364" t="n"/>
      <c r="K100" s="360" t="inlineStr">
        <is>
          <t>24ºC</t>
        </is>
      </c>
      <c r="L100" s="360" t="n"/>
      <c r="M100" s="360" t="n"/>
      <c r="N100" s="360" t="n"/>
      <c r="O100" s="360" t="n"/>
      <c r="P100" s="360" t="n"/>
      <c r="Q100" s="365" t="n"/>
    </row>
    <row r="101" ht="9.949999999999999" customFormat="1" customHeight="1" s="356">
      <c r="A101" s="366" t="inlineStr">
        <is>
          <t>İDM</t>
        </is>
      </c>
      <c r="B101" s="367" t="inlineStr"/>
      <c r="C101" s="368" t="n"/>
      <c r="D101" s="369" t="n">
        <v>0.29</v>
      </c>
      <c r="E101" s="369" t="n">
        <v>3</v>
      </c>
      <c r="F101" s="370">
        <f>IF(D101=0," ",D101*E101)</f>
        <v/>
      </c>
      <c r="G101" s="371" t="n">
        <v>1</v>
      </c>
      <c r="H101" s="372" t="n"/>
      <c r="I101" s="370">
        <f>IF(F101=" "," ",F101*G101-H101)</f>
        <v/>
      </c>
      <c r="J101" s="369" t="n">
        <v>0.332</v>
      </c>
      <c r="K101" s="371" t="n">
        <v>14</v>
      </c>
      <c r="L101" s="373">
        <f>IF(I101=" "," ",I101*J101*K101)</f>
        <v/>
      </c>
      <c r="M101" s="374" t="n">
        <v>7</v>
      </c>
      <c r="N101" s="371" t="n">
        <v>0</v>
      </c>
      <c r="O101" s="374" t="n">
        <v>0</v>
      </c>
      <c r="P101" s="370">
        <f>IF(M101=" "," ",(1+(M101+N101+O101)/100))</f>
        <v/>
      </c>
      <c r="Q101" s="375">
        <f>IF(L101=" "," ",L101*P101)</f>
        <v/>
      </c>
    </row>
    <row r="102" ht="9.949999999999999" customFormat="1" customHeight="1" s="412">
      <c r="A102" s="366" t="inlineStr">
        <is>
          <t>İDM</t>
        </is>
      </c>
      <c r="B102" s="367" t="inlineStr"/>
      <c r="C102" s="368" t="n"/>
      <c r="D102" s="369" t="n">
        <v>0.3</v>
      </c>
      <c r="E102" s="369" t="n">
        <v>3</v>
      </c>
      <c r="F102" s="370">
        <f>IF(D102=0," ",D102*E102)</f>
        <v/>
      </c>
      <c r="G102" s="371" t="n">
        <v>1</v>
      </c>
      <c r="H102" s="372" t="n"/>
      <c r="I102" s="370">
        <f>IF(F102=" "," ",F102*G102-H102)</f>
        <v/>
      </c>
      <c r="J102" s="369" t="n">
        <v>0.332</v>
      </c>
      <c r="K102" s="371" t="n">
        <v>14</v>
      </c>
      <c r="L102" s="373">
        <f>IF(I102=" "," ",I102*J102*K102)</f>
        <v/>
      </c>
      <c r="M102" s="374" t="n">
        <v>7</v>
      </c>
      <c r="N102" s="371" t="n">
        <v>0</v>
      </c>
      <c r="O102" s="374" t="n">
        <v>0</v>
      </c>
      <c r="P102" s="370">
        <f>IF(M102=" "," ",(1+(M102+N102+O102)/100))</f>
        <v/>
      </c>
      <c r="Q102" s="375">
        <f>IF(L102=" "," ",L102*P102)</f>
        <v/>
      </c>
    </row>
    <row r="103" ht="9.949999999999999" customFormat="1" customHeight="1" s="412">
      <c r="A103" s="366" t="inlineStr">
        <is>
          <t>İDM</t>
        </is>
      </c>
      <c r="B103" s="367" t="inlineStr"/>
      <c r="C103" s="368" t="n"/>
      <c r="D103" s="369" t="n">
        <v>0.9</v>
      </c>
      <c r="E103" s="369" t="n">
        <v>3</v>
      </c>
      <c r="F103" s="370">
        <f>IF(D103=0," ",D103*E103)</f>
        <v/>
      </c>
      <c r="G103" s="371" t="n">
        <v>1</v>
      </c>
      <c r="H103" s="372" t="n"/>
      <c r="I103" s="370">
        <f>IF(F103=" "," ",F103*G103-H103)</f>
        <v/>
      </c>
      <c r="J103" s="369" t="n">
        <v>0.332</v>
      </c>
      <c r="K103" s="371" t="n">
        <v>14</v>
      </c>
      <c r="L103" s="373">
        <f>IF(I103=" "," ",I103*J103*K103)</f>
        <v/>
      </c>
      <c r="M103" s="374" t="n">
        <v>7</v>
      </c>
      <c r="N103" s="371" t="n">
        <v>0</v>
      </c>
      <c r="O103" s="374" t="n">
        <v>0</v>
      </c>
      <c r="P103" s="370">
        <f>IF(M103=" "," ",(1+(M103+N103+O103)/100))</f>
        <v/>
      </c>
      <c r="Q103" s="375">
        <f>IF(L103=" "," ",L103*P103)</f>
        <v/>
      </c>
    </row>
    <row r="104" ht="9.949999999999999" customFormat="1" customHeight="1" s="351">
      <c r="A104" s="366" t="inlineStr">
        <is>
          <t>İDM</t>
        </is>
      </c>
      <c r="B104" s="367" t="inlineStr"/>
      <c r="C104" s="368" t="n"/>
      <c r="D104" s="369" t="n">
        <v>0.45</v>
      </c>
      <c r="E104" s="369" t="n">
        <v>3</v>
      </c>
      <c r="F104" s="370">
        <f>IF(D104=0," ",D104*E104)</f>
        <v/>
      </c>
      <c r="G104" s="371" t="n">
        <v>1</v>
      </c>
      <c r="H104" s="372" t="n"/>
      <c r="I104" s="370">
        <f>IF(F104=" "," ",F104*G104-H104)</f>
        <v/>
      </c>
      <c r="J104" s="369" t="n">
        <v>0.332</v>
      </c>
      <c r="K104" s="371" t="n">
        <v>14</v>
      </c>
      <c r="L104" s="373">
        <f>IF(I104=" "," ",I104*J104*K104)</f>
        <v/>
      </c>
      <c r="M104" s="374" t="n">
        <v>7</v>
      </c>
      <c r="N104" s="371" t="n">
        <v>0</v>
      </c>
      <c r="O104" s="374" t="n">
        <v>0</v>
      </c>
      <c r="P104" s="370">
        <f>IF(M104=" "," ",(1+(M104+N104+O104)/100))</f>
        <v/>
      </c>
      <c r="Q104" s="375">
        <f>IF(L104=" "," ",L104*P104)</f>
        <v/>
      </c>
    </row>
    <row r="105" ht="9.949999999999999" customFormat="1" customHeight="1" s="356">
      <c r="A105" s="366" t="inlineStr">
        <is>
          <t>İDM</t>
        </is>
      </c>
      <c r="B105" s="367" t="inlineStr"/>
      <c r="C105" s="368" t="n"/>
      <c r="D105" s="369" t="n">
        <v>0.4</v>
      </c>
      <c r="E105" s="369" t="n">
        <v>3</v>
      </c>
      <c r="F105" s="370">
        <f>IF(D105=0," ",D105*E105)</f>
        <v/>
      </c>
      <c r="G105" s="371" t="n">
        <v>1</v>
      </c>
      <c r="H105" s="372" t="n"/>
      <c r="I105" s="370">
        <f>IF(F105=" "," ",F105*G105-H105)</f>
        <v/>
      </c>
      <c r="J105" s="369" t="n">
        <v>0.332</v>
      </c>
      <c r="K105" s="371" t="n">
        <v>14</v>
      </c>
      <c r="L105" s="373">
        <f>IF(I105=" "," ",I105*J105*K105)</f>
        <v/>
      </c>
      <c r="M105" s="374" t="n">
        <v>7</v>
      </c>
      <c r="N105" s="371" t="n">
        <v>0</v>
      </c>
      <c r="O105" s="374" t="n">
        <v>0</v>
      </c>
      <c r="P105" s="370">
        <f>IF(M105=" "," ",(1+(M105+N105+O105)/100))</f>
        <v/>
      </c>
      <c r="Q105" s="375">
        <f>IF(L105=" "," ",L105*P105)</f>
        <v/>
      </c>
    </row>
    <row r="106" ht="9.949999999999999" customFormat="1" customHeight="1" s="356">
      <c r="A106" s="366" t="inlineStr">
        <is>
          <t>İDM</t>
        </is>
      </c>
      <c r="B106" s="367" t="inlineStr"/>
      <c r="C106" s="368" t="n"/>
      <c r="D106" s="369" t="n">
        <v>0.25</v>
      </c>
      <c r="E106" s="369" t="n">
        <v>3</v>
      </c>
      <c r="F106" s="370">
        <f>IF(D106=0," ",D106*E106)</f>
        <v/>
      </c>
      <c r="G106" s="371" t="n">
        <v>1</v>
      </c>
      <c r="H106" s="372" t="n"/>
      <c r="I106" s="370">
        <f>IF(F106=" "," ",F106*G106-H106)</f>
        <v/>
      </c>
      <c r="J106" s="369" t="n">
        <v>0.332</v>
      </c>
      <c r="K106" s="371" t="n">
        <v>14</v>
      </c>
      <c r="L106" s="373">
        <f>IF(I106=" "," ",I106*J106*K106)</f>
        <v/>
      </c>
      <c r="M106" s="374" t="n">
        <v>7</v>
      </c>
      <c r="N106" s="371" t="n">
        <v>0</v>
      </c>
      <c r="O106" s="374" t="n">
        <v>0</v>
      </c>
      <c r="P106" s="370">
        <f>IF(M106=" "," ",(1+(M106+N106+O106)/100))</f>
        <v/>
      </c>
      <c r="Q106" s="375">
        <f>IF(L106=" "," ",L106*P106)</f>
        <v/>
      </c>
    </row>
    <row r="107" ht="9.949999999999999" customFormat="1" customHeight="1" s="356">
      <c r="A107" s="366" t="inlineStr">
        <is>
          <t>İDM</t>
        </is>
      </c>
      <c r="B107" s="367" t="inlineStr"/>
      <c r="C107" s="368" t="n"/>
      <c r="D107" s="369" t="n">
        <v>0.4</v>
      </c>
      <c r="E107" s="369" t="n">
        <v>3</v>
      </c>
      <c r="F107" s="370">
        <f>IF(D107=0," ",D107*E107)</f>
        <v/>
      </c>
      <c r="G107" s="371" t="n">
        <v>1</v>
      </c>
      <c r="H107" s="372" t="n"/>
      <c r="I107" s="370">
        <f>IF(F107=" "," ",F107*G107-H107)</f>
        <v/>
      </c>
      <c r="J107" s="369" t="n">
        <v>0.332</v>
      </c>
      <c r="K107" s="371" t="n">
        <v>14</v>
      </c>
      <c r="L107" s="373">
        <f>IF(I107=" "," ",I107*J107*K107)</f>
        <v/>
      </c>
      <c r="M107" s="374" t="n">
        <v>7</v>
      </c>
      <c r="N107" s="371" t="n">
        <v>0</v>
      </c>
      <c r="O107" s="374" t="n">
        <v>0</v>
      </c>
      <c r="P107" s="370">
        <f>IF(M107=" "," ",(1+(M107+N107+O107)/100))</f>
        <v/>
      </c>
      <c r="Q107" s="375">
        <f>IF(L107=" "," ",L107*P107)</f>
        <v/>
      </c>
    </row>
    <row r="108" ht="9.949999999999999" customFormat="1" customHeight="1" s="356">
      <c r="A108" s="366" t="inlineStr">
        <is>
          <t>İDM</t>
        </is>
      </c>
      <c r="B108" s="367" t="inlineStr"/>
      <c r="C108" s="368" t="n"/>
      <c r="D108" s="369" t="n">
        <v>0.3</v>
      </c>
      <c r="E108" s="369" t="n">
        <v>3</v>
      </c>
      <c r="F108" s="370">
        <f>IF(D108=0," ",D108*E108)</f>
        <v/>
      </c>
      <c r="G108" s="371" t="n">
        <v>1</v>
      </c>
      <c r="H108" s="372" t="n"/>
      <c r="I108" s="370">
        <f>IF(F108=" "," ",F108*G108-H108)</f>
        <v/>
      </c>
      <c r="J108" s="369" t="n">
        <v>0.332</v>
      </c>
      <c r="K108" s="371" t="n">
        <v>14</v>
      </c>
      <c r="L108" s="373">
        <f>IF(I108=" "," ",I108*J108*K108)</f>
        <v/>
      </c>
      <c r="M108" s="374" t="n">
        <v>7</v>
      </c>
      <c r="N108" s="371" t="n">
        <v>0</v>
      </c>
      <c r="O108" s="374" t="n">
        <v>0</v>
      </c>
      <c r="P108" s="370">
        <f>IF(M108=" "," ",(1+(M108+N108+O108)/100))</f>
        <v/>
      </c>
      <c r="Q108" s="375">
        <f>IF(L108=" "," ",L108*P108)</f>
        <v/>
      </c>
    </row>
    <row r="109" ht="9.949999999999999" customFormat="1" customHeight="1" s="356">
      <c r="A109" s="376" t="n"/>
      <c r="B109" s="377" t="n"/>
      <c r="C109" s="377" t="n"/>
      <c r="D109" s="378" t="n"/>
      <c r="E109" s="378" t="n"/>
      <c r="F109" s="378" t="n"/>
      <c r="G109" s="379" t="n"/>
      <c r="H109" s="378" t="n"/>
      <c r="I109" s="378" t="n"/>
      <c r="J109" s="378" t="n"/>
      <c r="K109" s="379" t="n"/>
      <c r="L109" s="380" t="n"/>
      <c r="M109" s="381" t="n"/>
      <c r="N109" s="381" t="n"/>
      <c r="O109" s="381" t="n"/>
      <c r="P109" s="382" t="n"/>
      <c r="Q109" s="383">
        <f>SUM(Q101:Q108)</f>
        <v/>
      </c>
    </row>
    <row r="110" ht="9.949999999999999" customFormat="1" customHeight="1" s="356">
      <c r="A110" s="384" t="n"/>
      <c r="B110" s="385" t="n"/>
      <c r="C110" s="385" t="n"/>
      <c r="D110" s="386" t="n"/>
      <c r="E110" s="387" t="n"/>
      <c r="F110" s="388" t="n"/>
      <c r="G110" s="389" t="n"/>
      <c r="H110" s="388" t="n"/>
      <c r="I110" s="390" t="n"/>
      <c r="J110" s="391" t="inlineStr">
        <is>
          <t>Qs=</t>
        </is>
      </c>
      <c r="K110" s="390" t="inlineStr">
        <is>
          <t>S a</t>
        </is>
      </c>
      <c r="L110" s="388" t="inlineStr">
        <is>
          <t>L</t>
        </is>
      </c>
      <c r="M110" s="389" t="inlineStr">
        <is>
          <t>R</t>
        </is>
      </c>
      <c r="N110" s="392" t="inlineStr">
        <is>
          <t>H</t>
        </is>
      </c>
      <c r="O110" s="393" t="inlineStr">
        <is>
          <t>D  T</t>
        </is>
      </c>
      <c r="P110" s="389" t="inlineStr">
        <is>
          <t>Ze</t>
        </is>
      </c>
      <c r="Q110" s="394" t="n"/>
    </row>
    <row r="111" ht="9.949999999999999" customFormat="1" customHeight="1" s="356">
      <c r="A111" s="395" t="inlineStr">
        <is>
          <t xml:space="preserve"> </t>
        </is>
      </c>
      <c r="B111" s="396" t="n"/>
      <c r="C111" s="397" t="n"/>
      <c r="D111" s="397" t="n"/>
      <c r="E111" s="398" t="n"/>
      <c r="F111" s="399" t="n"/>
      <c r="G111" s="400" t="n"/>
      <c r="H111" s="401" t="n"/>
      <c r="I111" s="402" t="n"/>
      <c r="J111" s="403" t="inlineStr">
        <is>
          <t>Qs  =</t>
        </is>
      </c>
      <c r="K111" s="404" t="n">
        <v>2</v>
      </c>
      <c r="L111" s="404" t="n">
        <v>0</v>
      </c>
      <c r="M111" s="404" t="n">
        <v>0.9</v>
      </c>
      <c r="N111" s="404" t="n">
        <v>0.67</v>
      </c>
      <c r="O111" s="381" t="n">
        <v>27</v>
      </c>
      <c r="P111" s="404" t="n">
        <v>1</v>
      </c>
      <c r="Q111" s="383">
        <f>K111*L111*M111*N111*O111*P111</f>
        <v/>
      </c>
    </row>
    <row r="112" ht="9.949999999999999" customFormat="1" customHeight="1" s="356">
      <c r="A112" s="405" t="n"/>
      <c r="B112" s="406" t="n"/>
      <c r="C112" s="397" t="n"/>
      <c r="D112" s="397" t="n"/>
      <c r="E112" s="378" t="n"/>
      <c r="F112" s="256" t="n"/>
      <c r="G112" s="407" t="n"/>
      <c r="H112" s="397" t="n"/>
      <c r="I112" s="397" t="n"/>
      <c r="J112" s="397" t="n"/>
      <c r="K112" s="407" t="n"/>
      <c r="L112" s="408" t="n"/>
      <c r="M112" s="409" t="inlineStr">
        <is>
          <t xml:space="preserve">   TOPLAM ISI KAYBI =</t>
        </is>
      </c>
      <c r="N112" s="409" t="n"/>
      <c r="O112" s="410" t="n"/>
      <c r="P112" s="409" t="n"/>
      <c r="Q112" s="411">
        <f>Q109+Q111</f>
        <v/>
      </c>
    </row>
    <row r="113" ht="10.35" customFormat="1" customHeight="1" s="356">
      <c r="A113" s="359" t="n"/>
      <c r="B113" s="360" t="n"/>
      <c r="C113" s="360" t="n"/>
      <c r="D113" s="360" t="n"/>
      <c r="E113" s="360" t="n"/>
      <c r="F113" s="361" t="inlineStr">
        <is>
          <t>1</t>
        </is>
      </c>
      <c r="G113" s="362" t="inlineStr">
        <is>
          <t>0</t>
        </is>
      </c>
      <c r="H113" s="360" t="inlineStr">
        <is>
          <t>1A3-02</t>
        </is>
      </c>
      <c r="I113" s="363" t="inlineStr">
        <is>
          <t>OFİS A3 MUTFAK</t>
        </is>
      </c>
      <c r="J113" s="364" t="n"/>
      <c r="K113" s="360" t="inlineStr">
        <is>
          <t>20ºC</t>
        </is>
      </c>
      <c r="L113" s="360" t="n"/>
      <c r="M113" s="360" t="n"/>
      <c r="N113" s="360" t="n"/>
      <c r="O113" s="360" t="n"/>
      <c r="P113" s="360" t="n"/>
      <c r="Q113" s="365" t="n"/>
    </row>
    <row r="114" ht="9.949999999999999" customFormat="1" customHeight="1" s="356">
      <c r="A114" s="376" t="n"/>
      <c r="B114" s="377" t="n"/>
      <c r="C114" s="377" t="n"/>
      <c r="D114" s="378" t="n"/>
      <c r="E114" s="378" t="n"/>
      <c r="F114" s="378" t="n"/>
      <c r="G114" s="379" t="n"/>
      <c r="H114" s="378" t="n"/>
      <c r="I114" s="378" t="n"/>
      <c r="J114" s="378" t="n"/>
      <c r="K114" s="379" t="n"/>
      <c r="L114" s="380" t="n"/>
      <c r="M114" s="381" t="n"/>
      <c r="N114" s="381" t="n"/>
      <c r="O114" s="381" t="n"/>
      <c r="P114" s="382" t="n"/>
      <c r="Q114" s="383" t="n">
        <v>0</v>
      </c>
    </row>
    <row r="115" ht="9.949999999999999" customFormat="1" customHeight="1" s="356">
      <c r="A115" s="384" t="n"/>
      <c r="B115" s="385" t="n"/>
      <c r="C115" s="385" t="n"/>
      <c r="D115" s="386" t="n"/>
      <c r="E115" s="387" t="n"/>
      <c r="F115" s="388" t="n"/>
      <c r="G115" s="389" t="n"/>
      <c r="H115" s="388" t="n"/>
      <c r="I115" s="390" t="n"/>
      <c r="J115" s="391" t="inlineStr">
        <is>
          <t>Qs=</t>
        </is>
      </c>
      <c r="K115" s="390" t="inlineStr">
        <is>
          <t>S a</t>
        </is>
      </c>
      <c r="L115" s="388" t="inlineStr">
        <is>
          <t>L</t>
        </is>
      </c>
      <c r="M115" s="389" t="inlineStr">
        <is>
          <t>R</t>
        </is>
      </c>
      <c r="N115" s="392" t="inlineStr">
        <is>
          <t>H</t>
        </is>
      </c>
      <c r="O115" s="393" t="inlineStr">
        <is>
          <t>D  T</t>
        </is>
      </c>
      <c r="P115" s="389" t="inlineStr">
        <is>
          <t>Ze</t>
        </is>
      </c>
      <c r="Q115" s="394" t="n"/>
    </row>
    <row r="116" ht="9.949999999999999" customFormat="1" customHeight="1" s="412">
      <c r="A116" s="395" t="inlineStr">
        <is>
          <t xml:space="preserve"> </t>
        </is>
      </c>
      <c r="B116" s="414" t="n"/>
      <c r="C116" s="397" t="n"/>
      <c r="D116" s="397" t="n"/>
      <c r="E116" s="398" t="n"/>
      <c r="F116" s="399" t="n"/>
      <c r="G116" s="400" t="n"/>
      <c r="H116" s="401" t="n"/>
      <c r="I116" s="402" t="n"/>
      <c r="J116" s="403" t="inlineStr">
        <is>
          <t>Qs  =</t>
        </is>
      </c>
      <c r="K116" s="404" t="n">
        <v>2</v>
      </c>
      <c r="L116" s="404" t="n">
        <v>0</v>
      </c>
      <c r="M116" s="404" t="n">
        <v>0.9</v>
      </c>
      <c r="N116" s="404" t="n">
        <v>0.67</v>
      </c>
      <c r="O116" s="381" t="n">
        <v>23</v>
      </c>
      <c r="P116" s="404" t="n">
        <v>1</v>
      </c>
      <c r="Q116" s="383">
        <f>K116*L116*M116*N116*O116*P116</f>
        <v/>
      </c>
    </row>
    <row r="117" ht="9.949999999999999" customFormat="1" customHeight="1" s="412">
      <c r="A117" s="405" t="n"/>
      <c r="B117" s="406" t="n"/>
      <c r="C117" s="397" t="n"/>
      <c r="D117" s="397" t="n"/>
      <c r="E117" s="378" t="n"/>
      <c r="F117" s="256" t="n"/>
      <c r="G117" s="407" t="n"/>
      <c r="H117" s="397" t="n"/>
      <c r="I117" s="397" t="n"/>
      <c r="J117" s="397" t="n"/>
      <c r="K117" s="407" t="n"/>
      <c r="L117" s="408" t="n"/>
      <c r="M117" s="409" t="inlineStr">
        <is>
          <t xml:space="preserve">   TOPLAM ISI KAYBI =</t>
        </is>
      </c>
      <c r="N117" s="409" t="n"/>
      <c r="O117" s="410" t="n"/>
      <c r="P117" s="409" t="n"/>
      <c r="Q117" s="411">
        <f>Q114+Q116</f>
        <v/>
      </c>
    </row>
    <row r="118" ht="10.35" customFormat="1" customHeight="1" s="351">
      <c r="A118" s="359" t="n"/>
      <c r="B118" s="360" t="n"/>
      <c r="C118" s="360" t="n"/>
      <c r="D118" s="360" t="n"/>
      <c r="E118" s="360" t="n"/>
      <c r="F118" s="361" t="inlineStr">
        <is>
          <t>1</t>
        </is>
      </c>
      <c r="G118" s="362" t="inlineStr">
        <is>
          <t>0</t>
        </is>
      </c>
      <c r="H118" s="360" t="inlineStr">
        <is>
          <t>1A3-03</t>
        </is>
      </c>
      <c r="I118" s="363" t="inlineStr">
        <is>
          <t>OFİS A3 ODA 1</t>
        </is>
      </c>
      <c r="J118" s="364" t="n"/>
      <c r="K118" s="360" t="inlineStr">
        <is>
          <t>20ºC</t>
        </is>
      </c>
      <c r="L118" s="360" t="n"/>
      <c r="M118" s="360" t="n"/>
      <c r="N118" s="360" t="n"/>
      <c r="O118" s="360" t="n"/>
      <c r="P118" s="360" t="n"/>
      <c r="Q118" s="365" t="n"/>
    </row>
    <row r="119" ht="9.949999999999999" customFormat="1" customHeight="1" s="356">
      <c r="A119" s="366" t="inlineStr">
        <is>
          <t>DD</t>
        </is>
      </c>
      <c r="B119" s="367" t="inlineStr">
        <is>
          <t>K</t>
        </is>
      </c>
      <c r="C119" s="368" t="n"/>
      <c r="D119" s="369" t="n">
        <v>1.43</v>
      </c>
      <c r="E119" s="369" t="n">
        <v>2.5</v>
      </c>
      <c r="F119" s="370">
        <f>IF(D119=0," ",D119*E119)</f>
        <v/>
      </c>
      <c r="G119" s="371" t="n">
        <v>1</v>
      </c>
      <c r="H119" s="372">
        <f>F121*G121</f>
        <v/>
      </c>
      <c r="I119" s="370">
        <f>IF(F119=" "," ",F119*G119-H119)</f>
        <v/>
      </c>
      <c r="J119" s="369" t="n">
        <v>0.344</v>
      </c>
      <c r="K119" s="371" t="n">
        <v>23</v>
      </c>
      <c r="L119" s="373">
        <f>IF(I119=" "," ",I119*J119*K119)</f>
        <v/>
      </c>
      <c r="M119" s="374" t="n">
        <v>7</v>
      </c>
      <c r="N119" s="371" t="n">
        <v>0</v>
      </c>
      <c r="O119" s="374" t="n">
        <v>5</v>
      </c>
      <c r="P119" s="370">
        <f>IF(M119=" "," ",(1+(M119+N119+O119)/100))</f>
        <v/>
      </c>
      <c r="Q119" s="375">
        <f>IF(L119=" "," ",L119*P119)</f>
        <v/>
      </c>
    </row>
    <row r="120" ht="9.949999999999999" customFormat="1" customHeight="1" s="356">
      <c r="A120" s="366" t="inlineStr">
        <is>
          <t>DD25</t>
        </is>
      </c>
      <c r="B120" s="367" t="inlineStr">
        <is>
          <t>K</t>
        </is>
      </c>
      <c r="C120" s="368" t="n"/>
      <c r="D120" s="369">
        <f>D119</f>
        <v/>
      </c>
      <c r="E120" s="369" t="n">
        <v>0.5</v>
      </c>
      <c r="F120" s="370">
        <f>IF(D120=0," ",D120*E120)</f>
        <v/>
      </c>
      <c r="G120" s="371" t="n">
        <v>1</v>
      </c>
      <c r="H120" s="372" t="n"/>
      <c r="I120" s="370">
        <f>IF(F120=" "," ",F120*G120-H120)</f>
        <v/>
      </c>
      <c r="J120" s="369" t="n">
        <v>0.387</v>
      </c>
      <c r="K120" s="371" t="n">
        <v>23</v>
      </c>
      <c r="L120" s="373">
        <f>IF(I120=" "," ",I120*J120*K120)</f>
        <v/>
      </c>
      <c r="M120" s="374" t="n">
        <v>7</v>
      </c>
      <c r="N120" s="371" t="n">
        <v>0</v>
      </c>
      <c r="O120" s="374" t="n">
        <v>5</v>
      </c>
      <c r="P120" s="370">
        <f>IF(M120=" "," ",(1+(M120+N120+O120)/100))</f>
        <v/>
      </c>
      <c r="Q120" s="375">
        <f>IF(L120=" "," ",L120*P120)</f>
        <v/>
      </c>
    </row>
    <row r="121" ht="9.949999999999999" customFormat="1" customHeight="1" s="356">
      <c r="A121" s="366" t="inlineStr">
        <is>
          <t>ÇP</t>
        </is>
      </c>
      <c r="B121" s="367" t="inlineStr">
        <is>
          <t>K</t>
        </is>
      </c>
      <c r="C121" s="368" t="n"/>
      <c r="D121" s="369" t="n">
        <v>0.78</v>
      </c>
      <c r="E121" s="369" t="n">
        <v>1.5</v>
      </c>
      <c r="F121" s="370">
        <f>IF(D121=0," ",D121*E121)</f>
        <v/>
      </c>
      <c r="G121" s="371" t="n">
        <v>1</v>
      </c>
      <c r="H121" s="372" t="n"/>
      <c r="I121" s="370">
        <f>IF(F121=" "," ",F121*G121-H121)</f>
        <v/>
      </c>
      <c r="J121" s="369" t="n">
        <v>1.8</v>
      </c>
      <c r="K121" s="371" t="n">
        <v>23</v>
      </c>
      <c r="L121" s="373">
        <f>IF(I121=" "," ",I121*J121*K121)</f>
        <v/>
      </c>
      <c r="M121" s="374" t="n">
        <v>7</v>
      </c>
      <c r="N121" s="371" t="n">
        <v>0</v>
      </c>
      <c r="O121" s="374" t="n">
        <v>5</v>
      </c>
      <c r="P121" s="370">
        <f>IF(M121=" "," ",(1+(M121+N121+O121)/100))</f>
        <v/>
      </c>
      <c r="Q121" s="375">
        <f>IF(L121=" "," ",L121*P121)</f>
        <v/>
      </c>
    </row>
    <row r="122" ht="9.949999999999999" customFormat="1" customHeight="1" s="356">
      <c r="A122" s="366" t="inlineStr">
        <is>
          <t>DD</t>
        </is>
      </c>
      <c r="B122" s="367" t="inlineStr">
        <is>
          <t>K</t>
        </is>
      </c>
      <c r="C122" s="368" t="n"/>
      <c r="D122" s="369" t="n">
        <v>0.33</v>
      </c>
      <c r="E122" s="369" t="n">
        <v>2.5</v>
      </c>
      <c r="F122" s="370">
        <f>IF(D122=0," ",D122*E122)</f>
        <v/>
      </c>
      <c r="G122" s="371" t="n">
        <v>1</v>
      </c>
      <c r="H122" s="372" t="n"/>
      <c r="I122" s="370">
        <f>IF(F122=" "," ",F122*G122-H122)</f>
        <v/>
      </c>
      <c r="J122" s="369" t="n">
        <v>0.344</v>
      </c>
      <c r="K122" s="371" t="n">
        <v>23</v>
      </c>
      <c r="L122" s="373">
        <f>IF(I122=" "," ",I122*J122*K122)</f>
        <v/>
      </c>
      <c r="M122" s="374" t="n">
        <v>7</v>
      </c>
      <c r="N122" s="371" t="n">
        <v>0</v>
      </c>
      <c r="O122" s="374" t="n">
        <v>5</v>
      </c>
      <c r="P122" s="370">
        <f>IF(M122=" "," ",(1+(M122+N122+O122)/100))</f>
        <v/>
      </c>
      <c r="Q122" s="375">
        <f>IF(L122=" "," ",L122*P122)</f>
        <v/>
      </c>
    </row>
    <row r="123" ht="9.949999999999999" customFormat="1" customHeight="1" s="356">
      <c r="A123" s="366" t="inlineStr">
        <is>
          <t>DD25</t>
        </is>
      </c>
      <c r="B123" s="367" t="inlineStr">
        <is>
          <t>K</t>
        </is>
      </c>
      <c r="C123" s="368" t="n"/>
      <c r="D123" s="369">
        <f>D122</f>
        <v/>
      </c>
      <c r="E123" s="369" t="n">
        <v>0.5</v>
      </c>
      <c r="F123" s="370">
        <f>IF(D123=0," ",D123*E123)</f>
        <v/>
      </c>
      <c r="G123" s="371" t="n">
        <v>1</v>
      </c>
      <c r="H123" s="372" t="n"/>
      <c r="I123" s="370">
        <f>IF(F123=" "," ",F123*G123-H123)</f>
        <v/>
      </c>
      <c r="J123" s="369" t="n">
        <v>0.387</v>
      </c>
      <c r="K123" s="371" t="n">
        <v>23</v>
      </c>
      <c r="L123" s="373">
        <f>IF(I123=" "," ",I123*J123*K123)</f>
        <v/>
      </c>
      <c r="M123" s="374" t="n">
        <v>7</v>
      </c>
      <c r="N123" s="371" t="n">
        <v>0</v>
      </c>
      <c r="O123" s="374" t="n">
        <v>5</v>
      </c>
      <c r="P123" s="370">
        <f>IF(M123=" "," ",(1+(M123+N123+O123)/100))</f>
        <v/>
      </c>
      <c r="Q123" s="375">
        <f>IF(L123=" "," ",L123*P123)</f>
        <v/>
      </c>
    </row>
    <row r="124" ht="9.949999999999999" customFormat="1" customHeight="1" s="356">
      <c r="A124" s="376" t="n"/>
      <c r="B124" s="377" t="n"/>
      <c r="C124" s="377" t="n"/>
      <c r="D124" s="378" t="n"/>
      <c r="E124" s="378" t="n"/>
      <c r="F124" s="378" t="n"/>
      <c r="G124" s="379" t="n"/>
      <c r="H124" s="378" t="n"/>
      <c r="I124" s="378" t="n"/>
      <c r="J124" s="378" t="n"/>
      <c r="K124" s="379" t="n"/>
      <c r="L124" s="380" t="n"/>
      <c r="M124" s="381" t="n"/>
      <c r="N124" s="381" t="n"/>
      <c r="O124" s="381" t="n"/>
      <c r="P124" s="382" t="n"/>
      <c r="Q124" s="383">
        <f>SUM(Q119:Q123)</f>
        <v/>
      </c>
    </row>
    <row r="125" ht="9.949999999999999" customFormat="1" customHeight="1" s="356">
      <c r="A125" s="384" t="n"/>
      <c r="B125" s="385" t="n"/>
      <c r="C125" s="385" t="n"/>
      <c r="D125" s="386" t="n"/>
      <c r="E125" s="387" t="n"/>
      <c r="F125" s="388" t="n"/>
      <c r="G125" s="389" t="n"/>
      <c r="H125" s="388" t="n"/>
      <c r="I125" s="390" t="n"/>
      <c r="J125" s="391" t="inlineStr">
        <is>
          <t>Qs=</t>
        </is>
      </c>
      <c r="K125" s="390" t="inlineStr">
        <is>
          <t>S a</t>
        </is>
      </c>
      <c r="L125" s="388" t="inlineStr">
        <is>
          <t>L</t>
        </is>
      </c>
      <c r="M125" s="389" t="inlineStr">
        <is>
          <t>R</t>
        </is>
      </c>
      <c r="N125" s="392" t="inlineStr">
        <is>
          <t>H</t>
        </is>
      </c>
      <c r="O125" s="393" t="inlineStr">
        <is>
          <t>D  T</t>
        </is>
      </c>
      <c r="P125" s="389" t="inlineStr">
        <is>
          <t>Ze</t>
        </is>
      </c>
      <c r="Q125" s="394" t="n"/>
    </row>
    <row r="126" ht="9.949999999999999" customFormat="1" customHeight="1" s="356">
      <c r="A126" s="395" t="inlineStr">
        <is>
          <t xml:space="preserve"> </t>
        </is>
      </c>
      <c r="B126" s="396" t="n"/>
      <c r="C126" s="397" t="n"/>
      <c r="D126" s="397" t="n"/>
      <c r="E126" s="398" t="n"/>
      <c r="F126" s="399" t="n"/>
      <c r="G126" s="400" t="n"/>
      <c r="H126" s="401" t="n"/>
      <c r="I126" s="402" t="n"/>
      <c r="J126" s="403" t="inlineStr">
        <is>
          <t>Qs  =</t>
        </is>
      </c>
      <c r="K126" s="404" t="n">
        <v>2</v>
      </c>
      <c r="L126" s="404">
        <f>(D121+E121)*2*G121</f>
        <v/>
      </c>
      <c r="M126" s="404" t="n">
        <v>0.9</v>
      </c>
      <c r="N126" s="404" t="n">
        <v>0.67</v>
      </c>
      <c r="O126" s="381" t="n">
        <v>23</v>
      </c>
      <c r="P126" s="404" t="n">
        <v>1</v>
      </c>
      <c r="Q126" s="383">
        <f>K126*L126*M126*N126*O126*P126</f>
        <v/>
      </c>
    </row>
    <row r="127" ht="9.949999999999999" customFormat="1" customHeight="1" s="356">
      <c r="A127" s="405" t="n"/>
      <c r="B127" s="406" t="n"/>
      <c r="C127" s="397" t="n"/>
      <c r="D127" s="397" t="n"/>
      <c r="E127" s="378" t="n"/>
      <c r="F127" s="256" t="n"/>
      <c r="G127" s="407" t="n"/>
      <c r="H127" s="397" t="n"/>
      <c r="I127" s="397" t="n"/>
      <c r="J127" s="397" t="n"/>
      <c r="K127" s="407" t="n"/>
      <c r="L127" s="408" t="n"/>
      <c r="M127" s="409" t="inlineStr">
        <is>
          <t xml:space="preserve">   TOPLAM ISI KAYBI =</t>
        </is>
      </c>
      <c r="N127" s="409" t="n"/>
      <c r="O127" s="410" t="n"/>
      <c r="P127" s="409" t="n"/>
      <c r="Q127" s="411">
        <f>Q124+Q126</f>
        <v/>
      </c>
    </row>
    <row r="128" ht="10.35" customFormat="1" customHeight="1" s="356">
      <c r="A128" s="359" t="n"/>
      <c r="B128" s="360" t="n"/>
      <c r="C128" s="360" t="n"/>
      <c r="D128" s="360" t="n"/>
      <c r="E128" s="360" t="n"/>
      <c r="F128" s="361" t="inlineStr">
        <is>
          <t>1</t>
        </is>
      </c>
      <c r="G128" s="362" t="inlineStr">
        <is>
          <t>0</t>
        </is>
      </c>
      <c r="H128" s="360" t="inlineStr">
        <is>
          <t>1A3-04</t>
        </is>
      </c>
      <c r="I128" s="363" t="inlineStr">
        <is>
          <t>OFİS A3 HOL</t>
        </is>
      </c>
      <c r="J128" s="364" t="n"/>
      <c r="K128" s="360" t="inlineStr">
        <is>
          <t>20ºC</t>
        </is>
      </c>
      <c r="L128" s="360" t="n"/>
      <c r="M128" s="360" t="n"/>
      <c r="N128" s="360" t="n"/>
      <c r="O128" s="360" t="n"/>
      <c r="P128" s="360" t="n"/>
      <c r="Q128" s="365" t="n"/>
    </row>
    <row r="129" ht="9.949999999999999" customFormat="1" customHeight="1" s="412">
      <c r="A129" s="366" t="inlineStr">
        <is>
          <t>İDM</t>
        </is>
      </c>
      <c r="B129" s="367" t="inlineStr"/>
      <c r="C129" s="368" t="n"/>
      <c r="D129" s="369" t="n">
        <v>2.19</v>
      </c>
      <c r="E129" s="369" t="n">
        <v>3</v>
      </c>
      <c r="F129" s="370">
        <f>IF(D129=0," ",D129*E129)</f>
        <v/>
      </c>
      <c r="G129" s="371" t="n">
        <v>1</v>
      </c>
      <c r="H129" s="372" t="n"/>
      <c r="I129" s="370">
        <f>IF(F129=" "," ",F129*G129-H129)</f>
        <v/>
      </c>
      <c r="J129" s="369" t="n">
        <v>0.332</v>
      </c>
      <c r="K129" s="371" t="n">
        <v>10</v>
      </c>
      <c r="L129" s="373">
        <f>IF(I129=" "," ",I129*J129*K129)</f>
        <v/>
      </c>
      <c r="M129" s="374" t="n">
        <v>7</v>
      </c>
      <c r="N129" s="371" t="n">
        <v>0</v>
      </c>
      <c r="O129" s="374" t="n">
        <v>0</v>
      </c>
      <c r="P129" s="370">
        <f>IF(M129=" "," ",(1+(M129+N129+O129)/100))</f>
        <v/>
      </c>
      <c r="Q129" s="375">
        <f>IF(L129=" "," ",L129*P129)</f>
        <v/>
      </c>
    </row>
    <row r="130" ht="9.949999999999999" customFormat="1" customHeight="1" s="412">
      <c r="A130" s="366" t="inlineStr">
        <is>
          <t>İDM</t>
        </is>
      </c>
      <c r="B130" s="367" t="inlineStr"/>
      <c r="C130" s="368" t="n"/>
      <c r="D130" s="369" t="n">
        <v>2.87</v>
      </c>
      <c r="E130" s="369" t="n">
        <v>3</v>
      </c>
      <c r="F130" s="370">
        <f>IF(D130=0," ",D130*E130)</f>
        <v/>
      </c>
      <c r="G130" s="371" t="n">
        <v>1</v>
      </c>
      <c r="H130" s="372" t="n"/>
      <c r="I130" s="370">
        <f>IF(F130=" "," ",F130*G130-H130)</f>
        <v/>
      </c>
      <c r="J130" s="369" t="n">
        <v>0.332</v>
      </c>
      <c r="K130" s="371" t="n">
        <v>5</v>
      </c>
      <c r="L130" s="373">
        <f>IF(I130=" "," ",I130*J130*K130)</f>
        <v/>
      </c>
      <c r="M130" s="374" t="n">
        <v>7</v>
      </c>
      <c r="N130" s="371" t="n">
        <v>0</v>
      </c>
      <c r="O130" s="374" t="n">
        <v>0</v>
      </c>
      <c r="P130" s="370">
        <f>IF(M130=" "," ",(1+(M130+N130+O130)/100))</f>
        <v/>
      </c>
      <c r="Q130" s="375">
        <f>IF(L130=" "," ",L130*P130)</f>
        <v/>
      </c>
    </row>
    <row r="131" ht="9.949999999999999" customFormat="1" customHeight="1" s="351">
      <c r="A131" s="366" t="inlineStr">
        <is>
          <t>İDM</t>
        </is>
      </c>
      <c r="B131" s="367" t="inlineStr"/>
      <c r="C131" s="368" t="n"/>
      <c r="D131" s="369" t="n">
        <v>0.26</v>
      </c>
      <c r="E131" s="369" t="n">
        <v>3</v>
      </c>
      <c r="F131" s="370">
        <f>IF(D131=0," ",D131*E131)</f>
        <v/>
      </c>
      <c r="G131" s="371" t="n">
        <v>1</v>
      </c>
      <c r="H131" s="372" t="n"/>
      <c r="I131" s="370">
        <f>IF(F131=" "," ",F131*G131-H131)</f>
        <v/>
      </c>
      <c r="J131" s="369" t="n">
        <v>0.332</v>
      </c>
      <c r="K131" s="371" t="n">
        <v>10</v>
      </c>
      <c r="L131" s="373">
        <f>IF(I131=" "," ",I131*J131*K131)</f>
        <v/>
      </c>
      <c r="M131" s="374" t="n">
        <v>7</v>
      </c>
      <c r="N131" s="371" t="n">
        <v>0</v>
      </c>
      <c r="O131" s="374" t="n">
        <v>0</v>
      </c>
      <c r="P131" s="370">
        <f>IF(M131=" "," ",(1+(M131+N131+O131)/100))</f>
        <v/>
      </c>
      <c r="Q131" s="375">
        <f>IF(L131=" "," ",L131*P131)</f>
        <v/>
      </c>
    </row>
    <row r="132" ht="9.949999999999999" customHeight="1" s="244">
      <c r="A132" s="366" t="inlineStr">
        <is>
          <t>İDM</t>
        </is>
      </c>
      <c r="B132" s="367" t="inlineStr"/>
      <c r="C132" s="368" t="n"/>
      <c r="D132" s="369" t="n">
        <v>0.5</v>
      </c>
      <c r="E132" s="369" t="n">
        <v>3</v>
      </c>
      <c r="F132" s="370">
        <f>IF(D132=0," ",D132*E132)</f>
        <v/>
      </c>
      <c r="G132" s="371" t="n">
        <v>1</v>
      </c>
      <c r="H132" s="372" t="n"/>
      <c r="I132" s="370">
        <f>IF(F132=" "," ",F132*G132-H132)</f>
        <v/>
      </c>
      <c r="J132" s="369" t="n">
        <v>0.332</v>
      </c>
      <c r="K132" s="371" t="n">
        <v>10</v>
      </c>
      <c r="L132" s="373">
        <f>IF(I132=" "," ",I132*J132*K132)</f>
        <v/>
      </c>
      <c r="M132" s="374" t="n">
        <v>7</v>
      </c>
      <c r="N132" s="371" t="n">
        <v>0</v>
      </c>
      <c r="O132" s="374" t="n">
        <v>0</v>
      </c>
      <c r="P132" s="370">
        <f>IF(M132=" "," ",(1+(M132+N132+O132)/100))</f>
        <v/>
      </c>
      <c r="Q132" s="375">
        <f>IF(L132=" "," ",L132*P132)</f>
        <v/>
      </c>
    </row>
    <row r="133" ht="9.949999999999999" customHeight="1" s="244">
      <c r="A133" s="366" t="inlineStr">
        <is>
          <t>İDM</t>
        </is>
      </c>
      <c r="B133" s="367" t="inlineStr"/>
      <c r="C133" s="368" t="n"/>
      <c r="D133" s="369" t="n">
        <v>0.5</v>
      </c>
      <c r="E133" s="369" t="n">
        <v>3</v>
      </c>
      <c r="F133" s="370">
        <f>IF(D133=0," ",D133*E133)</f>
        <v/>
      </c>
      <c r="G133" s="371" t="n">
        <v>1</v>
      </c>
      <c r="H133" s="372" t="n"/>
      <c r="I133" s="370">
        <f>IF(F133=" "," ",F133*G133-H133)</f>
        <v/>
      </c>
      <c r="J133" s="369" t="n">
        <v>0.332</v>
      </c>
      <c r="K133" s="371" t="n">
        <v>10</v>
      </c>
      <c r="L133" s="373">
        <f>IF(I133=" "," ",I133*J133*K133)</f>
        <v/>
      </c>
      <c r="M133" s="374" t="n">
        <v>7</v>
      </c>
      <c r="N133" s="371" t="n">
        <v>0</v>
      </c>
      <c r="O133" s="374" t="n">
        <v>0</v>
      </c>
      <c r="P133" s="370">
        <f>IF(M133=" "," ",(1+(M133+N133+O133)/100))</f>
        <v/>
      </c>
      <c r="Q133" s="375">
        <f>IF(L133=" "," ",L133*P133)</f>
        <v/>
      </c>
    </row>
    <row r="134" ht="9.949999999999999" customHeight="1" s="244">
      <c r="A134" s="366" t="inlineStr">
        <is>
          <t>İDM</t>
        </is>
      </c>
      <c r="B134" s="367" t="inlineStr"/>
      <c r="C134" s="368" t="n"/>
      <c r="D134" s="369" t="n">
        <v>0.27</v>
      </c>
      <c r="E134" s="369" t="n">
        <v>3</v>
      </c>
      <c r="F134" s="370">
        <f>IF(D134=0," ",D134*E134)</f>
        <v/>
      </c>
      <c r="G134" s="371" t="n">
        <v>1</v>
      </c>
      <c r="H134" s="372" t="n"/>
      <c r="I134" s="370">
        <f>IF(F134=" "," ",F134*G134-H134)</f>
        <v/>
      </c>
      <c r="J134" s="369" t="n">
        <v>0.332</v>
      </c>
      <c r="K134" s="371" t="n">
        <v>10</v>
      </c>
      <c r="L134" s="373">
        <f>IF(I134=" "," ",I134*J134*K134)</f>
        <v/>
      </c>
      <c r="M134" s="374" t="n">
        <v>7</v>
      </c>
      <c r="N134" s="371" t="n">
        <v>0</v>
      </c>
      <c r="O134" s="374" t="n">
        <v>0</v>
      </c>
      <c r="P134" s="370">
        <f>IF(M134=" "," ",(1+(M134+N134+O134)/100))</f>
        <v/>
      </c>
      <c r="Q134" s="375">
        <f>IF(L134=" "," ",L134*P134)</f>
        <v/>
      </c>
    </row>
    <row r="135" ht="9.949999999999999" customHeight="1" s="244">
      <c r="A135" s="366" t="inlineStr">
        <is>
          <t>İDM</t>
        </is>
      </c>
      <c r="B135" s="367" t="inlineStr"/>
      <c r="C135" s="368" t="n"/>
      <c r="D135" s="369" t="n">
        <v>0.95</v>
      </c>
      <c r="E135" s="369" t="n">
        <v>3</v>
      </c>
      <c r="F135" s="370">
        <f>IF(D135=0," ",D135*E135)</f>
        <v/>
      </c>
      <c r="G135" s="371" t="n">
        <v>1</v>
      </c>
      <c r="H135" s="372" t="n"/>
      <c r="I135" s="370">
        <f>IF(F135=" "," ",F135*G135-H135)</f>
        <v/>
      </c>
      <c r="J135" s="369" t="n">
        <v>0.332</v>
      </c>
      <c r="K135" s="371" t="n">
        <v>5</v>
      </c>
      <c r="L135" s="373">
        <f>IF(I135=" "," ",I135*J135*K135)</f>
        <v/>
      </c>
      <c r="M135" s="374" t="n">
        <v>7</v>
      </c>
      <c r="N135" s="371" t="n">
        <v>0</v>
      </c>
      <c r="O135" s="374" t="n">
        <v>0</v>
      </c>
      <c r="P135" s="370">
        <f>IF(M135=" "," ",(1+(M135+N135+O135)/100))</f>
        <v/>
      </c>
      <c r="Q135" s="375">
        <f>IF(L135=" "," ",L135*P135)</f>
        <v/>
      </c>
    </row>
    <row r="136" ht="9.949999999999999" customHeight="1" s="244">
      <c r="A136" s="376" t="n"/>
      <c r="B136" s="377" t="n"/>
      <c r="C136" s="377" t="n"/>
      <c r="D136" s="378" t="n"/>
      <c r="E136" s="378" t="n"/>
      <c r="F136" s="378" t="n"/>
      <c r="G136" s="379" t="n"/>
      <c r="H136" s="378" t="n"/>
      <c r="I136" s="378" t="n"/>
      <c r="J136" s="378" t="n"/>
      <c r="K136" s="379" t="n"/>
      <c r="L136" s="380" t="n"/>
      <c r="M136" s="381" t="n"/>
      <c r="N136" s="381" t="n"/>
      <c r="O136" s="381" t="n"/>
      <c r="P136" s="382" t="n"/>
      <c r="Q136" s="383">
        <f>SUM(Q129:Q135)</f>
        <v/>
      </c>
    </row>
    <row r="137" ht="9.949999999999999" customHeight="1" s="244">
      <c r="A137" s="384" t="n"/>
      <c r="B137" s="385" t="n"/>
      <c r="C137" s="385" t="n"/>
      <c r="D137" s="386" t="n"/>
      <c r="E137" s="387" t="n"/>
      <c r="F137" s="388" t="n"/>
      <c r="G137" s="389" t="n"/>
      <c r="H137" s="388" t="n"/>
      <c r="I137" s="390" t="n"/>
      <c r="J137" s="391" t="inlineStr">
        <is>
          <t>Qs=</t>
        </is>
      </c>
      <c r="K137" s="390" t="inlineStr">
        <is>
          <t>S a</t>
        </is>
      </c>
      <c r="L137" s="388" t="inlineStr">
        <is>
          <t>L</t>
        </is>
      </c>
      <c r="M137" s="389" t="inlineStr">
        <is>
          <t>R</t>
        </is>
      </c>
      <c r="N137" s="392" t="inlineStr">
        <is>
          <t>H</t>
        </is>
      </c>
      <c r="O137" s="393" t="inlineStr">
        <is>
          <t>D  T</t>
        </is>
      </c>
      <c r="P137" s="389" t="inlineStr">
        <is>
          <t>Ze</t>
        </is>
      </c>
      <c r="Q137" s="394" t="n"/>
    </row>
    <row r="138" ht="9.949999999999999" customHeight="1" s="244">
      <c r="A138" s="395" t="inlineStr">
        <is>
          <t xml:space="preserve"> </t>
        </is>
      </c>
      <c r="C138" s="397" t="n"/>
      <c r="D138" s="397" t="n"/>
      <c r="E138" s="398" t="n"/>
      <c r="F138" s="399" t="n"/>
      <c r="G138" s="400" t="n"/>
      <c r="H138" s="401" t="n"/>
      <c r="I138" s="402" t="n"/>
      <c r="J138" s="403" t="inlineStr">
        <is>
          <t>Qs  =</t>
        </is>
      </c>
      <c r="K138" s="404" t="n">
        <v>2</v>
      </c>
      <c r="L138" s="404" t="n">
        <v>0</v>
      </c>
      <c r="M138" s="404" t="n">
        <v>0.9</v>
      </c>
      <c r="N138" s="404" t="n">
        <v>0.67</v>
      </c>
      <c r="O138" s="381" t="n">
        <v>23</v>
      </c>
      <c r="P138" s="404" t="n">
        <v>1</v>
      </c>
      <c r="Q138" s="383">
        <f>K138*L138*M138*N138*O138*P138</f>
        <v/>
      </c>
    </row>
    <row r="139" ht="9.949999999999999" customHeight="1" s="244">
      <c r="A139" s="405" t="n"/>
      <c r="B139" s="406" t="n"/>
      <c r="C139" s="397" t="n"/>
      <c r="D139" s="397" t="n"/>
      <c r="E139" s="378" t="n"/>
      <c r="F139" s="256" t="n"/>
      <c r="G139" s="407" t="n"/>
      <c r="H139" s="397" t="n"/>
      <c r="I139" s="397" t="n"/>
      <c r="J139" s="397" t="n"/>
      <c r="K139" s="407" t="n"/>
      <c r="L139" s="408" t="n"/>
      <c r="M139" s="409" t="inlineStr">
        <is>
          <t xml:space="preserve">   TOPLAM ISI KAYBI =</t>
        </is>
      </c>
      <c r="N139" s="409" t="n"/>
      <c r="O139" s="410" t="n"/>
      <c r="P139" s="409" t="n"/>
      <c r="Q139" s="411">
        <f>Q136+Q138</f>
        <v/>
      </c>
    </row>
    <row r="140" ht="10.35" customHeight="1" s="244">
      <c r="A140" s="359" t="n"/>
      <c r="B140" s="360" t="n"/>
      <c r="C140" s="360" t="n"/>
      <c r="D140" s="360" t="n"/>
      <c r="E140" s="360" t="n"/>
      <c r="F140" s="361" t="inlineStr">
        <is>
          <t>1</t>
        </is>
      </c>
      <c r="G140" s="362" t="inlineStr">
        <is>
          <t>0</t>
        </is>
      </c>
      <c r="H140" s="360" t="inlineStr">
        <is>
          <t>1A3-05</t>
        </is>
      </c>
      <c r="I140" s="363" t="inlineStr">
        <is>
          <t>OFİS A3 ODA 2</t>
        </is>
      </c>
      <c r="J140" s="364" t="n"/>
      <c r="K140" s="360" t="inlineStr">
        <is>
          <t>20ºC</t>
        </is>
      </c>
      <c r="L140" s="360" t="n"/>
      <c r="M140" s="360" t="n"/>
      <c r="N140" s="360" t="n"/>
      <c r="O140" s="360" t="n"/>
      <c r="P140" s="360" t="n"/>
      <c r="Q140" s="365" t="n"/>
    </row>
    <row r="141" ht="9.949999999999999" customHeight="1" s="244">
      <c r="A141" s="366" t="inlineStr">
        <is>
          <t>DD</t>
        </is>
      </c>
      <c r="B141" s="367" t="inlineStr">
        <is>
          <t>K</t>
        </is>
      </c>
      <c r="C141" s="368" t="n"/>
      <c r="D141" s="369" t="n">
        <v>2.48</v>
      </c>
      <c r="E141" s="369" t="n">
        <v>2.5</v>
      </c>
      <c r="F141" s="370">
        <f>IF(D141=0," ",D141*E141)</f>
        <v/>
      </c>
      <c r="G141" s="371" t="n">
        <v>1</v>
      </c>
      <c r="H141" s="372">
        <f>F143*G143</f>
        <v/>
      </c>
      <c r="I141" s="370">
        <f>IF(F141=" "," ",F141*G141-H141)</f>
        <v/>
      </c>
      <c r="J141" s="369" t="n">
        <v>0.344</v>
      </c>
      <c r="K141" s="371" t="n">
        <v>23</v>
      </c>
      <c r="L141" s="373">
        <f>IF(I141=" "," ",I141*J141*K141)</f>
        <v/>
      </c>
      <c r="M141" s="374" t="n">
        <v>7</v>
      </c>
      <c r="N141" s="371" t="n">
        <v>0</v>
      </c>
      <c r="O141" s="374" t="n">
        <v>5</v>
      </c>
      <c r="P141" s="370">
        <f>IF(M141=" "," ",(1+(M141+N141+O141)/100))</f>
        <v/>
      </c>
      <c r="Q141" s="375">
        <f>IF(L141=" "," ",L141*P141)</f>
        <v/>
      </c>
    </row>
    <row r="142" ht="9.949999999999999" customHeight="1" s="244">
      <c r="A142" s="366" t="inlineStr">
        <is>
          <t>DD25</t>
        </is>
      </c>
      <c r="B142" s="367" t="inlineStr">
        <is>
          <t>K</t>
        </is>
      </c>
      <c r="C142" s="368" t="n"/>
      <c r="D142" s="369">
        <f>D141</f>
        <v/>
      </c>
      <c r="E142" s="369" t="n">
        <v>0.5</v>
      </c>
      <c r="F142" s="370">
        <f>IF(D142=0," ",D142*E142)</f>
        <v/>
      </c>
      <c r="G142" s="371" t="n">
        <v>1</v>
      </c>
      <c r="H142" s="372" t="n"/>
      <c r="I142" s="370">
        <f>IF(F142=" "," ",F142*G142-H142)</f>
        <v/>
      </c>
      <c r="J142" s="369" t="n">
        <v>0.387</v>
      </c>
      <c r="K142" s="371" t="n">
        <v>23</v>
      </c>
      <c r="L142" s="373">
        <f>IF(I142=" "," ",I142*J142*K142)</f>
        <v/>
      </c>
      <c r="M142" s="374" t="n">
        <v>7</v>
      </c>
      <c r="N142" s="371" t="n">
        <v>0</v>
      </c>
      <c r="O142" s="374" t="n">
        <v>5</v>
      </c>
      <c r="P142" s="370">
        <f>IF(M142=" "," ",(1+(M142+N142+O142)/100))</f>
        <v/>
      </c>
      <c r="Q142" s="375">
        <f>IF(L142=" "," ",L142*P142)</f>
        <v/>
      </c>
    </row>
    <row r="143" ht="9.949999999999999" customHeight="1" s="244">
      <c r="A143" s="366" t="inlineStr">
        <is>
          <t>ÇP</t>
        </is>
      </c>
      <c r="B143" s="367" t="inlineStr">
        <is>
          <t>K</t>
        </is>
      </c>
      <c r="C143" s="368" t="n"/>
      <c r="D143" s="369" t="n">
        <v>1.36</v>
      </c>
      <c r="E143" s="369" t="n">
        <v>1.5</v>
      </c>
      <c r="F143" s="370">
        <f>IF(D143=0," ",D143*E143)</f>
        <v/>
      </c>
      <c r="G143" s="371" t="n">
        <v>1</v>
      </c>
      <c r="H143" s="372" t="n"/>
      <c r="I143" s="370">
        <f>IF(F143=" "," ",F143*G143-H143)</f>
        <v/>
      </c>
      <c r="J143" s="369" t="n">
        <v>1.8</v>
      </c>
      <c r="K143" s="371" t="n">
        <v>23</v>
      </c>
      <c r="L143" s="373">
        <f>IF(I143=" "," ",I143*J143*K143)</f>
        <v/>
      </c>
      <c r="M143" s="374" t="n">
        <v>7</v>
      </c>
      <c r="N143" s="371" t="n">
        <v>0</v>
      </c>
      <c r="O143" s="374" t="n">
        <v>5</v>
      </c>
      <c r="P143" s="370">
        <f>IF(M143=" "," ",(1+(M143+N143+O143)/100))</f>
        <v/>
      </c>
      <c r="Q143" s="375">
        <f>IF(L143=" "," ",L143*P143)</f>
        <v/>
      </c>
    </row>
    <row r="144" ht="9.949999999999999" customHeight="1" s="244">
      <c r="A144" s="366" t="inlineStr">
        <is>
          <t>İDM</t>
        </is>
      </c>
      <c r="B144" s="367" t="inlineStr"/>
      <c r="C144" s="368" t="n"/>
      <c r="D144" s="369" t="n">
        <v>0.27</v>
      </c>
      <c r="E144" s="369" t="n">
        <v>3</v>
      </c>
      <c r="F144" s="370">
        <f>IF(D144=0," ",D144*E144)</f>
        <v/>
      </c>
      <c r="G144" s="371" t="n">
        <v>1</v>
      </c>
      <c r="H144" s="372" t="n"/>
      <c r="I144" s="370">
        <f>IF(F144=" "," ",F144*G144-H144)</f>
        <v/>
      </c>
      <c r="J144" s="369" t="n">
        <v>0.332</v>
      </c>
      <c r="K144" s="371" t="n">
        <v>10</v>
      </c>
      <c r="L144" s="373">
        <f>IF(I144=" "," ",I144*J144*K144)</f>
        <v/>
      </c>
      <c r="M144" s="374" t="n">
        <v>7</v>
      </c>
      <c r="N144" s="371" t="n">
        <v>0</v>
      </c>
      <c r="O144" s="374" t="n">
        <v>0</v>
      </c>
      <c r="P144" s="370">
        <f>IF(M144=" "," ",(1+(M144+N144+O144)/100))</f>
        <v/>
      </c>
      <c r="Q144" s="375">
        <f>IF(L144=" "," ",L144*P144)</f>
        <v/>
      </c>
    </row>
    <row r="145" ht="9.949999999999999" customHeight="1" s="244">
      <c r="A145" s="366" t="inlineStr">
        <is>
          <t>İDM</t>
        </is>
      </c>
      <c r="B145" s="367" t="inlineStr"/>
      <c r="C145" s="368" t="n"/>
      <c r="D145" s="369" t="n">
        <v>0.75</v>
      </c>
      <c r="E145" s="369" t="n">
        <v>3</v>
      </c>
      <c r="F145" s="370">
        <f>IF(D145=0," ",D145*E145)</f>
        <v/>
      </c>
      <c r="G145" s="371" t="n">
        <v>1</v>
      </c>
      <c r="H145" s="372" t="n"/>
      <c r="I145" s="370">
        <f>IF(F145=" "," ",F145*G145-H145)</f>
        <v/>
      </c>
      <c r="J145" s="369" t="n">
        <v>0.332</v>
      </c>
      <c r="K145" s="371" t="n">
        <v>10</v>
      </c>
      <c r="L145" s="373">
        <f>IF(I145=" "," ",I145*J145*K145)</f>
        <v/>
      </c>
      <c r="M145" s="374" t="n">
        <v>7</v>
      </c>
      <c r="N145" s="371" t="n">
        <v>0</v>
      </c>
      <c r="O145" s="374" t="n">
        <v>0</v>
      </c>
      <c r="P145" s="370">
        <f>IF(M145=" "," ",(1+(M145+N145+O145)/100))</f>
        <v/>
      </c>
      <c r="Q145" s="375">
        <f>IF(L145=" "," ",L145*P145)</f>
        <v/>
      </c>
    </row>
    <row r="146" ht="9.949999999999999" customHeight="1" s="244">
      <c r="A146" s="366" t="inlineStr">
        <is>
          <t>İDM</t>
        </is>
      </c>
      <c r="B146" s="367" t="inlineStr"/>
      <c r="C146" s="368" t="n"/>
      <c r="D146" s="369" t="n">
        <v>5.75</v>
      </c>
      <c r="E146" s="369" t="n">
        <v>3</v>
      </c>
      <c r="F146" s="370">
        <f>IF(D146=0," ",D146*E146)</f>
        <v/>
      </c>
      <c r="G146" s="371" t="n">
        <v>1</v>
      </c>
      <c r="H146" s="372" t="n"/>
      <c r="I146" s="370">
        <f>IF(F146=" "," ",F146*G146-H146)</f>
        <v/>
      </c>
      <c r="J146" s="369" t="n">
        <v>0.332</v>
      </c>
      <c r="K146" s="371" t="n">
        <v>5</v>
      </c>
      <c r="L146" s="373">
        <f>IF(I146=" "," ",I146*J146*K146)</f>
        <v/>
      </c>
      <c r="M146" s="374" t="n">
        <v>7</v>
      </c>
      <c r="N146" s="371" t="n">
        <v>0</v>
      </c>
      <c r="O146" s="374" t="n">
        <v>0</v>
      </c>
      <c r="P146" s="370">
        <f>IF(M146=" "," ",(1+(M146+N146+O146)/100))</f>
        <v/>
      </c>
      <c r="Q146" s="375">
        <f>IF(L146=" "," ",L146*P146)</f>
        <v/>
      </c>
    </row>
    <row r="147" ht="9.949999999999999" customHeight="1" s="244">
      <c r="A147" s="376" t="n"/>
      <c r="B147" s="377" t="n"/>
      <c r="C147" s="377" t="n"/>
      <c r="D147" s="378" t="n"/>
      <c r="E147" s="378" t="n"/>
      <c r="F147" s="378" t="n"/>
      <c r="G147" s="379" t="n"/>
      <c r="H147" s="378" t="n"/>
      <c r="I147" s="378" t="n"/>
      <c r="J147" s="378" t="n"/>
      <c r="K147" s="379" t="n"/>
      <c r="L147" s="380" t="n"/>
      <c r="M147" s="381" t="n"/>
      <c r="N147" s="381" t="n"/>
      <c r="O147" s="381" t="n"/>
      <c r="P147" s="382" t="n"/>
      <c r="Q147" s="383">
        <f>SUM(Q141:Q146)</f>
        <v/>
      </c>
    </row>
    <row r="148" ht="9.949999999999999" customHeight="1" s="244">
      <c r="A148" s="384" t="n"/>
      <c r="B148" s="385" t="n"/>
      <c r="C148" s="385" t="n"/>
      <c r="D148" s="386" t="n"/>
      <c r="E148" s="387" t="n"/>
      <c r="F148" s="388" t="n"/>
      <c r="G148" s="389" t="n"/>
      <c r="H148" s="388" t="n"/>
      <c r="I148" s="390" t="n"/>
      <c r="J148" s="391" t="inlineStr">
        <is>
          <t>Qs=</t>
        </is>
      </c>
      <c r="K148" s="390" t="inlineStr">
        <is>
          <t>S a</t>
        </is>
      </c>
      <c r="L148" s="388" t="inlineStr">
        <is>
          <t>L</t>
        </is>
      </c>
      <c r="M148" s="389" t="inlineStr">
        <is>
          <t>R</t>
        </is>
      </c>
      <c r="N148" s="392" t="inlineStr">
        <is>
          <t>H</t>
        </is>
      </c>
      <c r="O148" s="393" t="inlineStr">
        <is>
          <t>D  T</t>
        </is>
      </c>
      <c r="P148" s="389" t="inlineStr">
        <is>
          <t>Ze</t>
        </is>
      </c>
      <c r="Q148" s="394" t="n"/>
    </row>
    <row r="149" ht="9.949999999999999" customHeight="1" s="244">
      <c r="A149" s="395" t="inlineStr">
        <is>
          <t xml:space="preserve"> </t>
        </is>
      </c>
      <c r="C149" s="397" t="n"/>
      <c r="D149" s="397" t="n"/>
      <c r="E149" s="398" t="n"/>
      <c r="F149" s="399" t="n"/>
      <c r="G149" s="400" t="n"/>
      <c r="H149" s="401" t="n"/>
      <c r="I149" s="402" t="n"/>
      <c r="J149" s="403" t="inlineStr">
        <is>
          <t>Qs  =</t>
        </is>
      </c>
      <c r="K149" s="404" t="n">
        <v>2</v>
      </c>
      <c r="L149" s="404">
        <f>(D143+E143)*2*G143</f>
        <v/>
      </c>
      <c r="M149" s="404" t="n">
        <v>0.9</v>
      </c>
      <c r="N149" s="404" t="n">
        <v>0.67</v>
      </c>
      <c r="O149" s="381" t="n">
        <v>23</v>
      </c>
      <c r="P149" s="404" t="n">
        <v>1</v>
      </c>
      <c r="Q149" s="383">
        <f>K149*L149*M149*N149*O149*P149</f>
        <v/>
      </c>
    </row>
    <row r="150" ht="9.949999999999999" customHeight="1" s="244">
      <c r="A150" s="405" t="n"/>
      <c r="B150" s="406" t="n"/>
      <c r="C150" s="397" t="n"/>
      <c r="D150" s="397" t="n"/>
      <c r="E150" s="378" t="n"/>
      <c r="F150" s="256" t="n"/>
      <c r="G150" s="407" t="n"/>
      <c r="H150" s="397" t="n"/>
      <c r="I150" s="397" t="n"/>
      <c r="J150" s="397" t="n"/>
      <c r="K150" s="407" t="n"/>
      <c r="L150" s="408" t="n"/>
      <c r="M150" s="409" t="inlineStr">
        <is>
          <t xml:space="preserve">   TOPLAM ISI KAYBI =</t>
        </is>
      </c>
      <c r="N150" s="409" t="n"/>
      <c r="O150" s="410" t="n"/>
      <c r="P150" s="409" t="n"/>
      <c r="Q150" s="411">
        <f>Q147+Q149</f>
        <v/>
      </c>
    </row>
    <row r="151" ht="10.35" customHeight="1" s="244">
      <c r="A151" s="359" t="n"/>
      <c r="B151" s="360" t="n"/>
      <c r="C151" s="360" t="n"/>
      <c r="D151" s="360" t="n"/>
      <c r="E151" s="360" t="n"/>
      <c r="F151" s="361" t="inlineStr">
        <is>
          <t>1</t>
        </is>
      </c>
      <c r="G151" s="362" t="inlineStr">
        <is>
          <t>0</t>
        </is>
      </c>
      <c r="H151" s="360" t="inlineStr">
        <is>
          <t>1B1-01</t>
        </is>
      </c>
      <c r="I151" s="363" t="inlineStr">
        <is>
          <t>OFİS B1 ODA</t>
        </is>
      </c>
      <c r="J151" s="364" t="n"/>
      <c r="K151" s="360" t="inlineStr">
        <is>
          <t>20ºC</t>
        </is>
      </c>
      <c r="L151" s="360" t="n"/>
      <c r="M151" s="360" t="n"/>
      <c r="N151" s="360" t="n"/>
      <c r="O151" s="360" t="n"/>
      <c r="P151" s="360" t="n"/>
      <c r="Q151" s="365" t="n"/>
    </row>
    <row r="152" ht="9.949999999999999" customHeight="1" s="244">
      <c r="A152" s="366" t="inlineStr">
        <is>
          <t>DD</t>
        </is>
      </c>
      <c r="B152" s="367" t="inlineStr">
        <is>
          <t>G</t>
        </is>
      </c>
      <c r="C152" s="368" t="n"/>
      <c r="D152" s="369" t="n">
        <v>4.68</v>
      </c>
      <c r="E152" s="369" t="n">
        <v>2.5</v>
      </c>
      <c r="F152" s="370">
        <f>IF(D152=0," ",D152*E152)</f>
        <v/>
      </c>
      <c r="G152" s="371" t="n">
        <v>1</v>
      </c>
      <c r="H152" s="372">
        <f>F154*G154</f>
        <v/>
      </c>
      <c r="I152" s="370">
        <f>IF(F152=" "," ",F152*G152-H152)</f>
        <v/>
      </c>
      <c r="J152" s="369" t="n">
        <v>0.344</v>
      </c>
      <c r="K152" s="371" t="n">
        <v>23</v>
      </c>
      <c r="L152" s="373">
        <f>IF(I152=" "," ",I152*J152*K152)</f>
        <v/>
      </c>
      <c r="M152" s="374" t="n">
        <v>7</v>
      </c>
      <c r="N152" s="371" t="n">
        <v>0</v>
      </c>
      <c r="O152" s="374" t="n">
        <v>-5</v>
      </c>
      <c r="P152" s="370">
        <f>IF(M152=" "," ",(1+(M152+N152+O152)/100))</f>
        <v/>
      </c>
      <c r="Q152" s="375">
        <f>IF(L152=" "," ",L152*P152)</f>
        <v/>
      </c>
    </row>
    <row r="153" ht="9.949999999999999" customHeight="1" s="244">
      <c r="A153" s="366" t="inlineStr">
        <is>
          <t>DD25</t>
        </is>
      </c>
      <c r="B153" s="367" t="inlineStr">
        <is>
          <t>G</t>
        </is>
      </c>
      <c r="C153" s="368" t="n"/>
      <c r="D153" s="369">
        <f>D152</f>
        <v/>
      </c>
      <c r="E153" s="369" t="n">
        <v>0.5</v>
      </c>
      <c r="F153" s="370">
        <f>IF(D153=0," ",D153*E153)</f>
        <v/>
      </c>
      <c r="G153" s="371" t="n">
        <v>1</v>
      </c>
      <c r="H153" s="372" t="n"/>
      <c r="I153" s="370">
        <f>IF(F153=" "," ",F153*G153-H153)</f>
        <v/>
      </c>
      <c r="J153" s="369" t="n">
        <v>0.387</v>
      </c>
      <c r="K153" s="371" t="n">
        <v>23</v>
      </c>
      <c r="L153" s="373">
        <f>IF(I153=" "," ",I153*J153*K153)</f>
        <v/>
      </c>
      <c r="M153" s="374" t="n">
        <v>7</v>
      </c>
      <c r="N153" s="371" t="n">
        <v>0</v>
      </c>
      <c r="O153" s="374" t="n">
        <v>-5</v>
      </c>
      <c r="P153" s="370">
        <f>IF(M153=" "," ",(1+(M153+N153+O153)/100))</f>
        <v/>
      </c>
      <c r="Q153" s="375">
        <f>IF(L153=" "," ",L153*P153)</f>
        <v/>
      </c>
    </row>
    <row r="154" ht="9.949999999999999" customHeight="1" s="244">
      <c r="A154" s="366" t="inlineStr">
        <is>
          <t>ÇP</t>
        </is>
      </c>
      <c r="B154" s="367" t="inlineStr">
        <is>
          <t>G</t>
        </is>
      </c>
      <c r="C154" s="368" t="n"/>
      <c r="D154" s="369" t="n">
        <v>2.57</v>
      </c>
      <c r="E154" s="369" t="n">
        <v>1.5</v>
      </c>
      <c r="F154" s="370">
        <f>IF(D154=0," ",D154*E154)</f>
        <v/>
      </c>
      <c r="G154" s="371" t="n">
        <v>1</v>
      </c>
      <c r="H154" s="372" t="n"/>
      <c r="I154" s="370">
        <f>IF(F154=" "," ",F154*G154-H154)</f>
        <v/>
      </c>
      <c r="J154" s="369" t="n">
        <v>1.8</v>
      </c>
      <c r="K154" s="371" t="n">
        <v>23</v>
      </c>
      <c r="L154" s="373">
        <f>IF(I154=" "," ",I154*J154*K154)</f>
        <v/>
      </c>
      <c r="M154" s="374" t="n">
        <v>7</v>
      </c>
      <c r="N154" s="371" t="n">
        <v>0</v>
      </c>
      <c r="O154" s="374" t="n">
        <v>-5</v>
      </c>
      <c r="P154" s="370">
        <f>IF(M154=" "," ",(1+(M154+N154+O154)/100))</f>
        <v/>
      </c>
      <c r="Q154" s="375">
        <f>IF(L154=" "," ",L154*P154)</f>
        <v/>
      </c>
    </row>
    <row r="155" ht="9.949999999999999" customHeight="1" s="244">
      <c r="A155" s="366" t="inlineStr">
        <is>
          <t>İDM</t>
        </is>
      </c>
      <c r="B155" s="367" t="inlineStr"/>
      <c r="C155" s="368" t="n"/>
      <c r="D155" s="369" t="n">
        <v>2.58</v>
      </c>
      <c r="E155" s="369" t="n">
        <v>3</v>
      </c>
      <c r="F155" s="370">
        <f>IF(D155=0," ",D155*E155)</f>
        <v/>
      </c>
      <c r="G155" s="371" t="n">
        <v>1</v>
      </c>
      <c r="H155" s="372" t="n"/>
      <c r="I155" s="370">
        <f>IF(F155=" "," ",F155*G155-H155)</f>
        <v/>
      </c>
      <c r="J155" s="369" t="n">
        <v>0.332</v>
      </c>
      <c r="K155" s="371" t="n">
        <v>10</v>
      </c>
      <c r="L155" s="373">
        <f>IF(I155=" "," ",I155*J155*K155)</f>
        <v/>
      </c>
      <c r="M155" s="374" t="n">
        <v>7</v>
      </c>
      <c r="N155" s="371" t="n">
        <v>0</v>
      </c>
      <c r="O155" s="374" t="n">
        <v>0</v>
      </c>
      <c r="P155" s="370">
        <f>IF(M155=" "," ",(1+(M155+N155+O155)/100))</f>
        <v/>
      </c>
      <c r="Q155" s="375">
        <f>IF(L155=" "," ",L155*P155)</f>
        <v/>
      </c>
    </row>
    <row r="156" ht="9.949999999999999" customHeight="1" s="244">
      <c r="A156" s="376" t="n"/>
      <c r="B156" s="377" t="n"/>
      <c r="C156" s="377" t="n"/>
      <c r="D156" s="378" t="n"/>
      <c r="E156" s="378" t="n"/>
      <c r="F156" s="378" t="n"/>
      <c r="G156" s="379" t="n"/>
      <c r="H156" s="378" t="n"/>
      <c r="I156" s="378" t="n"/>
      <c r="J156" s="378" t="n"/>
      <c r="K156" s="379" t="n"/>
      <c r="L156" s="380" t="n"/>
      <c r="M156" s="381" t="n"/>
      <c r="N156" s="381" t="n"/>
      <c r="O156" s="381" t="n"/>
      <c r="P156" s="382" t="n"/>
      <c r="Q156" s="383">
        <f>SUM(Q152:Q155)</f>
        <v/>
      </c>
    </row>
    <row r="157" ht="9.949999999999999" customHeight="1" s="244">
      <c r="A157" s="384" t="n"/>
      <c r="B157" s="385" t="n"/>
      <c r="C157" s="385" t="n"/>
      <c r="D157" s="386" t="n"/>
      <c r="E157" s="387" t="n"/>
      <c r="F157" s="388" t="n"/>
      <c r="G157" s="389" t="n"/>
      <c r="H157" s="388" t="n"/>
      <c r="I157" s="390" t="n"/>
      <c r="J157" s="391" t="inlineStr">
        <is>
          <t>Qs=</t>
        </is>
      </c>
      <c r="K157" s="390" t="inlineStr">
        <is>
          <t>S a</t>
        </is>
      </c>
      <c r="L157" s="388" t="inlineStr">
        <is>
          <t>L</t>
        </is>
      </c>
      <c r="M157" s="389" t="inlineStr">
        <is>
          <t>R</t>
        </is>
      </c>
      <c r="N157" s="392" t="inlineStr">
        <is>
          <t>H</t>
        </is>
      </c>
      <c r="O157" s="393" t="inlineStr">
        <is>
          <t>D  T</t>
        </is>
      </c>
      <c r="P157" s="389" t="inlineStr">
        <is>
          <t>Ze</t>
        </is>
      </c>
      <c r="Q157" s="394" t="n"/>
    </row>
    <row r="158" ht="9.949999999999999" customHeight="1" s="244">
      <c r="A158" s="395" t="inlineStr">
        <is>
          <t xml:space="preserve"> </t>
        </is>
      </c>
      <c r="C158" s="397" t="n"/>
      <c r="D158" s="397" t="n"/>
      <c r="E158" s="398" t="n"/>
      <c r="F158" s="399" t="n"/>
      <c r="G158" s="400" t="n"/>
      <c r="H158" s="401" t="n"/>
      <c r="I158" s="402" t="n"/>
      <c r="J158" s="403" t="inlineStr">
        <is>
          <t>Qs  =</t>
        </is>
      </c>
      <c r="K158" s="404" t="n">
        <v>2</v>
      </c>
      <c r="L158" s="404">
        <f>(D154+E154)*2*G154</f>
        <v/>
      </c>
      <c r="M158" s="404" t="n">
        <v>0.9</v>
      </c>
      <c r="N158" s="404" t="n">
        <v>0.67</v>
      </c>
      <c r="O158" s="381" t="n">
        <v>23</v>
      </c>
      <c r="P158" s="404" t="n">
        <v>1</v>
      </c>
      <c r="Q158" s="383">
        <f>K158*L158*M158*N158*O158*P158</f>
        <v/>
      </c>
    </row>
    <row r="159" ht="9.949999999999999" customHeight="1" s="244">
      <c r="A159" s="405" t="n"/>
      <c r="B159" s="406" t="n"/>
      <c r="C159" s="397" t="n"/>
      <c r="D159" s="397" t="n"/>
      <c r="E159" s="378" t="n"/>
      <c r="F159" s="256" t="n"/>
      <c r="G159" s="407" t="n"/>
      <c r="H159" s="397" t="n"/>
      <c r="I159" s="397" t="n"/>
      <c r="J159" s="397" t="n"/>
      <c r="K159" s="407" t="n"/>
      <c r="L159" s="408" t="n"/>
      <c r="M159" s="409" t="inlineStr">
        <is>
          <t xml:space="preserve">   TOPLAM ISI KAYBI =</t>
        </is>
      </c>
      <c r="N159" s="409" t="n"/>
      <c r="O159" s="410" t="n"/>
      <c r="P159" s="409" t="n"/>
      <c r="Q159" s="411">
        <f>Q156+Q158</f>
        <v/>
      </c>
    </row>
    <row r="160" ht="10.35" customHeight="1" s="244">
      <c r="A160" s="359" t="n"/>
      <c r="B160" s="360" t="n"/>
      <c r="C160" s="360" t="n"/>
      <c r="D160" s="360" t="n"/>
      <c r="E160" s="360" t="n"/>
      <c r="F160" s="361" t="inlineStr">
        <is>
          <t>1</t>
        </is>
      </c>
      <c r="G160" s="362" t="inlineStr">
        <is>
          <t>0</t>
        </is>
      </c>
      <c r="H160" s="360" t="inlineStr">
        <is>
          <t>1B1-02</t>
        </is>
      </c>
      <c r="I160" s="363" t="inlineStr">
        <is>
          <t>OFİS B1 GİRİŞ KARŞILAM</t>
        </is>
      </c>
      <c r="J160" s="364" t="n"/>
      <c r="K160" s="360" t="inlineStr">
        <is>
          <t>20ºC</t>
        </is>
      </c>
      <c r="L160" s="360" t="n"/>
      <c r="M160" s="360" t="n"/>
      <c r="N160" s="360" t="n"/>
      <c r="O160" s="360" t="n"/>
      <c r="P160" s="360" t="n"/>
      <c r="Q160" s="365" t="n"/>
    </row>
    <row r="161" ht="9.949999999999999" customHeight="1" s="244">
      <c r="A161" s="366" t="inlineStr">
        <is>
          <t>İDM</t>
        </is>
      </c>
      <c r="B161" s="367" t="inlineStr"/>
      <c r="C161" s="368" t="n"/>
      <c r="D161" s="369" t="n">
        <v>3.48</v>
      </c>
      <c r="E161" s="369" t="n">
        <v>3</v>
      </c>
      <c r="F161" s="370">
        <f>IF(D161=0," ",D161*E161)</f>
        <v/>
      </c>
      <c r="G161" s="371" t="n">
        <v>1</v>
      </c>
      <c r="H161" s="372" t="n"/>
      <c r="I161" s="370">
        <f>IF(F161=" "," ",F161*G161-H161)</f>
        <v/>
      </c>
      <c r="J161" s="369" t="n">
        <v>0.332</v>
      </c>
      <c r="K161" s="371" t="n">
        <v>10</v>
      </c>
      <c r="L161" s="373">
        <f>IF(I161=" "," ",I161*J161*K161)</f>
        <v/>
      </c>
      <c r="M161" s="374" t="n">
        <v>7</v>
      </c>
      <c r="N161" s="371" t="n">
        <v>0</v>
      </c>
      <c r="O161" s="374" t="n">
        <v>0</v>
      </c>
      <c r="P161" s="370">
        <f>IF(M161=" "," ",(1+(M161+N161+O161)/100))</f>
        <v/>
      </c>
      <c r="Q161" s="375">
        <f>IF(L161=" "," ",L161*P161)</f>
        <v/>
      </c>
    </row>
    <row r="162" ht="9.949999999999999" customHeight="1" s="244">
      <c r="A162" s="366" t="inlineStr">
        <is>
          <t>İDM</t>
        </is>
      </c>
      <c r="B162" s="367" t="inlineStr"/>
      <c r="C162" s="368" t="n"/>
      <c r="D162" s="369" t="n">
        <v>5.05</v>
      </c>
      <c r="E162" s="369" t="n">
        <v>3</v>
      </c>
      <c r="F162" s="370">
        <f>IF(D162=0," ",D162*E162)</f>
        <v/>
      </c>
      <c r="G162" s="371" t="n">
        <v>1</v>
      </c>
      <c r="H162" s="372" t="n"/>
      <c r="I162" s="370">
        <f>IF(F162=" "," ",F162*G162-H162)</f>
        <v/>
      </c>
      <c r="J162" s="369" t="n">
        <v>0.332</v>
      </c>
      <c r="K162" s="371" t="n">
        <v>10</v>
      </c>
      <c r="L162" s="373">
        <f>IF(I162=" "," ",I162*J162*K162)</f>
        <v/>
      </c>
      <c r="M162" s="374" t="n">
        <v>7</v>
      </c>
      <c r="N162" s="371" t="n">
        <v>0</v>
      </c>
      <c r="O162" s="374" t="n">
        <v>0</v>
      </c>
      <c r="P162" s="370">
        <f>IF(M162=" "," ",(1+(M162+N162+O162)/100))</f>
        <v/>
      </c>
      <c r="Q162" s="375">
        <f>IF(L162=" "," ",L162*P162)</f>
        <v/>
      </c>
    </row>
    <row r="163" ht="9.949999999999999" customHeight="1" s="244">
      <c r="A163" s="366" t="inlineStr">
        <is>
          <t>İDM</t>
        </is>
      </c>
      <c r="B163" s="367" t="inlineStr"/>
      <c r="C163" s="368" t="n"/>
      <c r="D163" s="369" t="n">
        <v>0.36</v>
      </c>
      <c r="E163" s="369" t="n">
        <v>3</v>
      </c>
      <c r="F163" s="370">
        <f>IF(D163=0," ",D163*E163)</f>
        <v/>
      </c>
      <c r="G163" s="371" t="n">
        <v>1</v>
      </c>
      <c r="H163" s="372" t="n"/>
      <c r="I163" s="370">
        <f>IF(F163=" "," ",F163*G163-H163)</f>
        <v/>
      </c>
      <c r="J163" s="369" t="n">
        <v>0.332</v>
      </c>
      <c r="K163" s="371" t="n">
        <v>10</v>
      </c>
      <c r="L163" s="373">
        <f>IF(I163=" "," ",I163*J163*K163)</f>
        <v/>
      </c>
      <c r="M163" s="374" t="n">
        <v>7</v>
      </c>
      <c r="N163" s="371" t="n">
        <v>0</v>
      </c>
      <c r="O163" s="374" t="n">
        <v>0</v>
      </c>
      <c r="P163" s="370">
        <f>IF(M163=" "," ",(1+(M163+N163+O163)/100))</f>
        <v/>
      </c>
      <c r="Q163" s="375">
        <f>IF(L163=" "," ",L163*P163)</f>
        <v/>
      </c>
    </row>
    <row r="164" ht="9.949999999999999" customHeight="1" s="244">
      <c r="A164" s="366" t="inlineStr">
        <is>
          <t>İDM</t>
        </is>
      </c>
      <c r="B164" s="367" t="inlineStr"/>
      <c r="C164" s="368" t="n"/>
      <c r="D164" s="369" t="n">
        <v>0.68</v>
      </c>
      <c r="E164" s="369" t="n">
        <v>3</v>
      </c>
      <c r="F164" s="370">
        <f>IF(D164=0," ",D164*E164)</f>
        <v/>
      </c>
      <c r="G164" s="371" t="n">
        <v>1</v>
      </c>
      <c r="H164" s="372" t="n"/>
      <c r="I164" s="370">
        <f>IF(F164=" "," ",F164*G164-H164)</f>
        <v/>
      </c>
      <c r="J164" s="369" t="n">
        <v>0.332</v>
      </c>
      <c r="K164" s="371" t="n">
        <v>10</v>
      </c>
      <c r="L164" s="373">
        <f>IF(I164=" "," ",I164*J164*K164)</f>
        <v/>
      </c>
      <c r="M164" s="374" t="n">
        <v>7</v>
      </c>
      <c r="N164" s="371" t="n">
        <v>0</v>
      </c>
      <c r="O164" s="374" t="n">
        <v>0</v>
      </c>
      <c r="P164" s="370">
        <f>IF(M164=" "," ",(1+(M164+N164+O164)/100))</f>
        <v/>
      </c>
      <c r="Q164" s="375">
        <f>IF(L164=" "," ",L164*P164)</f>
        <v/>
      </c>
    </row>
    <row r="165" ht="9.949999999999999" customHeight="1" s="244">
      <c r="A165" s="376" t="n"/>
      <c r="B165" s="377" t="n"/>
      <c r="C165" s="377" t="n"/>
      <c r="D165" s="378" t="n"/>
      <c r="E165" s="378" t="n"/>
      <c r="F165" s="378" t="n"/>
      <c r="G165" s="379" t="n"/>
      <c r="H165" s="378" t="n"/>
      <c r="I165" s="378" t="n"/>
      <c r="J165" s="378" t="n"/>
      <c r="K165" s="379" t="n"/>
      <c r="L165" s="380" t="n"/>
      <c r="M165" s="381" t="n"/>
      <c r="N165" s="381" t="n"/>
      <c r="O165" s="381" t="n"/>
      <c r="P165" s="382" t="n"/>
      <c r="Q165" s="383">
        <f>SUM(Q161:Q164)</f>
        <v/>
      </c>
    </row>
    <row r="166" ht="9.949999999999999" customHeight="1" s="244">
      <c r="A166" s="384" t="n"/>
      <c r="B166" s="385" t="n"/>
      <c r="C166" s="385" t="n"/>
      <c r="D166" s="386" t="n"/>
      <c r="E166" s="387" t="n"/>
      <c r="F166" s="388" t="n"/>
      <c r="G166" s="389" t="n"/>
      <c r="H166" s="388" t="n"/>
      <c r="I166" s="390" t="n"/>
      <c r="J166" s="391" t="inlineStr">
        <is>
          <t>Qs=</t>
        </is>
      </c>
      <c r="K166" s="390" t="inlineStr">
        <is>
          <t>S a</t>
        </is>
      </c>
      <c r="L166" s="388" t="inlineStr">
        <is>
          <t>L</t>
        </is>
      </c>
      <c r="M166" s="389" t="inlineStr">
        <is>
          <t>R</t>
        </is>
      </c>
      <c r="N166" s="392" t="inlineStr">
        <is>
          <t>H</t>
        </is>
      </c>
      <c r="O166" s="393" t="inlineStr">
        <is>
          <t>D  T</t>
        </is>
      </c>
      <c r="P166" s="389" t="inlineStr">
        <is>
          <t>Ze</t>
        </is>
      </c>
      <c r="Q166" s="394" t="n"/>
    </row>
    <row r="167" ht="9.949999999999999" customHeight="1" s="244">
      <c r="A167" s="395" t="inlineStr">
        <is>
          <t xml:space="preserve"> </t>
        </is>
      </c>
      <c r="C167" s="397" t="n"/>
      <c r="D167" s="397" t="n"/>
      <c r="E167" s="398" t="n"/>
      <c r="F167" s="399" t="n"/>
      <c r="G167" s="400" t="n"/>
      <c r="H167" s="401" t="n"/>
      <c r="I167" s="402" t="n"/>
      <c r="J167" s="403" t="inlineStr">
        <is>
          <t>Qs  =</t>
        </is>
      </c>
      <c r="K167" s="404" t="n">
        <v>2</v>
      </c>
      <c r="L167" s="404" t="n">
        <v>0</v>
      </c>
      <c r="M167" s="404" t="n">
        <v>0.9</v>
      </c>
      <c r="N167" s="404" t="n">
        <v>0.67</v>
      </c>
      <c r="O167" s="381" t="n">
        <v>23</v>
      </c>
      <c r="P167" s="404" t="n">
        <v>1</v>
      </c>
      <c r="Q167" s="383">
        <f>K167*L167*M167*N167*O167*P167</f>
        <v/>
      </c>
    </row>
    <row r="168" ht="9.949999999999999" customHeight="1" s="244">
      <c r="A168" s="405" t="n"/>
      <c r="B168" s="406" t="n"/>
      <c r="C168" s="397" t="n"/>
      <c r="D168" s="397" t="n"/>
      <c r="E168" s="378" t="n"/>
      <c r="F168" s="256" t="n"/>
      <c r="G168" s="407" t="n"/>
      <c r="H168" s="397" t="n"/>
      <c r="I168" s="397" t="n"/>
      <c r="J168" s="397" t="n"/>
      <c r="K168" s="407" t="n"/>
      <c r="L168" s="408" t="n"/>
      <c r="M168" s="409" t="inlineStr">
        <is>
          <t xml:space="preserve">   TOPLAM ISI KAYBI =</t>
        </is>
      </c>
      <c r="N168" s="409" t="n"/>
      <c r="O168" s="410" t="n"/>
      <c r="P168" s="409" t="n"/>
      <c r="Q168" s="411">
        <f>Q165+Q167</f>
        <v/>
      </c>
    </row>
    <row r="169" ht="10.35" customHeight="1" s="244">
      <c r="A169" s="359" t="n"/>
      <c r="B169" s="360" t="n"/>
      <c r="C169" s="360" t="n"/>
      <c r="D169" s="360" t="n"/>
      <c r="E169" s="360" t="n"/>
      <c r="F169" s="361" t="inlineStr">
        <is>
          <t>1</t>
        </is>
      </c>
      <c r="G169" s="362" t="inlineStr">
        <is>
          <t>0</t>
        </is>
      </c>
      <c r="H169" s="360" t="inlineStr">
        <is>
          <t>1B1-03</t>
        </is>
      </c>
      <c r="I169" s="363" t="inlineStr">
        <is>
          <t>OFİS B1 MUTFAK</t>
        </is>
      </c>
      <c r="J169" s="364" t="n"/>
      <c r="K169" s="360" t="inlineStr">
        <is>
          <t>20ºC</t>
        </is>
      </c>
      <c r="L169" s="360" t="n"/>
      <c r="M169" s="360" t="n"/>
      <c r="N169" s="360" t="n"/>
      <c r="O169" s="360" t="n"/>
      <c r="P169" s="360" t="n"/>
      <c r="Q169" s="365" t="n"/>
    </row>
    <row r="170" ht="9.949999999999999" customHeight="1" s="244">
      <c r="A170" s="376" t="n"/>
      <c r="B170" s="377" t="n"/>
      <c r="C170" s="377" t="n"/>
      <c r="D170" s="378" t="n"/>
      <c r="E170" s="378" t="n"/>
      <c r="F170" s="378" t="n"/>
      <c r="G170" s="379" t="n"/>
      <c r="H170" s="378" t="n"/>
      <c r="I170" s="378" t="n"/>
      <c r="J170" s="378" t="n"/>
      <c r="K170" s="379" t="n"/>
      <c r="L170" s="380" t="n"/>
      <c r="M170" s="381" t="n"/>
      <c r="N170" s="381" t="n"/>
      <c r="O170" s="381" t="n"/>
      <c r="P170" s="382" t="n"/>
      <c r="Q170" s="383" t="n">
        <v>0</v>
      </c>
    </row>
    <row r="171" ht="9.949999999999999" customHeight="1" s="244">
      <c r="A171" s="384" t="n"/>
      <c r="B171" s="385" t="n"/>
      <c r="C171" s="385" t="n"/>
      <c r="D171" s="386" t="n"/>
      <c r="E171" s="387" t="n"/>
      <c r="F171" s="388" t="n"/>
      <c r="G171" s="389" t="n"/>
      <c r="H171" s="388" t="n"/>
      <c r="I171" s="390" t="n"/>
      <c r="J171" s="391" t="inlineStr">
        <is>
          <t>Qs=</t>
        </is>
      </c>
      <c r="K171" s="390" t="inlineStr">
        <is>
          <t>S a</t>
        </is>
      </c>
      <c r="L171" s="388" t="inlineStr">
        <is>
          <t>L</t>
        </is>
      </c>
      <c r="M171" s="389" t="inlineStr">
        <is>
          <t>R</t>
        </is>
      </c>
      <c r="N171" s="392" t="inlineStr">
        <is>
          <t>H</t>
        </is>
      </c>
      <c r="O171" s="393" t="inlineStr">
        <is>
          <t>D  T</t>
        </is>
      </c>
      <c r="P171" s="389" t="inlineStr">
        <is>
          <t>Ze</t>
        </is>
      </c>
      <c r="Q171" s="394" t="n"/>
    </row>
    <row r="172" ht="9.949999999999999" customHeight="1" s="244">
      <c r="A172" s="395" t="inlineStr">
        <is>
          <t xml:space="preserve"> </t>
        </is>
      </c>
      <c r="C172" s="397" t="n"/>
      <c r="D172" s="397" t="n"/>
      <c r="E172" s="398" t="n"/>
      <c r="F172" s="399" t="n"/>
      <c r="G172" s="400" t="n"/>
      <c r="H172" s="401" t="n"/>
      <c r="I172" s="402" t="n"/>
      <c r="J172" s="403" t="inlineStr">
        <is>
          <t>Qs  =</t>
        </is>
      </c>
      <c r="K172" s="404" t="n">
        <v>2</v>
      </c>
      <c r="L172" s="404" t="n">
        <v>0</v>
      </c>
      <c r="M172" s="404" t="n">
        <v>0.9</v>
      </c>
      <c r="N172" s="404" t="n">
        <v>0.67</v>
      </c>
      <c r="O172" s="381" t="n">
        <v>23</v>
      </c>
      <c r="P172" s="404" t="n">
        <v>1</v>
      </c>
      <c r="Q172" s="383">
        <f>K172*L172*M172*N172*O172*P172</f>
        <v/>
      </c>
    </row>
    <row r="173" ht="9.949999999999999" customHeight="1" s="244">
      <c r="A173" s="405" t="n"/>
      <c r="B173" s="406" t="n"/>
      <c r="C173" s="397" t="n"/>
      <c r="D173" s="397" t="n"/>
      <c r="E173" s="378" t="n"/>
      <c r="F173" s="256" t="n"/>
      <c r="G173" s="407" t="n"/>
      <c r="H173" s="397" t="n"/>
      <c r="I173" s="397" t="n"/>
      <c r="J173" s="397" t="n"/>
      <c r="K173" s="407" t="n"/>
      <c r="L173" s="408" t="n"/>
      <c r="M173" s="409" t="inlineStr">
        <is>
          <t xml:space="preserve">   TOPLAM ISI KAYBI =</t>
        </is>
      </c>
      <c r="N173" s="409" t="n"/>
      <c r="O173" s="410" t="n"/>
      <c r="P173" s="409" t="n"/>
      <c r="Q173" s="411">
        <f>Q170+Q172</f>
        <v/>
      </c>
    </row>
    <row r="174" ht="10.35" customHeight="1" s="244">
      <c r="A174" s="359" t="n"/>
      <c r="B174" s="360" t="n"/>
      <c r="C174" s="360" t="n"/>
      <c r="D174" s="360" t="n"/>
      <c r="E174" s="360" t="n"/>
      <c r="F174" s="361" t="inlineStr">
        <is>
          <t>1</t>
        </is>
      </c>
      <c r="G174" s="362" t="inlineStr">
        <is>
          <t>0</t>
        </is>
      </c>
      <c r="H174" s="360" t="inlineStr">
        <is>
          <t>1B1-04</t>
        </is>
      </c>
      <c r="I174" s="363" t="inlineStr">
        <is>
          <t>OFİS B1 BANYO</t>
        </is>
      </c>
      <c r="J174" s="364" t="n"/>
      <c r="K174" s="360" t="inlineStr">
        <is>
          <t>24ºC</t>
        </is>
      </c>
      <c r="L174" s="360" t="n"/>
      <c r="M174" s="360" t="n"/>
      <c r="N174" s="360" t="n"/>
      <c r="O174" s="360" t="n"/>
      <c r="P174" s="360" t="n"/>
      <c r="Q174" s="365" t="n"/>
    </row>
    <row r="175" ht="9.949999999999999" customHeight="1" s="244">
      <c r="A175" s="366" t="inlineStr">
        <is>
          <t>İDM</t>
        </is>
      </c>
      <c r="B175" s="367" t="inlineStr"/>
      <c r="C175" s="368" t="n"/>
      <c r="D175" s="369" t="n">
        <v>0.83</v>
      </c>
      <c r="E175" s="369" t="n">
        <v>3</v>
      </c>
      <c r="F175" s="370">
        <f>IF(D175=0," ",D175*E175)</f>
        <v/>
      </c>
      <c r="G175" s="371" t="n">
        <v>1</v>
      </c>
      <c r="H175" s="372" t="n"/>
      <c r="I175" s="370">
        <f>IF(F175=" "," ",F175*G175-H175)</f>
        <v/>
      </c>
      <c r="J175" s="369" t="n">
        <v>0.332</v>
      </c>
      <c r="K175" s="371" t="n">
        <v>14</v>
      </c>
      <c r="L175" s="373">
        <f>IF(I175=" "," ",I175*J175*K175)</f>
        <v/>
      </c>
      <c r="M175" s="374" t="n">
        <v>7</v>
      </c>
      <c r="N175" s="371" t="n">
        <v>0</v>
      </c>
      <c r="O175" s="374" t="n">
        <v>0</v>
      </c>
      <c r="P175" s="370">
        <f>IF(M175=" "," ",(1+(M175+N175+O175)/100))</f>
        <v/>
      </c>
      <c r="Q175" s="375">
        <f>IF(L175=" "," ",L175*P175)</f>
        <v/>
      </c>
    </row>
    <row r="176" ht="9.949999999999999" customHeight="1" s="244">
      <c r="A176" s="376" t="n"/>
      <c r="B176" s="377" t="n"/>
      <c r="C176" s="377" t="n"/>
      <c r="D176" s="378" t="n"/>
      <c r="E176" s="378" t="n"/>
      <c r="F176" s="378" t="n"/>
      <c r="G176" s="379" t="n"/>
      <c r="H176" s="378" t="n"/>
      <c r="I176" s="378" t="n"/>
      <c r="J176" s="378" t="n"/>
      <c r="K176" s="379" t="n"/>
      <c r="L176" s="380" t="n"/>
      <c r="M176" s="381" t="n"/>
      <c r="N176" s="381" t="n"/>
      <c r="O176" s="381" t="n"/>
      <c r="P176" s="382" t="n"/>
      <c r="Q176" s="383">
        <f>SUM(Q175:Q175)</f>
        <v/>
      </c>
    </row>
    <row r="177" ht="9.949999999999999" customHeight="1" s="244">
      <c r="A177" s="384" t="n"/>
      <c r="B177" s="385" t="n"/>
      <c r="C177" s="385" t="n"/>
      <c r="D177" s="386" t="n"/>
      <c r="E177" s="387" t="n"/>
      <c r="F177" s="388" t="n"/>
      <c r="G177" s="389" t="n"/>
      <c r="H177" s="388" t="n"/>
      <c r="I177" s="390" t="n"/>
      <c r="J177" s="391" t="inlineStr">
        <is>
          <t>Qs=</t>
        </is>
      </c>
      <c r="K177" s="390" t="inlineStr">
        <is>
          <t>S a</t>
        </is>
      </c>
      <c r="L177" s="388" t="inlineStr">
        <is>
          <t>L</t>
        </is>
      </c>
      <c r="M177" s="389" t="inlineStr">
        <is>
          <t>R</t>
        </is>
      </c>
      <c r="N177" s="392" t="inlineStr">
        <is>
          <t>H</t>
        </is>
      </c>
      <c r="O177" s="393" t="inlineStr">
        <is>
          <t>D  T</t>
        </is>
      </c>
      <c r="P177" s="389" t="inlineStr">
        <is>
          <t>Ze</t>
        </is>
      </c>
      <c r="Q177" s="394" t="n"/>
    </row>
    <row r="178" ht="9.949999999999999" customHeight="1" s="244">
      <c r="A178" s="395" t="inlineStr">
        <is>
          <t xml:space="preserve"> </t>
        </is>
      </c>
      <c r="C178" s="397" t="n"/>
      <c r="D178" s="397" t="n"/>
      <c r="E178" s="398" t="n"/>
      <c r="F178" s="399" t="n"/>
      <c r="G178" s="400" t="n"/>
      <c r="H178" s="401" t="n"/>
      <c r="I178" s="402" t="n"/>
      <c r="J178" s="403" t="inlineStr">
        <is>
          <t>Qs  =</t>
        </is>
      </c>
      <c r="K178" s="404" t="n">
        <v>2</v>
      </c>
      <c r="L178" s="404" t="n">
        <v>0</v>
      </c>
      <c r="M178" s="404" t="n">
        <v>0.9</v>
      </c>
      <c r="N178" s="404" t="n">
        <v>0.67</v>
      </c>
      <c r="O178" s="381" t="n">
        <v>27</v>
      </c>
      <c r="P178" s="404" t="n">
        <v>1</v>
      </c>
      <c r="Q178" s="383">
        <f>K178*L178*M178*N178*O178*P178</f>
        <v/>
      </c>
    </row>
    <row r="179" ht="9.949999999999999" customHeight="1" s="244">
      <c r="A179" s="405" t="n"/>
      <c r="B179" s="406" t="n"/>
      <c r="C179" s="397" t="n"/>
      <c r="D179" s="397" t="n"/>
      <c r="E179" s="378" t="n"/>
      <c r="F179" s="256" t="n"/>
      <c r="G179" s="407" t="n"/>
      <c r="H179" s="397" t="n"/>
      <c r="I179" s="397" t="n"/>
      <c r="J179" s="397" t="n"/>
      <c r="K179" s="407" t="n"/>
      <c r="L179" s="408" t="n"/>
      <c r="M179" s="409" t="inlineStr">
        <is>
          <t xml:space="preserve">   TOPLAM ISI KAYBI =</t>
        </is>
      </c>
      <c r="N179" s="409" t="n"/>
      <c r="O179" s="410" t="n"/>
      <c r="P179" s="409" t="n"/>
      <c r="Q179" s="411">
        <f>Q176+Q178</f>
        <v/>
      </c>
    </row>
    <row r="180" ht="10.35" customHeight="1" s="244">
      <c r="A180" s="359" t="n"/>
      <c r="B180" s="360" t="n"/>
      <c r="C180" s="360" t="n"/>
      <c r="D180" s="360" t="n"/>
      <c r="E180" s="360" t="n"/>
      <c r="F180" s="361" t="inlineStr">
        <is>
          <t>1</t>
        </is>
      </c>
      <c r="G180" s="362" t="inlineStr">
        <is>
          <t>0</t>
        </is>
      </c>
      <c r="H180" s="360" t="inlineStr">
        <is>
          <t>1B2-01</t>
        </is>
      </c>
      <c r="I180" s="363" t="inlineStr">
        <is>
          <t>OFİS B2 ODA</t>
        </is>
      </c>
      <c r="J180" s="364" t="n"/>
      <c r="K180" s="360" t="inlineStr">
        <is>
          <t>20ºC</t>
        </is>
      </c>
      <c r="L180" s="360" t="n"/>
      <c r="M180" s="360" t="n"/>
      <c r="N180" s="360" t="n"/>
      <c r="O180" s="360" t="n"/>
      <c r="P180" s="360" t="n"/>
      <c r="Q180" s="365" t="n"/>
    </row>
    <row r="181" ht="9.949999999999999" customHeight="1" s="244">
      <c r="A181" s="366" t="inlineStr">
        <is>
          <t>DD</t>
        </is>
      </c>
      <c r="B181" s="367" t="inlineStr">
        <is>
          <t>G</t>
        </is>
      </c>
      <c r="C181" s="368" t="n"/>
      <c r="D181" s="369" t="n">
        <v>4.68</v>
      </c>
      <c r="E181" s="369" t="n">
        <v>2.5</v>
      </c>
      <c r="F181" s="370">
        <f>IF(D181=0," ",D181*E181)</f>
        <v/>
      </c>
      <c r="G181" s="371" t="n">
        <v>1</v>
      </c>
      <c r="H181" s="372">
        <f>F183*G183</f>
        <v/>
      </c>
      <c r="I181" s="370">
        <f>IF(F181=" "," ",F181*G181-H181)</f>
        <v/>
      </c>
      <c r="J181" s="369" t="n">
        <v>0.344</v>
      </c>
      <c r="K181" s="371" t="n">
        <v>23</v>
      </c>
      <c r="L181" s="373">
        <f>IF(I181=" "," ",I181*J181*K181)</f>
        <v/>
      </c>
      <c r="M181" s="374" t="n">
        <v>7</v>
      </c>
      <c r="N181" s="371" t="n">
        <v>0</v>
      </c>
      <c r="O181" s="374" t="n">
        <v>-5</v>
      </c>
      <c r="P181" s="370">
        <f>IF(M181=" "," ",(1+(M181+N181+O181)/100))</f>
        <v/>
      </c>
      <c r="Q181" s="375">
        <f>IF(L181=" "," ",L181*P181)</f>
        <v/>
      </c>
    </row>
    <row r="182" ht="9.949999999999999" customHeight="1" s="244">
      <c r="A182" s="366" t="inlineStr">
        <is>
          <t>DD25</t>
        </is>
      </c>
      <c r="B182" s="367" t="inlineStr">
        <is>
          <t>G</t>
        </is>
      </c>
      <c r="C182" s="368" t="n"/>
      <c r="D182" s="369">
        <f>D181</f>
        <v/>
      </c>
      <c r="E182" s="369" t="n">
        <v>0.5</v>
      </c>
      <c r="F182" s="370">
        <f>IF(D182=0," ",D182*E182)</f>
        <v/>
      </c>
      <c r="G182" s="371" t="n">
        <v>1</v>
      </c>
      <c r="H182" s="372" t="n"/>
      <c r="I182" s="370">
        <f>IF(F182=" "," ",F182*G182-H182)</f>
        <v/>
      </c>
      <c r="J182" s="369" t="n">
        <v>0.387</v>
      </c>
      <c r="K182" s="371" t="n">
        <v>23</v>
      </c>
      <c r="L182" s="373">
        <f>IF(I182=" "," ",I182*J182*K182)</f>
        <v/>
      </c>
      <c r="M182" s="374" t="n">
        <v>7</v>
      </c>
      <c r="N182" s="371" t="n">
        <v>0</v>
      </c>
      <c r="O182" s="374" t="n">
        <v>-5</v>
      </c>
      <c r="P182" s="370">
        <f>IF(M182=" "," ",(1+(M182+N182+O182)/100))</f>
        <v/>
      </c>
      <c r="Q182" s="375">
        <f>IF(L182=" "," ",L182*P182)</f>
        <v/>
      </c>
    </row>
    <row r="183" ht="9.949999999999999" customHeight="1" s="244">
      <c r="A183" s="366" t="inlineStr">
        <is>
          <t>ÇP</t>
        </is>
      </c>
      <c r="B183" s="367" t="inlineStr">
        <is>
          <t>G</t>
        </is>
      </c>
      <c r="C183" s="368" t="n"/>
      <c r="D183" s="369" t="n">
        <v>2.57</v>
      </c>
      <c r="E183" s="369" t="n">
        <v>1.5</v>
      </c>
      <c r="F183" s="370">
        <f>IF(D183=0," ",D183*E183)</f>
        <v/>
      </c>
      <c r="G183" s="371" t="n">
        <v>1</v>
      </c>
      <c r="H183" s="372" t="n"/>
      <c r="I183" s="370">
        <f>IF(F183=" "," ",F183*G183-H183)</f>
        <v/>
      </c>
      <c r="J183" s="369" t="n">
        <v>1.8</v>
      </c>
      <c r="K183" s="371" t="n">
        <v>23</v>
      </c>
      <c r="L183" s="373">
        <f>IF(I183=" "," ",I183*J183*K183)</f>
        <v/>
      </c>
      <c r="M183" s="374" t="n">
        <v>7</v>
      </c>
      <c r="N183" s="371" t="n">
        <v>0</v>
      </c>
      <c r="O183" s="374" t="n">
        <v>-5</v>
      </c>
      <c r="P183" s="370">
        <f>IF(M183=" "," ",(1+(M183+N183+O183)/100))</f>
        <v/>
      </c>
      <c r="Q183" s="375">
        <f>IF(L183=" "," ",L183*P183)</f>
        <v/>
      </c>
    </row>
    <row r="184" ht="9.949999999999999" customHeight="1" s="244">
      <c r="A184" s="376" t="n"/>
      <c r="B184" s="377" t="n"/>
      <c r="C184" s="377" t="n"/>
      <c r="D184" s="378" t="n"/>
      <c r="E184" s="378" t="n"/>
      <c r="F184" s="378" t="n"/>
      <c r="G184" s="379" t="n"/>
      <c r="H184" s="378" t="n"/>
      <c r="I184" s="378" t="n"/>
      <c r="J184" s="378" t="n"/>
      <c r="K184" s="379" t="n"/>
      <c r="L184" s="380" t="n"/>
      <c r="M184" s="381" t="n"/>
      <c r="N184" s="381" t="n"/>
      <c r="O184" s="381" t="n"/>
      <c r="P184" s="382" t="n"/>
      <c r="Q184" s="383">
        <f>SUM(Q181:Q183)</f>
        <v/>
      </c>
    </row>
    <row r="185" ht="9.949999999999999" customHeight="1" s="244">
      <c r="A185" s="384" t="n"/>
      <c r="B185" s="385" t="n"/>
      <c r="C185" s="385" t="n"/>
      <c r="D185" s="386" t="n"/>
      <c r="E185" s="387" t="n"/>
      <c r="F185" s="388" t="n"/>
      <c r="G185" s="389" t="n"/>
      <c r="H185" s="388" t="n"/>
      <c r="I185" s="390" t="n"/>
      <c r="J185" s="391" t="inlineStr">
        <is>
          <t>Qs=</t>
        </is>
      </c>
      <c r="K185" s="390" t="inlineStr">
        <is>
          <t>S a</t>
        </is>
      </c>
      <c r="L185" s="388" t="inlineStr">
        <is>
          <t>L</t>
        </is>
      </c>
      <c r="M185" s="389" t="inlineStr">
        <is>
          <t>R</t>
        </is>
      </c>
      <c r="N185" s="392" t="inlineStr">
        <is>
          <t>H</t>
        </is>
      </c>
      <c r="O185" s="393" t="inlineStr">
        <is>
          <t>D  T</t>
        </is>
      </c>
      <c r="P185" s="389" t="inlineStr">
        <is>
          <t>Ze</t>
        </is>
      </c>
      <c r="Q185" s="394" t="n"/>
    </row>
    <row r="186" ht="9.949999999999999" customHeight="1" s="244">
      <c r="A186" s="395" t="inlineStr">
        <is>
          <t xml:space="preserve"> </t>
        </is>
      </c>
      <c r="C186" s="397" t="n"/>
      <c r="D186" s="397" t="n"/>
      <c r="E186" s="398" t="n"/>
      <c r="F186" s="399" t="n"/>
      <c r="G186" s="400" t="n"/>
      <c r="H186" s="401" t="n"/>
      <c r="I186" s="402" t="n"/>
      <c r="J186" s="403" t="inlineStr">
        <is>
          <t>Qs  =</t>
        </is>
      </c>
      <c r="K186" s="404" t="n">
        <v>2</v>
      </c>
      <c r="L186" s="404">
        <f>(D183+E183)*2*G183</f>
        <v/>
      </c>
      <c r="M186" s="404" t="n">
        <v>0.9</v>
      </c>
      <c r="N186" s="404" t="n">
        <v>0.67</v>
      </c>
      <c r="O186" s="381" t="n">
        <v>23</v>
      </c>
      <c r="P186" s="404" t="n">
        <v>1</v>
      </c>
      <c r="Q186" s="383">
        <f>K186*L186*M186*N186*O186*P186</f>
        <v/>
      </c>
    </row>
    <row r="187" ht="9.949999999999999" customHeight="1" s="244">
      <c r="A187" s="405" t="n"/>
      <c r="B187" s="406" t="n"/>
      <c r="C187" s="397" t="n"/>
      <c r="D187" s="397" t="n"/>
      <c r="E187" s="378" t="n"/>
      <c r="F187" s="256" t="n"/>
      <c r="G187" s="407" t="n"/>
      <c r="H187" s="397" t="n"/>
      <c r="I187" s="397" t="n"/>
      <c r="J187" s="397" t="n"/>
      <c r="K187" s="407" t="n"/>
      <c r="L187" s="408" t="n"/>
      <c r="M187" s="409" t="inlineStr">
        <is>
          <t xml:space="preserve">   TOPLAM ISI KAYBI =</t>
        </is>
      </c>
      <c r="N187" s="409" t="n"/>
      <c r="O187" s="410" t="n"/>
      <c r="P187" s="409" t="n"/>
      <c r="Q187" s="411">
        <f>Q184+Q186</f>
        <v/>
      </c>
    </row>
    <row r="188" ht="10.35" customHeight="1" s="244">
      <c r="A188" s="359" t="n"/>
      <c r="B188" s="360" t="n"/>
      <c r="C188" s="360" t="n"/>
      <c r="D188" s="360" t="n"/>
      <c r="E188" s="360" t="n"/>
      <c r="F188" s="361" t="inlineStr">
        <is>
          <t>1</t>
        </is>
      </c>
      <c r="G188" s="362" t="inlineStr">
        <is>
          <t>0</t>
        </is>
      </c>
      <c r="H188" s="360" t="inlineStr">
        <is>
          <t>1B2-02</t>
        </is>
      </c>
      <c r="I188" s="363" t="inlineStr">
        <is>
          <t>OFİS B2 GİRİŞ HOLÜ</t>
        </is>
      </c>
      <c r="J188" s="364" t="n"/>
      <c r="K188" s="360" t="inlineStr">
        <is>
          <t>20ºC</t>
        </is>
      </c>
      <c r="L188" s="360" t="n"/>
      <c r="M188" s="360" t="n"/>
      <c r="N188" s="360" t="n"/>
      <c r="O188" s="360" t="n"/>
      <c r="P188" s="360" t="n"/>
      <c r="Q188" s="365" t="n"/>
    </row>
    <row r="189" ht="9.949999999999999" customHeight="1" s="244">
      <c r="A189" s="376" t="n"/>
      <c r="B189" s="377" t="n"/>
      <c r="C189" s="377" t="n"/>
      <c r="D189" s="378" t="n"/>
      <c r="E189" s="378" t="n"/>
      <c r="F189" s="378" t="n"/>
      <c r="G189" s="379" t="n"/>
      <c r="H189" s="378" t="n"/>
      <c r="I189" s="378" t="n"/>
      <c r="J189" s="378" t="n"/>
      <c r="K189" s="379" t="n"/>
      <c r="L189" s="380" t="n"/>
      <c r="M189" s="381" t="n"/>
      <c r="N189" s="381" t="n"/>
      <c r="O189" s="381" t="n"/>
      <c r="P189" s="382" t="n"/>
      <c r="Q189" s="383" t="n">
        <v>0</v>
      </c>
    </row>
    <row r="190" ht="9.949999999999999" customHeight="1" s="244">
      <c r="A190" s="384" t="n"/>
      <c r="B190" s="385" t="n"/>
      <c r="C190" s="385" t="n"/>
      <c r="D190" s="386" t="n"/>
      <c r="E190" s="387" t="n"/>
      <c r="F190" s="388" t="n"/>
      <c r="G190" s="389" t="n"/>
      <c r="H190" s="388" t="n"/>
      <c r="I190" s="390" t="n"/>
      <c r="J190" s="391" t="inlineStr">
        <is>
          <t>Qs=</t>
        </is>
      </c>
      <c r="K190" s="390" t="inlineStr">
        <is>
          <t>S a</t>
        </is>
      </c>
      <c r="L190" s="388" t="inlineStr">
        <is>
          <t>L</t>
        </is>
      </c>
      <c r="M190" s="389" t="inlineStr">
        <is>
          <t>R</t>
        </is>
      </c>
      <c r="N190" s="392" t="inlineStr">
        <is>
          <t>H</t>
        </is>
      </c>
      <c r="O190" s="393" t="inlineStr">
        <is>
          <t>D  T</t>
        </is>
      </c>
      <c r="P190" s="389" t="inlineStr">
        <is>
          <t>Ze</t>
        </is>
      </c>
      <c r="Q190" s="394" t="n"/>
    </row>
    <row r="191" ht="9.949999999999999" customHeight="1" s="244">
      <c r="A191" s="395" t="inlineStr">
        <is>
          <t xml:space="preserve"> </t>
        </is>
      </c>
      <c r="C191" s="397" t="n"/>
      <c r="D191" s="397" t="n"/>
      <c r="E191" s="398" t="n"/>
      <c r="F191" s="399" t="n"/>
      <c r="G191" s="400" t="n"/>
      <c r="H191" s="401" t="n"/>
      <c r="I191" s="402" t="n"/>
      <c r="J191" s="403" t="inlineStr">
        <is>
          <t>Qs  =</t>
        </is>
      </c>
      <c r="K191" s="404" t="n">
        <v>2</v>
      </c>
      <c r="L191" s="404" t="n">
        <v>0</v>
      </c>
      <c r="M191" s="404" t="n">
        <v>0.9</v>
      </c>
      <c r="N191" s="404" t="n">
        <v>0.67</v>
      </c>
      <c r="O191" s="381" t="n">
        <v>23</v>
      </c>
      <c r="P191" s="404" t="n">
        <v>1</v>
      </c>
      <c r="Q191" s="383">
        <f>K191*L191*M191*N191*O191*P191</f>
        <v/>
      </c>
    </row>
    <row r="192" ht="9.949999999999999" customHeight="1" s="244">
      <c r="A192" s="405" t="n"/>
      <c r="B192" s="406" t="n"/>
      <c r="C192" s="397" t="n"/>
      <c r="D192" s="397" t="n"/>
      <c r="E192" s="378" t="n"/>
      <c r="F192" s="256" t="n"/>
      <c r="G192" s="407" t="n"/>
      <c r="H192" s="397" t="n"/>
      <c r="I192" s="397" t="n"/>
      <c r="J192" s="397" t="n"/>
      <c r="K192" s="407" t="n"/>
      <c r="L192" s="408" t="n"/>
      <c r="M192" s="409" t="inlineStr">
        <is>
          <t xml:space="preserve">   TOPLAM ISI KAYBI =</t>
        </is>
      </c>
      <c r="N192" s="409" t="n"/>
      <c r="O192" s="410" t="n"/>
      <c r="P192" s="409" t="n"/>
      <c r="Q192" s="411">
        <f>Q189+Q191</f>
        <v/>
      </c>
    </row>
    <row r="193" ht="10.35" customHeight="1" s="244">
      <c r="A193" s="359" t="n"/>
      <c r="B193" s="360" t="n"/>
      <c r="C193" s="360" t="n"/>
      <c r="D193" s="360" t="n"/>
      <c r="E193" s="360" t="n"/>
      <c r="F193" s="361" t="inlineStr">
        <is>
          <t>1</t>
        </is>
      </c>
      <c r="G193" s="362" t="inlineStr">
        <is>
          <t>0</t>
        </is>
      </c>
      <c r="H193" s="360" t="inlineStr">
        <is>
          <t>1B2-03</t>
        </is>
      </c>
      <c r="I193" s="363" t="inlineStr">
        <is>
          <t>OFİS B2 GİRİŞ KARŞILAM</t>
        </is>
      </c>
      <c r="J193" s="364" t="n"/>
      <c r="K193" s="360" t="inlineStr">
        <is>
          <t>20ºC</t>
        </is>
      </c>
      <c r="L193" s="360" t="n"/>
      <c r="M193" s="360" t="n"/>
      <c r="N193" s="360" t="n"/>
      <c r="O193" s="360" t="n"/>
      <c r="P193" s="360" t="n"/>
      <c r="Q193" s="365" t="n"/>
    </row>
    <row r="194" ht="9.949999999999999" customHeight="1" s="244">
      <c r="A194" s="366" t="inlineStr">
        <is>
          <t>İDM</t>
        </is>
      </c>
      <c r="B194" s="367" t="inlineStr"/>
      <c r="C194" s="368" t="n"/>
      <c r="D194" s="369" t="n">
        <v>3.53</v>
      </c>
      <c r="E194" s="369" t="n">
        <v>3</v>
      </c>
      <c r="F194" s="370">
        <f>IF(D194=0," ",D194*E194)</f>
        <v/>
      </c>
      <c r="G194" s="371" t="n">
        <v>1</v>
      </c>
      <c r="H194" s="372" t="n"/>
      <c r="I194" s="370">
        <f>IF(F194=" "," ",F194*G194-H194)</f>
        <v/>
      </c>
      <c r="J194" s="369" t="n">
        <v>0.332</v>
      </c>
      <c r="K194" s="371" t="n">
        <v>10</v>
      </c>
      <c r="L194" s="373">
        <f>IF(I194=" "," ",I194*J194*K194)</f>
        <v/>
      </c>
      <c r="M194" s="374" t="n">
        <v>7</v>
      </c>
      <c r="N194" s="371" t="n">
        <v>0</v>
      </c>
      <c r="O194" s="374" t="n">
        <v>0</v>
      </c>
      <c r="P194" s="370">
        <f>IF(M194=" "," ",(1+(M194+N194+O194)/100))</f>
        <v/>
      </c>
      <c r="Q194" s="375">
        <f>IF(L194=" "," ",L194*P194)</f>
        <v/>
      </c>
    </row>
    <row r="195" ht="9.949999999999999" customHeight="1" s="244">
      <c r="A195" s="366" t="inlineStr">
        <is>
          <t>İDM</t>
        </is>
      </c>
      <c r="B195" s="367" t="inlineStr"/>
      <c r="C195" s="368" t="n"/>
      <c r="D195" s="369" t="n">
        <v>0.73</v>
      </c>
      <c r="E195" s="369" t="n">
        <v>3</v>
      </c>
      <c r="F195" s="370">
        <f>IF(D195=0," ",D195*E195)</f>
        <v/>
      </c>
      <c r="G195" s="371" t="n">
        <v>1</v>
      </c>
      <c r="H195" s="372" t="n"/>
      <c r="I195" s="370">
        <f>IF(F195=" "," ",F195*G195-H195)</f>
        <v/>
      </c>
      <c r="J195" s="369" t="n">
        <v>0.332</v>
      </c>
      <c r="K195" s="371" t="n">
        <v>10</v>
      </c>
      <c r="L195" s="373">
        <f>IF(I195=" "," ",I195*J195*K195)</f>
        <v/>
      </c>
      <c r="M195" s="374" t="n">
        <v>7</v>
      </c>
      <c r="N195" s="371" t="n">
        <v>0</v>
      </c>
      <c r="O195" s="374" t="n">
        <v>0</v>
      </c>
      <c r="P195" s="370">
        <f>IF(M195=" "," ",(1+(M195+N195+O195)/100))</f>
        <v/>
      </c>
      <c r="Q195" s="375">
        <f>IF(L195=" "," ",L195*P195)</f>
        <v/>
      </c>
    </row>
    <row r="196" ht="9.949999999999999" customHeight="1" s="244">
      <c r="A196" s="366" t="inlineStr">
        <is>
          <t>İDM</t>
        </is>
      </c>
      <c r="B196" s="367" t="inlineStr"/>
      <c r="C196" s="368" t="n"/>
      <c r="D196" s="369" t="n">
        <v>0.36</v>
      </c>
      <c r="E196" s="369" t="n">
        <v>3</v>
      </c>
      <c r="F196" s="370">
        <f>IF(D196=0," ",D196*E196)</f>
        <v/>
      </c>
      <c r="G196" s="371" t="n">
        <v>1</v>
      </c>
      <c r="H196" s="372" t="n"/>
      <c r="I196" s="370">
        <f>IF(F196=" "," ",F196*G196-H196)</f>
        <v/>
      </c>
      <c r="J196" s="369" t="n">
        <v>0.332</v>
      </c>
      <c r="K196" s="371" t="n">
        <v>10</v>
      </c>
      <c r="L196" s="373">
        <f>IF(I196=" "," ",I196*J196*K196)</f>
        <v/>
      </c>
      <c r="M196" s="374" t="n">
        <v>7</v>
      </c>
      <c r="N196" s="371" t="n">
        <v>0</v>
      </c>
      <c r="O196" s="374" t="n">
        <v>0</v>
      </c>
      <c r="P196" s="370">
        <f>IF(M196=" "," ",(1+(M196+N196+O196)/100))</f>
        <v/>
      </c>
      <c r="Q196" s="375">
        <f>IF(L196=" "," ",L196*P196)</f>
        <v/>
      </c>
    </row>
    <row r="197" ht="9.949999999999999" customHeight="1" s="244">
      <c r="A197" s="376" t="n"/>
      <c r="B197" s="377" t="n"/>
      <c r="C197" s="377" t="n"/>
      <c r="D197" s="378" t="n"/>
      <c r="E197" s="378" t="n"/>
      <c r="F197" s="378" t="n"/>
      <c r="G197" s="379" t="n"/>
      <c r="H197" s="378" t="n"/>
      <c r="I197" s="378" t="n"/>
      <c r="J197" s="378" t="n"/>
      <c r="K197" s="379" t="n"/>
      <c r="L197" s="380" t="n"/>
      <c r="M197" s="381" t="n"/>
      <c r="N197" s="381" t="n"/>
      <c r="O197" s="381" t="n"/>
      <c r="P197" s="382" t="n"/>
      <c r="Q197" s="383">
        <f>SUM(Q194:Q196)</f>
        <v/>
      </c>
    </row>
    <row r="198" ht="9.949999999999999" customHeight="1" s="244">
      <c r="A198" s="384" t="n"/>
      <c r="B198" s="385" t="n"/>
      <c r="C198" s="385" t="n"/>
      <c r="D198" s="386" t="n"/>
      <c r="E198" s="387" t="n"/>
      <c r="F198" s="388" t="n"/>
      <c r="G198" s="389" t="n"/>
      <c r="H198" s="388" t="n"/>
      <c r="I198" s="390" t="n"/>
      <c r="J198" s="391" t="inlineStr">
        <is>
          <t>Qs=</t>
        </is>
      </c>
      <c r="K198" s="390" t="inlineStr">
        <is>
          <t>S a</t>
        </is>
      </c>
      <c r="L198" s="388" t="inlineStr">
        <is>
          <t>L</t>
        </is>
      </c>
      <c r="M198" s="389" t="inlineStr">
        <is>
          <t>R</t>
        </is>
      </c>
      <c r="N198" s="392" t="inlineStr">
        <is>
          <t>H</t>
        </is>
      </c>
      <c r="O198" s="393" t="inlineStr">
        <is>
          <t>D  T</t>
        </is>
      </c>
      <c r="P198" s="389" t="inlineStr">
        <is>
          <t>Ze</t>
        </is>
      </c>
      <c r="Q198" s="394" t="n"/>
    </row>
    <row r="199" ht="9.949999999999999" customHeight="1" s="244">
      <c r="A199" s="395" t="inlineStr">
        <is>
          <t xml:space="preserve"> </t>
        </is>
      </c>
      <c r="C199" s="397" t="n"/>
      <c r="D199" s="397" t="n"/>
      <c r="E199" s="398" t="n"/>
      <c r="F199" s="399" t="n"/>
      <c r="G199" s="400" t="n"/>
      <c r="H199" s="401" t="n"/>
      <c r="I199" s="402" t="n"/>
      <c r="J199" s="403" t="inlineStr">
        <is>
          <t>Qs  =</t>
        </is>
      </c>
      <c r="K199" s="404" t="n">
        <v>2</v>
      </c>
      <c r="L199" s="404" t="n">
        <v>0</v>
      </c>
      <c r="M199" s="404" t="n">
        <v>0.9</v>
      </c>
      <c r="N199" s="404" t="n">
        <v>0.67</v>
      </c>
      <c r="O199" s="381" t="n">
        <v>23</v>
      </c>
      <c r="P199" s="404" t="n">
        <v>1</v>
      </c>
      <c r="Q199" s="383">
        <f>K199*L199*M199*N199*O199*P199</f>
        <v/>
      </c>
    </row>
    <row r="200" ht="9.949999999999999" customHeight="1" s="244">
      <c r="A200" s="405" t="n"/>
      <c r="B200" s="406" t="n"/>
      <c r="C200" s="397" t="n"/>
      <c r="D200" s="397" t="n"/>
      <c r="E200" s="378" t="n"/>
      <c r="F200" s="256" t="n"/>
      <c r="G200" s="407" t="n"/>
      <c r="H200" s="397" t="n"/>
      <c r="I200" s="397" t="n"/>
      <c r="J200" s="397" t="n"/>
      <c r="K200" s="407" t="n"/>
      <c r="L200" s="408" t="n"/>
      <c r="M200" s="409" t="inlineStr">
        <is>
          <t xml:space="preserve">   TOPLAM ISI KAYBI =</t>
        </is>
      </c>
      <c r="N200" s="409" t="n"/>
      <c r="O200" s="410" t="n"/>
      <c r="P200" s="409" t="n"/>
      <c r="Q200" s="411">
        <f>Q197+Q199</f>
        <v/>
      </c>
    </row>
    <row r="201" ht="10.35" customHeight="1" s="244">
      <c r="A201" s="359" t="n"/>
      <c r="B201" s="360" t="n"/>
      <c r="C201" s="360" t="n"/>
      <c r="D201" s="360" t="n"/>
      <c r="E201" s="360" t="n"/>
      <c r="F201" s="361" t="inlineStr">
        <is>
          <t>1</t>
        </is>
      </c>
      <c r="G201" s="362" t="inlineStr">
        <is>
          <t>0</t>
        </is>
      </c>
      <c r="H201" s="360" t="inlineStr">
        <is>
          <t>1B2-04</t>
        </is>
      </c>
      <c r="I201" s="363" t="inlineStr">
        <is>
          <t>OFİS B2 BANYO</t>
        </is>
      </c>
      <c r="J201" s="364" t="n"/>
      <c r="K201" s="360" t="inlineStr">
        <is>
          <t>24ºC</t>
        </is>
      </c>
      <c r="L201" s="360" t="n"/>
      <c r="M201" s="360" t="n"/>
      <c r="N201" s="360" t="n"/>
      <c r="O201" s="360" t="n"/>
      <c r="P201" s="360" t="n"/>
      <c r="Q201" s="365" t="n"/>
    </row>
    <row r="202" ht="9.949999999999999" customHeight="1" s="244">
      <c r="A202" s="366" t="inlineStr">
        <is>
          <t>İDM</t>
        </is>
      </c>
      <c r="B202" s="367" t="inlineStr"/>
      <c r="C202" s="368" t="n"/>
      <c r="D202" s="369" t="n">
        <v>0.4</v>
      </c>
      <c r="E202" s="369" t="n">
        <v>3</v>
      </c>
      <c r="F202" s="370">
        <f>IF(D202=0," ",D202*E202)</f>
        <v/>
      </c>
      <c r="G202" s="371" t="n">
        <v>1</v>
      </c>
      <c r="H202" s="372" t="n"/>
      <c r="I202" s="370">
        <f>IF(F202=" "," ",F202*G202-H202)</f>
        <v/>
      </c>
      <c r="J202" s="369" t="n">
        <v>0.332</v>
      </c>
      <c r="K202" s="371" t="n">
        <v>14</v>
      </c>
      <c r="L202" s="373">
        <f>IF(I202=" "," ",I202*J202*K202)</f>
        <v/>
      </c>
      <c r="M202" s="374" t="n">
        <v>7</v>
      </c>
      <c r="N202" s="371" t="n">
        <v>0</v>
      </c>
      <c r="O202" s="374" t="n">
        <v>0</v>
      </c>
      <c r="P202" s="370">
        <f>IF(M202=" "," ",(1+(M202+N202+O202)/100))</f>
        <v/>
      </c>
      <c r="Q202" s="375">
        <f>IF(L202=" "," ",L202*P202)</f>
        <v/>
      </c>
    </row>
    <row r="203" ht="9.949999999999999" customHeight="1" s="244">
      <c r="A203" s="366" t="inlineStr">
        <is>
          <t>İDM</t>
        </is>
      </c>
      <c r="B203" s="367" t="inlineStr"/>
      <c r="C203" s="368" t="n"/>
      <c r="D203" s="369" t="n">
        <v>0.83</v>
      </c>
      <c r="E203" s="369" t="n">
        <v>3</v>
      </c>
      <c r="F203" s="370">
        <f>IF(D203=0," ",D203*E203)</f>
        <v/>
      </c>
      <c r="G203" s="371" t="n">
        <v>1</v>
      </c>
      <c r="H203" s="372" t="n"/>
      <c r="I203" s="370">
        <f>IF(F203=" "," ",F203*G203-H203)</f>
        <v/>
      </c>
      <c r="J203" s="369" t="n">
        <v>0.332</v>
      </c>
      <c r="K203" s="371" t="n">
        <v>14</v>
      </c>
      <c r="L203" s="373">
        <f>IF(I203=" "," ",I203*J203*K203)</f>
        <v/>
      </c>
      <c r="M203" s="374" t="n">
        <v>7</v>
      </c>
      <c r="N203" s="371" t="n">
        <v>0</v>
      </c>
      <c r="O203" s="374" t="n">
        <v>0</v>
      </c>
      <c r="P203" s="370">
        <f>IF(M203=" "," ",(1+(M203+N203+O203)/100))</f>
        <v/>
      </c>
      <c r="Q203" s="375">
        <f>IF(L203=" "," ",L203*P203)</f>
        <v/>
      </c>
    </row>
    <row r="204" ht="9.949999999999999" customHeight="1" s="244">
      <c r="A204" s="376" t="n"/>
      <c r="B204" s="377" t="n"/>
      <c r="C204" s="377" t="n"/>
      <c r="D204" s="378" t="n"/>
      <c r="E204" s="378" t="n"/>
      <c r="F204" s="378" t="n"/>
      <c r="G204" s="379" t="n"/>
      <c r="H204" s="378" t="n"/>
      <c r="I204" s="378" t="n"/>
      <c r="J204" s="378" t="n"/>
      <c r="K204" s="379" t="n"/>
      <c r="L204" s="380" t="n"/>
      <c r="M204" s="381" t="n"/>
      <c r="N204" s="381" t="n"/>
      <c r="O204" s="381" t="n"/>
      <c r="P204" s="382" t="n"/>
      <c r="Q204" s="383">
        <f>SUM(Q202:Q203)</f>
        <v/>
      </c>
    </row>
    <row r="205" ht="9.949999999999999" customHeight="1" s="244">
      <c r="A205" s="384" t="n"/>
      <c r="B205" s="385" t="n"/>
      <c r="C205" s="385" t="n"/>
      <c r="D205" s="386" t="n"/>
      <c r="E205" s="387" t="n"/>
      <c r="F205" s="388" t="n"/>
      <c r="G205" s="389" t="n"/>
      <c r="H205" s="388" t="n"/>
      <c r="I205" s="390" t="n"/>
      <c r="J205" s="391" t="inlineStr">
        <is>
          <t>Qs=</t>
        </is>
      </c>
      <c r="K205" s="390" t="inlineStr">
        <is>
          <t>S a</t>
        </is>
      </c>
      <c r="L205" s="388" t="inlineStr">
        <is>
          <t>L</t>
        </is>
      </c>
      <c r="M205" s="389" t="inlineStr">
        <is>
          <t>R</t>
        </is>
      </c>
      <c r="N205" s="392" t="inlineStr">
        <is>
          <t>H</t>
        </is>
      </c>
      <c r="O205" s="393" t="inlineStr">
        <is>
          <t>D  T</t>
        </is>
      </c>
      <c r="P205" s="389" t="inlineStr">
        <is>
          <t>Ze</t>
        </is>
      </c>
      <c r="Q205" s="394" t="n"/>
    </row>
    <row r="206" ht="9.949999999999999" customHeight="1" s="244">
      <c r="A206" s="395" t="inlineStr">
        <is>
          <t xml:space="preserve"> </t>
        </is>
      </c>
      <c r="C206" s="397" t="n"/>
      <c r="D206" s="397" t="n"/>
      <c r="E206" s="398" t="n"/>
      <c r="F206" s="399" t="n"/>
      <c r="G206" s="400" t="n"/>
      <c r="H206" s="401" t="n"/>
      <c r="I206" s="402" t="n"/>
      <c r="J206" s="403" t="inlineStr">
        <is>
          <t>Qs  =</t>
        </is>
      </c>
      <c r="K206" s="404" t="n">
        <v>2</v>
      </c>
      <c r="L206" s="404" t="n">
        <v>0</v>
      </c>
      <c r="M206" s="404" t="n">
        <v>0.9</v>
      </c>
      <c r="N206" s="404" t="n">
        <v>0.67</v>
      </c>
      <c r="O206" s="381" t="n">
        <v>27</v>
      </c>
      <c r="P206" s="404" t="n">
        <v>1</v>
      </c>
      <c r="Q206" s="383">
        <f>K206*L206*M206*N206*O206*P206</f>
        <v/>
      </c>
    </row>
    <row r="207" ht="9.949999999999999" customHeight="1" s="244">
      <c r="A207" s="405" t="n"/>
      <c r="B207" s="406" t="n"/>
      <c r="C207" s="397" t="n"/>
      <c r="D207" s="397" t="n"/>
      <c r="E207" s="378" t="n"/>
      <c r="F207" s="256" t="n"/>
      <c r="G207" s="407" t="n"/>
      <c r="H207" s="397" t="n"/>
      <c r="I207" s="397" t="n"/>
      <c r="J207" s="397" t="n"/>
      <c r="K207" s="407" t="n"/>
      <c r="L207" s="408" t="n"/>
      <c r="M207" s="409" t="inlineStr">
        <is>
          <t xml:space="preserve">   TOPLAM ISI KAYBI =</t>
        </is>
      </c>
      <c r="N207" s="409" t="n"/>
      <c r="O207" s="410" t="n"/>
      <c r="P207" s="409" t="n"/>
      <c r="Q207" s="411">
        <f>Q204+Q206</f>
        <v/>
      </c>
    </row>
    <row r="208" ht="10.35" customHeight="1" s="244">
      <c r="A208" s="359" t="n"/>
      <c r="B208" s="360" t="n"/>
      <c r="C208" s="360" t="n"/>
      <c r="D208" s="360" t="n"/>
      <c r="E208" s="360" t="n"/>
      <c r="F208" s="361" t="inlineStr">
        <is>
          <t>1</t>
        </is>
      </c>
      <c r="G208" s="362" t="inlineStr">
        <is>
          <t>0</t>
        </is>
      </c>
      <c r="H208" s="360" t="inlineStr">
        <is>
          <t>1B3-01</t>
        </is>
      </c>
      <c r="I208" s="363" t="inlineStr">
        <is>
          <t>OFİS B3 ODA</t>
        </is>
      </c>
      <c r="J208" s="364" t="n"/>
      <c r="K208" s="360" t="inlineStr">
        <is>
          <t>20ºC</t>
        </is>
      </c>
      <c r="L208" s="360" t="n"/>
      <c r="M208" s="360" t="n"/>
      <c r="N208" s="360" t="n"/>
      <c r="O208" s="360" t="n"/>
      <c r="P208" s="360" t="n"/>
      <c r="Q208" s="365" t="n"/>
    </row>
    <row r="209" ht="9.949999999999999" customHeight="1" s="244">
      <c r="A209" s="366" t="inlineStr">
        <is>
          <t>DD</t>
        </is>
      </c>
      <c r="B209" s="367" t="inlineStr">
        <is>
          <t>G</t>
        </is>
      </c>
      <c r="C209" s="368" t="n"/>
      <c r="D209" s="369" t="n">
        <v>4.68</v>
      </c>
      <c r="E209" s="369" t="n">
        <v>2.5</v>
      </c>
      <c r="F209" s="370">
        <f>IF(D209=0," ",D209*E209)</f>
        <v/>
      </c>
      <c r="G209" s="371" t="n">
        <v>1</v>
      </c>
      <c r="H209" s="372">
        <f>F211*G211</f>
        <v/>
      </c>
      <c r="I209" s="370">
        <f>IF(F209=" "," ",F209*G209-H209)</f>
        <v/>
      </c>
      <c r="J209" s="369" t="n">
        <v>0.344</v>
      </c>
      <c r="K209" s="371" t="n">
        <v>23</v>
      </c>
      <c r="L209" s="373">
        <f>IF(I209=" "," ",I209*J209*K209)</f>
        <v/>
      </c>
      <c r="M209" s="374" t="n">
        <v>7</v>
      </c>
      <c r="N209" s="371" t="n">
        <v>0</v>
      </c>
      <c r="O209" s="374" t="n">
        <v>-5</v>
      </c>
      <c r="P209" s="370">
        <f>IF(M209=" "," ",(1+(M209+N209+O209)/100))</f>
        <v/>
      </c>
      <c r="Q209" s="375">
        <f>IF(L209=" "," ",L209*P209)</f>
        <v/>
      </c>
    </row>
    <row r="210" ht="9.949999999999999" customHeight="1" s="244">
      <c r="A210" s="366" t="inlineStr">
        <is>
          <t>DD25</t>
        </is>
      </c>
      <c r="B210" s="367" t="inlineStr">
        <is>
          <t>G</t>
        </is>
      </c>
      <c r="C210" s="368" t="n"/>
      <c r="D210" s="369">
        <f>D209</f>
        <v/>
      </c>
      <c r="E210" s="369" t="n">
        <v>0.5</v>
      </c>
      <c r="F210" s="370">
        <f>IF(D210=0," ",D210*E210)</f>
        <v/>
      </c>
      <c r="G210" s="371" t="n">
        <v>1</v>
      </c>
      <c r="H210" s="372" t="n"/>
      <c r="I210" s="370">
        <f>IF(F210=" "," ",F210*G210-H210)</f>
        <v/>
      </c>
      <c r="J210" s="369" t="n">
        <v>0.387</v>
      </c>
      <c r="K210" s="371" t="n">
        <v>23</v>
      </c>
      <c r="L210" s="373">
        <f>IF(I210=" "," ",I210*J210*K210)</f>
        <v/>
      </c>
      <c r="M210" s="374" t="n">
        <v>7</v>
      </c>
      <c r="N210" s="371" t="n">
        <v>0</v>
      </c>
      <c r="O210" s="374" t="n">
        <v>-5</v>
      </c>
      <c r="P210" s="370">
        <f>IF(M210=" "," ",(1+(M210+N210+O210)/100))</f>
        <v/>
      </c>
      <c r="Q210" s="375">
        <f>IF(L210=" "," ",L210*P210)</f>
        <v/>
      </c>
    </row>
    <row r="211" ht="9.949999999999999" customHeight="1" s="244">
      <c r="A211" s="366" t="inlineStr">
        <is>
          <t>ÇP</t>
        </is>
      </c>
      <c r="B211" s="367" t="inlineStr">
        <is>
          <t>G</t>
        </is>
      </c>
      <c r="C211" s="368" t="n"/>
      <c r="D211" s="369" t="n">
        <v>2.57</v>
      </c>
      <c r="E211" s="369" t="n">
        <v>1.5</v>
      </c>
      <c r="F211" s="370">
        <f>IF(D211=0," ",D211*E211)</f>
        <v/>
      </c>
      <c r="G211" s="371" t="n">
        <v>1</v>
      </c>
      <c r="H211" s="372" t="n"/>
      <c r="I211" s="370">
        <f>IF(F211=" "," ",F211*G211-H211)</f>
        <v/>
      </c>
      <c r="J211" s="369" t="n">
        <v>1.8</v>
      </c>
      <c r="K211" s="371" t="n">
        <v>23</v>
      </c>
      <c r="L211" s="373">
        <f>IF(I211=" "," ",I211*J211*K211)</f>
        <v/>
      </c>
      <c r="M211" s="374" t="n">
        <v>7</v>
      </c>
      <c r="N211" s="371" t="n">
        <v>0</v>
      </c>
      <c r="O211" s="374" t="n">
        <v>-5</v>
      </c>
      <c r="P211" s="370">
        <f>IF(M211=" "," ",(1+(M211+N211+O211)/100))</f>
        <v/>
      </c>
      <c r="Q211" s="375">
        <f>IF(L211=" "," ",L211*P211)</f>
        <v/>
      </c>
    </row>
    <row r="212" ht="9.949999999999999" customHeight="1" s="244">
      <c r="A212" s="366" t="inlineStr">
        <is>
          <t>İDM</t>
        </is>
      </c>
      <c r="B212" s="367" t="inlineStr"/>
      <c r="C212" s="368" t="n"/>
      <c r="D212" s="369" t="n">
        <v>2.63</v>
      </c>
      <c r="E212" s="369" t="n">
        <v>3</v>
      </c>
      <c r="F212" s="370">
        <f>IF(D212=0," ",D212*E212)</f>
        <v/>
      </c>
      <c r="G212" s="371" t="n">
        <v>1</v>
      </c>
      <c r="H212" s="372" t="n"/>
      <c r="I212" s="370">
        <f>IF(F212=" "," ",F212*G212-H212)</f>
        <v/>
      </c>
      <c r="J212" s="369" t="n">
        <v>0.332</v>
      </c>
      <c r="K212" s="371" t="n">
        <v>5</v>
      </c>
      <c r="L212" s="373">
        <f>IF(I212=" "," ",I212*J212*K212)</f>
        <v/>
      </c>
      <c r="M212" s="374" t="n">
        <v>7</v>
      </c>
      <c r="N212" s="371" t="n">
        <v>0</v>
      </c>
      <c r="O212" s="374" t="n">
        <v>0</v>
      </c>
      <c r="P212" s="370">
        <f>IF(M212=" "," ",(1+(M212+N212+O212)/100))</f>
        <v/>
      </c>
      <c r="Q212" s="375">
        <f>IF(L212=" "," ",L212*P212)</f>
        <v/>
      </c>
    </row>
    <row r="213" ht="9.949999999999999" customHeight="1" s="244">
      <c r="A213" s="376" t="n"/>
      <c r="B213" s="377" t="n"/>
      <c r="C213" s="377" t="n"/>
      <c r="D213" s="378" t="n"/>
      <c r="E213" s="378" t="n"/>
      <c r="F213" s="378" t="n"/>
      <c r="G213" s="379" t="n"/>
      <c r="H213" s="378" t="n"/>
      <c r="I213" s="378" t="n"/>
      <c r="J213" s="378" t="n"/>
      <c r="K213" s="379" t="n"/>
      <c r="L213" s="380" t="n"/>
      <c r="M213" s="381" t="n"/>
      <c r="N213" s="381" t="n"/>
      <c r="O213" s="381" t="n"/>
      <c r="P213" s="382" t="n"/>
      <c r="Q213" s="383">
        <f>SUM(Q209:Q212)</f>
        <v/>
      </c>
    </row>
    <row r="214" ht="9.949999999999999" customHeight="1" s="244">
      <c r="A214" s="384" t="n"/>
      <c r="B214" s="385" t="n"/>
      <c r="C214" s="385" t="n"/>
      <c r="D214" s="386" t="n"/>
      <c r="E214" s="387" t="n"/>
      <c r="F214" s="388" t="n"/>
      <c r="G214" s="389" t="n"/>
      <c r="H214" s="388" t="n"/>
      <c r="I214" s="390" t="n"/>
      <c r="J214" s="391" t="inlineStr">
        <is>
          <t>Qs=</t>
        </is>
      </c>
      <c r="K214" s="390" t="inlineStr">
        <is>
          <t>S a</t>
        </is>
      </c>
      <c r="L214" s="388" t="inlineStr">
        <is>
          <t>L</t>
        </is>
      </c>
      <c r="M214" s="389" t="inlineStr">
        <is>
          <t>R</t>
        </is>
      </c>
      <c r="N214" s="392" t="inlineStr">
        <is>
          <t>H</t>
        </is>
      </c>
      <c r="O214" s="393" t="inlineStr">
        <is>
          <t>D  T</t>
        </is>
      </c>
      <c r="P214" s="389" t="inlineStr">
        <is>
          <t>Ze</t>
        </is>
      </c>
      <c r="Q214" s="394" t="n"/>
    </row>
    <row r="215" ht="9.949999999999999" customHeight="1" s="244">
      <c r="A215" s="395" t="inlineStr">
        <is>
          <t xml:space="preserve"> </t>
        </is>
      </c>
      <c r="C215" s="397" t="n"/>
      <c r="D215" s="397" t="n"/>
      <c r="E215" s="398" t="n"/>
      <c r="F215" s="399" t="n"/>
      <c r="G215" s="400" t="n"/>
      <c r="H215" s="401" t="n"/>
      <c r="I215" s="402" t="n"/>
      <c r="J215" s="403" t="inlineStr">
        <is>
          <t>Qs  =</t>
        </is>
      </c>
      <c r="K215" s="404" t="n">
        <v>2</v>
      </c>
      <c r="L215" s="404">
        <f>(D211+E211)*2*G211</f>
        <v/>
      </c>
      <c r="M215" s="404" t="n">
        <v>0.9</v>
      </c>
      <c r="N215" s="404" t="n">
        <v>0.67</v>
      </c>
      <c r="O215" s="381" t="n">
        <v>23</v>
      </c>
      <c r="P215" s="404" t="n">
        <v>1</v>
      </c>
      <c r="Q215" s="383">
        <f>K215*L215*M215*N215*O215*P215</f>
        <v/>
      </c>
    </row>
    <row r="216" ht="9.949999999999999" customHeight="1" s="244">
      <c r="A216" s="405" t="n"/>
      <c r="B216" s="406" t="n"/>
      <c r="C216" s="397" t="n"/>
      <c r="D216" s="397" t="n"/>
      <c r="E216" s="378" t="n"/>
      <c r="F216" s="256" t="n"/>
      <c r="G216" s="407" t="n"/>
      <c r="H216" s="397" t="n"/>
      <c r="I216" s="397" t="n"/>
      <c r="J216" s="397" t="n"/>
      <c r="K216" s="407" t="n"/>
      <c r="L216" s="408" t="n"/>
      <c r="M216" s="409" t="inlineStr">
        <is>
          <t xml:space="preserve">   TOPLAM ISI KAYBI =</t>
        </is>
      </c>
      <c r="N216" s="409" t="n"/>
      <c r="O216" s="410" t="n"/>
      <c r="P216" s="409" t="n"/>
      <c r="Q216" s="411">
        <f>Q213+Q215</f>
        <v/>
      </c>
    </row>
    <row r="217" ht="10.35" customHeight="1" s="244">
      <c r="A217" s="359" t="n"/>
      <c r="B217" s="360" t="n"/>
      <c r="C217" s="360" t="n"/>
      <c r="D217" s="360" t="n"/>
      <c r="E217" s="360" t="n"/>
      <c r="F217" s="361" t="inlineStr">
        <is>
          <t>1</t>
        </is>
      </c>
      <c r="G217" s="362" t="inlineStr">
        <is>
          <t>0</t>
        </is>
      </c>
      <c r="H217" s="360" t="inlineStr">
        <is>
          <t>1B3-02</t>
        </is>
      </c>
      <c r="I217" s="363" t="inlineStr">
        <is>
          <t>OFİS B3 GİRİŞ KARŞILAM</t>
        </is>
      </c>
      <c r="J217" s="364" t="n"/>
      <c r="K217" s="360" t="inlineStr">
        <is>
          <t>20ºC</t>
        </is>
      </c>
      <c r="L217" s="360" t="n"/>
      <c r="M217" s="360" t="n"/>
      <c r="N217" s="360" t="n"/>
      <c r="O217" s="360" t="n"/>
      <c r="P217" s="360" t="n"/>
      <c r="Q217" s="365" t="n"/>
    </row>
    <row r="218" ht="9.949999999999999" customHeight="1" s="244">
      <c r="A218" s="366" t="inlineStr">
        <is>
          <t>İDM</t>
        </is>
      </c>
      <c r="B218" s="367" t="inlineStr"/>
      <c r="C218" s="368" t="n"/>
      <c r="D218" s="369" t="n">
        <v>3.48</v>
      </c>
      <c r="E218" s="369" t="n">
        <v>3</v>
      </c>
      <c r="F218" s="370">
        <f>IF(D218=0," ",D218*E218)</f>
        <v/>
      </c>
      <c r="G218" s="371" t="n">
        <v>1</v>
      </c>
      <c r="H218" s="372" t="n"/>
      <c r="I218" s="370">
        <f>IF(F218=" "," ",F218*G218-H218)</f>
        <v/>
      </c>
      <c r="J218" s="369" t="n">
        <v>0.332</v>
      </c>
      <c r="K218" s="371" t="n">
        <v>10</v>
      </c>
      <c r="L218" s="373">
        <f>IF(I218=" "," ",I218*J218*K218)</f>
        <v/>
      </c>
      <c r="M218" s="374" t="n">
        <v>7</v>
      </c>
      <c r="N218" s="371" t="n">
        <v>0</v>
      </c>
      <c r="O218" s="374" t="n">
        <v>0</v>
      </c>
      <c r="P218" s="370">
        <f>IF(M218=" "," ",(1+(M218+N218+O218)/100))</f>
        <v/>
      </c>
      <c r="Q218" s="375">
        <f>IF(L218=" "," ",L218*P218)</f>
        <v/>
      </c>
    </row>
    <row r="219" ht="9.949999999999999" customHeight="1" s="244">
      <c r="A219" s="366" t="inlineStr">
        <is>
          <t>İDM</t>
        </is>
      </c>
      <c r="B219" s="367" t="inlineStr"/>
      <c r="C219" s="368" t="n"/>
      <c r="D219" s="369" t="n">
        <v>0.8</v>
      </c>
      <c r="E219" s="369" t="n">
        <v>3</v>
      </c>
      <c r="F219" s="370">
        <f>IF(D219=0," ",D219*E219)</f>
        <v/>
      </c>
      <c r="G219" s="371" t="n">
        <v>1</v>
      </c>
      <c r="H219" s="372" t="n"/>
      <c r="I219" s="370">
        <f>IF(F219=" "," ",F219*G219-H219)</f>
        <v/>
      </c>
      <c r="J219" s="369" t="n">
        <v>0.332</v>
      </c>
      <c r="K219" s="371" t="n">
        <v>10</v>
      </c>
      <c r="L219" s="373">
        <f>IF(I219=" "," ",I219*J219*K219)</f>
        <v/>
      </c>
      <c r="M219" s="374" t="n">
        <v>7</v>
      </c>
      <c r="N219" s="371" t="n">
        <v>0</v>
      </c>
      <c r="O219" s="374" t="n">
        <v>0</v>
      </c>
      <c r="P219" s="370">
        <f>IF(M219=" "," ",(1+(M219+N219+O219)/100))</f>
        <v/>
      </c>
      <c r="Q219" s="375">
        <f>IF(L219=" "," ",L219*P219)</f>
        <v/>
      </c>
    </row>
    <row r="220" ht="9.949999999999999" customHeight="1" s="244">
      <c r="A220" s="366" t="inlineStr">
        <is>
          <t>İDM</t>
        </is>
      </c>
      <c r="B220" s="367" t="inlineStr"/>
      <c r="C220" s="368" t="n"/>
      <c r="D220" s="369" t="n">
        <v>0.36</v>
      </c>
      <c r="E220" s="369" t="n">
        <v>3</v>
      </c>
      <c r="F220" s="370">
        <f>IF(D220=0," ",D220*E220)</f>
        <v/>
      </c>
      <c r="G220" s="371" t="n">
        <v>1</v>
      </c>
      <c r="H220" s="372" t="n"/>
      <c r="I220" s="370">
        <f>IF(F220=" "," ",F220*G220-H220)</f>
        <v/>
      </c>
      <c r="J220" s="369" t="n">
        <v>0.332</v>
      </c>
      <c r="K220" s="371" t="n">
        <v>10</v>
      </c>
      <c r="L220" s="373">
        <f>IF(I220=" "," ",I220*J220*K220)</f>
        <v/>
      </c>
      <c r="M220" s="374" t="n">
        <v>7</v>
      </c>
      <c r="N220" s="371" t="n">
        <v>0</v>
      </c>
      <c r="O220" s="374" t="n">
        <v>0</v>
      </c>
      <c r="P220" s="370">
        <f>IF(M220=" "," ",(1+(M220+N220+O220)/100))</f>
        <v/>
      </c>
      <c r="Q220" s="375">
        <f>IF(L220=" "," ",L220*P220)</f>
        <v/>
      </c>
    </row>
    <row r="221" ht="9.949999999999999" customHeight="1" s="244">
      <c r="A221" s="366" t="inlineStr">
        <is>
          <t>İDM</t>
        </is>
      </c>
      <c r="B221" s="367" t="inlineStr"/>
      <c r="C221" s="368" t="n"/>
      <c r="D221" s="369" t="n">
        <v>0.68</v>
      </c>
      <c r="E221" s="369" t="n">
        <v>3</v>
      </c>
      <c r="F221" s="370">
        <f>IF(D221=0," ",D221*E221)</f>
        <v/>
      </c>
      <c r="G221" s="371" t="n">
        <v>1</v>
      </c>
      <c r="H221" s="372" t="n"/>
      <c r="I221" s="370">
        <f>IF(F221=" "," ",F221*G221-H221)</f>
        <v/>
      </c>
      <c r="J221" s="369" t="n">
        <v>0.332</v>
      </c>
      <c r="K221" s="371" t="n">
        <v>10</v>
      </c>
      <c r="L221" s="373">
        <f>IF(I221=" "," ",I221*J221*K221)</f>
        <v/>
      </c>
      <c r="M221" s="374" t="n">
        <v>7</v>
      </c>
      <c r="N221" s="371" t="n">
        <v>0</v>
      </c>
      <c r="O221" s="374" t="n">
        <v>0</v>
      </c>
      <c r="P221" s="370">
        <f>IF(M221=" "," ",(1+(M221+N221+O221)/100))</f>
        <v/>
      </c>
      <c r="Q221" s="375">
        <f>IF(L221=" "," ",L221*P221)</f>
        <v/>
      </c>
    </row>
    <row r="222" ht="9.949999999999999" customHeight="1" s="244">
      <c r="A222" s="366" t="inlineStr">
        <is>
          <t>İDM</t>
        </is>
      </c>
      <c r="B222" s="367" t="inlineStr"/>
      <c r="C222" s="368" t="n"/>
      <c r="D222" s="369" t="n">
        <v>1.83</v>
      </c>
      <c r="E222" s="369" t="n">
        <v>3</v>
      </c>
      <c r="F222" s="370">
        <f>IF(D222=0," ",D222*E222)</f>
        <v/>
      </c>
      <c r="G222" s="371" t="n">
        <v>1</v>
      </c>
      <c r="H222" s="372" t="n"/>
      <c r="I222" s="370">
        <f>IF(F222=" "," ",F222*G222-H222)</f>
        <v/>
      </c>
      <c r="J222" s="369" t="n">
        <v>0.332</v>
      </c>
      <c r="K222" s="371" t="n">
        <v>5</v>
      </c>
      <c r="L222" s="373">
        <f>IF(I222=" "," ",I222*J222*K222)</f>
        <v/>
      </c>
      <c r="M222" s="374" t="n">
        <v>7</v>
      </c>
      <c r="N222" s="371" t="n">
        <v>0</v>
      </c>
      <c r="O222" s="374" t="n">
        <v>0</v>
      </c>
      <c r="P222" s="370">
        <f>IF(M222=" "," ",(1+(M222+N222+O222)/100))</f>
        <v/>
      </c>
      <c r="Q222" s="375">
        <f>IF(L222=" "," ",L222*P222)</f>
        <v/>
      </c>
    </row>
    <row r="223" ht="9.949999999999999" customHeight="1" s="244">
      <c r="A223" s="376" t="n"/>
      <c r="B223" s="377" t="n"/>
      <c r="C223" s="377" t="n"/>
      <c r="D223" s="378" t="n"/>
      <c r="E223" s="378" t="n"/>
      <c r="F223" s="378" t="n"/>
      <c r="G223" s="379" t="n"/>
      <c r="H223" s="378" t="n"/>
      <c r="I223" s="378" t="n"/>
      <c r="J223" s="378" t="n"/>
      <c r="K223" s="379" t="n"/>
      <c r="L223" s="380" t="n"/>
      <c r="M223" s="381" t="n"/>
      <c r="N223" s="381" t="n"/>
      <c r="O223" s="381" t="n"/>
      <c r="P223" s="382" t="n"/>
      <c r="Q223" s="383">
        <f>SUM(Q218:Q222)</f>
        <v/>
      </c>
    </row>
    <row r="224" ht="9.949999999999999" customHeight="1" s="244">
      <c r="A224" s="384" t="n"/>
      <c r="B224" s="385" t="n"/>
      <c r="C224" s="385" t="n"/>
      <c r="D224" s="386" t="n"/>
      <c r="E224" s="387" t="n"/>
      <c r="F224" s="388" t="n"/>
      <c r="G224" s="389" t="n"/>
      <c r="H224" s="388" t="n"/>
      <c r="I224" s="390" t="n"/>
      <c r="J224" s="391" t="inlineStr">
        <is>
          <t>Qs=</t>
        </is>
      </c>
      <c r="K224" s="390" t="inlineStr">
        <is>
          <t>S a</t>
        </is>
      </c>
      <c r="L224" s="388" t="inlineStr">
        <is>
          <t>L</t>
        </is>
      </c>
      <c r="M224" s="389" t="inlineStr">
        <is>
          <t>R</t>
        </is>
      </c>
      <c r="N224" s="392" t="inlineStr">
        <is>
          <t>H</t>
        </is>
      </c>
      <c r="O224" s="393" t="inlineStr">
        <is>
          <t>D  T</t>
        </is>
      </c>
      <c r="P224" s="389" t="inlineStr">
        <is>
          <t>Ze</t>
        </is>
      </c>
      <c r="Q224" s="394" t="n"/>
    </row>
    <row r="225" ht="9.949999999999999" customHeight="1" s="244">
      <c r="A225" s="395" t="inlineStr">
        <is>
          <t xml:space="preserve"> </t>
        </is>
      </c>
      <c r="C225" s="397" t="n"/>
      <c r="D225" s="397" t="n"/>
      <c r="E225" s="398" t="n"/>
      <c r="F225" s="399" t="n"/>
      <c r="G225" s="400" t="n"/>
      <c r="H225" s="401" t="n"/>
      <c r="I225" s="402" t="n"/>
      <c r="J225" s="403" t="inlineStr">
        <is>
          <t>Qs  =</t>
        </is>
      </c>
      <c r="K225" s="404" t="n">
        <v>2</v>
      </c>
      <c r="L225" s="404" t="n">
        <v>0</v>
      </c>
      <c r="M225" s="404" t="n">
        <v>0.9</v>
      </c>
      <c r="N225" s="404" t="n">
        <v>0.67</v>
      </c>
      <c r="O225" s="381" t="n">
        <v>23</v>
      </c>
      <c r="P225" s="404" t="n">
        <v>1</v>
      </c>
      <c r="Q225" s="383">
        <f>K225*L225*M225*N225*O225*P225</f>
        <v/>
      </c>
    </row>
    <row r="226" ht="9.949999999999999" customHeight="1" s="244">
      <c r="A226" s="405" t="n"/>
      <c r="B226" s="406" t="n"/>
      <c r="C226" s="397" t="n"/>
      <c r="D226" s="397" t="n"/>
      <c r="E226" s="378" t="n"/>
      <c r="F226" s="256" t="n"/>
      <c r="G226" s="407" t="n"/>
      <c r="H226" s="397" t="n"/>
      <c r="I226" s="397" t="n"/>
      <c r="J226" s="397" t="n"/>
      <c r="K226" s="407" t="n"/>
      <c r="L226" s="408" t="n"/>
      <c r="M226" s="409" t="inlineStr">
        <is>
          <t xml:space="preserve">   TOPLAM ISI KAYBI =</t>
        </is>
      </c>
      <c r="N226" s="409" t="n"/>
      <c r="O226" s="410" t="n"/>
      <c r="P226" s="409" t="n"/>
      <c r="Q226" s="411">
        <f>Q223+Q225</f>
        <v/>
      </c>
    </row>
    <row r="227" ht="10.35" customHeight="1" s="244">
      <c r="A227" s="359" t="n"/>
      <c r="B227" s="360" t="n"/>
      <c r="C227" s="360" t="n"/>
      <c r="D227" s="360" t="n"/>
      <c r="E227" s="360" t="n"/>
      <c r="F227" s="361" t="inlineStr">
        <is>
          <t>1</t>
        </is>
      </c>
      <c r="G227" s="362" t="inlineStr">
        <is>
          <t>0</t>
        </is>
      </c>
      <c r="H227" s="360" t="inlineStr">
        <is>
          <t>1B3-03</t>
        </is>
      </c>
      <c r="I227" s="363" t="inlineStr">
        <is>
          <t>OFİS B3 MUTFAK</t>
        </is>
      </c>
      <c r="J227" s="364" t="n"/>
      <c r="K227" s="360" t="inlineStr">
        <is>
          <t>20ºC</t>
        </is>
      </c>
      <c r="L227" s="360" t="n"/>
      <c r="M227" s="360" t="n"/>
      <c r="N227" s="360" t="n"/>
      <c r="O227" s="360" t="n"/>
      <c r="P227" s="360" t="n"/>
      <c r="Q227" s="365" t="n"/>
    </row>
    <row r="228" ht="9.949999999999999" customHeight="1" s="244">
      <c r="A228" s="366" t="inlineStr">
        <is>
          <t>İDM</t>
        </is>
      </c>
      <c r="B228" s="367" t="inlineStr"/>
      <c r="C228" s="368" t="n"/>
      <c r="D228" s="369" t="n">
        <v>0.93</v>
      </c>
      <c r="E228" s="369" t="n">
        <v>3</v>
      </c>
      <c r="F228" s="370">
        <f>IF(D228=0," ",D228*E228)</f>
        <v/>
      </c>
      <c r="G228" s="371" t="n">
        <v>1</v>
      </c>
      <c r="H228" s="372" t="n"/>
      <c r="I228" s="370">
        <f>IF(F228=" "," ",F228*G228-H228)</f>
        <v/>
      </c>
      <c r="J228" s="369" t="n">
        <v>0.332</v>
      </c>
      <c r="K228" s="371" t="n">
        <v>5</v>
      </c>
      <c r="L228" s="373">
        <f>IF(I228=" "," ",I228*J228*K228)</f>
        <v/>
      </c>
      <c r="M228" s="374" t="n">
        <v>7</v>
      </c>
      <c r="N228" s="371" t="n">
        <v>0</v>
      </c>
      <c r="O228" s="374" t="n">
        <v>0</v>
      </c>
      <c r="P228" s="370">
        <f>IF(M228=" "," ",(1+(M228+N228+O228)/100))</f>
        <v/>
      </c>
      <c r="Q228" s="375">
        <f>IF(L228=" "," ",L228*P228)</f>
        <v/>
      </c>
    </row>
    <row r="229" ht="9.949999999999999" customHeight="1" s="244">
      <c r="A229" s="376" t="n"/>
      <c r="B229" s="377" t="n"/>
      <c r="C229" s="377" t="n"/>
      <c r="D229" s="378" t="n"/>
      <c r="E229" s="378" t="n"/>
      <c r="F229" s="378" t="n"/>
      <c r="G229" s="379" t="n"/>
      <c r="H229" s="378" t="n"/>
      <c r="I229" s="378" t="n"/>
      <c r="J229" s="378" t="n"/>
      <c r="K229" s="379" t="n"/>
      <c r="L229" s="380" t="n"/>
      <c r="M229" s="381" t="n"/>
      <c r="N229" s="381" t="n"/>
      <c r="O229" s="381" t="n"/>
      <c r="P229" s="382" t="n"/>
      <c r="Q229" s="383">
        <f>SUM(Q228:Q228)</f>
        <v/>
      </c>
    </row>
    <row r="230" ht="9.949999999999999" customHeight="1" s="244">
      <c r="A230" s="384" t="n"/>
      <c r="B230" s="385" t="n"/>
      <c r="C230" s="385" t="n"/>
      <c r="D230" s="386" t="n"/>
      <c r="E230" s="387" t="n"/>
      <c r="F230" s="388" t="n"/>
      <c r="G230" s="389" t="n"/>
      <c r="H230" s="388" t="n"/>
      <c r="I230" s="390" t="n"/>
      <c r="J230" s="391" t="inlineStr">
        <is>
          <t>Qs=</t>
        </is>
      </c>
      <c r="K230" s="390" t="inlineStr">
        <is>
          <t>S a</t>
        </is>
      </c>
      <c r="L230" s="388" t="inlineStr">
        <is>
          <t>L</t>
        </is>
      </c>
      <c r="M230" s="389" t="inlineStr">
        <is>
          <t>R</t>
        </is>
      </c>
      <c r="N230" s="392" t="inlineStr">
        <is>
          <t>H</t>
        </is>
      </c>
      <c r="O230" s="393" t="inlineStr">
        <is>
          <t>D  T</t>
        </is>
      </c>
      <c r="P230" s="389" t="inlineStr">
        <is>
          <t>Ze</t>
        </is>
      </c>
      <c r="Q230" s="394" t="n"/>
    </row>
    <row r="231" ht="9.949999999999999" customHeight="1" s="244">
      <c r="A231" s="395" t="inlineStr">
        <is>
          <t xml:space="preserve"> </t>
        </is>
      </c>
      <c r="C231" s="397" t="n"/>
      <c r="D231" s="397" t="n"/>
      <c r="E231" s="398" t="n"/>
      <c r="F231" s="399" t="n"/>
      <c r="G231" s="400" t="n"/>
      <c r="H231" s="401" t="n"/>
      <c r="I231" s="402" t="n"/>
      <c r="J231" s="403" t="inlineStr">
        <is>
          <t>Qs  =</t>
        </is>
      </c>
      <c r="K231" s="404" t="n">
        <v>2</v>
      </c>
      <c r="L231" s="404" t="n">
        <v>0</v>
      </c>
      <c r="M231" s="404" t="n">
        <v>0.9</v>
      </c>
      <c r="N231" s="404" t="n">
        <v>0.67</v>
      </c>
      <c r="O231" s="381" t="n">
        <v>23</v>
      </c>
      <c r="P231" s="404" t="n">
        <v>1</v>
      </c>
      <c r="Q231" s="383">
        <f>K231*L231*M231*N231*O231*P231</f>
        <v/>
      </c>
    </row>
    <row r="232" ht="9.949999999999999" customHeight="1" s="244">
      <c r="A232" s="405" t="n"/>
      <c r="B232" s="406" t="n"/>
      <c r="C232" s="397" t="n"/>
      <c r="D232" s="397" t="n"/>
      <c r="E232" s="378" t="n"/>
      <c r="F232" s="256" t="n"/>
      <c r="G232" s="407" t="n"/>
      <c r="H232" s="397" t="n"/>
      <c r="I232" s="397" t="n"/>
      <c r="J232" s="397" t="n"/>
      <c r="K232" s="407" t="n"/>
      <c r="L232" s="408" t="n"/>
      <c r="M232" s="409" t="inlineStr">
        <is>
          <t xml:space="preserve">   TOPLAM ISI KAYBI =</t>
        </is>
      </c>
      <c r="N232" s="409" t="n"/>
      <c r="O232" s="410" t="n"/>
      <c r="P232" s="409" t="n"/>
      <c r="Q232" s="411">
        <f>Q229+Q231</f>
        <v/>
      </c>
    </row>
    <row r="233" ht="10.35" customHeight="1" s="244">
      <c r="A233" s="359" t="n"/>
      <c r="B233" s="360" t="n"/>
      <c r="C233" s="360" t="n"/>
      <c r="D233" s="360" t="n"/>
      <c r="E233" s="360" t="n"/>
      <c r="F233" s="361" t="inlineStr">
        <is>
          <t>1</t>
        </is>
      </c>
      <c r="G233" s="362" t="inlineStr">
        <is>
          <t>0</t>
        </is>
      </c>
      <c r="H233" s="360" t="inlineStr">
        <is>
          <t>1B3-04</t>
        </is>
      </c>
      <c r="I233" s="363" t="inlineStr">
        <is>
          <t>OFİS B3 BANYO</t>
        </is>
      </c>
      <c r="J233" s="364" t="n"/>
      <c r="K233" s="360" t="inlineStr">
        <is>
          <t>24ºC</t>
        </is>
      </c>
      <c r="L233" s="360" t="n"/>
      <c r="M233" s="360" t="n"/>
      <c r="N233" s="360" t="n"/>
      <c r="O233" s="360" t="n"/>
      <c r="P233" s="360" t="n"/>
      <c r="Q233" s="365" t="n"/>
    </row>
    <row r="234" ht="9.949999999999999" customHeight="1" s="244">
      <c r="A234" s="366" t="inlineStr">
        <is>
          <t>İDM</t>
        </is>
      </c>
      <c r="B234" s="367" t="inlineStr"/>
      <c r="C234" s="368" t="n"/>
      <c r="D234" s="369" t="n">
        <v>0.83</v>
      </c>
      <c r="E234" s="369" t="n">
        <v>3</v>
      </c>
      <c r="F234" s="370">
        <f>IF(D234=0," ",D234*E234)</f>
        <v/>
      </c>
      <c r="G234" s="371" t="n">
        <v>1</v>
      </c>
      <c r="H234" s="372" t="n"/>
      <c r="I234" s="370">
        <f>IF(F234=" "," ",F234*G234-H234)</f>
        <v/>
      </c>
      <c r="J234" s="369" t="n">
        <v>0.332</v>
      </c>
      <c r="K234" s="371" t="n">
        <v>14</v>
      </c>
      <c r="L234" s="373">
        <f>IF(I234=" "," ",I234*J234*K234)</f>
        <v/>
      </c>
      <c r="M234" s="374" t="n">
        <v>7</v>
      </c>
      <c r="N234" s="371" t="n">
        <v>0</v>
      </c>
      <c r="O234" s="374" t="n">
        <v>0</v>
      </c>
      <c r="P234" s="370">
        <f>IF(M234=" "," ",(1+(M234+N234+O234)/100))</f>
        <v/>
      </c>
      <c r="Q234" s="375">
        <f>IF(L234=" "," ",L234*P234)</f>
        <v/>
      </c>
    </row>
    <row r="235" ht="9.949999999999999" customHeight="1" s="244">
      <c r="A235" s="376" t="n"/>
      <c r="B235" s="377" t="n"/>
      <c r="C235" s="377" t="n"/>
      <c r="D235" s="378" t="n"/>
      <c r="E235" s="378" t="n"/>
      <c r="F235" s="378" t="n"/>
      <c r="G235" s="379" t="n"/>
      <c r="H235" s="378" t="n"/>
      <c r="I235" s="378" t="n"/>
      <c r="J235" s="378" t="n"/>
      <c r="K235" s="379" t="n"/>
      <c r="L235" s="380" t="n"/>
      <c r="M235" s="381" t="n"/>
      <c r="N235" s="381" t="n"/>
      <c r="O235" s="381" t="n"/>
      <c r="P235" s="382" t="n"/>
      <c r="Q235" s="383">
        <f>SUM(Q234:Q234)</f>
        <v/>
      </c>
    </row>
    <row r="236" ht="9.949999999999999" customHeight="1" s="244">
      <c r="A236" s="384" t="n"/>
      <c r="B236" s="385" t="n"/>
      <c r="C236" s="385" t="n"/>
      <c r="D236" s="386" t="n"/>
      <c r="E236" s="387" t="n"/>
      <c r="F236" s="388" t="n"/>
      <c r="G236" s="389" t="n"/>
      <c r="H236" s="388" t="n"/>
      <c r="I236" s="390" t="n"/>
      <c r="J236" s="391" t="inlineStr">
        <is>
          <t>Qs=</t>
        </is>
      </c>
      <c r="K236" s="390" t="inlineStr">
        <is>
          <t>S a</t>
        </is>
      </c>
      <c r="L236" s="388" t="inlineStr">
        <is>
          <t>L</t>
        </is>
      </c>
      <c r="M236" s="389" t="inlineStr">
        <is>
          <t>R</t>
        </is>
      </c>
      <c r="N236" s="392" t="inlineStr">
        <is>
          <t>H</t>
        </is>
      </c>
      <c r="O236" s="393" t="inlineStr">
        <is>
          <t>D  T</t>
        </is>
      </c>
      <c r="P236" s="389" t="inlineStr">
        <is>
          <t>Ze</t>
        </is>
      </c>
      <c r="Q236" s="394" t="n"/>
    </row>
    <row r="237" ht="9.949999999999999" customHeight="1" s="244">
      <c r="A237" s="395" t="inlineStr">
        <is>
          <t xml:space="preserve"> </t>
        </is>
      </c>
      <c r="C237" s="397" t="n"/>
      <c r="D237" s="397" t="n"/>
      <c r="E237" s="398" t="n"/>
      <c r="F237" s="399" t="n"/>
      <c r="G237" s="400" t="n"/>
      <c r="H237" s="401" t="n"/>
      <c r="I237" s="402" t="n"/>
      <c r="J237" s="403" t="inlineStr">
        <is>
          <t>Qs  =</t>
        </is>
      </c>
      <c r="K237" s="404" t="n">
        <v>2</v>
      </c>
      <c r="L237" s="404" t="n">
        <v>0</v>
      </c>
      <c r="M237" s="404" t="n">
        <v>0.9</v>
      </c>
      <c r="N237" s="404" t="n">
        <v>0.67</v>
      </c>
      <c r="O237" s="381" t="n">
        <v>27</v>
      </c>
      <c r="P237" s="404" t="n">
        <v>1</v>
      </c>
      <c r="Q237" s="383">
        <f>K237*L237*M237*N237*O237*P237</f>
        <v/>
      </c>
    </row>
    <row r="238" ht="9.949999999999999" customHeight="1" s="244">
      <c r="A238" s="405" t="n"/>
      <c r="B238" s="406" t="n"/>
      <c r="C238" s="397" t="n"/>
      <c r="D238" s="397" t="n"/>
      <c r="E238" s="378" t="n"/>
      <c r="F238" s="256" t="n"/>
      <c r="G238" s="407" t="n"/>
      <c r="H238" s="397" t="n"/>
      <c r="I238" s="397" t="n"/>
      <c r="J238" s="397" t="n"/>
      <c r="K238" s="407" t="n"/>
      <c r="L238" s="408" t="n"/>
      <c r="M238" s="409" t="inlineStr">
        <is>
          <t xml:space="preserve">   TOPLAM ISI KAYBI =</t>
        </is>
      </c>
      <c r="N238" s="409" t="n"/>
      <c r="O238" s="410" t="n"/>
      <c r="P238" s="409" t="n"/>
      <c r="Q238" s="411">
        <f>Q235+Q237</f>
        <v/>
      </c>
    </row>
    <row r="239" ht="10.35" customHeight="1" s="244">
      <c r="A239" s="359" t="n"/>
      <c r="B239" s="360" t="n"/>
      <c r="C239" s="360" t="n"/>
      <c r="D239" s="360" t="n"/>
      <c r="E239" s="360" t="n"/>
      <c r="F239" s="361" t="inlineStr">
        <is>
          <t>1</t>
        </is>
      </c>
      <c r="G239" s="362" t="inlineStr">
        <is>
          <t>0</t>
        </is>
      </c>
      <c r="H239" s="360" t="inlineStr">
        <is>
          <t>1C1-01</t>
        </is>
      </c>
      <c r="I239" s="363" t="inlineStr">
        <is>
          <t>OFİS C1 GİRİŞ HOLÜ</t>
        </is>
      </c>
      <c r="J239" s="364" t="n"/>
      <c r="K239" s="360" t="inlineStr">
        <is>
          <t>20ºC</t>
        </is>
      </c>
      <c r="L239" s="360" t="n"/>
      <c r="M239" s="360" t="n"/>
      <c r="N239" s="360" t="n"/>
      <c r="O239" s="360" t="n"/>
      <c r="P239" s="360" t="n"/>
      <c r="Q239" s="365" t="n"/>
    </row>
    <row r="240" ht="9.949999999999999" customHeight="1" s="244">
      <c r="A240" s="366" t="inlineStr">
        <is>
          <t>İDM</t>
        </is>
      </c>
      <c r="B240" s="367" t="inlineStr"/>
      <c r="C240" s="368" t="n"/>
      <c r="D240" s="369" t="n">
        <v>6.04</v>
      </c>
      <c r="E240" s="369" t="n">
        <v>3</v>
      </c>
      <c r="F240" s="370">
        <f>IF(D240=0," ",D240*E240)</f>
        <v/>
      </c>
      <c r="G240" s="371" t="n">
        <v>1</v>
      </c>
      <c r="H240" s="372" t="n"/>
      <c r="I240" s="370">
        <f>IF(F240=" "," ",F240*G240-H240)</f>
        <v/>
      </c>
      <c r="J240" s="369" t="n">
        <v>0.332</v>
      </c>
      <c r="K240" s="371" t="n">
        <v>10</v>
      </c>
      <c r="L240" s="373">
        <f>IF(I240=" "," ",I240*J240*K240)</f>
        <v/>
      </c>
      <c r="M240" s="374" t="n">
        <v>7</v>
      </c>
      <c r="N240" s="371" t="n">
        <v>0</v>
      </c>
      <c r="O240" s="374" t="n">
        <v>0</v>
      </c>
      <c r="P240" s="370">
        <f>IF(M240=" "," ",(1+(M240+N240+O240)/100))</f>
        <v/>
      </c>
      <c r="Q240" s="375">
        <f>IF(L240=" "," ",L240*P240)</f>
        <v/>
      </c>
    </row>
    <row r="241" ht="9.949999999999999" customHeight="1" s="244">
      <c r="A241" s="366" t="inlineStr">
        <is>
          <t>İDM</t>
        </is>
      </c>
      <c r="B241" s="367" t="inlineStr"/>
      <c r="C241" s="368" t="n"/>
      <c r="D241" s="369" t="n">
        <v>0.2</v>
      </c>
      <c r="E241" s="369" t="n">
        <v>3</v>
      </c>
      <c r="F241" s="370">
        <f>IF(D241=0," ",D241*E241)</f>
        <v/>
      </c>
      <c r="G241" s="371" t="n">
        <v>1</v>
      </c>
      <c r="H241" s="372" t="n"/>
      <c r="I241" s="370">
        <f>IF(F241=" "," ",F241*G241-H241)</f>
        <v/>
      </c>
      <c r="J241" s="369" t="n">
        <v>0.332</v>
      </c>
      <c r="K241" s="371" t="n">
        <v>10</v>
      </c>
      <c r="L241" s="373">
        <f>IF(I241=" "," ",I241*J241*K241)</f>
        <v/>
      </c>
      <c r="M241" s="374" t="n">
        <v>7</v>
      </c>
      <c r="N241" s="371" t="n">
        <v>0</v>
      </c>
      <c r="O241" s="374" t="n">
        <v>0</v>
      </c>
      <c r="P241" s="370">
        <f>IF(M241=" "," ",(1+(M241+N241+O241)/100))</f>
        <v/>
      </c>
      <c r="Q241" s="375">
        <f>IF(L241=" "," ",L241*P241)</f>
        <v/>
      </c>
    </row>
    <row r="242" ht="9.949999999999999" customHeight="1" s="244">
      <c r="A242" s="366" t="inlineStr">
        <is>
          <t>İDM</t>
        </is>
      </c>
      <c r="B242" s="367" t="inlineStr"/>
      <c r="C242" s="368" t="n"/>
      <c r="D242" s="369" t="n">
        <v>2.95</v>
      </c>
      <c r="E242" s="369" t="n">
        <v>3</v>
      </c>
      <c r="F242" s="370">
        <f>IF(D242=0," ",D242*E242)</f>
        <v/>
      </c>
      <c r="G242" s="371" t="n">
        <v>1</v>
      </c>
      <c r="H242" s="372" t="n"/>
      <c r="I242" s="370">
        <f>IF(F242=" "," ",F242*G242-H242)</f>
        <v/>
      </c>
      <c r="J242" s="369" t="n">
        <v>0.332</v>
      </c>
      <c r="K242" s="371" t="n">
        <v>10</v>
      </c>
      <c r="L242" s="373">
        <f>IF(I242=" "," ",I242*J242*K242)</f>
        <v/>
      </c>
      <c r="M242" s="374" t="n">
        <v>7</v>
      </c>
      <c r="N242" s="371" t="n">
        <v>0</v>
      </c>
      <c r="O242" s="374" t="n">
        <v>0</v>
      </c>
      <c r="P242" s="370">
        <f>IF(M242=" "," ",(1+(M242+N242+O242)/100))</f>
        <v/>
      </c>
      <c r="Q242" s="375">
        <f>IF(L242=" "," ",L242*P242)</f>
        <v/>
      </c>
    </row>
    <row r="243" ht="9.949999999999999" customHeight="1" s="244">
      <c r="A243" s="376" t="n"/>
      <c r="B243" s="377" t="n"/>
      <c r="C243" s="377" t="n"/>
      <c r="D243" s="378" t="n"/>
      <c r="E243" s="378" t="n"/>
      <c r="F243" s="378" t="n"/>
      <c r="G243" s="379" t="n"/>
      <c r="H243" s="378" t="n"/>
      <c r="I243" s="378" t="n"/>
      <c r="J243" s="378" t="n"/>
      <c r="K243" s="379" t="n"/>
      <c r="L243" s="380" t="n"/>
      <c r="M243" s="381" t="n"/>
      <c r="N243" s="381" t="n"/>
      <c r="O243" s="381" t="n"/>
      <c r="P243" s="382" t="n"/>
      <c r="Q243" s="383">
        <f>SUM(Q240:Q242)</f>
        <v/>
      </c>
    </row>
    <row r="244" ht="9.949999999999999" customHeight="1" s="244">
      <c r="A244" s="384" t="n"/>
      <c r="B244" s="385" t="n"/>
      <c r="C244" s="385" t="n"/>
      <c r="D244" s="386" t="n"/>
      <c r="E244" s="387" t="n"/>
      <c r="F244" s="388" t="n"/>
      <c r="G244" s="389" t="n"/>
      <c r="H244" s="388" t="n"/>
      <c r="I244" s="390" t="n"/>
      <c r="J244" s="391" t="inlineStr">
        <is>
          <t>Qs=</t>
        </is>
      </c>
      <c r="K244" s="390" t="inlineStr">
        <is>
          <t>S a</t>
        </is>
      </c>
      <c r="L244" s="388" t="inlineStr">
        <is>
          <t>L</t>
        </is>
      </c>
      <c r="M244" s="389" t="inlineStr">
        <is>
          <t>R</t>
        </is>
      </c>
      <c r="N244" s="392" t="inlineStr">
        <is>
          <t>H</t>
        </is>
      </c>
      <c r="O244" s="393" t="inlineStr">
        <is>
          <t>D  T</t>
        </is>
      </c>
      <c r="P244" s="389" t="inlineStr">
        <is>
          <t>Ze</t>
        </is>
      </c>
      <c r="Q244" s="394" t="n"/>
    </row>
    <row r="245" ht="9.949999999999999" customHeight="1" s="244">
      <c r="A245" s="395" t="inlineStr">
        <is>
          <t xml:space="preserve"> </t>
        </is>
      </c>
      <c r="C245" s="397" t="n"/>
      <c r="D245" s="397" t="n"/>
      <c r="E245" s="398" t="n"/>
      <c r="F245" s="399" t="n"/>
      <c r="G245" s="400" t="n"/>
      <c r="H245" s="401" t="n"/>
      <c r="I245" s="402" t="n"/>
      <c r="J245" s="403" t="inlineStr">
        <is>
          <t>Qs  =</t>
        </is>
      </c>
      <c r="K245" s="404" t="n">
        <v>2</v>
      </c>
      <c r="L245" s="404" t="n">
        <v>0</v>
      </c>
      <c r="M245" s="404" t="n">
        <v>0.9</v>
      </c>
      <c r="N245" s="404" t="n">
        <v>0.67</v>
      </c>
      <c r="O245" s="381" t="n">
        <v>23</v>
      </c>
      <c r="P245" s="404" t="n">
        <v>1</v>
      </c>
      <c r="Q245" s="383">
        <f>K245*L245*M245*N245*O245*P245</f>
        <v/>
      </c>
    </row>
    <row r="246" ht="9.949999999999999" customHeight="1" s="244">
      <c r="A246" s="405" t="n"/>
      <c r="B246" s="406" t="n"/>
      <c r="C246" s="397" t="n"/>
      <c r="D246" s="397" t="n"/>
      <c r="E246" s="378" t="n"/>
      <c r="F246" s="256" t="n"/>
      <c r="G246" s="407" t="n"/>
      <c r="H246" s="397" t="n"/>
      <c r="I246" s="397" t="n"/>
      <c r="J246" s="397" t="n"/>
      <c r="K246" s="407" t="n"/>
      <c r="L246" s="408" t="n"/>
      <c r="M246" s="409" t="inlineStr">
        <is>
          <t xml:space="preserve">   TOPLAM ISI KAYBI =</t>
        </is>
      </c>
      <c r="N246" s="409" t="n"/>
      <c r="O246" s="410" t="n"/>
      <c r="P246" s="409" t="n"/>
      <c r="Q246" s="411">
        <f>Q243+Q245</f>
        <v/>
      </c>
    </row>
    <row r="247" ht="10.35" customHeight="1" s="244">
      <c r="A247" s="359" t="n"/>
      <c r="B247" s="360" t="n"/>
      <c r="C247" s="360" t="n"/>
      <c r="D247" s="360" t="n"/>
      <c r="E247" s="360" t="n"/>
      <c r="F247" s="361" t="inlineStr">
        <is>
          <t>1</t>
        </is>
      </c>
      <c r="G247" s="362" t="inlineStr">
        <is>
          <t>0</t>
        </is>
      </c>
      <c r="H247" s="360" t="inlineStr">
        <is>
          <t>1C1-02</t>
        </is>
      </c>
      <c r="I247" s="363" t="inlineStr">
        <is>
          <t>OFİS C1 ODA</t>
        </is>
      </c>
      <c r="J247" s="364" t="n"/>
      <c r="K247" s="360" t="inlineStr">
        <is>
          <t>20ºC</t>
        </is>
      </c>
      <c r="L247" s="360" t="n"/>
      <c r="M247" s="360" t="n"/>
      <c r="N247" s="360" t="n"/>
      <c r="O247" s="360" t="n"/>
      <c r="P247" s="360" t="n"/>
      <c r="Q247" s="365" t="n"/>
    </row>
    <row r="248" ht="9.949999999999999" customHeight="1" s="244">
      <c r="A248" s="366" t="inlineStr">
        <is>
          <t>DD</t>
        </is>
      </c>
      <c r="B248" s="367" t="inlineStr">
        <is>
          <t>K</t>
        </is>
      </c>
      <c r="C248" s="368" t="n"/>
      <c r="D248" s="369" t="n">
        <v>3.05</v>
      </c>
      <c r="E248" s="369" t="n">
        <v>2.5</v>
      </c>
      <c r="F248" s="370">
        <f>IF(D248=0," ",D248*E248)</f>
        <v/>
      </c>
      <c r="G248" s="371" t="n">
        <v>1</v>
      </c>
      <c r="H248" s="372">
        <f>F250*G250</f>
        <v/>
      </c>
      <c r="I248" s="370">
        <f>IF(F248=" "," ",F248*G248-H248)</f>
        <v/>
      </c>
      <c r="J248" s="369" t="n">
        <v>0.344</v>
      </c>
      <c r="K248" s="371" t="n">
        <v>23</v>
      </c>
      <c r="L248" s="373">
        <f>IF(I248=" "," ",I248*J248*K248)</f>
        <v/>
      </c>
      <c r="M248" s="374" t="n">
        <v>7</v>
      </c>
      <c r="N248" s="371" t="n">
        <v>0</v>
      </c>
      <c r="O248" s="374" t="n">
        <v>5</v>
      </c>
      <c r="P248" s="370">
        <f>IF(M248=" "," ",(1+(M248+N248+O248)/100))</f>
        <v/>
      </c>
      <c r="Q248" s="375">
        <f>IF(L248=" "," ",L248*P248)</f>
        <v/>
      </c>
    </row>
    <row r="249" ht="9.949999999999999" customHeight="1" s="244">
      <c r="A249" s="366" t="inlineStr">
        <is>
          <t>DD25</t>
        </is>
      </c>
      <c r="B249" s="367" t="inlineStr">
        <is>
          <t>K</t>
        </is>
      </c>
      <c r="C249" s="368" t="n"/>
      <c r="D249" s="369">
        <f>D248</f>
        <v/>
      </c>
      <c r="E249" s="369" t="n">
        <v>0.5</v>
      </c>
      <c r="F249" s="370">
        <f>IF(D249=0," ",D249*E249)</f>
        <v/>
      </c>
      <c r="G249" s="371" t="n">
        <v>1</v>
      </c>
      <c r="H249" s="372" t="n"/>
      <c r="I249" s="370">
        <f>IF(F249=" "," ",F249*G249-H249)</f>
        <v/>
      </c>
      <c r="J249" s="369" t="n">
        <v>0.387</v>
      </c>
      <c r="K249" s="371" t="n">
        <v>23</v>
      </c>
      <c r="L249" s="373">
        <f>IF(I249=" "," ",I249*J249*K249)</f>
        <v/>
      </c>
      <c r="M249" s="374" t="n">
        <v>7</v>
      </c>
      <c r="N249" s="371" t="n">
        <v>0</v>
      </c>
      <c r="O249" s="374" t="n">
        <v>5</v>
      </c>
      <c r="P249" s="370">
        <f>IF(M249=" "," ",(1+(M249+N249+O249)/100))</f>
        <v/>
      </c>
      <c r="Q249" s="375">
        <f>IF(L249=" "," ",L249*P249)</f>
        <v/>
      </c>
    </row>
    <row r="250" ht="9.949999999999999" customHeight="1" s="244">
      <c r="A250" s="366" t="inlineStr">
        <is>
          <t>ÇP</t>
        </is>
      </c>
      <c r="B250" s="367" t="inlineStr">
        <is>
          <t>K</t>
        </is>
      </c>
      <c r="C250" s="368" t="n"/>
      <c r="D250" s="369" t="n">
        <v>1.68</v>
      </c>
      <c r="E250" s="369" t="n">
        <v>1.5</v>
      </c>
      <c r="F250" s="370">
        <f>IF(D250=0," ",D250*E250)</f>
        <v/>
      </c>
      <c r="G250" s="371" t="n">
        <v>1</v>
      </c>
      <c r="H250" s="372" t="n"/>
      <c r="I250" s="370">
        <f>IF(F250=" "," ",F250*G250-H250)</f>
        <v/>
      </c>
      <c r="J250" s="369" t="n">
        <v>1.8</v>
      </c>
      <c r="K250" s="371" t="n">
        <v>23</v>
      </c>
      <c r="L250" s="373">
        <f>IF(I250=" "," ",I250*J250*K250)</f>
        <v/>
      </c>
      <c r="M250" s="374" t="n">
        <v>7</v>
      </c>
      <c r="N250" s="371" t="n">
        <v>0</v>
      </c>
      <c r="O250" s="374" t="n">
        <v>5</v>
      </c>
      <c r="P250" s="370">
        <f>IF(M250=" "," ",(1+(M250+N250+O250)/100))</f>
        <v/>
      </c>
      <c r="Q250" s="375">
        <f>IF(L250=" "," ",L250*P250)</f>
        <v/>
      </c>
    </row>
    <row r="251" ht="9.949999999999999" customHeight="1" s="244">
      <c r="A251" s="366" t="inlineStr">
        <is>
          <t>İDM</t>
        </is>
      </c>
      <c r="B251" s="367" t="inlineStr"/>
      <c r="C251" s="368" t="n"/>
      <c r="D251" s="369" t="n">
        <v>3.13</v>
      </c>
      <c r="E251" s="369" t="n">
        <v>3</v>
      </c>
      <c r="F251" s="370">
        <f>IF(D251=0," ",D251*E251)</f>
        <v/>
      </c>
      <c r="G251" s="371" t="n">
        <v>1</v>
      </c>
      <c r="H251" s="372" t="n"/>
      <c r="I251" s="370">
        <f>IF(F251=" "," ",F251*G251-H251)</f>
        <v/>
      </c>
      <c r="J251" s="369" t="n">
        <v>0.332</v>
      </c>
      <c r="K251" s="371" t="n">
        <v>10</v>
      </c>
      <c r="L251" s="373">
        <f>IF(I251=" "," ",I251*J251*K251)</f>
        <v/>
      </c>
      <c r="M251" s="374" t="n">
        <v>7</v>
      </c>
      <c r="N251" s="371" t="n">
        <v>0</v>
      </c>
      <c r="O251" s="374" t="n">
        <v>0</v>
      </c>
      <c r="P251" s="370">
        <f>IF(M251=" "," ",(1+(M251+N251+O251)/100))</f>
        <v/>
      </c>
      <c r="Q251" s="375">
        <f>IF(L251=" "," ",L251*P251)</f>
        <v/>
      </c>
    </row>
    <row r="252" ht="9.949999999999999" customHeight="1" s="244">
      <c r="A252" s="376" t="n"/>
      <c r="B252" s="377" t="n"/>
      <c r="C252" s="377" t="n"/>
      <c r="D252" s="378" t="n"/>
      <c r="E252" s="378" t="n"/>
      <c r="F252" s="378" t="n"/>
      <c r="G252" s="379" t="n"/>
      <c r="H252" s="378" t="n"/>
      <c r="I252" s="378" t="n"/>
      <c r="J252" s="378" t="n"/>
      <c r="K252" s="379" t="n"/>
      <c r="L252" s="380" t="n"/>
      <c r="M252" s="381" t="n"/>
      <c r="N252" s="381" t="n"/>
      <c r="O252" s="381" t="n"/>
      <c r="P252" s="382" t="n"/>
      <c r="Q252" s="383">
        <f>SUM(Q248:Q251)</f>
        <v/>
      </c>
    </row>
    <row r="253" ht="9.949999999999999" customHeight="1" s="244">
      <c r="A253" s="384" t="n"/>
      <c r="B253" s="385" t="n"/>
      <c r="C253" s="385" t="n"/>
      <c r="D253" s="386" t="n"/>
      <c r="E253" s="387" t="n"/>
      <c r="F253" s="388" t="n"/>
      <c r="G253" s="389" t="n"/>
      <c r="H253" s="388" t="n"/>
      <c r="I253" s="390" t="n"/>
      <c r="J253" s="391" t="inlineStr">
        <is>
          <t>Qs=</t>
        </is>
      </c>
      <c r="K253" s="390" t="inlineStr">
        <is>
          <t>S a</t>
        </is>
      </c>
      <c r="L253" s="388" t="inlineStr">
        <is>
          <t>L</t>
        </is>
      </c>
      <c r="M253" s="389" t="inlineStr">
        <is>
          <t>R</t>
        </is>
      </c>
      <c r="N253" s="392" t="inlineStr">
        <is>
          <t>H</t>
        </is>
      </c>
      <c r="O253" s="393" t="inlineStr">
        <is>
          <t>D  T</t>
        </is>
      </c>
      <c r="P253" s="389" t="inlineStr">
        <is>
          <t>Ze</t>
        </is>
      </c>
      <c r="Q253" s="394" t="n"/>
    </row>
    <row r="254" ht="9.949999999999999" customHeight="1" s="244">
      <c r="A254" s="395" t="inlineStr">
        <is>
          <t xml:space="preserve"> </t>
        </is>
      </c>
      <c r="C254" s="397" t="n"/>
      <c r="D254" s="397" t="n"/>
      <c r="E254" s="398" t="n"/>
      <c r="F254" s="399" t="n"/>
      <c r="G254" s="400" t="n"/>
      <c r="H254" s="401" t="n"/>
      <c r="I254" s="402" t="n"/>
      <c r="J254" s="403" t="inlineStr">
        <is>
          <t>Qs  =</t>
        </is>
      </c>
      <c r="K254" s="404" t="n">
        <v>2</v>
      </c>
      <c r="L254" s="404">
        <f>(D250+E250)*2*G250</f>
        <v/>
      </c>
      <c r="M254" s="404" t="n">
        <v>0.9</v>
      </c>
      <c r="N254" s="404" t="n">
        <v>0.67</v>
      </c>
      <c r="O254" s="381" t="n">
        <v>23</v>
      </c>
      <c r="P254" s="404" t="n">
        <v>1</v>
      </c>
      <c r="Q254" s="383">
        <f>K254*L254*M254*N254*O254*P254</f>
        <v/>
      </c>
    </row>
    <row r="255" ht="9.949999999999999" customHeight="1" s="244">
      <c r="A255" s="405" t="n"/>
      <c r="B255" s="406" t="n"/>
      <c r="C255" s="397" t="n"/>
      <c r="D255" s="397" t="n"/>
      <c r="E255" s="378" t="n"/>
      <c r="F255" s="256" t="n"/>
      <c r="G255" s="407" t="n"/>
      <c r="H255" s="397" t="n"/>
      <c r="I255" s="397" t="n"/>
      <c r="J255" s="397" t="n"/>
      <c r="K255" s="407" t="n"/>
      <c r="L255" s="408" t="n"/>
      <c r="M255" s="409" t="inlineStr">
        <is>
          <t xml:space="preserve">   TOPLAM ISI KAYBI =</t>
        </is>
      </c>
      <c r="N255" s="409" t="n"/>
      <c r="O255" s="410" t="n"/>
      <c r="P255" s="409" t="n"/>
      <c r="Q255" s="411">
        <f>Q252+Q254</f>
        <v/>
      </c>
    </row>
    <row r="256" ht="10.35" customHeight="1" s="244">
      <c r="A256" s="359" t="n"/>
      <c r="B256" s="360" t="n"/>
      <c r="C256" s="360" t="n"/>
      <c r="D256" s="360" t="n"/>
      <c r="E256" s="360" t="n"/>
      <c r="F256" s="361" t="inlineStr">
        <is>
          <t>1</t>
        </is>
      </c>
      <c r="G256" s="362" t="inlineStr">
        <is>
          <t>0</t>
        </is>
      </c>
      <c r="H256" s="360" t="inlineStr">
        <is>
          <t>1C1-03</t>
        </is>
      </c>
      <c r="I256" s="363" t="inlineStr">
        <is>
          <t>OFİS C1 MUTFAK</t>
        </is>
      </c>
      <c r="J256" s="364" t="n"/>
      <c r="K256" s="360" t="inlineStr">
        <is>
          <t>20ºC</t>
        </is>
      </c>
      <c r="L256" s="360" t="n"/>
      <c r="M256" s="360" t="n"/>
      <c r="N256" s="360" t="n"/>
      <c r="O256" s="360" t="n"/>
      <c r="P256" s="360" t="n"/>
      <c r="Q256" s="365" t="n"/>
    </row>
    <row r="257" ht="9.949999999999999" customHeight="1" s="244">
      <c r="A257" s="376" t="n"/>
      <c r="B257" s="377" t="n"/>
      <c r="C257" s="377" t="n"/>
      <c r="D257" s="378" t="n"/>
      <c r="E257" s="378" t="n"/>
      <c r="F257" s="378" t="n"/>
      <c r="G257" s="379" t="n"/>
      <c r="H257" s="378" t="n"/>
      <c r="I257" s="378" t="n"/>
      <c r="J257" s="378" t="n"/>
      <c r="K257" s="379" t="n"/>
      <c r="L257" s="380" t="n"/>
      <c r="M257" s="381" t="n"/>
      <c r="N257" s="381" t="n"/>
      <c r="O257" s="381" t="n"/>
      <c r="P257" s="382" t="n"/>
      <c r="Q257" s="383" t="n">
        <v>0</v>
      </c>
    </row>
    <row r="258" ht="9.949999999999999" customHeight="1" s="244">
      <c r="A258" s="384" t="n"/>
      <c r="B258" s="385" t="n"/>
      <c r="C258" s="385" t="n"/>
      <c r="D258" s="386" t="n"/>
      <c r="E258" s="387" t="n"/>
      <c r="F258" s="388" t="n"/>
      <c r="G258" s="389" t="n"/>
      <c r="H258" s="388" t="n"/>
      <c r="I258" s="390" t="n"/>
      <c r="J258" s="391" t="inlineStr">
        <is>
          <t>Qs=</t>
        </is>
      </c>
      <c r="K258" s="390" t="inlineStr">
        <is>
          <t>S a</t>
        </is>
      </c>
      <c r="L258" s="388" t="inlineStr">
        <is>
          <t>L</t>
        </is>
      </c>
      <c r="M258" s="389" t="inlineStr">
        <is>
          <t>R</t>
        </is>
      </c>
      <c r="N258" s="392" t="inlineStr">
        <is>
          <t>H</t>
        </is>
      </c>
      <c r="O258" s="393" t="inlineStr">
        <is>
          <t>D  T</t>
        </is>
      </c>
      <c r="P258" s="389" t="inlineStr">
        <is>
          <t>Ze</t>
        </is>
      </c>
      <c r="Q258" s="394" t="n"/>
    </row>
    <row r="259" ht="9.949999999999999" customHeight="1" s="244">
      <c r="A259" s="395" t="inlineStr">
        <is>
          <t xml:space="preserve"> </t>
        </is>
      </c>
      <c r="C259" s="397" t="n"/>
      <c r="D259" s="397" t="n"/>
      <c r="E259" s="398" t="n"/>
      <c r="F259" s="399" t="n"/>
      <c r="G259" s="400" t="n"/>
      <c r="H259" s="401" t="n"/>
      <c r="I259" s="402" t="n"/>
      <c r="J259" s="403" t="inlineStr">
        <is>
          <t>Qs  =</t>
        </is>
      </c>
      <c r="K259" s="404" t="n">
        <v>2</v>
      </c>
      <c r="L259" s="404" t="n">
        <v>0</v>
      </c>
      <c r="M259" s="404" t="n">
        <v>0.9</v>
      </c>
      <c r="N259" s="404" t="n">
        <v>0.67</v>
      </c>
      <c r="O259" s="381" t="n">
        <v>23</v>
      </c>
      <c r="P259" s="404" t="n">
        <v>1</v>
      </c>
      <c r="Q259" s="383">
        <f>K259*L259*M259*N259*O259*P259</f>
        <v/>
      </c>
    </row>
    <row r="260" ht="9.949999999999999" customHeight="1" s="244">
      <c r="A260" s="405" t="n"/>
      <c r="B260" s="406" t="n"/>
      <c r="C260" s="397" t="n"/>
      <c r="D260" s="397" t="n"/>
      <c r="E260" s="378" t="n"/>
      <c r="F260" s="256" t="n"/>
      <c r="G260" s="407" t="n"/>
      <c r="H260" s="397" t="n"/>
      <c r="I260" s="397" t="n"/>
      <c r="J260" s="397" t="n"/>
      <c r="K260" s="407" t="n"/>
      <c r="L260" s="408" t="n"/>
      <c r="M260" s="409" t="inlineStr">
        <is>
          <t xml:space="preserve">   TOPLAM ISI KAYBI =</t>
        </is>
      </c>
      <c r="N260" s="409" t="n"/>
      <c r="O260" s="410" t="n"/>
      <c r="P260" s="409" t="n"/>
      <c r="Q260" s="411">
        <f>Q257+Q259</f>
        <v/>
      </c>
    </row>
    <row r="261" ht="10.35" customHeight="1" s="244">
      <c r="A261" s="359" t="n"/>
      <c r="B261" s="360" t="n"/>
      <c r="C261" s="360" t="n"/>
      <c r="D261" s="360" t="n"/>
      <c r="E261" s="360" t="n"/>
      <c r="F261" s="361" t="inlineStr">
        <is>
          <t>1</t>
        </is>
      </c>
      <c r="G261" s="362" t="inlineStr">
        <is>
          <t>0</t>
        </is>
      </c>
      <c r="H261" s="360" t="inlineStr">
        <is>
          <t>1C1-04</t>
        </is>
      </c>
      <c r="I261" s="363" t="inlineStr">
        <is>
          <t>OFİS C1 BANYO</t>
        </is>
      </c>
      <c r="J261" s="364" t="n"/>
      <c r="K261" s="360" t="inlineStr">
        <is>
          <t>24ºC</t>
        </is>
      </c>
      <c r="L261" s="360" t="n"/>
      <c r="M261" s="360" t="n"/>
      <c r="N261" s="360" t="n"/>
      <c r="O261" s="360" t="n"/>
      <c r="P261" s="360" t="n"/>
      <c r="Q261" s="365" t="n"/>
    </row>
    <row r="262" ht="9.949999999999999" customHeight="1" s="244">
      <c r="A262" s="376" t="n"/>
      <c r="B262" s="377" t="n"/>
      <c r="C262" s="377" t="n"/>
      <c r="D262" s="378" t="n"/>
      <c r="E262" s="378" t="n"/>
      <c r="F262" s="378" t="n"/>
      <c r="G262" s="379" t="n"/>
      <c r="H262" s="378" t="n"/>
      <c r="I262" s="378" t="n"/>
      <c r="J262" s="378" t="n"/>
      <c r="K262" s="379" t="n"/>
      <c r="L262" s="380" t="n"/>
      <c r="M262" s="381" t="n"/>
      <c r="N262" s="381" t="n"/>
      <c r="O262" s="381" t="n"/>
      <c r="P262" s="382" t="n"/>
      <c r="Q262" s="383" t="n">
        <v>0</v>
      </c>
    </row>
    <row r="263" ht="9.949999999999999" customHeight="1" s="244">
      <c r="A263" s="384" t="n"/>
      <c r="B263" s="385" t="n"/>
      <c r="C263" s="385" t="n"/>
      <c r="D263" s="386" t="n"/>
      <c r="E263" s="387" t="n"/>
      <c r="F263" s="388" t="n"/>
      <c r="G263" s="389" t="n"/>
      <c r="H263" s="388" t="n"/>
      <c r="I263" s="390" t="n"/>
      <c r="J263" s="391" t="inlineStr">
        <is>
          <t>Qs=</t>
        </is>
      </c>
      <c r="K263" s="390" t="inlineStr">
        <is>
          <t>S a</t>
        </is>
      </c>
      <c r="L263" s="388" t="inlineStr">
        <is>
          <t>L</t>
        </is>
      </c>
      <c r="M263" s="389" t="inlineStr">
        <is>
          <t>R</t>
        </is>
      </c>
      <c r="N263" s="392" t="inlineStr">
        <is>
          <t>H</t>
        </is>
      </c>
      <c r="O263" s="393" t="inlineStr">
        <is>
          <t>D  T</t>
        </is>
      </c>
      <c r="P263" s="389" t="inlineStr">
        <is>
          <t>Ze</t>
        </is>
      </c>
      <c r="Q263" s="394" t="n"/>
    </row>
    <row r="264" ht="9.949999999999999" customHeight="1" s="244">
      <c r="A264" s="395" t="inlineStr">
        <is>
          <t xml:space="preserve"> </t>
        </is>
      </c>
      <c r="C264" s="397" t="n"/>
      <c r="D264" s="397" t="n"/>
      <c r="E264" s="398" t="n"/>
      <c r="F264" s="399" t="n"/>
      <c r="G264" s="400" t="n"/>
      <c r="H264" s="401" t="n"/>
      <c r="I264" s="402" t="n"/>
      <c r="J264" s="403" t="inlineStr">
        <is>
          <t>Qs  =</t>
        </is>
      </c>
      <c r="K264" s="404" t="n">
        <v>2</v>
      </c>
      <c r="L264" s="404" t="n">
        <v>0</v>
      </c>
      <c r="M264" s="404" t="n">
        <v>0.9</v>
      </c>
      <c r="N264" s="404" t="n">
        <v>0.67</v>
      </c>
      <c r="O264" s="381" t="n">
        <v>27</v>
      </c>
      <c r="P264" s="404" t="n">
        <v>1</v>
      </c>
      <c r="Q264" s="383">
        <f>K264*L264*M264*N264*O264*P264</f>
        <v/>
      </c>
    </row>
    <row r="265" ht="9.949999999999999" customHeight="1" s="244">
      <c r="A265" s="405" t="n"/>
      <c r="B265" s="406" t="n"/>
      <c r="C265" s="397" t="n"/>
      <c r="D265" s="397" t="n"/>
      <c r="E265" s="378" t="n"/>
      <c r="F265" s="256" t="n"/>
      <c r="G265" s="407" t="n"/>
      <c r="H265" s="397" t="n"/>
      <c r="I265" s="397" t="n"/>
      <c r="J265" s="397" t="n"/>
      <c r="K265" s="407" t="n"/>
      <c r="L265" s="408" t="n"/>
      <c r="M265" s="409" t="inlineStr">
        <is>
          <t xml:space="preserve">   TOPLAM ISI KAYBI =</t>
        </is>
      </c>
      <c r="N265" s="409" t="n"/>
      <c r="O265" s="410" t="n"/>
      <c r="P265" s="409" t="n"/>
      <c r="Q265" s="411">
        <f>Q262+Q264</f>
        <v/>
      </c>
    </row>
    <row r="266" ht="10.35" customHeight="1" s="244">
      <c r="A266" s="359" t="n"/>
      <c r="B266" s="360" t="n"/>
      <c r="C266" s="360" t="n"/>
      <c r="D266" s="360" t="n"/>
      <c r="E266" s="360" t="n"/>
      <c r="F266" s="361" t="inlineStr">
        <is>
          <t>1</t>
        </is>
      </c>
      <c r="G266" s="362" t="inlineStr">
        <is>
          <t>0</t>
        </is>
      </c>
      <c r="H266" s="360" t="inlineStr">
        <is>
          <t>1C2-01</t>
        </is>
      </c>
      <c r="I266" s="363" t="inlineStr">
        <is>
          <t>OFİS C2 GİRİŞ HOLÜ</t>
        </is>
      </c>
      <c r="J266" s="364" t="n"/>
      <c r="K266" s="360" t="inlineStr">
        <is>
          <t>20ºC</t>
        </is>
      </c>
      <c r="L266" s="360" t="n"/>
      <c r="M266" s="360" t="n"/>
      <c r="N266" s="360" t="n"/>
      <c r="O266" s="360" t="n"/>
      <c r="P266" s="360" t="n"/>
      <c r="Q266" s="365" t="n"/>
    </row>
    <row r="267" ht="9.949999999999999" customHeight="1" s="244">
      <c r="A267" s="366" t="inlineStr">
        <is>
          <t>İDM</t>
        </is>
      </c>
      <c r="B267" s="367" t="inlineStr"/>
      <c r="C267" s="368" t="n"/>
      <c r="D267" s="369" t="n">
        <v>3.33</v>
      </c>
      <c r="E267" s="369" t="n">
        <v>3</v>
      </c>
      <c r="F267" s="370">
        <f>IF(D267=0," ",D267*E267)</f>
        <v/>
      </c>
      <c r="G267" s="371" t="n">
        <v>1</v>
      </c>
      <c r="H267" s="372" t="n"/>
      <c r="I267" s="370">
        <f>IF(F267=" "," ",F267*G267-H267)</f>
        <v/>
      </c>
      <c r="J267" s="369" t="n">
        <v>0.332</v>
      </c>
      <c r="K267" s="371" t="n">
        <v>10</v>
      </c>
      <c r="L267" s="373">
        <f>IF(I267=" "," ",I267*J267*K267)</f>
        <v/>
      </c>
      <c r="M267" s="374" t="n">
        <v>7</v>
      </c>
      <c r="N267" s="371" t="n">
        <v>0</v>
      </c>
      <c r="O267" s="374" t="n">
        <v>0</v>
      </c>
      <c r="P267" s="370">
        <f>IF(M267=" "," ",(1+(M267+N267+O267)/100))</f>
        <v/>
      </c>
      <c r="Q267" s="375">
        <f>IF(L267=" "," ",L267*P267)</f>
        <v/>
      </c>
    </row>
    <row r="268" ht="9.949999999999999" customHeight="1" s="244">
      <c r="A268" s="376" t="n"/>
      <c r="B268" s="377" t="n"/>
      <c r="C268" s="377" t="n"/>
      <c r="D268" s="378" t="n"/>
      <c r="E268" s="378" t="n"/>
      <c r="F268" s="378" t="n"/>
      <c r="G268" s="379" t="n"/>
      <c r="H268" s="378" t="n"/>
      <c r="I268" s="378" t="n"/>
      <c r="J268" s="378" t="n"/>
      <c r="K268" s="379" t="n"/>
      <c r="L268" s="380" t="n"/>
      <c r="M268" s="381" t="n"/>
      <c r="N268" s="381" t="n"/>
      <c r="O268" s="381" t="n"/>
      <c r="P268" s="382" t="n"/>
      <c r="Q268" s="383">
        <f>SUM(Q267:Q267)</f>
        <v/>
      </c>
    </row>
    <row r="269" ht="9.949999999999999" customHeight="1" s="244">
      <c r="A269" s="384" t="n"/>
      <c r="B269" s="385" t="n"/>
      <c r="C269" s="385" t="n"/>
      <c r="D269" s="386" t="n"/>
      <c r="E269" s="387" t="n"/>
      <c r="F269" s="388" t="n"/>
      <c r="G269" s="389" t="n"/>
      <c r="H269" s="388" t="n"/>
      <c r="I269" s="390" t="n"/>
      <c r="J269" s="391" t="inlineStr">
        <is>
          <t>Qs=</t>
        </is>
      </c>
      <c r="K269" s="390" t="inlineStr">
        <is>
          <t>S a</t>
        </is>
      </c>
      <c r="L269" s="388" t="inlineStr">
        <is>
          <t>L</t>
        </is>
      </c>
      <c r="M269" s="389" t="inlineStr">
        <is>
          <t>R</t>
        </is>
      </c>
      <c r="N269" s="392" t="inlineStr">
        <is>
          <t>H</t>
        </is>
      </c>
      <c r="O269" s="393" t="inlineStr">
        <is>
          <t>D  T</t>
        </is>
      </c>
      <c r="P269" s="389" t="inlineStr">
        <is>
          <t>Ze</t>
        </is>
      </c>
      <c r="Q269" s="394" t="n"/>
    </row>
    <row r="270" ht="9.949999999999999" customHeight="1" s="244">
      <c r="A270" s="395" t="inlineStr">
        <is>
          <t xml:space="preserve"> </t>
        </is>
      </c>
      <c r="C270" s="397" t="n"/>
      <c r="D270" s="397" t="n"/>
      <c r="E270" s="398" t="n"/>
      <c r="F270" s="399" t="n"/>
      <c r="G270" s="400" t="n"/>
      <c r="H270" s="401" t="n"/>
      <c r="I270" s="402" t="n"/>
      <c r="J270" s="403" t="inlineStr">
        <is>
          <t>Qs  =</t>
        </is>
      </c>
      <c r="K270" s="404" t="n">
        <v>2</v>
      </c>
      <c r="L270" s="404" t="n">
        <v>0</v>
      </c>
      <c r="M270" s="404" t="n">
        <v>0.9</v>
      </c>
      <c r="N270" s="404" t="n">
        <v>0.67</v>
      </c>
      <c r="O270" s="381" t="n">
        <v>23</v>
      </c>
      <c r="P270" s="404" t="n">
        <v>1</v>
      </c>
      <c r="Q270" s="383">
        <f>K270*L270*M270*N270*O270*P270</f>
        <v/>
      </c>
    </row>
    <row r="271" ht="9.949999999999999" customHeight="1" s="244">
      <c r="A271" s="405" t="n"/>
      <c r="B271" s="406" t="n"/>
      <c r="C271" s="397" t="n"/>
      <c r="D271" s="397" t="n"/>
      <c r="E271" s="378" t="n"/>
      <c r="F271" s="256" t="n"/>
      <c r="G271" s="407" t="n"/>
      <c r="H271" s="397" t="n"/>
      <c r="I271" s="397" t="n"/>
      <c r="J271" s="397" t="n"/>
      <c r="K271" s="407" t="n"/>
      <c r="L271" s="408" t="n"/>
      <c r="M271" s="409" t="inlineStr">
        <is>
          <t xml:space="preserve">   TOPLAM ISI KAYBI =</t>
        </is>
      </c>
      <c r="N271" s="409" t="n"/>
      <c r="O271" s="410" t="n"/>
      <c r="P271" s="409" t="n"/>
      <c r="Q271" s="411">
        <f>Q268+Q270</f>
        <v/>
      </c>
    </row>
    <row r="272" ht="10.35" customHeight="1" s="244">
      <c r="A272" s="359" t="n"/>
      <c r="B272" s="360" t="n"/>
      <c r="C272" s="360" t="n"/>
      <c r="D272" s="360" t="n"/>
      <c r="E272" s="360" t="n"/>
      <c r="F272" s="361" t="inlineStr">
        <is>
          <t>1</t>
        </is>
      </c>
      <c r="G272" s="362" t="inlineStr">
        <is>
          <t>0</t>
        </is>
      </c>
      <c r="H272" s="360" t="inlineStr">
        <is>
          <t>1C2-02</t>
        </is>
      </c>
      <c r="I272" s="363" t="inlineStr">
        <is>
          <t>OFİS C2 GİRİŞ HOLÜ</t>
        </is>
      </c>
      <c r="J272" s="364" t="n"/>
      <c r="K272" s="360" t="inlineStr">
        <is>
          <t>20ºC</t>
        </is>
      </c>
      <c r="L272" s="360" t="n"/>
      <c r="M272" s="360" t="n"/>
      <c r="N272" s="360" t="n"/>
      <c r="O272" s="360" t="n"/>
      <c r="P272" s="360" t="n"/>
      <c r="Q272" s="365" t="n"/>
    </row>
    <row r="273" ht="9.949999999999999" customHeight="1" s="244">
      <c r="A273" s="366" t="inlineStr">
        <is>
          <t>DD</t>
        </is>
      </c>
      <c r="B273" s="367" t="inlineStr">
        <is>
          <t>K</t>
        </is>
      </c>
      <c r="C273" s="368" t="n"/>
      <c r="D273" s="369" t="n">
        <v>4.2</v>
      </c>
      <c r="E273" s="369" t="n">
        <v>2.5</v>
      </c>
      <c r="F273" s="370">
        <f>IF(D273=0," ",D273*E273)</f>
        <v/>
      </c>
      <c r="G273" s="371" t="n">
        <v>1</v>
      </c>
      <c r="H273" s="372">
        <f>F275*G275</f>
        <v/>
      </c>
      <c r="I273" s="370">
        <f>IF(F273=" "," ",F273*G273-H273)</f>
        <v/>
      </c>
      <c r="J273" s="369" t="n">
        <v>0.344</v>
      </c>
      <c r="K273" s="371" t="n">
        <v>23</v>
      </c>
      <c r="L273" s="373">
        <f>IF(I273=" "," ",I273*J273*K273)</f>
        <v/>
      </c>
      <c r="M273" s="374" t="n">
        <v>7</v>
      </c>
      <c r="N273" s="371" t="n">
        <v>0</v>
      </c>
      <c r="O273" s="374" t="n">
        <v>5</v>
      </c>
      <c r="P273" s="370">
        <f>IF(M273=" "," ",(1+(M273+N273+O273)/100))</f>
        <v/>
      </c>
      <c r="Q273" s="375">
        <f>IF(L273=" "," ",L273*P273)</f>
        <v/>
      </c>
    </row>
    <row r="274" ht="9.949999999999999" customHeight="1" s="244">
      <c r="A274" s="366" t="inlineStr">
        <is>
          <t>DD25</t>
        </is>
      </c>
      <c r="B274" s="367" t="inlineStr">
        <is>
          <t>K</t>
        </is>
      </c>
      <c r="C274" s="368" t="n"/>
      <c r="D274" s="369">
        <f>D273</f>
        <v/>
      </c>
      <c r="E274" s="369" t="n">
        <v>0.5</v>
      </c>
      <c r="F274" s="370">
        <f>IF(D274=0," ",D274*E274)</f>
        <v/>
      </c>
      <c r="G274" s="371" t="n">
        <v>1</v>
      </c>
      <c r="H274" s="372" t="n"/>
      <c r="I274" s="370">
        <f>IF(F274=" "," ",F274*G274-H274)</f>
        <v/>
      </c>
      <c r="J274" s="369" t="n">
        <v>0.387</v>
      </c>
      <c r="K274" s="371" t="n">
        <v>23</v>
      </c>
      <c r="L274" s="373">
        <f>IF(I274=" "," ",I274*J274*K274)</f>
        <v/>
      </c>
      <c r="M274" s="374" t="n">
        <v>7</v>
      </c>
      <c r="N274" s="371" t="n">
        <v>0</v>
      </c>
      <c r="O274" s="374" t="n">
        <v>5</v>
      </c>
      <c r="P274" s="370">
        <f>IF(M274=" "," ",(1+(M274+N274+O274)/100))</f>
        <v/>
      </c>
      <c r="Q274" s="375">
        <f>IF(L274=" "," ",L274*P274)</f>
        <v/>
      </c>
    </row>
    <row r="275" ht="9.949999999999999" customHeight="1" s="244">
      <c r="A275" s="366" t="inlineStr">
        <is>
          <t>ÇP</t>
        </is>
      </c>
      <c r="B275" s="367" t="inlineStr">
        <is>
          <t>K</t>
        </is>
      </c>
      <c r="C275" s="368" t="n"/>
      <c r="D275" s="369" t="n">
        <v>2.31</v>
      </c>
      <c r="E275" s="369" t="n">
        <v>1.5</v>
      </c>
      <c r="F275" s="370">
        <f>IF(D275=0," ",D275*E275)</f>
        <v/>
      </c>
      <c r="G275" s="371" t="n">
        <v>1</v>
      </c>
      <c r="H275" s="372" t="n"/>
      <c r="I275" s="370">
        <f>IF(F275=" "," ",F275*G275-H275)</f>
        <v/>
      </c>
      <c r="J275" s="369" t="n">
        <v>1.8</v>
      </c>
      <c r="K275" s="371" t="n">
        <v>23</v>
      </c>
      <c r="L275" s="373">
        <f>IF(I275=" "," ",I275*J275*K275)</f>
        <v/>
      </c>
      <c r="M275" s="374" t="n">
        <v>7</v>
      </c>
      <c r="N275" s="371" t="n">
        <v>0</v>
      </c>
      <c r="O275" s="374" t="n">
        <v>5</v>
      </c>
      <c r="P275" s="370">
        <f>IF(M275=" "," ",(1+(M275+N275+O275)/100))</f>
        <v/>
      </c>
      <c r="Q275" s="375">
        <f>IF(L275=" "," ",L275*P275)</f>
        <v/>
      </c>
    </row>
    <row r="276" ht="9.949999999999999" customHeight="1" s="244">
      <c r="A276" s="366" t="inlineStr">
        <is>
          <t>İDM</t>
        </is>
      </c>
      <c r="B276" s="367" t="inlineStr"/>
      <c r="C276" s="368" t="n"/>
      <c r="D276" s="369" t="n">
        <v>0.32</v>
      </c>
      <c r="E276" s="369" t="n">
        <v>3</v>
      </c>
      <c r="F276" s="370">
        <f>IF(D276=0," ",D276*E276)</f>
        <v/>
      </c>
      <c r="G276" s="371" t="n">
        <v>1</v>
      </c>
      <c r="H276" s="372" t="n"/>
      <c r="I276" s="370">
        <f>IF(F276=" "," ",F276*G276-H276)</f>
        <v/>
      </c>
      <c r="J276" s="369" t="n">
        <v>0.332</v>
      </c>
      <c r="K276" s="371" t="n">
        <v>10</v>
      </c>
      <c r="L276" s="373">
        <f>IF(I276=" "," ",I276*J276*K276)</f>
        <v/>
      </c>
      <c r="M276" s="374" t="n">
        <v>7</v>
      </c>
      <c r="N276" s="371" t="n">
        <v>0</v>
      </c>
      <c r="O276" s="374" t="n">
        <v>0</v>
      </c>
      <c r="P276" s="370">
        <f>IF(M276=" "," ",(1+(M276+N276+O276)/100))</f>
        <v/>
      </c>
      <c r="Q276" s="375">
        <f>IF(L276=" "," ",L276*P276)</f>
        <v/>
      </c>
    </row>
    <row r="277" ht="9.949999999999999" customHeight="1" s="244">
      <c r="A277" s="366" t="inlineStr">
        <is>
          <t>İDM</t>
        </is>
      </c>
      <c r="B277" s="367" t="inlineStr"/>
      <c r="C277" s="368" t="n"/>
      <c r="D277" s="369" t="n">
        <v>0.98</v>
      </c>
      <c r="E277" s="369" t="n">
        <v>3</v>
      </c>
      <c r="F277" s="370">
        <f>IF(D277=0," ",D277*E277)</f>
        <v/>
      </c>
      <c r="G277" s="371" t="n">
        <v>1</v>
      </c>
      <c r="H277" s="372" t="n"/>
      <c r="I277" s="370">
        <f>IF(F277=" "," ",F277*G277-H277)</f>
        <v/>
      </c>
      <c r="J277" s="369" t="n">
        <v>0.332</v>
      </c>
      <c r="K277" s="371" t="n">
        <v>10</v>
      </c>
      <c r="L277" s="373">
        <f>IF(I277=" "," ",I277*J277*K277)</f>
        <v/>
      </c>
      <c r="M277" s="374" t="n">
        <v>7</v>
      </c>
      <c r="N277" s="371" t="n">
        <v>0</v>
      </c>
      <c r="O277" s="374" t="n">
        <v>0</v>
      </c>
      <c r="P277" s="370">
        <f>IF(M277=" "," ",(1+(M277+N277+O277)/100))</f>
        <v/>
      </c>
      <c r="Q277" s="375">
        <f>IF(L277=" "," ",L277*P277)</f>
        <v/>
      </c>
    </row>
    <row r="278" ht="9.949999999999999" customHeight="1" s="244">
      <c r="A278" s="376" t="n"/>
      <c r="B278" s="377" t="n"/>
      <c r="C278" s="377" t="n"/>
      <c r="D278" s="378" t="n"/>
      <c r="E278" s="378" t="n"/>
      <c r="F278" s="378" t="n"/>
      <c r="G278" s="379" t="n"/>
      <c r="H278" s="378" t="n"/>
      <c r="I278" s="378" t="n"/>
      <c r="J278" s="378" t="n"/>
      <c r="K278" s="379" t="n"/>
      <c r="L278" s="380" t="n"/>
      <c r="M278" s="381" t="n"/>
      <c r="N278" s="381" t="n"/>
      <c r="O278" s="381" t="n"/>
      <c r="P278" s="382" t="n"/>
      <c r="Q278" s="383">
        <f>SUM(Q273:Q277)</f>
        <v/>
      </c>
    </row>
    <row r="279" ht="9.949999999999999" customHeight="1" s="244">
      <c r="A279" s="384" t="n"/>
      <c r="B279" s="385" t="n"/>
      <c r="C279" s="385" t="n"/>
      <c r="D279" s="386" t="n"/>
      <c r="E279" s="387" t="n"/>
      <c r="F279" s="388" t="n"/>
      <c r="G279" s="389" t="n"/>
      <c r="H279" s="388" t="n"/>
      <c r="I279" s="390" t="n"/>
      <c r="J279" s="391" t="inlineStr">
        <is>
          <t>Qs=</t>
        </is>
      </c>
      <c r="K279" s="390" t="inlineStr">
        <is>
          <t>S a</t>
        </is>
      </c>
      <c r="L279" s="388" t="inlineStr">
        <is>
          <t>L</t>
        </is>
      </c>
      <c r="M279" s="389" t="inlineStr">
        <is>
          <t>R</t>
        </is>
      </c>
      <c r="N279" s="392" t="inlineStr">
        <is>
          <t>H</t>
        </is>
      </c>
      <c r="O279" s="393" t="inlineStr">
        <is>
          <t>D  T</t>
        </is>
      </c>
      <c r="P279" s="389" t="inlineStr">
        <is>
          <t>Ze</t>
        </is>
      </c>
      <c r="Q279" s="394" t="n"/>
    </row>
    <row r="280" ht="9.949999999999999" customHeight="1" s="244">
      <c r="A280" s="395" t="inlineStr">
        <is>
          <t xml:space="preserve"> </t>
        </is>
      </c>
      <c r="C280" s="397" t="n"/>
      <c r="D280" s="397" t="n"/>
      <c r="E280" s="398" t="n"/>
      <c r="F280" s="399" t="n"/>
      <c r="G280" s="400" t="n"/>
      <c r="H280" s="401" t="n"/>
      <c r="I280" s="402" t="n"/>
      <c r="J280" s="403" t="inlineStr">
        <is>
          <t>Qs  =</t>
        </is>
      </c>
      <c r="K280" s="404" t="n">
        <v>2</v>
      </c>
      <c r="L280" s="404">
        <f>(D275+E275)*2*G275</f>
        <v/>
      </c>
      <c r="M280" s="404" t="n">
        <v>0.9</v>
      </c>
      <c r="N280" s="404" t="n">
        <v>0.67</v>
      </c>
      <c r="O280" s="381" t="n">
        <v>23</v>
      </c>
      <c r="P280" s="404" t="n">
        <v>1</v>
      </c>
      <c r="Q280" s="383">
        <f>K280*L280*M280*N280*O280*P280</f>
        <v/>
      </c>
    </row>
    <row r="281" ht="9.949999999999999" customHeight="1" s="244">
      <c r="A281" s="405" t="n"/>
      <c r="B281" s="406" t="n"/>
      <c r="C281" s="397" t="n"/>
      <c r="D281" s="397" t="n"/>
      <c r="E281" s="378" t="n"/>
      <c r="F281" s="256" t="n"/>
      <c r="G281" s="407" t="n"/>
      <c r="H281" s="397" t="n"/>
      <c r="I281" s="397" t="n"/>
      <c r="J281" s="397" t="n"/>
      <c r="K281" s="407" t="n"/>
      <c r="L281" s="408" t="n"/>
      <c r="M281" s="409" t="inlineStr">
        <is>
          <t xml:space="preserve">   TOPLAM ISI KAYBI =</t>
        </is>
      </c>
      <c r="N281" s="409" t="n"/>
      <c r="O281" s="410" t="n"/>
      <c r="P281" s="409" t="n"/>
      <c r="Q281" s="411">
        <f>Q278+Q280</f>
        <v/>
      </c>
    </row>
    <row r="282" ht="10.35" customHeight="1" s="244">
      <c r="A282" s="359" t="n"/>
      <c r="B282" s="360" t="n"/>
      <c r="C282" s="360" t="n"/>
      <c r="D282" s="360" t="n"/>
      <c r="E282" s="360" t="n"/>
      <c r="F282" s="361" t="inlineStr">
        <is>
          <t>1</t>
        </is>
      </c>
      <c r="G282" s="362" t="inlineStr">
        <is>
          <t>0</t>
        </is>
      </c>
      <c r="H282" s="360" t="inlineStr">
        <is>
          <t>1C2-03</t>
        </is>
      </c>
      <c r="I282" s="363" t="inlineStr">
        <is>
          <t>OFİS C2 MUTFAK</t>
        </is>
      </c>
      <c r="J282" s="364" t="n"/>
      <c r="K282" s="360" t="inlineStr">
        <is>
          <t>20ºC</t>
        </is>
      </c>
      <c r="L282" s="360" t="n"/>
      <c r="M282" s="360" t="n"/>
      <c r="N282" s="360" t="n"/>
      <c r="O282" s="360" t="n"/>
      <c r="P282" s="360" t="n"/>
      <c r="Q282" s="365" t="n"/>
    </row>
    <row r="283" ht="9.949999999999999" customHeight="1" s="244">
      <c r="A283" s="376" t="n"/>
      <c r="B283" s="377" t="n"/>
      <c r="C283" s="377" t="n"/>
      <c r="D283" s="378" t="n"/>
      <c r="E283" s="378" t="n"/>
      <c r="F283" s="378" t="n"/>
      <c r="G283" s="379" t="n"/>
      <c r="H283" s="378" t="n"/>
      <c r="I283" s="378" t="n"/>
      <c r="J283" s="378" t="n"/>
      <c r="K283" s="379" t="n"/>
      <c r="L283" s="380" t="n"/>
      <c r="M283" s="381" t="n"/>
      <c r="N283" s="381" t="n"/>
      <c r="O283" s="381" t="n"/>
      <c r="P283" s="382" t="n"/>
      <c r="Q283" s="383" t="n">
        <v>0</v>
      </c>
    </row>
    <row r="284" ht="9.949999999999999" customHeight="1" s="244">
      <c r="A284" s="384" t="n"/>
      <c r="B284" s="385" t="n"/>
      <c r="C284" s="385" t="n"/>
      <c r="D284" s="386" t="n"/>
      <c r="E284" s="387" t="n"/>
      <c r="F284" s="388" t="n"/>
      <c r="G284" s="389" t="n"/>
      <c r="H284" s="388" t="n"/>
      <c r="I284" s="390" t="n"/>
      <c r="J284" s="391" t="inlineStr">
        <is>
          <t>Qs=</t>
        </is>
      </c>
      <c r="K284" s="390" t="inlineStr">
        <is>
          <t>S a</t>
        </is>
      </c>
      <c r="L284" s="388" t="inlineStr">
        <is>
          <t>L</t>
        </is>
      </c>
      <c r="M284" s="389" t="inlineStr">
        <is>
          <t>R</t>
        </is>
      </c>
      <c r="N284" s="392" t="inlineStr">
        <is>
          <t>H</t>
        </is>
      </c>
      <c r="O284" s="393" t="inlineStr">
        <is>
          <t>D  T</t>
        </is>
      </c>
      <c r="P284" s="389" t="inlineStr">
        <is>
          <t>Ze</t>
        </is>
      </c>
      <c r="Q284" s="394" t="n"/>
    </row>
    <row r="285" ht="9.949999999999999" customHeight="1" s="244">
      <c r="A285" s="395" t="inlineStr">
        <is>
          <t xml:space="preserve"> </t>
        </is>
      </c>
      <c r="C285" s="397" t="n"/>
      <c r="D285" s="397" t="n"/>
      <c r="E285" s="398" t="n"/>
      <c r="F285" s="399" t="n"/>
      <c r="G285" s="400" t="n"/>
      <c r="H285" s="401" t="n"/>
      <c r="I285" s="402" t="n"/>
      <c r="J285" s="403" t="inlineStr">
        <is>
          <t>Qs  =</t>
        </is>
      </c>
      <c r="K285" s="404" t="n">
        <v>2</v>
      </c>
      <c r="L285" s="404" t="n">
        <v>0</v>
      </c>
      <c r="M285" s="404" t="n">
        <v>0.9</v>
      </c>
      <c r="N285" s="404" t="n">
        <v>0.67</v>
      </c>
      <c r="O285" s="381" t="n">
        <v>23</v>
      </c>
      <c r="P285" s="404" t="n">
        <v>1</v>
      </c>
      <c r="Q285" s="383">
        <f>K285*L285*M285*N285*O285*P285</f>
        <v/>
      </c>
    </row>
    <row r="286" ht="9.949999999999999" customHeight="1" s="244">
      <c r="A286" s="405" t="n"/>
      <c r="B286" s="406" t="n"/>
      <c r="C286" s="397" t="n"/>
      <c r="D286" s="397" t="n"/>
      <c r="E286" s="378" t="n"/>
      <c r="F286" s="256" t="n"/>
      <c r="G286" s="407" t="n"/>
      <c r="H286" s="397" t="n"/>
      <c r="I286" s="397" t="n"/>
      <c r="J286" s="397" t="n"/>
      <c r="K286" s="407" t="n"/>
      <c r="L286" s="408" t="n"/>
      <c r="M286" s="409" t="inlineStr">
        <is>
          <t xml:space="preserve">   TOPLAM ISI KAYBI =</t>
        </is>
      </c>
      <c r="N286" s="409" t="n"/>
      <c r="O286" s="410" t="n"/>
      <c r="P286" s="409" t="n"/>
      <c r="Q286" s="411">
        <f>Q283+Q285</f>
        <v/>
      </c>
    </row>
    <row r="287" ht="10.35" customHeight="1" s="244">
      <c r="A287" s="359" t="n"/>
      <c r="B287" s="360" t="n"/>
      <c r="C287" s="360" t="n"/>
      <c r="D287" s="360" t="n"/>
      <c r="E287" s="360" t="n"/>
      <c r="F287" s="361" t="inlineStr">
        <is>
          <t>1</t>
        </is>
      </c>
      <c r="G287" s="362" t="inlineStr">
        <is>
          <t>0</t>
        </is>
      </c>
      <c r="H287" s="360" t="inlineStr">
        <is>
          <t>1C2-04</t>
        </is>
      </c>
      <c r="I287" s="363" t="inlineStr">
        <is>
          <t>OFİS C2 BANYO</t>
        </is>
      </c>
      <c r="J287" s="364" t="n"/>
      <c r="K287" s="360" t="inlineStr">
        <is>
          <t>24ºC</t>
        </is>
      </c>
      <c r="L287" s="360" t="n"/>
      <c r="M287" s="360" t="n"/>
      <c r="N287" s="360" t="n"/>
      <c r="O287" s="360" t="n"/>
      <c r="P287" s="360" t="n"/>
      <c r="Q287" s="365" t="n"/>
    </row>
    <row r="288" ht="9.949999999999999" customHeight="1" s="244">
      <c r="A288" s="376" t="n"/>
      <c r="B288" s="377" t="n"/>
      <c r="C288" s="377" t="n"/>
      <c r="D288" s="378" t="n"/>
      <c r="E288" s="378" t="n"/>
      <c r="F288" s="378" t="n"/>
      <c r="G288" s="379" t="n"/>
      <c r="H288" s="378" t="n"/>
      <c r="I288" s="378" t="n"/>
      <c r="J288" s="378" t="n"/>
      <c r="K288" s="379" t="n"/>
      <c r="L288" s="380" t="n"/>
      <c r="M288" s="381" t="n"/>
      <c r="N288" s="381" t="n"/>
      <c r="O288" s="381" t="n"/>
      <c r="P288" s="382" t="n"/>
      <c r="Q288" s="383" t="n">
        <v>0</v>
      </c>
    </row>
    <row r="289" ht="9.949999999999999" customHeight="1" s="244">
      <c r="A289" s="384" t="n"/>
      <c r="B289" s="385" t="n"/>
      <c r="C289" s="385" t="n"/>
      <c r="D289" s="386" t="n"/>
      <c r="E289" s="387" t="n"/>
      <c r="F289" s="388" t="n"/>
      <c r="G289" s="389" t="n"/>
      <c r="H289" s="388" t="n"/>
      <c r="I289" s="390" t="n"/>
      <c r="J289" s="391" t="inlineStr">
        <is>
          <t>Qs=</t>
        </is>
      </c>
      <c r="K289" s="390" t="inlineStr">
        <is>
          <t>S a</t>
        </is>
      </c>
      <c r="L289" s="388" t="inlineStr">
        <is>
          <t>L</t>
        </is>
      </c>
      <c r="M289" s="389" t="inlineStr">
        <is>
          <t>R</t>
        </is>
      </c>
      <c r="N289" s="392" t="inlineStr">
        <is>
          <t>H</t>
        </is>
      </c>
      <c r="O289" s="393" t="inlineStr">
        <is>
          <t>D  T</t>
        </is>
      </c>
      <c r="P289" s="389" t="inlineStr">
        <is>
          <t>Ze</t>
        </is>
      </c>
      <c r="Q289" s="394" t="n"/>
    </row>
    <row r="290" ht="9.949999999999999" customHeight="1" s="244">
      <c r="A290" s="395" t="inlineStr">
        <is>
          <t xml:space="preserve"> </t>
        </is>
      </c>
      <c r="C290" s="397" t="n"/>
      <c r="D290" s="397" t="n"/>
      <c r="E290" s="398" t="n"/>
      <c r="F290" s="399" t="n"/>
      <c r="G290" s="400" t="n"/>
      <c r="H290" s="401" t="n"/>
      <c r="I290" s="402" t="n"/>
      <c r="J290" s="403" t="inlineStr">
        <is>
          <t>Qs  =</t>
        </is>
      </c>
      <c r="K290" s="404" t="n">
        <v>2</v>
      </c>
      <c r="L290" s="404" t="n">
        <v>0</v>
      </c>
      <c r="M290" s="404" t="n">
        <v>0.9</v>
      </c>
      <c r="N290" s="404" t="n">
        <v>0.67</v>
      </c>
      <c r="O290" s="381" t="n">
        <v>27</v>
      </c>
      <c r="P290" s="404" t="n">
        <v>1</v>
      </c>
      <c r="Q290" s="383">
        <f>K290*L290*M290*N290*O290*P290</f>
        <v/>
      </c>
    </row>
    <row r="291" ht="9.949999999999999" customHeight="1" s="244">
      <c r="A291" s="405" t="n"/>
      <c r="B291" s="406" t="n"/>
      <c r="C291" s="397" t="n"/>
      <c r="D291" s="397" t="n"/>
      <c r="E291" s="378" t="n"/>
      <c r="F291" s="256" t="n"/>
      <c r="G291" s="407" t="n"/>
      <c r="H291" s="397" t="n"/>
      <c r="I291" s="397" t="n"/>
      <c r="J291" s="397" t="n"/>
      <c r="K291" s="407" t="n"/>
      <c r="L291" s="408" t="n"/>
      <c r="M291" s="409" t="inlineStr">
        <is>
          <t xml:space="preserve">   TOPLAM ISI KAYBI =</t>
        </is>
      </c>
      <c r="N291" s="409" t="n"/>
      <c r="O291" s="410" t="n"/>
      <c r="P291" s="409" t="n"/>
      <c r="Q291" s="411">
        <f>Q288+Q290</f>
        <v/>
      </c>
    </row>
    <row r="292" ht="10.35" customHeight="1" s="244">
      <c r="A292" s="359" t="n"/>
      <c r="B292" s="360" t="n"/>
      <c r="C292" s="360" t="n"/>
      <c r="D292" s="360" t="n"/>
      <c r="E292" s="360" t="n"/>
      <c r="F292" s="361" t="inlineStr">
        <is>
          <t>1</t>
        </is>
      </c>
      <c r="G292" s="362" t="inlineStr">
        <is>
          <t>0</t>
        </is>
      </c>
      <c r="H292" s="360" t="inlineStr">
        <is>
          <t>1C3-01</t>
        </is>
      </c>
      <c r="I292" s="363" t="inlineStr">
        <is>
          <t>OFİS C3 GİRİŞ HOLÜ</t>
        </is>
      </c>
      <c r="J292" s="364" t="n"/>
      <c r="K292" s="360" t="inlineStr">
        <is>
          <t>20ºC</t>
        </is>
      </c>
      <c r="L292" s="360" t="n"/>
      <c r="M292" s="360" t="n"/>
      <c r="N292" s="360" t="n"/>
      <c r="O292" s="360" t="n"/>
      <c r="P292" s="360" t="n"/>
      <c r="Q292" s="365" t="n"/>
    </row>
    <row r="293" ht="9.949999999999999" customHeight="1" s="244">
      <c r="A293" s="366" t="inlineStr">
        <is>
          <t>İDM</t>
        </is>
      </c>
      <c r="B293" s="367" t="inlineStr"/>
      <c r="C293" s="368" t="n"/>
      <c r="D293" s="369" t="n">
        <v>0.73</v>
      </c>
      <c r="E293" s="369" t="n">
        <v>3</v>
      </c>
      <c r="F293" s="370">
        <f>IF(D293=0," ",D293*E293)</f>
        <v/>
      </c>
      <c r="G293" s="371" t="n">
        <v>1</v>
      </c>
      <c r="H293" s="372" t="n"/>
      <c r="I293" s="370">
        <f>IF(F293=" "," ",F293*G293-H293)</f>
        <v/>
      </c>
      <c r="J293" s="369" t="n">
        <v>0.332</v>
      </c>
      <c r="K293" s="371" t="n">
        <v>10</v>
      </c>
      <c r="L293" s="373">
        <f>IF(I293=" "," ",I293*J293*K293)</f>
        <v/>
      </c>
      <c r="M293" s="374" t="n">
        <v>7</v>
      </c>
      <c r="N293" s="371" t="n">
        <v>0</v>
      </c>
      <c r="O293" s="374" t="n">
        <v>0</v>
      </c>
      <c r="P293" s="370">
        <f>IF(M293=" "," ",(1+(M293+N293+O293)/100))</f>
        <v/>
      </c>
      <c r="Q293" s="375">
        <f>IF(L293=" "," ",L293*P293)</f>
        <v/>
      </c>
    </row>
    <row r="294" ht="9.949999999999999" customHeight="1" s="244">
      <c r="A294" s="366" t="inlineStr">
        <is>
          <t>İDM</t>
        </is>
      </c>
      <c r="B294" s="367" t="inlineStr"/>
      <c r="C294" s="368" t="n"/>
      <c r="D294" s="369" t="n">
        <v>0.36</v>
      </c>
      <c r="E294" s="369" t="n">
        <v>3</v>
      </c>
      <c r="F294" s="370">
        <f>IF(D294=0," ",D294*E294)</f>
        <v/>
      </c>
      <c r="G294" s="371" t="n">
        <v>1</v>
      </c>
      <c r="H294" s="372" t="n"/>
      <c r="I294" s="370">
        <f>IF(F294=" "," ",F294*G294-H294)</f>
        <v/>
      </c>
      <c r="J294" s="369" t="n">
        <v>0.332</v>
      </c>
      <c r="K294" s="371" t="n">
        <v>10</v>
      </c>
      <c r="L294" s="373">
        <f>IF(I294=" "," ",I294*J294*K294)</f>
        <v/>
      </c>
      <c r="M294" s="374" t="n">
        <v>7</v>
      </c>
      <c r="N294" s="371" t="n">
        <v>0</v>
      </c>
      <c r="O294" s="374" t="n">
        <v>0</v>
      </c>
      <c r="P294" s="370">
        <f>IF(M294=" "," ",(1+(M294+N294+O294)/100))</f>
        <v/>
      </c>
      <c r="Q294" s="375">
        <f>IF(L294=" "," ",L294*P294)</f>
        <v/>
      </c>
    </row>
    <row r="295" ht="9.949999999999999" customHeight="1" s="244">
      <c r="A295" s="366" t="inlineStr">
        <is>
          <t>İDM</t>
        </is>
      </c>
      <c r="B295" s="367" t="inlineStr"/>
      <c r="C295" s="368" t="n"/>
      <c r="D295" s="369" t="n">
        <v>0.78</v>
      </c>
      <c r="E295" s="369" t="n">
        <v>3</v>
      </c>
      <c r="F295" s="370">
        <f>IF(D295=0," ",D295*E295)</f>
        <v/>
      </c>
      <c r="G295" s="371" t="n">
        <v>1</v>
      </c>
      <c r="H295" s="372" t="n"/>
      <c r="I295" s="370">
        <f>IF(F295=" "," ",F295*G295-H295)</f>
        <v/>
      </c>
      <c r="J295" s="369" t="n">
        <v>0.332</v>
      </c>
      <c r="K295" s="371" t="n">
        <v>10</v>
      </c>
      <c r="L295" s="373">
        <f>IF(I295=" "," ",I295*J295*K295)</f>
        <v/>
      </c>
      <c r="M295" s="374" t="n">
        <v>7</v>
      </c>
      <c r="N295" s="371" t="n">
        <v>0</v>
      </c>
      <c r="O295" s="374" t="n">
        <v>0</v>
      </c>
      <c r="P295" s="370">
        <f>IF(M295=" "," ",(1+(M295+N295+O295)/100))</f>
        <v/>
      </c>
      <c r="Q295" s="375">
        <f>IF(L295=" "," ",L295*P295)</f>
        <v/>
      </c>
    </row>
    <row r="296" ht="9.949999999999999" customHeight="1" s="244">
      <c r="A296" s="366" t="inlineStr">
        <is>
          <t>İDM</t>
        </is>
      </c>
      <c r="B296" s="367" t="inlineStr"/>
      <c r="C296" s="368" t="n"/>
      <c r="D296" s="369" t="n">
        <v>0.36</v>
      </c>
      <c r="E296" s="369" t="n">
        <v>3</v>
      </c>
      <c r="F296" s="370">
        <f>IF(D296=0," ",D296*E296)</f>
        <v/>
      </c>
      <c r="G296" s="371" t="n">
        <v>1</v>
      </c>
      <c r="H296" s="372" t="n"/>
      <c r="I296" s="370">
        <f>IF(F296=" "," ",F296*G296-H296)</f>
        <v/>
      </c>
      <c r="J296" s="369" t="n">
        <v>0.332</v>
      </c>
      <c r="K296" s="371" t="n">
        <v>10</v>
      </c>
      <c r="L296" s="373">
        <f>IF(I296=" "," ",I296*J296*K296)</f>
        <v/>
      </c>
      <c r="M296" s="374" t="n">
        <v>7</v>
      </c>
      <c r="N296" s="371" t="n">
        <v>0</v>
      </c>
      <c r="O296" s="374" t="n">
        <v>0</v>
      </c>
      <c r="P296" s="370">
        <f>IF(M296=" "," ",(1+(M296+N296+O296)/100))</f>
        <v/>
      </c>
      <c r="Q296" s="375">
        <f>IF(L296=" "," ",L296*P296)</f>
        <v/>
      </c>
    </row>
    <row r="297" ht="9.949999999999999" customHeight="1" s="244">
      <c r="A297" s="366" t="inlineStr">
        <is>
          <t>İDM</t>
        </is>
      </c>
      <c r="B297" s="367" t="inlineStr"/>
      <c r="C297" s="368" t="n"/>
      <c r="D297" s="369" t="n">
        <v>0.86</v>
      </c>
      <c r="E297" s="369" t="n">
        <v>3</v>
      </c>
      <c r="F297" s="370">
        <f>IF(D297=0," ",D297*E297)</f>
        <v/>
      </c>
      <c r="G297" s="371" t="n">
        <v>1</v>
      </c>
      <c r="H297" s="372" t="n"/>
      <c r="I297" s="370">
        <f>IF(F297=" "," ",F297*G297-H297)</f>
        <v/>
      </c>
      <c r="J297" s="369" t="n">
        <v>0.332</v>
      </c>
      <c r="K297" s="371" t="n">
        <v>5</v>
      </c>
      <c r="L297" s="373">
        <f>IF(I297=" "," ",I297*J297*K297)</f>
        <v/>
      </c>
      <c r="M297" s="374" t="n">
        <v>7</v>
      </c>
      <c r="N297" s="371" t="n">
        <v>0</v>
      </c>
      <c r="O297" s="374" t="n">
        <v>0</v>
      </c>
      <c r="P297" s="370">
        <f>IF(M297=" "," ",(1+(M297+N297+O297)/100))</f>
        <v/>
      </c>
      <c r="Q297" s="375">
        <f>IF(L297=" "," ",L297*P297)</f>
        <v/>
      </c>
    </row>
    <row r="298" ht="9.949999999999999" customHeight="1" s="244">
      <c r="A298" s="376" t="n"/>
      <c r="B298" s="377" t="n"/>
      <c r="C298" s="377" t="n"/>
      <c r="D298" s="378" t="n"/>
      <c r="E298" s="378" t="n"/>
      <c r="F298" s="378" t="n"/>
      <c r="G298" s="379" t="n"/>
      <c r="H298" s="378" t="n"/>
      <c r="I298" s="378" t="n"/>
      <c r="J298" s="378" t="n"/>
      <c r="K298" s="379" t="n"/>
      <c r="L298" s="380" t="n"/>
      <c r="M298" s="381" t="n"/>
      <c r="N298" s="381" t="n"/>
      <c r="O298" s="381" t="n"/>
      <c r="P298" s="382" t="n"/>
      <c r="Q298" s="383">
        <f>SUM(Q293:Q297)</f>
        <v/>
      </c>
    </row>
    <row r="299" ht="9.949999999999999" customHeight="1" s="244">
      <c r="A299" s="384" t="n"/>
      <c r="B299" s="385" t="n"/>
      <c r="C299" s="385" t="n"/>
      <c r="D299" s="386" t="n"/>
      <c r="E299" s="387" t="n"/>
      <c r="F299" s="388" t="n"/>
      <c r="G299" s="389" t="n"/>
      <c r="H299" s="388" t="n"/>
      <c r="I299" s="390" t="n"/>
      <c r="J299" s="391" t="inlineStr">
        <is>
          <t>Qs=</t>
        </is>
      </c>
      <c r="K299" s="390" t="inlineStr">
        <is>
          <t>S a</t>
        </is>
      </c>
      <c r="L299" s="388" t="inlineStr">
        <is>
          <t>L</t>
        </is>
      </c>
      <c r="M299" s="389" t="inlineStr">
        <is>
          <t>R</t>
        </is>
      </c>
      <c r="N299" s="392" t="inlineStr">
        <is>
          <t>H</t>
        </is>
      </c>
      <c r="O299" s="393" t="inlineStr">
        <is>
          <t>D  T</t>
        </is>
      </c>
      <c r="P299" s="389" t="inlineStr">
        <is>
          <t>Ze</t>
        </is>
      </c>
      <c r="Q299" s="394" t="n"/>
    </row>
    <row r="300" ht="9.949999999999999" customHeight="1" s="244">
      <c r="A300" s="395" t="inlineStr">
        <is>
          <t xml:space="preserve"> </t>
        </is>
      </c>
      <c r="C300" s="397" t="n"/>
      <c r="D300" s="397" t="n"/>
      <c r="E300" s="398" t="n"/>
      <c r="F300" s="399" t="n"/>
      <c r="G300" s="400" t="n"/>
      <c r="H300" s="401" t="n"/>
      <c r="I300" s="402" t="n"/>
      <c r="J300" s="403" t="inlineStr">
        <is>
          <t>Qs  =</t>
        </is>
      </c>
      <c r="K300" s="404" t="n">
        <v>2</v>
      </c>
      <c r="L300" s="404" t="n">
        <v>0</v>
      </c>
      <c r="M300" s="404" t="n">
        <v>0.9</v>
      </c>
      <c r="N300" s="404" t="n">
        <v>0.67</v>
      </c>
      <c r="O300" s="381" t="n">
        <v>23</v>
      </c>
      <c r="P300" s="404" t="n">
        <v>1</v>
      </c>
      <c r="Q300" s="383">
        <f>K300*L300*M300*N300*O300*P300</f>
        <v/>
      </c>
    </row>
    <row r="301" ht="9.949999999999999" customHeight="1" s="244">
      <c r="A301" s="405" t="n"/>
      <c r="B301" s="406" t="n"/>
      <c r="C301" s="397" t="n"/>
      <c r="D301" s="397" t="n"/>
      <c r="E301" s="378" t="n"/>
      <c r="F301" s="256" t="n"/>
      <c r="G301" s="407" t="n"/>
      <c r="H301" s="397" t="n"/>
      <c r="I301" s="397" t="n"/>
      <c r="J301" s="397" t="n"/>
      <c r="K301" s="407" t="n"/>
      <c r="L301" s="408" t="n"/>
      <c r="M301" s="409" t="inlineStr">
        <is>
          <t xml:space="preserve">   TOPLAM ISI KAYBI =</t>
        </is>
      </c>
      <c r="N301" s="409" t="n"/>
      <c r="O301" s="410" t="n"/>
      <c r="P301" s="409" t="n"/>
      <c r="Q301" s="411">
        <f>Q298+Q300</f>
        <v/>
      </c>
    </row>
    <row r="302" ht="10.35" customHeight="1" s="244">
      <c r="A302" s="359" t="n"/>
      <c r="B302" s="360" t="n"/>
      <c r="C302" s="360" t="n"/>
      <c r="D302" s="360" t="n"/>
      <c r="E302" s="360" t="n"/>
      <c r="F302" s="361" t="inlineStr">
        <is>
          <t>1</t>
        </is>
      </c>
      <c r="G302" s="362" t="inlineStr">
        <is>
          <t>0</t>
        </is>
      </c>
      <c r="H302" s="360" t="inlineStr">
        <is>
          <t>1C3-02</t>
        </is>
      </c>
      <c r="I302" s="363" t="inlineStr">
        <is>
          <t>OFİS C3 GİRİŞ HOLÜ</t>
        </is>
      </c>
      <c r="J302" s="364" t="n"/>
      <c r="K302" s="360" t="inlineStr">
        <is>
          <t>20ºC</t>
        </is>
      </c>
      <c r="L302" s="360" t="n"/>
      <c r="M302" s="360" t="n"/>
      <c r="N302" s="360" t="n"/>
      <c r="O302" s="360" t="n"/>
      <c r="P302" s="360" t="n"/>
      <c r="Q302" s="365" t="n"/>
    </row>
    <row r="303" ht="9.949999999999999" customHeight="1" s="244">
      <c r="A303" s="366" t="inlineStr">
        <is>
          <t>DD</t>
        </is>
      </c>
      <c r="B303" s="367" t="inlineStr">
        <is>
          <t>K</t>
        </is>
      </c>
      <c r="C303" s="368" t="n"/>
      <c r="D303" s="369" t="n">
        <v>3.85</v>
      </c>
      <c r="E303" s="369" t="n">
        <v>2.5</v>
      </c>
      <c r="F303" s="370">
        <f>IF(D303=0," ",D303*E303)</f>
        <v/>
      </c>
      <c r="G303" s="371" t="n">
        <v>1</v>
      </c>
      <c r="H303" s="372">
        <f>F305*G305</f>
        <v/>
      </c>
      <c r="I303" s="370">
        <f>IF(F303=" "," ",F303*G303-H303)</f>
        <v/>
      </c>
      <c r="J303" s="369" t="n">
        <v>0.344</v>
      </c>
      <c r="K303" s="371" t="n">
        <v>23</v>
      </c>
      <c r="L303" s="373">
        <f>IF(I303=" "," ",I303*J303*K303)</f>
        <v/>
      </c>
      <c r="M303" s="374" t="n">
        <v>7</v>
      </c>
      <c r="N303" s="371" t="n">
        <v>0</v>
      </c>
      <c r="O303" s="374" t="n">
        <v>5</v>
      </c>
      <c r="P303" s="370">
        <f>IF(M303=" "," ",(1+(M303+N303+O303)/100))</f>
        <v/>
      </c>
      <c r="Q303" s="375">
        <f>IF(L303=" "," ",L303*P303)</f>
        <v/>
      </c>
    </row>
    <row r="304" ht="9.949999999999999" customHeight="1" s="244">
      <c r="A304" s="366" t="inlineStr">
        <is>
          <t>DD25</t>
        </is>
      </c>
      <c r="B304" s="367" t="inlineStr">
        <is>
          <t>K</t>
        </is>
      </c>
      <c r="C304" s="368" t="n"/>
      <c r="D304" s="369">
        <f>D303</f>
        <v/>
      </c>
      <c r="E304" s="369" t="n">
        <v>0.5</v>
      </c>
      <c r="F304" s="370">
        <f>IF(D304=0," ",D304*E304)</f>
        <v/>
      </c>
      <c r="G304" s="371" t="n">
        <v>1</v>
      </c>
      <c r="H304" s="372" t="n"/>
      <c r="I304" s="370">
        <f>IF(F304=" "," ",F304*G304-H304)</f>
        <v/>
      </c>
      <c r="J304" s="369" t="n">
        <v>0.387</v>
      </c>
      <c r="K304" s="371" t="n">
        <v>23</v>
      </c>
      <c r="L304" s="373">
        <f>IF(I304=" "," ",I304*J304*K304)</f>
        <v/>
      </c>
      <c r="M304" s="374" t="n">
        <v>7</v>
      </c>
      <c r="N304" s="371" t="n">
        <v>0</v>
      </c>
      <c r="O304" s="374" t="n">
        <v>5</v>
      </c>
      <c r="P304" s="370">
        <f>IF(M304=" "," ",(1+(M304+N304+O304)/100))</f>
        <v/>
      </c>
      <c r="Q304" s="375">
        <f>IF(L304=" "," ",L304*P304)</f>
        <v/>
      </c>
    </row>
    <row r="305" ht="9.949999999999999" customHeight="1" s="244">
      <c r="A305" s="366" t="inlineStr">
        <is>
          <t>ÇP</t>
        </is>
      </c>
      <c r="B305" s="367" t="inlineStr">
        <is>
          <t>K</t>
        </is>
      </c>
      <c r="C305" s="368" t="n"/>
      <c r="D305" s="369" t="n">
        <v>2.12</v>
      </c>
      <c r="E305" s="369" t="n">
        <v>1.5</v>
      </c>
      <c r="F305" s="370">
        <f>IF(D305=0," ",D305*E305)</f>
        <v/>
      </c>
      <c r="G305" s="371" t="n">
        <v>1</v>
      </c>
      <c r="H305" s="372" t="n"/>
      <c r="I305" s="370">
        <f>IF(F305=" "," ",F305*G305-H305)</f>
        <v/>
      </c>
      <c r="J305" s="369" t="n">
        <v>1.8</v>
      </c>
      <c r="K305" s="371" t="n">
        <v>23</v>
      </c>
      <c r="L305" s="373">
        <f>IF(I305=" "," ",I305*J305*K305)</f>
        <v/>
      </c>
      <c r="M305" s="374" t="n">
        <v>7</v>
      </c>
      <c r="N305" s="371" t="n">
        <v>0</v>
      </c>
      <c r="O305" s="374" t="n">
        <v>5</v>
      </c>
      <c r="P305" s="370">
        <f>IF(M305=" "," ",(1+(M305+N305+O305)/100))</f>
        <v/>
      </c>
      <c r="Q305" s="375">
        <f>IF(L305=" "," ",L305*P305)</f>
        <v/>
      </c>
    </row>
    <row r="306" ht="9.949999999999999" customHeight="1" s="244">
      <c r="A306" s="366" t="inlineStr">
        <is>
          <t>İDM</t>
        </is>
      </c>
      <c r="B306" s="367" t="inlineStr"/>
      <c r="C306" s="368" t="n"/>
      <c r="D306" s="369" t="n">
        <v>0.27</v>
      </c>
      <c r="E306" s="369" t="n">
        <v>3</v>
      </c>
      <c r="F306" s="370">
        <f>IF(D306=0," ",D306*E306)</f>
        <v/>
      </c>
      <c r="G306" s="371" t="n">
        <v>1</v>
      </c>
      <c r="H306" s="372" t="n"/>
      <c r="I306" s="370">
        <f>IF(F306=" "," ",F306*G306-H306)</f>
        <v/>
      </c>
      <c r="J306" s="369" t="n">
        <v>0.332</v>
      </c>
      <c r="K306" s="371" t="n">
        <v>10</v>
      </c>
      <c r="L306" s="373">
        <f>IF(I306=" "," ",I306*J306*K306)</f>
        <v/>
      </c>
      <c r="M306" s="374" t="n">
        <v>7</v>
      </c>
      <c r="N306" s="371" t="n">
        <v>0</v>
      </c>
      <c r="O306" s="374" t="n">
        <v>0</v>
      </c>
      <c r="P306" s="370">
        <f>IF(M306=" "," ",(1+(M306+N306+O306)/100))</f>
        <v/>
      </c>
      <c r="Q306" s="375">
        <f>IF(L306=" "," ",L306*P306)</f>
        <v/>
      </c>
    </row>
    <row r="307" ht="9.949999999999999" customHeight="1" s="244">
      <c r="A307" s="366" t="inlineStr">
        <is>
          <t>İDM</t>
        </is>
      </c>
      <c r="B307" s="367" t="inlineStr"/>
      <c r="C307" s="368" t="n"/>
      <c r="D307" s="369" t="n">
        <v>1.33</v>
      </c>
      <c r="E307" s="369" t="n">
        <v>3</v>
      </c>
      <c r="F307" s="370">
        <f>IF(D307=0," ",D307*E307)</f>
        <v/>
      </c>
      <c r="G307" s="371" t="n">
        <v>1</v>
      </c>
      <c r="H307" s="372" t="n"/>
      <c r="I307" s="370">
        <f>IF(F307=" "," ",F307*G307-H307)</f>
        <v/>
      </c>
      <c r="J307" s="369" t="n">
        <v>0.332</v>
      </c>
      <c r="K307" s="371" t="n">
        <v>10</v>
      </c>
      <c r="L307" s="373">
        <f>IF(I307=" "," ",I307*J307*K307)</f>
        <v/>
      </c>
      <c r="M307" s="374" t="n">
        <v>7</v>
      </c>
      <c r="N307" s="371" t="n">
        <v>0</v>
      </c>
      <c r="O307" s="374" t="n">
        <v>0</v>
      </c>
      <c r="P307" s="370">
        <f>IF(M307=" "," ",(1+(M307+N307+O307)/100))</f>
        <v/>
      </c>
      <c r="Q307" s="375">
        <f>IF(L307=" "," ",L307*P307)</f>
        <v/>
      </c>
    </row>
    <row r="308" ht="9.949999999999999" customHeight="1" s="244">
      <c r="A308" s="366" t="inlineStr">
        <is>
          <t>İDM</t>
        </is>
      </c>
      <c r="B308" s="367" t="inlineStr"/>
      <c r="C308" s="368" t="n"/>
      <c r="D308" s="369" t="n">
        <v>0.98</v>
      </c>
      <c r="E308" s="369" t="n">
        <v>3</v>
      </c>
      <c r="F308" s="370">
        <f>IF(D308=0," ",D308*E308)</f>
        <v/>
      </c>
      <c r="G308" s="371" t="n">
        <v>1</v>
      </c>
      <c r="H308" s="372" t="n"/>
      <c r="I308" s="370">
        <f>IF(F308=" "," ",F308*G308-H308)</f>
        <v/>
      </c>
      <c r="J308" s="369" t="n">
        <v>0.332</v>
      </c>
      <c r="K308" s="371" t="n">
        <v>10</v>
      </c>
      <c r="L308" s="373">
        <f>IF(I308=" "," ",I308*J308*K308)</f>
        <v/>
      </c>
      <c r="M308" s="374" t="n">
        <v>7</v>
      </c>
      <c r="N308" s="371" t="n">
        <v>0</v>
      </c>
      <c r="O308" s="374" t="n">
        <v>0</v>
      </c>
      <c r="P308" s="370">
        <f>IF(M308=" "," ",(1+(M308+N308+O308)/100))</f>
        <v/>
      </c>
      <c r="Q308" s="375">
        <f>IF(L308=" "," ",L308*P308)</f>
        <v/>
      </c>
    </row>
    <row r="309" ht="9.949999999999999" customHeight="1" s="244">
      <c r="A309" s="366" t="inlineStr">
        <is>
          <t>İDM</t>
        </is>
      </c>
      <c r="B309" s="367" t="inlineStr"/>
      <c r="C309" s="368" t="n"/>
      <c r="D309" s="369" t="n">
        <v>0.36</v>
      </c>
      <c r="E309" s="369" t="n">
        <v>3</v>
      </c>
      <c r="F309" s="370">
        <f>IF(D309=0," ",D309*E309)</f>
        <v/>
      </c>
      <c r="G309" s="371" t="n">
        <v>1</v>
      </c>
      <c r="H309" s="372" t="n"/>
      <c r="I309" s="370">
        <f>IF(F309=" "," ",F309*G309-H309)</f>
        <v/>
      </c>
      <c r="J309" s="369" t="n">
        <v>0.332</v>
      </c>
      <c r="K309" s="371" t="n">
        <v>10</v>
      </c>
      <c r="L309" s="373">
        <f>IF(I309=" "," ",I309*J309*K309)</f>
        <v/>
      </c>
      <c r="M309" s="374" t="n">
        <v>7</v>
      </c>
      <c r="N309" s="371" t="n">
        <v>0</v>
      </c>
      <c r="O309" s="374" t="n">
        <v>0</v>
      </c>
      <c r="P309" s="370">
        <f>IF(M309=" "," ",(1+(M309+N309+O309)/100))</f>
        <v/>
      </c>
      <c r="Q309" s="375">
        <f>IF(L309=" "," ",L309*P309)</f>
        <v/>
      </c>
    </row>
    <row r="310" ht="9.949999999999999" customHeight="1" s="244">
      <c r="A310" s="366" t="inlineStr">
        <is>
          <t>İDM</t>
        </is>
      </c>
      <c r="B310" s="367" t="inlineStr"/>
      <c r="C310" s="368" t="n"/>
      <c r="D310" s="369" t="n">
        <v>2.59</v>
      </c>
      <c r="E310" s="369" t="n">
        <v>3</v>
      </c>
      <c r="F310" s="370">
        <f>IF(D310=0," ",D310*E310)</f>
        <v/>
      </c>
      <c r="G310" s="371" t="n">
        <v>1</v>
      </c>
      <c r="H310" s="372" t="n"/>
      <c r="I310" s="370">
        <f>IF(F310=" "," ",F310*G310-H310)</f>
        <v/>
      </c>
      <c r="J310" s="369" t="n">
        <v>0.332</v>
      </c>
      <c r="K310" s="371" t="n">
        <v>5</v>
      </c>
      <c r="L310" s="373">
        <f>IF(I310=" "," ",I310*J310*K310)</f>
        <v/>
      </c>
      <c r="M310" s="374" t="n">
        <v>7</v>
      </c>
      <c r="N310" s="371" t="n">
        <v>0</v>
      </c>
      <c r="O310" s="374" t="n">
        <v>0</v>
      </c>
      <c r="P310" s="370">
        <f>IF(M310=" "," ",(1+(M310+N310+O310)/100))</f>
        <v/>
      </c>
      <c r="Q310" s="375">
        <f>IF(L310=" "," ",L310*P310)</f>
        <v/>
      </c>
    </row>
    <row r="311" ht="9.949999999999999" customHeight="1" s="244">
      <c r="A311" s="376" t="n"/>
      <c r="B311" s="377" t="n"/>
      <c r="C311" s="377" t="n"/>
      <c r="D311" s="378" t="n"/>
      <c r="E311" s="378" t="n"/>
      <c r="F311" s="378" t="n"/>
      <c r="G311" s="379" t="n"/>
      <c r="H311" s="378" t="n"/>
      <c r="I311" s="378" t="n"/>
      <c r="J311" s="378" t="n"/>
      <c r="K311" s="379" t="n"/>
      <c r="L311" s="380" t="n"/>
      <c r="M311" s="381" t="n"/>
      <c r="N311" s="381" t="n"/>
      <c r="O311" s="381" t="n"/>
      <c r="P311" s="382" t="n"/>
      <c r="Q311" s="383">
        <f>SUM(Q303:Q310)</f>
        <v/>
      </c>
    </row>
    <row r="312" ht="9.949999999999999" customHeight="1" s="244">
      <c r="A312" s="384" t="n"/>
      <c r="B312" s="385" t="n"/>
      <c r="C312" s="385" t="n"/>
      <c r="D312" s="386" t="n"/>
      <c r="E312" s="387" t="n"/>
      <c r="F312" s="388" t="n"/>
      <c r="G312" s="389" t="n"/>
      <c r="H312" s="388" t="n"/>
      <c r="I312" s="390" t="n"/>
      <c r="J312" s="391" t="inlineStr">
        <is>
          <t>Qs=</t>
        </is>
      </c>
      <c r="K312" s="390" t="inlineStr">
        <is>
          <t>S a</t>
        </is>
      </c>
      <c r="L312" s="388" t="inlineStr">
        <is>
          <t>L</t>
        </is>
      </c>
      <c r="M312" s="389" t="inlineStr">
        <is>
          <t>R</t>
        </is>
      </c>
      <c r="N312" s="392" t="inlineStr">
        <is>
          <t>H</t>
        </is>
      </c>
      <c r="O312" s="393" t="inlineStr">
        <is>
          <t>D  T</t>
        </is>
      </c>
      <c r="P312" s="389" t="inlineStr">
        <is>
          <t>Ze</t>
        </is>
      </c>
      <c r="Q312" s="394" t="n"/>
    </row>
    <row r="313" ht="9.949999999999999" customHeight="1" s="244">
      <c r="A313" s="395" t="inlineStr">
        <is>
          <t xml:space="preserve"> </t>
        </is>
      </c>
      <c r="C313" s="397" t="n"/>
      <c r="D313" s="397" t="n"/>
      <c r="E313" s="398" t="n"/>
      <c r="F313" s="399" t="n"/>
      <c r="G313" s="400" t="n"/>
      <c r="H313" s="401" t="n"/>
      <c r="I313" s="402" t="n"/>
      <c r="J313" s="403" t="inlineStr">
        <is>
          <t>Qs  =</t>
        </is>
      </c>
      <c r="K313" s="404" t="n">
        <v>2</v>
      </c>
      <c r="L313" s="404">
        <f>(D305+E305)*2*G305</f>
        <v/>
      </c>
      <c r="M313" s="404" t="n">
        <v>0.9</v>
      </c>
      <c r="N313" s="404" t="n">
        <v>0.67</v>
      </c>
      <c r="O313" s="381" t="n">
        <v>23</v>
      </c>
      <c r="P313" s="404" t="n">
        <v>1</v>
      </c>
      <c r="Q313" s="383">
        <f>K313*L313*M313*N313*O313*P313</f>
        <v/>
      </c>
    </row>
    <row r="314" ht="9.949999999999999" customHeight="1" s="244">
      <c r="A314" s="405" t="n"/>
      <c r="B314" s="406" t="n"/>
      <c r="C314" s="397" t="n"/>
      <c r="D314" s="397" t="n"/>
      <c r="E314" s="378" t="n"/>
      <c r="F314" s="256" t="n"/>
      <c r="G314" s="407" t="n"/>
      <c r="H314" s="397" t="n"/>
      <c r="I314" s="397" t="n"/>
      <c r="J314" s="397" t="n"/>
      <c r="K314" s="407" t="n"/>
      <c r="L314" s="408" t="n"/>
      <c r="M314" s="409" t="inlineStr">
        <is>
          <t xml:space="preserve">   TOPLAM ISI KAYBI =</t>
        </is>
      </c>
      <c r="N314" s="409" t="n"/>
      <c r="O314" s="410" t="n"/>
      <c r="P314" s="409" t="n"/>
      <c r="Q314" s="411">
        <f>Q311+Q313</f>
        <v/>
      </c>
    </row>
    <row r="315" ht="10.35" customHeight="1" s="244">
      <c r="A315" s="359" t="n"/>
      <c r="B315" s="360" t="n"/>
      <c r="C315" s="360" t="n"/>
      <c r="D315" s="360" t="n"/>
      <c r="E315" s="360" t="n"/>
      <c r="F315" s="361" t="inlineStr">
        <is>
          <t>1</t>
        </is>
      </c>
      <c r="G315" s="362" t="inlineStr">
        <is>
          <t>0</t>
        </is>
      </c>
      <c r="H315" s="360" t="inlineStr">
        <is>
          <t>1C3-03</t>
        </is>
      </c>
      <c r="I315" s="363" t="inlineStr">
        <is>
          <t>OFİS C3 MUTFAK</t>
        </is>
      </c>
      <c r="J315" s="364" t="n"/>
      <c r="K315" s="360" t="inlineStr">
        <is>
          <t>20ºC</t>
        </is>
      </c>
      <c r="L315" s="360" t="n"/>
      <c r="M315" s="360" t="n"/>
      <c r="N315" s="360" t="n"/>
      <c r="O315" s="360" t="n"/>
      <c r="P315" s="360" t="n"/>
      <c r="Q315" s="365" t="n"/>
    </row>
    <row r="316" ht="9.949999999999999" customHeight="1" s="244">
      <c r="A316" s="366" t="inlineStr">
        <is>
          <t>İDM</t>
        </is>
      </c>
      <c r="B316" s="367" t="inlineStr"/>
      <c r="C316" s="368" t="n"/>
      <c r="D316" s="369" t="n">
        <v>1.18</v>
      </c>
      <c r="E316" s="369" t="n">
        <v>3</v>
      </c>
      <c r="F316" s="370">
        <f>IF(D316=0," ",D316*E316)</f>
        <v/>
      </c>
      <c r="G316" s="371" t="n">
        <v>1</v>
      </c>
      <c r="H316" s="372" t="n"/>
      <c r="I316" s="370">
        <f>IF(F316=" "," ",F316*G316-H316)</f>
        <v/>
      </c>
      <c r="J316" s="369" t="n">
        <v>0.332</v>
      </c>
      <c r="K316" s="371" t="n">
        <v>5</v>
      </c>
      <c r="L316" s="373">
        <f>IF(I316=" "," ",I316*J316*K316)</f>
        <v/>
      </c>
      <c r="M316" s="374" t="n">
        <v>7</v>
      </c>
      <c r="N316" s="371" t="n">
        <v>0</v>
      </c>
      <c r="O316" s="374" t="n">
        <v>0</v>
      </c>
      <c r="P316" s="370">
        <f>IF(M316=" "," ",(1+(M316+N316+O316)/100))</f>
        <v/>
      </c>
      <c r="Q316" s="375">
        <f>IF(L316=" "," ",L316*P316)</f>
        <v/>
      </c>
    </row>
    <row r="317" ht="9.949999999999999" customHeight="1" s="244">
      <c r="A317" s="376" t="n"/>
      <c r="B317" s="377" t="n"/>
      <c r="C317" s="377" t="n"/>
      <c r="D317" s="378" t="n"/>
      <c r="E317" s="378" t="n"/>
      <c r="F317" s="378" t="n"/>
      <c r="G317" s="379" t="n"/>
      <c r="H317" s="378" t="n"/>
      <c r="I317" s="378" t="n"/>
      <c r="J317" s="378" t="n"/>
      <c r="K317" s="379" t="n"/>
      <c r="L317" s="380" t="n"/>
      <c r="M317" s="381" t="n"/>
      <c r="N317" s="381" t="n"/>
      <c r="O317" s="381" t="n"/>
      <c r="P317" s="382" t="n"/>
      <c r="Q317" s="383">
        <f>SUM(Q316:Q316)</f>
        <v/>
      </c>
    </row>
    <row r="318" ht="9.949999999999999" customHeight="1" s="244">
      <c r="A318" s="384" t="n"/>
      <c r="B318" s="385" t="n"/>
      <c r="C318" s="385" t="n"/>
      <c r="D318" s="386" t="n"/>
      <c r="E318" s="387" t="n"/>
      <c r="F318" s="388" t="n"/>
      <c r="G318" s="389" t="n"/>
      <c r="H318" s="388" t="n"/>
      <c r="I318" s="390" t="n"/>
      <c r="J318" s="391" t="inlineStr">
        <is>
          <t>Qs=</t>
        </is>
      </c>
      <c r="K318" s="390" t="inlineStr">
        <is>
          <t>S a</t>
        </is>
      </c>
      <c r="L318" s="388" t="inlineStr">
        <is>
          <t>L</t>
        </is>
      </c>
      <c r="M318" s="389" t="inlineStr">
        <is>
          <t>R</t>
        </is>
      </c>
      <c r="N318" s="392" t="inlineStr">
        <is>
          <t>H</t>
        </is>
      </c>
      <c r="O318" s="393" t="inlineStr">
        <is>
          <t>D  T</t>
        </is>
      </c>
      <c r="P318" s="389" t="inlineStr">
        <is>
          <t>Ze</t>
        </is>
      </c>
      <c r="Q318" s="394" t="n"/>
    </row>
    <row r="319" ht="9.949999999999999" customHeight="1" s="244">
      <c r="A319" s="395" t="inlineStr">
        <is>
          <t xml:space="preserve"> </t>
        </is>
      </c>
      <c r="C319" s="397" t="n"/>
      <c r="D319" s="397" t="n"/>
      <c r="E319" s="398" t="n"/>
      <c r="F319" s="399" t="n"/>
      <c r="G319" s="400" t="n"/>
      <c r="H319" s="401" t="n"/>
      <c r="I319" s="402" t="n"/>
      <c r="J319" s="403" t="inlineStr">
        <is>
          <t>Qs  =</t>
        </is>
      </c>
      <c r="K319" s="404" t="n">
        <v>2</v>
      </c>
      <c r="L319" s="404" t="n">
        <v>0</v>
      </c>
      <c r="M319" s="404" t="n">
        <v>0.9</v>
      </c>
      <c r="N319" s="404" t="n">
        <v>0.67</v>
      </c>
      <c r="O319" s="381" t="n">
        <v>23</v>
      </c>
      <c r="P319" s="404" t="n">
        <v>1</v>
      </c>
      <c r="Q319" s="383">
        <f>K319*L319*M319*N319*O319*P319</f>
        <v/>
      </c>
    </row>
    <row r="320" ht="9.949999999999999" customHeight="1" s="244">
      <c r="A320" s="405" t="n"/>
      <c r="B320" s="406" t="n"/>
      <c r="C320" s="397" t="n"/>
      <c r="D320" s="397" t="n"/>
      <c r="E320" s="378" t="n"/>
      <c r="F320" s="256" t="n"/>
      <c r="G320" s="407" t="n"/>
      <c r="H320" s="397" t="n"/>
      <c r="I320" s="397" t="n"/>
      <c r="J320" s="397" t="n"/>
      <c r="K320" s="407" t="n"/>
      <c r="L320" s="408" t="n"/>
      <c r="M320" s="409" t="inlineStr">
        <is>
          <t xml:space="preserve">   TOPLAM ISI KAYBI =</t>
        </is>
      </c>
      <c r="N320" s="409" t="n"/>
      <c r="O320" s="410" t="n"/>
      <c r="P320" s="409" t="n"/>
      <c r="Q320" s="411">
        <f>Q317+Q319</f>
        <v/>
      </c>
    </row>
    <row r="321" ht="10.35" customHeight="1" s="244">
      <c r="A321" s="359" t="n"/>
      <c r="B321" s="360" t="n"/>
      <c r="C321" s="360" t="n"/>
      <c r="D321" s="360" t="n"/>
      <c r="E321" s="360" t="n"/>
      <c r="F321" s="361" t="inlineStr">
        <is>
          <t>1</t>
        </is>
      </c>
      <c r="G321" s="362" t="inlineStr">
        <is>
          <t>0</t>
        </is>
      </c>
      <c r="H321" s="360" t="inlineStr">
        <is>
          <t>1C3-04</t>
        </is>
      </c>
      <c r="I321" s="363" t="inlineStr">
        <is>
          <t>OFİS C3 BANYO</t>
        </is>
      </c>
      <c r="J321" s="364" t="n"/>
      <c r="K321" s="360" t="inlineStr">
        <is>
          <t>24ºC</t>
        </is>
      </c>
      <c r="L321" s="360" t="n"/>
      <c r="M321" s="360" t="n"/>
      <c r="N321" s="360" t="n"/>
      <c r="O321" s="360" t="n"/>
      <c r="P321" s="360" t="n"/>
      <c r="Q321" s="365" t="n"/>
    </row>
    <row r="322" ht="9.949999999999999" customHeight="1" s="244">
      <c r="A322" s="366" t="inlineStr">
        <is>
          <t>İDM</t>
        </is>
      </c>
      <c r="B322" s="367" t="inlineStr"/>
      <c r="C322" s="368" t="n"/>
      <c r="D322" s="369" t="n">
        <v>1.03</v>
      </c>
      <c r="E322" s="369" t="n">
        <v>3</v>
      </c>
      <c r="F322" s="370">
        <f>IF(D322=0," ",D322*E322)</f>
        <v/>
      </c>
      <c r="G322" s="371" t="n">
        <v>1</v>
      </c>
      <c r="H322" s="372" t="n"/>
      <c r="I322" s="370">
        <f>IF(F322=" "," ",F322*G322-H322)</f>
        <v/>
      </c>
      <c r="J322" s="369" t="n">
        <v>0.332</v>
      </c>
      <c r="K322" s="371" t="n">
        <v>9</v>
      </c>
      <c r="L322" s="373">
        <f>IF(I322=" "," ",I322*J322*K322)</f>
        <v/>
      </c>
      <c r="M322" s="374" t="n">
        <v>7</v>
      </c>
      <c r="N322" s="371" t="n">
        <v>0</v>
      </c>
      <c r="O322" s="374" t="n">
        <v>0</v>
      </c>
      <c r="P322" s="370">
        <f>IF(M322=" "," ",(1+(M322+N322+O322)/100))</f>
        <v/>
      </c>
      <c r="Q322" s="375">
        <f>IF(L322=" "," ",L322*P322)</f>
        <v/>
      </c>
    </row>
    <row r="323" ht="9.949999999999999" customHeight="1" s="244">
      <c r="A323" s="376" t="n"/>
      <c r="B323" s="377" t="n"/>
      <c r="C323" s="377" t="n"/>
      <c r="D323" s="378" t="n"/>
      <c r="E323" s="378" t="n"/>
      <c r="F323" s="378" t="n"/>
      <c r="G323" s="379" t="n"/>
      <c r="H323" s="378" t="n"/>
      <c r="I323" s="378" t="n"/>
      <c r="J323" s="378" t="n"/>
      <c r="K323" s="379" t="n"/>
      <c r="L323" s="380" t="n"/>
      <c r="M323" s="381" t="n"/>
      <c r="N323" s="381" t="n"/>
      <c r="O323" s="381" t="n"/>
      <c r="P323" s="382" t="n"/>
      <c r="Q323" s="383">
        <f>SUM(Q322:Q322)</f>
        <v/>
      </c>
    </row>
    <row r="324" ht="9.949999999999999" customHeight="1" s="244">
      <c r="A324" s="384" t="n"/>
      <c r="B324" s="385" t="n"/>
      <c r="C324" s="385" t="n"/>
      <c r="D324" s="386" t="n"/>
      <c r="E324" s="387" t="n"/>
      <c r="F324" s="388" t="n"/>
      <c r="G324" s="389" t="n"/>
      <c r="H324" s="388" t="n"/>
      <c r="I324" s="390" t="n"/>
      <c r="J324" s="391" t="inlineStr">
        <is>
          <t>Qs=</t>
        </is>
      </c>
      <c r="K324" s="390" t="inlineStr">
        <is>
          <t>S a</t>
        </is>
      </c>
      <c r="L324" s="388" t="inlineStr">
        <is>
          <t>L</t>
        </is>
      </c>
      <c r="M324" s="389" t="inlineStr">
        <is>
          <t>R</t>
        </is>
      </c>
      <c r="N324" s="392" t="inlineStr">
        <is>
          <t>H</t>
        </is>
      </c>
      <c r="O324" s="393" t="inlineStr">
        <is>
          <t>D  T</t>
        </is>
      </c>
      <c r="P324" s="389" t="inlineStr">
        <is>
          <t>Ze</t>
        </is>
      </c>
      <c r="Q324" s="394" t="n"/>
    </row>
    <row r="325" ht="9.949999999999999" customHeight="1" s="244">
      <c r="A325" s="395" t="inlineStr">
        <is>
          <t xml:space="preserve"> </t>
        </is>
      </c>
      <c r="C325" s="397" t="n"/>
      <c r="D325" s="397" t="n"/>
      <c r="E325" s="398" t="n"/>
      <c r="F325" s="399" t="n"/>
      <c r="G325" s="400" t="n"/>
      <c r="H325" s="401" t="n"/>
      <c r="I325" s="402" t="n"/>
      <c r="J325" s="403" t="inlineStr">
        <is>
          <t>Qs  =</t>
        </is>
      </c>
      <c r="K325" s="404" t="n">
        <v>2</v>
      </c>
      <c r="L325" s="404" t="n">
        <v>0</v>
      </c>
      <c r="M325" s="404" t="n">
        <v>0.9</v>
      </c>
      <c r="N325" s="404" t="n">
        <v>0.67</v>
      </c>
      <c r="O325" s="381" t="n">
        <v>27</v>
      </c>
      <c r="P325" s="404" t="n">
        <v>1</v>
      </c>
      <c r="Q325" s="383">
        <f>K325*L325*M325*N325*O325*P325</f>
        <v/>
      </c>
    </row>
    <row r="326" ht="9.949999999999999" customHeight="1" s="244">
      <c r="A326" s="405" t="n"/>
      <c r="B326" s="406" t="n"/>
      <c r="C326" s="397" t="n"/>
      <c r="D326" s="397" t="n"/>
      <c r="E326" s="378" t="n"/>
      <c r="F326" s="256" t="n"/>
      <c r="G326" s="407" t="n"/>
      <c r="H326" s="397" t="n"/>
      <c r="I326" s="397" t="n"/>
      <c r="J326" s="397" t="n"/>
      <c r="K326" s="407" t="n"/>
      <c r="L326" s="408" t="n"/>
      <c r="M326" s="409" t="inlineStr">
        <is>
          <t xml:space="preserve">   TOPLAM ISI KAYBI =</t>
        </is>
      </c>
      <c r="N326" s="409" t="n"/>
      <c r="O326" s="410" t="n"/>
      <c r="P326" s="409" t="n"/>
      <c r="Q326" s="411">
        <f>Q323+Q325</f>
        <v/>
      </c>
    </row>
    <row r="327" ht="10.35" customHeight="1" s="244">
      <c r="A327" s="359" t="n"/>
      <c r="B327" s="360" t="n"/>
      <c r="C327" s="360" t="n"/>
      <c r="D327" s="360" t="n"/>
      <c r="E327" s="360" t="n"/>
      <c r="F327" s="361" t="inlineStr">
        <is>
          <t>1</t>
        </is>
      </c>
      <c r="G327" s="362" t="inlineStr">
        <is>
          <t>0</t>
        </is>
      </c>
      <c r="H327" s="360" t="inlineStr">
        <is>
          <t>1D1-01</t>
        </is>
      </c>
      <c r="I327" s="363" t="inlineStr">
        <is>
          <t>OFİS D1 ODA</t>
        </is>
      </c>
      <c r="J327" s="364" t="n"/>
      <c r="K327" s="360" t="inlineStr">
        <is>
          <t>20ºC</t>
        </is>
      </c>
      <c r="L327" s="360" t="n"/>
      <c r="M327" s="360" t="n"/>
      <c r="N327" s="360" t="n"/>
      <c r="O327" s="360" t="n"/>
      <c r="P327" s="360" t="n"/>
      <c r="Q327" s="365" t="n"/>
    </row>
    <row r="328" ht="9.949999999999999" customHeight="1" s="244">
      <c r="A328" s="366" t="inlineStr">
        <is>
          <t>İDM</t>
        </is>
      </c>
      <c r="B328" s="367" t="inlineStr"/>
      <c r="C328" s="368" t="n"/>
      <c r="D328" s="369" t="n">
        <v>5.01</v>
      </c>
      <c r="E328" s="369" t="n">
        <v>3</v>
      </c>
      <c r="F328" s="370">
        <f>IF(D328=0," ",D328*E328)</f>
        <v/>
      </c>
      <c r="G328" s="371" t="n">
        <v>1</v>
      </c>
      <c r="H328" s="372" t="n"/>
      <c r="I328" s="370">
        <f>IF(F328=" "," ",F328*G328-H328)</f>
        <v/>
      </c>
      <c r="J328" s="369" t="n">
        <v>0.332</v>
      </c>
      <c r="K328" s="371" t="n">
        <v>10</v>
      </c>
      <c r="L328" s="373">
        <f>IF(I328=" "," ",I328*J328*K328)</f>
        <v/>
      </c>
      <c r="M328" s="374" t="n">
        <v>7</v>
      </c>
      <c r="N328" s="371" t="n">
        <v>0</v>
      </c>
      <c r="O328" s="374" t="n">
        <v>0</v>
      </c>
      <c r="P328" s="370">
        <f>IF(M328=" "," ",(1+(M328+N328+O328)/100))</f>
        <v/>
      </c>
      <c r="Q328" s="375">
        <f>IF(L328=" "," ",L328*P328)</f>
        <v/>
      </c>
    </row>
    <row r="329" ht="9.949999999999999" customHeight="1" s="244">
      <c r="A329" s="366" t="inlineStr">
        <is>
          <t>İDM</t>
        </is>
      </c>
      <c r="B329" s="367" t="inlineStr"/>
      <c r="C329" s="368" t="n"/>
      <c r="D329" s="369" t="n">
        <v>2.28</v>
      </c>
      <c r="E329" s="369" t="n">
        <v>3</v>
      </c>
      <c r="F329" s="370">
        <f>IF(D329=0," ",D329*E329)</f>
        <v/>
      </c>
      <c r="G329" s="371" t="n">
        <v>1</v>
      </c>
      <c r="H329" s="372" t="n"/>
      <c r="I329" s="370">
        <f>IF(F329=" "," ",F329*G329-H329)</f>
        <v/>
      </c>
      <c r="J329" s="369" t="n">
        <v>0.332</v>
      </c>
      <c r="K329" s="371" t="n">
        <v>10</v>
      </c>
      <c r="L329" s="373">
        <f>IF(I329=" "," ",I329*J329*K329)</f>
        <v/>
      </c>
      <c r="M329" s="374" t="n">
        <v>7</v>
      </c>
      <c r="N329" s="371" t="n">
        <v>0</v>
      </c>
      <c r="O329" s="374" t="n">
        <v>0</v>
      </c>
      <c r="P329" s="370">
        <f>IF(M329=" "," ",(1+(M329+N329+O329)/100))</f>
        <v/>
      </c>
      <c r="Q329" s="375">
        <f>IF(L329=" "," ",L329*P329)</f>
        <v/>
      </c>
    </row>
    <row r="330" ht="9.949999999999999" customHeight="1" s="244">
      <c r="A330" s="376" t="n"/>
      <c r="B330" s="377" t="n"/>
      <c r="C330" s="377" t="n"/>
      <c r="D330" s="378" t="n"/>
      <c r="E330" s="378" t="n"/>
      <c r="F330" s="378" t="n"/>
      <c r="G330" s="379" t="n"/>
      <c r="H330" s="378" t="n"/>
      <c r="I330" s="378" t="n"/>
      <c r="J330" s="378" t="n"/>
      <c r="K330" s="379" t="n"/>
      <c r="L330" s="380" t="n"/>
      <c r="M330" s="381" t="n"/>
      <c r="N330" s="381" t="n"/>
      <c r="O330" s="381" t="n"/>
      <c r="P330" s="382" t="n"/>
      <c r="Q330" s="383">
        <f>SUM(Q328:Q329)</f>
        <v/>
      </c>
    </row>
    <row r="331" ht="9.949999999999999" customHeight="1" s="244">
      <c r="A331" s="384" t="n"/>
      <c r="B331" s="385" t="n"/>
      <c r="C331" s="385" t="n"/>
      <c r="D331" s="386" t="n"/>
      <c r="E331" s="387" t="n"/>
      <c r="F331" s="388" t="n"/>
      <c r="G331" s="389" t="n"/>
      <c r="H331" s="388" t="n"/>
      <c r="I331" s="390" t="n"/>
      <c r="J331" s="391" t="inlineStr">
        <is>
          <t>Qs=</t>
        </is>
      </c>
      <c r="K331" s="390" t="inlineStr">
        <is>
          <t>S a</t>
        </is>
      </c>
      <c r="L331" s="388" t="inlineStr">
        <is>
          <t>L</t>
        </is>
      </c>
      <c r="M331" s="389" t="inlineStr">
        <is>
          <t>R</t>
        </is>
      </c>
      <c r="N331" s="392" t="inlineStr">
        <is>
          <t>H</t>
        </is>
      </c>
      <c r="O331" s="393" t="inlineStr">
        <is>
          <t>D  T</t>
        </is>
      </c>
      <c r="P331" s="389" t="inlineStr">
        <is>
          <t>Ze</t>
        </is>
      </c>
      <c r="Q331" s="394" t="n"/>
    </row>
    <row r="332" ht="9.949999999999999" customHeight="1" s="244">
      <c r="A332" s="395" t="inlineStr">
        <is>
          <t xml:space="preserve"> </t>
        </is>
      </c>
      <c r="C332" s="397" t="n"/>
      <c r="D332" s="397" t="n"/>
      <c r="E332" s="398" t="n"/>
      <c r="F332" s="399" t="n"/>
      <c r="G332" s="400" t="n"/>
      <c r="H332" s="401" t="n"/>
      <c r="I332" s="402" t="n"/>
      <c r="J332" s="403" t="inlineStr">
        <is>
          <t>Qs  =</t>
        </is>
      </c>
      <c r="K332" s="404" t="n">
        <v>2</v>
      </c>
      <c r="L332" s="404" t="n">
        <v>0</v>
      </c>
      <c r="M332" s="404" t="n">
        <v>0.9</v>
      </c>
      <c r="N332" s="404" t="n">
        <v>0.67</v>
      </c>
      <c r="O332" s="381" t="n">
        <v>23</v>
      </c>
      <c r="P332" s="404" t="n">
        <v>1</v>
      </c>
      <c r="Q332" s="383">
        <f>K332*L332*M332*N332*O332*P332</f>
        <v/>
      </c>
    </row>
    <row r="333" ht="9.949999999999999" customHeight="1" s="244">
      <c r="A333" s="405" t="n"/>
      <c r="B333" s="406" t="n"/>
      <c r="C333" s="397" t="n"/>
      <c r="D333" s="397" t="n"/>
      <c r="E333" s="378" t="n"/>
      <c r="F333" s="256" t="n"/>
      <c r="G333" s="407" t="n"/>
      <c r="H333" s="397" t="n"/>
      <c r="I333" s="397" t="n"/>
      <c r="J333" s="397" t="n"/>
      <c r="K333" s="407" t="n"/>
      <c r="L333" s="408" t="n"/>
      <c r="M333" s="409" t="inlineStr">
        <is>
          <t xml:space="preserve">   TOPLAM ISI KAYBI =</t>
        </is>
      </c>
      <c r="N333" s="409" t="n"/>
      <c r="O333" s="410" t="n"/>
      <c r="P333" s="409" t="n"/>
      <c r="Q333" s="411">
        <f>Q330+Q332</f>
        <v/>
      </c>
    </row>
    <row r="334" ht="10.35" customHeight="1" s="244">
      <c r="A334" s="359" t="n"/>
      <c r="B334" s="360" t="n"/>
      <c r="C334" s="360" t="n"/>
      <c r="D334" s="360" t="n"/>
      <c r="E334" s="360" t="n"/>
      <c r="F334" s="361" t="inlineStr">
        <is>
          <t>1</t>
        </is>
      </c>
      <c r="G334" s="362" t="inlineStr">
        <is>
          <t>0</t>
        </is>
      </c>
      <c r="H334" s="360" t="inlineStr">
        <is>
          <t>1D1-02</t>
        </is>
      </c>
      <c r="I334" s="363" t="inlineStr">
        <is>
          <t>OFİS D1 GİRİŞ HOLÜ</t>
        </is>
      </c>
      <c r="J334" s="364" t="n"/>
      <c r="K334" s="360" t="inlineStr">
        <is>
          <t>20ºC</t>
        </is>
      </c>
      <c r="L334" s="360" t="n"/>
      <c r="M334" s="360" t="n"/>
      <c r="N334" s="360" t="n"/>
      <c r="O334" s="360" t="n"/>
      <c r="P334" s="360" t="n"/>
      <c r="Q334" s="365" t="n"/>
    </row>
    <row r="335" ht="9.949999999999999" customHeight="1" s="244">
      <c r="A335" s="366" t="inlineStr">
        <is>
          <t>İDM</t>
        </is>
      </c>
      <c r="B335" s="367" t="inlineStr"/>
      <c r="C335" s="368" t="n"/>
      <c r="D335" s="369" t="n">
        <v>2.73</v>
      </c>
      <c r="E335" s="369" t="n">
        <v>3</v>
      </c>
      <c r="F335" s="370">
        <f>IF(D335=0," ",D335*E335)</f>
        <v/>
      </c>
      <c r="G335" s="371" t="n">
        <v>1</v>
      </c>
      <c r="H335" s="372" t="n"/>
      <c r="I335" s="370">
        <f>IF(F335=" "," ",F335*G335-H335)</f>
        <v/>
      </c>
      <c r="J335" s="369" t="n">
        <v>0.332</v>
      </c>
      <c r="K335" s="371" t="n">
        <v>10</v>
      </c>
      <c r="L335" s="373">
        <f>IF(I335=" "," ",I335*J335*K335)</f>
        <v/>
      </c>
      <c r="M335" s="374" t="n">
        <v>7</v>
      </c>
      <c r="N335" s="371" t="n">
        <v>0</v>
      </c>
      <c r="O335" s="374" t="n">
        <v>0</v>
      </c>
      <c r="P335" s="370">
        <f>IF(M335=" "," ",(1+(M335+N335+O335)/100))</f>
        <v/>
      </c>
      <c r="Q335" s="375">
        <f>IF(L335=" "," ",L335*P335)</f>
        <v/>
      </c>
    </row>
    <row r="336" ht="9.949999999999999" customHeight="1" s="244">
      <c r="A336" s="366" t="inlineStr">
        <is>
          <t>İDM</t>
        </is>
      </c>
      <c r="B336" s="367" t="inlineStr"/>
      <c r="C336" s="368" t="n"/>
      <c r="D336" s="369" t="n">
        <v>4.15</v>
      </c>
      <c r="E336" s="369" t="n">
        <v>3</v>
      </c>
      <c r="F336" s="370">
        <f>IF(D336=0," ",D336*E336)</f>
        <v/>
      </c>
      <c r="G336" s="371" t="n">
        <v>1</v>
      </c>
      <c r="H336" s="372" t="n"/>
      <c r="I336" s="370">
        <f>IF(F336=" "," ",F336*G336-H336)</f>
        <v/>
      </c>
      <c r="J336" s="369" t="n">
        <v>0.332</v>
      </c>
      <c r="K336" s="371" t="n">
        <v>10</v>
      </c>
      <c r="L336" s="373">
        <f>IF(I336=" "," ",I336*J336*K336)</f>
        <v/>
      </c>
      <c r="M336" s="374" t="n">
        <v>7</v>
      </c>
      <c r="N336" s="371" t="n">
        <v>0</v>
      </c>
      <c r="O336" s="374" t="n">
        <v>0</v>
      </c>
      <c r="P336" s="370">
        <f>IF(M336=" "," ",(1+(M336+N336+O336)/100))</f>
        <v/>
      </c>
      <c r="Q336" s="375">
        <f>IF(L336=" "," ",L336*P336)</f>
        <v/>
      </c>
    </row>
    <row r="337" ht="9.949999999999999" customHeight="1" s="244">
      <c r="A337" s="366" t="inlineStr">
        <is>
          <t>İDM</t>
        </is>
      </c>
      <c r="B337" s="367" t="inlineStr"/>
      <c r="C337" s="368" t="n"/>
      <c r="D337" s="369" t="n">
        <v>1.54</v>
      </c>
      <c r="E337" s="369" t="n">
        <v>3</v>
      </c>
      <c r="F337" s="370">
        <f>IF(D337=0," ",D337*E337)</f>
        <v/>
      </c>
      <c r="G337" s="371" t="n">
        <v>1</v>
      </c>
      <c r="H337" s="372" t="n"/>
      <c r="I337" s="370">
        <f>IF(F337=" "," ",F337*G337-H337)</f>
        <v/>
      </c>
      <c r="J337" s="369" t="n">
        <v>0.332</v>
      </c>
      <c r="K337" s="371" t="n">
        <v>10</v>
      </c>
      <c r="L337" s="373">
        <f>IF(I337=" "," ",I337*J337*K337)</f>
        <v/>
      </c>
      <c r="M337" s="374" t="n">
        <v>7</v>
      </c>
      <c r="N337" s="371" t="n">
        <v>0</v>
      </c>
      <c r="O337" s="374" t="n">
        <v>0</v>
      </c>
      <c r="P337" s="370">
        <f>IF(M337=" "," ",(1+(M337+N337+O337)/100))</f>
        <v/>
      </c>
      <c r="Q337" s="375">
        <f>IF(L337=" "," ",L337*P337)</f>
        <v/>
      </c>
    </row>
    <row r="338" ht="9.949999999999999" customHeight="1" s="244">
      <c r="A338" s="376" t="n"/>
      <c r="B338" s="377" t="n"/>
      <c r="C338" s="377" t="n"/>
      <c r="D338" s="378" t="n"/>
      <c r="E338" s="378" t="n"/>
      <c r="F338" s="378" t="n"/>
      <c r="G338" s="379" t="n"/>
      <c r="H338" s="378" t="n"/>
      <c r="I338" s="378" t="n"/>
      <c r="J338" s="378" t="n"/>
      <c r="K338" s="379" t="n"/>
      <c r="L338" s="380" t="n"/>
      <c r="M338" s="381" t="n"/>
      <c r="N338" s="381" t="n"/>
      <c r="O338" s="381" t="n"/>
      <c r="P338" s="382" t="n"/>
      <c r="Q338" s="383">
        <f>SUM(Q335:Q337)</f>
        <v/>
      </c>
    </row>
    <row r="339" ht="9.949999999999999" customHeight="1" s="244">
      <c r="A339" s="384" t="n"/>
      <c r="B339" s="385" t="n"/>
      <c r="C339" s="385" t="n"/>
      <c r="D339" s="386" t="n"/>
      <c r="E339" s="387" t="n"/>
      <c r="F339" s="388" t="n"/>
      <c r="G339" s="389" t="n"/>
      <c r="H339" s="388" t="n"/>
      <c r="I339" s="390" t="n"/>
      <c r="J339" s="391" t="inlineStr">
        <is>
          <t>Qs=</t>
        </is>
      </c>
      <c r="K339" s="390" t="inlineStr">
        <is>
          <t>S a</t>
        </is>
      </c>
      <c r="L339" s="388" t="inlineStr">
        <is>
          <t>L</t>
        </is>
      </c>
      <c r="M339" s="389" t="inlineStr">
        <is>
          <t>R</t>
        </is>
      </c>
      <c r="N339" s="392" t="inlineStr">
        <is>
          <t>H</t>
        </is>
      </c>
      <c r="O339" s="393" t="inlineStr">
        <is>
          <t>D  T</t>
        </is>
      </c>
      <c r="P339" s="389" t="inlineStr">
        <is>
          <t>Ze</t>
        </is>
      </c>
      <c r="Q339" s="394" t="n"/>
    </row>
    <row r="340" ht="9.949999999999999" customHeight="1" s="244">
      <c r="A340" s="395" t="inlineStr">
        <is>
          <t xml:space="preserve"> </t>
        </is>
      </c>
      <c r="C340" s="397" t="n"/>
      <c r="D340" s="397" t="n"/>
      <c r="E340" s="398" t="n"/>
      <c r="F340" s="399" t="n"/>
      <c r="G340" s="400" t="n"/>
      <c r="H340" s="401" t="n"/>
      <c r="I340" s="402" t="n"/>
      <c r="J340" s="403" t="inlineStr">
        <is>
          <t>Qs  =</t>
        </is>
      </c>
      <c r="K340" s="404" t="n">
        <v>2</v>
      </c>
      <c r="L340" s="404" t="n">
        <v>0</v>
      </c>
      <c r="M340" s="404" t="n">
        <v>0.9</v>
      </c>
      <c r="N340" s="404" t="n">
        <v>0.67</v>
      </c>
      <c r="O340" s="381" t="n">
        <v>23</v>
      </c>
      <c r="P340" s="404" t="n">
        <v>1</v>
      </c>
      <c r="Q340" s="383">
        <f>K340*L340*M340*N340*O340*P340</f>
        <v/>
      </c>
    </row>
    <row r="341" ht="9.949999999999999" customHeight="1" s="244">
      <c r="A341" s="405" t="n"/>
      <c r="B341" s="406" t="n"/>
      <c r="C341" s="397" t="n"/>
      <c r="D341" s="397" t="n"/>
      <c r="E341" s="378" t="n"/>
      <c r="F341" s="256" t="n"/>
      <c r="G341" s="407" t="n"/>
      <c r="H341" s="397" t="n"/>
      <c r="I341" s="397" t="n"/>
      <c r="J341" s="397" t="n"/>
      <c r="K341" s="407" t="n"/>
      <c r="L341" s="408" t="n"/>
      <c r="M341" s="409" t="inlineStr">
        <is>
          <t xml:space="preserve">   TOPLAM ISI KAYBI =</t>
        </is>
      </c>
      <c r="N341" s="409" t="n"/>
      <c r="O341" s="410" t="n"/>
      <c r="P341" s="409" t="n"/>
      <c r="Q341" s="411">
        <f>Q338+Q340</f>
        <v/>
      </c>
    </row>
    <row r="342" ht="10.35" customHeight="1" s="244">
      <c r="A342" s="359" t="n"/>
      <c r="B342" s="360" t="n"/>
      <c r="C342" s="360" t="n"/>
      <c r="D342" s="360" t="n"/>
      <c r="E342" s="360" t="n"/>
      <c r="F342" s="361" t="inlineStr">
        <is>
          <t>1</t>
        </is>
      </c>
      <c r="G342" s="362" t="inlineStr">
        <is>
          <t>0</t>
        </is>
      </c>
      <c r="H342" s="360" t="inlineStr">
        <is>
          <t>1D1-03</t>
        </is>
      </c>
      <c r="I342" s="363" t="inlineStr">
        <is>
          <t>OFİS D1 MUTFAK</t>
        </is>
      </c>
      <c r="J342" s="364" t="n"/>
      <c r="K342" s="360" t="inlineStr">
        <is>
          <t>20ºC</t>
        </is>
      </c>
      <c r="L342" s="360" t="n"/>
      <c r="M342" s="360" t="n"/>
      <c r="N342" s="360" t="n"/>
      <c r="O342" s="360" t="n"/>
      <c r="P342" s="360" t="n"/>
      <c r="Q342" s="365" t="n"/>
    </row>
    <row r="343" ht="9.949999999999999" customHeight="1" s="244">
      <c r="A343" s="376" t="n"/>
      <c r="B343" s="377" t="n"/>
      <c r="C343" s="377" t="n"/>
      <c r="D343" s="378" t="n"/>
      <c r="E343" s="378" t="n"/>
      <c r="F343" s="378" t="n"/>
      <c r="G343" s="379" t="n"/>
      <c r="H343" s="378" t="n"/>
      <c r="I343" s="378" t="n"/>
      <c r="J343" s="378" t="n"/>
      <c r="K343" s="379" t="n"/>
      <c r="L343" s="380" t="n"/>
      <c r="M343" s="381" t="n"/>
      <c r="N343" s="381" t="n"/>
      <c r="O343" s="381" t="n"/>
      <c r="P343" s="382" t="n"/>
      <c r="Q343" s="383" t="n">
        <v>0</v>
      </c>
    </row>
    <row r="344" ht="9.949999999999999" customHeight="1" s="244">
      <c r="A344" s="384" t="n"/>
      <c r="B344" s="385" t="n"/>
      <c r="C344" s="385" t="n"/>
      <c r="D344" s="386" t="n"/>
      <c r="E344" s="387" t="n"/>
      <c r="F344" s="388" t="n"/>
      <c r="G344" s="389" t="n"/>
      <c r="H344" s="388" t="n"/>
      <c r="I344" s="390" t="n"/>
      <c r="J344" s="391" t="inlineStr">
        <is>
          <t>Qs=</t>
        </is>
      </c>
      <c r="K344" s="390" t="inlineStr">
        <is>
          <t>S a</t>
        </is>
      </c>
      <c r="L344" s="388" t="inlineStr">
        <is>
          <t>L</t>
        </is>
      </c>
      <c r="M344" s="389" t="inlineStr">
        <is>
          <t>R</t>
        </is>
      </c>
      <c r="N344" s="392" t="inlineStr">
        <is>
          <t>H</t>
        </is>
      </c>
      <c r="O344" s="393" t="inlineStr">
        <is>
          <t>D  T</t>
        </is>
      </c>
      <c r="P344" s="389" t="inlineStr">
        <is>
          <t>Ze</t>
        </is>
      </c>
      <c r="Q344" s="394" t="n"/>
    </row>
    <row r="345" ht="9.949999999999999" customHeight="1" s="244">
      <c r="A345" s="395" t="inlineStr">
        <is>
          <t xml:space="preserve"> </t>
        </is>
      </c>
      <c r="C345" s="397" t="n"/>
      <c r="D345" s="397" t="n"/>
      <c r="E345" s="398" t="n"/>
      <c r="F345" s="399" t="n"/>
      <c r="G345" s="400" t="n"/>
      <c r="H345" s="401" t="n"/>
      <c r="I345" s="402" t="n"/>
      <c r="J345" s="403" t="inlineStr">
        <is>
          <t>Qs  =</t>
        </is>
      </c>
      <c r="K345" s="404" t="n">
        <v>2</v>
      </c>
      <c r="L345" s="404" t="n">
        <v>0</v>
      </c>
      <c r="M345" s="404" t="n">
        <v>0.9</v>
      </c>
      <c r="N345" s="404" t="n">
        <v>0.67</v>
      </c>
      <c r="O345" s="381" t="n">
        <v>23</v>
      </c>
      <c r="P345" s="404" t="n">
        <v>1</v>
      </c>
      <c r="Q345" s="383">
        <f>K345*L345*M345*N345*O345*P345</f>
        <v/>
      </c>
    </row>
    <row r="346" ht="9.949999999999999" customHeight="1" s="244">
      <c r="A346" s="405" t="n"/>
      <c r="B346" s="406" t="n"/>
      <c r="C346" s="397" t="n"/>
      <c r="D346" s="397" t="n"/>
      <c r="E346" s="378" t="n"/>
      <c r="F346" s="256" t="n"/>
      <c r="G346" s="407" t="n"/>
      <c r="H346" s="397" t="n"/>
      <c r="I346" s="397" t="n"/>
      <c r="J346" s="397" t="n"/>
      <c r="K346" s="407" t="n"/>
      <c r="L346" s="408" t="n"/>
      <c r="M346" s="409" t="inlineStr">
        <is>
          <t xml:space="preserve">   TOPLAM ISI KAYBI =</t>
        </is>
      </c>
      <c r="N346" s="409" t="n"/>
      <c r="O346" s="410" t="n"/>
      <c r="P346" s="409" t="n"/>
      <c r="Q346" s="411">
        <f>Q343+Q345</f>
        <v/>
      </c>
    </row>
    <row r="347" ht="10.35" customHeight="1" s="244">
      <c r="A347" s="359" t="n"/>
      <c r="B347" s="360" t="n"/>
      <c r="C347" s="360" t="n"/>
      <c r="D347" s="360" t="n"/>
      <c r="E347" s="360" t="n"/>
      <c r="F347" s="361" t="inlineStr">
        <is>
          <t>1</t>
        </is>
      </c>
      <c r="G347" s="362" t="inlineStr">
        <is>
          <t>0</t>
        </is>
      </c>
      <c r="H347" s="360" t="inlineStr">
        <is>
          <t>1D1-04</t>
        </is>
      </c>
      <c r="I347" s="363" t="inlineStr">
        <is>
          <t>OFİS D1 BANYO</t>
        </is>
      </c>
      <c r="J347" s="364" t="n"/>
      <c r="K347" s="360" t="inlineStr">
        <is>
          <t>24ºC</t>
        </is>
      </c>
      <c r="L347" s="360" t="n"/>
      <c r="M347" s="360" t="n"/>
      <c r="N347" s="360" t="n"/>
      <c r="O347" s="360" t="n"/>
      <c r="P347" s="360" t="n"/>
      <c r="Q347" s="365" t="n"/>
    </row>
    <row r="348" ht="9.949999999999999" customHeight="1" s="244">
      <c r="A348" s="366" t="inlineStr">
        <is>
          <t>İDM</t>
        </is>
      </c>
      <c r="B348" s="367" t="inlineStr"/>
      <c r="C348" s="368" t="n"/>
      <c r="D348" s="369" t="n">
        <v>0.29</v>
      </c>
      <c r="E348" s="369" t="n">
        <v>3</v>
      </c>
      <c r="F348" s="370">
        <f>IF(D348=0," ",D348*E348)</f>
        <v/>
      </c>
      <c r="G348" s="371" t="n">
        <v>1</v>
      </c>
      <c r="H348" s="372" t="n"/>
      <c r="I348" s="370">
        <f>IF(F348=" "," ",F348*G348-H348)</f>
        <v/>
      </c>
      <c r="J348" s="369" t="n">
        <v>0.332</v>
      </c>
      <c r="K348" s="371" t="n">
        <v>14</v>
      </c>
      <c r="L348" s="373">
        <f>IF(I348=" "," ",I348*J348*K348)</f>
        <v/>
      </c>
      <c r="M348" s="374" t="n">
        <v>7</v>
      </c>
      <c r="N348" s="371" t="n">
        <v>0</v>
      </c>
      <c r="O348" s="374" t="n">
        <v>0</v>
      </c>
      <c r="P348" s="370">
        <f>IF(M348=" "," ",(1+(M348+N348+O348)/100))</f>
        <v/>
      </c>
      <c r="Q348" s="375">
        <f>IF(L348=" "," ",L348*P348)</f>
        <v/>
      </c>
    </row>
    <row r="349" ht="9.949999999999999" customHeight="1" s="244">
      <c r="A349" s="376" t="n"/>
      <c r="B349" s="377" t="n"/>
      <c r="C349" s="377" t="n"/>
      <c r="D349" s="378" t="n"/>
      <c r="E349" s="378" t="n"/>
      <c r="F349" s="378" t="n"/>
      <c r="G349" s="379" t="n"/>
      <c r="H349" s="378" t="n"/>
      <c r="I349" s="378" t="n"/>
      <c r="J349" s="378" t="n"/>
      <c r="K349" s="379" t="n"/>
      <c r="L349" s="380" t="n"/>
      <c r="M349" s="381" t="n"/>
      <c r="N349" s="381" t="n"/>
      <c r="O349" s="381" t="n"/>
      <c r="P349" s="382" t="n"/>
      <c r="Q349" s="383">
        <f>SUM(Q348:Q348)</f>
        <v/>
      </c>
    </row>
    <row r="350" ht="9.949999999999999" customHeight="1" s="244">
      <c r="A350" s="384" t="n"/>
      <c r="B350" s="385" t="n"/>
      <c r="C350" s="385" t="n"/>
      <c r="D350" s="386" t="n"/>
      <c r="E350" s="387" t="n"/>
      <c r="F350" s="388" t="n"/>
      <c r="G350" s="389" t="n"/>
      <c r="H350" s="388" t="n"/>
      <c r="I350" s="390" t="n"/>
      <c r="J350" s="391" t="inlineStr">
        <is>
          <t>Qs=</t>
        </is>
      </c>
      <c r="K350" s="390" t="inlineStr">
        <is>
          <t>S a</t>
        </is>
      </c>
      <c r="L350" s="388" t="inlineStr">
        <is>
          <t>L</t>
        </is>
      </c>
      <c r="M350" s="389" t="inlineStr">
        <is>
          <t>R</t>
        </is>
      </c>
      <c r="N350" s="392" t="inlineStr">
        <is>
          <t>H</t>
        </is>
      </c>
      <c r="O350" s="393" t="inlineStr">
        <is>
          <t>D  T</t>
        </is>
      </c>
      <c r="P350" s="389" t="inlineStr">
        <is>
          <t>Ze</t>
        </is>
      </c>
      <c r="Q350" s="394" t="n"/>
    </row>
    <row r="351" ht="9.949999999999999" customHeight="1" s="244">
      <c r="A351" s="395" t="inlineStr">
        <is>
          <t xml:space="preserve"> </t>
        </is>
      </c>
      <c r="C351" s="397" t="n"/>
      <c r="D351" s="397" t="n"/>
      <c r="E351" s="398" t="n"/>
      <c r="F351" s="399" t="n"/>
      <c r="G351" s="400" t="n"/>
      <c r="H351" s="401" t="n"/>
      <c r="I351" s="402" t="n"/>
      <c r="J351" s="403" t="inlineStr">
        <is>
          <t>Qs  =</t>
        </is>
      </c>
      <c r="K351" s="404" t="n">
        <v>2</v>
      </c>
      <c r="L351" s="404" t="n">
        <v>0</v>
      </c>
      <c r="M351" s="404" t="n">
        <v>0.9</v>
      </c>
      <c r="N351" s="404" t="n">
        <v>0.67</v>
      </c>
      <c r="O351" s="381" t="n">
        <v>27</v>
      </c>
      <c r="P351" s="404" t="n">
        <v>1</v>
      </c>
      <c r="Q351" s="383">
        <f>K351*L351*M351*N351*O351*P351</f>
        <v/>
      </c>
    </row>
    <row r="352" ht="9.949999999999999" customHeight="1" s="244">
      <c r="A352" s="405" t="n"/>
      <c r="B352" s="406" t="n"/>
      <c r="C352" s="397" t="n"/>
      <c r="D352" s="397" t="n"/>
      <c r="E352" s="378" t="n"/>
      <c r="F352" s="256" t="n"/>
      <c r="G352" s="407" t="n"/>
      <c r="H352" s="397" t="n"/>
      <c r="I352" s="397" t="n"/>
      <c r="J352" s="397" t="n"/>
      <c r="K352" s="407" t="n"/>
      <c r="L352" s="408" t="n"/>
      <c r="M352" s="409" t="inlineStr">
        <is>
          <t xml:space="preserve">   TOPLAM ISI KAYBI =</t>
        </is>
      </c>
      <c r="N352" s="409" t="n"/>
      <c r="O352" s="410" t="n"/>
      <c r="P352" s="409" t="n"/>
      <c r="Q352" s="411">
        <f>Q349+Q351</f>
        <v/>
      </c>
    </row>
    <row r="353" ht="10.35" customHeight="1" s="244">
      <c r="A353" s="359" t="n"/>
      <c r="B353" s="360" t="n"/>
      <c r="C353" s="360" t="n"/>
      <c r="D353" s="360" t="n"/>
      <c r="E353" s="360" t="n"/>
      <c r="F353" s="361" t="inlineStr">
        <is>
          <t>1</t>
        </is>
      </c>
      <c r="G353" s="362" t="inlineStr">
        <is>
          <t>0</t>
        </is>
      </c>
      <c r="H353" s="360" t="inlineStr">
        <is>
          <t>1D2-01</t>
        </is>
      </c>
      <c r="I353" s="363" t="inlineStr">
        <is>
          <t>OFİS D2 ODA</t>
        </is>
      </c>
      <c r="J353" s="364" t="n"/>
      <c r="K353" s="360" t="inlineStr">
        <is>
          <t>20ºC</t>
        </is>
      </c>
      <c r="L353" s="360" t="n"/>
      <c r="M353" s="360" t="n"/>
      <c r="N353" s="360" t="n"/>
      <c r="O353" s="360" t="n"/>
      <c r="P353" s="360" t="n"/>
      <c r="Q353" s="365" t="n"/>
    </row>
    <row r="354" ht="9.949999999999999" customHeight="1" s="244">
      <c r="A354" s="366" t="inlineStr">
        <is>
          <t>DD</t>
        </is>
      </c>
      <c r="B354" s="367" t="inlineStr">
        <is>
          <t>G</t>
        </is>
      </c>
      <c r="C354" s="368" t="n"/>
      <c r="D354" s="369" t="n">
        <v>4.08</v>
      </c>
      <c r="E354" s="369" t="n">
        <v>2.5</v>
      </c>
      <c r="F354" s="370">
        <f>IF(D354=0," ",D354*E354)</f>
        <v/>
      </c>
      <c r="G354" s="371" t="n">
        <v>1</v>
      </c>
      <c r="H354" s="372">
        <f>F356*G356</f>
        <v/>
      </c>
      <c r="I354" s="370">
        <f>IF(F354=" "," ",F354*G354-H354)</f>
        <v/>
      </c>
      <c r="J354" s="369" t="n">
        <v>0.344</v>
      </c>
      <c r="K354" s="371" t="n">
        <v>23</v>
      </c>
      <c r="L354" s="373">
        <f>IF(I354=" "," ",I354*J354*K354)</f>
        <v/>
      </c>
      <c r="M354" s="374" t="n">
        <v>7</v>
      </c>
      <c r="N354" s="371" t="n">
        <v>0</v>
      </c>
      <c r="O354" s="374" t="n">
        <v>-5</v>
      </c>
      <c r="P354" s="370">
        <f>IF(M354=" "," ",(1+(M354+N354+O354)/100))</f>
        <v/>
      </c>
      <c r="Q354" s="375">
        <f>IF(L354=" "," ",L354*P354)</f>
        <v/>
      </c>
    </row>
    <row r="355" ht="9.949999999999999" customHeight="1" s="244">
      <c r="A355" s="366" t="inlineStr">
        <is>
          <t>DD25</t>
        </is>
      </c>
      <c r="B355" s="367" t="inlineStr">
        <is>
          <t>G</t>
        </is>
      </c>
      <c r="C355" s="368" t="n"/>
      <c r="D355" s="369">
        <f>D354</f>
        <v/>
      </c>
      <c r="E355" s="369" t="n">
        <v>0.5</v>
      </c>
      <c r="F355" s="370">
        <f>IF(D355=0," ",D355*E355)</f>
        <v/>
      </c>
      <c r="G355" s="371" t="n">
        <v>1</v>
      </c>
      <c r="H355" s="372" t="n"/>
      <c r="I355" s="370">
        <f>IF(F355=" "," ",F355*G355-H355)</f>
        <v/>
      </c>
      <c r="J355" s="369" t="n">
        <v>0.387</v>
      </c>
      <c r="K355" s="371" t="n">
        <v>23</v>
      </c>
      <c r="L355" s="373">
        <f>IF(I355=" "," ",I355*J355*K355)</f>
        <v/>
      </c>
      <c r="M355" s="374" t="n">
        <v>7</v>
      </c>
      <c r="N355" s="371" t="n">
        <v>0</v>
      </c>
      <c r="O355" s="374" t="n">
        <v>-5</v>
      </c>
      <c r="P355" s="370">
        <f>IF(M355=" "," ",(1+(M355+N355+O355)/100))</f>
        <v/>
      </c>
      <c r="Q355" s="375">
        <f>IF(L355=" "," ",L355*P355)</f>
        <v/>
      </c>
    </row>
    <row r="356" ht="9.949999999999999" customHeight="1" s="244">
      <c r="A356" s="366" t="inlineStr">
        <is>
          <t>ÇP</t>
        </is>
      </c>
      <c r="B356" s="367" t="inlineStr">
        <is>
          <t>G</t>
        </is>
      </c>
      <c r="C356" s="368" t="n"/>
      <c r="D356" s="369" t="n">
        <v>2.24</v>
      </c>
      <c r="E356" s="369" t="n">
        <v>1.5</v>
      </c>
      <c r="F356" s="370">
        <f>IF(D356=0," ",D356*E356)</f>
        <v/>
      </c>
      <c r="G356" s="371" t="n">
        <v>1</v>
      </c>
      <c r="H356" s="372" t="n"/>
      <c r="I356" s="370">
        <f>IF(F356=" "," ",F356*G356-H356)</f>
        <v/>
      </c>
      <c r="J356" s="369" t="n">
        <v>1.8</v>
      </c>
      <c r="K356" s="371" t="n">
        <v>23</v>
      </c>
      <c r="L356" s="373">
        <f>IF(I356=" "," ",I356*J356*K356)</f>
        <v/>
      </c>
      <c r="M356" s="374" t="n">
        <v>7</v>
      </c>
      <c r="N356" s="371" t="n">
        <v>0</v>
      </c>
      <c r="O356" s="374" t="n">
        <v>-5</v>
      </c>
      <c r="P356" s="370">
        <f>IF(M356=" "," ",(1+(M356+N356+O356)/100))</f>
        <v/>
      </c>
      <c r="Q356" s="375">
        <f>IF(L356=" "," ",L356*P356)</f>
        <v/>
      </c>
    </row>
    <row r="357" ht="9.949999999999999" customHeight="1" s="244">
      <c r="A357" s="376" t="n"/>
      <c r="B357" s="377" t="n"/>
      <c r="C357" s="377" t="n"/>
      <c r="D357" s="378" t="n"/>
      <c r="E357" s="378" t="n"/>
      <c r="F357" s="378" t="n"/>
      <c r="G357" s="379" t="n"/>
      <c r="H357" s="378" t="n"/>
      <c r="I357" s="378" t="n"/>
      <c r="J357" s="378" t="n"/>
      <c r="K357" s="379" t="n"/>
      <c r="L357" s="380" t="n"/>
      <c r="M357" s="381" t="n"/>
      <c r="N357" s="381" t="n"/>
      <c r="O357" s="381" t="n"/>
      <c r="P357" s="382" t="n"/>
      <c r="Q357" s="383">
        <f>SUM(Q354:Q356)</f>
        <v/>
      </c>
    </row>
    <row r="358" ht="9.949999999999999" customHeight="1" s="244">
      <c r="A358" s="384" t="n"/>
      <c r="B358" s="385" t="n"/>
      <c r="C358" s="385" t="n"/>
      <c r="D358" s="386" t="n"/>
      <c r="E358" s="387" t="n"/>
      <c r="F358" s="388" t="n"/>
      <c r="G358" s="389" t="n"/>
      <c r="H358" s="388" t="n"/>
      <c r="I358" s="390" t="n"/>
      <c r="J358" s="391" t="inlineStr">
        <is>
          <t>Qs=</t>
        </is>
      </c>
      <c r="K358" s="390" t="inlineStr">
        <is>
          <t>S a</t>
        </is>
      </c>
      <c r="L358" s="388" t="inlineStr">
        <is>
          <t>L</t>
        </is>
      </c>
      <c r="M358" s="389" t="inlineStr">
        <is>
          <t>R</t>
        </is>
      </c>
      <c r="N358" s="392" t="inlineStr">
        <is>
          <t>H</t>
        </is>
      </c>
      <c r="O358" s="393" t="inlineStr">
        <is>
          <t>D  T</t>
        </is>
      </c>
      <c r="P358" s="389" t="inlineStr">
        <is>
          <t>Ze</t>
        </is>
      </c>
      <c r="Q358" s="394" t="n"/>
    </row>
    <row r="359" ht="9.949999999999999" customHeight="1" s="244">
      <c r="A359" s="395" t="inlineStr">
        <is>
          <t xml:space="preserve"> </t>
        </is>
      </c>
      <c r="C359" s="397" t="n"/>
      <c r="D359" s="397" t="n"/>
      <c r="E359" s="398" t="n"/>
      <c r="F359" s="399" t="n"/>
      <c r="G359" s="400" t="n"/>
      <c r="H359" s="401" t="n"/>
      <c r="I359" s="402" t="n"/>
      <c r="J359" s="403" t="inlineStr">
        <is>
          <t>Qs  =</t>
        </is>
      </c>
      <c r="K359" s="404" t="n">
        <v>2</v>
      </c>
      <c r="L359" s="404">
        <f>(D356+E356)*2*G356</f>
        <v/>
      </c>
      <c r="M359" s="404" t="n">
        <v>0.9</v>
      </c>
      <c r="N359" s="404" t="n">
        <v>0.67</v>
      </c>
      <c r="O359" s="381" t="n">
        <v>23</v>
      </c>
      <c r="P359" s="404" t="n">
        <v>1</v>
      </c>
      <c r="Q359" s="383">
        <f>K359*L359*M359*N359*O359*P359</f>
        <v/>
      </c>
    </row>
    <row r="360" ht="9.949999999999999" customHeight="1" s="244">
      <c r="A360" s="405" t="n"/>
      <c r="B360" s="406" t="n"/>
      <c r="C360" s="397" t="n"/>
      <c r="D360" s="397" t="n"/>
      <c r="E360" s="378" t="n"/>
      <c r="F360" s="256" t="n"/>
      <c r="G360" s="407" t="n"/>
      <c r="H360" s="397" t="n"/>
      <c r="I360" s="397" t="n"/>
      <c r="J360" s="397" t="n"/>
      <c r="K360" s="407" t="n"/>
      <c r="L360" s="408" t="n"/>
      <c r="M360" s="409" t="inlineStr">
        <is>
          <t xml:space="preserve">   TOPLAM ISI KAYBI =</t>
        </is>
      </c>
      <c r="N360" s="409" t="n"/>
      <c r="O360" s="410" t="n"/>
      <c r="P360" s="409" t="n"/>
      <c r="Q360" s="411">
        <f>Q357+Q359</f>
        <v/>
      </c>
    </row>
    <row r="361" ht="10.35" customHeight="1" s="244">
      <c r="A361" s="359" t="n"/>
      <c r="B361" s="360" t="n"/>
      <c r="C361" s="360" t="n"/>
      <c r="D361" s="360" t="n"/>
      <c r="E361" s="360" t="n"/>
      <c r="F361" s="361" t="inlineStr">
        <is>
          <t>1</t>
        </is>
      </c>
      <c r="G361" s="362" t="inlineStr">
        <is>
          <t>0</t>
        </is>
      </c>
      <c r="H361" s="360" t="inlineStr">
        <is>
          <t>1D2-02</t>
        </is>
      </c>
      <c r="I361" s="363" t="inlineStr">
        <is>
          <t>OFİS D2 GİRİŞ HOLÜ</t>
        </is>
      </c>
      <c r="J361" s="364" t="n"/>
      <c r="K361" s="360" t="inlineStr">
        <is>
          <t>20ºC</t>
        </is>
      </c>
      <c r="L361" s="360" t="n"/>
      <c r="M361" s="360" t="n"/>
      <c r="N361" s="360" t="n"/>
      <c r="O361" s="360" t="n"/>
      <c r="P361" s="360" t="n"/>
      <c r="Q361" s="365" t="n"/>
    </row>
    <row r="362" ht="9.949999999999999" customHeight="1" s="244">
      <c r="A362" s="366" t="inlineStr">
        <is>
          <t>İDM</t>
        </is>
      </c>
      <c r="B362" s="367" t="inlineStr"/>
      <c r="C362" s="368" t="n"/>
      <c r="D362" s="369" t="n">
        <v>2.98</v>
      </c>
      <c r="E362" s="369" t="n">
        <v>3</v>
      </c>
      <c r="F362" s="370">
        <f>IF(D362=0," ",D362*E362)</f>
        <v/>
      </c>
      <c r="G362" s="371" t="n">
        <v>1</v>
      </c>
      <c r="H362" s="372" t="n"/>
      <c r="I362" s="370">
        <f>IF(F362=" "," ",F362*G362-H362)</f>
        <v/>
      </c>
      <c r="J362" s="369" t="n">
        <v>0.332</v>
      </c>
      <c r="K362" s="371" t="n">
        <v>10</v>
      </c>
      <c r="L362" s="373">
        <f>IF(I362=" "," ",I362*J362*K362)</f>
        <v/>
      </c>
      <c r="M362" s="374" t="n">
        <v>7</v>
      </c>
      <c r="N362" s="371" t="n">
        <v>0</v>
      </c>
      <c r="O362" s="374" t="n">
        <v>0</v>
      </c>
      <c r="P362" s="370">
        <f>IF(M362=" "," ",(1+(M362+N362+O362)/100))</f>
        <v/>
      </c>
      <c r="Q362" s="375">
        <f>IF(L362=" "," ",L362*P362)</f>
        <v/>
      </c>
    </row>
    <row r="363" ht="9.949999999999999" customHeight="1" s="244">
      <c r="A363" s="366" t="inlineStr">
        <is>
          <t>İDM</t>
        </is>
      </c>
      <c r="B363" s="367" t="inlineStr"/>
      <c r="C363" s="368" t="n"/>
      <c r="D363" s="369" t="n">
        <v>0.22</v>
      </c>
      <c r="E363" s="369" t="n">
        <v>3</v>
      </c>
      <c r="F363" s="370">
        <f>IF(D363=0," ",D363*E363)</f>
        <v/>
      </c>
      <c r="G363" s="371" t="n">
        <v>1</v>
      </c>
      <c r="H363" s="372" t="n"/>
      <c r="I363" s="370">
        <f>IF(F363=" "," ",F363*G363-H363)</f>
        <v/>
      </c>
      <c r="J363" s="369" t="n">
        <v>0.332</v>
      </c>
      <c r="K363" s="371" t="n">
        <v>10</v>
      </c>
      <c r="L363" s="373">
        <f>IF(I363=" "," ",I363*J363*K363)</f>
        <v/>
      </c>
      <c r="M363" s="374" t="n">
        <v>7</v>
      </c>
      <c r="N363" s="371" t="n">
        <v>0</v>
      </c>
      <c r="O363" s="374" t="n">
        <v>0</v>
      </c>
      <c r="P363" s="370">
        <f>IF(M363=" "," ",(1+(M363+N363+O363)/100))</f>
        <v/>
      </c>
      <c r="Q363" s="375">
        <f>IF(L363=" "," ",L363*P363)</f>
        <v/>
      </c>
    </row>
    <row r="364" ht="9.949999999999999" customHeight="1" s="244">
      <c r="A364" s="376" t="n"/>
      <c r="B364" s="377" t="n"/>
      <c r="C364" s="377" t="n"/>
      <c r="D364" s="378" t="n"/>
      <c r="E364" s="378" t="n"/>
      <c r="F364" s="378" t="n"/>
      <c r="G364" s="379" t="n"/>
      <c r="H364" s="378" t="n"/>
      <c r="I364" s="378" t="n"/>
      <c r="J364" s="378" t="n"/>
      <c r="K364" s="379" t="n"/>
      <c r="L364" s="380" t="n"/>
      <c r="M364" s="381" t="n"/>
      <c r="N364" s="381" t="n"/>
      <c r="O364" s="381" t="n"/>
      <c r="P364" s="382" t="n"/>
      <c r="Q364" s="383">
        <f>SUM(Q362:Q363)</f>
        <v/>
      </c>
    </row>
    <row r="365" ht="9.949999999999999" customHeight="1" s="244">
      <c r="A365" s="384" t="n"/>
      <c r="B365" s="385" t="n"/>
      <c r="C365" s="385" t="n"/>
      <c r="D365" s="386" t="n"/>
      <c r="E365" s="387" t="n"/>
      <c r="F365" s="388" t="n"/>
      <c r="G365" s="389" t="n"/>
      <c r="H365" s="388" t="n"/>
      <c r="I365" s="390" t="n"/>
      <c r="J365" s="391" t="inlineStr">
        <is>
          <t>Qs=</t>
        </is>
      </c>
      <c r="K365" s="390" t="inlineStr">
        <is>
          <t>S a</t>
        </is>
      </c>
      <c r="L365" s="388" t="inlineStr">
        <is>
          <t>L</t>
        </is>
      </c>
      <c r="M365" s="389" t="inlineStr">
        <is>
          <t>R</t>
        </is>
      </c>
      <c r="N365" s="392" t="inlineStr">
        <is>
          <t>H</t>
        </is>
      </c>
      <c r="O365" s="393" t="inlineStr">
        <is>
          <t>D  T</t>
        </is>
      </c>
      <c r="P365" s="389" t="inlineStr">
        <is>
          <t>Ze</t>
        </is>
      </c>
      <c r="Q365" s="394" t="n"/>
    </row>
    <row r="366" ht="9.949999999999999" customHeight="1" s="244">
      <c r="A366" s="395" t="inlineStr">
        <is>
          <t xml:space="preserve"> </t>
        </is>
      </c>
      <c r="C366" s="397" t="n"/>
      <c r="D366" s="397" t="n"/>
      <c r="E366" s="398" t="n"/>
      <c r="F366" s="399" t="n"/>
      <c r="G366" s="400" t="n"/>
      <c r="H366" s="401" t="n"/>
      <c r="I366" s="402" t="n"/>
      <c r="J366" s="403" t="inlineStr">
        <is>
          <t>Qs  =</t>
        </is>
      </c>
      <c r="K366" s="404" t="n">
        <v>2</v>
      </c>
      <c r="L366" s="404" t="n">
        <v>0</v>
      </c>
      <c r="M366" s="404" t="n">
        <v>0.9</v>
      </c>
      <c r="N366" s="404" t="n">
        <v>0.67</v>
      </c>
      <c r="O366" s="381" t="n">
        <v>23</v>
      </c>
      <c r="P366" s="404" t="n">
        <v>1</v>
      </c>
      <c r="Q366" s="383">
        <f>K366*L366*M366*N366*O366*P366</f>
        <v/>
      </c>
    </row>
    <row r="367" ht="9.949999999999999" customHeight="1" s="244">
      <c r="A367" s="405" t="n"/>
      <c r="B367" s="406" t="n"/>
      <c r="C367" s="397" t="n"/>
      <c r="D367" s="397" t="n"/>
      <c r="E367" s="378" t="n"/>
      <c r="F367" s="256" t="n"/>
      <c r="G367" s="407" t="n"/>
      <c r="H367" s="397" t="n"/>
      <c r="I367" s="397" t="n"/>
      <c r="J367" s="397" t="n"/>
      <c r="K367" s="407" t="n"/>
      <c r="L367" s="408" t="n"/>
      <c r="M367" s="409" t="inlineStr">
        <is>
          <t xml:space="preserve">   TOPLAM ISI KAYBI =</t>
        </is>
      </c>
      <c r="N367" s="409" t="n"/>
      <c r="O367" s="410" t="n"/>
      <c r="P367" s="409" t="n"/>
      <c r="Q367" s="411">
        <f>Q364+Q366</f>
        <v/>
      </c>
    </row>
    <row r="368" ht="10.35" customHeight="1" s="244">
      <c r="A368" s="359" t="n"/>
      <c r="B368" s="360" t="n"/>
      <c r="C368" s="360" t="n"/>
      <c r="D368" s="360" t="n"/>
      <c r="E368" s="360" t="n"/>
      <c r="F368" s="361" t="inlineStr">
        <is>
          <t>1</t>
        </is>
      </c>
      <c r="G368" s="362" t="inlineStr">
        <is>
          <t>0</t>
        </is>
      </c>
      <c r="H368" s="360" t="inlineStr">
        <is>
          <t>1D2-03</t>
        </is>
      </c>
      <c r="I368" s="363" t="inlineStr">
        <is>
          <t>OFİS D2 MUTFAK</t>
        </is>
      </c>
      <c r="J368" s="364" t="n"/>
      <c r="K368" s="360" t="inlineStr">
        <is>
          <t>20ºC</t>
        </is>
      </c>
      <c r="L368" s="360" t="n"/>
      <c r="M368" s="360" t="n"/>
      <c r="N368" s="360" t="n"/>
      <c r="O368" s="360" t="n"/>
      <c r="P368" s="360" t="n"/>
      <c r="Q368" s="365" t="n"/>
    </row>
    <row r="369" ht="9.949999999999999" customHeight="1" s="244">
      <c r="A369" s="376" t="n"/>
      <c r="B369" s="377" t="n"/>
      <c r="C369" s="377" t="n"/>
      <c r="D369" s="378" t="n"/>
      <c r="E369" s="378" t="n"/>
      <c r="F369" s="378" t="n"/>
      <c r="G369" s="379" t="n"/>
      <c r="H369" s="378" t="n"/>
      <c r="I369" s="378" t="n"/>
      <c r="J369" s="378" t="n"/>
      <c r="K369" s="379" t="n"/>
      <c r="L369" s="380" t="n"/>
      <c r="M369" s="381" t="n"/>
      <c r="N369" s="381" t="n"/>
      <c r="O369" s="381" t="n"/>
      <c r="P369" s="382" t="n"/>
      <c r="Q369" s="383" t="n">
        <v>0</v>
      </c>
    </row>
    <row r="370" ht="9.949999999999999" customHeight="1" s="244">
      <c r="A370" s="384" t="n"/>
      <c r="B370" s="385" t="n"/>
      <c r="C370" s="385" t="n"/>
      <c r="D370" s="386" t="n"/>
      <c r="E370" s="387" t="n"/>
      <c r="F370" s="388" t="n"/>
      <c r="G370" s="389" t="n"/>
      <c r="H370" s="388" t="n"/>
      <c r="I370" s="390" t="n"/>
      <c r="J370" s="391" t="inlineStr">
        <is>
          <t>Qs=</t>
        </is>
      </c>
      <c r="K370" s="390" t="inlineStr">
        <is>
          <t>S a</t>
        </is>
      </c>
      <c r="L370" s="388" t="inlineStr">
        <is>
          <t>L</t>
        </is>
      </c>
      <c r="M370" s="389" t="inlineStr">
        <is>
          <t>R</t>
        </is>
      </c>
      <c r="N370" s="392" t="inlineStr">
        <is>
          <t>H</t>
        </is>
      </c>
      <c r="O370" s="393" t="inlineStr">
        <is>
          <t>D  T</t>
        </is>
      </c>
      <c r="P370" s="389" t="inlineStr">
        <is>
          <t>Ze</t>
        </is>
      </c>
      <c r="Q370" s="394" t="n"/>
    </row>
    <row r="371" ht="9.949999999999999" customHeight="1" s="244">
      <c r="A371" s="395" t="inlineStr">
        <is>
          <t xml:space="preserve"> </t>
        </is>
      </c>
      <c r="C371" s="397" t="n"/>
      <c r="D371" s="397" t="n"/>
      <c r="E371" s="398" t="n"/>
      <c r="F371" s="399" t="n"/>
      <c r="G371" s="400" t="n"/>
      <c r="H371" s="401" t="n"/>
      <c r="I371" s="402" t="n"/>
      <c r="J371" s="403" t="inlineStr">
        <is>
          <t>Qs  =</t>
        </is>
      </c>
      <c r="K371" s="404" t="n">
        <v>2</v>
      </c>
      <c r="L371" s="404" t="n">
        <v>0</v>
      </c>
      <c r="M371" s="404" t="n">
        <v>0.9</v>
      </c>
      <c r="N371" s="404" t="n">
        <v>0.67</v>
      </c>
      <c r="O371" s="381" t="n">
        <v>23</v>
      </c>
      <c r="P371" s="404" t="n">
        <v>1</v>
      </c>
      <c r="Q371" s="383">
        <f>K371*L371*M371*N371*O371*P371</f>
        <v/>
      </c>
    </row>
    <row r="372" ht="9.949999999999999" customHeight="1" s="244">
      <c r="A372" s="405" t="n"/>
      <c r="B372" s="406" t="n"/>
      <c r="C372" s="397" t="n"/>
      <c r="D372" s="397" t="n"/>
      <c r="E372" s="378" t="n"/>
      <c r="F372" s="256" t="n"/>
      <c r="G372" s="407" t="n"/>
      <c r="H372" s="397" t="n"/>
      <c r="I372" s="397" t="n"/>
      <c r="J372" s="397" t="n"/>
      <c r="K372" s="407" t="n"/>
      <c r="L372" s="408" t="n"/>
      <c r="M372" s="409" t="inlineStr">
        <is>
          <t xml:space="preserve">   TOPLAM ISI KAYBI =</t>
        </is>
      </c>
      <c r="N372" s="409" t="n"/>
      <c r="O372" s="410" t="n"/>
      <c r="P372" s="409" t="n"/>
      <c r="Q372" s="411">
        <f>Q369+Q371</f>
        <v/>
      </c>
    </row>
    <row r="373" ht="10.35" customHeight="1" s="244">
      <c r="A373" s="359" t="n"/>
      <c r="B373" s="360" t="n"/>
      <c r="C373" s="360" t="n"/>
      <c r="D373" s="360" t="n"/>
      <c r="E373" s="360" t="n"/>
      <c r="F373" s="361" t="inlineStr">
        <is>
          <t>1</t>
        </is>
      </c>
      <c r="G373" s="362" t="inlineStr">
        <is>
          <t>0</t>
        </is>
      </c>
      <c r="H373" s="360" t="inlineStr">
        <is>
          <t>1D2-04</t>
        </is>
      </c>
      <c r="I373" s="363" t="inlineStr">
        <is>
          <t>OFİS D2 BANYO</t>
        </is>
      </c>
      <c r="J373" s="364" t="n"/>
      <c r="K373" s="360" t="inlineStr">
        <is>
          <t>24ºC</t>
        </is>
      </c>
      <c r="L373" s="360" t="n"/>
      <c r="M373" s="360" t="n"/>
      <c r="N373" s="360" t="n"/>
      <c r="O373" s="360" t="n"/>
      <c r="P373" s="360" t="n"/>
      <c r="Q373" s="365" t="n"/>
    </row>
    <row r="374" ht="9.949999999999999" customHeight="1" s="244">
      <c r="A374" s="366" t="inlineStr">
        <is>
          <t>İDM</t>
        </is>
      </c>
      <c r="B374" s="367" t="inlineStr"/>
      <c r="C374" s="368" t="n"/>
      <c r="D374" s="369" t="n">
        <v>0.29</v>
      </c>
      <c r="E374" s="369" t="n">
        <v>3</v>
      </c>
      <c r="F374" s="370">
        <f>IF(D374=0," ",D374*E374)</f>
        <v/>
      </c>
      <c r="G374" s="371" t="n">
        <v>1</v>
      </c>
      <c r="H374" s="372" t="n"/>
      <c r="I374" s="370">
        <f>IF(F374=" "," ",F374*G374-H374)</f>
        <v/>
      </c>
      <c r="J374" s="369" t="n">
        <v>0.332</v>
      </c>
      <c r="K374" s="371" t="n">
        <v>14</v>
      </c>
      <c r="L374" s="373">
        <f>IF(I374=" "," ",I374*J374*K374)</f>
        <v/>
      </c>
      <c r="M374" s="374" t="n">
        <v>7</v>
      </c>
      <c r="N374" s="371" t="n">
        <v>0</v>
      </c>
      <c r="O374" s="374" t="n">
        <v>0</v>
      </c>
      <c r="P374" s="370">
        <f>IF(M374=" "," ",(1+(M374+N374+O374)/100))</f>
        <v/>
      </c>
      <c r="Q374" s="375">
        <f>IF(L374=" "," ",L374*P374)</f>
        <v/>
      </c>
    </row>
    <row r="375" ht="9.949999999999999" customHeight="1" s="244">
      <c r="A375" s="376" t="n"/>
      <c r="B375" s="377" t="n"/>
      <c r="C375" s="377" t="n"/>
      <c r="D375" s="378" t="n"/>
      <c r="E375" s="378" t="n"/>
      <c r="F375" s="378" t="n"/>
      <c r="G375" s="379" t="n"/>
      <c r="H375" s="378" t="n"/>
      <c r="I375" s="378" t="n"/>
      <c r="J375" s="378" t="n"/>
      <c r="K375" s="379" t="n"/>
      <c r="L375" s="380" t="n"/>
      <c r="M375" s="381" t="n"/>
      <c r="N375" s="381" t="n"/>
      <c r="O375" s="381" t="n"/>
      <c r="P375" s="382" t="n"/>
      <c r="Q375" s="383">
        <f>SUM(Q374:Q374)</f>
        <v/>
      </c>
    </row>
    <row r="376" ht="9.949999999999999" customHeight="1" s="244">
      <c r="A376" s="384" t="n"/>
      <c r="B376" s="385" t="n"/>
      <c r="C376" s="385" t="n"/>
      <c r="D376" s="386" t="n"/>
      <c r="E376" s="387" t="n"/>
      <c r="F376" s="388" t="n"/>
      <c r="G376" s="389" t="n"/>
      <c r="H376" s="388" t="n"/>
      <c r="I376" s="390" t="n"/>
      <c r="J376" s="391" t="inlineStr">
        <is>
          <t>Qs=</t>
        </is>
      </c>
      <c r="K376" s="390" t="inlineStr">
        <is>
          <t>S a</t>
        </is>
      </c>
      <c r="L376" s="388" t="inlineStr">
        <is>
          <t>L</t>
        </is>
      </c>
      <c r="M376" s="389" t="inlineStr">
        <is>
          <t>R</t>
        </is>
      </c>
      <c r="N376" s="392" t="inlineStr">
        <is>
          <t>H</t>
        </is>
      </c>
      <c r="O376" s="393" t="inlineStr">
        <is>
          <t>D  T</t>
        </is>
      </c>
      <c r="P376" s="389" t="inlineStr">
        <is>
          <t>Ze</t>
        </is>
      </c>
      <c r="Q376" s="394" t="n"/>
    </row>
    <row r="377" ht="9.949999999999999" customHeight="1" s="244">
      <c r="A377" s="395" t="inlineStr">
        <is>
          <t xml:space="preserve"> </t>
        </is>
      </c>
      <c r="C377" s="397" t="n"/>
      <c r="D377" s="397" t="n"/>
      <c r="E377" s="398" t="n"/>
      <c r="F377" s="399" t="n"/>
      <c r="G377" s="400" t="n"/>
      <c r="H377" s="401" t="n"/>
      <c r="I377" s="402" t="n"/>
      <c r="J377" s="403" t="inlineStr">
        <is>
          <t>Qs  =</t>
        </is>
      </c>
      <c r="K377" s="404" t="n">
        <v>2</v>
      </c>
      <c r="L377" s="404" t="n">
        <v>0</v>
      </c>
      <c r="M377" s="404" t="n">
        <v>0.9</v>
      </c>
      <c r="N377" s="404" t="n">
        <v>0.67</v>
      </c>
      <c r="O377" s="381" t="n">
        <v>27</v>
      </c>
      <c r="P377" s="404" t="n">
        <v>1</v>
      </c>
      <c r="Q377" s="383">
        <f>K377*L377*M377*N377*O377*P377</f>
        <v/>
      </c>
    </row>
    <row r="378" ht="9.949999999999999" customHeight="1" s="244">
      <c r="A378" s="405" t="n"/>
      <c r="B378" s="406" t="n"/>
      <c r="C378" s="397" t="n"/>
      <c r="D378" s="397" t="n"/>
      <c r="E378" s="378" t="n"/>
      <c r="F378" s="256" t="n"/>
      <c r="G378" s="407" t="n"/>
      <c r="H378" s="397" t="n"/>
      <c r="I378" s="397" t="n"/>
      <c r="J378" s="397" t="n"/>
      <c r="K378" s="407" t="n"/>
      <c r="L378" s="408" t="n"/>
      <c r="M378" s="409" t="inlineStr">
        <is>
          <t xml:space="preserve">   TOPLAM ISI KAYBI =</t>
        </is>
      </c>
      <c r="N378" s="409" t="n"/>
      <c r="O378" s="410" t="n"/>
      <c r="P378" s="409" t="n"/>
      <c r="Q378" s="411">
        <f>Q375+Q377</f>
        <v/>
      </c>
    </row>
    <row r="379" ht="10.35" customHeight="1" s="244">
      <c r="A379" s="359" t="n"/>
      <c r="B379" s="360" t="n"/>
      <c r="C379" s="360" t="n"/>
      <c r="D379" s="360" t="n"/>
      <c r="E379" s="360" t="n"/>
      <c r="F379" s="361" t="inlineStr">
        <is>
          <t>1</t>
        </is>
      </c>
      <c r="G379" s="362" t="inlineStr">
        <is>
          <t>0</t>
        </is>
      </c>
      <c r="H379" s="360" t="inlineStr">
        <is>
          <t>1D3-01</t>
        </is>
      </c>
      <c r="I379" s="363" t="inlineStr">
        <is>
          <t>OFİS D3 ODA</t>
        </is>
      </c>
      <c r="J379" s="364" t="n"/>
      <c r="K379" s="360" t="inlineStr">
        <is>
          <t>20ºC</t>
        </is>
      </c>
      <c r="L379" s="360" t="n"/>
      <c r="M379" s="360" t="n"/>
      <c r="N379" s="360" t="n"/>
      <c r="O379" s="360" t="n"/>
      <c r="P379" s="360" t="n"/>
      <c r="Q379" s="365" t="n"/>
    </row>
    <row r="380" ht="9.949999999999999" customHeight="1" s="244">
      <c r="A380" s="366" t="inlineStr">
        <is>
          <t>DD</t>
        </is>
      </c>
      <c r="B380" s="367" t="inlineStr">
        <is>
          <t>G</t>
        </is>
      </c>
      <c r="C380" s="368" t="n"/>
      <c r="D380" s="369" t="n">
        <v>3.58</v>
      </c>
      <c r="E380" s="369" t="n">
        <v>2.5</v>
      </c>
      <c r="F380" s="370">
        <f>IF(D380=0," ",D380*E380)</f>
        <v/>
      </c>
      <c r="G380" s="371" t="n">
        <v>1</v>
      </c>
      <c r="H380" s="372">
        <f>F382*G382</f>
        <v/>
      </c>
      <c r="I380" s="370">
        <f>IF(F380=" "," ",F380*G380-H380)</f>
        <v/>
      </c>
      <c r="J380" s="369" t="n">
        <v>0.344</v>
      </c>
      <c r="K380" s="371" t="n">
        <v>23</v>
      </c>
      <c r="L380" s="373">
        <f>IF(I380=" "," ",I380*J380*K380)</f>
        <v/>
      </c>
      <c r="M380" s="374" t="n">
        <v>7</v>
      </c>
      <c r="N380" s="371" t="n">
        <v>0</v>
      </c>
      <c r="O380" s="374" t="n">
        <v>-5</v>
      </c>
      <c r="P380" s="370">
        <f>IF(M380=" "," ",(1+(M380+N380+O380)/100))</f>
        <v/>
      </c>
      <c r="Q380" s="375">
        <f>IF(L380=" "," ",L380*P380)</f>
        <v/>
      </c>
    </row>
    <row r="381" ht="9.949999999999999" customHeight="1" s="244">
      <c r="A381" s="366" t="inlineStr">
        <is>
          <t>DD25</t>
        </is>
      </c>
      <c r="B381" s="367" t="inlineStr">
        <is>
          <t>G</t>
        </is>
      </c>
      <c r="C381" s="368" t="n"/>
      <c r="D381" s="369">
        <f>D380</f>
        <v/>
      </c>
      <c r="E381" s="369" t="n">
        <v>0.5</v>
      </c>
      <c r="F381" s="370">
        <f>IF(D381=0," ",D381*E381)</f>
        <v/>
      </c>
      <c r="G381" s="371" t="n">
        <v>1</v>
      </c>
      <c r="H381" s="372" t="n"/>
      <c r="I381" s="370">
        <f>IF(F381=" "," ",F381*G381-H381)</f>
        <v/>
      </c>
      <c r="J381" s="369" t="n">
        <v>0.387</v>
      </c>
      <c r="K381" s="371" t="n">
        <v>23</v>
      </c>
      <c r="L381" s="373">
        <f>IF(I381=" "," ",I381*J381*K381)</f>
        <v/>
      </c>
      <c r="M381" s="374" t="n">
        <v>7</v>
      </c>
      <c r="N381" s="371" t="n">
        <v>0</v>
      </c>
      <c r="O381" s="374" t="n">
        <v>-5</v>
      </c>
      <c r="P381" s="370">
        <f>IF(M381=" "," ",(1+(M381+N381+O381)/100))</f>
        <v/>
      </c>
      <c r="Q381" s="375">
        <f>IF(L381=" "," ",L381*P381)</f>
        <v/>
      </c>
    </row>
    <row r="382" ht="9.949999999999999" customHeight="1" s="244">
      <c r="A382" s="366" t="inlineStr">
        <is>
          <t>ÇP</t>
        </is>
      </c>
      <c r="B382" s="367" t="inlineStr">
        <is>
          <t>G</t>
        </is>
      </c>
      <c r="C382" s="368" t="n"/>
      <c r="D382" s="369" t="n">
        <v>1.97</v>
      </c>
      <c r="E382" s="369" t="n">
        <v>1.5</v>
      </c>
      <c r="F382" s="370">
        <f>IF(D382=0," ",D382*E382)</f>
        <v/>
      </c>
      <c r="G382" s="371" t="n">
        <v>1</v>
      </c>
      <c r="H382" s="372" t="n"/>
      <c r="I382" s="370">
        <f>IF(F382=" "," ",F382*G382-H382)</f>
        <v/>
      </c>
      <c r="J382" s="369" t="n">
        <v>1.8</v>
      </c>
      <c r="K382" s="371" t="n">
        <v>23</v>
      </c>
      <c r="L382" s="373">
        <f>IF(I382=" "," ",I382*J382*K382)</f>
        <v/>
      </c>
      <c r="M382" s="374" t="n">
        <v>7</v>
      </c>
      <c r="N382" s="371" t="n">
        <v>0</v>
      </c>
      <c r="O382" s="374" t="n">
        <v>-5</v>
      </c>
      <c r="P382" s="370">
        <f>IF(M382=" "," ",(1+(M382+N382+O382)/100))</f>
        <v/>
      </c>
      <c r="Q382" s="375">
        <f>IF(L382=" "," ",L382*P382)</f>
        <v/>
      </c>
    </row>
    <row r="383" ht="9.949999999999999" customHeight="1" s="244">
      <c r="A383" s="366" t="inlineStr">
        <is>
          <t>İDM</t>
        </is>
      </c>
      <c r="B383" s="367" t="inlineStr"/>
      <c r="C383" s="368" t="n"/>
      <c r="D383" s="369" t="n">
        <v>2.69</v>
      </c>
      <c r="E383" s="369" t="n">
        <v>3</v>
      </c>
      <c r="F383" s="370">
        <f>IF(D383=0," ",D383*E383)</f>
        <v/>
      </c>
      <c r="G383" s="371" t="n">
        <v>1</v>
      </c>
      <c r="H383" s="372" t="n"/>
      <c r="I383" s="370">
        <f>IF(F383=" "," ",F383*G383-H383)</f>
        <v/>
      </c>
      <c r="J383" s="369" t="n">
        <v>0.332</v>
      </c>
      <c r="K383" s="371" t="n">
        <v>5</v>
      </c>
      <c r="L383" s="373">
        <f>IF(I383=" "," ",I383*J383*K383)</f>
        <v/>
      </c>
      <c r="M383" s="374" t="n">
        <v>7</v>
      </c>
      <c r="N383" s="371" t="n">
        <v>0</v>
      </c>
      <c r="O383" s="374" t="n">
        <v>0</v>
      </c>
      <c r="P383" s="370">
        <f>IF(M383=" "," ",(1+(M383+N383+O383)/100))</f>
        <v/>
      </c>
      <c r="Q383" s="375">
        <f>IF(L383=" "," ",L383*P383)</f>
        <v/>
      </c>
    </row>
    <row r="384" ht="9.949999999999999" customHeight="1" s="244">
      <c r="A384" s="376" t="n"/>
      <c r="B384" s="377" t="n"/>
      <c r="C384" s="377" t="n"/>
      <c r="D384" s="378" t="n"/>
      <c r="E384" s="378" t="n"/>
      <c r="F384" s="378" t="n"/>
      <c r="G384" s="379" t="n"/>
      <c r="H384" s="378" t="n"/>
      <c r="I384" s="378" t="n"/>
      <c r="J384" s="378" t="n"/>
      <c r="K384" s="379" t="n"/>
      <c r="L384" s="380" t="n"/>
      <c r="M384" s="381" t="n"/>
      <c r="N384" s="381" t="n"/>
      <c r="O384" s="381" t="n"/>
      <c r="P384" s="382" t="n"/>
      <c r="Q384" s="383">
        <f>SUM(Q380:Q383)</f>
        <v/>
      </c>
    </row>
    <row r="385" ht="9.949999999999999" customHeight="1" s="244">
      <c r="A385" s="384" t="n"/>
      <c r="B385" s="385" t="n"/>
      <c r="C385" s="385" t="n"/>
      <c r="D385" s="386" t="n"/>
      <c r="E385" s="387" t="n"/>
      <c r="F385" s="388" t="n"/>
      <c r="G385" s="389" t="n"/>
      <c r="H385" s="388" t="n"/>
      <c r="I385" s="390" t="n"/>
      <c r="J385" s="391" t="inlineStr">
        <is>
          <t>Qs=</t>
        </is>
      </c>
      <c r="K385" s="390" t="inlineStr">
        <is>
          <t>S a</t>
        </is>
      </c>
      <c r="L385" s="388" t="inlineStr">
        <is>
          <t>L</t>
        </is>
      </c>
      <c r="M385" s="389" t="inlineStr">
        <is>
          <t>R</t>
        </is>
      </c>
      <c r="N385" s="392" t="inlineStr">
        <is>
          <t>H</t>
        </is>
      </c>
      <c r="O385" s="393" t="inlineStr">
        <is>
          <t>D  T</t>
        </is>
      </c>
      <c r="P385" s="389" t="inlineStr">
        <is>
          <t>Ze</t>
        </is>
      </c>
      <c r="Q385" s="394" t="n"/>
    </row>
    <row r="386" ht="9.949999999999999" customHeight="1" s="244">
      <c r="A386" s="395" t="inlineStr">
        <is>
          <t xml:space="preserve"> </t>
        </is>
      </c>
      <c r="C386" s="397" t="n"/>
      <c r="D386" s="397" t="n"/>
      <c r="E386" s="398" t="n"/>
      <c r="F386" s="399" t="n"/>
      <c r="G386" s="400" t="n"/>
      <c r="H386" s="401" t="n"/>
      <c r="I386" s="402" t="n"/>
      <c r="J386" s="403" t="inlineStr">
        <is>
          <t>Qs  =</t>
        </is>
      </c>
      <c r="K386" s="404" t="n">
        <v>2</v>
      </c>
      <c r="L386" s="404">
        <f>(D382+E382)*2*G382</f>
        <v/>
      </c>
      <c r="M386" s="404" t="n">
        <v>0.9</v>
      </c>
      <c r="N386" s="404" t="n">
        <v>0.67</v>
      </c>
      <c r="O386" s="381" t="n">
        <v>23</v>
      </c>
      <c r="P386" s="404" t="n">
        <v>1</v>
      </c>
      <c r="Q386" s="383">
        <f>K386*L386*M386*N386*O386*P386</f>
        <v/>
      </c>
    </row>
    <row r="387" ht="9.949999999999999" customHeight="1" s="244">
      <c r="A387" s="405" t="n"/>
      <c r="B387" s="406" t="n"/>
      <c r="C387" s="397" t="n"/>
      <c r="D387" s="397" t="n"/>
      <c r="E387" s="378" t="n"/>
      <c r="F387" s="256" t="n"/>
      <c r="G387" s="407" t="n"/>
      <c r="H387" s="397" t="n"/>
      <c r="I387" s="397" t="n"/>
      <c r="J387" s="397" t="n"/>
      <c r="K387" s="407" t="n"/>
      <c r="L387" s="408" t="n"/>
      <c r="M387" s="409" t="inlineStr">
        <is>
          <t xml:space="preserve">   TOPLAM ISI KAYBI =</t>
        </is>
      </c>
      <c r="N387" s="409" t="n"/>
      <c r="O387" s="410" t="n"/>
      <c r="P387" s="409" t="n"/>
      <c r="Q387" s="411">
        <f>Q384+Q386</f>
        <v/>
      </c>
    </row>
    <row r="388" ht="10.35" customHeight="1" s="244">
      <c r="A388" s="359" t="n"/>
      <c r="B388" s="360" t="n"/>
      <c r="C388" s="360" t="n"/>
      <c r="D388" s="360" t="n"/>
      <c r="E388" s="360" t="n"/>
      <c r="F388" s="361" t="inlineStr">
        <is>
          <t>1</t>
        </is>
      </c>
      <c r="G388" s="362" t="inlineStr">
        <is>
          <t>0</t>
        </is>
      </c>
      <c r="H388" s="360" t="inlineStr">
        <is>
          <t>1D3-02</t>
        </is>
      </c>
      <c r="I388" s="363" t="inlineStr">
        <is>
          <t>OFİS D3 MUTFAK</t>
        </is>
      </c>
      <c r="J388" s="364" t="n"/>
      <c r="K388" s="360" t="inlineStr">
        <is>
          <t>20ºC</t>
        </is>
      </c>
      <c r="L388" s="360" t="n"/>
      <c r="M388" s="360" t="n"/>
      <c r="N388" s="360" t="n"/>
      <c r="O388" s="360" t="n"/>
      <c r="P388" s="360" t="n"/>
      <c r="Q388" s="365" t="n"/>
    </row>
    <row r="389" ht="9.949999999999999" customHeight="1" s="244">
      <c r="A389" s="376" t="n"/>
      <c r="B389" s="377" t="n"/>
      <c r="C389" s="377" t="n"/>
      <c r="D389" s="378" t="n"/>
      <c r="E389" s="378" t="n"/>
      <c r="F389" s="378" t="n"/>
      <c r="G389" s="379" t="n"/>
      <c r="H389" s="378" t="n"/>
      <c r="I389" s="378" t="n"/>
      <c r="J389" s="378" t="n"/>
      <c r="K389" s="379" t="n"/>
      <c r="L389" s="380" t="n"/>
      <c r="M389" s="381" t="n"/>
      <c r="N389" s="381" t="n"/>
      <c r="O389" s="381" t="n"/>
      <c r="P389" s="382" t="n"/>
      <c r="Q389" s="383" t="n">
        <v>0</v>
      </c>
    </row>
    <row r="390" ht="9.949999999999999" customHeight="1" s="244">
      <c r="A390" s="384" t="n"/>
      <c r="B390" s="385" t="n"/>
      <c r="C390" s="385" t="n"/>
      <c r="D390" s="386" t="n"/>
      <c r="E390" s="387" t="n"/>
      <c r="F390" s="388" t="n"/>
      <c r="G390" s="389" t="n"/>
      <c r="H390" s="388" t="n"/>
      <c r="I390" s="390" t="n"/>
      <c r="J390" s="391" t="inlineStr">
        <is>
          <t>Qs=</t>
        </is>
      </c>
      <c r="K390" s="390" t="inlineStr">
        <is>
          <t>S a</t>
        </is>
      </c>
      <c r="L390" s="388" t="inlineStr">
        <is>
          <t>L</t>
        </is>
      </c>
      <c r="M390" s="389" t="inlineStr">
        <is>
          <t>R</t>
        </is>
      </c>
      <c r="N390" s="392" t="inlineStr">
        <is>
          <t>H</t>
        </is>
      </c>
      <c r="O390" s="393" t="inlineStr">
        <is>
          <t>D  T</t>
        </is>
      </c>
      <c r="P390" s="389" t="inlineStr">
        <is>
          <t>Ze</t>
        </is>
      </c>
      <c r="Q390" s="394" t="n"/>
    </row>
    <row r="391" ht="9.949999999999999" customHeight="1" s="244">
      <c r="A391" s="395" t="inlineStr">
        <is>
          <t xml:space="preserve"> </t>
        </is>
      </c>
      <c r="C391" s="397" t="n"/>
      <c r="D391" s="397" t="n"/>
      <c r="E391" s="398" t="n"/>
      <c r="F391" s="399" t="n"/>
      <c r="G391" s="400" t="n"/>
      <c r="H391" s="401" t="n"/>
      <c r="I391" s="402" t="n"/>
      <c r="J391" s="403" t="inlineStr">
        <is>
          <t>Qs  =</t>
        </is>
      </c>
      <c r="K391" s="404" t="n">
        <v>2</v>
      </c>
      <c r="L391" s="404" t="n">
        <v>0</v>
      </c>
      <c r="M391" s="404" t="n">
        <v>0.9</v>
      </c>
      <c r="N391" s="404" t="n">
        <v>0.67</v>
      </c>
      <c r="O391" s="381" t="n">
        <v>23</v>
      </c>
      <c r="P391" s="404" t="n">
        <v>1</v>
      </c>
      <c r="Q391" s="383">
        <f>K391*L391*M391*N391*O391*P391</f>
        <v/>
      </c>
    </row>
    <row r="392" ht="9.949999999999999" customHeight="1" s="244">
      <c r="A392" s="405" t="n"/>
      <c r="B392" s="406" t="n"/>
      <c r="C392" s="397" t="n"/>
      <c r="D392" s="397" t="n"/>
      <c r="E392" s="378" t="n"/>
      <c r="F392" s="256" t="n"/>
      <c r="G392" s="407" t="n"/>
      <c r="H392" s="397" t="n"/>
      <c r="I392" s="397" t="n"/>
      <c r="J392" s="397" t="n"/>
      <c r="K392" s="407" t="n"/>
      <c r="L392" s="408" t="n"/>
      <c r="M392" s="409" t="inlineStr">
        <is>
          <t xml:space="preserve">   TOPLAM ISI KAYBI =</t>
        </is>
      </c>
      <c r="N392" s="409" t="n"/>
      <c r="O392" s="410" t="n"/>
      <c r="P392" s="409" t="n"/>
      <c r="Q392" s="411">
        <f>Q389+Q391</f>
        <v/>
      </c>
    </row>
    <row r="393" ht="10.35" customHeight="1" s="244">
      <c r="A393" s="359" t="n"/>
      <c r="B393" s="360" t="n"/>
      <c r="C393" s="360" t="n"/>
      <c r="D393" s="360" t="n"/>
      <c r="E393" s="360" t="n"/>
      <c r="F393" s="361" t="inlineStr">
        <is>
          <t>1</t>
        </is>
      </c>
      <c r="G393" s="362" t="inlineStr">
        <is>
          <t>0</t>
        </is>
      </c>
      <c r="H393" s="360" t="inlineStr">
        <is>
          <t>1D3-03</t>
        </is>
      </c>
      <c r="I393" s="363" t="inlineStr">
        <is>
          <t>OFİS D3 BANYO</t>
        </is>
      </c>
      <c r="J393" s="364" t="n"/>
      <c r="K393" s="360" t="inlineStr">
        <is>
          <t>24ºC</t>
        </is>
      </c>
      <c r="L393" s="360" t="n"/>
      <c r="M393" s="360" t="n"/>
      <c r="N393" s="360" t="n"/>
      <c r="O393" s="360" t="n"/>
      <c r="P393" s="360" t="n"/>
      <c r="Q393" s="365" t="n"/>
    </row>
    <row r="394" ht="9.949999999999999" customHeight="1" s="244">
      <c r="A394" s="366" t="inlineStr">
        <is>
          <t>İDM</t>
        </is>
      </c>
      <c r="B394" s="367" t="inlineStr"/>
      <c r="C394" s="368" t="n"/>
      <c r="D394" s="369" t="n">
        <v>0.3</v>
      </c>
      <c r="E394" s="369" t="n">
        <v>3</v>
      </c>
      <c r="F394" s="370">
        <f>IF(D394=0," ",D394*E394)</f>
        <v/>
      </c>
      <c r="G394" s="371" t="n">
        <v>1</v>
      </c>
      <c r="H394" s="372" t="n"/>
      <c r="I394" s="370">
        <f>IF(F394=" "," ",F394*G394-H394)</f>
        <v/>
      </c>
      <c r="J394" s="369" t="n">
        <v>0.332</v>
      </c>
      <c r="K394" s="371" t="n">
        <v>14</v>
      </c>
      <c r="L394" s="373">
        <f>IF(I394=" "," ",I394*J394*K394)</f>
        <v/>
      </c>
      <c r="M394" s="374" t="n">
        <v>7</v>
      </c>
      <c r="N394" s="371" t="n">
        <v>0</v>
      </c>
      <c r="O394" s="374" t="n">
        <v>0</v>
      </c>
      <c r="P394" s="370">
        <f>IF(M394=" "," ",(1+(M394+N394+O394)/100))</f>
        <v/>
      </c>
      <c r="Q394" s="375">
        <f>IF(L394=" "," ",L394*P394)</f>
        <v/>
      </c>
    </row>
    <row r="395" ht="9.949999999999999" customHeight="1" s="244">
      <c r="A395" s="376" t="n"/>
      <c r="B395" s="377" t="n"/>
      <c r="C395" s="377" t="n"/>
      <c r="D395" s="378" t="n"/>
      <c r="E395" s="378" t="n"/>
      <c r="F395" s="378" t="n"/>
      <c r="G395" s="379" t="n"/>
      <c r="H395" s="378" t="n"/>
      <c r="I395" s="378" t="n"/>
      <c r="J395" s="378" t="n"/>
      <c r="K395" s="379" t="n"/>
      <c r="L395" s="380" t="n"/>
      <c r="M395" s="381" t="n"/>
      <c r="N395" s="381" t="n"/>
      <c r="O395" s="381" t="n"/>
      <c r="P395" s="382" t="n"/>
      <c r="Q395" s="383">
        <f>SUM(Q394:Q394)</f>
        <v/>
      </c>
    </row>
    <row r="396" ht="9.949999999999999" customHeight="1" s="244">
      <c r="A396" s="384" t="n"/>
      <c r="B396" s="385" t="n"/>
      <c r="C396" s="385" t="n"/>
      <c r="D396" s="386" t="n"/>
      <c r="E396" s="387" t="n"/>
      <c r="F396" s="388" t="n"/>
      <c r="G396" s="389" t="n"/>
      <c r="H396" s="388" t="n"/>
      <c r="I396" s="390" t="n"/>
      <c r="J396" s="391" t="inlineStr">
        <is>
          <t>Qs=</t>
        </is>
      </c>
      <c r="K396" s="390" t="inlineStr">
        <is>
          <t>S a</t>
        </is>
      </c>
      <c r="L396" s="388" t="inlineStr">
        <is>
          <t>L</t>
        </is>
      </c>
      <c r="M396" s="389" t="inlineStr">
        <is>
          <t>R</t>
        </is>
      </c>
      <c r="N396" s="392" t="inlineStr">
        <is>
          <t>H</t>
        </is>
      </c>
      <c r="O396" s="393" t="inlineStr">
        <is>
          <t>D  T</t>
        </is>
      </c>
      <c r="P396" s="389" t="inlineStr">
        <is>
          <t>Ze</t>
        </is>
      </c>
      <c r="Q396" s="394" t="n"/>
    </row>
    <row r="397" ht="9.949999999999999" customHeight="1" s="244">
      <c r="A397" s="395" t="inlineStr">
        <is>
          <t xml:space="preserve"> </t>
        </is>
      </c>
      <c r="C397" s="397" t="n"/>
      <c r="D397" s="397" t="n"/>
      <c r="E397" s="398" t="n"/>
      <c r="F397" s="399" t="n"/>
      <c r="G397" s="400" t="n"/>
      <c r="H397" s="401" t="n"/>
      <c r="I397" s="402" t="n"/>
      <c r="J397" s="403" t="inlineStr">
        <is>
          <t>Qs  =</t>
        </is>
      </c>
      <c r="K397" s="404" t="n">
        <v>2</v>
      </c>
      <c r="L397" s="404" t="n">
        <v>0</v>
      </c>
      <c r="M397" s="404" t="n">
        <v>0.9</v>
      </c>
      <c r="N397" s="404" t="n">
        <v>0.67</v>
      </c>
      <c r="O397" s="381" t="n">
        <v>27</v>
      </c>
      <c r="P397" s="404" t="n">
        <v>1</v>
      </c>
      <c r="Q397" s="383">
        <f>K397*L397*M397*N397*O397*P397</f>
        <v/>
      </c>
    </row>
    <row r="398" ht="9.949999999999999" customHeight="1" s="244">
      <c r="A398" s="405" t="n"/>
      <c r="B398" s="406" t="n"/>
      <c r="C398" s="397" t="n"/>
      <c r="D398" s="397" t="n"/>
      <c r="E398" s="378" t="n"/>
      <c r="F398" s="256" t="n"/>
      <c r="G398" s="407" t="n"/>
      <c r="H398" s="397" t="n"/>
      <c r="I398" s="397" t="n"/>
      <c r="J398" s="397" t="n"/>
      <c r="K398" s="407" t="n"/>
      <c r="L398" s="408" t="n"/>
      <c r="M398" s="409" t="inlineStr">
        <is>
          <t xml:space="preserve">   TOPLAM ISI KAYBI =</t>
        </is>
      </c>
      <c r="N398" s="409" t="n"/>
      <c r="O398" s="410" t="n"/>
      <c r="P398" s="409" t="n"/>
      <c r="Q398" s="411">
        <f>Q395+Q397</f>
        <v/>
      </c>
    </row>
    <row r="399" ht="10.35" customHeight="1" s="244">
      <c r="A399" s="359" t="n"/>
      <c r="B399" s="360" t="n"/>
      <c r="C399" s="360" t="n"/>
      <c r="D399" s="360" t="n"/>
      <c r="E399" s="360" t="n"/>
      <c r="F399" s="361" t="inlineStr">
        <is>
          <t>1</t>
        </is>
      </c>
      <c r="G399" s="362" t="inlineStr">
        <is>
          <t>0</t>
        </is>
      </c>
      <c r="H399" s="360" t="inlineStr">
        <is>
          <t>1D3-04</t>
        </is>
      </c>
      <c r="I399" s="363" t="inlineStr">
        <is>
          <t>OFİS D3 GİRİŞ HOLÜ</t>
        </is>
      </c>
      <c r="J399" s="364" t="n"/>
      <c r="K399" s="360" t="inlineStr">
        <is>
          <t>20ºC</t>
        </is>
      </c>
      <c r="L399" s="360" t="n"/>
      <c r="M399" s="360" t="n"/>
      <c r="N399" s="360" t="n"/>
      <c r="O399" s="360" t="n"/>
      <c r="P399" s="360" t="n"/>
      <c r="Q399" s="365" t="n"/>
    </row>
    <row r="400" ht="9.949999999999999" customHeight="1" s="244">
      <c r="A400" s="366" t="inlineStr">
        <is>
          <t>İDM</t>
        </is>
      </c>
      <c r="B400" s="367" t="inlineStr"/>
      <c r="C400" s="368" t="n"/>
      <c r="D400" s="369" t="n">
        <v>0.53</v>
      </c>
      <c r="E400" s="369" t="n">
        <v>3</v>
      </c>
      <c r="F400" s="370">
        <f>IF(D400=0," ",D400*E400)</f>
        <v/>
      </c>
      <c r="G400" s="371" t="n">
        <v>1</v>
      </c>
      <c r="H400" s="372" t="n"/>
      <c r="I400" s="370">
        <f>IF(F400=" "," ",F400*G400-H400)</f>
        <v/>
      </c>
      <c r="J400" s="369" t="n">
        <v>0.332</v>
      </c>
      <c r="K400" s="371" t="n">
        <v>10</v>
      </c>
      <c r="L400" s="373">
        <f>IF(I400=" "," ",I400*J400*K400)</f>
        <v/>
      </c>
      <c r="M400" s="374" t="n">
        <v>7</v>
      </c>
      <c r="N400" s="371" t="n">
        <v>0</v>
      </c>
      <c r="O400" s="374" t="n">
        <v>0</v>
      </c>
      <c r="P400" s="370">
        <f>IF(M400=" "," ",(1+(M400+N400+O400)/100))</f>
        <v/>
      </c>
      <c r="Q400" s="375">
        <f>IF(L400=" "," ",L400*P400)</f>
        <v/>
      </c>
    </row>
    <row r="401" ht="9.949999999999999" customHeight="1" s="244">
      <c r="A401" s="366" t="inlineStr">
        <is>
          <t>İDM</t>
        </is>
      </c>
      <c r="B401" s="367" t="inlineStr"/>
      <c r="C401" s="368" t="n"/>
      <c r="D401" s="369" t="n">
        <v>2.68</v>
      </c>
      <c r="E401" s="369" t="n">
        <v>3</v>
      </c>
      <c r="F401" s="370">
        <f>IF(D401=0," ",D401*E401)</f>
        <v/>
      </c>
      <c r="G401" s="371" t="n">
        <v>1</v>
      </c>
      <c r="H401" s="372" t="n"/>
      <c r="I401" s="370">
        <f>IF(F401=" "," ",F401*G401-H401)</f>
        <v/>
      </c>
      <c r="J401" s="369" t="n">
        <v>0.332</v>
      </c>
      <c r="K401" s="371" t="n">
        <v>10</v>
      </c>
      <c r="L401" s="373">
        <f>IF(I401=" "," ",I401*J401*K401)</f>
        <v/>
      </c>
      <c r="M401" s="374" t="n">
        <v>7</v>
      </c>
      <c r="N401" s="371" t="n">
        <v>0</v>
      </c>
      <c r="O401" s="374" t="n">
        <v>0</v>
      </c>
      <c r="P401" s="370">
        <f>IF(M401=" "," ",(1+(M401+N401+O401)/100))</f>
        <v/>
      </c>
      <c r="Q401" s="375">
        <f>IF(L401=" "," ",L401*P401)</f>
        <v/>
      </c>
    </row>
    <row r="402" ht="9.949999999999999" customHeight="1" s="244">
      <c r="A402" s="366" t="inlineStr">
        <is>
          <t>İDM</t>
        </is>
      </c>
      <c r="B402" s="367" t="inlineStr"/>
      <c r="C402" s="368" t="n"/>
      <c r="D402" s="369" t="n">
        <v>0.83</v>
      </c>
      <c r="E402" s="369" t="n">
        <v>3</v>
      </c>
      <c r="F402" s="370">
        <f>IF(D402=0," ",D402*E402)</f>
        <v/>
      </c>
      <c r="G402" s="371" t="n">
        <v>1</v>
      </c>
      <c r="H402" s="372" t="n"/>
      <c r="I402" s="370">
        <f>IF(F402=" "," ",F402*G402-H402)</f>
        <v/>
      </c>
      <c r="J402" s="369" t="n">
        <v>0.332</v>
      </c>
      <c r="K402" s="371" t="n">
        <v>10</v>
      </c>
      <c r="L402" s="373">
        <f>IF(I402=" "," ",I402*J402*K402)</f>
        <v/>
      </c>
      <c r="M402" s="374" t="n">
        <v>7</v>
      </c>
      <c r="N402" s="371" t="n">
        <v>0</v>
      </c>
      <c r="O402" s="374" t="n">
        <v>0</v>
      </c>
      <c r="P402" s="370">
        <f>IF(M402=" "," ",(1+(M402+N402+O402)/100))</f>
        <v/>
      </c>
      <c r="Q402" s="375">
        <f>IF(L402=" "," ",L402*P402)</f>
        <v/>
      </c>
    </row>
    <row r="403" ht="9.949999999999999" customHeight="1" s="244">
      <c r="A403" s="366" t="inlineStr">
        <is>
          <t>İDM</t>
        </is>
      </c>
      <c r="B403" s="367" t="inlineStr"/>
      <c r="C403" s="368" t="n"/>
      <c r="D403" s="369" t="n">
        <v>0.41</v>
      </c>
      <c r="E403" s="369" t="n">
        <v>3</v>
      </c>
      <c r="F403" s="370">
        <f>IF(D403=0," ",D403*E403)</f>
        <v/>
      </c>
      <c r="G403" s="371" t="n">
        <v>1</v>
      </c>
      <c r="H403" s="372" t="n"/>
      <c r="I403" s="370">
        <f>IF(F403=" "," ",F403*G403-H403)</f>
        <v/>
      </c>
      <c r="J403" s="369" t="n">
        <v>0.332</v>
      </c>
      <c r="K403" s="371" t="n">
        <v>10</v>
      </c>
      <c r="L403" s="373">
        <f>IF(I403=" "," ",I403*J403*K403)</f>
        <v/>
      </c>
      <c r="M403" s="374" t="n">
        <v>7</v>
      </c>
      <c r="N403" s="371" t="n">
        <v>0</v>
      </c>
      <c r="O403" s="374" t="n">
        <v>0</v>
      </c>
      <c r="P403" s="370">
        <f>IF(M403=" "," ",(1+(M403+N403+O403)/100))</f>
        <v/>
      </c>
      <c r="Q403" s="375">
        <f>IF(L403=" "," ",L403*P403)</f>
        <v/>
      </c>
    </row>
    <row r="404" ht="9.949999999999999" customHeight="1" s="244">
      <c r="A404" s="366" t="inlineStr">
        <is>
          <t>İDM</t>
        </is>
      </c>
      <c r="B404" s="367" t="inlineStr"/>
      <c r="C404" s="368" t="n"/>
      <c r="D404" s="369" t="n">
        <v>6.93</v>
      </c>
      <c r="E404" s="369" t="n">
        <v>3</v>
      </c>
      <c r="F404" s="370">
        <f>IF(D404=0," ",D404*E404)</f>
        <v/>
      </c>
      <c r="G404" s="371" t="n">
        <v>1</v>
      </c>
      <c r="H404" s="372" t="n"/>
      <c r="I404" s="370">
        <f>IF(F404=" "," ",F404*G404-H404)</f>
        <v/>
      </c>
      <c r="J404" s="369" t="n">
        <v>0.332</v>
      </c>
      <c r="K404" s="371" t="n">
        <v>5</v>
      </c>
      <c r="L404" s="373">
        <f>IF(I404=" "," ",I404*J404*K404)</f>
        <v/>
      </c>
      <c r="M404" s="374" t="n">
        <v>7</v>
      </c>
      <c r="N404" s="371" t="n">
        <v>0</v>
      </c>
      <c r="O404" s="374" t="n">
        <v>0</v>
      </c>
      <c r="P404" s="370">
        <f>IF(M404=" "," ",(1+(M404+N404+O404)/100))</f>
        <v/>
      </c>
      <c r="Q404" s="375">
        <f>IF(L404=" "," ",L404*P404)</f>
        <v/>
      </c>
    </row>
    <row r="405" ht="9.949999999999999" customHeight="1" s="244">
      <c r="A405" s="376" t="n"/>
      <c r="B405" s="377" t="n"/>
      <c r="C405" s="377" t="n"/>
      <c r="D405" s="378" t="n"/>
      <c r="E405" s="378" t="n"/>
      <c r="F405" s="378" t="n"/>
      <c r="G405" s="379" t="n"/>
      <c r="H405" s="378" t="n"/>
      <c r="I405" s="378" t="n"/>
      <c r="J405" s="378" t="n"/>
      <c r="K405" s="379" t="n"/>
      <c r="L405" s="380" t="n"/>
      <c r="M405" s="381" t="n"/>
      <c r="N405" s="381" t="n"/>
      <c r="O405" s="381" t="n"/>
      <c r="P405" s="382" t="n"/>
      <c r="Q405" s="383">
        <f>SUM(Q400:Q404)</f>
        <v/>
      </c>
    </row>
    <row r="406" ht="9.949999999999999" customHeight="1" s="244">
      <c r="A406" s="384" t="n"/>
      <c r="B406" s="385" t="n"/>
      <c r="C406" s="385" t="n"/>
      <c r="D406" s="386" t="n"/>
      <c r="E406" s="387" t="n"/>
      <c r="F406" s="388" t="n"/>
      <c r="G406" s="389" t="n"/>
      <c r="H406" s="388" t="n"/>
      <c r="I406" s="390" t="n"/>
      <c r="J406" s="391" t="inlineStr">
        <is>
          <t>Qs=</t>
        </is>
      </c>
      <c r="K406" s="390" t="inlineStr">
        <is>
          <t>S a</t>
        </is>
      </c>
      <c r="L406" s="388" t="inlineStr">
        <is>
          <t>L</t>
        </is>
      </c>
      <c r="M406" s="389" t="inlineStr">
        <is>
          <t>R</t>
        </is>
      </c>
      <c r="N406" s="392" t="inlineStr">
        <is>
          <t>H</t>
        </is>
      </c>
      <c r="O406" s="393" t="inlineStr">
        <is>
          <t>D  T</t>
        </is>
      </c>
      <c r="P406" s="389" t="inlineStr">
        <is>
          <t>Ze</t>
        </is>
      </c>
      <c r="Q406" s="394" t="n"/>
    </row>
    <row r="407" ht="9.949999999999999" customHeight="1" s="244">
      <c r="A407" s="395" t="inlineStr">
        <is>
          <t xml:space="preserve"> </t>
        </is>
      </c>
      <c r="C407" s="397" t="n"/>
      <c r="D407" s="397" t="n"/>
      <c r="E407" s="398" t="n"/>
      <c r="F407" s="399" t="n"/>
      <c r="G407" s="400" t="n"/>
      <c r="H407" s="401" t="n"/>
      <c r="I407" s="402" t="n"/>
      <c r="J407" s="403" t="inlineStr">
        <is>
          <t>Qs  =</t>
        </is>
      </c>
      <c r="K407" s="404" t="n">
        <v>2</v>
      </c>
      <c r="L407" s="404" t="n">
        <v>0</v>
      </c>
      <c r="M407" s="404" t="n">
        <v>0.9</v>
      </c>
      <c r="N407" s="404" t="n">
        <v>0.67</v>
      </c>
      <c r="O407" s="381" t="n">
        <v>23</v>
      </c>
      <c r="P407" s="404" t="n">
        <v>1</v>
      </c>
      <c r="Q407" s="383">
        <f>K407*L407*M407*N407*O407*P407</f>
        <v/>
      </c>
    </row>
    <row r="408" ht="9.949999999999999" customHeight="1" s="244">
      <c r="A408" s="405" t="n"/>
      <c r="B408" s="406" t="n"/>
      <c r="C408" s="397" t="n"/>
      <c r="D408" s="397" t="n"/>
      <c r="E408" s="378" t="n"/>
      <c r="F408" s="256" t="n"/>
      <c r="G408" s="407" t="n"/>
      <c r="H408" s="397" t="n"/>
      <c r="I408" s="397" t="n"/>
      <c r="J408" s="397" t="n"/>
      <c r="K408" s="407" t="n"/>
      <c r="L408" s="408" t="n"/>
      <c r="M408" s="409" t="inlineStr">
        <is>
          <t xml:space="preserve">   TOPLAM ISI KAYBI =</t>
        </is>
      </c>
      <c r="N408" s="409" t="n"/>
      <c r="O408" s="410" t="n"/>
      <c r="P408" s="409" t="n"/>
      <c r="Q408" s="411">
        <f>Q405+Q407</f>
        <v/>
      </c>
    </row>
    <row r="409" ht="10.35" customHeight="1" s="244">
      <c r="A409" s="359" t="n"/>
      <c r="B409" s="360" t="n"/>
      <c r="C409" s="360" t="n"/>
      <c r="D409" s="360" t="n"/>
      <c r="E409" s="360" t="n"/>
      <c r="F409" s="361" t="inlineStr">
        <is>
          <t>1</t>
        </is>
      </c>
      <c r="G409" s="362" t="inlineStr">
        <is>
          <t>0</t>
        </is>
      </c>
      <c r="H409" s="360" t="inlineStr">
        <is>
          <t>1E1-01</t>
        </is>
      </c>
      <c r="I409" s="363" t="inlineStr">
        <is>
          <t>OFİS E1 ODA</t>
        </is>
      </c>
      <c r="J409" s="364" t="n"/>
      <c r="K409" s="360" t="inlineStr">
        <is>
          <t>20ºC</t>
        </is>
      </c>
      <c r="L409" s="360" t="n"/>
      <c r="M409" s="360" t="n"/>
      <c r="N409" s="360" t="n"/>
      <c r="O409" s="360" t="n"/>
      <c r="P409" s="360" t="n"/>
      <c r="Q409" s="365" t="n"/>
    </row>
    <row r="410" ht="9.949999999999999" customHeight="1" s="244">
      <c r="A410" s="366" t="inlineStr">
        <is>
          <t>DD</t>
        </is>
      </c>
      <c r="B410" s="367" t="inlineStr">
        <is>
          <t>G</t>
        </is>
      </c>
      <c r="C410" s="368" t="n"/>
      <c r="D410" s="369" t="n">
        <v>4.87</v>
      </c>
      <c r="E410" s="369" t="n">
        <v>2.5</v>
      </c>
      <c r="F410" s="370">
        <f>IF(D410=0," ",D410*E410)</f>
        <v/>
      </c>
      <c r="G410" s="371" t="n">
        <v>1</v>
      </c>
      <c r="H410" s="372">
        <f>F412*G412</f>
        <v/>
      </c>
      <c r="I410" s="370">
        <f>IF(F410=" "," ",F410*G410-H410)</f>
        <v/>
      </c>
      <c r="J410" s="369" t="n">
        <v>0.344</v>
      </c>
      <c r="K410" s="371" t="n">
        <v>23</v>
      </c>
      <c r="L410" s="373">
        <f>IF(I410=" "," ",I410*J410*K410)</f>
        <v/>
      </c>
      <c r="M410" s="374" t="n">
        <v>7</v>
      </c>
      <c r="N410" s="371" t="n">
        <v>0</v>
      </c>
      <c r="O410" s="374" t="n">
        <v>-5</v>
      </c>
      <c r="P410" s="370">
        <f>IF(M410=" "," ",(1+(M410+N410+O410)/100))</f>
        <v/>
      </c>
      <c r="Q410" s="375">
        <f>IF(L410=" "," ",L410*P410)</f>
        <v/>
      </c>
    </row>
    <row r="411" ht="9.949999999999999" customHeight="1" s="244">
      <c r="A411" s="366" t="inlineStr">
        <is>
          <t>DD25</t>
        </is>
      </c>
      <c r="B411" s="367" t="inlineStr">
        <is>
          <t>G</t>
        </is>
      </c>
      <c r="C411" s="368" t="n"/>
      <c r="D411" s="369">
        <f>D410</f>
        <v/>
      </c>
      <c r="E411" s="369" t="n">
        <v>0.5</v>
      </c>
      <c r="F411" s="370">
        <f>IF(D411=0," ",D411*E411)</f>
        <v/>
      </c>
      <c r="G411" s="371" t="n">
        <v>1</v>
      </c>
      <c r="H411" s="372" t="n"/>
      <c r="I411" s="370">
        <f>IF(F411=" "," ",F411*G411-H411)</f>
        <v/>
      </c>
      <c r="J411" s="369" t="n">
        <v>0.387</v>
      </c>
      <c r="K411" s="371" t="n">
        <v>23</v>
      </c>
      <c r="L411" s="373">
        <f>IF(I411=" "," ",I411*J411*K411)</f>
        <v/>
      </c>
      <c r="M411" s="374" t="n">
        <v>7</v>
      </c>
      <c r="N411" s="371" t="n">
        <v>0</v>
      </c>
      <c r="O411" s="374" t="n">
        <v>-5</v>
      </c>
      <c r="P411" s="370">
        <f>IF(M411=" "," ",(1+(M411+N411+O411)/100))</f>
        <v/>
      </c>
      <c r="Q411" s="375">
        <f>IF(L411=" "," ",L411*P411)</f>
        <v/>
      </c>
    </row>
    <row r="412" ht="9.949999999999999" customHeight="1" s="244">
      <c r="A412" s="366" t="inlineStr">
        <is>
          <t>ÇP</t>
        </is>
      </c>
      <c r="B412" s="367" t="inlineStr">
        <is>
          <t>G</t>
        </is>
      </c>
      <c r="C412" s="368" t="n"/>
      <c r="D412" s="369" t="n">
        <v>2.68</v>
      </c>
      <c r="E412" s="369" t="n">
        <v>1.5</v>
      </c>
      <c r="F412" s="370">
        <f>IF(D412=0," ",D412*E412)</f>
        <v/>
      </c>
      <c r="G412" s="371" t="n">
        <v>1</v>
      </c>
      <c r="H412" s="372" t="n"/>
      <c r="I412" s="370">
        <f>IF(F412=" "," ",F412*G412-H412)</f>
        <v/>
      </c>
      <c r="J412" s="369" t="n">
        <v>1.8</v>
      </c>
      <c r="K412" s="371" t="n">
        <v>23</v>
      </c>
      <c r="L412" s="373">
        <f>IF(I412=" "," ",I412*J412*K412)</f>
        <v/>
      </c>
      <c r="M412" s="374" t="n">
        <v>7</v>
      </c>
      <c r="N412" s="371" t="n">
        <v>0</v>
      </c>
      <c r="O412" s="374" t="n">
        <v>-5</v>
      </c>
      <c r="P412" s="370">
        <f>IF(M412=" "," ",(1+(M412+N412+O412)/100))</f>
        <v/>
      </c>
      <c r="Q412" s="375">
        <f>IF(L412=" "," ",L412*P412)</f>
        <v/>
      </c>
    </row>
    <row r="413" ht="9.949999999999999" customHeight="1" s="244">
      <c r="A413" s="366" t="inlineStr">
        <is>
          <t>İDM</t>
        </is>
      </c>
      <c r="B413" s="367" t="inlineStr"/>
      <c r="C413" s="368" t="n"/>
      <c r="D413" s="369" t="n">
        <v>6.48</v>
      </c>
      <c r="E413" s="369" t="n">
        <v>3</v>
      </c>
      <c r="F413" s="370">
        <f>IF(D413=0," ",D413*E413)</f>
        <v/>
      </c>
      <c r="G413" s="371" t="n">
        <v>1</v>
      </c>
      <c r="H413" s="372" t="n"/>
      <c r="I413" s="370">
        <f>IF(F413=" "," ",F413*G413-H413)</f>
        <v/>
      </c>
      <c r="J413" s="369" t="n">
        <v>0.332</v>
      </c>
      <c r="K413" s="371" t="n">
        <v>10</v>
      </c>
      <c r="L413" s="373">
        <f>IF(I413=" "," ",I413*J413*K413)</f>
        <v/>
      </c>
      <c r="M413" s="374" t="n">
        <v>7</v>
      </c>
      <c r="N413" s="371" t="n">
        <v>0</v>
      </c>
      <c r="O413" s="374" t="n">
        <v>0</v>
      </c>
      <c r="P413" s="370">
        <f>IF(M413=" "," ",(1+(M413+N413+O413)/100))</f>
        <v/>
      </c>
      <c r="Q413" s="375">
        <f>IF(L413=" "," ",L413*P413)</f>
        <v/>
      </c>
    </row>
    <row r="414" ht="9.949999999999999" customHeight="1" s="244">
      <c r="A414" s="366" t="inlineStr">
        <is>
          <t>İDM</t>
        </is>
      </c>
      <c r="B414" s="367" t="inlineStr"/>
      <c r="C414" s="368" t="n"/>
      <c r="D414" s="369" t="n">
        <v>0.34</v>
      </c>
      <c r="E414" s="369" t="n">
        <v>3</v>
      </c>
      <c r="F414" s="370">
        <f>IF(D414=0," ",D414*E414)</f>
        <v/>
      </c>
      <c r="G414" s="371" t="n">
        <v>1</v>
      </c>
      <c r="H414" s="372" t="n"/>
      <c r="I414" s="370">
        <f>IF(F414=" "," ",F414*G414-H414)</f>
        <v/>
      </c>
      <c r="J414" s="369" t="n">
        <v>0.332</v>
      </c>
      <c r="K414" s="371" t="n">
        <v>10</v>
      </c>
      <c r="L414" s="373">
        <f>IF(I414=" "," ",I414*J414*K414)</f>
        <v/>
      </c>
      <c r="M414" s="374" t="n">
        <v>7</v>
      </c>
      <c r="N414" s="371" t="n">
        <v>0</v>
      </c>
      <c r="O414" s="374" t="n">
        <v>0</v>
      </c>
      <c r="P414" s="370">
        <f>IF(M414=" "," ",(1+(M414+N414+O414)/100))</f>
        <v/>
      </c>
      <c r="Q414" s="375">
        <f>IF(L414=" "," ",L414*P414)</f>
        <v/>
      </c>
    </row>
    <row r="415" ht="9.949999999999999" customHeight="1" s="244">
      <c r="A415" s="366" t="inlineStr">
        <is>
          <t>İDM</t>
        </is>
      </c>
      <c r="B415" s="367" t="inlineStr"/>
      <c r="C415" s="368" t="n"/>
      <c r="D415" s="369" t="n">
        <v>0.8</v>
      </c>
      <c r="E415" s="369" t="n">
        <v>3</v>
      </c>
      <c r="F415" s="370">
        <f>IF(D415=0," ",D415*E415)</f>
        <v/>
      </c>
      <c r="G415" s="371" t="n">
        <v>1</v>
      </c>
      <c r="H415" s="372" t="n"/>
      <c r="I415" s="370">
        <f>IF(F415=" "," ",F415*G415-H415)</f>
        <v/>
      </c>
      <c r="J415" s="369" t="n">
        <v>0.332</v>
      </c>
      <c r="K415" s="371" t="n">
        <v>10</v>
      </c>
      <c r="L415" s="373">
        <f>IF(I415=" "," ",I415*J415*K415)</f>
        <v/>
      </c>
      <c r="M415" s="374" t="n">
        <v>7</v>
      </c>
      <c r="N415" s="371" t="n">
        <v>0</v>
      </c>
      <c r="O415" s="374" t="n">
        <v>0</v>
      </c>
      <c r="P415" s="370">
        <f>IF(M415=" "," ",(1+(M415+N415+O415)/100))</f>
        <v/>
      </c>
      <c r="Q415" s="375">
        <f>IF(L415=" "," ",L415*P415)</f>
        <v/>
      </c>
    </row>
    <row r="416" ht="9.949999999999999" customHeight="1" s="244">
      <c r="A416" s="366" t="inlineStr">
        <is>
          <t>İDM</t>
        </is>
      </c>
      <c r="B416" s="367" t="inlineStr"/>
      <c r="C416" s="368" t="n"/>
      <c r="D416" s="369" t="n">
        <v>0.51</v>
      </c>
      <c r="E416" s="369" t="n">
        <v>3</v>
      </c>
      <c r="F416" s="370">
        <f>IF(D416=0," ",D416*E416)</f>
        <v/>
      </c>
      <c r="G416" s="371" t="n">
        <v>1</v>
      </c>
      <c r="H416" s="372" t="n"/>
      <c r="I416" s="370">
        <f>IF(F416=" "," ",F416*G416-H416)</f>
        <v/>
      </c>
      <c r="J416" s="369" t="n">
        <v>0.332</v>
      </c>
      <c r="K416" s="371" t="n">
        <v>10</v>
      </c>
      <c r="L416" s="373">
        <f>IF(I416=" "," ",I416*J416*K416)</f>
        <v/>
      </c>
      <c r="M416" s="374" t="n">
        <v>7</v>
      </c>
      <c r="N416" s="371" t="n">
        <v>0</v>
      </c>
      <c r="O416" s="374" t="n">
        <v>0</v>
      </c>
      <c r="P416" s="370">
        <f>IF(M416=" "," ",(1+(M416+N416+O416)/100))</f>
        <v/>
      </c>
      <c r="Q416" s="375">
        <f>IF(L416=" "," ",L416*P416)</f>
        <v/>
      </c>
    </row>
    <row r="417" ht="9.949999999999999" customHeight="1" s="244">
      <c r="A417" s="376" t="n"/>
      <c r="B417" s="377" t="n"/>
      <c r="C417" s="377" t="n"/>
      <c r="D417" s="378" t="n"/>
      <c r="E417" s="378" t="n"/>
      <c r="F417" s="378" t="n"/>
      <c r="G417" s="379" t="n"/>
      <c r="H417" s="378" t="n"/>
      <c r="I417" s="378" t="n"/>
      <c r="J417" s="378" t="n"/>
      <c r="K417" s="379" t="n"/>
      <c r="L417" s="380" t="n"/>
      <c r="M417" s="381" t="n"/>
      <c r="N417" s="381" t="n"/>
      <c r="O417" s="381" t="n"/>
      <c r="P417" s="382" t="n"/>
      <c r="Q417" s="383">
        <f>SUM(Q410:Q416)</f>
        <v/>
      </c>
    </row>
    <row r="418" ht="9.949999999999999" customHeight="1" s="244">
      <c r="A418" s="384" t="n"/>
      <c r="B418" s="385" t="n"/>
      <c r="C418" s="385" t="n"/>
      <c r="D418" s="386" t="n"/>
      <c r="E418" s="387" t="n"/>
      <c r="F418" s="388" t="n"/>
      <c r="G418" s="389" t="n"/>
      <c r="H418" s="388" t="n"/>
      <c r="I418" s="390" t="n"/>
      <c r="J418" s="391" t="inlineStr">
        <is>
          <t>Qs=</t>
        </is>
      </c>
      <c r="K418" s="390" t="inlineStr">
        <is>
          <t>S a</t>
        </is>
      </c>
      <c r="L418" s="388" t="inlineStr">
        <is>
          <t>L</t>
        </is>
      </c>
      <c r="M418" s="389" t="inlineStr">
        <is>
          <t>R</t>
        </is>
      </c>
      <c r="N418" s="392" t="inlineStr">
        <is>
          <t>H</t>
        </is>
      </c>
      <c r="O418" s="393" t="inlineStr">
        <is>
          <t>D  T</t>
        </is>
      </c>
      <c r="P418" s="389" t="inlineStr">
        <is>
          <t>Ze</t>
        </is>
      </c>
      <c r="Q418" s="394" t="n"/>
    </row>
    <row r="419" ht="9.949999999999999" customHeight="1" s="244">
      <c r="A419" s="395" t="inlineStr">
        <is>
          <t xml:space="preserve"> </t>
        </is>
      </c>
      <c r="C419" s="397" t="n"/>
      <c r="D419" s="397" t="n"/>
      <c r="E419" s="398" t="n"/>
      <c r="F419" s="399" t="n"/>
      <c r="G419" s="400" t="n"/>
      <c r="H419" s="401" t="n"/>
      <c r="I419" s="402" t="n"/>
      <c r="J419" s="403" t="inlineStr">
        <is>
          <t>Qs  =</t>
        </is>
      </c>
      <c r="K419" s="404" t="n">
        <v>2</v>
      </c>
      <c r="L419" s="404">
        <f>(D412+E412)*2*G412</f>
        <v/>
      </c>
      <c r="M419" s="404" t="n">
        <v>0.9</v>
      </c>
      <c r="N419" s="404" t="n">
        <v>0.67</v>
      </c>
      <c r="O419" s="381" t="n">
        <v>23</v>
      </c>
      <c r="P419" s="404" t="n">
        <v>1</v>
      </c>
      <c r="Q419" s="383">
        <f>K419*L419*M419*N419*O419*P419</f>
        <v/>
      </c>
    </row>
    <row r="420" ht="9.949999999999999" customHeight="1" s="244">
      <c r="A420" s="405" t="n"/>
      <c r="B420" s="406" t="n"/>
      <c r="C420" s="397" t="n"/>
      <c r="D420" s="397" t="n"/>
      <c r="E420" s="378" t="n"/>
      <c r="F420" s="256" t="n"/>
      <c r="G420" s="407" t="n"/>
      <c r="H420" s="397" t="n"/>
      <c r="I420" s="397" t="n"/>
      <c r="J420" s="397" t="n"/>
      <c r="K420" s="407" t="n"/>
      <c r="L420" s="408" t="n"/>
      <c r="M420" s="409" t="inlineStr">
        <is>
          <t xml:space="preserve">   TOPLAM ISI KAYBI =</t>
        </is>
      </c>
      <c r="N420" s="409" t="n"/>
      <c r="O420" s="410" t="n"/>
      <c r="P420" s="409" t="n"/>
      <c r="Q420" s="411">
        <f>Q417+Q419</f>
        <v/>
      </c>
    </row>
    <row r="421" ht="10.35" customHeight="1" s="244">
      <c r="A421" s="359" t="n"/>
      <c r="B421" s="360" t="n"/>
      <c r="C421" s="360" t="n"/>
      <c r="D421" s="360" t="n"/>
      <c r="E421" s="360" t="n"/>
      <c r="F421" s="361" t="inlineStr">
        <is>
          <t>1</t>
        </is>
      </c>
      <c r="G421" s="362" t="inlineStr">
        <is>
          <t>0</t>
        </is>
      </c>
      <c r="H421" s="360" t="inlineStr">
        <is>
          <t>1E1-02</t>
        </is>
      </c>
      <c r="I421" s="363" t="inlineStr">
        <is>
          <t>OFİS E1 GİRİŞ HOLÜ</t>
        </is>
      </c>
      <c r="J421" s="364" t="n"/>
      <c r="K421" s="360" t="inlineStr">
        <is>
          <t>20ºC</t>
        </is>
      </c>
      <c r="L421" s="360" t="n"/>
      <c r="M421" s="360" t="n"/>
      <c r="N421" s="360" t="n"/>
      <c r="O421" s="360" t="n"/>
      <c r="P421" s="360" t="n"/>
      <c r="Q421" s="365" t="n"/>
    </row>
    <row r="422" ht="9.949999999999999" customHeight="1" s="244">
      <c r="A422" s="366" t="inlineStr">
        <is>
          <t>İDM</t>
        </is>
      </c>
      <c r="B422" s="367" t="inlineStr"/>
      <c r="C422" s="368" t="n"/>
      <c r="D422" s="369" t="n">
        <v>1.27</v>
      </c>
      <c r="E422" s="369" t="n">
        <v>3</v>
      </c>
      <c r="F422" s="370">
        <f>IF(D422=0," ",D422*E422)</f>
        <v/>
      </c>
      <c r="G422" s="371" t="n">
        <v>1</v>
      </c>
      <c r="H422" s="372" t="n"/>
      <c r="I422" s="370">
        <f>IF(F422=" "," ",F422*G422-H422)</f>
        <v/>
      </c>
      <c r="J422" s="369" t="n">
        <v>0.332</v>
      </c>
      <c r="K422" s="371" t="n">
        <v>10</v>
      </c>
      <c r="L422" s="373">
        <f>IF(I422=" "," ",I422*J422*K422)</f>
        <v/>
      </c>
      <c r="M422" s="374" t="n">
        <v>7</v>
      </c>
      <c r="N422" s="371" t="n">
        <v>0</v>
      </c>
      <c r="O422" s="374" t="n">
        <v>0</v>
      </c>
      <c r="P422" s="370">
        <f>IF(M422=" "," ",(1+(M422+N422+O422)/100))</f>
        <v/>
      </c>
      <c r="Q422" s="375">
        <f>IF(L422=" "," ",L422*P422)</f>
        <v/>
      </c>
    </row>
    <row r="423" ht="9.949999999999999" customHeight="1" s="244">
      <c r="A423" s="366" t="inlineStr">
        <is>
          <t>İDM</t>
        </is>
      </c>
      <c r="B423" s="367" t="inlineStr"/>
      <c r="C423" s="368" t="n"/>
      <c r="D423" s="369" t="n">
        <v>0.86</v>
      </c>
      <c r="E423" s="369" t="n">
        <v>3</v>
      </c>
      <c r="F423" s="370">
        <f>IF(D423=0," ",D423*E423)</f>
        <v/>
      </c>
      <c r="G423" s="371" t="n">
        <v>1</v>
      </c>
      <c r="H423" s="372" t="n"/>
      <c r="I423" s="370">
        <f>IF(F423=" "," ",F423*G423-H423)</f>
        <v/>
      </c>
      <c r="J423" s="369" t="n">
        <v>0.332</v>
      </c>
      <c r="K423" s="371" t="n">
        <v>10</v>
      </c>
      <c r="L423" s="373">
        <f>IF(I423=" "," ",I423*J423*K423)</f>
        <v/>
      </c>
      <c r="M423" s="374" t="n">
        <v>7</v>
      </c>
      <c r="N423" s="371" t="n">
        <v>0</v>
      </c>
      <c r="O423" s="374" t="n">
        <v>0</v>
      </c>
      <c r="P423" s="370">
        <f>IF(M423=" "," ",(1+(M423+N423+O423)/100))</f>
        <v/>
      </c>
      <c r="Q423" s="375">
        <f>IF(L423=" "," ",L423*P423)</f>
        <v/>
      </c>
    </row>
    <row r="424" ht="9.949999999999999" customHeight="1" s="244">
      <c r="A424" s="366" t="inlineStr">
        <is>
          <t>İDM</t>
        </is>
      </c>
      <c r="B424" s="367" t="inlineStr"/>
      <c r="C424" s="368" t="n"/>
      <c r="D424" s="369" t="n">
        <v>0.43</v>
      </c>
      <c r="E424" s="369" t="n">
        <v>3</v>
      </c>
      <c r="F424" s="370">
        <f>IF(D424=0," ",D424*E424)</f>
        <v/>
      </c>
      <c r="G424" s="371" t="n">
        <v>1</v>
      </c>
      <c r="H424" s="372" t="n"/>
      <c r="I424" s="370">
        <f>IF(F424=" "," ",F424*G424-H424)</f>
        <v/>
      </c>
      <c r="J424" s="369" t="n">
        <v>0.332</v>
      </c>
      <c r="K424" s="371" t="n">
        <v>10</v>
      </c>
      <c r="L424" s="373">
        <f>IF(I424=" "," ",I424*J424*K424)</f>
        <v/>
      </c>
      <c r="M424" s="374" t="n">
        <v>7</v>
      </c>
      <c r="N424" s="371" t="n">
        <v>0</v>
      </c>
      <c r="O424" s="374" t="n">
        <v>0</v>
      </c>
      <c r="P424" s="370">
        <f>IF(M424=" "," ",(1+(M424+N424+O424)/100))</f>
        <v/>
      </c>
      <c r="Q424" s="375">
        <f>IF(L424=" "," ",L424*P424)</f>
        <v/>
      </c>
    </row>
    <row r="425" ht="9.949999999999999" customHeight="1" s="244">
      <c r="A425" s="366" t="inlineStr">
        <is>
          <t>İDM</t>
        </is>
      </c>
      <c r="B425" s="367" t="inlineStr"/>
      <c r="C425" s="368" t="n"/>
      <c r="D425" s="369" t="n">
        <v>0.83</v>
      </c>
      <c r="E425" s="369" t="n">
        <v>3</v>
      </c>
      <c r="F425" s="370">
        <f>IF(D425=0," ",D425*E425)</f>
        <v/>
      </c>
      <c r="G425" s="371" t="n">
        <v>1</v>
      </c>
      <c r="H425" s="372" t="n"/>
      <c r="I425" s="370">
        <f>IF(F425=" "," ",F425*G425-H425)</f>
        <v/>
      </c>
      <c r="J425" s="369" t="n">
        <v>0.332</v>
      </c>
      <c r="K425" s="371" t="n">
        <v>10</v>
      </c>
      <c r="L425" s="373">
        <f>IF(I425=" "," ",I425*J425*K425)</f>
        <v/>
      </c>
      <c r="M425" s="374" t="n">
        <v>7</v>
      </c>
      <c r="N425" s="371" t="n">
        <v>0</v>
      </c>
      <c r="O425" s="374" t="n">
        <v>0</v>
      </c>
      <c r="P425" s="370">
        <f>IF(M425=" "," ",(1+(M425+N425+O425)/100))</f>
        <v/>
      </c>
      <c r="Q425" s="375">
        <f>IF(L425=" "," ",L425*P425)</f>
        <v/>
      </c>
    </row>
    <row r="426" ht="9.949999999999999" customHeight="1" s="244">
      <c r="A426" s="366" t="inlineStr">
        <is>
          <t>İDM</t>
        </is>
      </c>
      <c r="B426" s="367" t="inlineStr"/>
      <c r="C426" s="368" t="n"/>
      <c r="D426" s="369" t="n">
        <v>1.6</v>
      </c>
      <c r="E426" s="369" t="n">
        <v>3</v>
      </c>
      <c r="F426" s="370">
        <f>IF(D426=0," ",D426*E426)</f>
        <v/>
      </c>
      <c r="G426" s="371" t="n">
        <v>1</v>
      </c>
      <c r="H426" s="372" t="n"/>
      <c r="I426" s="370">
        <f>IF(F426=" "," ",F426*G426-H426)</f>
        <v/>
      </c>
      <c r="J426" s="369" t="n">
        <v>0.332</v>
      </c>
      <c r="K426" s="371" t="n">
        <v>10</v>
      </c>
      <c r="L426" s="373">
        <f>IF(I426=" "," ",I426*J426*K426)</f>
        <v/>
      </c>
      <c r="M426" s="374" t="n">
        <v>7</v>
      </c>
      <c r="N426" s="371" t="n">
        <v>0</v>
      </c>
      <c r="O426" s="374" t="n">
        <v>0</v>
      </c>
      <c r="P426" s="370">
        <f>IF(M426=" "," ",(1+(M426+N426+O426)/100))</f>
        <v/>
      </c>
      <c r="Q426" s="375">
        <f>IF(L426=" "," ",L426*P426)</f>
        <v/>
      </c>
    </row>
    <row r="427" ht="9.949999999999999" customHeight="1" s="244">
      <c r="A427" s="366" t="inlineStr">
        <is>
          <t>İDM</t>
        </is>
      </c>
      <c r="B427" s="367" t="inlineStr"/>
      <c r="C427" s="368" t="n"/>
      <c r="D427" s="369" t="n">
        <v>0.63</v>
      </c>
      <c r="E427" s="369" t="n">
        <v>3</v>
      </c>
      <c r="F427" s="370">
        <f>IF(D427=0," ",D427*E427)</f>
        <v/>
      </c>
      <c r="G427" s="371" t="n">
        <v>1</v>
      </c>
      <c r="H427" s="372" t="n"/>
      <c r="I427" s="370">
        <f>IF(F427=" "," ",F427*G427-H427)</f>
        <v/>
      </c>
      <c r="J427" s="369" t="n">
        <v>0.332</v>
      </c>
      <c r="K427" s="371" t="n">
        <v>10</v>
      </c>
      <c r="L427" s="373">
        <f>IF(I427=" "," ",I427*J427*K427)</f>
        <v/>
      </c>
      <c r="M427" s="374" t="n">
        <v>7</v>
      </c>
      <c r="N427" s="371" t="n">
        <v>0</v>
      </c>
      <c r="O427" s="374" t="n">
        <v>0</v>
      </c>
      <c r="P427" s="370">
        <f>IF(M427=" "," ",(1+(M427+N427+O427)/100))</f>
        <v/>
      </c>
      <c r="Q427" s="375">
        <f>IF(L427=" "," ",L427*P427)</f>
        <v/>
      </c>
    </row>
    <row r="428" ht="9.949999999999999" customHeight="1" s="244">
      <c r="A428" s="366" t="inlineStr">
        <is>
          <t>İDM</t>
        </is>
      </c>
      <c r="B428" s="367" t="inlineStr"/>
      <c r="C428" s="368" t="n"/>
      <c r="D428" s="369" t="n">
        <v>0.43</v>
      </c>
      <c r="E428" s="369" t="n">
        <v>3</v>
      </c>
      <c r="F428" s="370">
        <f>IF(D428=0," ",D428*E428)</f>
        <v/>
      </c>
      <c r="G428" s="371" t="n">
        <v>1</v>
      </c>
      <c r="H428" s="372" t="n"/>
      <c r="I428" s="370">
        <f>IF(F428=" "," ",F428*G428-H428)</f>
        <v/>
      </c>
      <c r="J428" s="369" t="n">
        <v>0.332</v>
      </c>
      <c r="K428" s="371" t="n">
        <v>10</v>
      </c>
      <c r="L428" s="373">
        <f>IF(I428=" "," ",I428*J428*K428)</f>
        <v/>
      </c>
      <c r="M428" s="374" t="n">
        <v>7</v>
      </c>
      <c r="N428" s="371" t="n">
        <v>0</v>
      </c>
      <c r="O428" s="374" t="n">
        <v>0</v>
      </c>
      <c r="P428" s="370">
        <f>IF(M428=" "," ",(1+(M428+N428+O428)/100))</f>
        <v/>
      </c>
      <c r="Q428" s="375">
        <f>IF(L428=" "," ",L428*P428)</f>
        <v/>
      </c>
    </row>
    <row r="429" ht="9.949999999999999" customHeight="1" s="244">
      <c r="A429" s="366" t="inlineStr">
        <is>
          <t>İDM</t>
        </is>
      </c>
      <c r="B429" s="367" t="inlineStr"/>
      <c r="C429" s="368" t="n"/>
      <c r="D429" s="369" t="n">
        <v>3.76</v>
      </c>
      <c r="E429" s="369" t="n">
        <v>3</v>
      </c>
      <c r="F429" s="370">
        <f>IF(D429=0," ",D429*E429)</f>
        <v/>
      </c>
      <c r="G429" s="371" t="n">
        <v>1</v>
      </c>
      <c r="H429" s="372" t="n"/>
      <c r="I429" s="370">
        <f>IF(F429=" "," ",F429*G429-H429)</f>
        <v/>
      </c>
      <c r="J429" s="369" t="n">
        <v>0.332</v>
      </c>
      <c r="K429" s="371" t="n">
        <v>10</v>
      </c>
      <c r="L429" s="373">
        <f>IF(I429=" "," ",I429*J429*K429)</f>
        <v/>
      </c>
      <c r="M429" s="374" t="n">
        <v>7</v>
      </c>
      <c r="N429" s="371" t="n">
        <v>0</v>
      </c>
      <c r="O429" s="374" t="n">
        <v>0</v>
      </c>
      <c r="P429" s="370">
        <f>IF(M429=" "," ",(1+(M429+N429+O429)/100))</f>
        <v/>
      </c>
      <c r="Q429" s="375">
        <f>IF(L429=" "," ",L429*P429)</f>
        <v/>
      </c>
    </row>
    <row r="430" ht="9.949999999999999" customHeight="1" s="244">
      <c r="A430" s="376" t="n"/>
      <c r="B430" s="377" t="n"/>
      <c r="C430" s="377" t="n"/>
      <c r="D430" s="378" t="n"/>
      <c r="E430" s="378" t="n"/>
      <c r="F430" s="378" t="n"/>
      <c r="G430" s="379" t="n"/>
      <c r="H430" s="378" t="n"/>
      <c r="I430" s="378" t="n"/>
      <c r="J430" s="378" t="n"/>
      <c r="K430" s="379" t="n"/>
      <c r="L430" s="380" t="n"/>
      <c r="M430" s="381" t="n"/>
      <c r="N430" s="381" t="n"/>
      <c r="O430" s="381" t="n"/>
      <c r="P430" s="382" t="n"/>
      <c r="Q430" s="383">
        <f>SUM(Q422:Q429)</f>
        <v/>
      </c>
    </row>
    <row r="431" ht="9.949999999999999" customHeight="1" s="244">
      <c r="A431" s="384" t="n"/>
      <c r="B431" s="385" t="n"/>
      <c r="C431" s="385" t="n"/>
      <c r="D431" s="386" t="n"/>
      <c r="E431" s="387" t="n"/>
      <c r="F431" s="388" t="n"/>
      <c r="G431" s="389" t="n"/>
      <c r="H431" s="388" t="n"/>
      <c r="I431" s="390" t="n"/>
      <c r="J431" s="391" t="inlineStr">
        <is>
          <t>Qs=</t>
        </is>
      </c>
      <c r="K431" s="390" t="inlineStr">
        <is>
          <t>S a</t>
        </is>
      </c>
      <c r="L431" s="388" t="inlineStr">
        <is>
          <t>L</t>
        </is>
      </c>
      <c r="M431" s="389" t="inlineStr">
        <is>
          <t>R</t>
        </is>
      </c>
      <c r="N431" s="392" t="inlineStr">
        <is>
          <t>H</t>
        </is>
      </c>
      <c r="O431" s="393" t="inlineStr">
        <is>
          <t>D  T</t>
        </is>
      </c>
      <c r="P431" s="389" t="inlineStr">
        <is>
          <t>Ze</t>
        </is>
      </c>
      <c r="Q431" s="394" t="n"/>
    </row>
    <row r="432" ht="9.949999999999999" customHeight="1" s="244">
      <c r="A432" s="395" t="inlineStr">
        <is>
          <t xml:space="preserve"> </t>
        </is>
      </c>
      <c r="C432" s="397" t="n"/>
      <c r="D432" s="397" t="n"/>
      <c r="E432" s="398" t="n"/>
      <c r="F432" s="399" t="n"/>
      <c r="G432" s="400" t="n"/>
      <c r="H432" s="401" t="n"/>
      <c r="I432" s="402" t="n"/>
      <c r="J432" s="403" t="inlineStr">
        <is>
          <t>Qs  =</t>
        </is>
      </c>
      <c r="K432" s="404" t="n">
        <v>2</v>
      </c>
      <c r="L432" s="404" t="n">
        <v>0</v>
      </c>
      <c r="M432" s="404" t="n">
        <v>0.9</v>
      </c>
      <c r="N432" s="404" t="n">
        <v>0.67</v>
      </c>
      <c r="O432" s="381" t="n">
        <v>23</v>
      </c>
      <c r="P432" s="404" t="n">
        <v>1</v>
      </c>
      <c r="Q432" s="383">
        <f>K432*L432*M432*N432*O432*P432</f>
        <v/>
      </c>
    </row>
    <row r="433" ht="9.949999999999999" customHeight="1" s="244">
      <c r="A433" s="405" t="n"/>
      <c r="B433" s="406" t="n"/>
      <c r="C433" s="397" t="n"/>
      <c r="D433" s="397" t="n"/>
      <c r="E433" s="378" t="n"/>
      <c r="F433" s="256" t="n"/>
      <c r="G433" s="407" t="n"/>
      <c r="H433" s="397" t="n"/>
      <c r="I433" s="397" t="n"/>
      <c r="J433" s="397" t="n"/>
      <c r="K433" s="407" t="n"/>
      <c r="L433" s="408" t="n"/>
      <c r="M433" s="409" t="inlineStr">
        <is>
          <t xml:space="preserve">   TOPLAM ISI KAYBI =</t>
        </is>
      </c>
      <c r="N433" s="409" t="n"/>
      <c r="O433" s="410" t="n"/>
      <c r="P433" s="409" t="n"/>
      <c r="Q433" s="411">
        <f>Q430+Q432</f>
        <v/>
      </c>
    </row>
    <row r="434" ht="10.35" customHeight="1" s="244">
      <c r="A434" s="359" t="n"/>
      <c r="B434" s="360" t="n"/>
      <c r="C434" s="360" t="n"/>
      <c r="D434" s="360" t="n"/>
      <c r="E434" s="360" t="n"/>
      <c r="F434" s="361" t="inlineStr">
        <is>
          <t>1</t>
        </is>
      </c>
      <c r="G434" s="362" t="inlineStr">
        <is>
          <t>0</t>
        </is>
      </c>
      <c r="H434" s="360" t="inlineStr">
        <is>
          <t>1E1-03</t>
        </is>
      </c>
      <c r="I434" s="363" t="inlineStr">
        <is>
          <t>OFİS E1 ODA</t>
        </is>
      </c>
      <c r="J434" s="364" t="n"/>
      <c r="K434" s="360" t="inlineStr">
        <is>
          <t>20ºC</t>
        </is>
      </c>
      <c r="L434" s="360" t="n"/>
      <c r="M434" s="360" t="n"/>
      <c r="N434" s="360" t="n"/>
      <c r="O434" s="360" t="n"/>
      <c r="P434" s="360" t="n"/>
      <c r="Q434" s="365" t="n"/>
    </row>
    <row r="435" ht="9.949999999999999" customHeight="1" s="244">
      <c r="A435" s="376" t="n"/>
      <c r="B435" s="377" t="n"/>
      <c r="C435" s="377" t="n"/>
      <c r="D435" s="378" t="n"/>
      <c r="E435" s="378" t="n"/>
      <c r="F435" s="378" t="n"/>
      <c r="G435" s="379" t="n"/>
      <c r="H435" s="378" t="n"/>
      <c r="I435" s="378" t="n"/>
      <c r="J435" s="378" t="n"/>
      <c r="K435" s="379" t="n"/>
      <c r="L435" s="380" t="n"/>
      <c r="M435" s="381" t="n"/>
      <c r="N435" s="381" t="n"/>
      <c r="O435" s="381" t="n"/>
      <c r="P435" s="382" t="n"/>
      <c r="Q435" s="383" t="n">
        <v>0</v>
      </c>
    </row>
    <row r="436" ht="9.949999999999999" customHeight="1" s="244">
      <c r="A436" s="384" t="n"/>
      <c r="B436" s="385" t="n"/>
      <c r="C436" s="385" t="n"/>
      <c r="D436" s="386" t="n"/>
      <c r="E436" s="387" t="n"/>
      <c r="F436" s="388" t="n"/>
      <c r="G436" s="389" t="n"/>
      <c r="H436" s="388" t="n"/>
      <c r="I436" s="390" t="n"/>
      <c r="J436" s="391" t="inlineStr">
        <is>
          <t>Qs=</t>
        </is>
      </c>
      <c r="K436" s="390" t="inlineStr">
        <is>
          <t>S a</t>
        </is>
      </c>
      <c r="L436" s="388" t="inlineStr">
        <is>
          <t>L</t>
        </is>
      </c>
      <c r="M436" s="389" t="inlineStr">
        <is>
          <t>R</t>
        </is>
      </c>
      <c r="N436" s="392" t="inlineStr">
        <is>
          <t>H</t>
        </is>
      </c>
      <c r="O436" s="393" t="inlineStr">
        <is>
          <t>D  T</t>
        </is>
      </c>
      <c r="P436" s="389" t="inlineStr">
        <is>
          <t>Ze</t>
        </is>
      </c>
      <c r="Q436" s="394" t="n"/>
    </row>
    <row r="437" ht="9.949999999999999" customHeight="1" s="244">
      <c r="A437" s="395" t="inlineStr">
        <is>
          <t xml:space="preserve"> </t>
        </is>
      </c>
      <c r="C437" s="397" t="n"/>
      <c r="D437" s="397" t="n"/>
      <c r="E437" s="398" t="n"/>
      <c r="F437" s="399" t="n"/>
      <c r="G437" s="400" t="n"/>
      <c r="H437" s="401" t="n"/>
      <c r="I437" s="402" t="n"/>
      <c r="J437" s="403" t="inlineStr">
        <is>
          <t>Qs  =</t>
        </is>
      </c>
      <c r="K437" s="404" t="n">
        <v>2</v>
      </c>
      <c r="L437" s="404" t="n">
        <v>0</v>
      </c>
      <c r="M437" s="404" t="n">
        <v>0.9</v>
      </c>
      <c r="N437" s="404" t="n">
        <v>0.67</v>
      </c>
      <c r="O437" s="381" t="n">
        <v>23</v>
      </c>
      <c r="P437" s="404" t="n">
        <v>1</v>
      </c>
      <c r="Q437" s="383">
        <f>K437*L437*M437*N437*O437*P437</f>
        <v/>
      </c>
    </row>
    <row r="438" ht="9.949999999999999" customHeight="1" s="244">
      <c r="A438" s="405" t="n"/>
      <c r="B438" s="406" t="n"/>
      <c r="C438" s="397" t="n"/>
      <c r="D438" s="397" t="n"/>
      <c r="E438" s="378" t="n"/>
      <c r="F438" s="256" t="n"/>
      <c r="G438" s="407" t="n"/>
      <c r="H438" s="397" t="n"/>
      <c r="I438" s="397" t="n"/>
      <c r="J438" s="397" t="n"/>
      <c r="K438" s="407" t="n"/>
      <c r="L438" s="408" t="n"/>
      <c r="M438" s="409" t="inlineStr">
        <is>
          <t xml:space="preserve">   TOPLAM ISI KAYBI =</t>
        </is>
      </c>
      <c r="N438" s="409" t="n"/>
      <c r="O438" s="410" t="n"/>
      <c r="P438" s="409" t="n"/>
      <c r="Q438" s="411">
        <f>Q435+Q437</f>
        <v/>
      </c>
    </row>
    <row r="439" ht="10.35" customHeight="1" s="244">
      <c r="A439" s="359" t="n"/>
      <c r="B439" s="360" t="n"/>
      <c r="C439" s="360" t="n"/>
      <c r="D439" s="360" t="n"/>
      <c r="E439" s="360" t="n"/>
      <c r="F439" s="361" t="inlineStr">
        <is>
          <t>1</t>
        </is>
      </c>
      <c r="G439" s="362" t="inlineStr">
        <is>
          <t>0</t>
        </is>
      </c>
      <c r="H439" s="360" t="inlineStr">
        <is>
          <t>1E1-04</t>
        </is>
      </c>
      <c r="I439" s="363" t="inlineStr">
        <is>
          <t>OFİS E1 MUTFAK</t>
        </is>
      </c>
      <c r="J439" s="364" t="n"/>
      <c r="K439" s="360" t="inlineStr">
        <is>
          <t>20ºC</t>
        </is>
      </c>
      <c r="L439" s="360" t="n"/>
      <c r="M439" s="360" t="n"/>
      <c r="N439" s="360" t="n"/>
      <c r="O439" s="360" t="n"/>
      <c r="P439" s="360" t="n"/>
      <c r="Q439" s="365" t="n"/>
    </row>
    <row r="440" ht="9.949999999999999" customHeight="1" s="244">
      <c r="A440" s="376" t="n"/>
      <c r="B440" s="377" t="n"/>
      <c r="C440" s="377" t="n"/>
      <c r="D440" s="378" t="n"/>
      <c r="E440" s="378" t="n"/>
      <c r="F440" s="378" t="n"/>
      <c r="G440" s="379" t="n"/>
      <c r="H440" s="378" t="n"/>
      <c r="I440" s="378" t="n"/>
      <c r="J440" s="378" t="n"/>
      <c r="K440" s="379" t="n"/>
      <c r="L440" s="380" t="n"/>
      <c r="M440" s="381" t="n"/>
      <c r="N440" s="381" t="n"/>
      <c r="O440" s="381" t="n"/>
      <c r="P440" s="382" t="n"/>
      <c r="Q440" s="383" t="n">
        <v>0</v>
      </c>
    </row>
    <row r="441" ht="9.949999999999999" customHeight="1" s="244">
      <c r="A441" s="384" t="n"/>
      <c r="B441" s="385" t="n"/>
      <c r="C441" s="385" t="n"/>
      <c r="D441" s="386" t="n"/>
      <c r="E441" s="387" t="n"/>
      <c r="F441" s="388" t="n"/>
      <c r="G441" s="389" t="n"/>
      <c r="H441" s="388" t="n"/>
      <c r="I441" s="390" t="n"/>
      <c r="J441" s="391" t="inlineStr">
        <is>
          <t>Qs=</t>
        </is>
      </c>
      <c r="K441" s="390" t="inlineStr">
        <is>
          <t>S a</t>
        </is>
      </c>
      <c r="L441" s="388" t="inlineStr">
        <is>
          <t>L</t>
        </is>
      </c>
      <c r="M441" s="389" t="inlineStr">
        <is>
          <t>R</t>
        </is>
      </c>
      <c r="N441" s="392" t="inlineStr">
        <is>
          <t>H</t>
        </is>
      </c>
      <c r="O441" s="393" t="inlineStr">
        <is>
          <t>D  T</t>
        </is>
      </c>
      <c r="P441" s="389" t="inlineStr">
        <is>
          <t>Ze</t>
        </is>
      </c>
      <c r="Q441" s="394" t="n"/>
    </row>
    <row r="442" ht="9.949999999999999" customHeight="1" s="244">
      <c r="A442" s="395" t="inlineStr">
        <is>
          <t xml:space="preserve"> </t>
        </is>
      </c>
      <c r="C442" s="397" t="n"/>
      <c r="D442" s="397" t="n"/>
      <c r="E442" s="398" t="n"/>
      <c r="F442" s="399" t="n"/>
      <c r="G442" s="400" t="n"/>
      <c r="H442" s="401" t="n"/>
      <c r="I442" s="402" t="n"/>
      <c r="J442" s="403" t="inlineStr">
        <is>
          <t>Qs  =</t>
        </is>
      </c>
      <c r="K442" s="404" t="n">
        <v>2</v>
      </c>
      <c r="L442" s="404" t="n">
        <v>0</v>
      </c>
      <c r="M442" s="404" t="n">
        <v>0.9</v>
      </c>
      <c r="N442" s="404" t="n">
        <v>0.67</v>
      </c>
      <c r="O442" s="381" t="n">
        <v>23</v>
      </c>
      <c r="P442" s="404" t="n">
        <v>1</v>
      </c>
      <c r="Q442" s="383">
        <f>K442*L442*M442*N442*O442*P442</f>
        <v/>
      </c>
    </row>
    <row r="443" ht="9.949999999999999" customHeight="1" s="244">
      <c r="A443" s="405" t="n"/>
      <c r="B443" s="406" t="n"/>
      <c r="C443" s="397" t="n"/>
      <c r="D443" s="397" t="n"/>
      <c r="E443" s="378" t="n"/>
      <c r="F443" s="256" t="n"/>
      <c r="G443" s="407" t="n"/>
      <c r="H443" s="397" t="n"/>
      <c r="I443" s="397" t="n"/>
      <c r="J443" s="397" t="n"/>
      <c r="K443" s="407" t="n"/>
      <c r="L443" s="408" t="n"/>
      <c r="M443" s="409" t="inlineStr">
        <is>
          <t xml:space="preserve">   TOPLAM ISI KAYBI =</t>
        </is>
      </c>
      <c r="N443" s="409" t="n"/>
      <c r="O443" s="410" t="n"/>
      <c r="P443" s="409" t="n"/>
      <c r="Q443" s="411">
        <f>Q440+Q442</f>
        <v/>
      </c>
    </row>
    <row r="444" ht="10.35" customHeight="1" s="244">
      <c r="A444" s="359" t="n"/>
      <c r="B444" s="360" t="n"/>
      <c r="C444" s="360" t="n"/>
      <c r="D444" s="360" t="n"/>
      <c r="E444" s="360" t="n"/>
      <c r="F444" s="361" t="inlineStr">
        <is>
          <t>1</t>
        </is>
      </c>
      <c r="G444" s="362" t="inlineStr">
        <is>
          <t>0</t>
        </is>
      </c>
      <c r="H444" s="360" t="inlineStr">
        <is>
          <t>1E1-05</t>
        </is>
      </c>
      <c r="I444" s="363" t="inlineStr">
        <is>
          <t>OFİS E1 BANYO</t>
        </is>
      </c>
      <c r="J444" s="364" t="n"/>
      <c r="K444" s="360" t="inlineStr">
        <is>
          <t>24ºC</t>
        </is>
      </c>
      <c r="L444" s="360" t="n"/>
      <c r="M444" s="360" t="n"/>
      <c r="N444" s="360" t="n"/>
      <c r="O444" s="360" t="n"/>
      <c r="P444" s="360" t="n"/>
      <c r="Q444" s="365" t="n"/>
    </row>
    <row r="445" ht="9.949999999999999" customHeight="1" s="244">
      <c r="A445" s="366" t="inlineStr">
        <is>
          <t>İDM</t>
        </is>
      </c>
      <c r="B445" s="367" t="inlineStr"/>
      <c r="C445" s="368" t="n"/>
      <c r="D445" s="369" t="n">
        <v>0.63</v>
      </c>
      <c r="E445" s="369" t="n">
        <v>3</v>
      </c>
      <c r="F445" s="370">
        <f>IF(D445=0," ",D445*E445)</f>
        <v/>
      </c>
      <c r="G445" s="371" t="n">
        <v>1</v>
      </c>
      <c r="H445" s="372" t="n"/>
      <c r="I445" s="370">
        <f>IF(F445=" "," ",F445*G445-H445)</f>
        <v/>
      </c>
      <c r="J445" s="369" t="n">
        <v>0.332</v>
      </c>
      <c r="K445" s="371" t="n">
        <v>14</v>
      </c>
      <c r="L445" s="373">
        <f>IF(I445=" "," ",I445*J445*K445)</f>
        <v/>
      </c>
      <c r="M445" s="374" t="n">
        <v>7</v>
      </c>
      <c r="N445" s="371" t="n">
        <v>0</v>
      </c>
      <c r="O445" s="374" t="n">
        <v>0</v>
      </c>
      <c r="P445" s="370">
        <f>IF(M445=" "," ",(1+(M445+N445+O445)/100))</f>
        <v/>
      </c>
      <c r="Q445" s="375">
        <f>IF(L445=" "," ",L445*P445)</f>
        <v/>
      </c>
    </row>
    <row r="446" ht="9.949999999999999" customHeight="1" s="244">
      <c r="A446" s="366" t="inlineStr">
        <is>
          <t>İDM</t>
        </is>
      </c>
      <c r="B446" s="367" t="inlineStr"/>
      <c r="C446" s="368" t="n"/>
      <c r="D446" s="369" t="n">
        <v>2.05</v>
      </c>
      <c r="E446" s="369" t="n">
        <v>3</v>
      </c>
      <c r="F446" s="370">
        <f>IF(D446=0," ",D446*E446)</f>
        <v/>
      </c>
      <c r="G446" s="371" t="n">
        <v>1</v>
      </c>
      <c r="H446" s="372" t="n"/>
      <c r="I446" s="370">
        <f>IF(F446=" "," ",F446*G446-H446)</f>
        <v/>
      </c>
      <c r="J446" s="369" t="n">
        <v>0.332</v>
      </c>
      <c r="K446" s="371" t="n">
        <v>14</v>
      </c>
      <c r="L446" s="373">
        <f>IF(I446=" "," ",I446*J446*K446)</f>
        <v/>
      </c>
      <c r="M446" s="374" t="n">
        <v>7</v>
      </c>
      <c r="N446" s="371" t="n">
        <v>0</v>
      </c>
      <c r="O446" s="374" t="n">
        <v>0</v>
      </c>
      <c r="P446" s="370">
        <f>IF(M446=" "," ",(1+(M446+N446+O446)/100))</f>
        <v/>
      </c>
      <c r="Q446" s="375">
        <f>IF(L446=" "," ",L446*P446)</f>
        <v/>
      </c>
    </row>
    <row r="447" ht="9.949999999999999" customHeight="1" s="244">
      <c r="A447" s="366" t="inlineStr">
        <is>
          <t>İDM</t>
        </is>
      </c>
      <c r="B447" s="367" t="inlineStr"/>
      <c r="C447" s="368" t="n"/>
      <c r="D447" s="369" t="n">
        <v>0.22</v>
      </c>
      <c r="E447" s="369" t="n">
        <v>3</v>
      </c>
      <c r="F447" s="370">
        <f>IF(D447=0," ",D447*E447)</f>
        <v/>
      </c>
      <c r="G447" s="371" t="n">
        <v>1</v>
      </c>
      <c r="H447" s="372" t="n"/>
      <c r="I447" s="370">
        <f>IF(F447=" "," ",F447*G447-H447)</f>
        <v/>
      </c>
      <c r="J447" s="369" t="n">
        <v>0.332</v>
      </c>
      <c r="K447" s="371" t="n">
        <v>14</v>
      </c>
      <c r="L447" s="373">
        <f>IF(I447=" "," ",I447*J447*K447)</f>
        <v/>
      </c>
      <c r="M447" s="374" t="n">
        <v>7</v>
      </c>
      <c r="N447" s="371" t="n">
        <v>0</v>
      </c>
      <c r="O447" s="374" t="n">
        <v>0</v>
      </c>
      <c r="P447" s="370">
        <f>IF(M447=" "," ",(1+(M447+N447+O447)/100))</f>
        <v/>
      </c>
      <c r="Q447" s="375">
        <f>IF(L447=" "," ",L447*P447)</f>
        <v/>
      </c>
    </row>
    <row r="448" ht="9.949999999999999" customHeight="1" s="244">
      <c r="A448" s="366" t="inlineStr">
        <is>
          <t>İDM</t>
        </is>
      </c>
      <c r="B448" s="367" t="inlineStr"/>
      <c r="C448" s="368" t="n"/>
      <c r="D448" s="369" t="n">
        <v>0.29</v>
      </c>
      <c r="E448" s="369" t="n">
        <v>3</v>
      </c>
      <c r="F448" s="370">
        <f>IF(D448=0," ",D448*E448)</f>
        <v/>
      </c>
      <c r="G448" s="371" t="n">
        <v>1</v>
      </c>
      <c r="H448" s="372" t="n"/>
      <c r="I448" s="370">
        <f>IF(F448=" "," ",F448*G448-H448)</f>
        <v/>
      </c>
      <c r="J448" s="369" t="n">
        <v>0.332</v>
      </c>
      <c r="K448" s="371" t="n">
        <v>14</v>
      </c>
      <c r="L448" s="373">
        <f>IF(I448=" "," ",I448*J448*K448)</f>
        <v/>
      </c>
      <c r="M448" s="374" t="n">
        <v>7</v>
      </c>
      <c r="N448" s="371" t="n">
        <v>0</v>
      </c>
      <c r="O448" s="374" t="n">
        <v>0</v>
      </c>
      <c r="P448" s="370">
        <f>IF(M448=" "," ",(1+(M448+N448+O448)/100))</f>
        <v/>
      </c>
      <c r="Q448" s="375">
        <f>IF(L448=" "," ",L448*P448)</f>
        <v/>
      </c>
    </row>
    <row r="449" ht="9.949999999999999" customHeight="1" s="244">
      <c r="A449" s="366" t="inlineStr">
        <is>
          <t>İDM</t>
        </is>
      </c>
      <c r="B449" s="367" t="inlineStr"/>
      <c r="C449" s="368" t="n"/>
      <c r="D449" s="369" t="n">
        <v>0.27</v>
      </c>
      <c r="E449" s="369" t="n">
        <v>3</v>
      </c>
      <c r="F449" s="370">
        <f>IF(D449=0," ",D449*E449)</f>
        <v/>
      </c>
      <c r="G449" s="371" t="n">
        <v>1</v>
      </c>
      <c r="H449" s="372" t="n"/>
      <c r="I449" s="370">
        <f>IF(F449=" "," ",F449*G449-H449)</f>
        <v/>
      </c>
      <c r="J449" s="369" t="n">
        <v>0.332</v>
      </c>
      <c r="K449" s="371" t="n">
        <v>14</v>
      </c>
      <c r="L449" s="373">
        <f>IF(I449=" "," ",I449*J449*K449)</f>
        <v/>
      </c>
      <c r="M449" s="374" t="n">
        <v>7</v>
      </c>
      <c r="N449" s="371" t="n">
        <v>0</v>
      </c>
      <c r="O449" s="374" t="n">
        <v>0</v>
      </c>
      <c r="P449" s="370">
        <f>IF(M449=" "," ",(1+(M449+N449+O449)/100))</f>
        <v/>
      </c>
      <c r="Q449" s="375">
        <f>IF(L449=" "," ",L449*P449)</f>
        <v/>
      </c>
    </row>
    <row r="450" ht="9.949999999999999" customHeight="1" s="244">
      <c r="A450" s="376" t="n"/>
      <c r="B450" s="377" t="n"/>
      <c r="C450" s="377" t="n"/>
      <c r="D450" s="378" t="n"/>
      <c r="E450" s="378" t="n"/>
      <c r="F450" s="378" t="n"/>
      <c r="G450" s="379" t="n"/>
      <c r="H450" s="378" t="n"/>
      <c r="I450" s="378" t="n"/>
      <c r="J450" s="378" t="n"/>
      <c r="K450" s="379" t="n"/>
      <c r="L450" s="380" t="n"/>
      <c r="M450" s="381" t="n"/>
      <c r="N450" s="381" t="n"/>
      <c r="O450" s="381" t="n"/>
      <c r="P450" s="382" t="n"/>
      <c r="Q450" s="383">
        <f>SUM(Q445:Q449)</f>
        <v/>
      </c>
    </row>
    <row r="451" ht="9.949999999999999" customHeight="1" s="244">
      <c r="A451" s="384" t="n"/>
      <c r="B451" s="385" t="n"/>
      <c r="C451" s="385" t="n"/>
      <c r="D451" s="386" t="n"/>
      <c r="E451" s="387" t="n"/>
      <c r="F451" s="388" t="n"/>
      <c r="G451" s="389" t="n"/>
      <c r="H451" s="388" t="n"/>
      <c r="I451" s="390" t="n"/>
      <c r="J451" s="391" t="inlineStr">
        <is>
          <t>Qs=</t>
        </is>
      </c>
      <c r="K451" s="390" t="inlineStr">
        <is>
          <t>S a</t>
        </is>
      </c>
      <c r="L451" s="388" t="inlineStr">
        <is>
          <t>L</t>
        </is>
      </c>
      <c r="M451" s="389" t="inlineStr">
        <is>
          <t>R</t>
        </is>
      </c>
      <c r="N451" s="392" t="inlineStr">
        <is>
          <t>H</t>
        </is>
      </c>
      <c r="O451" s="393" t="inlineStr">
        <is>
          <t>D  T</t>
        </is>
      </c>
      <c r="P451" s="389" t="inlineStr">
        <is>
          <t>Ze</t>
        </is>
      </c>
      <c r="Q451" s="394" t="n"/>
    </row>
    <row r="452" ht="9.949999999999999" customHeight="1" s="244">
      <c r="A452" s="395" t="inlineStr">
        <is>
          <t xml:space="preserve"> </t>
        </is>
      </c>
      <c r="C452" s="397" t="n"/>
      <c r="D452" s="397" t="n"/>
      <c r="E452" s="398" t="n"/>
      <c r="F452" s="399" t="n"/>
      <c r="G452" s="400" t="n"/>
      <c r="H452" s="401" t="n"/>
      <c r="I452" s="402" t="n"/>
      <c r="J452" s="403" t="inlineStr">
        <is>
          <t>Qs  =</t>
        </is>
      </c>
      <c r="K452" s="404" t="n">
        <v>2</v>
      </c>
      <c r="L452" s="404" t="n">
        <v>0</v>
      </c>
      <c r="M452" s="404" t="n">
        <v>0.9</v>
      </c>
      <c r="N452" s="404" t="n">
        <v>0.67</v>
      </c>
      <c r="O452" s="381" t="n">
        <v>27</v>
      </c>
      <c r="P452" s="404" t="n">
        <v>1</v>
      </c>
      <c r="Q452" s="383">
        <f>K452*L452*M452*N452*O452*P452</f>
        <v/>
      </c>
    </row>
    <row r="453" ht="9.949999999999999" customHeight="1" s="244">
      <c r="A453" s="405" t="n"/>
      <c r="B453" s="406" t="n"/>
      <c r="C453" s="397" t="n"/>
      <c r="D453" s="397" t="n"/>
      <c r="E453" s="378" t="n"/>
      <c r="F453" s="256" t="n"/>
      <c r="G453" s="407" t="n"/>
      <c r="H453" s="397" t="n"/>
      <c r="I453" s="397" t="n"/>
      <c r="J453" s="397" t="n"/>
      <c r="K453" s="407" t="n"/>
      <c r="L453" s="408" t="n"/>
      <c r="M453" s="409" t="inlineStr">
        <is>
          <t xml:space="preserve">   TOPLAM ISI KAYBI =</t>
        </is>
      </c>
      <c r="N453" s="409" t="n"/>
      <c r="O453" s="410" t="n"/>
      <c r="P453" s="409" t="n"/>
      <c r="Q453" s="411">
        <f>Q450+Q452</f>
        <v/>
      </c>
    </row>
    <row r="454" ht="10.35" customHeight="1" s="244">
      <c r="A454" s="359" t="n"/>
      <c r="B454" s="360" t="n"/>
      <c r="C454" s="360" t="n"/>
      <c r="D454" s="360" t="n"/>
      <c r="E454" s="360" t="n"/>
      <c r="F454" s="361" t="inlineStr">
        <is>
          <t>1</t>
        </is>
      </c>
      <c r="G454" s="362" t="inlineStr">
        <is>
          <t>0</t>
        </is>
      </c>
      <c r="H454" s="360" t="inlineStr">
        <is>
          <t>1E2-01</t>
        </is>
      </c>
      <c r="I454" s="363" t="inlineStr">
        <is>
          <t>OFİS E2 ODA</t>
        </is>
      </c>
      <c r="J454" s="364" t="n"/>
      <c r="K454" s="360" t="inlineStr">
        <is>
          <t>20ºC</t>
        </is>
      </c>
      <c r="L454" s="360" t="n"/>
      <c r="M454" s="360" t="n"/>
      <c r="N454" s="360" t="n"/>
      <c r="O454" s="360" t="n"/>
      <c r="P454" s="360" t="n"/>
      <c r="Q454" s="365" t="n"/>
    </row>
    <row r="455" ht="9.949999999999999" customHeight="1" s="244">
      <c r="A455" s="366" t="inlineStr">
        <is>
          <t>DD</t>
        </is>
      </c>
      <c r="B455" s="367" t="inlineStr">
        <is>
          <t>G</t>
        </is>
      </c>
      <c r="C455" s="368" t="n"/>
      <c r="D455" s="369" t="n">
        <v>5.14</v>
      </c>
      <c r="E455" s="369" t="n">
        <v>2.5</v>
      </c>
      <c r="F455" s="370">
        <f>IF(D455=0," ",D455*E455)</f>
        <v/>
      </c>
      <c r="G455" s="371" t="n">
        <v>1</v>
      </c>
      <c r="H455" s="372">
        <f>F457*G457</f>
        <v/>
      </c>
      <c r="I455" s="370">
        <f>IF(F455=" "," ",F455*G455-H455)</f>
        <v/>
      </c>
      <c r="J455" s="369" t="n">
        <v>0.344</v>
      </c>
      <c r="K455" s="371" t="n">
        <v>23</v>
      </c>
      <c r="L455" s="373">
        <f>IF(I455=" "," ",I455*J455*K455)</f>
        <v/>
      </c>
      <c r="M455" s="374" t="n">
        <v>7</v>
      </c>
      <c r="N455" s="371" t="n">
        <v>0</v>
      </c>
      <c r="O455" s="374" t="n">
        <v>-5</v>
      </c>
      <c r="P455" s="370">
        <f>IF(M455=" "," ",(1+(M455+N455+O455)/100))</f>
        <v/>
      </c>
      <c r="Q455" s="375">
        <f>IF(L455=" "," ",L455*P455)</f>
        <v/>
      </c>
    </row>
    <row r="456" ht="9.949999999999999" customHeight="1" s="244">
      <c r="A456" s="366" t="inlineStr">
        <is>
          <t>DD25</t>
        </is>
      </c>
      <c r="B456" s="367" t="inlineStr">
        <is>
          <t>G</t>
        </is>
      </c>
      <c r="C456" s="368" t="n"/>
      <c r="D456" s="369">
        <f>D455</f>
        <v/>
      </c>
      <c r="E456" s="369" t="n">
        <v>0.5</v>
      </c>
      <c r="F456" s="370">
        <f>IF(D456=0," ",D456*E456)</f>
        <v/>
      </c>
      <c r="G456" s="371" t="n">
        <v>1</v>
      </c>
      <c r="H456" s="372" t="n"/>
      <c r="I456" s="370">
        <f>IF(F456=" "," ",F456*G456-H456)</f>
        <v/>
      </c>
      <c r="J456" s="369" t="n">
        <v>0.387</v>
      </c>
      <c r="K456" s="371" t="n">
        <v>23</v>
      </c>
      <c r="L456" s="373">
        <f>IF(I456=" "," ",I456*J456*K456)</f>
        <v/>
      </c>
      <c r="M456" s="374" t="n">
        <v>7</v>
      </c>
      <c r="N456" s="371" t="n">
        <v>0</v>
      </c>
      <c r="O456" s="374" t="n">
        <v>-5</v>
      </c>
      <c r="P456" s="370">
        <f>IF(M456=" "," ",(1+(M456+N456+O456)/100))</f>
        <v/>
      </c>
      <c r="Q456" s="375">
        <f>IF(L456=" "," ",L456*P456)</f>
        <v/>
      </c>
    </row>
    <row r="457" ht="9.949999999999999" customHeight="1" s="244">
      <c r="A457" s="366" t="inlineStr">
        <is>
          <t>ÇP</t>
        </is>
      </c>
      <c r="B457" s="367" t="inlineStr">
        <is>
          <t>G</t>
        </is>
      </c>
      <c r="C457" s="368" t="n"/>
      <c r="D457" s="369" t="n">
        <v>2.83</v>
      </c>
      <c r="E457" s="369" t="n">
        <v>1.5</v>
      </c>
      <c r="F457" s="370">
        <f>IF(D457=0," ",D457*E457)</f>
        <v/>
      </c>
      <c r="G457" s="371" t="n">
        <v>1</v>
      </c>
      <c r="H457" s="372" t="n"/>
      <c r="I457" s="370">
        <f>IF(F457=" "," ",F457*G457-H457)</f>
        <v/>
      </c>
      <c r="J457" s="369" t="n">
        <v>1.8</v>
      </c>
      <c r="K457" s="371" t="n">
        <v>23</v>
      </c>
      <c r="L457" s="373">
        <f>IF(I457=" "," ",I457*J457*K457)</f>
        <v/>
      </c>
      <c r="M457" s="374" t="n">
        <v>7</v>
      </c>
      <c r="N457" s="371" t="n">
        <v>0</v>
      </c>
      <c r="O457" s="374" t="n">
        <v>-5</v>
      </c>
      <c r="P457" s="370">
        <f>IF(M457=" "," ",(1+(M457+N457+O457)/100))</f>
        <v/>
      </c>
      <c r="Q457" s="375">
        <f>IF(L457=" "," ",L457*P457)</f>
        <v/>
      </c>
    </row>
    <row r="458" ht="9.949999999999999" customHeight="1" s="244">
      <c r="A458" s="366" t="inlineStr">
        <is>
          <t>İDM</t>
        </is>
      </c>
      <c r="B458" s="367" t="inlineStr"/>
      <c r="C458" s="368" t="n"/>
      <c r="D458" s="369" t="n">
        <v>0.27</v>
      </c>
      <c r="E458" s="369" t="n">
        <v>3</v>
      </c>
      <c r="F458" s="370">
        <f>IF(D458=0," ",D458*E458)</f>
        <v/>
      </c>
      <c r="G458" s="371" t="n">
        <v>1</v>
      </c>
      <c r="H458" s="372" t="n"/>
      <c r="I458" s="370">
        <f>IF(F458=" "," ",F458*G458-H458)</f>
        <v/>
      </c>
      <c r="J458" s="369" t="n">
        <v>0.332</v>
      </c>
      <c r="K458" s="371" t="n">
        <v>10</v>
      </c>
      <c r="L458" s="373">
        <f>IF(I458=" "," ",I458*J458*K458)</f>
        <v/>
      </c>
      <c r="M458" s="374" t="n">
        <v>7</v>
      </c>
      <c r="N458" s="371" t="n">
        <v>0</v>
      </c>
      <c r="O458" s="374" t="n">
        <v>0</v>
      </c>
      <c r="P458" s="370">
        <f>IF(M458=" "," ",(1+(M458+N458+O458)/100))</f>
        <v/>
      </c>
      <c r="Q458" s="375">
        <f>IF(L458=" "," ",L458*P458)</f>
        <v/>
      </c>
    </row>
    <row r="459" ht="9.949999999999999" customHeight="1" s="244">
      <c r="A459" s="366" t="inlineStr">
        <is>
          <t>İDM</t>
        </is>
      </c>
      <c r="B459" s="367" t="inlineStr"/>
      <c r="C459" s="368" t="n"/>
      <c r="D459" s="369" t="n">
        <v>1.05</v>
      </c>
      <c r="E459" s="369" t="n">
        <v>3</v>
      </c>
      <c r="F459" s="370">
        <f>IF(D459=0," ",D459*E459)</f>
        <v/>
      </c>
      <c r="G459" s="371" t="n">
        <v>1</v>
      </c>
      <c r="H459" s="372" t="n"/>
      <c r="I459" s="370">
        <f>IF(F459=" "," ",F459*G459-H459)</f>
        <v/>
      </c>
      <c r="J459" s="369" t="n">
        <v>0.332</v>
      </c>
      <c r="K459" s="371" t="n">
        <v>10</v>
      </c>
      <c r="L459" s="373">
        <f>IF(I459=" "," ",I459*J459*K459)</f>
        <v/>
      </c>
      <c r="M459" s="374" t="n">
        <v>7</v>
      </c>
      <c r="N459" s="371" t="n">
        <v>0</v>
      </c>
      <c r="O459" s="374" t="n">
        <v>0</v>
      </c>
      <c r="P459" s="370">
        <f>IF(M459=" "," ",(1+(M459+N459+O459)/100))</f>
        <v/>
      </c>
      <c r="Q459" s="375">
        <f>IF(L459=" "," ",L459*P459)</f>
        <v/>
      </c>
    </row>
    <row r="460" ht="9.949999999999999" customHeight="1" s="244">
      <c r="A460" s="366" t="inlineStr">
        <is>
          <t>İDM</t>
        </is>
      </c>
      <c r="B460" s="367" t="inlineStr"/>
      <c r="C460" s="368" t="n"/>
      <c r="D460" s="369" t="n">
        <v>0.85</v>
      </c>
      <c r="E460" s="369" t="n">
        <v>3</v>
      </c>
      <c r="F460" s="370">
        <f>IF(D460=0," ",D460*E460)</f>
        <v/>
      </c>
      <c r="G460" s="371" t="n">
        <v>1</v>
      </c>
      <c r="H460" s="372" t="n"/>
      <c r="I460" s="370">
        <f>IF(F460=" "," ",F460*G460-H460)</f>
        <v/>
      </c>
      <c r="J460" s="369" t="n">
        <v>0.332</v>
      </c>
      <c r="K460" s="371" t="n">
        <v>5</v>
      </c>
      <c r="L460" s="373">
        <f>IF(I460=" "," ",I460*J460*K460)</f>
        <v/>
      </c>
      <c r="M460" s="374" t="n">
        <v>7</v>
      </c>
      <c r="N460" s="371" t="n">
        <v>0</v>
      </c>
      <c r="O460" s="374" t="n">
        <v>0</v>
      </c>
      <c r="P460" s="370">
        <f>IF(M460=" "," ",(1+(M460+N460+O460)/100))</f>
        <v/>
      </c>
      <c r="Q460" s="375">
        <f>IF(L460=" "," ",L460*P460)</f>
        <v/>
      </c>
    </row>
    <row r="461" ht="9.949999999999999" customHeight="1" s="244">
      <c r="A461" s="366" t="inlineStr">
        <is>
          <t>İDM</t>
        </is>
      </c>
      <c r="B461" s="367" t="inlineStr"/>
      <c r="C461" s="368" t="n"/>
      <c r="D461" s="369" t="n">
        <v>0.25</v>
      </c>
      <c r="E461" s="369" t="n">
        <v>3</v>
      </c>
      <c r="F461" s="370">
        <f>IF(D461=0," ",D461*E461)</f>
        <v/>
      </c>
      <c r="G461" s="371" t="n">
        <v>1</v>
      </c>
      <c r="H461" s="372" t="n"/>
      <c r="I461" s="370">
        <f>IF(F461=" "," ",F461*G461-H461)</f>
        <v/>
      </c>
      <c r="J461" s="369" t="n">
        <v>0.332</v>
      </c>
      <c r="K461" s="371" t="n">
        <v>10</v>
      </c>
      <c r="L461" s="373">
        <f>IF(I461=" "," ",I461*J461*K461)</f>
        <v/>
      </c>
      <c r="M461" s="374" t="n">
        <v>7</v>
      </c>
      <c r="N461" s="371" t="n">
        <v>0</v>
      </c>
      <c r="O461" s="374" t="n">
        <v>0</v>
      </c>
      <c r="P461" s="370">
        <f>IF(M461=" "," ",(1+(M461+N461+O461)/100))</f>
        <v/>
      </c>
      <c r="Q461" s="375">
        <f>IF(L461=" "," ",L461*P461)</f>
        <v/>
      </c>
    </row>
    <row r="462" ht="9.949999999999999" customHeight="1" s="244">
      <c r="A462" s="366" t="inlineStr">
        <is>
          <t>İDM</t>
        </is>
      </c>
      <c r="B462" s="367" t="inlineStr"/>
      <c r="C462" s="368" t="n"/>
      <c r="D462" s="369" t="n">
        <v>0.45</v>
      </c>
      <c r="E462" s="369" t="n">
        <v>3</v>
      </c>
      <c r="F462" s="370">
        <f>IF(D462=0," ",D462*E462)</f>
        <v/>
      </c>
      <c r="G462" s="371" t="n">
        <v>1</v>
      </c>
      <c r="H462" s="372" t="n"/>
      <c r="I462" s="370">
        <f>IF(F462=" "," ",F462*G462-H462)</f>
        <v/>
      </c>
      <c r="J462" s="369" t="n">
        <v>0.332</v>
      </c>
      <c r="K462" s="371" t="n">
        <v>10</v>
      </c>
      <c r="L462" s="373">
        <f>IF(I462=" "," ",I462*J462*K462)</f>
        <v/>
      </c>
      <c r="M462" s="374" t="n">
        <v>7</v>
      </c>
      <c r="N462" s="371" t="n">
        <v>0</v>
      </c>
      <c r="O462" s="374" t="n">
        <v>0</v>
      </c>
      <c r="P462" s="370">
        <f>IF(M462=" "," ",(1+(M462+N462+O462)/100))</f>
        <v/>
      </c>
      <c r="Q462" s="375">
        <f>IF(L462=" "," ",L462*P462)</f>
        <v/>
      </c>
    </row>
    <row r="463" ht="9.949999999999999" customHeight="1" s="244">
      <c r="A463" s="366" t="inlineStr">
        <is>
          <t>İDM</t>
        </is>
      </c>
      <c r="B463" s="367" t="inlineStr"/>
      <c r="C463" s="368" t="n"/>
      <c r="D463" s="369" t="n">
        <v>0.5</v>
      </c>
      <c r="E463" s="369" t="n">
        <v>3</v>
      </c>
      <c r="F463" s="370">
        <f>IF(D463=0," ",D463*E463)</f>
        <v/>
      </c>
      <c r="G463" s="371" t="n">
        <v>1</v>
      </c>
      <c r="H463" s="372" t="n"/>
      <c r="I463" s="370">
        <f>IF(F463=" "," ",F463*G463-H463)</f>
        <v/>
      </c>
      <c r="J463" s="369" t="n">
        <v>0.332</v>
      </c>
      <c r="K463" s="371" t="n">
        <v>10</v>
      </c>
      <c r="L463" s="373">
        <f>IF(I463=" "," ",I463*J463*K463)</f>
        <v/>
      </c>
      <c r="M463" s="374" t="n">
        <v>7</v>
      </c>
      <c r="N463" s="371" t="n">
        <v>0</v>
      </c>
      <c r="O463" s="374" t="n">
        <v>0</v>
      </c>
      <c r="P463" s="370">
        <f>IF(M463=" "," ",(1+(M463+N463+O463)/100))</f>
        <v/>
      </c>
      <c r="Q463" s="375">
        <f>IF(L463=" "," ",L463*P463)</f>
        <v/>
      </c>
    </row>
    <row r="464" ht="9.949999999999999" customHeight="1" s="244">
      <c r="A464" s="366" t="inlineStr">
        <is>
          <t>İDM</t>
        </is>
      </c>
      <c r="B464" s="367" t="inlineStr"/>
      <c r="C464" s="368" t="n"/>
      <c r="D464" s="369" t="n">
        <v>0.34</v>
      </c>
      <c r="E464" s="369" t="n">
        <v>3</v>
      </c>
      <c r="F464" s="370">
        <f>IF(D464=0," ",D464*E464)</f>
        <v/>
      </c>
      <c r="G464" s="371" t="n">
        <v>1</v>
      </c>
      <c r="H464" s="372" t="n"/>
      <c r="I464" s="370">
        <f>IF(F464=" "," ",F464*G464-H464)</f>
        <v/>
      </c>
      <c r="J464" s="369" t="n">
        <v>0.332</v>
      </c>
      <c r="K464" s="371" t="n">
        <v>10</v>
      </c>
      <c r="L464" s="373">
        <f>IF(I464=" "," ",I464*J464*K464)</f>
        <v/>
      </c>
      <c r="M464" s="374" t="n">
        <v>7</v>
      </c>
      <c r="N464" s="371" t="n">
        <v>0</v>
      </c>
      <c r="O464" s="374" t="n">
        <v>0</v>
      </c>
      <c r="P464" s="370">
        <f>IF(M464=" "," ",(1+(M464+N464+O464)/100))</f>
        <v/>
      </c>
      <c r="Q464" s="375">
        <f>IF(L464=" "," ",L464*P464)</f>
        <v/>
      </c>
    </row>
    <row r="465" ht="9.949999999999999" customHeight="1" s="244">
      <c r="A465" s="366" t="inlineStr">
        <is>
          <t>İDM</t>
        </is>
      </c>
      <c r="B465" s="367" t="inlineStr"/>
      <c r="C465" s="368" t="n"/>
      <c r="D465" s="369" t="n">
        <v>4.32</v>
      </c>
      <c r="E465" s="369" t="n">
        <v>3</v>
      </c>
      <c r="F465" s="370">
        <f>IF(D465=0," ",D465*E465)</f>
        <v/>
      </c>
      <c r="G465" s="371" t="n">
        <v>1</v>
      </c>
      <c r="H465" s="372" t="n"/>
      <c r="I465" s="370">
        <f>IF(F465=" "," ",F465*G465-H465)</f>
        <v/>
      </c>
      <c r="J465" s="369" t="n">
        <v>0.332</v>
      </c>
      <c r="K465" s="371" t="n">
        <v>5</v>
      </c>
      <c r="L465" s="373">
        <f>IF(I465=" "," ",I465*J465*K465)</f>
        <v/>
      </c>
      <c r="M465" s="374" t="n">
        <v>7</v>
      </c>
      <c r="N465" s="371" t="n">
        <v>0</v>
      </c>
      <c r="O465" s="374" t="n">
        <v>0</v>
      </c>
      <c r="P465" s="370">
        <f>IF(M465=" "," ",(1+(M465+N465+O465)/100))</f>
        <v/>
      </c>
      <c r="Q465" s="375">
        <f>IF(L465=" "," ",L465*P465)</f>
        <v/>
      </c>
    </row>
    <row r="466" ht="9.949999999999999" customHeight="1" s="244">
      <c r="A466" s="366" t="inlineStr">
        <is>
          <t>İDM</t>
        </is>
      </c>
      <c r="B466" s="367" t="inlineStr"/>
      <c r="C466" s="368" t="n"/>
      <c r="D466" s="369" t="n">
        <v>0.32</v>
      </c>
      <c r="E466" s="369" t="n">
        <v>3</v>
      </c>
      <c r="F466" s="370">
        <f>IF(D466=0," ",D466*E466)</f>
        <v/>
      </c>
      <c r="G466" s="371" t="n">
        <v>1</v>
      </c>
      <c r="H466" s="372" t="n"/>
      <c r="I466" s="370">
        <f>IF(F466=" "," ",F466*G466-H466)</f>
        <v/>
      </c>
      <c r="J466" s="369" t="n">
        <v>0.332</v>
      </c>
      <c r="K466" s="371" t="n">
        <v>10</v>
      </c>
      <c r="L466" s="373">
        <f>IF(I466=" "," ",I466*J466*K466)</f>
        <v/>
      </c>
      <c r="M466" s="374" t="n">
        <v>7</v>
      </c>
      <c r="N466" s="371" t="n">
        <v>0</v>
      </c>
      <c r="O466" s="374" t="n">
        <v>0</v>
      </c>
      <c r="P466" s="370">
        <f>IF(M466=" "," ",(1+(M466+N466+O466)/100))</f>
        <v/>
      </c>
      <c r="Q466" s="375">
        <f>IF(L466=" "," ",L466*P466)</f>
        <v/>
      </c>
    </row>
    <row r="467" ht="9.949999999999999" customHeight="1" s="244">
      <c r="A467" s="366" t="inlineStr">
        <is>
          <t>İDM</t>
        </is>
      </c>
      <c r="B467" s="367" t="inlineStr"/>
      <c r="C467" s="368" t="n"/>
      <c r="D467" s="369" t="n">
        <v>0.8</v>
      </c>
      <c r="E467" s="369" t="n">
        <v>3</v>
      </c>
      <c r="F467" s="370">
        <f>IF(D467=0," ",D467*E467)</f>
        <v/>
      </c>
      <c r="G467" s="371" t="n">
        <v>1</v>
      </c>
      <c r="H467" s="372" t="n"/>
      <c r="I467" s="370">
        <f>IF(F467=" "," ",F467*G467-H467)</f>
        <v/>
      </c>
      <c r="J467" s="369" t="n">
        <v>0.332</v>
      </c>
      <c r="K467" s="371" t="n">
        <v>10</v>
      </c>
      <c r="L467" s="373">
        <f>IF(I467=" "," ",I467*J467*K467)</f>
        <v/>
      </c>
      <c r="M467" s="374" t="n">
        <v>7</v>
      </c>
      <c r="N467" s="371" t="n">
        <v>0</v>
      </c>
      <c r="O467" s="374" t="n">
        <v>0</v>
      </c>
      <c r="P467" s="370">
        <f>IF(M467=" "," ",(1+(M467+N467+O467)/100))</f>
        <v/>
      </c>
      <c r="Q467" s="375">
        <f>IF(L467=" "," ",L467*P467)</f>
        <v/>
      </c>
    </row>
    <row r="468" ht="9.949999999999999" customHeight="1" s="244">
      <c r="A468" s="366" t="inlineStr">
        <is>
          <t>İDM</t>
        </is>
      </c>
      <c r="B468" s="367" t="inlineStr"/>
      <c r="C468" s="368" t="n"/>
      <c r="D468" s="369" t="n">
        <v>0.42</v>
      </c>
      <c r="E468" s="369" t="n">
        <v>3</v>
      </c>
      <c r="F468" s="370">
        <f>IF(D468=0," ",D468*E468)</f>
        <v/>
      </c>
      <c r="G468" s="371" t="n">
        <v>1</v>
      </c>
      <c r="H468" s="372" t="n"/>
      <c r="I468" s="370">
        <f>IF(F468=" "," ",F468*G468-H468)</f>
        <v/>
      </c>
      <c r="J468" s="369" t="n">
        <v>0.332</v>
      </c>
      <c r="K468" s="371" t="n">
        <v>10</v>
      </c>
      <c r="L468" s="373">
        <f>IF(I468=" "," ",I468*J468*K468)</f>
        <v/>
      </c>
      <c r="M468" s="374" t="n">
        <v>7</v>
      </c>
      <c r="N468" s="371" t="n">
        <v>0</v>
      </c>
      <c r="O468" s="374" t="n">
        <v>0</v>
      </c>
      <c r="P468" s="370">
        <f>IF(M468=" "," ",(1+(M468+N468+O468)/100))</f>
        <v/>
      </c>
      <c r="Q468" s="375">
        <f>IF(L468=" "," ",L468*P468)</f>
        <v/>
      </c>
    </row>
    <row r="469" ht="9.949999999999999" customHeight="1" s="244">
      <c r="A469" s="366" t="inlineStr">
        <is>
          <t>İDM</t>
        </is>
      </c>
      <c r="B469" s="367" t="inlineStr"/>
      <c r="C469" s="368" t="n"/>
      <c r="D469" s="369" t="n">
        <v>1.25</v>
      </c>
      <c r="E469" s="369" t="n">
        <v>3</v>
      </c>
      <c r="F469" s="370">
        <f>IF(D469=0," ",D469*E469)</f>
        <v/>
      </c>
      <c r="G469" s="371" t="n">
        <v>1</v>
      </c>
      <c r="H469" s="372" t="n"/>
      <c r="I469" s="370">
        <f>IF(F469=" "," ",F469*G469-H469)</f>
        <v/>
      </c>
      <c r="J469" s="369" t="n">
        <v>0.332</v>
      </c>
      <c r="K469" s="371" t="n">
        <v>5</v>
      </c>
      <c r="L469" s="373">
        <f>IF(I469=" "," ",I469*J469*K469)</f>
        <v/>
      </c>
      <c r="M469" s="374" t="n">
        <v>7</v>
      </c>
      <c r="N469" s="371" t="n">
        <v>0</v>
      </c>
      <c r="O469" s="374" t="n">
        <v>0</v>
      </c>
      <c r="P469" s="370">
        <f>IF(M469=" "," ",(1+(M469+N469+O469)/100))</f>
        <v/>
      </c>
      <c r="Q469" s="375">
        <f>IF(L469=" "," ",L469*P469)</f>
        <v/>
      </c>
    </row>
    <row r="470" ht="9.949999999999999" customHeight="1" s="244">
      <c r="A470" s="376" t="n"/>
      <c r="B470" s="377" t="n"/>
      <c r="C470" s="377" t="n"/>
      <c r="D470" s="378" t="n"/>
      <c r="E470" s="378" t="n"/>
      <c r="F470" s="378" t="n"/>
      <c r="G470" s="379" t="n"/>
      <c r="H470" s="378" t="n"/>
      <c r="I470" s="378" t="n"/>
      <c r="J470" s="378" t="n"/>
      <c r="K470" s="379" t="n"/>
      <c r="L470" s="380" t="n"/>
      <c r="M470" s="381" t="n"/>
      <c r="N470" s="381" t="n"/>
      <c r="O470" s="381" t="n"/>
      <c r="P470" s="382" t="n"/>
      <c r="Q470" s="383">
        <f>SUM(Q455:Q469)</f>
        <v/>
      </c>
    </row>
    <row r="471" ht="9.949999999999999" customHeight="1" s="244">
      <c r="A471" s="384" t="n"/>
      <c r="B471" s="385" t="n"/>
      <c r="C471" s="385" t="n"/>
      <c r="D471" s="386" t="n"/>
      <c r="E471" s="387" t="n"/>
      <c r="F471" s="388" t="n"/>
      <c r="G471" s="389" t="n"/>
      <c r="H471" s="388" t="n"/>
      <c r="I471" s="390" t="n"/>
      <c r="J471" s="391" t="inlineStr">
        <is>
          <t>Qs=</t>
        </is>
      </c>
      <c r="K471" s="390" t="inlineStr">
        <is>
          <t>S a</t>
        </is>
      </c>
      <c r="L471" s="388" t="inlineStr">
        <is>
          <t>L</t>
        </is>
      </c>
      <c r="M471" s="389" t="inlineStr">
        <is>
          <t>R</t>
        </is>
      </c>
      <c r="N471" s="392" t="inlineStr">
        <is>
          <t>H</t>
        </is>
      </c>
      <c r="O471" s="393" t="inlineStr">
        <is>
          <t>D  T</t>
        </is>
      </c>
      <c r="P471" s="389" t="inlineStr">
        <is>
          <t>Ze</t>
        </is>
      </c>
      <c r="Q471" s="394" t="n"/>
    </row>
    <row r="472" ht="9.949999999999999" customHeight="1" s="244">
      <c r="A472" s="395" t="inlineStr">
        <is>
          <t xml:space="preserve"> </t>
        </is>
      </c>
      <c r="C472" s="397" t="n"/>
      <c r="D472" s="397" t="n"/>
      <c r="E472" s="398" t="n"/>
      <c r="F472" s="399" t="n"/>
      <c r="G472" s="400" t="n"/>
      <c r="H472" s="401" t="n"/>
      <c r="I472" s="402" t="n"/>
      <c r="J472" s="403" t="inlineStr">
        <is>
          <t>Qs  =</t>
        </is>
      </c>
      <c r="K472" s="404" t="n">
        <v>2</v>
      </c>
      <c r="L472" s="404">
        <f>(D457+E457)*2*G457</f>
        <v/>
      </c>
      <c r="M472" s="404" t="n">
        <v>0.9</v>
      </c>
      <c r="N472" s="404" t="n">
        <v>0.67</v>
      </c>
      <c r="O472" s="381" t="n">
        <v>23</v>
      </c>
      <c r="P472" s="404" t="n">
        <v>1</v>
      </c>
      <c r="Q472" s="383">
        <f>K472*L472*M472*N472*O472*P472</f>
        <v/>
      </c>
    </row>
    <row r="473" ht="9.949999999999999" customHeight="1" s="244">
      <c r="A473" s="405" t="n"/>
      <c r="B473" s="406" t="n"/>
      <c r="C473" s="397" t="n"/>
      <c r="D473" s="397" t="n"/>
      <c r="E473" s="378" t="n"/>
      <c r="F473" s="256" t="n"/>
      <c r="G473" s="407" t="n"/>
      <c r="H473" s="397" t="n"/>
      <c r="I473" s="397" t="n"/>
      <c r="J473" s="397" t="n"/>
      <c r="K473" s="407" t="n"/>
      <c r="L473" s="408" t="n"/>
      <c r="M473" s="409" t="inlineStr">
        <is>
          <t xml:space="preserve">   TOPLAM ISI KAYBI =</t>
        </is>
      </c>
      <c r="N473" s="409" t="n"/>
      <c r="O473" s="410" t="n"/>
      <c r="P473" s="409" t="n"/>
      <c r="Q473" s="411">
        <f>Q470+Q472</f>
        <v/>
      </c>
    </row>
    <row r="474" ht="10.35" customHeight="1" s="244">
      <c r="A474" s="359" t="n"/>
      <c r="B474" s="360" t="n"/>
      <c r="C474" s="360" t="n"/>
      <c r="D474" s="360" t="n"/>
      <c r="E474" s="360" t="n"/>
      <c r="F474" s="361" t="inlineStr">
        <is>
          <t>1</t>
        </is>
      </c>
      <c r="G474" s="362" t="inlineStr">
        <is>
          <t>0</t>
        </is>
      </c>
      <c r="H474" s="360" t="inlineStr">
        <is>
          <t>1E2-02</t>
        </is>
      </c>
      <c r="I474" s="363" t="inlineStr">
        <is>
          <t>OFİS E2 GİRİŞ HOLÜ</t>
        </is>
      </c>
      <c r="J474" s="364" t="n"/>
      <c r="K474" s="360" t="inlineStr">
        <is>
          <t>20ºC</t>
        </is>
      </c>
      <c r="L474" s="360" t="n"/>
      <c r="M474" s="360" t="n"/>
      <c r="N474" s="360" t="n"/>
      <c r="O474" s="360" t="n"/>
      <c r="P474" s="360" t="n"/>
      <c r="Q474" s="365" t="n"/>
    </row>
    <row r="475" ht="9.949999999999999" customHeight="1" s="244">
      <c r="A475" s="366" t="inlineStr">
        <is>
          <t>DD</t>
        </is>
      </c>
      <c r="B475" s="367" t="inlineStr">
        <is>
          <t>K</t>
        </is>
      </c>
      <c r="C475" s="368" t="n"/>
      <c r="D475" s="369" t="n">
        <v>1.33</v>
      </c>
      <c r="E475" s="369" t="n">
        <v>2.5</v>
      </c>
      <c r="F475" s="370">
        <f>IF(D475=0," ",D475*E475)</f>
        <v/>
      </c>
      <c r="G475" s="371" t="n">
        <v>1</v>
      </c>
      <c r="H475" s="372">
        <f>F477*G477</f>
        <v/>
      </c>
      <c r="I475" s="370">
        <f>IF(F475=" "," ",F475*G475-H475)</f>
        <v/>
      </c>
      <c r="J475" s="369" t="n">
        <v>0.344</v>
      </c>
      <c r="K475" s="371" t="n">
        <v>23</v>
      </c>
      <c r="L475" s="373">
        <f>IF(I475=" "," ",I475*J475*K475)</f>
        <v/>
      </c>
      <c r="M475" s="374" t="n">
        <v>7</v>
      </c>
      <c r="N475" s="371" t="n">
        <v>0</v>
      </c>
      <c r="O475" s="374" t="n">
        <v>5</v>
      </c>
      <c r="P475" s="370">
        <f>IF(M475=" "," ",(1+(M475+N475+O475)/100))</f>
        <v/>
      </c>
      <c r="Q475" s="375">
        <f>IF(L475=" "," ",L475*P475)</f>
        <v/>
      </c>
    </row>
    <row r="476" ht="9.949999999999999" customHeight="1" s="244">
      <c r="A476" s="366" t="inlineStr">
        <is>
          <t>DD25</t>
        </is>
      </c>
      <c r="B476" s="367" t="inlineStr">
        <is>
          <t>K</t>
        </is>
      </c>
      <c r="C476" s="368" t="n"/>
      <c r="D476" s="369">
        <f>D475</f>
        <v/>
      </c>
      <c r="E476" s="369" t="n">
        <v>0.5</v>
      </c>
      <c r="F476" s="370">
        <f>IF(D476=0," ",D476*E476)</f>
        <v/>
      </c>
      <c r="G476" s="371" t="n">
        <v>1</v>
      </c>
      <c r="H476" s="372" t="n"/>
      <c r="I476" s="370">
        <f>IF(F476=" "," ",F476*G476-H476)</f>
        <v/>
      </c>
      <c r="J476" s="369" t="n">
        <v>0.387</v>
      </c>
      <c r="K476" s="371" t="n">
        <v>23</v>
      </c>
      <c r="L476" s="373">
        <f>IF(I476=" "," ",I476*J476*K476)</f>
        <v/>
      </c>
      <c r="M476" s="374" t="n">
        <v>7</v>
      </c>
      <c r="N476" s="371" t="n">
        <v>0</v>
      </c>
      <c r="O476" s="374" t="n">
        <v>5</v>
      </c>
      <c r="P476" s="370">
        <f>IF(M476=" "," ",(1+(M476+N476+O476)/100))</f>
        <v/>
      </c>
      <c r="Q476" s="375">
        <f>IF(L476=" "," ",L476*P476)</f>
        <v/>
      </c>
    </row>
    <row r="477" ht="9.949999999999999" customHeight="1" s="244">
      <c r="A477" s="366" t="inlineStr">
        <is>
          <t>ÇP</t>
        </is>
      </c>
      <c r="B477" s="367" t="inlineStr">
        <is>
          <t>K</t>
        </is>
      </c>
      <c r="C477" s="368" t="n"/>
      <c r="D477" s="369" t="n">
        <v>0.73</v>
      </c>
      <c r="E477" s="369" t="n">
        <v>1.5</v>
      </c>
      <c r="F477" s="370">
        <f>IF(D477=0," ",D477*E477)</f>
        <v/>
      </c>
      <c r="G477" s="371" t="n">
        <v>1</v>
      </c>
      <c r="H477" s="372" t="n"/>
      <c r="I477" s="370">
        <f>IF(F477=" "," ",F477*G477-H477)</f>
        <v/>
      </c>
      <c r="J477" s="369" t="n">
        <v>1.8</v>
      </c>
      <c r="K477" s="371" t="n">
        <v>23</v>
      </c>
      <c r="L477" s="373">
        <f>IF(I477=" "," ",I477*J477*K477)</f>
        <v/>
      </c>
      <c r="M477" s="374" t="n">
        <v>7</v>
      </c>
      <c r="N477" s="371" t="n">
        <v>0</v>
      </c>
      <c r="O477" s="374" t="n">
        <v>5</v>
      </c>
      <c r="P477" s="370">
        <f>IF(M477=" "," ",(1+(M477+N477+O477)/100))</f>
        <v/>
      </c>
      <c r="Q477" s="375">
        <f>IF(L477=" "," ",L477*P477)</f>
        <v/>
      </c>
    </row>
    <row r="478" ht="9.949999999999999" customHeight="1" s="244">
      <c r="A478" s="366" t="inlineStr">
        <is>
          <t>İDM</t>
        </is>
      </c>
      <c r="B478" s="367" t="inlineStr"/>
      <c r="C478" s="368" t="n"/>
      <c r="D478" s="369" t="n">
        <v>0.84</v>
      </c>
      <c r="E478" s="369" t="n">
        <v>3</v>
      </c>
      <c r="F478" s="370">
        <f>IF(D478=0," ",D478*E478)</f>
        <v/>
      </c>
      <c r="G478" s="371" t="n">
        <v>1</v>
      </c>
      <c r="H478" s="372" t="n"/>
      <c r="I478" s="370">
        <f>IF(F478=" "," ",F478*G478-H478)</f>
        <v/>
      </c>
      <c r="J478" s="369" t="n">
        <v>0.332</v>
      </c>
      <c r="K478" s="371" t="n">
        <v>10</v>
      </c>
      <c r="L478" s="373">
        <f>IF(I478=" "," ",I478*J478*K478)</f>
        <v/>
      </c>
      <c r="M478" s="374" t="n">
        <v>7</v>
      </c>
      <c r="N478" s="371" t="n">
        <v>0</v>
      </c>
      <c r="O478" s="374" t="n">
        <v>0</v>
      </c>
      <c r="P478" s="370">
        <f>IF(M478=" "," ",(1+(M478+N478+O478)/100))</f>
        <v/>
      </c>
      <c r="Q478" s="375">
        <f>IF(L478=" "," ",L478*P478)</f>
        <v/>
      </c>
    </row>
    <row r="479" ht="9.949999999999999" customHeight="1" s="244">
      <c r="A479" s="366" t="inlineStr">
        <is>
          <t>İDM</t>
        </is>
      </c>
      <c r="B479" s="367" t="inlineStr"/>
      <c r="C479" s="368" t="n"/>
      <c r="D479" s="369" t="n">
        <v>0.5</v>
      </c>
      <c r="E479" s="369" t="n">
        <v>3</v>
      </c>
      <c r="F479" s="370">
        <f>IF(D479=0," ",D479*E479)</f>
        <v/>
      </c>
      <c r="G479" s="371" t="n">
        <v>1</v>
      </c>
      <c r="H479" s="372" t="n"/>
      <c r="I479" s="370">
        <f>IF(F479=" "," ",F479*G479-H479)</f>
        <v/>
      </c>
      <c r="J479" s="369" t="n">
        <v>0.332</v>
      </c>
      <c r="K479" s="371" t="n">
        <v>10</v>
      </c>
      <c r="L479" s="373">
        <f>IF(I479=" "," ",I479*J479*K479)</f>
        <v/>
      </c>
      <c r="M479" s="374" t="n">
        <v>7</v>
      </c>
      <c r="N479" s="371" t="n">
        <v>0</v>
      </c>
      <c r="O479" s="374" t="n">
        <v>0</v>
      </c>
      <c r="P479" s="370">
        <f>IF(M479=" "," ",(1+(M479+N479+O479)/100))</f>
        <v/>
      </c>
      <c r="Q479" s="375">
        <f>IF(L479=" "," ",L479*P479)</f>
        <v/>
      </c>
    </row>
    <row r="480" ht="9.949999999999999" customHeight="1" s="244">
      <c r="A480" s="366" t="inlineStr">
        <is>
          <t>İDM</t>
        </is>
      </c>
      <c r="B480" s="367" t="inlineStr"/>
      <c r="C480" s="368" t="n"/>
      <c r="D480" s="369" t="n">
        <v>0.78</v>
      </c>
      <c r="E480" s="369" t="n">
        <v>3</v>
      </c>
      <c r="F480" s="370">
        <f>IF(D480=0," ",D480*E480)</f>
        <v/>
      </c>
      <c r="G480" s="371" t="n">
        <v>1</v>
      </c>
      <c r="H480" s="372" t="n"/>
      <c r="I480" s="370">
        <f>IF(F480=" "," ",F480*G480-H480)</f>
        <v/>
      </c>
      <c r="J480" s="369" t="n">
        <v>0.332</v>
      </c>
      <c r="K480" s="371" t="n">
        <v>10</v>
      </c>
      <c r="L480" s="373">
        <f>IF(I480=" "," ",I480*J480*K480)</f>
        <v/>
      </c>
      <c r="M480" s="374" t="n">
        <v>7</v>
      </c>
      <c r="N480" s="371" t="n">
        <v>0</v>
      </c>
      <c r="O480" s="374" t="n">
        <v>0</v>
      </c>
      <c r="P480" s="370">
        <f>IF(M480=" "," ",(1+(M480+N480+O480)/100))</f>
        <v/>
      </c>
      <c r="Q480" s="375">
        <f>IF(L480=" "," ",L480*P480)</f>
        <v/>
      </c>
    </row>
    <row r="481" ht="9.949999999999999" customHeight="1" s="244">
      <c r="A481" s="366" t="inlineStr">
        <is>
          <t>İDM</t>
        </is>
      </c>
      <c r="B481" s="367" t="inlineStr"/>
      <c r="C481" s="368" t="n"/>
      <c r="D481" s="369" t="n">
        <v>0.47</v>
      </c>
      <c r="E481" s="369" t="n">
        <v>3</v>
      </c>
      <c r="F481" s="370">
        <f>IF(D481=0," ",D481*E481)</f>
        <v/>
      </c>
      <c r="G481" s="371" t="n">
        <v>1</v>
      </c>
      <c r="H481" s="372" t="n"/>
      <c r="I481" s="370">
        <f>IF(F481=" "," ",F481*G481-H481)</f>
        <v/>
      </c>
      <c r="J481" s="369" t="n">
        <v>0.332</v>
      </c>
      <c r="K481" s="371" t="n">
        <v>10</v>
      </c>
      <c r="L481" s="373">
        <f>IF(I481=" "," ",I481*J481*K481)</f>
        <v/>
      </c>
      <c r="M481" s="374" t="n">
        <v>7</v>
      </c>
      <c r="N481" s="371" t="n">
        <v>0</v>
      </c>
      <c r="O481" s="374" t="n">
        <v>0</v>
      </c>
      <c r="P481" s="370">
        <f>IF(M481=" "," ",(1+(M481+N481+O481)/100))</f>
        <v/>
      </c>
      <c r="Q481" s="375">
        <f>IF(L481=" "," ",L481*P481)</f>
        <v/>
      </c>
    </row>
    <row r="482" ht="9.949999999999999" customHeight="1" s="244">
      <c r="A482" s="366" t="inlineStr">
        <is>
          <t>İDM</t>
        </is>
      </c>
      <c r="B482" s="367" t="inlineStr"/>
      <c r="C482" s="368" t="n"/>
      <c r="D482" s="369" t="n">
        <v>0.96</v>
      </c>
      <c r="E482" s="369" t="n">
        <v>3</v>
      </c>
      <c r="F482" s="370">
        <f>IF(D482=0," ",D482*E482)</f>
        <v/>
      </c>
      <c r="G482" s="371" t="n">
        <v>1</v>
      </c>
      <c r="H482" s="372" t="n"/>
      <c r="I482" s="370">
        <f>IF(F482=" "," ",F482*G482-H482)</f>
        <v/>
      </c>
      <c r="J482" s="369" t="n">
        <v>0.332</v>
      </c>
      <c r="K482" s="371" t="n">
        <v>10</v>
      </c>
      <c r="L482" s="373">
        <f>IF(I482=" "," ",I482*J482*K482)</f>
        <v/>
      </c>
      <c r="M482" s="374" t="n">
        <v>7</v>
      </c>
      <c r="N482" s="371" t="n">
        <v>0</v>
      </c>
      <c r="O482" s="374" t="n">
        <v>0</v>
      </c>
      <c r="P482" s="370">
        <f>IF(M482=" "," ",(1+(M482+N482+O482)/100))</f>
        <v/>
      </c>
      <c r="Q482" s="375">
        <f>IF(L482=" "," ",L482*P482)</f>
        <v/>
      </c>
    </row>
    <row r="483" ht="9.949999999999999" customHeight="1" s="244">
      <c r="A483" s="366" t="inlineStr">
        <is>
          <t>İDM</t>
        </is>
      </c>
      <c r="B483" s="367" t="inlineStr"/>
      <c r="C483" s="368" t="n"/>
      <c r="D483" s="369" t="n">
        <v>0.22</v>
      </c>
      <c r="E483" s="369" t="n">
        <v>3</v>
      </c>
      <c r="F483" s="370">
        <f>IF(D483=0," ",D483*E483)</f>
        <v/>
      </c>
      <c r="G483" s="371" t="n">
        <v>1</v>
      </c>
      <c r="H483" s="372" t="n"/>
      <c r="I483" s="370">
        <f>IF(F483=" "," ",F483*G483-H483)</f>
        <v/>
      </c>
      <c r="J483" s="369" t="n">
        <v>0.332</v>
      </c>
      <c r="K483" s="371" t="n">
        <v>10</v>
      </c>
      <c r="L483" s="373">
        <f>IF(I483=" "," ",I483*J483*K483)</f>
        <v/>
      </c>
      <c r="M483" s="374" t="n">
        <v>7</v>
      </c>
      <c r="N483" s="371" t="n">
        <v>0</v>
      </c>
      <c r="O483" s="374" t="n">
        <v>0</v>
      </c>
      <c r="P483" s="370">
        <f>IF(M483=" "," ",(1+(M483+N483+O483)/100))</f>
        <v/>
      </c>
      <c r="Q483" s="375">
        <f>IF(L483=" "," ",L483*P483)</f>
        <v/>
      </c>
    </row>
    <row r="484" ht="9.949999999999999" customHeight="1" s="244">
      <c r="A484" s="366" t="inlineStr">
        <is>
          <t>İDM</t>
        </is>
      </c>
      <c r="B484" s="367" t="inlineStr"/>
      <c r="C484" s="368" t="n"/>
      <c r="D484" s="369" t="n">
        <v>0.83</v>
      </c>
      <c r="E484" s="369" t="n">
        <v>3</v>
      </c>
      <c r="F484" s="370">
        <f>IF(D484=0," ",D484*E484)</f>
        <v/>
      </c>
      <c r="G484" s="371" t="n">
        <v>1</v>
      </c>
      <c r="H484" s="372" t="n"/>
      <c r="I484" s="370">
        <f>IF(F484=" "," ",F484*G484-H484)</f>
        <v/>
      </c>
      <c r="J484" s="369" t="n">
        <v>0.332</v>
      </c>
      <c r="K484" s="371" t="n">
        <v>10</v>
      </c>
      <c r="L484" s="373">
        <f>IF(I484=" "," ",I484*J484*K484)</f>
        <v/>
      </c>
      <c r="M484" s="374" t="n">
        <v>7</v>
      </c>
      <c r="N484" s="371" t="n">
        <v>0</v>
      </c>
      <c r="O484" s="374" t="n">
        <v>0</v>
      </c>
      <c r="P484" s="370">
        <f>IF(M484=" "," ",(1+(M484+N484+O484)/100))</f>
        <v/>
      </c>
      <c r="Q484" s="375">
        <f>IF(L484=" "," ",L484*P484)</f>
        <v/>
      </c>
    </row>
    <row r="485" ht="9.949999999999999" customHeight="1" s="244">
      <c r="A485" s="366" t="inlineStr">
        <is>
          <t>İDM</t>
        </is>
      </c>
      <c r="B485" s="367" t="inlineStr"/>
      <c r="C485" s="368" t="n"/>
      <c r="D485" s="369" t="n">
        <v>0.5</v>
      </c>
      <c r="E485" s="369" t="n">
        <v>3</v>
      </c>
      <c r="F485" s="370">
        <f>IF(D485=0," ",D485*E485)</f>
        <v/>
      </c>
      <c r="G485" s="371" t="n">
        <v>1</v>
      </c>
      <c r="H485" s="372" t="n"/>
      <c r="I485" s="370">
        <f>IF(F485=" "," ",F485*G485-H485)</f>
        <v/>
      </c>
      <c r="J485" s="369" t="n">
        <v>0.332</v>
      </c>
      <c r="K485" s="371" t="n">
        <v>10</v>
      </c>
      <c r="L485" s="373">
        <f>IF(I485=" "," ",I485*J485*K485)</f>
        <v/>
      </c>
      <c r="M485" s="374" t="n">
        <v>7</v>
      </c>
      <c r="N485" s="371" t="n">
        <v>0</v>
      </c>
      <c r="O485" s="374" t="n">
        <v>0</v>
      </c>
      <c r="P485" s="370">
        <f>IF(M485=" "," ",(1+(M485+N485+O485)/100))</f>
        <v/>
      </c>
      <c r="Q485" s="375">
        <f>IF(L485=" "," ",L485*P485)</f>
        <v/>
      </c>
    </row>
    <row r="486" ht="9.949999999999999" customHeight="1" s="244">
      <c r="A486" s="376" t="n"/>
      <c r="B486" s="377" t="n"/>
      <c r="C486" s="377" t="n"/>
      <c r="D486" s="378" t="n"/>
      <c r="E486" s="378" t="n"/>
      <c r="F486" s="378" t="n"/>
      <c r="G486" s="379" t="n"/>
      <c r="H486" s="378" t="n"/>
      <c r="I486" s="378" t="n"/>
      <c r="J486" s="378" t="n"/>
      <c r="K486" s="379" t="n"/>
      <c r="L486" s="380" t="n"/>
      <c r="M486" s="381" t="n"/>
      <c r="N486" s="381" t="n"/>
      <c r="O486" s="381" t="n"/>
      <c r="P486" s="382" t="n"/>
      <c r="Q486" s="383">
        <f>SUM(Q475:Q485)</f>
        <v/>
      </c>
    </row>
    <row r="487" ht="9.949999999999999" customHeight="1" s="244">
      <c r="A487" s="384" t="n"/>
      <c r="B487" s="385" t="n"/>
      <c r="C487" s="385" t="n"/>
      <c r="D487" s="386" t="n"/>
      <c r="E487" s="387" t="n"/>
      <c r="F487" s="388" t="n"/>
      <c r="G487" s="389" t="n"/>
      <c r="H487" s="388" t="n"/>
      <c r="I487" s="390" t="n"/>
      <c r="J487" s="391" t="inlineStr">
        <is>
          <t>Qs=</t>
        </is>
      </c>
      <c r="K487" s="390" t="inlineStr">
        <is>
          <t>S a</t>
        </is>
      </c>
      <c r="L487" s="388" t="inlineStr">
        <is>
          <t>L</t>
        </is>
      </c>
      <c r="M487" s="389" t="inlineStr">
        <is>
          <t>R</t>
        </is>
      </c>
      <c r="N487" s="392" t="inlineStr">
        <is>
          <t>H</t>
        </is>
      </c>
      <c r="O487" s="393" t="inlineStr">
        <is>
          <t>D  T</t>
        </is>
      </c>
      <c r="P487" s="389" t="inlineStr">
        <is>
          <t>Ze</t>
        </is>
      </c>
      <c r="Q487" s="394" t="n"/>
    </row>
    <row r="488" ht="9.949999999999999" customHeight="1" s="244">
      <c r="A488" s="395" t="inlineStr">
        <is>
          <t xml:space="preserve"> </t>
        </is>
      </c>
      <c r="C488" s="397" t="n"/>
      <c r="D488" s="397" t="n"/>
      <c r="E488" s="398" t="n"/>
      <c r="F488" s="399" t="n"/>
      <c r="G488" s="400" t="n"/>
      <c r="H488" s="401" t="n"/>
      <c r="I488" s="402" t="n"/>
      <c r="J488" s="403" t="inlineStr">
        <is>
          <t>Qs  =</t>
        </is>
      </c>
      <c r="K488" s="404" t="n">
        <v>2</v>
      </c>
      <c r="L488" s="404">
        <f>(D477+E477)*2*G477</f>
        <v/>
      </c>
      <c r="M488" s="404" t="n">
        <v>0.9</v>
      </c>
      <c r="N488" s="404" t="n">
        <v>0.67</v>
      </c>
      <c r="O488" s="381" t="n">
        <v>23</v>
      </c>
      <c r="P488" s="404" t="n">
        <v>1</v>
      </c>
      <c r="Q488" s="383">
        <f>K488*L488*M488*N488*O488*P488</f>
        <v/>
      </c>
    </row>
    <row r="489" ht="9.949999999999999" customHeight="1" s="244">
      <c r="A489" s="405" t="n"/>
      <c r="B489" s="406" t="n"/>
      <c r="C489" s="397" t="n"/>
      <c r="D489" s="397" t="n"/>
      <c r="E489" s="378" t="n"/>
      <c r="F489" s="256" t="n"/>
      <c r="G489" s="407" t="n"/>
      <c r="H489" s="397" t="n"/>
      <c r="I489" s="397" t="n"/>
      <c r="J489" s="397" t="n"/>
      <c r="K489" s="407" t="n"/>
      <c r="L489" s="408" t="n"/>
      <c r="M489" s="409" t="inlineStr">
        <is>
          <t xml:space="preserve">   TOPLAM ISI KAYBI =</t>
        </is>
      </c>
      <c r="N489" s="409" t="n"/>
      <c r="O489" s="410" t="n"/>
      <c r="P489" s="409" t="n"/>
      <c r="Q489" s="411">
        <f>Q486+Q488</f>
        <v/>
      </c>
    </row>
    <row r="490" ht="10.35" customHeight="1" s="244">
      <c r="A490" s="359" t="n"/>
      <c r="B490" s="360" t="n"/>
      <c r="C490" s="360" t="n"/>
      <c r="D490" s="360" t="n"/>
      <c r="E490" s="360" t="n"/>
      <c r="F490" s="361" t="inlineStr">
        <is>
          <t>1</t>
        </is>
      </c>
      <c r="G490" s="362" t="inlineStr">
        <is>
          <t>0</t>
        </is>
      </c>
      <c r="H490" s="360" t="inlineStr">
        <is>
          <t>1E2-03</t>
        </is>
      </c>
      <c r="I490" s="363" t="inlineStr">
        <is>
          <t>OFİS E2 MUTFAK</t>
        </is>
      </c>
      <c r="J490" s="364" t="n"/>
      <c r="K490" s="360" t="inlineStr">
        <is>
          <t>20ºC</t>
        </is>
      </c>
      <c r="L490" s="360" t="n"/>
      <c r="M490" s="360" t="n"/>
      <c r="N490" s="360" t="n"/>
      <c r="O490" s="360" t="n"/>
      <c r="P490" s="360" t="n"/>
      <c r="Q490" s="365" t="n"/>
    </row>
    <row r="491" ht="9.949999999999999" customHeight="1" s="244">
      <c r="A491" s="366" t="inlineStr">
        <is>
          <t>İDM</t>
        </is>
      </c>
      <c r="B491" s="367" t="inlineStr"/>
      <c r="C491" s="368" t="n"/>
      <c r="D491" s="369" t="n">
        <v>1.03</v>
      </c>
      <c r="E491" s="369" t="n">
        <v>3</v>
      </c>
      <c r="F491" s="370">
        <f>IF(D491=0," ",D491*E491)</f>
        <v/>
      </c>
      <c r="G491" s="371" t="n">
        <v>1</v>
      </c>
      <c r="H491" s="372" t="n"/>
      <c r="I491" s="370">
        <f>IF(F491=" "," ",F491*G491-H491)</f>
        <v/>
      </c>
      <c r="J491" s="369" t="n">
        <v>0.332</v>
      </c>
      <c r="K491" s="371" t="n">
        <v>5</v>
      </c>
      <c r="L491" s="373">
        <f>IF(I491=" "," ",I491*J491*K491)</f>
        <v/>
      </c>
      <c r="M491" s="374" t="n">
        <v>7</v>
      </c>
      <c r="N491" s="371" t="n">
        <v>0</v>
      </c>
      <c r="O491" s="374" t="n">
        <v>0</v>
      </c>
      <c r="P491" s="370">
        <f>IF(M491=" "," ",(1+(M491+N491+O491)/100))</f>
        <v/>
      </c>
      <c r="Q491" s="375">
        <f>IF(L491=" "," ",L491*P491)</f>
        <v/>
      </c>
    </row>
    <row r="492" ht="9.949999999999999" customHeight="1" s="244">
      <c r="A492" s="376" t="n"/>
      <c r="B492" s="377" t="n"/>
      <c r="C492" s="377" t="n"/>
      <c r="D492" s="378" t="n"/>
      <c r="E492" s="378" t="n"/>
      <c r="F492" s="378" t="n"/>
      <c r="G492" s="379" t="n"/>
      <c r="H492" s="378" t="n"/>
      <c r="I492" s="378" t="n"/>
      <c r="J492" s="378" t="n"/>
      <c r="K492" s="379" t="n"/>
      <c r="L492" s="380" t="n"/>
      <c r="M492" s="381" t="n"/>
      <c r="N492" s="381" t="n"/>
      <c r="O492" s="381" t="n"/>
      <c r="P492" s="382" t="n"/>
      <c r="Q492" s="383">
        <f>SUM(Q491:Q491)</f>
        <v/>
      </c>
    </row>
    <row r="493" ht="9.949999999999999" customHeight="1" s="244">
      <c r="A493" s="384" t="n"/>
      <c r="B493" s="385" t="n"/>
      <c r="C493" s="385" t="n"/>
      <c r="D493" s="386" t="n"/>
      <c r="E493" s="387" t="n"/>
      <c r="F493" s="388" t="n"/>
      <c r="G493" s="389" t="n"/>
      <c r="H493" s="388" t="n"/>
      <c r="I493" s="390" t="n"/>
      <c r="J493" s="391" t="inlineStr">
        <is>
          <t>Qs=</t>
        </is>
      </c>
      <c r="K493" s="390" t="inlineStr">
        <is>
          <t>S a</t>
        </is>
      </c>
      <c r="L493" s="388" t="inlineStr">
        <is>
          <t>L</t>
        </is>
      </c>
      <c r="M493" s="389" t="inlineStr">
        <is>
          <t>R</t>
        </is>
      </c>
      <c r="N493" s="392" t="inlineStr">
        <is>
          <t>H</t>
        </is>
      </c>
      <c r="O493" s="393" t="inlineStr">
        <is>
          <t>D  T</t>
        </is>
      </c>
      <c r="P493" s="389" t="inlineStr">
        <is>
          <t>Ze</t>
        </is>
      </c>
      <c r="Q493" s="394" t="n"/>
    </row>
    <row r="494" ht="9.949999999999999" customHeight="1" s="244">
      <c r="A494" s="395" t="inlineStr">
        <is>
          <t xml:space="preserve"> </t>
        </is>
      </c>
      <c r="C494" s="397" t="n"/>
      <c r="D494" s="397" t="n"/>
      <c r="E494" s="398" t="n"/>
      <c r="F494" s="399" t="n"/>
      <c r="G494" s="400" t="n"/>
      <c r="H494" s="401" t="n"/>
      <c r="I494" s="402" t="n"/>
      <c r="J494" s="403" t="inlineStr">
        <is>
          <t>Qs  =</t>
        </is>
      </c>
      <c r="K494" s="404" t="n">
        <v>2</v>
      </c>
      <c r="L494" s="404" t="n">
        <v>0</v>
      </c>
      <c r="M494" s="404" t="n">
        <v>0.9</v>
      </c>
      <c r="N494" s="404" t="n">
        <v>0.67</v>
      </c>
      <c r="O494" s="381" t="n">
        <v>23</v>
      </c>
      <c r="P494" s="404" t="n">
        <v>1</v>
      </c>
      <c r="Q494" s="383">
        <f>K494*L494*M494*N494*O494*P494</f>
        <v/>
      </c>
    </row>
    <row r="495" ht="9.949999999999999" customHeight="1" s="244">
      <c r="A495" s="405" t="n"/>
      <c r="B495" s="406" t="n"/>
      <c r="C495" s="397" t="n"/>
      <c r="D495" s="397" t="n"/>
      <c r="E495" s="378" t="n"/>
      <c r="F495" s="256" t="n"/>
      <c r="G495" s="407" t="n"/>
      <c r="H495" s="397" t="n"/>
      <c r="I495" s="397" t="n"/>
      <c r="J495" s="397" t="n"/>
      <c r="K495" s="407" t="n"/>
      <c r="L495" s="408" t="n"/>
      <c r="M495" s="409" t="inlineStr">
        <is>
          <t xml:space="preserve">   TOPLAM ISI KAYBI =</t>
        </is>
      </c>
      <c r="N495" s="409" t="n"/>
      <c r="O495" s="410" t="n"/>
      <c r="P495" s="409" t="n"/>
      <c r="Q495" s="411">
        <f>Q492+Q494</f>
        <v/>
      </c>
    </row>
    <row r="496" ht="10.35" customHeight="1" s="244">
      <c r="A496" s="359" t="n"/>
      <c r="B496" s="360" t="n"/>
      <c r="C496" s="360" t="n"/>
      <c r="D496" s="360" t="n"/>
      <c r="E496" s="360" t="n"/>
      <c r="F496" s="361" t="inlineStr">
        <is>
          <t>1</t>
        </is>
      </c>
      <c r="G496" s="362" t="inlineStr">
        <is>
          <t>0</t>
        </is>
      </c>
      <c r="H496" s="360" t="inlineStr">
        <is>
          <t>1E2-04</t>
        </is>
      </c>
      <c r="I496" s="363" t="inlineStr">
        <is>
          <t>OFİS E2 ODA</t>
        </is>
      </c>
      <c r="J496" s="364" t="n"/>
      <c r="K496" s="360" t="inlineStr">
        <is>
          <t>20ºC</t>
        </is>
      </c>
      <c r="L496" s="360" t="n"/>
      <c r="M496" s="360" t="n"/>
      <c r="N496" s="360" t="n"/>
      <c r="O496" s="360" t="n"/>
      <c r="P496" s="360" t="n"/>
      <c r="Q496" s="365" t="n"/>
    </row>
    <row r="497" ht="9.949999999999999" customHeight="1" s="244">
      <c r="A497" s="366" t="inlineStr">
        <is>
          <t>İDM</t>
        </is>
      </c>
      <c r="B497" s="367" t="inlineStr"/>
      <c r="C497" s="368" t="n"/>
      <c r="D497" s="369" t="n">
        <v>2.72</v>
      </c>
      <c r="E497" s="369" t="n">
        <v>3</v>
      </c>
      <c r="F497" s="370">
        <f>IF(D497=0," ",D497*E497)</f>
        <v/>
      </c>
      <c r="G497" s="371" t="n">
        <v>1</v>
      </c>
      <c r="H497" s="372" t="n"/>
      <c r="I497" s="370">
        <f>IF(F497=" "," ",F497*G497-H497)</f>
        <v/>
      </c>
      <c r="J497" s="369" t="n">
        <v>0.332</v>
      </c>
      <c r="K497" s="371" t="n">
        <v>10</v>
      </c>
      <c r="L497" s="373">
        <f>IF(I497=" "," ",I497*J497*K497)</f>
        <v/>
      </c>
      <c r="M497" s="374" t="n">
        <v>7</v>
      </c>
      <c r="N497" s="371" t="n">
        <v>0</v>
      </c>
      <c r="O497" s="374" t="n">
        <v>0</v>
      </c>
      <c r="P497" s="370">
        <f>IF(M497=" "," ",(1+(M497+N497+O497)/100))</f>
        <v/>
      </c>
      <c r="Q497" s="375">
        <f>IF(L497=" "," ",L497*P497)</f>
        <v/>
      </c>
    </row>
    <row r="498" ht="9.949999999999999" customHeight="1" s="244">
      <c r="A498" s="366" t="inlineStr">
        <is>
          <t>İDM</t>
        </is>
      </c>
      <c r="B498" s="367" t="inlineStr"/>
      <c r="C498" s="368" t="n"/>
      <c r="D498" s="369" t="n">
        <v>2.16</v>
      </c>
      <c r="E498" s="369" t="n">
        <v>3</v>
      </c>
      <c r="F498" s="370">
        <f>IF(D498=0," ",D498*E498)</f>
        <v/>
      </c>
      <c r="G498" s="371" t="n">
        <v>1</v>
      </c>
      <c r="H498" s="372" t="n"/>
      <c r="I498" s="370">
        <f>IF(F498=" "," ",F498*G498-H498)</f>
        <v/>
      </c>
      <c r="J498" s="369" t="n">
        <v>0.332</v>
      </c>
      <c r="K498" s="371" t="n">
        <v>5</v>
      </c>
      <c r="L498" s="373">
        <f>IF(I498=" "," ",I498*J498*K498)</f>
        <v/>
      </c>
      <c r="M498" s="374" t="n">
        <v>7</v>
      </c>
      <c r="N498" s="371" t="n">
        <v>0</v>
      </c>
      <c r="O498" s="374" t="n">
        <v>0</v>
      </c>
      <c r="P498" s="370">
        <f>IF(M498=" "," ",(1+(M498+N498+O498)/100))</f>
        <v/>
      </c>
      <c r="Q498" s="375">
        <f>IF(L498=" "," ",L498*P498)</f>
        <v/>
      </c>
    </row>
    <row r="499" ht="9.949999999999999" customHeight="1" s="244">
      <c r="A499" s="366" t="inlineStr">
        <is>
          <t>İDM</t>
        </is>
      </c>
      <c r="B499" s="367" t="inlineStr"/>
      <c r="C499" s="368" t="n"/>
      <c r="D499" s="369" t="n">
        <v>0.27</v>
      </c>
      <c r="E499" s="369" t="n">
        <v>3</v>
      </c>
      <c r="F499" s="370">
        <f>IF(D499=0," ",D499*E499)</f>
        <v/>
      </c>
      <c r="G499" s="371" t="n">
        <v>1</v>
      </c>
      <c r="H499" s="372" t="n"/>
      <c r="I499" s="370">
        <f>IF(F499=" "," ",F499*G499-H499)</f>
        <v/>
      </c>
      <c r="J499" s="369" t="n">
        <v>0.332</v>
      </c>
      <c r="K499" s="371" t="n">
        <v>10</v>
      </c>
      <c r="L499" s="373">
        <f>IF(I499=" "," ",I499*J499*K499)</f>
        <v/>
      </c>
      <c r="M499" s="374" t="n">
        <v>7</v>
      </c>
      <c r="N499" s="371" t="n">
        <v>0</v>
      </c>
      <c r="O499" s="374" t="n">
        <v>0</v>
      </c>
      <c r="P499" s="370">
        <f>IF(M499=" "," ",(1+(M499+N499+O499)/100))</f>
        <v/>
      </c>
      <c r="Q499" s="375">
        <f>IF(L499=" "," ",L499*P499)</f>
        <v/>
      </c>
    </row>
    <row r="500" ht="9.949999999999999" customHeight="1" s="244">
      <c r="A500" s="366" t="inlineStr">
        <is>
          <t>İDM</t>
        </is>
      </c>
      <c r="B500" s="367" t="inlineStr"/>
      <c r="C500" s="368" t="n"/>
      <c r="D500" s="369" t="n">
        <v>0.96</v>
      </c>
      <c r="E500" s="369" t="n">
        <v>3</v>
      </c>
      <c r="F500" s="370">
        <f>IF(D500=0," ",D500*E500)</f>
        <v/>
      </c>
      <c r="G500" s="371" t="n">
        <v>1</v>
      </c>
      <c r="H500" s="372" t="n"/>
      <c r="I500" s="370">
        <f>IF(F500=" "," ",F500*G500-H500)</f>
        <v/>
      </c>
      <c r="J500" s="369" t="n">
        <v>0.332</v>
      </c>
      <c r="K500" s="371" t="n">
        <v>10</v>
      </c>
      <c r="L500" s="373">
        <f>IF(I500=" "," ",I500*J500*K500)</f>
        <v/>
      </c>
      <c r="M500" s="374" t="n">
        <v>7</v>
      </c>
      <c r="N500" s="371" t="n">
        <v>0</v>
      </c>
      <c r="O500" s="374" t="n">
        <v>0</v>
      </c>
      <c r="P500" s="370">
        <f>IF(M500=" "," ",(1+(M500+N500+O500)/100))</f>
        <v/>
      </c>
      <c r="Q500" s="375">
        <f>IF(L500=" "," ",L500*P500)</f>
        <v/>
      </c>
    </row>
    <row r="501" ht="9.949999999999999" customHeight="1" s="244">
      <c r="A501" s="376" t="n"/>
      <c r="B501" s="377" t="n"/>
      <c r="C501" s="377" t="n"/>
      <c r="D501" s="378" t="n"/>
      <c r="E501" s="378" t="n"/>
      <c r="F501" s="378" t="n"/>
      <c r="G501" s="379" t="n"/>
      <c r="H501" s="378" t="n"/>
      <c r="I501" s="378" t="n"/>
      <c r="J501" s="378" t="n"/>
      <c r="K501" s="379" t="n"/>
      <c r="L501" s="380" t="n"/>
      <c r="M501" s="381" t="n"/>
      <c r="N501" s="381" t="n"/>
      <c r="O501" s="381" t="n"/>
      <c r="P501" s="382" t="n"/>
      <c r="Q501" s="383">
        <f>SUM(Q497:Q500)</f>
        <v/>
      </c>
    </row>
    <row r="502" ht="9.949999999999999" customHeight="1" s="244">
      <c r="A502" s="384" t="n"/>
      <c r="B502" s="385" t="n"/>
      <c r="C502" s="385" t="n"/>
      <c r="D502" s="386" t="n"/>
      <c r="E502" s="387" t="n"/>
      <c r="F502" s="388" t="n"/>
      <c r="G502" s="389" t="n"/>
      <c r="H502" s="388" t="n"/>
      <c r="I502" s="390" t="n"/>
      <c r="J502" s="391" t="inlineStr">
        <is>
          <t>Qs=</t>
        </is>
      </c>
      <c r="K502" s="390" t="inlineStr">
        <is>
          <t>S a</t>
        </is>
      </c>
      <c r="L502" s="388" t="inlineStr">
        <is>
          <t>L</t>
        </is>
      </c>
      <c r="M502" s="389" t="inlineStr">
        <is>
          <t>R</t>
        </is>
      </c>
      <c r="N502" s="392" t="inlineStr">
        <is>
          <t>H</t>
        </is>
      </c>
      <c r="O502" s="393" t="inlineStr">
        <is>
          <t>D  T</t>
        </is>
      </c>
      <c r="P502" s="389" t="inlineStr">
        <is>
          <t>Ze</t>
        </is>
      </c>
      <c r="Q502" s="394" t="n"/>
    </row>
    <row r="503" ht="9.949999999999999" customHeight="1" s="244">
      <c r="A503" s="395" t="inlineStr">
        <is>
          <t xml:space="preserve"> </t>
        </is>
      </c>
      <c r="C503" s="397" t="n"/>
      <c r="D503" s="397" t="n"/>
      <c r="E503" s="398" t="n"/>
      <c r="F503" s="399" t="n"/>
      <c r="G503" s="400" t="n"/>
      <c r="H503" s="401" t="n"/>
      <c r="I503" s="402" t="n"/>
      <c r="J503" s="403" t="inlineStr">
        <is>
          <t>Qs  =</t>
        </is>
      </c>
      <c r="K503" s="404" t="n">
        <v>2</v>
      </c>
      <c r="L503" s="404" t="n">
        <v>0</v>
      </c>
      <c r="M503" s="404" t="n">
        <v>0.9</v>
      </c>
      <c r="N503" s="404" t="n">
        <v>0.67</v>
      </c>
      <c r="O503" s="381" t="n">
        <v>23</v>
      </c>
      <c r="P503" s="404" t="n">
        <v>1</v>
      </c>
      <c r="Q503" s="383">
        <f>K503*L503*M503*N503*O503*P503</f>
        <v/>
      </c>
    </row>
    <row r="504" ht="9.949999999999999" customHeight="1" s="244">
      <c r="A504" s="405" t="n"/>
      <c r="B504" s="406" t="n"/>
      <c r="C504" s="397" t="n"/>
      <c r="D504" s="397" t="n"/>
      <c r="E504" s="378" t="n"/>
      <c r="F504" s="256" t="n"/>
      <c r="G504" s="407" t="n"/>
      <c r="H504" s="397" t="n"/>
      <c r="I504" s="397" t="n"/>
      <c r="J504" s="397" t="n"/>
      <c r="K504" s="407" t="n"/>
      <c r="L504" s="408" t="n"/>
      <c r="M504" s="409" t="inlineStr">
        <is>
          <t xml:space="preserve">   TOPLAM ISI KAYBI =</t>
        </is>
      </c>
      <c r="N504" s="409" t="n"/>
      <c r="O504" s="410" t="n"/>
      <c r="P504" s="409" t="n"/>
      <c r="Q504" s="411">
        <f>Q501+Q503</f>
        <v/>
      </c>
    </row>
    <row r="505" ht="10.35" customHeight="1" s="244">
      <c r="A505" s="359" t="n"/>
      <c r="B505" s="360" t="n"/>
      <c r="C505" s="360" t="n"/>
      <c r="D505" s="360" t="n"/>
      <c r="E505" s="360" t="n"/>
      <c r="F505" s="361" t="inlineStr">
        <is>
          <t>1</t>
        </is>
      </c>
      <c r="G505" s="362" t="inlineStr">
        <is>
          <t>0</t>
        </is>
      </c>
      <c r="H505" s="360" t="inlineStr">
        <is>
          <t>1E2-05</t>
        </is>
      </c>
      <c r="I505" s="363" t="inlineStr">
        <is>
          <t>OFİS E2 BANYO</t>
        </is>
      </c>
      <c r="J505" s="364" t="n"/>
      <c r="K505" s="360" t="inlineStr">
        <is>
          <t>24ºC</t>
        </is>
      </c>
      <c r="L505" s="360" t="n"/>
      <c r="M505" s="360" t="n"/>
      <c r="N505" s="360" t="n"/>
      <c r="O505" s="360" t="n"/>
      <c r="P505" s="360" t="n"/>
      <c r="Q505" s="365" t="n"/>
    </row>
    <row r="506" ht="9.949999999999999" customHeight="1" s="244">
      <c r="A506" s="366" t="inlineStr">
        <is>
          <t>İDM</t>
        </is>
      </c>
      <c r="B506" s="367" t="inlineStr"/>
      <c r="C506" s="368" t="n"/>
      <c r="D506" s="369" t="n">
        <v>0.22</v>
      </c>
      <c r="E506" s="369" t="n">
        <v>3</v>
      </c>
      <c r="F506" s="370">
        <f>IF(D506=0," ",D506*E506)</f>
        <v/>
      </c>
      <c r="G506" s="371" t="n">
        <v>1</v>
      </c>
      <c r="H506" s="372" t="n"/>
      <c r="I506" s="370">
        <f>IF(F506=" "," ",F506*G506-H506)</f>
        <v/>
      </c>
      <c r="J506" s="369" t="n">
        <v>0.332</v>
      </c>
      <c r="K506" s="371" t="n">
        <v>14</v>
      </c>
      <c r="L506" s="373">
        <f>IF(I506=" "," ",I506*J506*K506)</f>
        <v/>
      </c>
      <c r="M506" s="374" t="n">
        <v>7</v>
      </c>
      <c r="N506" s="371" t="n">
        <v>0</v>
      </c>
      <c r="O506" s="374" t="n">
        <v>0</v>
      </c>
      <c r="P506" s="370">
        <f>IF(M506=" "," ",(1+(M506+N506+O506)/100))</f>
        <v/>
      </c>
      <c r="Q506" s="375">
        <f>IF(L506=" "," ",L506*P506)</f>
        <v/>
      </c>
    </row>
    <row r="507" ht="9.949999999999999" customHeight="1" s="244">
      <c r="A507" s="366" t="inlineStr">
        <is>
          <t>İDM</t>
        </is>
      </c>
      <c r="B507" s="367" t="inlineStr"/>
      <c r="C507" s="368" t="n"/>
      <c r="D507" s="369" t="n">
        <v>1.08</v>
      </c>
      <c r="E507" s="369" t="n">
        <v>3</v>
      </c>
      <c r="F507" s="370">
        <f>IF(D507=0," ",D507*E507)</f>
        <v/>
      </c>
      <c r="G507" s="371" t="n">
        <v>1</v>
      </c>
      <c r="H507" s="372" t="n"/>
      <c r="I507" s="370">
        <f>IF(F507=" "," ",F507*G507-H507)</f>
        <v/>
      </c>
      <c r="J507" s="369" t="n">
        <v>0.332</v>
      </c>
      <c r="K507" s="371" t="n">
        <v>9</v>
      </c>
      <c r="L507" s="373">
        <f>IF(I507=" "," ",I507*J507*K507)</f>
        <v/>
      </c>
      <c r="M507" s="374" t="n">
        <v>7</v>
      </c>
      <c r="N507" s="371" t="n">
        <v>0</v>
      </c>
      <c r="O507" s="374" t="n">
        <v>0</v>
      </c>
      <c r="P507" s="370">
        <f>IF(M507=" "," ",(1+(M507+N507+O507)/100))</f>
        <v/>
      </c>
      <c r="Q507" s="375">
        <f>IF(L507=" "," ",L507*P507)</f>
        <v/>
      </c>
    </row>
    <row r="508" ht="9.949999999999999" customHeight="1" s="244">
      <c r="A508" s="376" t="n"/>
      <c r="B508" s="377" t="n"/>
      <c r="C508" s="377" t="n"/>
      <c r="D508" s="378" t="n"/>
      <c r="E508" s="378" t="n"/>
      <c r="F508" s="378" t="n"/>
      <c r="G508" s="379" t="n"/>
      <c r="H508" s="378" t="n"/>
      <c r="I508" s="378" t="n"/>
      <c r="J508" s="378" t="n"/>
      <c r="K508" s="379" t="n"/>
      <c r="L508" s="380" t="n"/>
      <c r="M508" s="381" t="n"/>
      <c r="N508" s="381" t="n"/>
      <c r="O508" s="381" t="n"/>
      <c r="P508" s="382" t="n"/>
      <c r="Q508" s="383">
        <f>SUM(Q506:Q507)</f>
        <v/>
      </c>
    </row>
    <row r="509" ht="9.949999999999999" customHeight="1" s="244">
      <c r="A509" s="384" t="n"/>
      <c r="B509" s="385" t="n"/>
      <c r="C509" s="385" t="n"/>
      <c r="D509" s="386" t="n"/>
      <c r="E509" s="387" t="n"/>
      <c r="F509" s="388" t="n"/>
      <c r="G509" s="389" t="n"/>
      <c r="H509" s="388" t="n"/>
      <c r="I509" s="390" t="n"/>
      <c r="J509" s="391" t="inlineStr">
        <is>
          <t>Qs=</t>
        </is>
      </c>
      <c r="K509" s="390" t="inlineStr">
        <is>
          <t>S a</t>
        </is>
      </c>
      <c r="L509" s="388" t="inlineStr">
        <is>
          <t>L</t>
        </is>
      </c>
      <c r="M509" s="389" t="inlineStr">
        <is>
          <t>R</t>
        </is>
      </c>
      <c r="N509" s="392" t="inlineStr">
        <is>
          <t>H</t>
        </is>
      </c>
      <c r="O509" s="393" t="inlineStr">
        <is>
          <t>D  T</t>
        </is>
      </c>
      <c r="P509" s="389" t="inlineStr">
        <is>
          <t>Ze</t>
        </is>
      </c>
      <c r="Q509" s="394" t="n"/>
    </row>
    <row r="510" ht="9.949999999999999" customHeight="1" s="244">
      <c r="A510" s="395" t="inlineStr">
        <is>
          <t xml:space="preserve"> </t>
        </is>
      </c>
      <c r="C510" s="397" t="n"/>
      <c r="D510" s="397" t="n"/>
      <c r="E510" s="398" t="n"/>
      <c r="F510" s="399" t="n"/>
      <c r="G510" s="400" t="n"/>
      <c r="H510" s="401" t="n"/>
      <c r="I510" s="402" t="n"/>
      <c r="J510" s="403" t="inlineStr">
        <is>
          <t>Qs  =</t>
        </is>
      </c>
      <c r="K510" s="404" t="n">
        <v>2</v>
      </c>
      <c r="L510" s="404" t="n">
        <v>0</v>
      </c>
      <c r="M510" s="404" t="n">
        <v>0.9</v>
      </c>
      <c r="N510" s="404" t="n">
        <v>0.67</v>
      </c>
      <c r="O510" s="381" t="n">
        <v>27</v>
      </c>
      <c r="P510" s="404" t="n">
        <v>1</v>
      </c>
      <c r="Q510" s="383">
        <f>K510*L510*M510*N510*O510*P510</f>
        <v/>
      </c>
    </row>
    <row r="511" ht="9.949999999999999" customHeight="1" s="244">
      <c r="A511" s="405" t="n"/>
      <c r="B511" s="406" t="n"/>
      <c r="C511" s="397" t="n"/>
      <c r="D511" s="397" t="n"/>
      <c r="E511" s="378" t="n"/>
      <c r="F511" s="256" t="n"/>
      <c r="G511" s="407" t="n"/>
      <c r="H511" s="397" t="n"/>
      <c r="I511" s="397" t="n"/>
      <c r="J511" s="397" t="n"/>
      <c r="K511" s="407" t="n"/>
      <c r="L511" s="408" t="n"/>
      <c r="M511" s="409" t="inlineStr">
        <is>
          <t xml:space="preserve">   TOPLAM ISI KAYBI =</t>
        </is>
      </c>
      <c r="N511" s="409" t="n"/>
      <c r="O511" s="410" t="n"/>
      <c r="P511" s="409" t="n"/>
      <c r="Q511" s="411">
        <f>Q508+Q510</f>
        <v/>
      </c>
    </row>
  </sheetData>
  <mergeCells count="126">
    <mergeCell ref="E139:F139"/>
    <mergeCell ref="I208:J208"/>
    <mergeCell ref="I266:J266"/>
    <mergeCell ref="I379:J379"/>
    <mergeCell ref="I393:J393"/>
    <mergeCell ref="I217:J217"/>
    <mergeCell ref="I444:J444"/>
    <mergeCell ref="E387:F387"/>
    <mergeCell ref="I434:J434"/>
    <mergeCell ref="I272:J272"/>
    <mergeCell ref="I302:J302"/>
    <mergeCell ref="E73:F73"/>
    <mergeCell ref="I292:J292"/>
    <mergeCell ref="I239:J239"/>
    <mergeCell ref="E173:F173"/>
    <mergeCell ref="I342:J342"/>
    <mergeCell ref="E99:F99"/>
    <mergeCell ref="E286:F286"/>
    <mergeCell ref="E168:F168"/>
    <mergeCell ref="I399:J399"/>
    <mergeCell ref="I421:J421"/>
    <mergeCell ref="E91:F91"/>
    <mergeCell ref="I193:J193"/>
    <mergeCell ref="E246:F246"/>
    <mergeCell ref="E22:F22"/>
    <mergeCell ref="E326:F326"/>
    <mergeCell ref="I30:J30"/>
    <mergeCell ref="E117:F117"/>
    <mergeCell ref="M3:P3"/>
    <mergeCell ref="E55:F55"/>
    <mergeCell ref="E420:F420"/>
    <mergeCell ref="I151:J151"/>
    <mergeCell ref="E127:F127"/>
    <mergeCell ref="I160:J160"/>
    <mergeCell ref="I61:J61"/>
    <mergeCell ref="I490:J490"/>
    <mergeCell ref="E200:F200"/>
    <mergeCell ref="I233:J233"/>
    <mergeCell ref="I227:J227"/>
    <mergeCell ref="E3:H3"/>
    <mergeCell ref="E433:F433"/>
    <mergeCell ref="E314:F314"/>
    <mergeCell ref="I41:J41"/>
    <mergeCell ref="E40:F40"/>
    <mergeCell ref="I56:J56"/>
    <mergeCell ref="E291:F291"/>
    <mergeCell ref="I347:J347"/>
    <mergeCell ref="E260:F260"/>
    <mergeCell ref="I373:J373"/>
    <mergeCell ref="E511:F511"/>
    <mergeCell ref="I8:J8"/>
    <mergeCell ref="E443:F443"/>
    <mergeCell ref="I201:J201"/>
    <mergeCell ref="I82:J82"/>
    <mergeCell ref="E473:F473"/>
    <mergeCell ref="E187:F187"/>
    <mergeCell ref="E301:F301"/>
    <mergeCell ref="I74:J74"/>
    <mergeCell ref="E238:F238"/>
    <mergeCell ref="I140:J140"/>
    <mergeCell ref="I174:J174"/>
    <mergeCell ref="E489:F489"/>
    <mergeCell ref="I256:J256"/>
    <mergeCell ref="I287:J287"/>
    <mergeCell ref="E150:F150"/>
    <mergeCell ref="I361:J361"/>
    <mergeCell ref="I409:J409"/>
    <mergeCell ref="I474:J474"/>
    <mergeCell ref="I188:J188"/>
    <mergeCell ref="E408:F408"/>
    <mergeCell ref="E29:F29"/>
    <mergeCell ref="E352:F352"/>
    <mergeCell ref="E265:F265"/>
    <mergeCell ref="I439:J439"/>
    <mergeCell ref="I321:J321"/>
    <mergeCell ref="I282:J282"/>
    <mergeCell ref="E320:F320"/>
    <mergeCell ref="E226:F226"/>
    <mergeCell ref="E378:F378"/>
    <mergeCell ref="I23:J23"/>
    <mergeCell ref="I505:J505"/>
    <mergeCell ref="E346:F346"/>
    <mergeCell ref="I315:J315"/>
    <mergeCell ref="E81:F81"/>
    <mergeCell ref="E112:F112"/>
    <mergeCell ref="I128:J128"/>
    <mergeCell ref="I261:J261"/>
    <mergeCell ref="E341:F341"/>
    <mergeCell ref="I388:J388"/>
    <mergeCell ref="I334:J334"/>
    <mergeCell ref="E372:F372"/>
    <mergeCell ref="E495:F495"/>
    <mergeCell ref="I113:J113"/>
    <mergeCell ref="E333:F333"/>
    <mergeCell ref="E398:F398"/>
    <mergeCell ref="E504:F504"/>
    <mergeCell ref="I100:J100"/>
    <mergeCell ref="I327:J327"/>
    <mergeCell ref="I454:J454"/>
    <mergeCell ref="E60:F60"/>
    <mergeCell ref="E367:F367"/>
    <mergeCell ref="E438:F438"/>
    <mergeCell ref="E232:F232"/>
    <mergeCell ref="I92:J92"/>
    <mergeCell ref="E207:F207"/>
    <mergeCell ref="I353:J353"/>
    <mergeCell ref="E360:F360"/>
    <mergeCell ref="I368:J368"/>
    <mergeCell ref="I180:J180"/>
    <mergeCell ref="E216:F216"/>
    <mergeCell ref="I118:J118"/>
    <mergeCell ref="E281:F281"/>
    <mergeCell ref="I496:J496"/>
    <mergeCell ref="I48:J48"/>
    <mergeCell ref="E179:F179"/>
    <mergeCell ref="I247:J247"/>
    <mergeCell ref="E271:F271"/>
    <mergeCell ref="I3:L3"/>
    <mergeCell ref="I169:J169"/>
    <mergeCell ref="A3:D3"/>
    <mergeCell ref="E255:F255"/>
    <mergeCell ref="E392:F392"/>
    <mergeCell ref="E159:F159"/>
    <mergeCell ref="E453:F453"/>
    <mergeCell ref="E47:F47"/>
    <mergeCell ref="E192:F192"/>
  </mergeCells>
  <printOptions horizontalCentered="0" verticalCentered="0" headings="0" gridLines="0" gridLinesSet="1"/>
  <pageMargins left="0.196527777777778" right="0.157638888888889" top="0.315277777777778" bottom="0.315277777777778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Q572"/>
  <sheetViews>
    <sheetView workbookViewId="0">
      <selection activeCell="A1" sqref="A1"/>
    </sheetView>
  </sheetViews>
  <sheetFormatPr baseColWidth="8" defaultColWidth="6.84765625" defaultRowHeight="11.25" zeroHeight="0" outlineLevelRow="0"/>
  <cols>
    <col width="7.28" customWidth="1" style="328" min="1" max="1"/>
    <col width="3.85" customWidth="1" style="328" min="2" max="3"/>
    <col width="5.56" customWidth="1" style="328" min="4" max="4"/>
    <col width="6.13" customWidth="1" style="328" min="5" max="5"/>
    <col width="5.56" customWidth="1" style="328" min="6" max="7"/>
    <col width="6.56" customWidth="1" style="328" min="8" max="9"/>
    <col width="6.41" customWidth="1" style="328" min="10" max="10"/>
    <col width="6.13" customWidth="1" style="328" min="11" max="11"/>
    <col width="7.28" customWidth="1" style="328" min="12" max="12"/>
    <col width="5.56" customWidth="1" style="328" min="13" max="16"/>
    <col width="8.279999999999999" customWidth="1" style="328" min="17" max="17"/>
    <col width="6.85" customWidth="1" style="328" min="18" max="257"/>
  </cols>
  <sheetData>
    <row r="1" ht="9.75" customFormat="1" customHeight="1" s="329">
      <c r="A1" s="330" t="n"/>
      <c r="B1" s="331" t="n"/>
      <c r="C1" s="331" t="n"/>
      <c r="D1" s="331" t="n"/>
      <c r="E1" s="331" t="n"/>
      <c r="F1" s="332" t="n"/>
      <c r="G1" s="333" t="n"/>
      <c r="H1" s="334" t="inlineStr">
        <is>
          <t>ISI  KAYBI  HESABI</t>
        </is>
      </c>
      <c r="I1" s="333" t="n"/>
      <c r="J1" s="333" t="n"/>
      <c r="K1" s="331" t="n"/>
      <c r="L1" s="335" t="n"/>
      <c r="M1" s="331" t="n"/>
      <c r="N1" s="336" t="inlineStr">
        <is>
          <t>Kat :</t>
        </is>
      </c>
      <c r="O1" s="337" t="inlineStr">
        <is>
          <t>2. KAT OFİSLER</t>
        </is>
      </c>
      <c r="P1" s="337" t="inlineStr">
        <is>
          <t>Tarih</t>
        </is>
      </c>
      <c r="Q1" s="338">
        <f>kapak!G41</f>
        <v/>
      </c>
    </row>
    <row r="2" ht="10.5" customFormat="1" customHeight="1" s="339">
      <c r="A2" s="340" t="n"/>
      <c r="F2" s="341" t="inlineStr">
        <is>
          <t xml:space="preserve">   PROJE ADI :</t>
        </is>
      </c>
      <c r="G2" s="342" t="n"/>
      <c r="H2" s="343">
        <f>kapak!C31</f>
        <v/>
      </c>
      <c r="I2" s="343" t="n"/>
      <c r="J2" s="343" t="n"/>
      <c r="K2" s="344" t="n"/>
      <c r="L2" s="345" t="n"/>
      <c r="N2" s="346" t="inlineStr">
        <is>
          <t xml:space="preserve">  Sayfa :</t>
        </is>
      </c>
      <c r="O2" s="347" t="n">
        <v>4</v>
      </c>
      <c r="P2" s="347" t="n"/>
      <c r="Q2" s="347" t="n"/>
    </row>
    <row r="3" ht="8.25" customFormat="1" customHeight="1" s="339">
      <c r="A3" s="348" t="inlineStr">
        <is>
          <t xml:space="preserve"> Yapı Bileşeni</t>
        </is>
      </c>
      <c r="B3" s="264" t="n"/>
      <c r="C3" s="264" t="n"/>
      <c r="D3" s="264" t="n"/>
      <c r="E3" s="349" t="inlineStr">
        <is>
          <t xml:space="preserve"> Alan Hesabı</t>
        </is>
      </c>
      <c r="F3" s="264" t="n"/>
      <c r="G3" s="264" t="n"/>
      <c r="H3" s="260" t="n"/>
      <c r="I3" s="350" t="inlineStr">
        <is>
          <t xml:space="preserve">                 Isı kaybı hesabı</t>
        </is>
      </c>
      <c r="J3" s="264" t="n"/>
      <c r="K3" s="264" t="n"/>
      <c r="L3" s="260" t="n"/>
      <c r="M3" s="350" t="inlineStr">
        <is>
          <t xml:space="preserve">            Zamlar</t>
        </is>
      </c>
      <c r="N3" s="264" t="n"/>
      <c r="O3" s="264" t="n"/>
      <c r="P3" s="260" t="n"/>
      <c r="Q3" s="350" t="inlineStr">
        <is>
          <t xml:space="preserve">Toplam </t>
        </is>
      </c>
    </row>
    <row r="4" ht="31.5" customFormat="1" customHeight="1" s="351">
      <c r="A4" s="352" t="inlineStr">
        <is>
          <t>İşaret</t>
        </is>
      </c>
      <c r="B4" s="352" t="inlineStr">
        <is>
          <t>Yön</t>
        </is>
      </c>
      <c r="C4" s="352" t="inlineStr">
        <is>
          <t>Kalınlık</t>
        </is>
      </c>
      <c r="D4" s="352" t="inlineStr">
        <is>
          <t>Uzunluk</t>
        </is>
      </c>
      <c r="E4" s="352" t="inlineStr">
        <is>
          <t>Yükseklik</t>
        </is>
      </c>
      <c r="F4" s="353" t="inlineStr">
        <is>
          <t xml:space="preserve">  Toplam Alan</t>
        </is>
      </c>
      <c r="G4" s="352" t="inlineStr">
        <is>
          <t>Miktar</t>
        </is>
      </c>
      <c r="H4" s="353" t="inlineStr">
        <is>
          <t>Çıkarıla alan</t>
        </is>
      </c>
      <c r="I4" s="353" t="inlineStr">
        <is>
          <t>Hesaba giren Alan</t>
        </is>
      </c>
      <c r="J4" s="353" t="inlineStr">
        <is>
          <t xml:space="preserve">    Isı İletim Katsayısı</t>
        </is>
      </c>
      <c r="K4" s="353" t="inlineStr">
        <is>
          <t xml:space="preserve">Sıcaklık Farkı </t>
        </is>
      </c>
      <c r="L4" s="353" t="inlineStr">
        <is>
          <t>Zamsız Isı Kaybı</t>
        </is>
      </c>
      <c r="M4" s="352" t="inlineStr">
        <is>
          <t>İşletme</t>
        </is>
      </c>
      <c r="N4" s="352" t="inlineStr">
        <is>
          <t>Kat Yük.</t>
        </is>
      </c>
      <c r="O4" s="352" t="inlineStr">
        <is>
          <t>Yön</t>
        </is>
      </c>
      <c r="P4" s="352" t="inlineStr">
        <is>
          <t>Toplam</t>
        </is>
      </c>
      <c r="Q4" s="353" t="inlineStr">
        <is>
          <t>Toplam Is
ı İhtiyacı</t>
        </is>
      </c>
    </row>
    <row r="5" ht="9.75" customFormat="1" customHeight="1" s="351">
      <c r="A5" s="354" t="n"/>
      <c r="B5" s="354" t="n"/>
      <c r="C5" s="354" t="n"/>
      <c r="D5" s="354" t="n"/>
      <c r="E5" s="354" t="n"/>
      <c r="F5" s="354" t="inlineStr">
        <is>
          <t>[Ao]</t>
        </is>
      </c>
      <c r="G5" s="354" t="n"/>
      <c r="H5" s="354" t="n"/>
      <c r="I5" s="354" t="inlineStr">
        <is>
          <t>[A]</t>
        </is>
      </c>
      <c r="J5" s="354" t="inlineStr">
        <is>
          <t>[k]</t>
        </is>
      </c>
      <c r="K5" s="355" t="inlineStr">
        <is>
          <t>D T</t>
        </is>
      </c>
      <c r="L5" s="354" t="inlineStr">
        <is>
          <t>Qo</t>
        </is>
      </c>
      <c r="M5" s="354" t="inlineStr">
        <is>
          <t>ZD</t>
        </is>
      </c>
      <c r="N5" s="354" t="inlineStr">
        <is>
          <t>ZW</t>
        </is>
      </c>
      <c r="O5" s="354" t="inlineStr">
        <is>
          <t>ZH</t>
        </is>
      </c>
      <c r="P5" s="354" t="inlineStr">
        <is>
          <t>Z</t>
        </is>
      </c>
      <c r="Q5" s="354" t="inlineStr">
        <is>
          <t>Qh=Qi+Qs</t>
        </is>
      </c>
    </row>
    <row r="6" ht="15.75" customFormat="1" customHeight="1" s="356">
      <c r="A6" s="346" t="n"/>
      <c r="B6" s="346" t="n"/>
      <c r="C6" s="346" t="inlineStr">
        <is>
          <t>cm</t>
        </is>
      </c>
      <c r="D6" s="346" t="inlineStr">
        <is>
          <t>m</t>
        </is>
      </c>
      <c r="E6" s="346" t="inlineStr">
        <is>
          <t>m</t>
        </is>
      </c>
      <c r="F6" s="346" t="inlineStr">
        <is>
          <t>m²</t>
        </is>
      </c>
      <c r="G6" s="346" t="inlineStr">
        <is>
          <t>ad</t>
        </is>
      </c>
      <c r="H6" s="346" t="inlineStr">
        <is>
          <t>m²</t>
        </is>
      </c>
      <c r="I6" s="346" t="inlineStr">
        <is>
          <t>m²</t>
        </is>
      </c>
      <c r="J6" s="357" t="inlineStr">
        <is>
          <t>watt  m²hºC</t>
        </is>
      </c>
      <c r="K6" s="346" t="inlineStr">
        <is>
          <t>ºC</t>
        </is>
      </c>
      <c r="L6" s="358" t="inlineStr">
        <is>
          <t>watt</t>
        </is>
      </c>
      <c r="M6" s="346" t="inlineStr">
        <is>
          <t>%</t>
        </is>
      </c>
      <c r="N6" s="346" t="inlineStr">
        <is>
          <t>%</t>
        </is>
      </c>
      <c r="O6" s="346" t="inlineStr">
        <is>
          <t>%</t>
        </is>
      </c>
      <c r="P6" s="346" t="inlineStr">
        <is>
          <t>1+%</t>
        </is>
      </c>
      <c r="Q6" s="358" t="inlineStr">
        <is>
          <t>watt</t>
        </is>
      </c>
    </row>
    <row r="7" ht="9.75" customFormat="1" customHeight="1" s="356">
      <c r="A7" s="346" t="n">
        <v>1</v>
      </c>
      <c r="B7" s="346" t="n">
        <v>2</v>
      </c>
      <c r="C7" s="346" t="n">
        <v>3</v>
      </c>
      <c r="D7" s="346" t="n">
        <v>4</v>
      </c>
      <c r="E7" s="346" t="n">
        <v>5</v>
      </c>
      <c r="F7" s="346" t="n">
        <v>6</v>
      </c>
      <c r="G7" s="346" t="n">
        <v>7</v>
      </c>
      <c r="H7" s="346" t="n">
        <v>8</v>
      </c>
      <c r="I7" s="346" t="n">
        <v>9</v>
      </c>
      <c r="J7" s="346" t="n">
        <v>10</v>
      </c>
      <c r="K7" s="346" t="n">
        <v>11</v>
      </c>
      <c r="L7" s="346" t="n">
        <v>12</v>
      </c>
      <c r="M7" s="346" t="n">
        <v>13</v>
      </c>
      <c r="N7" s="346" t="n">
        <v>14</v>
      </c>
      <c r="O7" s="346" t="n">
        <v>15</v>
      </c>
      <c r="P7" s="346" t="n">
        <v>16</v>
      </c>
      <c r="Q7" s="346" t="n">
        <v>17</v>
      </c>
    </row>
    <row r="8" ht="10.35" customFormat="1" customHeight="1" s="356">
      <c r="A8" s="359" t="n"/>
      <c r="B8" s="360" t="n"/>
      <c r="C8" s="360" t="n"/>
      <c r="D8" s="360" t="n"/>
      <c r="E8" s="360" t="n"/>
      <c r="F8" s="361" t="inlineStr">
        <is>
          <t>2</t>
        </is>
      </c>
      <c r="G8" s="362" t="inlineStr">
        <is>
          <t>0</t>
        </is>
      </c>
      <c r="H8" s="360" t="inlineStr">
        <is>
          <t>2A1-01</t>
        </is>
      </c>
      <c r="I8" s="363" t="inlineStr">
        <is>
          <t>OFİS A1 BANYO</t>
        </is>
      </c>
      <c r="J8" s="364" t="n"/>
      <c r="K8" s="360" t="inlineStr">
        <is>
          <t>24ºC</t>
        </is>
      </c>
      <c r="L8" s="360" t="n"/>
      <c r="M8" s="360" t="n"/>
      <c r="N8" s="360" t="n"/>
      <c r="O8" s="360" t="n"/>
      <c r="P8" s="360" t="n"/>
      <c r="Q8" s="365" t="n"/>
    </row>
    <row r="9" ht="9.949999999999999" customFormat="1" customHeight="1" s="356">
      <c r="A9" s="366" t="inlineStr">
        <is>
          <t>İDM</t>
        </is>
      </c>
      <c r="B9" s="367" t="inlineStr"/>
      <c r="C9" s="368" t="n"/>
      <c r="D9" s="369" t="n">
        <v>1.13</v>
      </c>
      <c r="E9" s="369" t="n">
        <v>3</v>
      </c>
      <c r="F9" s="370">
        <f>IF(D9=0," ",D9*E9)</f>
        <v/>
      </c>
      <c r="G9" s="371" t="n">
        <v>1</v>
      </c>
      <c r="H9" s="372" t="n"/>
      <c r="I9" s="370">
        <f>IF(F9=" "," ",F9*G9-H9)</f>
        <v/>
      </c>
      <c r="J9" s="369" t="n">
        <v>0.332</v>
      </c>
      <c r="K9" s="371" t="n">
        <v>9</v>
      </c>
      <c r="L9" s="373">
        <f>IF(I9=" "," ",I9*J9*K9)</f>
        <v/>
      </c>
      <c r="M9" s="374" t="n">
        <v>7</v>
      </c>
      <c r="N9" s="371" t="n">
        <v>0</v>
      </c>
      <c r="O9" s="374" t="n">
        <v>0</v>
      </c>
      <c r="P9" s="370">
        <f>IF(M9=" "," ",(1+(M9+N9+O9)/100))</f>
        <v/>
      </c>
      <c r="Q9" s="375">
        <f>IF(L9=" "," ",L9*P9)</f>
        <v/>
      </c>
    </row>
    <row r="10" ht="9.949999999999999" customFormat="1" customHeight="1" s="356">
      <c r="A10" s="366" t="inlineStr">
        <is>
          <t>İDM</t>
        </is>
      </c>
      <c r="B10" s="367" t="inlineStr"/>
      <c r="C10" s="368" t="n"/>
      <c r="D10" s="369" t="n">
        <v>0.22</v>
      </c>
      <c r="E10" s="369" t="n">
        <v>3</v>
      </c>
      <c r="F10" s="370">
        <f>IF(D10=0," ",D10*E10)</f>
        <v/>
      </c>
      <c r="G10" s="371" t="n">
        <v>1</v>
      </c>
      <c r="H10" s="372" t="n"/>
      <c r="I10" s="370">
        <f>IF(F10=" "," ",F10*G10-H10)</f>
        <v/>
      </c>
      <c r="J10" s="369" t="n">
        <v>0.332</v>
      </c>
      <c r="K10" s="371" t="n">
        <v>9</v>
      </c>
      <c r="L10" s="373">
        <f>IF(I10=" "," ",I10*J10*K10)</f>
        <v/>
      </c>
      <c r="M10" s="374" t="n">
        <v>7</v>
      </c>
      <c r="N10" s="371" t="n">
        <v>0</v>
      </c>
      <c r="O10" s="374" t="n">
        <v>0</v>
      </c>
      <c r="P10" s="370">
        <f>IF(M10=" "," ",(1+(M10+N10+O10)/100))</f>
        <v/>
      </c>
      <c r="Q10" s="375">
        <f>IF(L10=" "," ",L10*P10)</f>
        <v/>
      </c>
    </row>
    <row r="11" ht="9.949999999999999" customFormat="1" customHeight="1" s="356">
      <c r="A11" s="366" t="inlineStr">
        <is>
          <t>İDM</t>
        </is>
      </c>
      <c r="B11" s="367" t="inlineStr"/>
      <c r="C11" s="368" t="n"/>
      <c r="D11" s="369" t="n">
        <v>0.29</v>
      </c>
      <c r="E11" s="369" t="n">
        <v>3</v>
      </c>
      <c r="F11" s="370">
        <f>IF(D11=0," ",D11*E11)</f>
        <v/>
      </c>
      <c r="G11" s="371" t="n">
        <v>1</v>
      </c>
      <c r="H11" s="372" t="n"/>
      <c r="I11" s="370">
        <f>IF(F11=" "," ",F11*G11-H11)</f>
        <v/>
      </c>
      <c r="J11" s="369" t="n">
        <v>0.332</v>
      </c>
      <c r="K11" s="371" t="n">
        <v>14</v>
      </c>
      <c r="L11" s="373">
        <f>IF(I11=" "," ",I11*J11*K11)</f>
        <v/>
      </c>
      <c r="M11" s="374" t="n">
        <v>7</v>
      </c>
      <c r="N11" s="371" t="n">
        <v>0</v>
      </c>
      <c r="O11" s="374" t="n">
        <v>0</v>
      </c>
      <c r="P11" s="370">
        <f>IF(M11=" "," ",(1+(M11+N11+O11)/100))</f>
        <v/>
      </c>
      <c r="Q11" s="375">
        <f>IF(L11=" "," ",L11*P11)</f>
        <v/>
      </c>
    </row>
    <row r="12" ht="9.949999999999999" customFormat="1" customHeight="1" s="356">
      <c r="A12" s="366" t="inlineStr">
        <is>
          <t>İDM</t>
        </is>
      </c>
      <c r="B12" s="367" t="inlineStr"/>
      <c r="C12" s="368" t="n"/>
      <c r="D12" s="369" t="n">
        <v>0.3</v>
      </c>
      <c r="E12" s="369" t="n">
        <v>3</v>
      </c>
      <c r="F12" s="370">
        <f>IF(D12=0," ",D12*E12)</f>
        <v/>
      </c>
      <c r="G12" s="371" t="n">
        <v>1</v>
      </c>
      <c r="H12" s="372" t="n"/>
      <c r="I12" s="370">
        <f>IF(F12=" "," ",F12*G12-H12)</f>
        <v/>
      </c>
      <c r="J12" s="369" t="n">
        <v>0.332</v>
      </c>
      <c r="K12" s="371" t="n">
        <v>14</v>
      </c>
      <c r="L12" s="373">
        <f>IF(I12=" "," ",I12*J12*K12)</f>
        <v/>
      </c>
      <c r="M12" s="374" t="n">
        <v>7</v>
      </c>
      <c r="N12" s="371" t="n">
        <v>0</v>
      </c>
      <c r="O12" s="374" t="n">
        <v>0</v>
      </c>
      <c r="P12" s="370">
        <f>IF(M12=" "," ",(1+(M12+N12+O12)/100))</f>
        <v/>
      </c>
      <c r="Q12" s="375">
        <f>IF(L12=" "," ",L12*P12)</f>
        <v/>
      </c>
    </row>
    <row r="13" ht="9.949999999999999" customFormat="1" customHeight="1" s="356">
      <c r="A13" s="366" t="inlineStr">
        <is>
          <t>İDM</t>
        </is>
      </c>
      <c r="B13" s="367" t="inlineStr"/>
      <c r="C13" s="368" t="n"/>
      <c r="D13" s="369" t="n">
        <v>0.9</v>
      </c>
      <c r="E13" s="369" t="n">
        <v>3</v>
      </c>
      <c r="F13" s="370">
        <f>IF(D13=0," ",D13*E13)</f>
        <v/>
      </c>
      <c r="G13" s="371" t="n">
        <v>1</v>
      </c>
      <c r="H13" s="372" t="n"/>
      <c r="I13" s="370">
        <f>IF(F13=" "," ",F13*G13-H13)</f>
        <v/>
      </c>
      <c r="J13" s="369" t="n">
        <v>0.332</v>
      </c>
      <c r="K13" s="371" t="n">
        <v>14</v>
      </c>
      <c r="L13" s="373">
        <f>IF(I13=" "," ",I13*J13*K13)</f>
        <v/>
      </c>
      <c r="M13" s="374" t="n">
        <v>7</v>
      </c>
      <c r="N13" s="371" t="n">
        <v>0</v>
      </c>
      <c r="O13" s="374" t="n">
        <v>0</v>
      </c>
      <c r="P13" s="370">
        <f>IF(M13=" "," ",(1+(M13+N13+O13)/100))</f>
        <v/>
      </c>
      <c r="Q13" s="375">
        <f>IF(L13=" "," ",L13*P13)</f>
        <v/>
      </c>
    </row>
    <row r="14" ht="9.949999999999999" customFormat="1" customHeight="1" s="356">
      <c r="A14" s="366" t="inlineStr">
        <is>
          <t>İDM</t>
        </is>
      </c>
      <c r="B14" s="367" t="inlineStr"/>
      <c r="C14" s="368" t="n"/>
      <c r="D14" s="369" t="n">
        <v>0.45</v>
      </c>
      <c r="E14" s="369" t="n">
        <v>3</v>
      </c>
      <c r="F14" s="370">
        <f>IF(D14=0," ",D14*E14)</f>
        <v/>
      </c>
      <c r="G14" s="371" t="n">
        <v>1</v>
      </c>
      <c r="H14" s="372" t="n"/>
      <c r="I14" s="370">
        <f>IF(F14=" "," ",F14*G14-H14)</f>
        <v/>
      </c>
      <c r="J14" s="369" t="n">
        <v>0.332</v>
      </c>
      <c r="K14" s="371" t="n">
        <v>14</v>
      </c>
      <c r="L14" s="373">
        <f>IF(I14=" "," ",I14*J14*K14)</f>
        <v/>
      </c>
      <c r="M14" s="374" t="n">
        <v>7</v>
      </c>
      <c r="N14" s="371" t="n">
        <v>0</v>
      </c>
      <c r="O14" s="374" t="n">
        <v>0</v>
      </c>
      <c r="P14" s="370">
        <f>IF(M14=" "," ",(1+(M14+N14+O14)/100))</f>
        <v/>
      </c>
      <c r="Q14" s="375">
        <f>IF(L14=" "," ",L14*P14)</f>
        <v/>
      </c>
    </row>
    <row r="15" ht="9.949999999999999" customFormat="1" customHeight="1" s="356">
      <c r="A15" s="366" t="inlineStr">
        <is>
          <t>İDM</t>
        </is>
      </c>
      <c r="B15" s="367" t="inlineStr"/>
      <c r="C15" s="368" t="n"/>
      <c r="D15" s="369" t="n">
        <v>0.4</v>
      </c>
      <c r="E15" s="369" t="n">
        <v>3</v>
      </c>
      <c r="F15" s="370">
        <f>IF(D15=0," ",D15*E15)</f>
        <v/>
      </c>
      <c r="G15" s="371" t="n">
        <v>1</v>
      </c>
      <c r="H15" s="372" t="n"/>
      <c r="I15" s="370">
        <f>IF(F15=" "," ",F15*G15-H15)</f>
        <v/>
      </c>
      <c r="J15" s="369" t="n">
        <v>0.332</v>
      </c>
      <c r="K15" s="371" t="n">
        <v>14</v>
      </c>
      <c r="L15" s="373">
        <f>IF(I15=" "," ",I15*J15*K15)</f>
        <v/>
      </c>
      <c r="M15" s="374" t="n">
        <v>7</v>
      </c>
      <c r="N15" s="371" t="n">
        <v>0</v>
      </c>
      <c r="O15" s="374" t="n">
        <v>0</v>
      </c>
      <c r="P15" s="370">
        <f>IF(M15=" "," ",(1+(M15+N15+O15)/100))</f>
        <v/>
      </c>
      <c r="Q15" s="375">
        <f>IF(L15=" "," ",L15*P15)</f>
        <v/>
      </c>
    </row>
    <row r="16" ht="9.949999999999999" customFormat="1" customHeight="1" s="356">
      <c r="A16" s="366" t="inlineStr">
        <is>
          <t>İDM</t>
        </is>
      </c>
      <c r="B16" s="367" t="inlineStr"/>
      <c r="C16" s="368" t="n"/>
      <c r="D16" s="369" t="n">
        <v>0.25</v>
      </c>
      <c r="E16" s="369" t="n">
        <v>3</v>
      </c>
      <c r="F16" s="370">
        <f>IF(D16=0," ",D16*E16)</f>
        <v/>
      </c>
      <c r="G16" s="371" t="n">
        <v>1</v>
      </c>
      <c r="H16" s="372" t="n"/>
      <c r="I16" s="370">
        <f>IF(F16=" "," ",F16*G16-H16)</f>
        <v/>
      </c>
      <c r="J16" s="369" t="n">
        <v>0.332</v>
      </c>
      <c r="K16" s="371" t="n">
        <v>14</v>
      </c>
      <c r="L16" s="373">
        <f>IF(I16=" "," ",I16*J16*K16)</f>
        <v/>
      </c>
      <c r="M16" s="374" t="n">
        <v>7</v>
      </c>
      <c r="N16" s="371" t="n">
        <v>0</v>
      </c>
      <c r="O16" s="374" t="n">
        <v>0</v>
      </c>
      <c r="P16" s="370">
        <f>IF(M16=" "," ",(1+(M16+N16+O16)/100))</f>
        <v/>
      </c>
      <c r="Q16" s="375">
        <f>IF(L16=" "," ",L16*P16)</f>
        <v/>
      </c>
    </row>
    <row r="17" ht="9.949999999999999" customFormat="1" customHeight="1" s="356">
      <c r="A17" s="366" t="inlineStr">
        <is>
          <t>İDM</t>
        </is>
      </c>
      <c r="B17" s="367" t="inlineStr"/>
      <c r="C17" s="368" t="n"/>
      <c r="D17" s="369" t="n">
        <v>0.4</v>
      </c>
      <c r="E17" s="369" t="n">
        <v>3</v>
      </c>
      <c r="F17" s="370">
        <f>IF(D17=0," ",D17*E17)</f>
        <v/>
      </c>
      <c r="G17" s="371" t="n">
        <v>1</v>
      </c>
      <c r="H17" s="372" t="n"/>
      <c r="I17" s="370">
        <f>IF(F17=" "," ",F17*G17-H17)</f>
        <v/>
      </c>
      <c r="J17" s="369" t="n">
        <v>0.332</v>
      </c>
      <c r="K17" s="371" t="n">
        <v>14</v>
      </c>
      <c r="L17" s="373">
        <f>IF(I17=" "," ",I17*J17*K17)</f>
        <v/>
      </c>
      <c r="M17" s="374" t="n">
        <v>7</v>
      </c>
      <c r="N17" s="371" t="n">
        <v>0</v>
      </c>
      <c r="O17" s="374" t="n">
        <v>0</v>
      </c>
      <c r="P17" s="370">
        <f>IF(M17=" "," ",(1+(M17+N17+O17)/100))</f>
        <v/>
      </c>
      <c r="Q17" s="375">
        <f>IF(L17=" "," ",L17*P17)</f>
        <v/>
      </c>
    </row>
    <row r="18" ht="9.949999999999999" customFormat="1" customHeight="1" s="356">
      <c r="A18" s="366" t="inlineStr">
        <is>
          <t>İDM</t>
        </is>
      </c>
      <c r="B18" s="367" t="inlineStr"/>
      <c r="C18" s="368" t="n"/>
      <c r="D18" s="369" t="n">
        <v>0.3</v>
      </c>
      <c r="E18" s="369" t="n">
        <v>3</v>
      </c>
      <c r="F18" s="370">
        <f>IF(D18=0," ",D18*E18)</f>
        <v/>
      </c>
      <c r="G18" s="371" t="n">
        <v>1</v>
      </c>
      <c r="H18" s="372" t="n"/>
      <c r="I18" s="370">
        <f>IF(F18=" "," ",F18*G18-H18)</f>
        <v/>
      </c>
      <c r="J18" s="369" t="n">
        <v>0.332</v>
      </c>
      <c r="K18" s="371" t="n">
        <v>14</v>
      </c>
      <c r="L18" s="373">
        <f>IF(I18=" "," ",I18*J18*K18)</f>
        <v/>
      </c>
      <c r="M18" s="374" t="n">
        <v>7</v>
      </c>
      <c r="N18" s="371" t="n">
        <v>0</v>
      </c>
      <c r="O18" s="374" t="n">
        <v>0</v>
      </c>
      <c r="P18" s="370">
        <f>IF(M18=" "," ",(1+(M18+N18+O18)/100))</f>
        <v/>
      </c>
      <c r="Q18" s="375">
        <f>IF(L18=" "," ",L18*P18)</f>
        <v/>
      </c>
    </row>
    <row r="19" ht="9.949999999999999" customFormat="1" customHeight="1" s="356">
      <c r="A19" s="366" t="inlineStr">
        <is>
          <t>Ta</t>
        </is>
      </c>
      <c r="B19" s="367" t="inlineStr"/>
      <c r="C19" s="368" t="n"/>
      <c r="D19" s="369" t="n">
        <v>4.5</v>
      </c>
      <c r="E19" s="369" t="n">
        <v>1</v>
      </c>
      <c r="F19" s="370">
        <f>IF(D19=0," ",D19*E19)</f>
        <v/>
      </c>
      <c r="G19" s="371" t="n">
        <v>1</v>
      </c>
      <c r="H19" s="372" t="n"/>
      <c r="I19" s="370">
        <f>IF(F19=" "," ",F19*G19-H19)</f>
        <v/>
      </c>
      <c r="J19" s="369" t="n">
        <v>0.266</v>
      </c>
      <c r="K19" s="371" t="n">
        <v>27</v>
      </c>
      <c r="L19" s="373">
        <f>IF(I19=" "," ",I19*J19*K19)</f>
        <v/>
      </c>
      <c r="M19" s="374" t="n">
        <v>7</v>
      </c>
      <c r="N19" s="371" t="n">
        <v>0</v>
      </c>
      <c r="O19" s="374" t="n">
        <v>0</v>
      </c>
      <c r="P19" s="370">
        <f>IF(M19=" "," ",(1+(M19+N19+O19)/100))</f>
        <v/>
      </c>
      <c r="Q19" s="375">
        <f>IF(L19=" "," ",L19*P19)</f>
        <v/>
      </c>
    </row>
    <row r="20" ht="9.949999999999999" customFormat="1" customHeight="1" s="356">
      <c r="A20" s="376" t="n"/>
      <c r="B20" s="377" t="n"/>
      <c r="C20" s="377" t="n"/>
      <c r="D20" s="378" t="n"/>
      <c r="E20" s="378" t="n"/>
      <c r="F20" s="378" t="n"/>
      <c r="G20" s="379" t="n"/>
      <c r="H20" s="378" t="n"/>
      <c r="I20" s="378" t="n"/>
      <c r="J20" s="378" t="n"/>
      <c r="K20" s="379" t="n"/>
      <c r="L20" s="380" t="n"/>
      <c r="M20" s="381" t="n"/>
      <c r="N20" s="381" t="n"/>
      <c r="O20" s="381" t="n"/>
      <c r="P20" s="382" t="n"/>
      <c r="Q20" s="383">
        <f>SUM(Q9:Q19)</f>
        <v/>
      </c>
    </row>
    <row r="21" ht="9.949999999999999" customFormat="1" customHeight="1" s="356">
      <c r="A21" s="384" t="n"/>
      <c r="B21" s="385" t="n"/>
      <c r="C21" s="385" t="n"/>
      <c r="D21" s="386" t="n"/>
      <c r="E21" s="387" t="n"/>
      <c r="F21" s="388" t="n"/>
      <c r="G21" s="389" t="n"/>
      <c r="H21" s="388" t="n"/>
      <c r="I21" s="390" t="n"/>
      <c r="J21" s="391" t="inlineStr">
        <is>
          <t>Qs=</t>
        </is>
      </c>
      <c r="K21" s="390" t="inlineStr">
        <is>
          <t>S a</t>
        </is>
      </c>
      <c r="L21" s="388" t="inlineStr">
        <is>
          <t>L</t>
        </is>
      </c>
      <c r="M21" s="389" t="inlineStr">
        <is>
          <t>R</t>
        </is>
      </c>
      <c r="N21" s="392" t="inlineStr">
        <is>
          <t>H</t>
        </is>
      </c>
      <c r="O21" s="393" t="inlineStr">
        <is>
          <t>D  T</t>
        </is>
      </c>
      <c r="P21" s="389" t="inlineStr">
        <is>
          <t>Ze</t>
        </is>
      </c>
      <c r="Q21" s="394" t="n"/>
    </row>
    <row r="22" ht="9.949999999999999" customFormat="1" customHeight="1" s="356">
      <c r="A22" s="395" t="inlineStr">
        <is>
          <t xml:space="preserve"> </t>
        </is>
      </c>
      <c r="B22" s="396" t="n"/>
      <c r="C22" s="397" t="n"/>
      <c r="D22" s="397" t="n"/>
      <c r="E22" s="398" t="n"/>
      <c r="F22" s="399" t="n"/>
      <c r="G22" s="400" t="n"/>
      <c r="H22" s="401" t="n"/>
      <c r="I22" s="402" t="n"/>
      <c r="J22" s="403" t="inlineStr">
        <is>
          <t>Qs  =</t>
        </is>
      </c>
      <c r="K22" s="404" t="n">
        <v>2</v>
      </c>
      <c r="L22" s="404" t="n">
        <v>0</v>
      </c>
      <c r="M22" s="404" t="n">
        <v>0.9</v>
      </c>
      <c r="N22" s="404" t="n">
        <v>0.67</v>
      </c>
      <c r="O22" s="381" t="n">
        <v>27</v>
      </c>
      <c r="P22" s="404" t="n">
        <v>1</v>
      </c>
      <c r="Q22" s="383">
        <f>K22*L22*M22*N22*O22*P22</f>
        <v/>
      </c>
    </row>
    <row r="23" ht="9.949999999999999" customFormat="1" customHeight="1" s="356">
      <c r="A23" s="405" t="n"/>
      <c r="B23" s="406" t="n"/>
      <c r="C23" s="397" t="n"/>
      <c r="D23" s="397" t="n"/>
      <c r="E23" s="378" t="n"/>
      <c r="F23" s="256" t="n"/>
      <c r="G23" s="407" t="n"/>
      <c r="H23" s="397" t="n"/>
      <c r="I23" s="397" t="n"/>
      <c r="J23" s="397" t="n"/>
      <c r="K23" s="407" t="n"/>
      <c r="L23" s="408" t="n"/>
      <c r="M23" s="409" t="inlineStr">
        <is>
          <t xml:space="preserve">   TOPLAM ISI KAYBI =</t>
        </is>
      </c>
      <c r="N23" s="409" t="n"/>
      <c r="O23" s="410" t="n"/>
      <c r="P23" s="409" t="n"/>
      <c r="Q23" s="411">
        <f>Q20+Q22</f>
        <v/>
      </c>
    </row>
    <row r="24" ht="10.35" customFormat="1" customHeight="1" s="412">
      <c r="A24" s="359" t="n"/>
      <c r="B24" s="360" t="n"/>
      <c r="C24" s="360" t="n"/>
      <c r="D24" s="360" t="n"/>
      <c r="E24" s="360" t="n"/>
      <c r="F24" s="361" t="inlineStr">
        <is>
          <t>2</t>
        </is>
      </c>
      <c r="G24" s="362" t="inlineStr">
        <is>
          <t>0</t>
        </is>
      </c>
      <c r="H24" s="360" t="inlineStr">
        <is>
          <t>2A1-02</t>
        </is>
      </c>
      <c r="I24" s="363" t="inlineStr">
        <is>
          <t>OFİS A1 MUTFAK</t>
        </is>
      </c>
      <c r="J24" s="364" t="n"/>
      <c r="K24" s="360" t="inlineStr">
        <is>
          <t>20ºC</t>
        </is>
      </c>
      <c r="L24" s="360" t="n"/>
      <c r="M24" s="360" t="n"/>
      <c r="N24" s="360" t="n"/>
      <c r="O24" s="360" t="n"/>
      <c r="P24" s="360" t="n"/>
      <c r="Q24" s="365" t="n"/>
    </row>
    <row r="25" ht="9.949999999999999" customFormat="1" customHeight="1" s="412">
      <c r="A25" s="366" t="inlineStr">
        <is>
          <t>İDM</t>
        </is>
      </c>
      <c r="B25" s="367" t="inlineStr"/>
      <c r="C25" s="368" t="n"/>
      <c r="D25" s="369" t="n">
        <v>0.33</v>
      </c>
      <c r="E25" s="369" t="n">
        <v>3</v>
      </c>
      <c r="F25" s="370">
        <f>IF(D25=0," ",D25*E25)</f>
        <v/>
      </c>
      <c r="G25" s="371" t="n">
        <v>1</v>
      </c>
      <c r="H25" s="372" t="n"/>
      <c r="I25" s="370">
        <f>IF(F25=" "," ",F25*G25-H25)</f>
        <v/>
      </c>
      <c r="J25" s="369" t="n">
        <v>0.332</v>
      </c>
      <c r="K25" s="371" t="n">
        <v>10</v>
      </c>
      <c r="L25" s="373">
        <f>IF(I25=" "," ",I25*J25*K25)</f>
        <v/>
      </c>
      <c r="M25" s="374" t="n">
        <v>7</v>
      </c>
      <c r="N25" s="371" t="n">
        <v>0</v>
      </c>
      <c r="O25" s="374" t="n">
        <v>0</v>
      </c>
      <c r="P25" s="370">
        <f>IF(M25=" "," ",(1+(M25+N25+O25)/100))</f>
        <v/>
      </c>
      <c r="Q25" s="375">
        <f>IF(L25=" "," ",L25*P25)</f>
        <v/>
      </c>
    </row>
    <row r="26" ht="9.949999999999999" customFormat="1" customHeight="1" s="351">
      <c r="A26" s="366" t="inlineStr">
        <is>
          <t>İDM</t>
        </is>
      </c>
      <c r="B26" s="367" t="inlineStr"/>
      <c r="C26" s="368" t="n"/>
      <c r="D26" s="369" t="n">
        <v>1.35</v>
      </c>
      <c r="E26" s="369" t="n">
        <v>3</v>
      </c>
      <c r="F26" s="370">
        <f>IF(D26=0," ",D26*E26)</f>
        <v/>
      </c>
      <c r="G26" s="371" t="n">
        <v>1</v>
      </c>
      <c r="H26" s="372" t="n"/>
      <c r="I26" s="370">
        <f>IF(F26=" "," ",F26*G26-H26)</f>
        <v/>
      </c>
      <c r="J26" s="369" t="n">
        <v>0.332</v>
      </c>
      <c r="K26" s="371" t="n">
        <v>5</v>
      </c>
      <c r="L26" s="373">
        <f>IF(I26=" "," ",I26*J26*K26)</f>
        <v/>
      </c>
      <c r="M26" s="374" t="n">
        <v>7</v>
      </c>
      <c r="N26" s="371" t="n">
        <v>0</v>
      </c>
      <c r="O26" s="374" t="n">
        <v>0</v>
      </c>
      <c r="P26" s="370">
        <f>IF(M26=" "," ",(1+(M26+N26+O26)/100))</f>
        <v/>
      </c>
      <c r="Q26" s="375">
        <f>IF(L26=" "," ",L26*P26)</f>
        <v/>
      </c>
    </row>
    <row r="27" ht="9.949999999999999" customFormat="1" customHeight="1" s="356">
      <c r="A27" s="366" t="inlineStr">
        <is>
          <t>Ta</t>
        </is>
      </c>
      <c r="B27" s="367" t="inlineStr"/>
      <c r="C27" s="368" t="n"/>
      <c r="D27" s="369" t="n">
        <v>8.5</v>
      </c>
      <c r="E27" s="369" t="n">
        <v>1</v>
      </c>
      <c r="F27" s="370">
        <f>IF(D27=0," ",D27*E27)</f>
        <v/>
      </c>
      <c r="G27" s="371" t="n">
        <v>1</v>
      </c>
      <c r="H27" s="372" t="n"/>
      <c r="I27" s="370">
        <f>IF(F27=" "," ",F27*G27-H27)</f>
        <v/>
      </c>
      <c r="J27" s="369" t="n">
        <v>0.266</v>
      </c>
      <c r="K27" s="371" t="n">
        <v>23</v>
      </c>
      <c r="L27" s="373">
        <f>IF(I27=" "," ",I27*J27*K27)</f>
        <v/>
      </c>
      <c r="M27" s="374" t="n">
        <v>7</v>
      </c>
      <c r="N27" s="371" t="n">
        <v>0</v>
      </c>
      <c r="O27" s="374" t="n">
        <v>0</v>
      </c>
      <c r="P27" s="370">
        <f>IF(M27=" "," ",(1+(M27+N27+O27)/100))</f>
        <v/>
      </c>
      <c r="Q27" s="375">
        <f>IF(L27=" "," ",L27*P27)</f>
        <v/>
      </c>
    </row>
    <row r="28" ht="9.949999999999999" customFormat="1" customHeight="1" s="356">
      <c r="A28" s="376" t="n"/>
      <c r="B28" s="377" t="n"/>
      <c r="C28" s="377" t="n"/>
      <c r="D28" s="378" t="n"/>
      <c r="E28" s="378" t="n"/>
      <c r="F28" s="378" t="n"/>
      <c r="G28" s="379" t="n"/>
      <c r="H28" s="378" t="n"/>
      <c r="I28" s="378" t="n"/>
      <c r="J28" s="378" t="n"/>
      <c r="K28" s="379" t="n"/>
      <c r="L28" s="380" t="n"/>
      <c r="M28" s="381" t="n"/>
      <c r="N28" s="381" t="n"/>
      <c r="O28" s="381" t="n"/>
      <c r="P28" s="382" t="n"/>
      <c r="Q28" s="383">
        <f>SUM(Q25:Q27)</f>
        <v/>
      </c>
    </row>
    <row r="29" ht="9.949999999999999" customFormat="1" customHeight="1" s="356">
      <c r="A29" s="384" t="n"/>
      <c r="B29" s="385" t="n"/>
      <c r="C29" s="385" t="n"/>
      <c r="D29" s="386" t="n"/>
      <c r="E29" s="387" t="n"/>
      <c r="F29" s="388" t="n"/>
      <c r="G29" s="389" t="n"/>
      <c r="H29" s="388" t="n"/>
      <c r="I29" s="390" t="n"/>
      <c r="J29" s="391" t="inlineStr">
        <is>
          <t>Qs=</t>
        </is>
      </c>
      <c r="K29" s="390" t="inlineStr">
        <is>
          <t>S a</t>
        </is>
      </c>
      <c r="L29" s="388" t="inlineStr">
        <is>
          <t>L</t>
        </is>
      </c>
      <c r="M29" s="389" t="inlineStr">
        <is>
          <t>R</t>
        </is>
      </c>
      <c r="N29" s="392" t="inlineStr">
        <is>
          <t>H</t>
        </is>
      </c>
      <c r="O29" s="393" t="inlineStr">
        <is>
          <t>D  T</t>
        </is>
      </c>
      <c r="P29" s="389" t="inlineStr">
        <is>
          <t>Ze</t>
        </is>
      </c>
      <c r="Q29" s="394" t="n"/>
    </row>
    <row r="30" ht="9.949999999999999" customFormat="1" customHeight="1" s="356">
      <c r="A30" s="395" t="inlineStr">
        <is>
          <t xml:space="preserve"> </t>
        </is>
      </c>
      <c r="B30" s="396" t="n"/>
      <c r="C30" s="397" t="n"/>
      <c r="D30" s="397" t="n"/>
      <c r="E30" s="398" t="n"/>
      <c r="F30" s="399" t="n"/>
      <c r="G30" s="400" t="n"/>
      <c r="H30" s="401" t="n"/>
      <c r="I30" s="402" t="n"/>
      <c r="J30" s="403" t="inlineStr">
        <is>
          <t>Qs  =</t>
        </is>
      </c>
      <c r="K30" s="404" t="n">
        <v>2</v>
      </c>
      <c r="L30" s="404" t="n">
        <v>0</v>
      </c>
      <c r="M30" s="404" t="n">
        <v>0.9</v>
      </c>
      <c r="N30" s="404" t="n">
        <v>0.67</v>
      </c>
      <c r="O30" s="381" t="n">
        <v>23</v>
      </c>
      <c r="P30" s="404" t="n">
        <v>1</v>
      </c>
      <c r="Q30" s="383">
        <f>K30*L30*M30*N30*O30*P30</f>
        <v/>
      </c>
    </row>
    <row r="31" ht="9.949999999999999" customFormat="1" customHeight="1" s="356">
      <c r="A31" s="405" t="n"/>
      <c r="B31" s="406" t="n"/>
      <c r="C31" s="397" t="n"/>
      <c r="D31" s="397" t="n"/>
      <c r="E31" s="378" t="n"/>
      <c r="F31" s="256" t="n"/>
      <c r="G31" s="407" t="n"/>
      <c r="H31" s="397" t="n"/>
      <c r="I31" s="397" t="n"/>
      <c r="J31" s="397" t="n"/>
      <c r="K31" s="407" t="n"/>
      <c r="L31" s="408" t="n"/>
      <c r="M31" s="409" t="inlineStr">
        <is>
          <t xml:space="preserve">   TOPLAM ISI KAYBI =</t>
        </is>
      </c>
      <c r="N31" s="409" t="n"/>
      <c r="O31" s="410" t="n"/>
      <c r="P31" s="409" t="n"/>
      <c r="Q31" s="411">
        <f>Q28+Q30</f>
        <v/>
      </c>
    </row>
    <row r="32" ht="10.35" customFormat="1" customHeight="1" s="356">
      <c r="A32" s="359" t="n"/>
      <c r="B32" s="360" t="n"/>
      <c r="C32" s="360" t="n"/>
      <c r="D32" s="360" t="n"/>
      <c r="E32" s="360" t="n"/>
      <c r="F32" s="361" t="inlineStr">
        <is>
          <t>2</t>
        </is>
      </c>
      <c r="G32" s="362" t="inlineStr">
        <is>
          <t>0</t>
        </is>
      </c>
      <c r="H32" s="360" t="inlineStr">
        <is>
          <t>2A1-03</t>
        </is>
      </c>
      <c r="I32" s="363" t="inlineStr">
        <is>
          <t>OFİS A1 ODA 1</t>
        </is>
      </c>
      <c r="J32" s="364" t="n"/>
      <c r="K32" s="360" t="inlineStr">
        <is>
          <t>20ºC</t>
        </is>
      </c>
      <c r="L32" s="360" t="n"/>
      <c r="M32" s="360" t="n"/>
      <c r="N32" s="360" t="n"/>
      <c r="O32" s="360" t="n"/>
      <c r="P32" s="360" t="n"/>
      <c r="Q32" s="365" t="n"/>
    </row>
    <row r="33" ht="9.949999999999999" customFormat="1" customHeight="1" s="356">
      <c r="A33" s="366" t="inlineStr">
        <is>
          <t>DD</t>
        </is>
      </c>
      <c r="B33" s="367" t="inlineStr">
        <is>
          <t>K</t>
        </is>
      </c>
      <c r="C33" s="368" t="n"/>
      <c r="D33" s="369" t="n">
        <v>2.48</v>
      </c>
      <c r="E33" s="369" t="n">
        <v>2.5</v>
      </c>
      <c r="F33" s="370">
        <f>IF(D33=0," ",D33*E33)</f>
        <v/>
      </c>
      <c r="G33" s="371" t="n">
        <v>1</v>
      </c>
      <c r="H33" s="372">
        <f>F35*G35</f>
        <v/>
      </c>
      <c r="I33" s="370">
        <f>IF(F33=" "," ",F33*G33-H33)</f>
        <v/>
      </c>
      <c r="J33" s="369" t="n">
        <v>0.344</v>
      </c>
      <c r="K33" s="371" t="n">
        <v>23</v>
      </c>
      <c r="L33" s="373">
        <f>IF(I33=" "," ",I33*J33*K33)</f>
        <v/>
      </c>
      <c r="M33" s="374" t="n">
        <v>7</v>
      </c>
      <c r="N33" s="371" t="n">
        <v>0</v>
      </c>
      <c r="O33" s="374" t="n">
        <v>5</v>
      </c>
      <c r="P33" s="370">
        <f>IF(M33=" "," ",(1+(M33+N33+O33)/100))</f>
        <v/>
      </c>
      <c r="Q33" s="375">
        <f>IF(L33=" "," ",L33*P33)</f>
        <v/>
      </c>
    </row>
    <row r="34" ht="9.949999999999999" customFormat="1" customHeight="1" s="356">
      <c r="A34" s="366" t="inlineStr">
        <is>
          <t>DD25</t>
        </is>
      </c>
      <c r="B34" s="367" t="inlineStr">
        <is>
          <t>K</t>
        </is>
      </c>
      <c r="C34" s="368" t="n"/>
      <c r="D34" s="369">
        <f>D33</f>
        <v/>
      </c>
      <c r="E34" s="369" t="n">
        <v>0.5</v>
      </c>
      <c r="F34" s="370">
        <f>IF(D34=0," ",D34*E34)</f>
        <v/>
      </c>
      <c r="G34" s="371" t="n">
        <v>1</v>
      </c>
      <c r="H34" s="372" t="n"/>
      <c r="I34" s="370">
        <f>IF(F34=" "," ",F34*G34-H34)</f>
        <v/>
      </c>
      <c r="J34" s="369" t="n">
        <v>0.387</v>
      </c>
      <c r="K34" s="371" t="n">
        <v>23</v>
      </c>
      <c r="L34" s="373">
        <f>IF(I34=" "," ",I34*J34*K34)</f>
        <v/>
      </c>
      <c r="M34" s="374" t="n">
        <v>7</v>
      </c>
      <c r="N34" s="371" t="n">
        <v>0</v>
      </c>
      <c r="O34" s="374" t="n">
        <v>5</v>
      </c>
      <c r="P34" s="370">
        <f>IF(M34=" "," ",(1+(M34+N34+O34)/100))</f>
        <v/>
      </c>
      <c r="Q34" s="375">
        <f>IF(L34=" "," ",L34*P34)</f>
        <v/>
      </c>
    </row>
    <row r="35" ht="9.949999999999999" customFormat="1" customHeight="1" s="356">
      <c r="A35" s="366" t="inlineStr">
        <is>
          <t>ÇP</t>
        </is>
      </c>
      <c r="B35" s="367" t="inlineStr">
        <is>
          <t>K</t>
        </is>
      </c>
      <c r="C35" s="368" t="n"/>
      <c r="D35" s="369" t="n">
        <v>1.36</v>
      </c>
      <c r="E35" s="369" t="n">
        <v>1.5</v>
      </c>
      <c r="F35" s="370">
        <f>IF(D35=0," ",D35*E35)</f>
        <v/>
      </c>
      <c r="G35" s="371" t="n">
        <v>1</v>
      </c>
      <c r="H35" s="372" t="n"/>
      <c r="I35" s="370">
        <f>IF(F35=" "," ",F35*G35-H35)</f>
        <v/>
      </c>
      <c r="J35" s="369" t="n">
        <v>1.8</v>
      </c>
      <c r="K35" s="371" t="n">
        <v>23</v>
      </c>
      <c r="L35" s="373">
        <f>IF(I35=" "," ",I35*J35*K35)</f>
        <v/>
      </c>
      <c r="M35" s="374" t="n">
        <v>7</v>
      </c>
      <c r="N35" s="371" t="n">
        <v>0</v>
      </c>
      <c r="O35" s="374" t="n">
        <v>5</v>
      </c>
      <c r="P35" s="370">
        <f>IF(M35=" "," ",(1+(M35+N35+O35)/100))</f>
        <v/>
      </c>
      <c r="Q35" s="375">
        <f>IF(L35=" "," ",L35*P35)</f>
        <v/>
      </c>
    </row>
    <row r="36" ht="9.949999999999999" customFormat="1" customHeight="1" s="412">
      <c r="A36" s="366" t="inlineStr">
        <is>
          <t>İDM</t>
        </is>
      </c>
      <c r="B36" s="367" t="inlineStr"/>
      <c r="C36" s="368" t="n"/>
      <c r="D36" s="369" t="n">
        <v>0.78</v>
      </c>
      <c r="E36" s="369" t="n">
        <v>3</v>
      </c>
      <c r="F36" s="370">
        <f>IF(D36=0," ",D36*E36)</f>
        <v/>
      </c>
      <c r="G36" s="371" t="n">
        <v>1</v>
      </c>
      <c r="H36" s="372" t="n"/>
      <c r="I36" s="370">
        <f>IF(F36=" "," ",F36*G36-H36)</f>
        <v/>
      </c>
      <c r="J36" s="369" t="n">
        <v>0.332</v>
      </c>
      <c r="K36" s="371" t="n">
        <v>10</v>
      </c>
      <c r="L36" s="373">
        <f>IF(I36=" "," ",I36*J36*K36)</f>
        <v/>
      </c>
      <c r="M36" s="374" t="n">
        <v>7</v>
      </c>
      <c r="N36" s="371" t="n">
        <v>0</v>
      </c>
      <c r="O36" s="374" t="n">
        <v>0</v>
      </c>
      <c r="P36" s="370">
        <f>IF(M36=" "," ",(1+(M36+N36+O36)/100))</f>
        <v/>
      </c>
      <c r="Q36" s="375">
        <f>IF(L36=" "," ",L36*P36)</f>
        <v/>
      </c>
    </row>
    <row r="37" ht="9.949999999999999" customFormat="1" customHeight="1" s="412">
      <c r="A37" s="366" t="inlineStr">
        <is>
          <t>İDM</t>
        </is>
      </c>
      <c r="B37" s="367" t="inlineStr"/>
      <c r="C37" s="368" t="n"/>
      <c r="D37" s="369" t="n">
        <v>0.27</v>
      </c>
      <c r="E37" s="369" t="n">
        <v>3</v>
      </c>
      <c r="F37" s="370">
        <f>IF(D37=0," ",D37*E37)</f>
        <v/>
      </c>
      <c r="G37" s="371" t="n">
        <v>1</v>
      </c>
      <c r="H37" s="372" t="n"/>
      <c r="I37" s="370">
        <f>IF(F37=" "," ",F37*G37-H37)</f>
        <v/>
      </c>
      <c r="J37" s="369" t="n">
        <v>0.332</v>
      </c>
      <c r="K37" s="371" t="n">
        <v>10</v>
      </c>
      <c r="L37" s="373">
        <f>IF(I37=" "," ",I37*J37*K37)</f>
        <v/>
      </c>
      <c r="M37" s="374" t="n">
        <v>7</v>
      </c>
      <c r="N37" s="371" t="n">
        <v>0</v>
      </c>
      <c r="O37" s="374" t="n">
        <v>0</v>
      </c>
      <c r="P37" s="370">
        <f>IF(M37=" "," ",(1+(M37+N37+O37)/100))</f>
        <v/>
      </c>
      <c r="Q37" s="375">
        <f>IF(L37=" "," ",L37*P37)</f>
        <v/>
      </c>
    </row>
    <row r="38" ht="9.949999999999999" customFormat="1" customHeight="1" s="351">
      <c r="A38" s="366" t="inlineStr">
        <is>
          <t>İDM</t>
        </is>
      </c>
      <c r="B38" s="367" t="inlineStr"/>
      <c r="C38" s="368" t="n"/>
      <c r="D38" s="369" t="n">
        <v>7</v>
      </c>
      <c r="E38" s="369" t="n">
        <v>3</v>
      </c>
      <c r="F38" s="370">
        <f>IF(D38=0," ",D38*E38)</f>
        <v/>
      </c>
      <c r="G38" s="371" t="n">
        <v>1</v>
      </c>
      <c r="H38" s="372" t="n"/>
      <c r="I38" s="370">
        <f>IF(F38=" "," ",F38*G38-H38)</f>
        <v/>
      </c>
      <c r="J38" s="369" t="n">
        <v>0.332</v>
      </c>
      <c r="K38" s="371" t="n">
        <v>5</v>
      </c>
      <c r="L38" s="373">
        <f>IF(I38=" "," ",I38*J38*K38)</f>
        <v/>
      </c>
      <c r="M38" s="374" t="n">
        <v>7</v>
      </c>
      <c r="N38" s="371" t="n">
        <v>0</v>
      </c>
      <c r="O38" s="374" t="n">
        <v>0</v>
      </c>
      <c r="P38" s="370">
        <f>IF(M38=" "," ",(1+(M38+N38+O38)/100))</f>
        <v/>
      </c>
      <c r="Q38" s="375">
        <f>IF(L38=" "," ",L38*P38)</f>
        <v/>
      </c>
    </row>
    <row r="39" ht="9.949999999999999" customFormat="1" customHeight="1" s="356">
      <c r="A39" s="366" t="inlineStr">
        <is>
          <t>Ta</t>
        </is>
      </c>
      <c r="B39" s="367" t="inlineStr"/>
      <c r="C39" s="368" t="n"/>
      <c r="D39" s="369" t="n">
        <v>24</v>
      </c>
      <c r="E39" s="369" t="n">
        <v>1</v>
      </c>
      <c r="F39" s="370">
        <f>IF(D39=0," ",D39*E39)</f>
        <v/>
      </c>
      <c r="G39" s="371" t="n">
        <v>1</v>
      </c>
      <c r="H39" s="372" t="n"/>
      <c r="I39" s="370">
        <f>IF(F39=" "," ",F39*G39-H39)</f>
        <v/>
      </c>
      <c r="J39" s="369" t="n">
        <v>0.266</v>
      </c>
      <c r="K39" s="371" t="n">
        <v>23</v>
      </c>
      <c r="L39" s="373">
        <f>IF(I39=" "," ",I39*J39*K39)</f>
        <v/>
      </c>
      <c r="M39" s="374" t="n">
        <v>7</v>
      </c>
      <c r="N39" s="371" t="n">
        <v>0</v>
      </c>
      <c r="O39" s="374" t="n">
        <v>0</v>
      </c>
      <c r="P39" s="370">
        <f>IF(M39=" "," ",(1+(M39+N39+O39)/100))</f>
        <v/>
      </c>
      <c r="Q39" s="375">
        <f>IF(L39=" "," ",L39*P39)</f>
        <v/>
      </c>
    </row>
    <row r="40" ht="9.949999999999999" customFormat="1" customHeight="1" s="356">
      <c r="A40" s="376" t="n"/>
      <c r="B40" s="377" t="n"/>
      <c r="C40" s="377" t="n"/>
      <c r="D40" s="378" t="n"/>
      <c r="E40" s="378" t="n"/>
      <c r="F40" s="378" t="n"/>
      <c r="G40" s="379" t="n"/>
      <c r="H40" s="378" t="n"/>
      <c r="I40" s="378" t="n"/>
      <c r="J40" s="378" t="n"/>
      <c r="K40" s="379" t="n"/>
      <c r="L40" s="380" t="n"/>
      <c r="M40" s="381" t="n"/>
      <c r="N40" s="381" t="n"/>
      <c r="O40" s="381" t="n"/>
      <c r="P40" s="382" t="n"/>
      <c r="Q40" s="383">
        <f>SUM(Q33:Q39)</f>
        <v/>
      </c>
    </row>
    <row r="41" ht="9.949999999999999" customFormat="1" customHeight="1" s="356">
      <c r="A41" s="384" t="n"/>
      <c r="B41" s="385" t="n"/>
      <c r="C41" s="385" t="n"/>
      <c r="D41" s="386" t="n"/>
      <c r="E41" s="387" t="n"/>
      <c r="F41" s="388" t="n"/>
      <c r="G41" s="389" t="n"/>
      <c r="H41" s="388" t="n"/>
      <c r="I41" s="390" t="n"/>
      <c r="J41" s="391" t="inlineStr">
        <is>
          <t>Qs=</t>
        </is>
      </c>
      <c r="K41" s="390" t="inlineStr">
        <is>
          <t>S a</t>
        </is>
      </c>
      <c r="L41" s="388" t="inlineStr">
        <is>
          <t>L</t>
        </is>
      </c>
      <c r="M41" s="389" t="inlineStr">
        <is>
          <t>R</t>
        </is>
      </c>
      <c r="N41" s="392" t="inlineStr">
        <is>
          <t>H</t>
        </is>
      </c>
      <c r="O41" s="393" t="inlineStr">
        <is>
          <t>D  T</t>
        </is>
      </c>
      <c r="P41" s="389" t="inlineStr">
        <is>
          <t>Ze</t>
        </is>
      </c>
      <c r="Q41" s="394" t="n"/>
    </row>
    <row r="42" ht="9.949999999999999" customFormat="1" customHeight="1" s="356">
      <c r="A42" s="395" t="inlineStr">
        <is>
          <t xml:space="preserve"> </t>
        </is>
      </c>
      <c r="B42" s="396" t="n"/>
      <c r="C42" s="397" t="n"/>
      <c r="D42" s="397" t="n"/>
      <c r="E42" s="398" t="n"/>
      <c r="F42" s="399" t="n"/>
      <c r="G42" s="400" t="n"/>
      <c r="H42" s="401" t="n"/>
      <c r="I42" s="402" t="n"/>
      <c r="J42" s="403" t="inlineStr">
        <is>
          <t>Qs  =</t>
        </is>
      </c>
      <c r="K42" s="404" t="n">
        <v>2</v>
      </c>
      <c r="L42" s="404">
        <f>(D35+E35)*2*G35</f>
        <v/>
      </c>
      <c r="M42" s="404" t="n">
        <v>0.9</v>
      </c>
      <c r="N42" s="404" t="n">
        <v>0.67</v>
      </c>
      <c r="O42" s="381" t="n">
        <v>23</v>
      </c>
      <c r="P42" s="404" t="n">
        <v>1</v>
      </c>
      <c r="Q42" s="383">
        <f>K42*L42*M42*N42*O42*P42</f>
        <v/>
      </c>
    </row>
    <row r="43" ht="9.949999999999999" customFormat="1" customHeight="1" s="356">
      <c r="A43" s="405" t="n"/>
      <c r="B43" s="406" t="n"/>
      <c r="C43" s="397" t="n"/>
      <c r="D43" s="397" t="n"/>
      <c r="E43" s="378" t="n"/>
      <c r="F43" s="256" t="n"/>
      <c r="G43" s="407" t="n"/>
      <c r="H43" s="397" t="n"/>
      <c r="I43" s="397" t="n"/>
      <c r="J43" s="397" t="n"/>
      <c r="K43" s="407" t="n"/>
      <c r="L43" s="408" t="n"/>
      <c r="M43" s="409" t="inlineStr">
        <is>
          <t xml:space="preserve">   TOPLAM ISI KAYBI =</t>
        </is>
      </c>
      <c r="N43" s="409" t="n"/>
      <c r="O43" s="410" t="n"/>
      <c r="P43" s="409" t="n"/>
      <c r="Q43" s="411">
        <f>Q40+Q42</f>
        <v/>
      </c>
    </row>
    <row r="44" ht="10.35" customFormat="1" customHeight="1" s="356">
      <c r="A44" s="359" t="n"/>
      <c r="B44" s="360" t="n"/>
      <c r="C44" s="360" t="n"/>
      <c r="D44" s="360" t="n"/>
      <c r="E44" s="360" t="n"/>
      <c r="F44" s="361" t="inlineStr">
        <is>
          <t>2</t>
        </is>
      </c>
      <c r="G44" s="362" t="inlineStr">
        <is>
          <t>0</t>
        </is>
      </c>
      <c r="H44" s="360" t="inlineStr">
        <is>
          <t>2A1-04</t>
        </is>
      </c>
      <c r="I44" s="363" t="inlineStr">
        <is>
          <t>OFİS A1 HOL</t>
        </is>
      </c>
      <c r="J44" s="364" t="n"/>
      <c r="K44" s="360" t="inlineStr">
        <is>
          <t>20ºC</t>
        </is>
      </c>
      <c r="L44" s="360" t="n"/>
      <c r="M44" s="360" t="n"/>
      <c r="N44" s="360" t="n"/>
      <c r="O44" s="360" t="n"/>
      <c r="P44" s="360" t="n"/>
      <c r="Q44" s="365" t="n"/>
    </row>
    <row r="45" ht="9.949999999999999" customFormat="1" customHeight="1" s="356">
      <c r="A45" s="366" t="inlineStr">
        <is>
          <t>İDM</t>
        </is>
      </c>
      <c r="B45" s="367" t="inlineStr"/>
      <c r="C45" s="368" t="n"/>
      <c r="D45" s="369" t="n">
        <v>0.79</v>
      </c>
      <c r="E45" s="369" t="n">
        <v>3</v>
      </c>
      <c r="F45" s="370">
        <f>IF(D45=0," ",D45*E45)</f>
        <v/>
      </c>
      <c r="G45" s="371" t="n">
        <v>1</v>
      </c>
      <c r="H45" s="372" t="n"/>
      <c r="I45" s="370">
        <f>IF(F45=" "," ",F45*G45-H45)</f>
        <v/>
      </c>
      <c r="J45" s="369" t="n">
        <v>0.332</v>
      </c>
      <c r="K45" s="371" t="n">
        <v>10</v>
      </c>
      <c r="L45" s="373">
        <f>IF(I45=" "," ",I45*J45*K45)</f>
        <v/>
      </c>
      <c r="M45" s="374" t="n">
        <v>7</v>
      </c>
      <c r="N45" s="371" t="n">
        <v>0</v>
      </c>
      <c r="O45" s="374" t="n">
        <v>0</v>
      </c>
      <c r="P45" s="370">
        <f>IF(M45=" "," ",(1+(M45+N45+O45)/100))</f>
        <v/>
      </c>
      <c r="Q45" s="375">
        <f>IF(L45=" "," ",L45*P45)</f>
        <v/>
      </c>
    </row>
    <row r="46" ht="9.949999999999999" customFormat="1" customHeight="1" s="356">
      <c r="A46" s="366" t="inlineStr">
        <is>
          <t>İDM</t>
        </is>
      </c>
      <c r="B46" s="367" t="inlineStr"/>
      <c r="C46" s="368" t="n"/>
      <c r="D46" s="369" t="n">
        <v>0.8</v>
      </c>
      <c r="E46" s="369" t="n">
        <v>3</v>
      </c>
      <c r="F46" s="370">
        <f>IF(D46=0," ",D46*E46)</f>
        <v/>
      </c>
      <c r="G46" s="371" t="n">
        <v>1</v>
      </c>
      <c r="H46" s="372" t="n"/>
      <c r="I46" s="370">
        <f>IF(F46=" "," ",F46*G46-H46)</f>
        <v/>
      </c>
      <c r="J46" s="369" t="n">
        <v>0.332</v>
      </c>
      <c r="K46" s="371" t="n">
        <v>10</v>
      </c>
      <c r="L46" s="373">
        <f>IF(I46=" "," ",I46*J46*K46)</f>
        <v/>
      </c>
      <c r="M46" s="374" t="n">
        <v>7</v>
      </c>
      <c r="N46" s="371" t="n">
        <v>0</v>
      </c>
      <c r="O46" s="374" t="n">
        <v>0</v>
      </c>
      <c r="P46" s="370">
        <f>IF(M46=" "," ",(1+(M46+N46+O46)/100))</f>
        <v/>
      </c>
      <c r="Q46" s="375">
        <f>IF(L46=" "," ",L46*P46)</f>
        <v/>
      </c>
    </row>
    <row r="47" ht="9.949999999999999" customFormat="1" customHeight="1" s="356">
      <c r="A47" s="366" t="inlineStr">
        <is>
          <t>Ta</t>
        </is>
      </c>
      <c r="B47" s="367" t="inlineStr"/>
      <c r="C47" s="368" t="n"/>
      <c r="D47" s="369" t="n">
        <v>11.14</v>
      </c>
      <c r="E47" s="369" t="n">
        <v>1</v>
      </c>
      <c r="F47" s="370">
        <f>IF(D47=0," ",D47*E47)</f>
        <v/>
      </c>
      <c r="G47" s="371" t="n">
        <v>1</v>
      </c>
      <c r="H47" s="372" t="n"/>
      <c r="I47" s="370">
        <f>IF(F47=" "," ",F47*G47-H47)</f>
        <v/>
      </c>
      <c r="J47" s="369" t="n">
        <v>0.266</v>
      </c>
      <c r="K47" s="371" t="n">
        <v>23</v>
      </c>
      <c r="L47" s="373">
        <f>IF(I47=" "," ",I47*J47*K47)</f>
        <v/>
      </c>
      <c r="M47" s="374" t="n">
        <v>7</v>
      </c>
      <c r="N47" s="371" t="n">
        <v>0</v>
      </c>
      <c r="O47" s="374" t="n">
        <v>0</v>
      </c>
      <c r="P47" s="370">
        <f>IF(M47=" "," ",(1+(M47+N47+O47)/100))</f>
        <v/>
      </c>
      <c r="Q47" s="375">
        <f>IF(L47=" "," ",L47*P47)</f>
        <v/>
      </c>
    </row>
    <row r="48" ht="9.949999999999999" customFormat="1" customHeight="1" s="412">
      <c r="A48" s="376" t="n"/>
      <c r="B48" s="377" t="n"/>
      <c r="C48" s="377" t="n"/>
      <c r="D48" s="378" t="n"/>
      <c r="E48" s="378" t="n"/>
      <c r="F48" s="378" t="n"/>
      <c r="G48" s="379" t="n"/>
      <c r="H48" s="378" t="n"/>
      <c r="I48" s="378" t="n"/>
      <c r="J48" s="378" t="n"/>
      <c r="K48" s="379" t="n"/>
      <c r="L48" s="380" t="n"/>
      <c r="M48" s="381" t="n"/>
      <c r="N48" s="381" t="n"/>
      <c r="O48" s="381" t="n"/>
      <c r="P48" s="382" t="n"/>
      <c r="Q48" s="383">
        <f>SUM(Q45:Q47)</f>
        <v/>
      </c>
    </row>
    <row r="49" ht="9.949999999999999" customFormat="1" customHeight="1" s="412">
      <c r="A49" s="384" t="n"/>
      <c r="B49" s="385" t="n"/>
      <c r="C49" s="385" t="n"/>
      <c r="D49" s="386" t="n"/>
      <c r="E49" s="387" t="n"/>
      <c r="F49" s="388" t="n"/>
      <c r="G49" s="389" t="n"/>
      <c r="H49" s="388" t="n"/>
      <c r="I49" s="390" t="n"/>
      <c r="J49" s="391" t="inlineStr">
        <is>
          <t>Qs=</t>
        </is>
      </c>
      <c r="K49" s="390" t="inlineStr">
        <is>
          <t>S a</t>
        </is>
      </c>
      <c r="L49" s="388" t="inlineStr">
        <is>
          <t>L</t>
        </is>
      </c>
      <c r="M49" s="389" t="inlineStr">
        <is>
          <t>R</t>
        </is>
      </c>
      <c r="N49" s="392" t="inlineStr">
        <is>
          <t>H</t>
        </is>
      </c>
      <c r="O49" s="393" t="inlineStr">
        <is>
          <t>D  T</t>
        </is>
      </c>
      <c r="P49" s="389" t="inlineStr">
        <is>
          <t>Ze</t>
        </is>
      </c>
      <c r="Q49" s="394" t="n"/>
    </row>
    <row r="50" ht="9.949999999999999" customFormat="1" customHeight="1" s="351">
      <c r="A50" s="395" t="inlineStr">
        <is>
          <t xml:space="preserve"> </t>
        </is>
      </c>
      <c r="B50" s="412" t="n"/>
      <c r="C50" s="397" t="n"/>
      <c r="D50" s="397" t="n"/>
      <c r="E50" s="398" t="n"/>
      <c r="F50" s="399" t="n"/>
      <c r="G50" s="400" t="n"/>
      <c r="H50" s="401" t="n"/>
      <c r="I50" s="402" t="n"/>
      <c r="J50" s="403" t="inlineStr">
        <is>
          <t>Qs  =</t>
        </is>
      </c>
      <c r="K50" s="404" t="n">
        <v>2</v>
      </c>
      <c r="L50" s="404" t="n">
        <v>0</v>
      </c>
      <c r="M50" s="404" t="n">
        <v>0.9</v>
      </c>
      <c r="N50" s="404" t="n">
        <v>0.67</v>
      </c>
      <c r="O50" s="381" t="n">
        <v>23</v>
      </c>
      <c r="P50" s="404" t="n">
        <v>1</v>
      </c>
      <c r="Q50" s="383">
        <f>K50*L50*M50*N50*O50*P50</f>
        <v/>
      </c>
    </row>
    <row r="51" ht="9.949999999999999" customFormat="1" customHeight="1" s="356">
      <c r="A51" s="405" t="n"/>
      <c r="B51" s="406" t="n"/>
      <c r="C51" s="397" t="n"/>
      <c r="D51" s="397" t="n"/>
      <c r="E51" s="378" t="n"/>
      <c r="F51" s="256" t="n"/>
      <c r="G51" s="407" t="n"/>
      <c r="H51" s="397" t="n"/>
      <c r="I51" s="397" t="n"/>
      <c r="J51" s="397" t="n"/>
      <c r="K51" s="407" t="n"/>
      <c r="L51" s="408" t="n"/>
      <c r="M51" s="409" t="inlineStr">
        <is>
          <t xml:space="preserve">   TOPLAM ISI KAYBI =</t>
        </is>
      </c>
      <c r="N51" s="409" t="n"/>
      <c r="O51" s="410" t="n"/>
      <c r="P51" s="409" t="n"/>
      <c r="Q51" s="411">
        <f>Q48+Q50</f>
        <v/>
      </c>
    </row>
    <row r="52" ht="10.35" customFormat="1" customHeight="1" s="356">
      <c r="A52" s="359" t="n"/>
      <c r="B52" s="360" t="n"/>
      <c r="C52" s="360" t="n"/>
      <c r="D52" s="360" t="n"/>
      <c r="E52" s="360" t="n"/>
      <c r="F52" s="361" t="inlineStr">
        <is>
          <t>2</t>
        </is>
      </c>
      <c r="G52" s="362" t="inlineStr">
        <is>
          <t>0</t>
        </is>
      </c>
      <c r="H52" s="360" t="inlineStr">
        <is>
          <t>2A1-05</t>
        </is>
      </c>
      <c r="I52" s="363" t="inlineStr">
        <is>
          <t>OFİS A1 ODA 2</t>
        </is>
      </c>
      <c r="J52" s="364" t="n"/>
      <c r="K52" s="360" t="inlineStr">
        <is>
          <t>20ºC</t>
        </is>
      </c>
      <c r="L52" s="360" t="n"/>
      <c r="M52" s="360" t="n"/>
      <c r="N52" s="360" t="n"/>
      <c r="O52" s="360" t="n"/>
      <c r="P52" s="360" t="n"/>
      <c r="Q52" s="365" t="n"/>
    </row>
    <row r="53" ht="9.949999999999999" customFormat="1" customHeight="1" s="356">
      <c r="A53" s="366" t="inlineStr">
        <is>
          <t>DD</t>
        </is>
      </c>
      <c r="B53" s="367" t="inlineStr">
        <is>
          <t>K</t>
        </is>
      </c>
      <c r="C53" s="368" t="n"/>
      <c r="D53" s="369" t="n">
        <v>2.7</v>
      </c>
      <c r="E53" s="369" t="n">
        <v>2.5</v>
      </c>
      <c r="F53" s="370">
        <f>IF(D53=0," ",D53*E53)</f>
        <v/>
      </c>
      <c r="G53" s="371" t="n">
        <v>1</v>
      </c>
      <c r="H53" s="372">
        <f>F55*G55</f>
        <v/>
      </c>
      <c r="I53" s="370">
        <f>IF(F53=" "," ",F53*G53-H53)</f>
        <v/>
      </c>
      <c r="J53" s="369" t="n">
        <v>0.344</v>
      </c>
      <c r="K53" s="371" t="n">
        <v>23</v>
      </c>
      <c r="L53" s="373">
        <f>IF(I53=" "," ",I53*J53*K53)</f>
        <v/>
      </c>
      <c r="M53" s="374" t="n">
        <v>7</v>
      </c>
      <c r="N53" s="371" t="n">
        <v>0</v>
      </c>
      <c r="O53" s="374" t="n">
        <v>5</v>
      </c>
      <c r="P53" s="370">
        <f>IF(M53=" "," ",(1+(M53+N53+O53)/100))</f>
        <v/>
      </c>
      <c r="Q53" s="375">
        <f>IF(L53=" "," ",L53*P53)</f>
        <v/>
      </c>
    </row>
    <row r="54" ht="9.949999999999999" customFormat="1" customHeight="1" s="356">
      <c r="A54" s="366" t="inlineStr">
        <is>
          <t>DD25</t>
        </is>
      </c>
      <c r="B54" s="367" t="inlineStr">
        <is>
          <t>K</t>
        </is>
      </c>
      <c r="C54" s="368" t="n"/>
      <c r="D54" s="369">
        <f>D53</f>
        <v/>
      </c>
      <c r="E54" s="369" t="n">
        <v>0.5</v>
      </c>
      <c r="F54" s="370">
        <f>IF(D54=0," ",D54*E54)</f>
        <v/>
      </c>
      <c r="G54" s="371" t="n">
        <v>1</v>
      </c>
      <c r="H54" s="372" t="n"/>
      <c r="I54" s="370">
        <f>IF(F54=" "," ",F54*G54-H54)</f>
        <v/>
      </c>
      <c r="J54" s="369" t="n">
        <v>0.387</v>
      </c>
      <c r="K54" s="371" t="n">
        <v>23</v>
      </c>
      <c r="L54" s="373">
        <f>IF(I54=" "," ",I54*J54*K54)</f>
        <v/>
      </c>
      <c r="M54" s="374" t="n">
        <v>7</v>
      </c>
      <c r="N54" s="371" t="n">
        <v>0</v>
      </c>
      <c r="O54" s="374" t="n">
        <v>5</v>
      </c>
      <c r="P54" s="370">
        <f>IF(M54=" "," ",(1+(M54+N54+O54)/100))</f>
        <v/>
      </c>
      <c r="Q54" s="375">
        <f>IF(L54=" "," ",L54*P54)</f>
        <v/>
      </c>
    </row>
    <row r="55" ht="9.949999999999999" customFormat="1" customHeight="1" s="356">
      <c r="A55" s="366" t="inlineStr">
        <is>
          <t>ÇP</t>
        </is>
      </c>
      <c r="B55" s="367" t="inlineStr">
        <is>
          <t>K</t>
        </is>
      </c>
      <c r="C55" s="368" t="n"/>
      <c r="D55" s="369" t="n">
        <v>1.49</v>
      </c>
      <c r="E55" s="369" t="n">
        <v>1.5</v>
      </c>
      <c r="F55" s="370">
        <f>IF(D55=0," ",D55*E55)</f>
        <v/>
      </c>
      <c r="G55" s="371" t="n">
        <v>1</v>
      </c>
      <c r="H55" s="372" t="n"/>
      <c r="I55" s="370">
        <f>IF(F55=" "," ",F55*G55-H55)</f>
        <v/>
      </c>
      <c r="J55" s="369" t="n">
        <v>1.8</v>
      </c>
      <c r="K55" s="371" t="n">
        <v>23</v>
      </c>
      <c r="L55" s="373">
        <f>IF(I55=" "," ",I55*J55*K55)</f>
        <v/>
      </c>
      <c r="M55" s="374" t="n">
        <v>7</v>
      </c>
      <c r="N55" s="371" t="n">
        <v>0</v>
      </c>
      <c r="O55" s="374" t="n">
        <v>5</v>
      </c>
      <c r="P55" s="370">
        <f>IF(M55=" "," ",(1+(M55+N55+O55)/100))</f>
        <v/>
      </c>
      <c r="Q55" s="375">
        <f>IF(L55=" "," ",L55*P55)</f>
        <v/>
      </c>
    </row>
    <row r="56" ht="9.949999999999999" customFormat="1" customHeight="1" s="356">
      <c r="A56" s="366" t="inlineStr">
        <is>
          <t>Ta</t>
        </is>
      </c>
      <c r="B56" s="367" t="inlineStr"/>
      <c r="C56" s="368" t="n"/>
      <c r="D56" s="369" t="n">
        <v>19.5</v>
      </c>
      <c r="E56" s="369" t="n">
        <v>1</v>
      </c>
      <c r="F56" s="370">
        <f>IF(D56=0," ",D56*E56)</f>
        <v/>
      </c>
      <c r="G56" s="371" t="n">
        <v>1</v>
      </c>
      <c r="H56" s="372" t="n"/>
      <c r="I56" s="370">
        <f>IF(F56=" "," ",F56*G56-H56)</f>
        <v/>
      </c>
      <c r="J56" s="369" t="n">
        <v>0.266</v>
      </c>
      <c r="K56" s="371" t="n">
        <v>23</v>
      </c>
      <c r="L56" s="373">
        <f>IF(I56=" "," ",I56*J56*K56)</f>
        <v/>
      </c>
      <c r="M56" s="374" t="n">
        <v>7</v>
      </c>
      <c r="N56" s="371" t="n">
        <v>0</v>
      </c>
      <c r="O56" s="374" t="n">
        <v>0</v>
      </c>
      <c r="P56" s="370">
        <f>IF(M56=" "," ",(1+(M56+N56+O56)/100))</f>
        <v/>
      </c>
      <c r="Q56" s="375">
        <f>IF(L56=" "," ",L56*P56)</f>
        <v/>
      </c>
    </row>
    <row r="57" ht="9.949999999999999" customFormat="1" customHeight="1" s="356">
      <c r="A57" s="376" t="n"/>
      <c r="B57" s="377" t="n"/>
      <c r="C57" s="377" t="n"/>
      <c r="D57" s="378" t="n"/>
      <c r="E57" s="378" t="n"/>
      <c r="F57" s="378" t="n"/>
      <c r="G57" s="379" t="n"/>
      <c r="H57" s="378" t="n"/>
      <c r="I57" s="378" t="n"/>
      <c r="J57" s="378" t="n"/>
      <c r="K57" s="379" t="n"/>
      <c r="L57" s="380" t="n"/>
      <c r="M57" s="381" t="n"/>
      <c r="N57" s="381" t="n"/>
      <c r="O57" s="381" t="n"/>
      <c r="P57" s="382" t="n"/>
      <c r="Q57" s="383">
        <f>SUM(Q53:Q56)</f>
        <v/>
      </c>
    </row>
    <row r="58" ht="9.949999999999999" customFormat="1" customHeight="1" s="356">
      <c r="A58" s="384" t="n"/>
      <c r="B58" s="385" t="n"/>
      <c r="C58" s="385" t="n"/>
      <c r="D58" s="386" t="n"/>
      <c r="E58" s="387" t="n"/>
      <c r="F58" s="388" t="n"/>
      <c r="G58" s="389" t="n"/>
      <c r="H58" s="388" t="n"/>
      <c r="I58" s="390" t="n"/>
      <c r="J58" s="391" t="inlineStr">
        <is>
          <t>Qs=</t>
        </is>
      </c>
      <c r="K58" s="390" t="inlineStr">
        <is>
          <t>S a</t>
        </is>
      </c>
      <c r="L58" s="388" t="inlineStr">
        <is>
          <t>L</t>
        </is>
      </c>
      <c r="M58" s="389" t="inlineStr">
        <is>
          <t>R</t>
        </is>
      </c>
      <c r="N58" s="392" t="inlineStr">
        <is>
          <t>H</t>
        </is>
      </c>
      <c r="O58" s="393" t="inlineStr">
        <is>
          <t>D  T</t>
        </is>
      </c>
      <c r="P58" s="389" t="inlineStr">
        <is>
          <t>Ze</t>
        </is>
      </c>
      <c r="Q58" s="394" t="n"/>
    </row>
    <row r="59" ht="9.949999999999999" customFormat="1" customHeight="1" s="356">
      <c r="A59" s="395" t="inlineStr">
        <is>
          <t xml:space="preserve"> </t>
        </is>
      </c>
      <c r="B59" s="396" t="n"/>
      <c r="C59" s="397" t="n"/>
      <c r="D59" s="397" t="n"/>
      <c r="E59" s="398" t="n"/>
      <c r="F59" s="399" t="n"/>
      <c r="G59" s="400" t="n"/>
      <c r="H59" s="401" t="n"/>
      <c r="I59" s="402" t="n"/>
      <c r="J59" s="403" t="inlineStr">
        <is>
          <t>Qs  =</t>
        </is>
      </c>
      <c r="K59" s="404" t="n">
        <v>2</v>
      </c>
      <c r="L59" s="404">
        <f>(D55+E55)*2*G55</f>
        <v/>
      </c>
      <c r="M59" s="404" t="n">
        <v>0.9</v>
      </c>
      <c r="N59" s="404" t="n">
        <v>0.67</v>
      </c>
      <c r="O59" s="381" t="n">
        <v>23</v>
      </c>
      <c r="P59" s="404" t="n">
        <v>1</v>
      </c>
      <c r="Q59" s="383">
        <f>K59*L59*M59*N59*O59*P59</f>
        <v/>
      </c>
    </row>
    <row r="60" ht="9.949999999999999" customFormat="1" customHeight="1" s="356">
      <c r="A60" s="405" t="n"/>
      <c r="B60" s="406" t="n"/>
      <c r="C60" s="397" t="n"/>
      <c r="D60" s="397" t="n"/>
      <c r="E60" s="378" t="n"/>
      <c r="F60" s="256" t="n"/>
      <c r="G60" s="407" t="n"/>
      <c r="H60" s="397" t="n"/>
      <c r="I60" s="397" t="n"/>
      <c r="J60" s="397" t="n"/>
      <c r="K60" s="407" t="n"/>
      <c r="L60" s="408" t="n"/>
      <c r="M60" s="409" t="inlineStr">
        <is>
          <t xml:space="preserve">   TOPLAM ISI KAYBI =</t>
        </is>
      </c>
      <c r="N60" s="409" t="n"/>
      <c r="O60" s="410" t="n"/>
      <c r="P60" s="409" t="n"/>
      <c r="Q60" s="411">
        <f>Q57+Q59</f>
        <v/>
      </c>
    </row>
    <row r="61" ht="10.35" customFormat="1" customHeight="1" s="356">
      <c r="A61" s="359" t="n"/>
      <c r="B61" s="360" t="n"/>
      <c r="C61" s="360" t="n"/>
      <c r="D61" s="360" t="n"/>
      <c r="E61" s="360" t="n"/>
      <c r="F61" s="361" t="inlineStr">
        <is>
          <t>2</t>
        </is>
      </c>
      <c r="G61" s="362" t="inlineStr">
        <is>
          <t>0</t>
        </is>
      </c>
      <c r="H61" s="360" t="inlineStr">
        <is>
          <t>2A2-01</t>
        </is>
      </c>
      <c r="I61" s="363" t="inlineStr">
        <is>
          <t>OFİS A2 MUTFAK</t>
        </is>
      </c>
      <c r="J61" s="364" t="n"/>
      <c r="K61" s="360" t="inlineStr">
        <is>
          <t>20ºC</t>
        </is>
      </c>
      <c r="L61" s="360" t="n"/>
      <c r="M61" s="360" t="n"/>
      <c r="N61" s="360" t="n"/>
      <c r="O61" s="360" t="n"/>
      <c r="P61" s="360" t="n"/>
      <c r="Q61" s="365" t="n"/>
    </row>
    <row r="62" ht="9.949999999999999" customFormat="1" customHeight="1" s="356">
      <c r="A62" s="366" t="inlineStr">
        <is>
          <t>Ta</t>
        </is>
      </c>
      <c r="B62" s="367" t="inlineStr"/>
      <c r="C62" s="368" t="n"/>
      <c r="D62" s="369" t="n">
        <v>8.5</v>
      </c>
      <c r="E62" s="369" t="n">
        <v>1</v>
      </c>
      <c r="F62" s="370">
        <f>IF(D62=0," ",D62*E62)</f>
        <v/>
      </c>
      <c r="G62" s="371" t="n">
        <v>1</v>
      </c>
      <c r="H62" s="372" t="n"/>
      <c r="I62" s="370">
        <f>IF(F62=" "," ",F62*G62-H62)</f>
        <v/>
      </c>
      <c r="J62" s="369" t="n">
        <v>0.266</v>
      </c>
      <c r="K62" s="371" t="n">
        <v>23</v>
      </c>
      <c r="L62" s="373">
        <f>IF(I62=" "," ",I62*J62*K62)</f>
        <v/>
      </c>
      <c r="M62" s="374" t="n">
        <v>7</v>
      </c>
      <c r="N62" s="371" t="n">
        <v>0</v>
      </c>
      <c r="O62" s="374" t="n">
        <v>0</v>
      </c>
      <c r="P62" s="370">
        <f>IF(M62=" "," ",(1+(M62+N62+O62)/100))</f>
        <v/>
      </c>
      <c r="Q62" s="375">
        <f>IF(L62=" "," ",L62*P62)</f>
        <v/>
      </c>
    </row>
    <row r="63" ht="9.949999999999999" customFormat="1" customHeight="1" s="412">
      <c r="A63" s="376" t="n"/>
      <c r="B63" s="377" t="n"/>
      <c r="C63" s="377" t="n"/>
      <c r="D63" s="378" t="n"/>
      <c r="E63" s="378" t="n"/>
      <c r="F63" s="378" t="n"/>
      <c r="G63" s="379" t="n"/>
      <c r="H63" s="378" t="n"/>
      <c r="I63" s="378" t="n"/>
      <c r="J63" s="378" t="n"/>
      <c r="K63" s="379" t="n"/>
      <c r="L63" s="380" t="n"/>
      <c r="M63" s="381" t="n"/>
      <c r="N63" s="381" t="n"/>
      <c r="O63" s="381" t="n"/>
      <c r="P63" s="382" t="n"/>
      <c r="Q63" s="383">
        <f>SUM(Q62:Q62)</f>
        <v/>
      </c>
    </row>
    <row r="64" ht="9.949999999999999" customFormat="1" customHeight="1" s="412">
      <c r="A64" s="384" t="n"/>
      <c r="B64" s="385" t="n"/>
      <c r="C64" s="385" t="n"/>
      <c r="D64" s="386" t="n"/>
      <c r="E64" s="387" t="n"/>
      <c r="F64" s="388" t="n"/>
      <c r="G64" s="389" t="n"/>
      <c r="H64" s="388" t="n"/>
      <c r="I64" s="390" t="n"/>
      <c r="J64" s="391" t="inlineStr">
        <is>
          <t>Qs=</t>
        </is>
      </c>
      <c r="K64" s="390" t="inlineStr">
        <is>
          <t>S a</t>
        </is>
      </c>
      <c r="L64" s="388" t="inlineStr">
        <is>
          <t>L</t>
        </is>
      </c>
      <c r="M64" s="389" t="inlineStr">
        <is>
          <t>R</t>
        </is>
      </c>
      <c r="N64" s="392" t="inlineStr">
        <is>
          <t>H</t>
        </is>
      </c>
      <c r="O64" s="393" t="inlineStr">
        <is>
          <t>D  T</t>
        </is>
      </c>
      <c r="P64" s="389" t="inlineStr">
        <is>
          <t>Ze</t>
        </is>
      </c>
      <c r="Q64" s="394" t="n"/>
    </row>
    <row r="65" ht="9.949999999999999" customFormat="1" customHeight="1" s="351">
      <c r="A65" s="395" t="inlineStr">
        <is>
          <t xml:space="preserve"> </t>
        </is>
      </c>
      <c r="B65" s="412" t="n"/>
      <c r="C65" s="397" t="n"/>
      <c r="D65" s="397" t="n"/>
      <c r="E65" s="398" t="n"/>
      <c r="F65" s="399" t="n"/>
      <c r="G65" s="400" t="n"/>
      <c r="H65" s="401" t="n"/>
      <c r="I65" s="402" t="n"/>
      <c r="J65" s="403" t="inlineStr">
        <is>
          <t>Qs  =</t>
        </is>
      </c>
      <c r="K65" s="404" t="n">
        <v>2</v>
      </c>
      <c r="L65" s="404" t="n">
        <v>0</v>
      </c>
      <c r="M65" s="404" t="n">
        <v>0.9</v>
      </c>
      <c r="N65" s="404" t="n">
        <v>0.67</v>
      </c>
      <c r="O65" s="381" t="n">
        <v>23</v>
      </c>
      <c r="P65" s="404" t="n">
        <v>1</v>
      </c>
      <c r="Q65" s="383">
        <f>K65*L65*M65*N65*O65*P65</f>
        <v/>
      </c>
    </row>
    <row r="66" ht="9.949999999999999" customFormat="1" customHeight="1" s="356">
      <c r="A66" s="405" t="n"/>
      <c r="B66" s="406" t="n"/>
      <c r="C66" s="397" t="n"/>
      <c r="D66" s="397" t="n"/>
      <c r="E66" s="378" t="n"/>
      <c r="F66" s="256" t="n"/>
      <c r="G66" s="407" t="n"/>
      <c r="H66" s="397" t="n"/>
      <c r="I66" s="397" t="n"/>
      <c r="J66" s="397" t="n"/>
      <c r="K66" s="407" t="n"/>
      <c r="L66" s="408" t="n"/>
      <c r="M66" s="409" t="inlineStr">
        <is>
          <t xml:space="preserve">   TOPLAM ISI KAYBI =</t>
        </is>
      </c>
      <c r="N66" s="409" t="n"/>
      <c r="O66" s="410" t="n"/>
      <c r="P66" s="409" t="n"/>
      <c r="Q66" s="411">
        <f>Q63+Q65</f>
        <v/>
      </c>
    </row>
    <row r="67" ht="10.35" customFormat="1" customHeight="1" s="356">
      <c r="A67" s="359" t="n"/>
      <c r="B67" s="360" t="n"/>
      <c r="C67" s="360" t="n"/>
      <c r="D67" s="360" t="n"/>
      <c r="E67" s="360" t="n"/>
      <c r="F67" s="361" t="inlineStr">
        <is>
          <t>2</t>
        </is>
      </c>
      <c r="G67" s="362" t="inlineStr">
        <is>
          <t>0</t>
        </is>
      </c>
      <c r="H67" s="360" t="inlineStr">
        <is>
          <t>2A2-02</t>
        </is>
      </c>
      <c r="I67" s="363" t="inlineStr">
        <is>
          <t>OFİS A2 BANYO</t>
        </is>
      </c>
      <c r="J67" s="364" t="n"/>
      <c r="K67" s="360" t="inlineStr">
        <is>
          <t>24ºC</t>
        </is>
      </c>
      <c r="L67" s="360" t="n"/>
      <c r="M67" s="360" t="n"/>
      <c r="N67" s="360" t="n"/>
      <c r="O67" s="360" t="n"/>
      <c r="P67" s="360" t="n"/>
      <c r="Q67" s="365" t="n"/>
    </row>
    <row r="68" ht="9.949999999999999" customFormat="1" customHeight="1" s="356">
      <c r="A68" s="366" t="inlineStr">
        <is>
          <t>İDM</t>
        </is>
      </c>
      <c r="B68" s="367" t="inlineStr"/>
      <c r="C68" s="368" t="n"/>
      <c r="D68" s="369" t="n">
        <v>0.35</v>
      </c>
      <c r="E68" s="369" t="n">
        <v>3</v>
      </c>
      <c r="F68" s="370">
        <f>IF(D68=0," ",D68*E68)</f>
        <v/>
      </c>
      <c r="G68" s="371" t="n">
        <v>1</v>
      </c>
      <c r="H68" s="372" t="n"/>
      <c r="I68" s="370">
        <f>IF(F68=" "," ",F68*G68-H68)</f>
        <v/>
      </c>
      <c r="J68" s="369" t="n">
        <v>0.332</v>
      </c>
      <c r="K68" s="371" t="n">
        <v>14</v>
      </c>
      <c r="L68" s="373">
        <f>IF(I68=" "," ",I68*J68*K68)</f>
        <v/>
      </c>
      <c r="M68" s="374" t="n">
        <v>7</v>
      </c>
      <c r="N68" s="371" t="n">
        <v>0</v>
      </c>
      <c r="O68" s="374" t="n">
        <v>0</v>
      </c>
      <c r="P68" s="370">
        <f>IF(M68=" "," ",(1+(M68+N68+O68)/100))</f>
        <v/>
      </c>
      <c r="Q68" s="375">
        <f>IF(L68=" "," ",L68*P68)</f>
        <v/>
      </c>
    </row>
    <row r="69" ht="9.949999999999999" customFormat="1" customHeight="1" s="356">
      <c r="A69" s="366" t="inlineStr">
        <is>
          <t>İDM</t>
        </is>
      </c>
      <c r="B69" s="367" t="inlineStr"/>
      <c r="C69" s="368" t="n"/>
      <c r="D69" s="369" t="n">
        <v>0.35</v>
      </c>
      <c r="E69" s="369" t="n">
        <v>3</v>
      </c>
      <c r="F69" s="370">
        <f>IF(D69=0," ",D69*E69)</f>
        <v/>
      </c>
      <c r="G69" s="371" t="n">
        <v>1</v>
      </c>
      <c r="H69" s="372" t="n"/>
      <c r="I69" s="370">
        <f>IF(F69=" "," ",F69*G69-H69)</f>
        <v/>
      </c>
      <c r="J69" s="369" t="n">
        <v>0.332</v>
      </c>
      <c r="K69" s="371" t="n">
        <v>14</v>
      </c>
      <c r="L69" s="373">
        <f>IF(I69=" "," ",I69*J69*K69)</f>
        <v/>
      </c>
      <c r="M69" s="374" t="n">
        <v>7</v>
      </c>
      <c r="N69" s="371" t="n">
        <v>0</v>
      </c>
      <c r="O69" s="374" t="n">
        <v>0</v>
      </c>
      <c r="P69" s="370">
        <f>IF(M69=" "," ",(1+(M69+N69+O69)/100))</f>
        <v/>
      </c>
      <c r="Q69" s="375">
        <f>IF(L69=" "," ",L69*P69)</f>
        <v/>
      </c>
    </row>
    <row r="70" ht="9.949999999999999" customFormat="1" customHeight="1" s="356">
      <c r="A70" s="366" t="inlineStr">
        <is>
          <t>İDM</t>
        </is>
      </c>
      <c r="B70" s="367" t="inlineStr"/>
      <c r="C70" s="368" t="n"/>
      <c r="D70" s="369" t="n">
        <v>0.4</v>
      </c>
      <c r="E70" s="369" t="n">
        <v>3</v>
      </c>
      <c r="F70" s="370">
        <f>IF(D70=0," ",D70*E70)</f>
        <v/>
      </c>
      <c r="G70" s="371" t="n">
        <v>1</v>
      </c>
      <c r="H70" s="372" t="n"/>
      <c r="I70" s="370">
        <f>IF(F70=" "," ",F70*G70-H70)</f>
        <v/>
      </c>
      <c r="J70" s="369" t="n">
        <v>0.332</v>
      </c>
      <c r="K70" s="371" t="n">
        <v>14</v>
      </c>
      <c r="L70" s="373">
        <f>IF(I70=" "," ",I70*J70*K70)</f>
        <v/>
      </c>
      <c r="M70" s="374" t="n">
        <v>7</v>
      </c>
      <c r="N70" s="371" t="n">
        <v>0</v>
      </c>
      <c r="O70" s="374" t="n">
        <v>0</v>
      </c>
      <c r="P70" s="370">
        <f>IF(M70=" "," ",(1+(M70+N70+O70)/100))</f>
        <v/>
      </c>
      <c r="Q70" s="375">
        <f>IF(L70=" "," ",L70*P70)</f>
        <v/>
      </c>
    </row>
    <row r="71" ht="9.949999999999999" customFormat="1" customHeight="1" s="356">
      <c r="A71" s="366" t="inlineStr">
        <is>
          <t>İDM</t>
        </is>
      </c>
      <c r="B71" s="367" t="inlineStr"/>
      <c r="C71" s="368" t="n"/>
      <c r="D71" s="369" t="n">
        <v>0.45</v>
      </c>
      <c r="E71" s="369" t="n">
        <v>3</v>
      </c>
      <c r="F71" s="370">
        <f>IF(D71=0," ",D71*E71)</f>
        <v/>
      </c>
      <c r="G71" s="371" t="n">
        <v>1</v>
      </c>
      <c r="H71" s="372" t="n"/>
      <c r="I71" s="370">
        <f>IF(F71=" "," ",F71*G71-H71)</f>
        <v/>
      </c>
      <c r="J71" s="369" t="n">
        <v>0.332</v>
      </c>
      <c r="K71" s="371" t="n">
        <v>14</v>
      </c>
      <c r="L71" s="373">
        <f>IF(I71=" "," ",I71*J71*K71)</f>
        <v/>
      </c>
      <c r="M71" s="374" t="n">
        <v>7</v>
      </c>
      <c r="N71" s="371" t="n">
        <v>0</v>
      </c>
      <c r="O71" s="374" t="n">
        <v>0</v>
      </c>
      <c r="P71" s="370">
        <f>IF(M71=" "," ",(1+(M71+N71+O71)/100))</f>
        <v/>
      </c>
      <c r="Q71" s="375">
        <f>IF(L71=" "," ",L71*P71)</f>
        <v/>
      </c>
    </row>
    <row r="72" ht="9.949999999999999" customFormat="1" customHeight="1" s="356">
      <c r="A72" s="366" t="inlineStr">
        <is>
          <t>İDM</t>
        </is>
      </c>
      <c r="B72" s="367" t="inlineStr"/>
      <c r="C72" s="368" t="n"/>
      <c r="D72" s="369" t="n">
        <v>0.85</v>
      </c>
      <c r="E72" s="369" t="n">
        <v>3</v>
      </c>
      <c r="F72" s="370">
        <f>IF(D72=0," ",D72*E72)</f>
        <v/>
      </c>
      <c r="G72" s="371" t="n">
        <v>1</v>
      </c>
      <c r="H72" s="372" t="n"/>
      <c r="I72" s="370">
        <f>IF(F72=" "," ",F72*G72-H72)</f>
        <v/>
      </c>
      <c r="J72" s="369" t="n">
        <v>0.332</v>
      </c>
      <c r="K72" s="371" t="n">
        <v>14</v>
      </c>
      <c r="L72" s="373">
        <f>IF(I72=" "," ",I72*J72*K72)</f>
        <v/>
      </c>
      <c r="M72" s="374" t="n">
        <v>7</v>
      </c>
      <c r="N72" s="371" t="n">
        <v>0</v>
      </c>
      <c r="O72" s="374" t="n">
        <v>0</v>
      </c>
      <c r="P72" s="370">
        <f>IF(M72=" "," ",(1+(M72+N72+O72)/100))</f>
        <v/>
      </c>
      <c r="Q72" s="375">
        <f>IF(L72=" "," ",L72*P72)</f>
        <v/>
      </c>
    </row>
    <row r="73" ht="9.949999999999999" customFormat="1" customHeight="1" s="356">
      <c r="A73" s="366" t="inlineStr">
        <is>
          <t>İDM</t>
        </is>
      </c>
      <c r="B73" s="367" t="inlineStr"/>
      <c r="C73" s="368" t="n"/>
      <c r="D73" s="369" t="n">
        <v>0.3</v>
      </c>
      <c r="E73" s="369" t="n">
        <v>3</v>
      </c>
      <c r="F73" s="370">
        <f>IF(D73=0," ",D73*E73)</f>
        <v/>
      </c>
      <c r="G73" s="371" t="n">
        <v>1</v>
      </c>
      <c r="H73" s="372" t="n"/>
      <c r="I73" s="370">
        <f>IF(F73=" "," ",F73*G73-H73)</f>
        <v/>
      </c>
      <c r="J73" s="369" t="n">
        <v>0.332</v>
      </c>
      <c r="K73" s="371" t="n">
        <v>14</v>
      </c>
      <c r="L73" s="373">
        <f>IF(I73=" "," ",I73*J73*K73)</f>
        <v/>
      </c>
      <c r="M73" s="374" t="n">
        <v>7</v>
      </c>
      <c r="N73" s="371" t="n">
        <v>0</v>
      </c>
      <c r="O73" s="374" t="n">
        <v>0</v>
      </c>
      <c r="P73" s="370">
        <f>IF(M73=" "," ",(1+(M73+N73+O73)/100))</f>
        <v/>
      </c>
      <c r="Q73" s="375">
        <f>IF(L73=" "," ",L73*P73)</f>
        <v/>
      </c>
    </row>
    <row r="74" ht="9.949999999999999" customFormat="1" customHeight="1" s="356">
      <c r="A74" s="366" t="inlineStr">
        <is>
          <t>İDM</t>
        </is>
      </c>
      <c r="B74" s="367" t="inlineStr"/>
      <c r="C74" s="368" t="n"/>
      <c r="D74" s="369" t="n">
        <v>0.29</v>
      </c>
      <c r="E74" s="369" t="n">
        <v>3</v>
      </c>
      <c r="F74" s="370">
        <f>IF(D74=0," ",D74*E74)</f>
        <v/>
      </c>
      <c r="G74" s="371" t="n">
        <v>1</v>
      </c>
      <c r="H74" s="372" t="n"/>
      <c r="I74" s="370">
        <f>IF(F74=" "," ",F74*G74-H74)</f>
        <v/>
      </c>
      <c r="J74" s="369" t="n">
        <v>0.332</v>
      </c>
      <c r="K74" s="371" t="n">
        <v>14</v>
      </c>
      <c r="L74" s="373">
        <f>IF(I74=" "," ",I74*J74*K74)</f>
        <v/>
      </c>
      <c r="M74" s="374" t="n">
        <v>7</v>
      </c>
      <c r="N74" s="371" t="n">
        <v>0</v>
      </c>
      <c r="O74" s="374" t="n">
        <v>0</v>
      </c>
      <c r="P74" s="370">
        <f>IF(M74=" "," ",(1+(M74+N74+O74)/100))</f>
        <v/>
      </c>
      <c r="Q74" s="375">
        <f>IF(L74=" "," ",L74*P74)</f>
        <v/>
      </c>
    </row>
    <row r="75" ht="9.949999999999999" customFormat="1" customHeight="1" s="356">
      <c r="A75" s="366" t="inlineStr">
        <is>
          <t>İDM</t>
        </is>
      </c>
      <c r="B75" s="367" t="inlineStr"/>
      <c r="C75" s="368" t="n"/>
      <c r="D75" s="369" t="n">
        <v>0.22</v>
      </c>
      <c r="E75" s="369" t="n">
        <v>3</v>
      </c>
      <c r="F75" s="370">
        <f>IF(D75=0," ",D75*E75)</f>
        <v/>
      </c>
      <c r="G75" s="371" t="n">
        <v>1</v>
      </c>
      <c r="H75" s="372" t="n"/>
      <c r="I75" s="370">
        <f>IF(F75=" "," ",F75*G75-H75)</f>
        <v/>
      </c>
      <c r="J75" s="369" t="n">
        <v>0.332</v>
      </c>
      <c r="K75" s="371" t="n">
        <v>14</v>
      </c>
      <c r="L75" s="373">
        <f>IF(I75=" "," ",I75*J75*K75)</f>
        <v/>
      </c>
      <c r="M75" s="374" t="n">
        <v>7</v>
      </c>
      <c r="N75" s="371" t="n">
        <v>0</v>
      </c>
      <c r="O75" s="374" t="n">
        <v>0</v>
      </c>
      <c r="P75" s="370">
        <f>IF(M75=" "," ",(1+(M75+N75+O75)/100))</f>
        <v/>
      </c>
      <c r="Q75" s="375">
        <f>IF(L75=" "," ",L75*P75)</f>
        <v/>
      </c>
    </row>
    <row r="76" ht="9.949999999999999" customFormat="1" customHeight="1" s="412">
      <c r="A76" s="366" t="inlineStr">
        <is>
          <t>Ta</t>
        </is>
      </c>
      <c r="B76" s="367" t="inlineStr"/>
      <c r="C76" s="368" t="n"/>
      <c r="D76" s="369" t="n">
        <v>4.5</v>
      </c>
      <c r="E76" s="369" t="n">
        <v>1</v>
      </c>
      <c r="F76" s="370">
        <f>IF(D76=0," ",D76*E76)</f>
        <v/>
      </c>
      <c r="G76" s="371" t="n">
        <v>1</v>
      </c>
      <c r="H76" s="372" t="n"/>
      <c r="I76" s="370">
        <f>IF(F76=" "," ",F76*G76-H76)</f>
        <v/>
      </c>
      <c r="J76" s="369" t="n">
        <v>0.266</v>
      </c>
      <c r="K76" s="371" t="n">
        <v>27</v>
      </c>
      <c r="L76" s="373">
        <f>IF(I76=" "," ",I76*J76*K76)</f>
        <v/>
      </c>
      <c r="M76" s="374" t="n">
        <v>7</v>
      </c>
      <c r="N76" s="371" t="n">
        <v>0</v>
      </c>
      <c r="O76" s="374" t="n">
        <v>0</v>
      </c>
      <c r="P76" s="370">
        <f>IF(M76=" "," ",(1+(M76+N76+O76)/100))</f>
        <v/>
      </c>
      <c r="Q76" s="375">
        <f>IF(L76=" "," ",L76*P76)</f>
        <v/>
      </c>
    </row>
    <row r="77" ht="9.949999999999999" customFormat="1" customHeight="1" s="412">
      <c r="A77" s="376" t="n"/>
      <c r="B77" s="377" t="n"/>
      <c r="C77" s="377" t="n"/>
      <c r="D77" s="378" t="n"/>
      <c r="E77" s="378" t="n"/>
      <c r="F77" s="378" t="n"/>
      <c r="G77" s="379" t="n"/>
      <c r="H77" s="378" t="n"/>
      <c r="I77" s="378" t="n"/>
      <c r="J77" s="378" t="n"/>
      <c r="K77" s="379" t="n"/>
      <c r="L77" s="380" t="n"/>
      <c r="M77" s="381" t="n"/>
      <c r="N77" s="381" t="n"/>
      <c r="O77" s="381" t="n"/>
      <c r="P77" s="382" t="n"/>
      <c r="Q77" s="383">
        <f>SUM(Q68:Q76)</f>
        <v/>
      </c>
    </row>
    <row r="78" ht="9.949999999999999" customFormat="1" customHeight="1" s="351">
      <c r="A78" s="384" t="n"/>
      <c r="B78" s="385" t="n"/>
      <c r="C78" s="385" t="n"/>
      <c r="D78" s="386" t="n"/>
      <c r="E78" s="387" t="n"/>
      <c r="F78" s="388" t="n"/>
      <c r="G78" s="389" t="n"/>
      <c r="H78" s="388" t="n"/>
      <c r="I78" s="390" t="n"/>
      <c r="J78" s="391" t="inlineStr">
        <is>
          <t>Qs=</t>
        </is>
      </c>
      <c r="K78" s="390" t="inlineStr">
        <is>
          <t>S a</t>
        </is>
      </c>
      <c r="L78" s="388" t="inlineStr">
        <is>
          <t>L</t>
        </is>
      </c>
      <c r="M78" s="389" t="inlineStr">
        <is>
          <t>R</t>
        </is>
      </c>
      <c r="N78" s="392" t="inlineStr">
        <is>
          <t>H</t>
        </is>
      </c>
      <c r="O78" s="393" t="inlineStr">
        <is>
          <t>D  T</t>
        </is>
      </c>
      <c r="P78" s="389" t="inlineStr">
        <is>
          <t>Ze</t>
        </is>
      </c>
      <c r="Q78" s="394" t="n"/>
    </row>
    <row r="79" ht="9.949999999999999" customHeight="1" s="244">
      <c r="A79" s="395" t="inlineStr">
        <is>
          <t xml:space="preserve"> </t>
        </is>
      </c>
      <c r="C79" s="397" t="n"/>
      <c r="D79" s="397" t="n"/>
      <c r="E79" s="398" t="n"/>
      <c r="F79" s="399" t="n"/>
      <c r="G79" s="400" t="n"/>
      <c r="H79" s="401" t="n"/>
      <c r="I79" s="402" t="n"/>
      <c r="J79" s="403" t="inlineStr">
        <is>
          <t>Qs  =</t>
        </is>
      </c>
      <c r="K79" s="404" t="n">
        <v>2</v>
      </c>
      <c r="L79" s="404" t="n">
        <v>0</v>
      </c>
      <c r="M79" s="404" t="n">
        <v>0.9</v>
      </c>
      <c r="N79" s="404" t="n">
        <v>0.67</v>
      </c>
      <c r="O79" s="381" t="n">
        <v>27</v>
      </c>
      <c r="P79" s="404" t="n">
        <v>1</v>
      </c>
      <c r="Q79" s="383">
        <f>K79*L79*M79*N79*O79*P79</f>
        <v/>
      </c>
    </row>
    <row r="80" ht="9.949999999999999" customHeight="1" s="244">
      <c r="A80" s="405" t="n"/>
      <c r="B80" s="406" t="n"/>
      <c r="C80" s="397" t="n"/>
      <c r="D80" s="397" t="n"/>
      <c r="E80" s="378" t="n"/>
      <c r="F80" s="256" t="n"/>
      <c r="G80" s="407" t="n"/>
      <c r="H80" s="397" t="n"/>
      <c r="I80" s="397" t="n"/>
      <c r="J80" s="397" t="n"/>
      <c r="K80" s="407" t="n"/>
      <c r="L80" s="408" t="n"/>
      <c r="M80" s="409" t="inlineStr">
        <is>
          <t xml:space="preserve">   TOPLAM ISI KAYBI =</t>
        </is>
      </c>
      <c r="N80" s="409" t="n"/>
      <c r="O80" s="410" t="n"/>
      <c r="P80" s="409" t="n"/>
      <c r="Q80" s="411">
        <f>Q77+Q79</f>
        <v/>
      </c>
    </row>
    <row r="81" ht="10.35" customHeight="1" s="244">
      <c r="A81" s="359" t="n"/>
      <c r="B81" s="360" t="n"/>
      <c r="C81" s="360" t="n"/>
      <c r="D81" s="360" t="n"/>
      <c r="E81" s="360" t="n"/>
      <c r="F81" s="361" t="inlineStr">
        <is>
          <t>2</t>
        </is>
      </c>
      <c r="G81" s="362" t="inlineStr">
        <is>
          <t>0</t>
        </is>
      </c>
      <c r="H81" s="360" t="inlineStr">
        <is>
          <t>2A2-03</t>
        </is>
      </c>
      <c r="I81" s="363" t="inlineStr">
        <is>
          <t>OFİS A2 ODA 1</t>
        </is>
      </c>
      <c r="J81" s="364" t="n"/>
      <c r="K81" s="360" t="inlineStr">
        <is>
          <t>20ºC</t>
        </is>
      </c>
      <c r="L81" s="360" t="n"/>
      <c r="M81" s="360" t="n"/>
      <c r="N81" s="360" t="n"/>
      <c r="O81" s="360" t="n"/>
      <c r="P81" s="360" t="n"/>
      <c r="Q81" s="365" t="n"/>
    </row>
    <row r="82" ht="9.949999999999999" customHeight="1" s="244">
      <c r="A82" s="366" t="inlineStr">
        <is>
          <t>DD</t>
        </is>
      </c>
      <c r="B82" s="367" t="inlineStr">
        <is>
          <t>K</t>
        </is>
      </c>
      <c r="C82" s="368" t="n"/>
      <c r="D82" s="369" t="n">
        <v>2.7</v>
      </c>
      <c r="E82" s="369" t="n">
        <v>2.5</v>
      </c>
      <c r="F82" s="370">
        <f>IF(D82=0," ",D82*E82)</f>
        <v/>
      </c>
      <c r="G82" s="371" t="n">
        <v>1</v>
      </c>
      <c r="H82" s="372">
        <f>F84*G84</f>
        <v/>
      </c>
      <c r="I82" s="370">
        <f>IF(F82=" "," ",F82*G82-H82)</f>
        <v/>
      </c>
      <c r="J82" s="369" t="n">
        <v>0.344</v>
      </c>
      <c r="K82" s="371" t="n">
        <v>23</v>
      </c>
      <c r="L82" s="373">
        <f>IF(I82=" "," ",I82*J82*K82)</f>
        <v/>
      </c>
      <c r="M82" s="374" t="n">
        <v>7</v>
      </c>
      <c r="N82" s="371" t="n">
        <v>0</v>
      </c>
      <c r="O82" s="374" t="n">
        <v>5</v>
      </c>
      <c r="P82" s="370">
        <f>IF(M82=" "," ",(1+(M82+N82+O82)/100))</f>
        <v/>
      </c>
      <c r="Q82" s="375">
        <f>IF(L82=" "," ",L82*P82)</f>
        <v/>
      </c>
    </row>
    <row r="83" ht="9.949999999999999" customHeight="1" s="244">
      <c r="A83" s="366" t="inlineStr">
        <is>
          <t>DD25</t>
        </is>
      </c>
      <c r="B83" s="367" t="inlineStr">
        <is>
          <t>K</t>
        </is>
      </c>
      <c r="C83" s="368" t="n"/>
      <c r="D83" s="369">
        <f>D82</f>
        <v/>
      </c>
      <c r="E83" s="369" t="n">
        <v>0.5</v>
      </c>
      <c r="F83" s="370">
        <f>IF(D83=0," ",D83*E83)</f>
        <v/>
      </c>
      <c r="G83" s="371" t="n">
        <v>1</v>
      </c>
      <c r="H83" s="372" t="n"/>
      <c r="I83" s="370">
        <f>IF(F83=" "," ",F83*G83-H83)</f>
        <v/>
      </c>
      <c r="J83" s="369" t="n">
        <v>0.387</v>
      </c>
      <c r="K83" s="371" t="n">
        <v>23</v>
      </c>
      <c r="L83" s="373">
        <f>IF(I83=" "," ",I83*J83*K83)</f>
        <v/>
      </c>
      <c r="M83" s="374" t="n">
        <v>7</v>
      </c>
      <c r="N83" s="371" t="n">
        <v>0</v>
      </c>
      <c r="O83" s="374" t="n">
        <v>5</v>
      </c>
      <c r="P83" s="370">
        <f>IF(M83=" "," ",(1+(M83+N83+O83)/100))</f>
        <v/>
      </c>
      <c r="Q83" s="375">
        <f>IF(L83=" "," ",L83*P83)</f>
        <v/>
      </c>
    </row>
    <row r="84" ht="9.949999999999999" customFormat="1" customHeight="1" s="329">
      <c r="A84" s="366" t="inlineStr">
        <is>
          <t>ÇP</t>
        </is>
      </c>
      <c r="B84" s="367" t="inlineStr">
        <is>
          <t>K</t>
        </is>
      </c>
      <c r="C84" s="368" t="n"/>
      <c r="D84" s="369" t="n">
        <v>1.49</v>
      </c>
      <c r="E84" s="369" t="n">
        <v>1.5</v>
      </c>
      <c r="F84" s="370">
        <f>IF(D84=0," ",D84*E84)</f>
        <v/>
      </c>
      <c r="G84" s="371" t="n">
        <v>1</v>
      </c>
      <c r="H84" s="372" t="n"/>
      <c r="I84" s="370">
        <f>IF(F84=" "," ",F84*G84-H84)</f>
        <v/>
      </c>
      <c r="J84" s="369" t="n">
        <v>1.8</v>
      </c>
      <c r="K84" s="371" t="n">
        <v>23</v>
      </c>
      <c r="L84" s="373">
        <f>IF(I84=" "," ",I84*J84*K84)</f>
        <v/>
      </c>
      <c r="M84" s="374" t="n">
        <v>7</v>
      </c>
      <c r="N84" s="371" t="n">
        <v>0</v>
      </c>
      <c r="O84" s="374" t="n">
        <v>5</v>
      </c>
      <c r="P84" s="370">
        <f>IF(M84=" "," ",(1+(M84+N84+O84)/100))</f>
        <v/>
      </c>
      <c r="Q84" s="375">
        <f>IF(L84=" "," ",L84*P84)</f>
        <v/>
      </c>
    </row>
    <row r="85" ht="9.949999999999999" customFormat="1" customHeight="1" s="339">
      <c r="A85" s="366" t="inlineStr">
        <is>
          <t>Ta</t>
        </is>
      </c>
      <c r="B85" s="367" t="inlineStr"/>
      <c r="C85" s="368" t="n"/>
      <c r="D85" s="369" t="n">
        <v>24</v>
      </c>
      <c r="E85" s="369" t="n">
        <v>1</v>
      </c>
      <c r="F85" s="370">
        <f>IF(D85=0," ",D85*E85)</f>
        <v/>
      </c>
      <c r="G85" s="371" t="n">
        <v>1</v>
      </c>
      <c r="H85" s="372" t="n"/>
      <c r="I85" s="370">
        <f>IF(F85=" "," ",F85*G85-H85)</f>
        <v/>
      </c>
      <c r="J85" s="369" t="n">
        <v>0.266</v>
      </c>
      <c r="K85" s="371" t="n">
        <v>23</v>
      </c>
      <c r="L85" s="373">
        <f>IF(I85=" "," ",I85*J85*K85)</f>
        <v/>
      </c>
      <c r="M85" s="374" t="n">
        <v>7</v>
      </c>
      <c r="N85" s="371" t="n">
        <v>0</v>
      </c>
      <c r="O85" s="374" t="n">
        <v>0</v>
      </c>
      <c r="P85" s="370">
        <f>IF(M85=" "," ",(1+(M85+N85+O85)/100))</f>
        <v/>
      </c>
      <c r="Q85" s="375">
        <f>IF(L85=" "," ",L85*P85)</f>
        <v/>
      </c>
    </row>
    <row r="86" ht="9.949999999999999" customFormat="1" customHeight="1" s="339">
      <c r="A86" s="376" t="n"/>
      <c r="B86" s="377" t="n"/>
      <c r="C86" s="377" t="n"/>
      <c r="D86" s="378" t="n"/>
      <c r="E86" s="378" t="n"/>
      <c r="F86" s="378" t="n"/>
      <c r="G86" s="379" t="n"/>
      <c r="H86" s="378" t="n"/>
      <c r="I86" s="378" t="n"/>
      <c r="J86" s="378" t="n"/>
      <c r="K86" s="379" t="n"/>
      <c r="L86" s="380" t="n"/>
      <c r="M86" s="381" t="n"/>
      <c r="N86" s="381" t="n"/>
      <c r="O86" s="381" t="n"/>
      <c r="P86" s="382" t="n"/>
      <c r="Q86" s="383">
        <f>SUM(Q82:Q85)</f>
        <v/>
      </c>
    </row>
    <row r="87" ht="9.949999999999999" customFormat="1" customHeight="1" s="351">
      <c r="A87" s="384" t="n"/>
      <c r="B87" s="385" t="n"/>
      <c r="C87" s="385" t="n"/>
      <c r="D87" s="386" t="n"/>
      <c r="E87" s="387" t="n"/>
      <c r="F87" s="388" t="n"/>
      <c r="G87" s="389" t="n"/>
      <c r="H87" s="388" t="n"/>
      <c r="I87" s="390" t="n"/>
      <c r="J87" s="391" t="inlineStr">
        <is>
          <t>Qs=</t>
        </is>
      </c>
      <c r="K87" s="390" t="inlineStr">
        <is>
          <t>S a</t>
        </is>
      </c>
      <c r="L87" s="388" t="inlineStr">
        <is>
          <t>L</t>
        </is>
      </c>
      <c r="M87" s="389" t="inlineStr">
        <is>
          <t>R</t>
        </is>
      </c>
      <c r="N87" s="392" t="inlineStr">
        <is>
          <t>H</t>
        </is>
      </c>
      <c r="O87" s="393" t="inlineStr">
        <is>
          <t>D  T</t>
        </is>
      </c>
      <c r="P87" s="389" t="inlineStr">
        <is>
          <t>Ze</t>
        </is>
      </c>
      <c r="Q87" s="394" t="n"/>
    </row>
    <row r="88" ht="9.949999999999999" customFormat="1" customHeight="1" s="351">
      <c r="A88" s="395" t="inlineStr">
        <is>
          <t xml:space="preserve"> </t>
        </is>
      </c>
      <c r="B88" s="354" t="n"/>
      <c r="C88" s="397" t="n"/>
      <c r="D88" s="397" t="n"/>
      <c r="E88" s="398" t="n"/>
      <c r="F88" s="399" t="n"/>
      <c r="G88" s="400" t="n"/>
      <c r="H88" s="401" t="n"/>
      <c r="I88" s="402" t="n"/>
      <c r="J88" s="403" t="inlineStr">
        <is>
          <t>Qs  =</t>
        </is>
      </c>
      <c r="K88" s="404" t="n">
        <v>2</v>
      </c>
      <c r="L88" s="404">
        <f>(D84+E84)*2*G84</f>
        <v/>
      </c>
      <c r="M88" s="404" t="n">
        <v>0.9</v>
      </c>
      <c r="N88" s="404" t="n">
        <v>0.67</v>
      </c>
      <c r="O88" s="381" t="n">
        <v>23</v>
      </c>
      <c r="P88" s="404" t="n">
        <v>1</v>
      </c>
      <c r="Q88" s="383">
        <f>K88*L88*M88*N88*O88*P88</f>
        <v/>
      </c>
    </row>
    <row r="89" ht="9.949999999999999" customFormat="1" customHeight="1" s="356">
      <c r="A89" s="405" t="n"/>
      <c r="B89" s="406" t="n"/>
      <c r="C89" s="397" t="n"/>
      <c r="D89" s="397" t="n"/>
      <c r="E89" s="378" t="n"/>
      <c r="F89" s="256" t="n"/>
      <c r="G89" s="407" t="n"/>
      <c r="H89" s="397" t="n"/>
      <c r="I89" s="397" t="n"/>
      <c r="J89" s="397" t="n"/>
      <c r="K89" s="407" t="n"/>
      <c r="L89" s="408" t="n"/>
      <c r="M89" s="409" t="inlineStr">
        <is>
          <t xml:space="preserve">   TOPLAM ISI KAYBI =</t>
        </is>
      </c>
      <c r="N89" s="409" t="n"/>
      <c r="O89" s="410" t="n"/>
      <c r="P89" s="409" t="n"/>
      <c r="Q89" s="411">
        <f>Q86+Q88</f>
        <v/>
      </c>
    </row>
    <row r="90" ht="10.35" customFormat="1" customHeight="1" s="356">
      <c r="A90" s="359" t="n"/>
      <c r="B90" s="360" t="n"/>
      <c r="C90" s="360" t="n"/>
      <c r="D90" s="360" t="n"/>
      <c r="E90" s="360" t="n"/>
      <c r="F90" s="361" t="inlineStr">
        <is>
          <t>2</t>
        </is>
      </c>
      <c r="G90" s="362" t="inlineStr">
        <is>
          <t>0</t>
        </is>
      </c>
      <c r="H90" s="360" t="inlineStr">
        <is>
          <t>2A2-04</t>
        </is>
      </c>
      <c r="I90" s="363" t="inlineStr">
        <is>
          <t>OFİS A2 ODA 2</t>
        </is>
      </c>
      <c r="J90" s="364" t="n"/>
      <c r="K90" s="360" t="inlineStr">
        <is>
          <t>20ºC</t>
        </is>
      </c>
      <c r="L90" s="360" t="n"/>
      <c r="M90" s="360" t="n"/>
      <c r="N90" s="360" t="n"/>
      <c r="O90" s="360" t="n"/>
      <c r="P90" s="360" t="n"/>
      <c r="Q90" s="365" t="n"/>
    </row>
    <row r="91" ht="9.949999999999999" customFormat="1" customHeight="1" s="356">
      <c r="A91" s="366" t="inlineStr">
        <is>
          <t>DD</t>
        </is>
      </c>
      <c r="B91" s="367" t="inlineStr">
        <is>
          <t>K</t>
        </is>
      </c>
      <c r="C91" s="368" t="n"/>
      <c r="D91" s="369" t="n">
        <v>0.58</v>
      </c>
      <c r="E91" s="369" t="n">
        <v>2.5</v>
      </c>
      <c r="F91" s="370">
        <f>IF(D91=0," ",D91*E91)</f>
        <v/>
      </c>
      <c r="G91" s="371" t="n">
        <v>1</v>
      </c>
      <c r="H91" s="372" t="n"/>
      <c r="I91" s="370">
        <f>IF(F91=" "," ",F91*G91-H91)</f>
        <v/>
      </c>
      <c r="J91" s="369" t="n">
        <v>0.344</v>
      </c>
      <c r="K91" s="371" t="n">
        <v>23</v>
      </c>
      <c r="L91" s="373">
        <f>IF(I91=" "," ",I91*J91*K91)</f>
        <v/>
      </c>
      <c r="M91" s="374" t="n">
        <v>7</v>
      </c>
      <c r="N91" s="371" t="n">
        <v>0</v>
      </c>
      <c r="O91" s="374" t="n">
        <v>5</v>
      </c>
      <c r="P91" s="370">
        <f>IF(M91=" "," ",(1+(M91+N91+O91)/100))</f>
        <v/>
      </c>
      <c r="Q91" s="375">
        <f>IF(L91=" "," ",L91*P91)</f>
        <v/>
      </c>
    </row>
    <row r="92" ht="9.949999999999999" customFormat="1" customHeight="1" s="356">
      <c r="A92" s="366" t="inlineStr">
        <is>
          <t>DD25</t>
        </is>
      </c>
      <c r="B92" s="367" t="inlineStr">
        <is>
          <t>K</t>
        </is>
      </c>
      <c r="C92" s="368" t="n"/>
      <c r="D92" s="369">
        <f>D91</f>
        <v/>
      </c>
      <c r="E92" s="369" t="n">
        <v>0.5</v>
      </c>
      <c r="F92" s="370">
        <f>IF(D92=0," ",D92*E92)</f>
        <v/>
      </c>
      <c r="G92" s="371" t="n">
        <v>1</v>
      </c>
      <c r="H92" s="372" t="n"/>
      <c r="I92" s="370">
        <f>IF(F92=" "," ",F92*G92-H92)</f>
        <v/>
      </c>
      <c r="J92" s="369" t="n">
        <v>0.387</v>
      </c>
      <c r="K92" s="371" t="n">
        <v>23</v>
      </c>
      <c r="L92" s="373">
        <f>IF(I92=" "," ",I92*J92*K92)</f>
        <v/>
      </c>
      <c r="M92" s="374" t="n">
        <v>7</v>
      </c>
      <c r="N92" s="371" t="n">
        <v>0</v>
      </c>
      <c r="O92" s="374" t="n">
        <v>5</v>
      </c>
      <c r="P92" s="370">
        <f>IF(M92=" "," ",(1+(M92+N92+O92)/100))</f>
        <v/>
      </c>
      <c r="Q92" s="375">
        <f>IF(L92=" "," ",L92*P92)</f>
        <v/>
      </c>
    </row>
    <row r="93" ht="9.949999999999999" customFormat="1" customHeight="1" s="356">
      <c r="A93" s="366" t="inlineStr">
        <is>
          <t>DD</t>
        </is>
      </c>
      <c r="B93" s="367" t="inlineStr">
        <is>
          <t>K</t>
        </is>
      </c>
      <c r="C93" s="368" t="n"/>
      <c r="D93" s="369" t="n">
        <v>1.18</v>
      </c>
      <c r="E93" s="369" t="n">
        <v>2.5</v>
      </c>
      <c r="F93" s="370">
        <f>IF(D93=0," ",D93*E93)</f>
        <v/>
      </c>
      <c r="G93" s="371" t="n">
        <v>1</v>
      </c>
      <c r="H93" s="372">
        <f>F95*G95</f>
        <v/>
      </c>
      <c r="I93" s="370">
        <f>IF(F93=" "," ",F93*G93-H93)</f>
        <v/>
      </c>
      <c r="J93" s="369" t="n">
        <v>0.344</v>
      </c>
      <c r="K93" s="371" t="n">
        <v>23</v>
      </c>
      <c r="L93" s="373">
        <f>IF(I93=" "," ",I93*J93*K93)</f>
        <v/>
      </c>
      <c r="M93" s="374" t="n">
        <v>7</v>
      </c>
      <c r="N93" s="371" t="n">
        <v>0</v>
      </c>
      <c r="O93" s="374" t="n">
        <v>5</v>
      </c>
      <c r="P93" s="370">
        <f>IF(M93=" "," ",(1+(M93+N93+O93)/100))</f>
        <v/>
      </c>
      <c r="Q93" s="375">
        <f>IF(L93=" "," ",L93*P93)</f>
        <v/>
      </c>
    </row>
    <row r="94" ht="9.949999999999999" customFormat="1" customHeight="1" s="356">
      <c r="A94" s="366" t="inlineStr">
        <is>
          <t>DD25</t>
        </is>
      </c>
      <c r="B94" s="367" t="inlineStr">
        <is>
          <t>K</t>
        </is>
      </c>
      <c r="C94" s="368" t="n"/>
      <c r="D94" s="369">
        <f>D93</f>
        <v/>
      </c>
      <c r="E94" s="369" t="n">
        <v>0.5</v>
      </c>
      <c r="F94" s="370">
        <f>IF(D94=0," ",D94*E94)</f>
        <v/>
      </c>
      <c r="G94" s="371" t="n">
        <v>1</v>
      </c>
      <c r="H94" s="372" t="n"/>
      <c r="I94" s="370">
        <f>IF(F94=" "," ",F94*G94-H94)</f>
        <v/>
      </c>
      <c r="J94" s="369" t="n">
        <v>0.387</v>
      </c>
      <c r="K94" s="371" t="n">
        <v>23</v>
      </c>
      <c r="L94" s="373">
        <f>IF(I94=" "," ",I94*J94*K94)</f>
        <v/>
      </c>
      <c r="M94" s="374" t="n">
        <v>7</v>
      </c>
      <c r="N94" s="371" t="n">
        <v>0</v>
      </c>
      <c r="O94" s="374" t="n">
        <v>5</v>
      </c>
      <c r="P94" s="370">
        <f>IF(M94=" "," ",(1+(M94+N94+O94)/100))</f>
        <v/>
      </c>
      <c r="Q94" s="375">
        <f>IF(L94=" "," ",L94*P94)</f>
        <v/>
      </c>
    </row>
    <row r="95" ht="9.949999999999999" customFormat="1" customHeight="1" s="356">
      <c r="A95" s="366" t="inlineStr">
        <is>
          <t>ÇP</t>
        </is>
      </c>
      <c r="B95" s="367" t="inlineStr">
        <is>
          <t>K</t>
        </is>
      </c>
      <c r="C95" s="368" t="n"/>
      <c r="D95" s="369" t="n">
        <v>0.65</v>
      </c>
      <c r="E95" s="369" t="n">
        <v>1.5</v>
      </c>
      <c r="F95" s="370">
        <f>IF(D95=0," ",D95*E95)</f>
        <v/>
      </c>
      <c r="G95" s="371" t="n">
        <v>1</v>
      </c>
      <c r="H95" s="372" t="n"/>
      <c r="I95" s="370">
        <f>IF(F95=" "," ",F95*G95-H95)</f>
        <v/>
      </c>
      <c r="J95" s="369" t="n">
        <v>1.8</v>
      </c>
      <c r="K95" s="371" t="n">
        <v>23</v>
      </c>
      <c r="L95" s="373">
        <f>IF(I95=" "," ",I95*J95*K95)</f>
        <v/>
      </c>
      <c r="M95" s="374" t="n">
        <v>7</v>
      </c>
      <c r="N95" s="371" t="n">
        <v>0</v>
      </c>
      <c r="O95" s="374" t="n">
        <v>5</v>
      </c>
      <c r="P95" s="370">
        <f>IF(M95=" "," ",(1+(M95+N95+O95)/100))</f>
        <v/>
      </c>
      <c r="Q95" s="375">
        <f>IF(L95=" "," ",L95*P95)</f>
        <v/>
      </c>
    </row>
    <row r="96" ht="9.949999999999999" customFormat="1" customHeight="1" s="356">
      <c r="A96" s="366" t="inlineStr">
        <is>
          <t>Ta</t>
        </is>
      </c>
      <c r="B96" s="367" t="inlineStr"/>
      <c r="C96" s="368" t="n"/>
      <c r="D96" s="369" t="n">
        <v>19.5</v>
      </c>
      <c r="E96" s="369" t="n">
        <v>1</v>
      </c>
      <c r="F96" s="370">
        <f>IF(D96=0," ",D96*E96)</f>
        <v/>
      </c>
      <c r="G96" s="371" t="n">
        <v>1</v>
      </c>
      <c r="H96" s="372" t="n"/>
      <c r="I96" s="370">
        <f>IF(F96=" "," ",F96*G96-H96)</f>
        <v/>
      </c>
      <c r="J96" s="369" t="n">
        <v>0.266</v>
      </c>
      <c r="K96" s="371" t="n">
        <v>23</v>
      </c>
      <c r="L96" s="373">
        <f>IF(I96=" "," ",I96*J96*K96)</f>
        <v/>
      </c>
      <c r="M96" s="374" t="n">
        <v>7</v>
      </c>
      <c r="N96" s="371" t="n">
        <v>0</v>
      </c>
      <c r="O96" s="374" t="n">
        <v>0</v>
      </c>
      <c r="P96" s="370">
        <f>IF(M96=" "," ",(1+(M96+N96+O96)/100))</f>
        <v/>
      </c>
      <c r="Q96" s="375">
        <f>IF(L96=" "," ",L96*P96)</f>
        <v/>
      </c>
    </row>
    <row r="97" ht="9.949999999999999" customFormat="1" customHeight="1" s="356">
      <c r="A97" s="376" t="n"/>
      <c r="B97" s="377" t="n"/>
      <c r="C97" s="377" t="n"/>
      <c r="D97" s="378" t="n"/>
      <c r="E97" s="378" t="n"/>
      <c r="F97" s="378" t="n"/>
      <c r="G97" s="379" t="n"/>
      <c r="H97" s="378" t="n"/>
      <c r="I97" s="378" t="n"/>
      <c r="J97" s="378" t="n"/>
      <c r="K97" s="379" t="n"/>
      <c r="L97" s="380" t="n"/>
      <c r="M97" s="381" t="n"/>
      <c r="N97" s="381" t="n"/>
      <c r="O97" s="381" t="n"/>
      <c r="P97" s="382" t="n"/>
      <c r="Q97" s="383">
        <f>SUM(Q91:Q96)</f>
        <v/>
      </c>
    </row>
    <row r="98" ht="9.949999999999999" customFormat="1" customHeight="1" s="356">
      <c r="A98" s="384" t="n"/>
      <c r="B98" s="385" t="n"/>
      <c r="C98" s="385" t="n"/>
      <c r="D98" s="386" t="n"/>
      <c r="E98" s="387" t="n"/>
      <c r="F98" s="388" t="n"/>
      <c r="G98" s="389" t="n"/>
      <c r="H98" s="388" t="n"/>
      <c r="I98" s="390" t="n"/>
      <c r="J98" s="391" t="inlineStr">
        <is>
          <t>Qs=</t>
        </is>
      </c>
      <c r="K98" s="390" t="inlineStr">
        <is>
          <t>S a</t>
        </is>
      </c>
      <c r="L98" s="388" t="inlineStr">
        <is>
          <t>L</t>
        </is>
      </c>
      <c r="M98" s="389" t="inlineStr">
        <is>
          <t>R</t>
        </is>
      </c>
      <c r="N98" s="392" t="inlineStr">
        <is>
          <t>H</t>
        </is>
      </c>
      <c r="O98" s="393" t="inlineStr">
        <is>
          <t>D  T</t>
        </is>
      </c>
      <c r="P98" s="389" t="inlineStr">
        <is>
          <t>Ze</t>
        </is>
      </c>
      <c r="Q98" s="394" t="n"/>
    </row>
    <row r="99" ht="9.949999999999999" customFormat="1" customHeight="1" s="356">
      <c r="A99" s="395" t="inlineStr">
        <is>
          <t xml:space="preserve"> </t>
        </is>
      </c>
      <c r="B99" s="396" t="n"/>
      <c r="C99" s="397" t="n"/>
      <c r="D99" s="397" t="n"/>
      <c r="E99" s="398" t="n"/>
      <c r="F99" s="399" t="n"/>
      <c r="G99" s="400" t="n"/>
      <c r="H99" s="401" t="n"/>
      <c r="I99" s="402" t="n"/>
      <c r="J99" s="403" t="inlineStr">
        <is>
          <t>Qs  =</t>
        </is>
      </c>
      <c r="K99" s="404" t="n">
        <v>2</v>
      </c>
      <c r="L99" s="404">
        <f>(D95+E95)*2*G95</f>
        <v/>
      </c>
      <c r="M99" s="404" t="n">
        <v>0.9</v>
      </c>
      <c r="N99" s="404" t="n">
        <v>0.67</v>
      </c>
      <c r="O99" s="381" t="n">
        <v>23</v>
      </c>
      <c r="P99" s="404" t="n">
        <v>1</v>
      </c>
      <c r="Q99" s="383">
        <f>K99*L99*M99*N99*O99*P99</f>
        <v/>
      </c>
    </row>
    <row r="100" ht="9.949999999999999" customFormat="1" customHeight="1" s="356">
      <c r="A100" s="405" t="n"/>
      <c r="B100" s="406" t="n"/>
      <c r="C100" s="397" t="n"/>
      <c r="D100" s="397" t="n"/>
      <c r="E100" s="378" t="n"/>
      <c r="F100" s="256" t="n"/>
      <c r="G100" s="407" t="n"/>
      <c r="H100" s="397" t="n"/>
      <c r="I100" s="397" t="n"/>
      <c r="J100" s="397" t="n"/>
      <c r="K100" s="407" t="n"/>
      <c r="L100" s="408" t="n"/>
      <c r="M100" s="409" t="inlineStr">
        <is>
          <t xml:space="preserve">   TOPLAM ISI KAYBI =</t>
        </is>
      </c>
      <c r="N100" s="409" t="n"/>
      <c r="O100" s="410" t="n"/>
      <c r="P100" s="409" t="n"/>
      <c r="Q100" s="411">
        <f>Q97+Q99</f>
        <v/>
      </c>
    </row>
    <row r="101" ht="10.35" customFormat="1" customHeight="1" s="356">
      <c r="A101" s="359" t="n"/>
      <c r="B101" s="360" t="n"/>
      <c r="C101" s="360" t="n"/>
      <c r="D101" s="360" t="n"/>
      <c r="E101" s="360" t="n"/>
      <c r="F101" s="361" t="inlineStr">
        <is>
          <t>2</t>
        </is>
      </c>
      <c r="G101" s="362" t="inlineStr">
        <is>
          <t>0</t>
        </is>
      </c>
      <c r="H101" s="360" t="inlineStr">
        <is>
          <t>2A2-05</t>
        </is>
      </c>
      <c r="I101" s="363" t="inlineStr">
        <is>
          <t>OFİS A2 HOL</t>
        </is>
      </c>
      <c r="J101" s="364" t="n"/>
      <c r="K101" s="360" t="inlineStr">
        <is>
          <t>20ºC</t>
        </is>
      </c>
      <c r="L101" s="360" t="n"/>
      <c r="M101" s="360" t="n"/>
      <c r="N101" s="360" t="n"/>
      <c r="O101" s="360" t="n"/>
      <c r="P101" s="360" t="n"/>
      <c r="Q101" s="365" t="n"/>
    </row>
    <row r="102" ht="9.949999999999999" customFormat="1" customHeight="1" s="412">
      <c r="A102" s="366" t="inlineStr">
        <is>
          <t>İDM</t>
        </is>
      </c>
      <c r="B102" s="367" t="inlineStr"/>
      <c r="C102" s="368" t="n"/>
      <c r="D102" s="369" t="n">
        <v>0.33</v>
      </c>
      <c r="E102" s="369" t="n">
        <v>3</v>
      </c>
      <c r="F102" s="370">
        <f>IF(D102=0," ",D102*E102)</f>
        <v/>
      </c>
      <c r="G102" s="371" t="n">
        <v>1</v>
      </c>
      <c r="H102" s="372" t="n"/>
      <c r="I102" s="370">
        <f>IF(F102=" "," ",F102*G102-H102)</f>
        <v/>
      </c>
      <c r="J102" s="369" t="n">
        <v>0.332</v>
      </c>
      <c r="K102" s="371" t="n">
        <v>10</v>
      </c>
      <c r="L102" s="373">
        <f>IF(I102=" "," ",I102*J102*K102)</f>
        <v/>
      </c>
      <c r="M102" s="374" t="n">
        <v>7</v>
      </c>
      <c r="N102" s="371" t="n">
        <v>0</v>
      </c>
      <c r="O102" s="374" t="n">
        <v>0</v>
      </c>
      <c r="P102" s="370">
        <f>IF(M102=" "," ",(1+(M102+N102+O102)/100))</f>
        <v/>
      </c>
      <c r="Q102" s="375">
        <f>IF(L102=" "," ",L102*P102)</f>
        <v/>
      </c>
    </row>
    <row r="103" ht="9.949999999999999" customFormat="1" customHeight="1" s="412">
      <c r="A103" s="366" t="inlineStr">
        <is>
          <t>İDM</t>
        </is>
      </c>
      <c r="B103" s="367" t="inlineStr"/>
      <c r="C103" s="368" t="n"/>
      <c r="D103" s="369" t="n">
        <v>1.76</v>
      </c>
      <c r="E103" s="369" t="n">
        <v>3</v>
      </c>
      <c r="F103" s="370">
        <f>IF(D103=0," ",D103*E103)</f>
        <v/>
      </c>
      <c r="G103" s="371" t="n">
        <v>1</v>
      </c>
      <c r="H103" s="372" t="n"/>
      <c r="I103" s="370">
        <f>IF(F103=" "," ",F103*G103-H103)</f>
        <v/>
      </c>
      <c r="J103" s="369" t="n">
        <v>0.332</v>
      </c>
      <c r="K103" s="371" t="n">
        <v>10</v>
      </c>
      <c r="L103" s="373">
        <f>IF(I103=" "," ",I103*J103*K103)</f>
        <v/>
      </c>
      <c r="M103" s="374" t="n">
        <v>7</v>
      </c>
      <c r="N103" s="371" t="n">
        <v>0</v>
      </c>
      <c r="O103" s="374" t="n">
        <v>0</v>
      </c>
      <c r="P103" s="370">
        <f>IF(M103=" "," ",(1+(M103+N103+O103)/100))</f>
        <v/>
      </c>
      <c r="Q103" s="375">
        <f>IF(L103=" "," ",L103*P103)</f>
        <v/>
      </c>
    </row>
    <row r="104" ht="9.949999999999999" customFormat="1" customHeight="1" s="351">
      <c r="A104" s="366" t="inlineStr">
        <is>
          <t>İDM</t>
        </is>
      </c>
      <c r="B104" s="367" t="inlineStr"/>
      <c r="C104" s="368" t="n"/>
      <c r="D104" s="369" t="n">
        <v>0.37</v>
      </c>
      <c r="E104" s="369" t="n">
        <v>3</v>
      </c>
      <c r="F104" s="370">
        <f>IF(D104=0," ",D104*E104)</f>
        <v/>
      </c>
      <c r="G104" s="371" t="n">
        <v>1</v>
      </c>
      <c r="H104" s="372" t="n"/>
      <c r="I104" s="370">
        <f>IF(F104=" "," ",F104*G104-H104)</f>
        <v/>
      </c>
      <c r="J104" s="369" t="n">
        <v>0.332</v>
      </c>
      <c r="K104" s="371" t="n">
        <v>10</v>
      </c>
      <c r="L104" s="373">
        <f>IF(I104=" "," ",I104*J104*K104)</f>
        <v/>
      </c>
      <c r="M104" s="374" t="n">
        <v>7</v>
      </c>
      <c r="N104" s="371" t="n">
        <v>0</v>
      </c>
      <c r="O104" s="374" t="n">
        <v>0</v>
      </c>
      <c r="P104" s="370">
        <f>IF(M104=" "," ",(1+(M104+N104+O104)/100))</f>
        <v/>
      </c>
      <c r="Q104" s="375">
        <f>IF(L104=" "," ",L104*P104)</f>
        <v/>
      </c>
    </row>
    <row r="105" ht="9.949999999999999" customFormat="1" customHeight="1" s="356">
      <c r="A105" s="366" t="inlineStr">
        <is>
          <t>Ta</t>
        </is>
      </c>
      <c r="B105" s="367" t="inlineStr"/>
      <c r="C105" s="368" t="n"/>
      <c r="D105" s="369" t="n">
        <v>9.92</v>
      </c>
      <c r="E105" s="369" t="n">
        <v>1</v>
      </c>
      <c r="F105" s="370">
        <f>IF(D105=0," ",D105*E105)</f>
        <v/>
      </c>
      <c r="G105" s="371" t="n">
        <v>1</v>
      </c>
      <c r="H105" s="372" t="n"/>
      <c r="I105" s="370">
        <f>IF(F105=" "," ",F105*G105-H105)</f>
        <v/>
      </c>
      <c r="J105" s="369" t="n">
        <v>0.266</v>
      </c>
      <c r="K105" s="371" t="n">
        <v>23</v>
      </c>
      <c r="L105" s="373">
        <f>IF(I105=" "," ",I105*J105*K105)</f>
        <v/>
      </c>
      <c r="M105" s="374" t="n">
        <v>7</v>
      </c>
      <c r="N105" s="371" t="n">
        <v>0</v>
      </c>
      <c r="O105" s="374" t="n">
        <v>0</v>
      </c>
      <c r="P105" s="370">
        <f>IF(M105=" "," ",(1+(M105+N105+O105)/100))</f>
        <v/>
      </c>
      <c r="Q105" s="375">
        <f>IF(L105=" "," ",L105*P105)</f>
        <v/>
      </c>
    </row>
    <row r="106" ht="9.949999999999999" customFormat="1" customHeight="1" s="356">
      <c r="A106" s="376" t="n"/>
      <c r="B106" s="377" t="n"/>
      <c r="C106" s="377" t="n"/>
      <c r="D106" s="378" t="n"/>
      <c r="E106" s="378" t="n"/>
      <c r="F106" s="378" t="n"/>
      <c r="G106" s="379" t="n"/>
      <c r="H106" s="378" t="n"/>
      <c r="I106" s="378" t="n"/>
      <c r="J106" s="378" t="n"/>
      <c r="K106" s="379" t="n"/>
      <c r="L106" s="380" t="n"/>
      <c r="M106" s="381" t="n"/>
      <c r="N106" s="381" t="n"/>
      <c r="O106" s="381" t="n"/>
      <c r="P106" s="382" t="n"/>
      <c r="Q106" s="383">
        <f>SUM(Q102:Q105)</f>
        <v/>
      </c>
    </row>
    <row r="107" ht="9.949999999999999" customFormat="1" customHeight="1" s="356">
      <c r="A107" s="384" t="n"/>
      <c r="B107" s="385" t="n"/>
      <c r="C107" s="385" t="n"/>
      <c r="D107" s="386" t="n"/>
      <c r="E107" s="387" t="n"/>
      <c r="F107" s="388" t="n"/>
      <c r="G107" s="389" t="n"/>
      <c r="H107" s="388" t="n"/>
      <c r="I107" s="390" t="n"/>
      <c r="J107" s="391" t="inlineStr">
        <is>
          <t>Qs=</t>
        </is>
      </c>
      <c r="K107" s="390" t="inlineStr">
        <is>
          <t>S a</t>
        </is>
      </c>
      <c r="L107" s="388" t="inlineStr">
        <is>
          <t>L</t>
        </is>
      </c>
      <c r="M107" s="389" t="inlineStr">
        <is>
          <t>R</t>
        </is>
      </c>
      <c r="N107" s="392" t="inlineStr">
        <is>
          <t>H</t>
        </is>
      </c>
      <c r="O107" s="393" t="inlineStr">
        <is>
          <t>D  T</t>
        </is>
      </c>
      <c r="P107" s="389" t="inlineStr">
        <is>
          <t>Ze</t>
        </is>
      </c>
      <c r="Q107" s="394" t="n"/>
    </row>
    <row r="108" ht="9.949999999999999" customFormat="1" customHeight="1" s="356">
      <c r="A108" s="395" t="inlineStr">
        <is>
          <t xml:space="preserve"> </t>
        </is>
      </c>
      <c r="B108" s="396" t="n"/>
      <c r="C108" s="397" t="n"/>
      <c r="D108" s="397" t="n"/>
      <c r="E108" s="398" t="n"/>
      <c r="F108" s="399" t="n"/>
      <c r="G108" s="400" t="n"/>
      <c r="H108" s="401" t="n"/>
      <c r="I108" s="402" t="n"/>
      <c r="J108" s="403" t="inlineStr">
        <is>
          <t>Qs  =</t>
        </is>
      </c>
      <c r="K108" s="404" t="n">
        <v>2</v>
      </c>
      <c r="L108" s="404" t="n">
        <v>0</v>
      </c>
      <c r="M108" s="404" t="n">
        <v>0.9</v>
      </c>
      <c r="N108" s="404" t="n">
        <v>0.67</v>
      </c>
      <c r="O108" s="381" t="n">
        <v>23</v>
      </c>
      <c r="P108" s="404" t="n">
        <v>1</v>
      </c>
      <c r="Q108" s="383">
        <f>K108*L108*M108*N108*O108*P108</f>
        <v/>
      </c>
    </row>
    <row r="109" ht="9.949999999999999" customFormat="1" customHeight="1" s="356">
      <c r="A109" s="405" t="n"/>
      <c r="B109" s="406" t="n"/>
      <c r="C109" s="397" t="n"/>
      <c r="D109" s="397" t="n"/>
      <c r="E109" s="378" t="n"/>
      <c r="F109" s="256" t="n"/>
      <c r="G109" s="407" t="n"/>
      <c r="H109" s="397" t="n"/>
      <c r="I109" s="397" t="n"/>
      <c r="J109" s="397" t="n"/>
      <c r="K109" s="407" t="n"/>
      <c r="L109" s="408" t="n"/>
      <c r="M109" s="409" t="inlineStr">
        <is>
          <t xml:space="preserve">   TOPLAM ISI KAYBI =</t>
        </is>
      </c>
      <c r="N109" s="409" t="n"/>
      <c r="O109" s="410" t="n"/>
      <c r="P109" s="409" t="n"/>
      <c r="Q109" s="411">
        <f>Q106+Q108</f>
        <v/>
      </c>
    </row>
    <row r="110" ht="10.35" customFormat="1" customHeight="1" s="356">
      <c r="A110" s="359" t="n"/>
      <c r="B110" s="360" t="n"/>
      <c r="C110" s="360" t="n"/>
      <c r="D110" s="360" t="n"/>
      <c r="E110" s="360" t="n"/>
      <c r="F110" s="361" t="inlineStr">
        <is>
          <t>2</t>
        </is>
      </c>
      <c r="G110" s="362" t="inlineStr">
        <is>
          <t>0</t>
        </is>
      </c>
      <c r="H110" s="360" t="inlineStr">
        <is>
          <t>2A3-01</t>
        </is>
      </c>
      <c r="I110" s="363" t="inlineStr">
        <is>
          <t>OFİS A3 BANYO</t>
        </is>
      </c>
      <c r="J110" s="364" t="n"/>
      <c r="K110" s="360" t="inlineStr">
        <is>
          <t>24ºC</t>
        </is>
      </c>
      <c r="L110" s="360" t="n"/>
      <c r="M110" s="360" t="n"/>
      <c r="N110" s="360" t="n"/>
      <c r="O110" s="360" t="n"/>
      <c r="P110" s="360" t="n"/>
      <c r="Q110" s="365" t="n"/>
    </row>
    <row r="111" ht="9.949999999999999" customFormat="1" customHeight="1" s="356">
      <c r="A111" s="366" t="inlineStr">
        <is>
          <t>İDM</t>
        </is>
      </c>
      <c r="B111" s="367" t="inlineStr"/>
      <c r="C111" s="368" t="n"/>
      <c r="D111" s="369" t="n">
        <v>0.29</v>
      </c>
      <c r="E111" s="369" t="n">
        <v>3</v>
      </c>
      <c r="F111" s="370">
        <f>IF(D111=0," ",D111*E111)</f>
        <v/>
      </c>
      <c r="G111" s="371" t="n">
        <v>1</v>
      </c>
      <c r="H111" s="372" t="n"/>
      <c r="I111" s="370">
        <f>IF(F111=" "," ",F111*G111-H111)</f>
        <v/>
      </c>
      <c r="J111" s="369" t="n">
        <v>0.332</v>
      </c>
      <c r="K111" s="371" t="n">
        <v>14</v>
      </c>
      <c r="L111" s="373">
        <f>IF(I111=" "," ",I111*J111*K111)</f>
        <v/>
      </c>
      <c r="M111" s="374" t="n">
        <v>7</v>
      </c>
      <c r="N111" s="371" t="n">
        <v>0</v>
      </c>
      <c r="O111" s="374" t="n">
        <v>0</v>
      </c>
      <c r="P111" s="370">
        <f>IF(M111=" "," ",(1+(M111+N111+O111)/100))</f>
        <v/>
      </c>
      <c r="Q111" s="375">
        <f>IF(L111=" "," ",L111*P111)</f>
        <v/>
      </c>
    </row>
    <row r="112" ht="9.949999999999999" customFormat="1" customHeight="1" s="356">
      <c r="A112" s="366" t="inlineStr">
        <is>
          <t>İDM</t>
        </is>
      </c>
      <c r="B112" s="367" t="inlineStr"/>
      <c r="C112" s="368" t="n"/>
      <c r="D112" s="369" t="n">
        <v>0.3</v>
      </c>
      <c r="E112" s="369" t="n">
        <v>3</v>
      </c>
      <c r="F112" s="370">
        <f>IF(D112=0," ",D112*E112)</f>
        <v/>
      </c>
      <c r="G112" s="371" t="n">
        <v>1</v>
      </c>
      <c r="H112" s="372" t="n"/>
      <c r="I112" s="370">
        <f>IF(F112=" "," ",F112*G112-H112)</f>
        <v/>
      </c>
      <c r="J112" s="369" t="n">
        <v>0.332</v>
      </c>
      <c r="K112" s="371" t="n">
        <v>14</v>
      </c>
      <c r="L112" s="373">
        <f>IF(I112=" "," ",I112*J112*K112)</f>
        <v/>
      </c>
      <c r="M112" s="374" t="n">
        <v>7</v>
      </c>
      <c r="N112" s="371" t="n">
        <v>0</v>
      </c>
      <c r="O112" s="374" t="n">
        <v>0</v>
      </c>
      <c r="P112" s="370">
        <f>IF(M112=" "," ",(1+(M112+N112+O112)/100))</f>
        <v/>
      </c>
      <c r="Q112" s="375">
        <f>IF(L112=" "," ",L112*P112)</f>
        <v/>
      </c>
    </row>
    <row r="113" ht="9.949999999999999" customFormat="1" customHeight="1" s="356">
      <c r="A113" s="366" t="inlineStr">
        <is>
          <t>İDM</t>
        </is>
      </c>
      <c r="B113" s="367" t="inlineStr"/>
      <c r="C113" s="368" t="n"/>
      <c r="D113" s="369" t="n">
        <v>0.9</v>
      </c>
      <c r="E113" s="369" t="n">
        <v>3</v>
      </c>
      <c r="F113" s="370">
        <f>IF(D113=0," ",D113*E113)</f>
        <v/>
      </c>
      <c r="G113" s="371" t="n">
        <v>1</v>
      </c>
      <c r="H113" s="372" t="n"/>
      <c r="I113" s="370">
        <f>IF(F113=" "," ",F113*G113-H113)</f>
        <v/>
      </c>
      <c r="J113" s="369" t="n">
        <v>0.332</v>
      </c>
      <c r="K113" s="371" t="n">
        <v>14</v>
      </c>
      <c r="L113" s="373">
        <f>IF(I113=" "," ",I113*J113*K113)</f>
        <v/>
      </c>
      <c r="M113" s="374" t="n">
        <v>7</v>
      </c>
      <c r="N113" s="371" t="n">
        <v>0</v>
      </c>
      <c r="O113" s="374" t="n">
        <v>0</v>
      </c>
      <c r="P113" s="370">
        <f>IF(M113=" "," ",(1+(M113+N113+O113)/100))</f>
        <v/>
      </c>
      <c r="Q113" s="375">
        <f>IF(L113=" "," ",L113*P113)</f>
        <v/>
      </c>
    </row>
    <row r="114" ht="9.949999999999999" customFormat="1" customHeight="1" s="356">
      <c r="A114" s="366" t="inlineStr">
        <is>
          <t>İDM</t>
        </is>
      </c>
      <c r="B114" s="367" t="inlineStr"/>
      <c r="C114" s="368" t="n"/>
      <c r="D114" s="369" t="n">
        <v>0.45</v>
      </c>
      <c r="E114" s="369" t="n">
        <v>3</v>
      </c>
      <c r="F114" s="370">
        <f>IF(D114=0," ",D114*E114)</f>
        <v/>
      </c>
      <c r="G114" s="371" t="n">
        <v>1</v>
      </c>
      <c r="H114" s="372" t="n"/>
      <c r="I114" s="370">
        <f>IF(F114=" "," ",F114*G114-H114)</f>
        <v/>
      </c>
      <c r="J114" s="369" t="n">
        <v>0.332</v>
      </c>
      <c r="K114" s="371" t="n">
        <v>14</v>
      </c>
      <c r="L114" s="373">
        <f>IF(I114=" "," ",I114*J114*K114)</f>
        <v/>
      </c>
      <c r="M114" s="374" t="n">
        <v>7</v>
      </c>
      <c r="N114" s="371" t="n">
        <v>0</v>
      </c>
      <c r="O114" s="374" t="n">
        <v>0</v>
      </c>
      <c r="P114" s="370">
        <f>IF(M114=" "," ",(1+(M114+N114+O114)/100))</f>
        <v/>
      </c>
      <c r="Q114" s="375">
        <f>IF(L114=" "," ",L114*P114)</f>
        <v/>
      </c>
    </row>
    <row r="115" ht="9.949999999999999" customFormat="1" customHeight="1" s="356">
      <c r="A115" s="366" t="inlineStr">
        <is>
          <t>İDM</t>
        </is>
      </c>
      <c r="B115" s="367" t="inlineStr"/>
      <c r="C115" s="368" t="n"/>
      <c r="D115" s="369" t="n">
        <v>0.4</v>
      </c>
      <c r="E115" s="369" t="n">
        <v>3</v>
      </c>
      <c r="F115" s="370">
        <f>IF(D115=0," ",D115*E115)</f>
        <v/>
      </c>
      <c r="G115" s="371" t="n">
        <v>1</v>
      </c>
      <c r="H115" s="372" t="n"/>
      <c r="I115" s="370">
        <f>IF(F115=" "," ",F115*G115-H115)</f>
        <v/>
      </c>
      <c r="J115" s="369" t="n">
        <v>0.332</v>
      </c>
      <c r="K115" s="371" t="n">
        <v>14</v>
      </c>
      <c r="L115" s="373">
        <f>IF(I115=" "," ",I115*J115*K115)</f>
        <v/>
      </c>
      <c r="M115" s="374" t="n">
        <v>7</v>
      </c>
      <c r="N115" s="371" t="n">
        <v>0</v>
      </c>
      <c r="O115" s="374" t="n">
        <v>0</v>
      </c>
      <c r="P115" s="370">
        <f>IF(M115=" "," ",(1+(M115+N115+O115)/100))</f>
        <v/>
      </c>
      <c r="Q115" s="375">
        <f>IF(L115=" "," ",L115*P115)</f>
        <v/>
      </c>
    </row>
    <row r="116" ht="9.949999999999999" customFormat="1" customHeight="1" s="412">
      <c r="A116" s="366" t="inlineStr">
        <is>
          <t>İDM</t>
        </is>
      </c>
      <c r="B116" s="367" t="inlineStr"/>
      <c r="C116" s="368" t="n"/>
      <c r="D116" s="369" t="n">
        <v>0.25</v>
      </c>
      <c r="E116" s="369" t="n">
        <v>3</v>
      </c>
      <c r="F116" s="370">
        <f>IF(D116=0," ",D116*E116)</f>
        <v/>
      </c>
      <c r="G116" s="371" t="n">
        <v>1</v>
      </c>
      <c r="H116" s="372" t="n"/>
      <c r="I116" s="370">
        <f>IF(F116=" "," ",F116*G116-H116)</f>
        <v/>
      </c>
      <c r="J116" s="369" t="n">
        <v>0.332</v>
      </c>
      <c r="K116" s="371" t="n">
        <v>14</v>
      </c>
      <c r="L116" s="373">
        <f>IF(I116=" "," ",I116*J116*K116)</f>
        <v/>
      </c>
      <c r="M116" s="374" t="n">
        <v>7</v>
      </c>
      <c r="N116" s="371" t="n">
        <v>0</v>
      </c>
      <c r="O116" s="374" t="n">
        <v>0</v>
      </c>
      <c r="P116" s="370">
        <f>IF(M116=" "," ",(1+(M116+N116+O116)/100))</f>
        <v/>
      </c>
      <c r="Q116" s="375">
        <f>IF(L116=" "," ",L116*P116)</f>
        <v/>
      </c>
    </row>
    <row r="117" ht="9.949999999999999" customFormat="1" customHeight="1" s="412">
      <c r="A117" s="366" t="inlineStr">
        <is>
          <t>İDM</t>
        </is>
      </c>
      <c r="B117" s="367" t="inlineStr"/>
      <c r="C117" s="368" t="n"/>
      <c r="D117" s="369" t="n">
        <v>0.4</v>
      </c>
      <c r="E117" s="369" t="n">
        <v>3</v>
      </c>
      <c r="F117" s="370">
        <f>IF(D117=0," ",D117*E117)</f>
        <v/>
      </c>
      <c r="G117" s="371" t="n">
        <v>1</v>
      </c>
      <c r="H117" s="372" t="n"/>
      <c r="I117" s="370">
        <f>IF(F117=" "," ",F117*G117-H117)</f>
        <v/>
      </c>
      <c r="J117" s="369" t="n">
        <v>0.332</v>
      </c>
      <c r="K117" s="371" t="n">
        <v>14</v>
      </c>
      <c r="L117" s="373">
        <f>IF(I117=" "," ",I117*J117*K117)</f>
        <v/>
      </c>
      <c r="M117" s="374" t="n">
        <v>7</v>
      </c>
      <c r="N117" s="371" t="n">
        <v>0</v>
      </c>
      <c r="O117" s="374" t="n">
        <v>0</v>
      </c>
      <c r="P117" s="370">
        <f>IF(M117=" "," ",(1+(M117+N117+O117)/100))</f>
        <v/>
      </c>
      <c r="Q117" s="375">
        <f>IF(L117=" "," ",L117*P117)</f>
        <v/>
      </c>
    </row>
    <row r="118" ht="9.949999999999999" customFormat="1" customHeight="1" s="351">
      <c r="A118" s="366" t="inlineStr">
        <is>
          <t>İDM</t>
        </is>
      </c>
      <c r="B118" s="367" t="inlineStr"/>
      <c r="C118" s="368" t="n"/>
      <c r="D118" s="369" t="n">
        <v>0.3</v>
      </c>
      <c r="E118" s="369" t="n">
        <v>3</v>
      </c>
      <c r="F118" s="370">
        <f>IF(D118=0," ",D118*E118)</f>
        <v/>
      </c>
      <c r="G118" s="371" t="n">
        <v>1</v>
      </c>
      <c r="H118" s="372" t="n"/>
      <c r="I118" s="370">
        <f>IF(F118=" "," ",F118*G118-H118)</f>
        <v/>
      </c>
      <c r="J118" s="369" t="n">
        <v>0.332</v>
      </c>
      <c r="K118" s="371" t="n">
        <v>14</v>
      </c>
      <c r="L118" s="373">
        <f>IF(I118=" "," ",I118*J118*K118)</f>
        <v/>
      </c>
      <c r="M118" s="374" t="n">
        <v>7</v>
      </c>
      <c r="N118" s="371" t="n">
        <v>0</v>
      </c>
      <c r="O118" s="374" t="n">
        <v>0</v>
      </c>
      <c r="P118" s="370">
        <f>IF(M118=" "," ",(1+(M118+N118+O118)/100))</f>
        <v/>
      </c>
      <c r="Q118" s="375">
        <f>IF(L118=" "," ",L118*P118)</f>
        <v/>
      </c>
    </row>
    <row r="119" ht="9.949999999999999" customFormat="1" customHeight="1" s="356">
      <c r="A119" s="366" t="inlineStr">
        <is>
          <t>Ta</t>
        </is>
      </c>
      <c r="B119" s="367" t="inlineStr"/>
      <c r="C119" s="368" t="n"/>
      <c r="D119" s="369" t="n">
        <v>4.5</v>
      </c>
      <c r="E119" s="369" t="n">
        <v>1</v>
      </c>
      <c r="F119" s="370">
        <f>IF(D119=0," ",D119*E119)</f>
        <v/>
      </c>
      <c r="G119" s="371" t="n">
        <v>1</v>
      </c>
      <c r="H119" s="372" t="n"/>
      <c r="I119" s="370">
        <f>IF(F119=" "," ",F119*G119-H119)</f>
        <v/>
      </c>
      <c r="J119" s="369" t="n">
        <v>0.266</v>
      </c>
      <c r="K119" s="371" t="n">
        <v>27</v>
      </c>
      <c r="L119" s="373">
        <f>IF(I119=" "," ",I119*J119*K119)</f>
        <v/>
      </c>
      <c r="M119" s="374" t="n">
        <v>7</v>
      </c>
      <c r="N119" s="371" t="n">
        <v>0</v>
      </c>
      <c r="O119" s="374" t="n">
        <v>0</v>
      </c>
      <c r="P119" s="370">
        <f>IF(M119=" "," ",(1+(M119+N119+O119)/100))</f>
        <v/>
      </c>
      <c r="Q119" s="375">
        <f>IF(L119=" "," ",L119*P119)</f>
        <v/>
      </c>
    </row>
    <row r="120" ht="9.949999999999999" customFormat="1" customHeight="1" s="356">
      <c r="A120" s="376" t="n"/>
      <c r="B120" s="377" t="n"/>
      <c r="C120" s="377" t="n"/>
      <c r="D120" s="378" t="n"/>
      <c r="E120" s="378" t="n"/>
      <c r="F120" s="378" t="n"/>
      <c r="G120" s="379" t="n"/>
      <c r="H120" s="378" t="n"/>
      <c r="I120" s="378" t="n"/>
      <c r="J120" s="378" t="n"/>
      <c r="K120" s="379" t="n"/>
      <c r="L120" s="380" t="n"/>
      <c r="M120" s="381" t="n"/>
      <c r="N120" s="381" t="n"/>
      <c r="O120" s="381" t="n"/>
      <c r="P120" s="382" t="n"/>
      <c r="Q120" s="383">
        <f>SUM(Q111:Q119)</f>
        <v/>
      </c>
    </row>
    <row r="121" ht="9.949999999999999" customFormat="1" customHeight="1" s="356">
      <c r="A121" s="384" t="n"/>
      <c r="B121" s="385" t="n"/>
      <c r="C121" s="385" t="n"/>
      <c r="D121" s="386" t="n"/>
      <c r="E121" s="387" t="n"/>
      <c r="F121" s="388" t="n"/>
      <c r="G121" s="389" t="n"/>
      <c r="H121" s="388" t="n"/>
      <c r="I121" s="390" t="n"/>
      <c r="J121" s="391" t="inlineStr">
        <is>
          <t>Qs=</t>
        </is>
      </c>
      <c r="K121" s="390" t="inlineStr">
        <is>
          <t>S a</t>
        </is>
      </c>
      <c r="L121" s="388" t="inlineStr">
        <is>
          <t>L</t>
        </is>
      </c>
      <c r="M121" s="389" t="inlineStr">
        <is>
          <t>R</t>
        </is>
      </c>
      <c r="N121" s="392" t="inlineStr">
        <is>
          <t>H</t>
        </is>
      </c>
      <c r="O121" s="393" t="inlineStr">
        <is>
          <t>D  T</t>
        </is>
      </c>
      <c r="P121" s="389" t="inlineStr">
        <is>
          <t>Ze</t>
        </is>
      </c>
      <c r="Q121" s="394" t="n"/>
    </row>
    <row r="122" ht="9.949999999999999" customFormat="1" customHeight="1" s="356">
      <c r="A122" s="395" t="inlineStr">
        <is>
          <t xml:space="preserve"> </t>
        </is>
      </c>
      <c r="B122" s="396" t="n"/>
      <c r="C122" s="397" t="n"/>
      <c r="D122" s="397" t="n"/>
      <c r="E122" s="398" t="n"/>
      <c r="F122" s="399" t="n"/>
      <c r="G122" s="400" t="n"/>
      <c r="H122" s="401" t="n"/>
      <c r="I122" s="402" t="n"/>
      <c r="J122" s="403" t="inlineStr">
        <is>
          <t>Qs  =</t>
        </is>
      </c>
      <c r="K122" s="404" t="n">
        <v>2</v>
      </c>
      <c r="L122" s="404" t="n">
        <v>0</v>
      </c>
      <c r="M122" s="404" t="n">
        <v>0.9</v>
      </c>
      <c r="N122" s="404" t="n">
        <v>0.67</v>
      </c>
      <c r="O122" s="381" t="n">
        <v>27</v>
      </c>
      <c r="P122" s="404" t="n">
        <v>1</v>
      </c>
      <c r="Q122" s="383">
        <f>K122*L122*M122*N122*O122*P122</f>
        <v/>
      </c>
    </row>
    <row r="123" ht="9.949999999999999" customFormat="1" customHeight="1" s="356">
      <c r="A123" s="405" t="n"/>
      <c r="B123" s="406" t="n"/>
      <c r="C123" s="397" t="n"/>
      <c r="D123" s="397" t="n"/>
      <c r="E123" s="378" t="n"/>
      <c r="F123" s="256" t="n"/>
      <c r="G123" s="407" t="n"/>
      <c r="H123" s="397" t="n"/>
      <c r="I123" s="397" t="n"/>
      <c r="J123" s="397" t="n"/>
      <c r="K123" s="407" t="n"/>
      <c r="L123" s="408" t="n"/>
      <c r="M123" s="409" t="inlineStr">
        <is>
          <t xml:space="preserve">   TOPLAM ISI KAYBI =</t>
        </is>
      </c>
      <c r="N123" s="409" t="n"/>
      <c r="O123" s="410" t="n"/>
      <c r="P123" s="409" t="n"/>
      <c r="Q123" s="411">
        <f>Q120+Q122</f>
        <v/>
      </c>
    </row>
    <row r="124" ht="10.35" customFormat="1" customHeight="1" s="356">
      <c r="A124" s="359" t="n"/>
      <c r="B124" s="360" t="n"/>
      <c r="C124" s="360" t="n"/>
      <c r="D124" s="360" t="n"/>
      <c r="E124" s="360" t="n"/>
      <c r="F124" s="361" t="inlineStr">
        <is>
          <t>2</t>
        </is>
      </c>
      <c r="G124" s="362" t="inlineStr">
        <is>
          <t>0</t>
        </is>
      </c>
      <c r="H124" s="360" t="inlineStr">
        <is>
          <t>2A3-02</t>
        </is>
      </c>
      <c r="I124" s="363" t="inlineStr">
        <is>
          <t>OFİS A3 MUTFAK</t>
        </is>
      </c>
      <c r="J124" s="364" t="n"/>
      <c r="K124" s="360" t="inlineStr">
        <is>
          <t>20ºC</t>
        </is>
      </c>
      <c r="L124" s="360" t="n"/>
      <c r="M124" s="360" t="n"/>
      <c r="N124" s="360" t="n"/>
      <c r="O124" s="360" t="n"/>
      <c r="P124" s="360" t="n"/>
      <c r="Q124" s="365" t="n"/>
    </row>
    <row r="125" ht="9.949999999999999" customFormat="1" customHeight="1" s="356">
      <c r="A125" s="366" t="inlineStr">
        <is>
          <t>Ta</t>
        </is>
      </c>
      <c r="B125" s="367" t="inlineStr"/>
      <c r="C125" s="368" t="n"/>
      <c r="D125" s="369" t="n">
        <v>8.5</v>
      </c>
      <c r="E125" s="369" t="n">
        <v>1</v>
      </c>
      <c r="F125" s="370">
        <f>IF(D125=0," ",D125*E125)</f>
        <v/>
      </c>
      <c r="G125" s="371" t="n">
        <v>1</v>
      </c>
      <c r="H125" s="372" t="n"/>
      <c r="I125" s="370">
        <f>IF(F125=" "," ",F125*G125-H125)</f>
        <v/>
      </c>
      <c r="J125" s="369" t="n">
        <v>0.266</v>
      </c>
      <c r="K125" s="371" t="n">
        <v>23</v>
      </c>
      <c r="L125" s="373">
        <f>IF(I125=" "," ",I125*J125*K125)</f>
        <v/>
      </c>
      <c r="M125" s="374" t="n">
        <v>7</v>
      </c>
      <c r="N125" s="371" t="n">
        <v>0</v>
      </c>
      <c r="O125" s="374" t="n">
        <v>0</v>
      </c>
      <c r="P125" s="370">
        <f>IF(M125=" "," ",(1+(M125+N125+O125)/100))</f>
        <v/>
      </c>
      <c r="Q125" s="375">
        <f>IF(L125=" "," ",L125*P125)</f>
        <v/>
      </c>
    </row>
    <row r="126" ht="9.949999999999999" customFormat="1" customHeight="1" s="356">
      <c r="A126" s="376" t="n"/>
      <c r="B126" s="377" t="n"/>
      <c r="C126" s="377" t="n"/>
      <c r="D126" s="378" t="n"/>
      <c r="E126" s="378" t="n"/>
      <c r="F126" s="378" t="n"/>
      <c r="G126" s="379" t="n"/>
      <c r="H126" s="378" t="n"/>
      <c r="I126" s="378" t="n"/>
      <c r="J126" s="378" t="n"/>
      <c r="K126" s="379" t="n"/>
      <c r="L126" s="380" t="n"/>
      <c r="M126" s="381" t="n"/>
      <c r="N126" s="381" t="n"/>
      <c r="O126" s="381" t="n"/>
      <c r="P126" s="382" t="n"/>
      <c r="Q126" s="383">
        <f>SUM(Q125:Q125)</f>
        <v/>
      </c>
    </row>
    <row r="127" ht="9.949999999999999" customFormat="1" customHeight="1" s="356">
      <c r="A127" s="384" t="n"/>
      <c r="B127" s="385" t="n"/>
      <c r="C127" s="385" t="n"/>
      <c r="D127" s="386" t="n"/>
      <c r="E127" s="387" t="n"/>
      <c r="F127" s="388" t="n"/>
      <c r="G127" s="389" t="n"/>
      <c r="H127" s="388" t="n"/>
      <c r="I127" s="390" t="n"/>
      <c r="J127" s="391" t="inlineStr">
        <is>
          <t>Qs=</t>
        </is>
      </c>
      <c r="K127" s="390" t="inlineStr">
        <is>
          <t>S a</t>
        </is>
      </c>
      <c r="L127" s="388" t="inlineStr">
        <is>
          <t>L</t>
        </is>
      </c>
      <c r="M127" s="389" t="inlineStr">
        <is>
          <t>R</t>
        </is>
      </c>
      <c r="N127" s="392" t="inlineStr">
        <is>
          <t>H</t>
        </is>
      </c>
      <c r="O127" s="393" t="inlineStr">
        <is>
          <t>D  T</t>
        </is>
      </c>
      <c r="P127" s="389" t="inlineStr">
        <is>
          <t>Ze</t>
        </is>
      </c>
      <c r="Q127" s="394" t="n"/>
    </row>
    <row r="128" ht="9.949999999999999" customFormat="1" customHeight="1" s="356">
      <c r="A128" s="395" t="inlineStr">
        <is>
          <t xml:space="preserve"> </t>
        </is>
      </c>
      <c r="B128" s="415" t="n"/>
      <c r="C128" s="397" t="n"/>
      <c r="D128" s="397" t="n"/>
      <c r="E128" s="398" t="n"/>
      <c r="F128" s="399" t="n"/>
      <c r="G128" s="400" t="n"/>
      <c r="H128" s="401" t="n"/>
      <c r="I128" s="402" t="n"/>
      <c r="J128" s="403" t="inlineStr">
        <is>
          <t>Qs  =</t>
        </is>
      </c>
      <c r="K128" s="404" t="n">
        <v>2</v>
      </c>
      <c r="L128" s="404" t="n">
        <v>0</v>
      </c>
      <c r="M128" s="404" t="n">
        <v>0.9</v>
      </c>
      <c r="N128" s="404" t="n">
        <v>0.67</v>
      </c>
      <c r="O128" s="381" t="n">
        <v>23</v>
      </c>
      <c r="P128" s="404" t="n">
        <v>1</v>
      </c>
      <c r="Q128" s="383">
        <f>K128*L128*M128*N128*O128*P128</f>
        <v/>
      </c>
    </row>
    <row r="129" ht="9.949999999999999" customFormat="1" customHeight="1" s="412">
      <c r="A129" s="405" t="n"/>
      <c r="B129" s="406" t="n"/>
      <c r="C129" s="397" t="n"/>
      <c r="D129" s="397" t="n"/>
      <c r="E129" s="378" t="n"/>
      <c r="F129" s="256" t="n"/>
      <c r="G129" s="407" t="n"/>
      <c r="H129" s="397" t="n"/>
      <c r="I129" s="397" t="n"/>
      <c r="J129" s="397" t="n"/>
      <c r="K129" s="407" t="n"/>
      <c r="L129" s="408" t="n"/>
      <c r="M129" s="409" t="inlineStr">
        <is>
          <t xml:space="preserve">   TOPLAM ISI KAYBI =</t>
        </is>
      </c>
      <c r="N129" s="409" t="n"/>
      <c r="O129" s="410" t="n"/>
      <c r="P129" s="409" t="n"/>
      <c r="Q129" s="411">
        <f>Q126+Q128</f>
        <v/>
      </c>
    </row>
    <row r="130" ht="10.35" customFormat="1" customHeight="1" s="412">
      <c r="A130" s="359" t="n"/>
      <c r="B130" s="360" t="n"/>
      <c r="C130" s="360" t="n"/>
      <c r="D130" s="360" t="n"/>
      <c r="E130" s="360" t="n"/>
      <c r="F130" s="361" t="inlineStr">
        <is>
          <t>2</t>
        </is>
      </c>
      <c r="G130" s="362" t="inlineStr">
        <is>
          <t>0</t>
        </is>
      </c>
      <c r="H130" s="360" t="inlineStr">
        <is>
          <t>2A3-03</t>
        </is>
      </c>
      <c r="I130" s="363" t="inlineStr">
        <is>
          <t>OFİS A3 ODA 1</t>
        </is>
      </c>
      <c r="J130" s="364" t="n"/>
      <c r="K130" s="360" t="inlineStr">
        <is>
          <t>20ºC</t>
        </is>
      </c>
      <c r="L130" s="360" t="n"/>
      <c r="M130" s="360" t="n"/>
      <c r="N130" s="360" t="n"/>
      <c r="O130" s="360" t="n"/>
      <c r="P130" s="360" t="n"/>
      <c r="Q130" s="365" t="n"/>
    </row>
    <row r="131" ht="9.949999999999999" customFormat="1" customHeight="1" s="351">
      <c r="A131" s="366" t="inlineStr">
        <is>
          <t>DD</t>
        </is>
      </c>
      <c r="B131" s="367" t="inlineStr">
        <is>
          <t>K</t>
        </is>
      </c>
      <c r="C131" s="368" t="n"/>
      <c r="D131" s="369" t="n">
        <v>1.43</v>
      </c>
      <c r="E131" s="369" t="n">
        <v>2.5</v>
      </c>
      <c r="F131" s="370">
        <f>IF(D131=0," ",D131*E131)</f>
        <v/>
      </c>
      <c r="G131" s="371" t="n">
        <v>1</v>
      </c>
      <c r="H131" s="372">
        <f>F133*G133</f>
        <v/>
      </c>
      <c r="I131" s="370">
        <f>IF(F131=" "," ",F131*G131-H131)</f>
        <v/>
      </c>
      <c r="J131" s="369" t="n">
        <v>0.344</v>
      </c>
      <c r="K131" s="371" t="n">
        <v>23</v>
      </c>
      <c r="L131" s="373">
        <f>IF(I131=" "," ",I131*J131*K131)</f>
        <v/>
      </c>
      <c r="M131" s="374" t="n">
        <v>7</v>
      </c>
      <c r="N131" s="371" t="n">
        <v>0</v>
      </c>
      <c r="O131" s="374" t="n">
        <v>5</v>
      </c>
      <c r="P131" s="370">
        <f>IF(M131=" "," ",(1+(M131+N131+O131)/100))</f>
        <v/>
      </c>
      <c r="Q131" s="375">
        <f>IF(L131=" "," ",L131*P131)</f>
        <v/>
      </c>
    </row>
    <row r="132" ht="9.949999999999999" customHeight="1" s="244">
      <c r="A132" s="366" t="inlineStr">
        <is>
          <t>DD25</t>
        </is>
      </c>
      <c r="B132" s="367" t="inlineStr">
        <is>
          <t>K</t>
        </is>
      </c>
      <c r="C132" s="368" t="n"/>
      <c r="D132" s="369">
        <f>D131</f>
        <v/>
      </c>
      <c r="E132" s="369" t="n">
        <v>0.5</v>
      </c>
      <c r="F132" s="370">
        <f>IF(D132=0," ",D132*E132)</f>
        <v/>
      </c>
      <c r="G132" s="371" t="n">
        <v>1</v>
      </c>
      <c r="H132" s="372" t="n"/>
      <c r="I132" s="370">
        <f>IF(F132=" "," ",F132*G132-H132)</f>
        <v/>
      </c>
      <c r="J132" s="369" t="n">
        <v>0.387</v>
      </c>
      <c r="K132" s="371" t="n">
        <v>23</v>
      </c>
      <c r="L132" s="373">
        <f>IF(I132=" "," ",I132*J132*K132)</f>
        <v/>
      </c>
      <c r="M132" s="374" t="n">
        <v>7</v>
      </c>
      <c r="N132" s="371" t="n">
        <v>0</v>
      </c>
      <c r="O132" s="374" t="n">
        <v>5</v>
      </c>
      <c r="P132" s="370">
        <f>IF(M132=" "," ",(1+(M132+N132+O132)/100))</f>
        <v/>
      </c>
      <c r="Q132" s="375">
        <f>IF(L132=" "," ",L132*P132)</f>
        <v/>
      </c>
    </row>
    <row r="133" ht="9.949999999999999" customHeight="1" s="244">
      <c r="A133" s="366" t="inlineStr">
        <is>
          <t>ÇP</t>
        </is>
      </c>
      <c r="B133" s="367" t="inlineStr">
        <is>
          <t>K</t>
        </is>
      </c>
      <c r="C133" s="368" t="n"/>
      <c r="D133" s="369" t="n">
        <v>0.78</v>
      </c>
      <c r="E133" s="369" t="n">
        <v>1.5</v>
      </c>
      <c r="F133" s="370">
        <f>IF(D133=0," ",D133*E133)</f>
        <v/>
      </c>
      <c r="G133" s="371" t="n">
        <v>1</v>
      </c>
      <c r="H133" s="372" t="n"/>
      <c r="I133" s="370">
        <f>IF(F133=" "," ",F133*G133-H133)</f>
        <v/>
      </c>
      <c r="J133" s="369" t="n">
        <v>1.8</v>
      </c>
      <c r="K133" s="371" t="n">
        <v>23</v>
      </c>
      <c r="L133" s="373">
        <f>IF(I133=" "," ",I133*J133*K133)</f>
        <v/>
      </c>
      <c r="M133" s="374" t="n">
        <v>7</v>
      </c>
      <c r="N133" s="371" t="n">
        <v>0</v>
      </c>
      <c r="O133" s="374" t="n">
        <v>5</v>
      </c>
      <c r="P133" s="370">
        <f>IF(M133=" "," ",(1+(M133+N133+O133)/100))</f>
        <v/>
      </c>
      <c r="Q133" s="375">
        <f>IF(L133=" "," ",L133*P133)</f>
        <v/>
      </c>
    </row>
    <row r="134" ht="9.949999999999999" customHeight="1" s="244">
      <c r="A134" s="366" t="inlineStr">
        <is>
          <t>DD</t>
        </is>
      </c>
      <c r="B134" s="367" t="inlineStr">
        <is>
          <t>K</t>
        </is>
      </c>
      <c r="C134" s="368" t="n"/>
      <c r="D134" s="369" t="n">
        <v>0.33</v>
      </c>
      <c r="E134" s="369" t="n">
        <v>2.5</v>
      </c>
      <c r="F134" s="370">
        <f>IF(D134=0," ",D134*E134)</f>
        <v/>
      </c>
      <c r="G134" s="371" t="n">
        <v>1</v>
      </c>
      <c r="H134" s="372" t="n"/>
      <c r="I134" s="370">
        <f>IF(F134=" "," ",F134*G134-H134)</f>
        <v/>
      </c>
      <c r="J134" s="369" t="n">
        <v>0.344</v>
      </c>
      <c r="K134" s="371" t="n">
        <v>23</v>
      </c>
      <c r="L134" s="373">
        <f>IF(I134=" "," ",I134*J134*K134)</f>
        <v/>
      </c>
      <c r="M134" s="374" t="n">
        <v>7</v>
      </c>
      <c r="N134" s="371" t="n">
        <v>0</v>
      </c>
      <c r="O134" s="374" t="n">
        <v>5</v>
      </c>
      <c r="P134" s="370">
        <f>IF(M134=" "," ",(1+(M134+N134+O134)/100))</f>
        <v/>
      </c>
      <c r="Q134" s="375">
        <f>IF(L134=" "," ",L134*P134)</f>
        <v/>
      </c>
    </row>
    <row r="135" ht="9.949999999999999" customHeight="1" s="244">
      <c r="A135" s="366" t="inlineStr">
        <is>
          <t>DD25</t>
        </is>
      </c>
      <c r="B135" s="367" t="inlineStr">
        <is>
          <t>K</t>
        </is>
      </c>
      <c r="C135" s="368" t="n"/>
      <c r="D135" s="369">
        <f>D134</f>
        <v/>
      </c>
      <c r="E135" s="369" t="n">
        <v>0.5</v>
      </c>
      <c r="F135" s="370">
        <f>IF(D135=0," ",D135*E135)</f>
        <v/>
      </c>
      <c r="G135" s="371" t="n">
        <v>1</v>
      </c>
      <c r="H135" s="372" t="n"/>
      <c r="I135" s="370">
        <f>IF(F135=" "," ",F135*G135-H135)</f>
        <v/>
      </c>
      <c r="J135" s="369" t="n">
        <v>0.387</v>
      </c>
      <c r="K135" s="371" t="n">
        <v>23</v>
      </c>
      <c r="L135" s="373">
        <f>IF(I135=" "," ",I135*J135*K135)</f>
        <v/>
      </c>
      <c r="M135" s="374" t="n">
        <v>7</v>
      </c>
      <c r="N135" s="371" t="n">
        <v>0</v>
      </c>
      <c r="O135" s="374" t="n">
        <v>5</v>
      </c>
      <c r="P135" s="370">
        <f>IF(M135=" "," ",(1+(M135+N135+O135)/100))</f>
        <v/>
      </c>
      <c r="Q135" s="375">
        <f>IF(L135=" "," ",L135*P135)</f>
        <v/>
      </c>
    </row>
    <row r="136" ht="9.949999999999999" customHeight="1" s="244">
      <c r="A136" s="366" t="inlineStr">
        <is>
          <t>Ta</t>
        </is>
      </c>
      <c r="B136" s="367" t="inlineStr"/>
      <c r="C136" s="368" t="n"/>
      <c r="D136" s="369" t="n">
        <v>24</v>
      </c>
      <c r="E136" s="369" t="n">
        <v>1</v>
      </c>
      <c r="F136" s="370">
        <f>IF(D136=0," ",D136*E136)</f>
        <v/>
      </c>
      <c r="G136" s="371" t="n">
        <v>1</v>
      </c>
      <c r="H136" s="372" t="n"/>
      <c r="I136" s="370">
        <f>IF(F136=" "," ",F136*G136-H136)</f>
        <v/>
      </c>
      <c r="J136" s="369" t="n">
        <v>0.266</v>
      </c>
      <c r="K136" s="371" t="n">
        <v>23</v>
      </c>
      <c r="L136" s="373">
        <f>IF(I136=" "," ",I136*J136*K136)</f>
        <v/>
      </c>
      <c r="M136" s="374" t="n">
        <v>7</v>
      </c>
      <c r="N136" s="371" t="n">
        <v>0</v>
      </c>
      <c r="O136" s="374" t="n">
        <v>0</v>
      </c>
      <c r="P136" s="370">
        <f>IF(M136=" "," ",(1+(M136+N136+O136)/100))</f>
        <v/>
      </c>
      <c r="Q136" s="375">
        <f>IF(L136=" "," ",L136*P136)</f>
        <v/>
      </c>
    </row>
    <row r="137" ht="9.949999999999999" customHeight="1" s="244">
      <c r="A137" s="376" t="n"/>
      <c r="B137" s="377" t="n"/>
      <c r="C137" s="377" t="n"/>
      <c r="D137" s="378" t="n"/>
      <c r="E137" s="378" t="n"/>
      <c r="F137" s="378" t="n"/>
      <c r="G137" s="379" t="n"/>
      <c r="H137" s="378" t="n"/>
      <c r="I137" s="378" t="n"/>
      <c r="J137" s="378" t="n"/>
      <c r="K137" s="379" t="n"/>
      <c r="L137" s="380" t="n"/>
      <c r="M137" s="381" t="n"/>
      <c r="N137" s="381" t="n"/>
      <c r="O137" s="381" t="n"/>
      <c r="P137" s="382" t="n"/>
      <c r="Q137" s="383">
        <f>SUM(Q131:Q136)</f>
        <v/>
      </c>
    </row>
    <row r="138" ht="9.949999999999999" customHeight="1" s="244">
      <c r="A138" s="384" t="n"/>
      <c r="B138" s="385" t="n"/>
      <c r="C138" s="385" t="n"/>
      <c r="D138" s="386" t="n"/>
      <c r="E138" s="387" t="n"/>
      <c r="F138" s="388" t="n"/>
      <c r="G138" s="389" t="n"/>
      <c r="H138" s="388" t="n"/>
      <c r="I138" s="390" t="n"/>
      <c r="J138" s="391" t="inlineStr">
        <is>
          <t>Qs=</t>
        </is>
      </c>
      <c r="K138" s="390" t="inlineStr">
        <is>
          <t>S a</t>
        </is>
      </c>
      <c r="L138" s="388" t="inlineStr">
        <is>
          <t>L</t>
        </is>
      </c>
      <c r="M138" s="389" t="inlineStr">
        <is>
          <t>R</t>
        </is>
      </c>
      <c r="N138" s="392" t="inlineStr">
        <is>
          <t>H</t>
        </is>
      </c>
      <c r="O138" s="393" t="inlineStr">
        <is>
          <t>D  T</t>
        </is>
      </c>
      <c r="P138" s="389" t="inlineStr">
        <is>
          <t>Ze</t>
        </is>
      </c>
      <c r="Q138" s="394" t="n"/>
    </row>
    <row r="139" ht="9.949999999999999" customHeight="1" s="244">
      <c r="A139" s="395" t="inlineStr">
        <is>
          <t xml:space="preserve"> </t>
        </is>
      </c>
      <c r="C139" s="397" t="n"/>
      <c r="D139" s="397" t="n"/>
      <c r="E139" s="398" t="n"/>
      <c r="F139" s="399" t="n"/>
      <c r="G139" s="400" t="n"/>
      <c r="H139" s="401" t="n"/>
      <c r="I139" s="402" t="n"/>
      <c r="J139" s="403" t="inlineStr">
        <is>
          <t>Qs  =</t>
        </is>
      </c>
      <c r="K139" s="404" t="n">
        <v>2</v>
      </c>
      <c r="L139" s="404">
        <f>(D133+E133)*2*G133</f>
        <v/>
      </c>
      <c r="M139" s="404" t="n">
        <v>0.9</v>
      </c>
      <c r="N139" s="404" t="n">
        <v>0.67</v>
      </c>
      <c r="O139" s="381" t="n">
        <v>23</v>
      </c>
      <c r="P139" s="404" t="n">
        <v>1</v>
      </c>
      <c r="Q139" s="383">
        <f>K139*L139*M139*N139*O139*P139</f>
        <v/>
      </c>
    </row>
    <row r="140" ht="9.949999999999999" customHeight="1" s="244">
      <c r="A140" s="405" t="n"/>
      <c r="B140" s="406" t="n"/>
      <c r="C140" s="397" t="n"/>
      <c r="D140" s="397" t="n"/>
      <c r="E140" s="378" t="n"/>
      <c r="F140" s="256" t="n"/>
      <c r="G140" s="407" t="n"/>
      <c r="H140" s="397" t="n"/>
      <c r="I140" s="397" t="n"/>
      <c r="J140" s="397" t="n"/>
      <c r="K140" s="407" t="n"/>
      <c r="L140" s="408" t="n"/>
      <c r="M140" s="409" t="inlineStr">
        <is>
          <t xml:space="preserve">   TOPLAM ISI KAYBI =</t>
        </is>
      </c>
      <c r="N140" s="409" t="n"/>
      <c r="O140" s="410" t="n"/>
      <c r="P140" s="409" t="n"/>
      <c r="Q140" s="411">
        <f>Q137+Q139</f>
        <v/>
      </c>
    </row>
    <row r="141" ht="10.35" customHeight="1" s="244">
      <c r="A141" s="359" t="n"/>
      <c r="B141" s="360" t="n"/>
      <c r="C141" s="360" t="n"/>
      <c r="D141" s="360" t="n"/>
      <c r="E141" s="360" t="n"/>
      <c r="F141" s="361" t="inlineStr">
        <is>
          <t>2</t>
        </is>
      </c>
      <c r="G141" s="362" t="inlineStr">
        <is>
          <t>0</t>
        </is>
      </c>
      <c r="H141" s="360" t="inlineStr">
        <is>
          <t>2A3-04</t>
        </is>
      </c>
      <c r="I141" s="363" t="inlineStr">
        <is>
          <t>OFİS A3 HOL</t>
        </is>
      </c>
      <c r="J141" s="364" t="n"/>
      <c r="K141" s="360" t="inlineStr">
        <is>
          <t>20ºC</t>
        </is>
      </c>
      <c r="L141" s="360" t="n"/>
      <c r="M141" s="360" t="n"/>
      <c r="N141" s="360" t="n"/>
      <c r="O141" s="360" t="n"/>
      <c r="P141" s="360" t="n"/>
      <c r="Q141" s="365" t="n"/>
    </row>
    <row r="142" ht="9.949999999999999" customHeight="1" s="244">
      <c r="A142" s="366" t="inlineStr">
        <is>
          <t>İDM</t>
        </is>
      </c>
      <c r="B142" s="367" t="inlineStr"/>
      <c r="C142" s="368" t="n"/>
      <c r="D142" s="369" t="n">
        <v>2.19</v>
      </c>
      <c r="E142" s="369" t="n">
        <v>3</v>
      </c>
      <c r="F142" s="370">
        <f>IF(D142=0," ",D142*E142)</f>
        <v/>
      </c>
      <c r="G142" s="371" t="n">
        <v>1</v>
      </c>
      <c r="H142" s="372" t="n"/>
      <c r="I142" s="370">
        <f>IF(F142=" "," ",F142*G142-H142)</f>
        <v/>
      </c>
      <c r="J142" s="369" t="n">
        <v>0.332</v>
      </c>
      <c r="K142" s="371" t="n">
        <v>10</v>
      </c>
      <c r="L142" s="373">
        <f>IF(I142=" "," ",I142*J142*K142)</f>
        <v/>
      </c>
      <c r="M142" s="374" t="n">
        <v>7</v>
      </c>
      <c r="N142" s="371" t="n">
        <v>0</v>
      </c>
      <c r="O142" s="374" t="n">
        <v>0</v>
      </c>
      <c r="P142" s="370">
        <f>IF(M142=" "," ",(1+(M142+N142+O142)/100))</f>
        <v/>
      </c>
      <c r="Q142" s="375">
        <f>IF(L142=" "," ",L142*P142)</f>
        <v/>
      </c>
    </row>
    <row r="143" ht="9.949999999999999" customHeight="1" s="244">
      <c r="A143" s="366" t="inlineStr">
        <is>
          <t>İDM</t>
        </is>
      </c>
      <c r="B143" s="367" t="inlineStr"/>
      <c r="C143" s="368" t="n"/>
      <c r="D143" s="369" t="n">
        <v>2.87</v>
      </c>
      <c r="E143" s="369" t="n">
        <v>3</v>
      </c>
      <c r="F143" s="370">
        <f>IF(D143=0," ",D143*E143)</f>
        <v/>
      </c>
      <c r="G143" s="371" t="n">
        <v>1</v>
      </c>
      <c r="H143" s="372" t="n"/>
      <c r="I143" s="370">
        <f>IF(F143=" "," ",F143*G143-H143)</f>
        <v/>
      </c>
      <c r="J143" s="369" t="n">
        <v>0.332</v>
      </c>
      <c r="K143" s="371" t="n">
        <v>5</v>
      </c>
      <c r="L143" s="373">
        <f>IF(I143=" "," ",I143*J143*K143)</f>
        <v/>
      </c>
      <c r="M143" s="374" t="n">
        <v>7</v>
      </c>
      <c r="N143" s="371" t="n">
        <v>0</v>
      </c>
      <c r="O143" s="374" t="n">
        <v>0</v>
      </c>
      <c r="P143" s="370">
        <f>IF(M143=" "," ",(1+(M143+N143+O143)/100))</f>
        <v/>
      </c>
      <c r="Q143" s="375">
        <f>IF(L143=" "," ",L143*P143)</f>
        <v/>
      </c>
    </row>
    <row r="144" ht="9.949999999999999" customHeight="1" s="244">
      <c r="A144" s="366" t="inlineStr">
        <is>
          <t>İDM</t>
        </is>
      </c>
      <c r="B144" s="367" t="inlineStr"/>
      <c r="C144" s="368" t="n"/>
      <c r="D144" s="369" t="n">
        <v>0.26</v>
      </c>
      <c r="E144" s="369" t="n">
        <v>3</v>
      </c>
      <c r="F144" s="370">
        <f>IF(D144=0," ",D144*E144)</f>
        <v/>
      </c>
      <c r="G144" s="371" t="n">
        <v>1</v>
      </c>
      <c r="H144" s="372" t="n"/>
      <c r="I144" s="370">
        <f>IF(F144=" "," ",F144*G144-H144)</f>
        <v/>
      </c>
      <c r="J144" s="369" t="n">
        <v>0.332</v>
      </c>
      <c r="K144" s="371" t="n">
        <v>10</v>
      </c>
      <c r="L144" s="373">
        <f>IF(I144=" "," ",I144*J144*K144)</f>
        <v/>
      </c>
      <c r="M144" s="374" t="n">
        <v>7</v>
      </c>
      <c r="N144" s="371" t="n">
        <v>0</v>
      </c>
      <c r="O144" s="374" t="n">
        <v>0</v>
      </c>
      <c r="P144" s="370">
        <f>IF(M144=" "," ",(1+(M144+N144+O144)/100))</f>
        <v/>
      </c>
      <c r="Q144" s="375">
        <f>IF(L144=" "," ",L144*P144)</f>
        <v/>
      </c>
    </row>
    <row r="145" ht="9.949999999999999" customHeight="1" s="244">
      <c r="A145" s="366" t="inlineStr">
        <is>
          <t>İDM</t>
        </is>
      </c>
      <c r="B145" s="367" t="inlineStr"/>
      <c r="C145" s="368" t="n"/>
      <c r="D145" s="369" t="n">
        <v>0.5</v>
      </c>
      <c r="E145" s="369" t="n">
        <v>3</v>
      </c>
      <c r="F145" s="370">
        <f>IF(D145=0," ",D145*E145)</f>
        <v/>
      </c>
      <c r="G145" s="371" t="n">
        <v>1</v>
      </c>
      <c r="H145" s="372" t="n"/>
      <c r="I145" s="370">
        <f>IF(F145=" "," ",F145*G145-H145)</f>
        <v/>
      </c>
      <c r="J145" s="369" t="n">
        <v>0.332</v>
      </c>
      <c r="K145" s="371" t="n">
        <v>10</v>
      </c>
      <c r="L145" s="373">
        <f>IF(I145=" "," ",I145*J145*K145)</f>
        <v/>
      </c>
      <c r="M145" s="374" t="n">
        <v>7</v>
      </c>
      <c r="N145" s="371" t="n">
        <v>0</v>
      </c>
      <c r="O145" s="374" t="n">
        <v>0</v>
      </c>
      <c r="P145" s="370">
        <f>IF(M145=" "," ",(1+(M145+N145+O145)/100))</f>
        <v/>
      </c>
      <c r="Q145" s="375">
        <f>IF(L145=" "," ",L145*P145)</f>
        <v/>
      </c>
    </row>
    <row r="146" ht="9.949999999999999" customHeight="1" s="244">
      <c r="A146" s="366" t="inlineStr">
        <is>
          <t>İDM</t>
        </is>
      </c>
      <c r="B146" s="367" t="inlineStr"/>
      <c r="C146" s="368" t="n"/>
      <c r="D146" s="369" t="n">
        <v>0.5</v>
      </c>
      <c r="E146" s="369" t="n">
        <v>3</v>
      </c>
      <c r="F146" s="370">
        <f>IF(D146=0," ",D146*E146)</f>
        <v/>
      </c>
      <c r="G146" s="371" t="n">
        <v>1</v>
      </c>
      <c r="H146" s="372" t="n"/>
      <c r="I146" s="370">
        <f>IF(F146=" "," ",F146*G146-H146)</f>
        <v/>
      </c>
      <c r="J146" s="369" t="n">
        <v>0.332</v>
      </c>
      <c r="K146" s="371" t="n">
        <v>10</v>
      </c>
      <c r="L146" s="373">
        <f>IF(I146=" "," ",I146*J146*K146)</f>
        <v/>
      </c>
      <c r="M146" s="374" t="n">
        <v>7</v>
      </c>
      <c r="N146" s="371" t="n">
        <v>0</v>
      </c>
      <c r="O146" s="374" t="n">
        <v>0</v>
      </c>
      <c r="P146" s="370">
        <f>IF(M146=" "," ",(1+(M146+N146+O146)/100))</f>
        <v/>
      </c>
      <c r="Q146" s="375">
        <f>IF(L146=" "," ",L146*P146)</f>
        <v/>
      </c>
    </row>
    <row r="147" ht="9.949999999999999" customHeight="1" s="244">
      <c r="A147" s="366" t="inlineStr">
        <is>
          <t>İDM</t>
        </is>
      </c>
      <c r="B147" s="367" t="inlineStr"/>
      <c r="C147" s="368" t="n"/>
      <c r="D147" s="369" t="n">
        <v>0.27</v>
      </c>
      <c r="E147" s="369" t="n">
        <v>3</v>
      </c>
      <c r="F147" s="370">
        <f>IF(D147=0," ",D147*E147)</f>
        <v/>
      </c>
      <c r="G147" s="371" t="n">
        <v>1</v>
      </c>
      <c r="H147" s="372" t="n"/>
      <c r="I147" s="370">
        <f>IF(F147=" "," ",F147*G147-H147)</f>
        <v/>
      </c>
      <c r="J147" s="369" t="n">
        <v>0.332</v>
      </c>
      <c r="K147" s="371" t="n">
        <v>10</v>
      </c>
      <c r="L147" s="373">
        <f>IF(I147=" "," ",I147*J147*K147)</f>
        <v/>
      </c>
      <c r="M147" s="374" t="n">
        <v>7</v>
      </c>
      <c r="N147" s="371" t="n">
        <v>0</v>
      </c>
      <c r="O147" s="374" t="n">
        <v>0</v>
      </c>
      <c r="P147" s="370">
        <f>IF(M147=" "," ",(1+(M147+N147+O147)/100))</f>
        <v/>
      </c>
      <c r="Q147" s="375">
        <f>IF(L147=" "," ",L147*P147)</f>
        <v/>
      </c>
    </row>
    <row r="148" ht="9.949999999999999" customHeight="1" s="244">
      <c r="A148" s="366" t="inlineStr">
        <is>
          <t>İDM</t>
        </is>
      </c>
      <c r="B148" s="367" t="inlineStr"/>
      <c r="C148" s="368" t="n"/>
      <c r="D148" s="369" t="n">
        <v>0.95</v>
      </c>
      <c r="E148" s="369" t="n">
        <v>3</v>
      </c>
      <c r="F148" s="370">
        <f>IF(D148=0," ",D148*E148)</f>
        <v/>
      </c>
      <c r="G148" s="371" t="n">
        <v>1</v>
      </c>
      <c r="H148" s="372" t="n"/>
      <c r="I148" s="370">
        <f>IF(F148=" "," ",F148*G148-H148)</f>
        <v/>
      </c>
      <c r="J148" s="369" t="n">
        <v>0.332</v>
      </c>
      <c r="K148" s="371" t="n">
        <v>5</v>
      </c>
      <c r="L148" s="373">
        <f>IF(I148=" "," ",I148*J148*K148)</f>
        <v/>
      </c>
      <c r="M148" s="374" t="n">
        <v>7</v>
      </c>
      <c r="N148" s="371" t="n">
        <v>0</v>
      </c>
      <c r="O148" s="374" t="n">
        <v>0</v>
      </c>
      <c r="P148" s="370">
        <f>IF(M148=" "," ",(1+(M148+N148+O148)/100))</f>
        <v/>
      </c>
      <c r="Q148" s="375">
        <f>IF(L148=" "," ",L148*P148)</f>
        <v/>
      </c>
    </row>
    <row r="149" ht="9.949999999999999" customHeight="1" s="244">
      <c r="A149" s="366" t="inlineStr">
        <is>
          <t>Ta</t>
        </is>
      </c>
      <c r="B149" s="367" t="inlineStr"/>
      <c r="C149" s="368" t="n"/>
      <c r="D149" s="369" t="n">
        <v>12.41</v>
      </c>
      <c r="E149" s="369" t="n">
        <v>1</v>
      </c>
      <c r="F149" s="370">
        <f>IF(D149=0," ",D149*E149)</f>
        <v/>
      </c>
      <c r="G149" s="371" t="n">
        <v>1</v>
      </c>
      <c r="H149" s="372" t="n"/>
      <c r="I149" s="370">
        <f>IF(F149=" "," ",F149*G149-H149)</f>
        <v/>
      </c>
      <c r="J149" s="369" t="n">
        <v>0.266</v>
      </c>
      <c r="K149" s="371" t="n">
        <v>23</v>
      </c>
      <c r="L149" s="373">
        <f>IF(I149=" "," ",I149*J149*K149)</f>
        <v/>
      </c>
      <c r="M149" s="374" t="n">
        <v>7</v>
      </c>
      <c r="N149" s="371" t="n">
        <v>0</v>
      </c>
      <c r="O149" s="374" t="n">
        <v>0</v>
      </c>
      <c r="P149" s="370">
        <f>IF(M149=" "," ",(1+(M149+N149+O149)/100))</f>
        <v/>
      </c>
      <c r="Q149" s="375">
        <f>IF(L149=" "," ",L149*P149)</f>
        <v/>
      </c>
    </row>
    <row r="150" ht="9.949999999999999" customHeight="1" s="244">
      <c r="A150" s="376" t="n"/>
      <c r="B150" s="377" t="n"/>
      <c r="C150" s="377" t="n"/>
      <c r="D150" s="378" t="n"/>
      <c r="E150" s="378" t="n"/>
      <c r="F150" s="378" t="n"/>
      <c r="G150" s="379" t="n"/>
      <c r="H150" s="378" t="n"/>
      <c r="I150" s="378" t="n"/>
      <c r="J150" s="378" t="n"/>
      <c r="K150" s="379" t="n"/>
      <c r="L150" s="380" t="n"/>
      <c r="M150" s="381" t="n"/>
      <c r="N150" s="381" t="n"/>
      <c r="O150" s="381" t="n"/>
      <c r="P150" s="382" t="n"/>
      <c r="Q150" s="383">
        <f>SUM(Q142:Q149)</f>
        <v/>
      </c>
    </row>
    <row r="151" ht="9.949999999999999" customHeight="1" s="244">
      <c r="A151" s="384" t="n"/>
      <c r="B151" s="385" t="n"/>
      <c r="C151" s="385" t="n"/>
      <c r="D151" s="386" t="n"/>
      <c r="E151" s="387" t="n"/>
      <c r="F151" s="388" t="n"/>
      <c r="G151" s="389" t="n"/>
      <c r="H151" s="388" t="n"/>
      <c r="I151" s="390" t="n"/>
      <c r="J151" s="391" t="inlineStr">
        <is>
          <t>Qs=</t>
        </is>
      </c>
      <c r="K151" s="390" t="inlineStr">
        <is>
          <t>S a</t>
        </is>
      </c>
      <c r="L151" s="388" t="inlineStr">
        <is>
          <t>L</t>
        </is>
      </c>
      <c r="M151" s="389" t="inlineStr">
        <is>
          <t>R</t>
        </is>
      </c>
      <c r="N151" s="392" t="inlineStr">
        <is>
          <t>H</t>
        </is>
      </c>
      <c r="O151" s="393" t="inlineStr">
        <is>
          <t>D  T</t>
        </is>
      </c>
      <c r="P151" s="389" t="inlineStr">
        <is>
          <t>Ze</t>
        </is>
      </c>
      <c r="Q151" s="394" t="n"/>
    </row>
    <row r="152" ht="9.949999999999999" customHeight="1" s="244">
      <c r="A152" s="395" t="inlineStr">
        <is>
          <t xml:space="preserve"> </t>
        </is>
      </c>
      <c r="C152" s="397" t="n"/>
      <c r="D152" s="397" t="n"/>
      <c r="E152" s="398" t="n"/>
      <c r="F152" s="399" t="n"/>
      <c r="G152" s="400" t="n"/>
      <c r="H152" s="401" t="n"/>
      <c r="I152" s="402" t="n"/>
      <c r="J152" s="403" t="inlineStr">
        <is>
          <t>Qs  =</t>
        </is>
      </c>
      <c r="K152" s="404" t="n">
        <v>2</v>
      </c>
      <c r="L152" s="404" t="n">
        <v>0</v>
      </c>
      <c r="M152" s="404" t="n">
        <v>0.9</v>
      </c>
      <c r="N152" s="404" t="n">
        <v>0.67</v>
      </c>
      <c r="O152" s="381" t="n">
        <v>23</v>
      </c>
      <c r="P152" s="404" t="n">
        <v>1</v>
      </c>
      <c r="Q152" s="383">
        <f>K152*L152*M152*N152*O152*P152</f>
        <v/>
      </c>
    </row>
    <row r="153" ht="9.949999999999999" customHeight="1" s="244">
      <c r="A153" s="405" t="n"/>
      <c r="B153" s="406" t="n"/>
      <c r="C153" s="397" t="n"/>
      <c r="D153" s="397" t="n"/>
      <c r="E153" s="378" t="n"/>
      <c r="F153" s="256" t="n"/>
      <c r="G153" s="407" t="n"/>
      <c r="H153" s="397" t="n"/>
      <c r="I153" s="397" t="n"/>
      <c r="J153" s="397" t="n"/>
      <c r="K153" s="407" t="n"/>
      <c r="L153" s="408" t="n"/>
      <c r="M153" s="409" t="inlineStr">
        <is>
          <t xml:space="preserve">   TOPLAM ISI KAYBI =</t>
        </is>
      </c>
      <c r="N153" s="409" t="n"/>
      <c r="O153" s="410" t="n"/>
      <c r="P153" s="409" t="n"/>
      <c r="Q153" s="411">
        <f>Q150+Q152</f>
        <v/>
      </c>
    </row>
    <row r="154" ht="10.35" customHeight="1" s="244">
      <c r="A154" s="359" t="n"/>
      <c r="B154" s="360" t="n"/>
      <c r="C154" s="360" t="n"/>
      <c r="D154" s="360" t="n"/>
      <c r="E154" s="360" t="n"/>
      <c r="F154" s="361" t="inlineStr">
        <is>
          <t>2</t>
        </is>
      </c>
      <c r="G154" s="362" t="inlineStr">
        <is>
          <t>0</t>
        </is>
      </c>
      <c r="H154" s="360" t="inlineStr">
        <is>
          <t>2A3-05</t>
        </is>
      </c>
      <c r="I154" s="363" t="inlineStr">
        <is>
          <t>OFİS A3 ODA 2</t>
        </is>
      </c>
      <c r="J154" s="364" t="n"/>
      <c r="K154" s="360" t="inlineStr">
        <is>
          <t>20ºC</t>
        </is>
      </c>
      <c r="L154" s="360" t="n"/>
      <c r="M154" s="360" t="n"/>
      <c r="N154" s="360" t="n"/>
      <c r="O154" s="360" t="n"/>
      <c r="P154" s="360" t="n"/>
      <c r="Q154" s="365" t="n"/>
    </row>
    <row r="155" ht="9.949999999999999" customHeight="1" s="244">
      <c r="A155" s="366" t="inlineStr">
        <is>
          <t>DD</t>
        </is>
      </c>
      <c r="B155" s="367" t="inlineStr">
        <is>
          <t>K</t>
        </is>
      </c>
      <c r="C155" s="368" t="n"/>
      <c r="D155" s="369" t="n">
        <v>2.48</v>
      </c>
      <c r="E155" s="369" t="n">
        <v>2.5</v>
      </c>
      <c r="F155" s="370">
        <f>IF(D155=0," ",D155*E155)</f>
        <v/>
      </c>
      <c r="G155" s="371" t="n">
        <v>1</v>
      </c>
      <c r="H155" s="372">
        <f>F157*G157</f>
        <v/>
      </c>
      <c r="I155" s="370">
        <f>IF(F155=" "," ",F155*G155-H155)</f>
        <v/>
      </c>
      <c r="J155" s="369" t="n">
        <v>0.344</v>
      </c>
      <c r="K155" s="371" t="n">
        <v>23</v>
      </c>
      <c r="L155" s="373">
        <f>IF(I155=" "," ",I155*J155*K155)</f>
        <v/>
      </c>
      <c r="M155" s="374" t="n">
        <v>7</v>
      </c>
      <c r="N155" s="371" t="n">
        <v>0</v>
      </c>
      <c r="O155" s="374" t="n">
        <v>5</v>
      </c>
      <c r="P155" s="370">
        <f>IF(M155=" "," ",(1+(M155+N155+O155)/100))</f>
        <v/>
      </c>
      <c r="Q155" s="375">
        <f>IF(L155=" "," ",L155*P155)</f>
        <v/>
      </c>
    </row>
    <row r="156" ht="9.949999999999999" customHeight="1" s="244">
      <c r="A156" s="366" t="inlineStr">
        <is>
          <t>DD25</t>
        </is>
      </c>
      <c r="B156" s="367" t="inlineStr">
        <is>
          <t>K</t>
        </is>
      </c>
      <c r="C156" s="368" t="n"/>
      <c r="D156" s="369">
        <f>D155</f>
        <v/>
      </c>
      <c r="E156" s="369" t="n">
        <v>0.5</v>
      </c>
      <c r="F156" s="370">
        <f>IF(D156=0," ",D156*E156)</f>
        <v/>
      </c>
      <c r="G156" s="371" t="n">
        <v>1</v>
      </c>
      <c r="H156" s="372" t="n"/>
      <c r="I156" s="370">
        <f>IF(F156=" "," ",F156*G156-H156)</f>
        <v/>
      </c>
      <c r="J156" s="369" t="n">
        <v>0.387</v>
      </c>
      <c r="K156" s="371" t="n">
        <v>23</v>
      </c>
      <c r="L156" s="373">
        <f>IF(I156=" "," ",I156*J156*K156)</f>
        <v/>
      </c>
      <c r="M156" s="374" t="n">
        <v>7</v>
      </c>
      <c r="N156" s="371" t="n">
        <v>0</v>
      </c>
      <c r="O156" s="374" t="n">
        <v>5</v>
      </c>
      <c r="P156" s="370">
        <f>IF(M156=" "," ",(1+(M156+N156+O156)/100))</f>
        <v/>
      </c>
      <c r="Q156" s="375">
        <f>IF(L156=" "," ",L156*P156)</f>
        <v/>
      </c>
    </row>
    <row r="157" ht="9.949999999999999" customHeight="1" s="244">
      <c r="A157" s="366" t="inlineStr">
        <is>
          <t>ÇP</t>
        </is>
      </c>
      <c r="B157" s="367" t="inlineStr">
        <is>
          <t>K</t>
        </is>
      </c>
      <c r="C157" s="368" t="n"/>
      <c r="D157" s="369" t="n">
        <v>1.36</v>
      </c>
      <c r="E157" s="369" t="n">
        <v>1.5</v>
      </c>
      <c r="F157" s="370">
        <f>IF(D157=0," ",D157*E157)</f>
        <v/>
      </c>
      <c r="G157" s="371" t="n">
        <v>1</v>
      </c>
      <c r="H157" s="372" t="n"/>
      <c r="I157" s="370">
        <f>IF(F157=" "," ",F157*G157-H157)</f>
        <v/>
      </c>
      <c r="J157" s="369" t="n">
        <v>1.8</v>
      </c>
      <c r="K157" s="371" t="n">
        <v>23</v>
      </c>
      <c r="L157" s="373">
        <f>IF(I157=" "," ",I157*J157*K157)</f>
        <v/>
      </c>
      <c r="M157" s="374" t="n">
        <v>7</v>
      </c>
      <c r="N157" s="371" t="n">
        <v>0</v>
      </c>
      <c r="O157" s="374" t="n">
        <v>5</v>
      </c>
      <c r="P157" s="370">
        <f>IF(M157=" "," ",(1+(M157+N157+O157)/100))</f>
        <v/>
      </c>
      <c r="Q157" s="375">
        <f>IF(L157=" "," ",L157*P157)</f>
        <v/>
      </c>
    </row>
    <row r="158" ht="9.949999999999999" customHeight="1" s="244">
      <c r="A158" s="366" t="inlineStr">
        <is>
          <t>İDM</t>
        </is>
      </c>
      <c r="B158" s="367" t="inlineStr"/>
      <c r="C158" s="368" t="n"/>
      <c r="D158" s="369" t="n">
        <v>0.27</v>
      </c>
      <c r="E158" s="369" t="n">
        <v>3</v>
      </c>
      <c r="F158" s="370">
        <f>IF(D158=0," ",D158*E158)</f>
        <v/>
      </c>
      <c r="G158" s="371" t="n">
        <v>1</v>
      </c>
      <c r="H158" s="372" t="n"/>
      <c r="I158" s="370">
        <f>IF(F158=" "," ",F158*G158-H158)</f>
        <v/>
      </c>
      <c r="J158" s="369" t="n">
        <v>0.332</v>
      </c>
      <c r="K158" s="371" t="n">
        <v>10</v>
      </c>
      <c r="L158" s="373">
        <f>IF(I158=" "," ",I158*J158*K158)</f>
        <v/>
      </c>
      <c r="M158" s="374" t="n">
        <v>7</v>
      </c>
      <c r="N158" s="371" t="n">
        <v>0</v>
      </c>
      <c r="O158" s="374" t="n">
        <v>0</v>
      </c>
      <c r="P158" s="370">
        <f>IF(M158=" "," ",(1+(M158+N158+O158)/100))</f>
        <v/>
      </c>
      <c r="Q158" s="375">
        <f>IF(L158=" "," ",L158*P158)</f>
        <v/>
      </c>
    </row>
    <row r="159" ht="9.949999999999999" customHeight="1" s="244">
      <c r="A159" s="366" t="inlineStr">
        <is>
          <t>İDM</t>
        </is>
      </c>
      <c r="B159" s="367" t="inlineStr"/>
      <c r="C159" s="368" t="n"/>
      <c r="D159" s="369" t="n">
        <v>0.75</v>
      </c>
      <c r="E159" s="369" t="n">
        <v>3</v>
      </c>
      <c r="F159" s="370">
        <f>IF(D159=0," ",D159*E159)</f>
        <v/>
      </c>
      <c r="G159" s="371" t="n">
        <v>1</v>
      </c>
      <c r="H159" s="372" t="n"/>
      <c r="I159" s="370">
        <f>IF(F159=" "," ",F159*G159-H159)</f>
        <v/>
      </c>
      <c r="J159" s="369" t="n">
        <v>0.332</v>
      </c>
      <c r="K159" s="371" t="n">
        <v>10</v>
      </c>
      <c r="L159" s="373">
        <f>IF(I159=" "," ",I159*J159*K159)</f>
        <v/>
      </c>
      <c r="M159" s="374" t="n">
        <v>7</v>
      </c>
      <c r="N159" s="371" t="n">
        <v>0</v>
      </c>
      <c r="O159" s="374" t="n">
        <v>0</v>
      </c>
      <c r="P159" s="370">
        <f>IF(M159=" "," ",(1+(M159+N159+O159)/100))</f>
        <v/>
      </c>
      <c r="Q159" s="375">
        <f>IF(L159=" "," ",L159*P159)</f>
        <v/>
      </c>
    </row>
    <row r="160" ht="9.949999999999999" customHeight="1" s="244">
      <c r="A160" s="366" t="inlineStr">
        <is>
          <t>İDM</t>
        </is>
      </c>
      <c r="B160" s="367" t="inlineStr"/>
      <c r="C160" s="368" t="n"/>
      <c r="D160" s="369" t="n">
        <v>5.75</v>
      </c>
      <c r="E160" s="369" t="n">
        <v>3</v>
      </c>
      <c r="F160" s="370">
        <f>IF(D160=0," ",D160*E160)</f>
        <v/>
      </c>
      <c r="G160" s="371" t="n">
        <v>1</v>
      </c>
      <c r="H160" s="372" t="n"/>
      <c r="I160" s="370">
        <f>IF(F160=" "," ",F160*G160-H160)</f>
        <v/>
      </c>
      <c r="J160" s="369" t="n">
        <v>0.332</v>
      </c>
      <c r="K160" s="371" t="n">
        <v>5</v>
      </c>
      <c r="L160" s="373">
        <f>IF(I160=" "," ",I160*J160*K160)</f>
        <v/>
      </c>
      <c r="M160" s="374" t="n">
        <v>7</v>
      </c>
      <c r="N160" s="371" t="n">
        <v>0</v>
      </c>
      <c r="O160" s="374" t="n">
        <v>0</v>
      </c>
      <c r="P160" s="370">
        <f>IF(M160=" "," ",(1+(M160+N160+O160)/100))</f>
        <v/>
      </c>
      <c r="Q160" s="375">
        <f>IF(L160=" "," ",L160*P160)</f>
        <v/>
      </c>
    </row>
    <row r="161" ht="9.949999999999999" customHeight="1" s="244">
      <c r="A161" s="366" t="inlineStr">
        <is>
          <t>Ta</t>
        </is>
      </c>
      <c r="B161" s="367" t="inlineStr"/>
      <c r="C161" s="368" t="n"/>
      <c r="D161" s="369" t="n">
        <v>19.5</v>
      </c>
      <c r="E161" s="369" t="n">
        <v>1</v>
      </c>
      <c r="F161" s="370">
        <f>IF(D161=0," ",D161*E161)</f>
        <v/>
      </c>
      <c r="G161" s="371" t="n">
        <v>1</v>
      </c>
      <c r="H161" s="372" t="n"/>
      <c r="I161" s="370">
        <f>IF(F161=" "," ",F161*G161-H161)</f>
        <v/>
      </c>
      <c r="J161" s="369" t="n">
        <v>0.266</v>
      </c>
      <c r="K161" s="371" t="n">
        <v>23</v>
      </c>
      <c r="L161" s="373">
        <f>IF(I161=" "," ",I161*J161*K161)</f>
        <v/>
      </c>
      <c r="M161" s="374" t="n">
        <v>7</v>
      </c>
      <c r="N161" s="371" t="n">
        <v>0</v>
      </c>
      <c r="O161" s="374" t="n">
        <v>0</v>
      </c>
      <c r="P161" s="370">
        <f>IF(M161=" "," ",(1+(M161+N161+O161)/100))</f>
        <v/>
      </c>
      <c r="Q161" s="375">
        <f>IF(L161=" "," ",L161*P161)</f>
        <v/>
      </c>
    </row>
    <row r="162" ht="9.949999999999999" customHeight="1" s="244">
      <c r="A162" s="376" t="n"/>
      <c r="B162" s="377" t="n"/>
      <c r="C162" s="377" t="n"/>
      <c r="D162" s="378" t="n"/>
      <c r="E162" s="378" t="n"/>
      <c r="F162" s="378" t="n"/>
      <c r="G162" s="379" t="n"/>
      <c r="H162" s="378" t="n"/>
      <c r="I162" s="378" t="n"/>
      <c r="J162" s="378" t="n"/>
      <c r="K162" s="379" t="n"/>
      <c r="L162" s="380" t="n"/>
      <c r="M162" s="381" t="n"/>
      <c r="N162" s="381" t="n"/>
      <c r="O162" s="381" t="n"/>
      <c r="P162" s="382" t="n"/>
      <c r="Q162" s="383">
        <f>SUM(Q155:Q161)</f>
        <v/>
      </c>
    </row>
    <row r="163" ht="9.949999999999999" customHeight="1" s="244">
      <c r="A163" s="384" t="n"/>
      <c r="B163" s="385" t="n"/>
      <c r="C163" s="385" t="n"/>
      <c r="D163" s="386" t="n"/>
      <c r="E163" s="387" t="n"/>
      <c r="F163" s="388" t="n"/>
      <c r="G163" s="389" t="n"/>
      <c r="H163" s="388" t="n"/>
      <c r="I163" s="390" t="n"/>
      <c r="J163" s="391" t="inlineStr">
        <is>
          <t>Qs=</t>
        </is>
      </c>
      <c r="K163" s="390" t="inlineStr">
        <is>
          <t>S a</t>
        </is>
      </c>
      <c r="L163" s="388" t="inlineStr">
        <is>
          <t>L</t>
        </is>
      </c>
      <c r="M163" s="389" t="inlineStr">
        <is>
          <t>R</t>
        </is>
      </c>
      <c r="N163" s="392" t="inlineStr">
        <is>
          <t>H</t>
        </is>
      </c>
      <c r="O163" s="393" t="inlineStr">
        <is>
          <t>D  T</t>
        </is>
      </c>
      <c r="P163" s="389" t="inlineStr">
        <is>
          <t>Ze</t>
        </is>
      </c>
      <c r="Q163" s="394" t="n"/>
    </row>
    <row r="164" ht="9.949999999999999" customHeight="1" s="244">
      <c r="A164" s="395" t="inlineStr">
        <is>
          <t xml:space="preserve"> </t>
        </is>
      </c>
      <c r="C164" s="397" t="n"/>
      <c r="D164" s="397" t="n"/>
      <c r="E164" s="398" t="n"/>
      <c r="F164" s="399" t="n"/>
      <c r="G164" s="400" t="n"/>
      <c r="H164" s="401" t="n"/>
      <c r="I164" s="402" t="n"/>
      <c r="J164" s="403" t="inlineStr">
        <is>
          <t>Qs  =</t>
        </is>
      </c>
      <c r="K164" s="404" t="n">
        <v>2</v>
      </c>
      <c r="L164" s="404">
        <f>(D157+E157)*2*G157</f>
        <v/>
      </c>
      <c r="M164" s="404" t="n">
        <v>0.9</v>
      </c>
      <c r="N164" s="404" t="n">
        <v>0.67</v>
      </c>
      <c r="O164" s="381" t="n">
        <v>23</v>
      </c>
      <c r="P164" s="404" t="n">
        <v>1</v>
      </c>
      <c r="Q164" s="383">
        <f>K164*L164*M164*N164*O164*P164</f>
        <v/>
      </c>
    </row>
    <row r="165" ht="9.949999999999999" customHeight="1" s="244">
      <c r="A165" s="405" t="n"/>
      <c r="B165" s="406" t="n"/>
      <c r="C165" s="397" t="n"/>
      <c r="D165" s="397" t="n"/>
      <c r="E165" s="378" t="n"/>
      <c r="F165" s="256" t="n"/>
      <c r="G165" s="407" t="n"/>
      <c r="H165" s="397" t="n"/>
      <c r="I165" s="397" t="n"/>
      <c r="J165" s="397" t="n"/>
      <c r="K165" s="407" t="n"/>
      <c r="L165" s="408" t="n"/>
      <c r="M165" s="409" t="inlineStr">
        <is>
          <t xml:space="preserve">   TOPLAM ISI KAYBI =</t>
        </is>
      </c>
      <c r="N165" s="409" t="n"/>
      <c r="O165" s="410" t="n"/>
      <c r="P165" s="409" t="n"/>
      <c r="Q165" s="411">
        <f>Q162+Q164</f>
        <v/>
      </c>
    </row>
    <row r="166" ht="10.35" customHeight="1" s="244">
      <c r="A166" s="359" t="n"/>
      <c r="B166" s="360" t="n"/>
      <c r="C166" s="360" t="n"/>
      <c r="D166" s="360" t="n"/>
      <c r="E166" s="360" t="n"/>
      <c r="F166" s="361" t="inlineStr">
        <is>
          <t>2</t>
        </is>
      </c>
      <c r="G166" s="362" t="inlineStr">
        <is>
          <t>0</t>
        </is>
      </c>
      <c r="H166" s="360" t="inlineStr">
        <is>
          <t>2B1-01</t>
        </is>
      </c>
      <c r="I166" s="363" t="inlineStr">
        <is>
          <t>OFİS B1 ODA</t>
        </is>
      </c>
      <c r="J166" s="364" t="n"/>
      <c r="K166" s="360" t="inlineStr">
        <is>
          <t>20ºC</t>
        </is>
      </c>
      <c r="L166" s="360" t="n"/>
      <c r="M166" s="360" t="n"/>
      <c r="N166" s="360" t="n"/>
      <c r="O166" s="360" t="n"/>
      <c r="P166" s="360" t="n"/>
      <c r="Q166" s="365" t="n"/>
    </row>
    <row r="167" ht="9.949999999999999" customHeight="1" s="244">
      <c r="A167" s="366" t="inlineStr">
        <is>
          <t>DD</t>
        </is>
      </c>
      <c r="B167" s="367" t="inlineStr">
        <is>
          <t>G</t>
        </is>
      </c>
      <c r="C167" s="368" t="n"/>
      <c r="D167" s="369" t="n">
        <v>4.68</v>
      </c>
      <c r="E167" s="369" t="n">
        <v>2.5</v>
      </c>
      <c r="F167" s="370">
        <f>IF(D167=0," ",D167*E167)</f>
        <v/>
      </c>
      <c r="G167" s="371" t="n">
        <v>1</v>
      </c>
      <c r="H167" s="372">
        <f>F169*G169</f>
        <v/>
      </c>
      <c r="I167" s="370">
        <f>IF(F167=" "," ",F167*G167-H167)</f>
        <v/>
      </c>
      <c r="J167" s="369" t="n">
        <v>0.344</v>
      </c>
      <c r="K167" s="371" t="n">
        <v>23</v>
      </c>
      <c r="L167" s="373">
        <f>IF(I167=" "," ",I167*J167*K167)</f>
        <v/>
      </c>
      <c r="M167" s="374" t="n">
        <v>7</v>
      </c>
      <c r="N167" s="371" t="n">
        <v>0</v>
      </c>
      <c r="O167" s="374" t="n">
        <v>-5</v>
      </c>
      <c r="P167" s="370">
        <f>IF(M167=" "," ",(1+(M167+N167+O167)/100))</f>
        <v/>
      </c>
      <c r="Q167" s="375">
        <f>IF(L167=" "," ",L167*P167)</f>
        <v/>
      </c>
    </row>
    <row r="168" ht="9.949999999999999" customHeight="1" s="244">
      <c r="A168" s="366" t="inlineStr">
        <is>
          <t>DD25</t>
        </is>
      </c>
      <c r="B168" s="367" t="inlineStr">
        <is>
          <t>G</t>
        </is>
      </c>
      <c r="C168" s="368" t="n"/>
      <c r="D168" s="369">
        <f>D167</f>
        <v/>
      </c>
      <c r="E168" s="369" t="n">
        <v>0.5</v>
      </c>
      <c r="F168" s="370">
        <f>IF(D168=0," ",D168*E168)</f>
        <v/>
      </c>
      <c r="G168" s="371" t="n">
        <v>1</v>
      </c>
      <c r="H168" s="372" t="n"/>
      <c r="I168" s="370">
        <f>IF(F168=" "," ",F168*G168-H168)</f>
        <v/>
      </c>
      <c r="J168" s="369" t="n">
        <v>0.387</v>
      </c>
      <c r="K168" s="371" t="n">
        <v>23</v>
      </c>
      <c r="L168" s="373">
        <f>IF(I168=" "," ",I168*J168*K168)</f>
        <v/>
      </c>
      <c r="M168" s="374" t="n">
        <v>7</v>
      </c>
      <c r="N168" s="371" t="n">
        <v>0</v>
      </c>
      <c r="O168" s="374" t="n">
        <v>-5</v>
      </c>
      <c r="P168" s="370">
        <f>IF(M168=" "," ",(1+(M168+N168+O168)/100))</f>
        <v/>
      </c>
      <c r="Q168" s="375">
        <f>IF(L168=" "," ",L168*P168)</f>
        <v/>
      </c>
    </row>
    <row r="169" ht="9.949999999999999" customHeight="1" s="244">
      <c r="A169" s="366" t="inlineStr">
        <is>
          <t>ÇP</t>
        </is>
      </c>
      <c r="B169" s="367" t="inlineStr">
        <is>
          <t>G</t>
        </is>
      </c>
      <c r="C169" s="368" t="n"/>
      <c r="D169" s="369" t="n">
        <v>2.57</v>
      </c>
      <c r="E169" s="369" t="n">
        <v>1.5</v>
      </c>
      <c r="F169" s="370">
        <f>IF(D169=0," ",D169*E169)</f>
        <v/>
      </c>
      <c r="G169" s="371" t="n">
        <v>1</v>
      </c>
      <c r="H169" s="372" t="n"/>
      <c r="I169" s="370">
        <f>IF(F169=" "," ",F169*G169-H169)</f>
        <v/>
      </c>
      <c r="J169" s="369" t="n">
        <v>1.8</v>
      </c>
      <c r="K169" s="371" t="n">
        <v>23</v>
      </c>
      <c r="L169" s="373">
        <f>IF(I169=" "," ",I169*J169*K169)</f>
        <v/>
      </c>
      <c r="M169" s="374" t="n">
        <v>7</v>
      </c>
      <c r="N169" s="371" t="n">
        <v>0</v>
      </c>
      <c r="O169" s="374" t="n">
        <v>-5</v>
      </c>
      <c r="P169" s="370">
        <f>IF(M169=" "," ",(1+(M169+N169+O169)/100))</f>
        <v/>
      </c>
      <c r="Q169" s="375">
        <f>IF(L169=" "," ",L169*P169)</f>
        <v/>
      </c>
    </row>
    <row r="170" ht="9.949999999999999" customHeight="1" s="244">
      <c r="A170" s="366" t="inlineStr">
        <is>
          <t>İDM</t>
        </is>
      </c>
      <c r="B170" s="367" t="inlineStr"/>
      <c r="C170" s="368" t="n"/>
      <c r="D170" s="369" t="n">
        <v>2.58</v>
      </c>
      <c r="E170" s="369" t="n">
        <v>3</v>
      </c>
      <c r="F170" s="370">
        <f>IF(D170=0," ",D170*E170)</f>
        <v/>
      </c>
      <c r="G170" s="371" t="n">
        <v>1</v>
      </c>
      <c r="H170" s="372" t="n"/>
      <c r="I170" s="370">
        <f>IF(F170=" "," ",F170*G170-H170)</f>
        <v/>
      </c>
      <c r="J170" s="369" t="n">
        <v>0.332</v>
      </c>
      <c r="K170" s="371" t="n">
        <v>10</v>
      </c>
      <c r="L170" s="373">
        <f>IF(I170=" "," ",I170*J170*K170)</f>
        <v/>
      </c>
      <c r="M170" s="374" t="n">
        <v>7</v>
      </c>
      <c r="N170" s="371" t="n">
        <v>0</v>
      </c>
      <c r="O170" s="374" t="n">
        <v>0</v>
      </c>
      <c r="P170" s="370">
        <f>IF(M170=" "," ",(1+(M170+N170+O170)/100))</f>
        <v/>
      </c>
      <c r="Q170" s="375">
        <f>IF(L170=" "," ",L170*P170)</f>
        <v/>
      </c>
    </row>
    <row r="171" ht="9.949999999999999" customHeight="1" s="244">
      <c r="A171" s="366" t="inlineStr">
        <is>
          <t>Ta</t>
        </is>
      </c>
      <c r="B171" s="367" t="inlineStr"/>
      <c r="C171" s="368" t="n"/>
      <c r="D171" s="369" t="n">
        <v>13.5</v>
      </c>
      <c r="E171" s="369" t="n">
        <v>1</v>
      </c>
      <c r="F171" s="370">
        <f>IF(D171=0," ",D171*E171)</f>
        <v/>
      </c>
      <c r="G171" s="371" t="n">
        <v>1</v>
      </c>
      <c r="H171" s="372" t="n"/>
      <c r="I171" s="370">
        <f>IF(F171=" "," ",F171*G171-H171)</f>
        <v/>
      </c>
      <c r="J171" s="369" t="n">
        <v>0.266</v>
      </c>
      <c r="K171" s="371" t="n">
        <v>23</v>
      </c>
      <c r="L171" s="373">
        <f>IF(I171=" "," ",I171*J171*K171)</f>
        <v/>
      </c>
      <c r="M171" s="374" t="n">
        <v>7</v>
      </c>
      <c r="N171" s="371" t="n">
        <v>0</v>
      </c>
      <c r="O171" s="374" t="n">
        <v>0</v>
      </c>
      <c r="P171" s="370">
        <f>IF(M171=" "," ",(1+(M171+N171+O171)/100))</f>
        <v/>
      </c>
      <c r="Q171" s="375">
        <f>IF(L171=" "," ",L171*P171)</f>
        <v/>
      </c>
    </row>
    <row r="172" ht="9.949999999999999" customHeight="1" s="244">
      <c r="A172" s="376" t="n"/>
      <c r="B172" s="377" t="n"/>
      <c r="C172" s="377" t="n"/>
      <c r="D172" s="378" t="n"/>
      <c r="E172" s="378" t="n"/>
      <c r="F172" s="378" t="n"/>
      <c r="G172" s="379" t="n"/>
      <c r="H172" s="378" t="n"/>
      <c r="I172" s="378" t="n"/>
      <c r="J172" s="378" t="n"/>
      <c r="K172" s="379" t="n"/>
      <c r="L172" s="380" t="n"/>
      <c r="M172" s="381" t="n"/>
      <c r="N172" s="381" t="n"/>
      <c r="O172" s="381" t="n"/>
      <c r="P172" s="382" t="n"/>
      <c r="Q172" s="383">
        <f>SUM(Q167:Q171)</f>
        <v/>
      </c>
    </row>
    <row r="173" ht="9.949999999999999" customHeight="1" s="244">
      <c r="A173" s="384" t="n"/>
      <c r="B173" s="385" t="n"/>
      <c r="C173" s="385" t="n"/>
      <c r="D173" s="386" t="n"/>
      <c r="E173" s="387" t="n"/>
      <c r="F173" s="388" t="n"/>
      <c r="G173" s="389" t="n"/>
      <c r="H173" s="388" t="n"/>
      <c r="I173" s="390" t="n"/>
      <c r="J173" s="391" t="inlineStr">
        <is>
          <t>Qs=</t>
        </is>
      </c>
      <c r="K173" s="390" t="inlineStr">
        <is>
          <t>S a</t>
        </is>
      </c>
      <c r="L173" s="388" t="inlineStr">
        <is>
          <t>L</t>
        </is>
      </c>
      <c r="M173" s="389" t="inlineStr">
        <is>
          <t>R</t>
        </is>
      </c>
      <c r="N173" s="392" t="inlineStr">
        <is>
          <t>H</t>
        </is>
      </c>
      <c r="O173" s="393" t="inlineStr">
        <is>
          <t>D  T</t>
        </is>
      </c>
      <c r="P173" s="389" t="inlineStr">
        <is>
          <t>Ze</t>
        </is>
      </c>
      <c r="Q173" s="394" t="n"/>
    </row>
    <row r="174" ht="9.949999999999999" customHeight="1" s="244">
      <c r="A174" s="395" t="inlineStr">
        <is>
          <t xml:space="preserve"> </t>
        </is>
      </c>
      <c r="C174" s="397" t="n"/>
      <c r="D174" s="397" t="n"/>
      <c r="E174" s="398" t="n"/>
      <c r="F174" s="399" t="n"/>
      <c r="G174" s="400" t="n"/>
      <c r="H174" s="401" t="n"/>
      <c r="I174" s="402" t="n"/>
      <c r="J174" s="403" t="inlineStr">
        <is>
          <t>Qs  =</t>
        </is>
      </c>
      <c r="K174" s="404" t="n">
        <v>2</v>
      </c>
      <c r="L174" s="404">
        <f>(D169+E169)*2*G169</f>
        <v/>
      </c>
      <c r="M174" s="404" t="n">
        <v>0.9</v>
      </c>
      <c r="N174" s="404" t="n">
        <v>0.67</v>
      </c>
      <c r="O174" s="381" t="n">
        <v>23</v>
      </c>
      <c r="P174" s="404" t="n">
        <v>1</v>
      </c>
      <c r="Q174" s="383">
        <f>K174*L174*M174*N174*O174*P174</f>
        <v/>
      </c>
    </row>
    <row r="175" ht="9.949999999999999" customHeight="1" s="244">
      <c r="A175" s="405" t="n"/>
      <c r="B175" s="406" t="n"/>
      <c r="C175" s="397" t="n"/>
      <c r="D175" s="397" t="n"/>
      <c r="E175" s="378" t="n"/>
      <c r="F175" s="256" t="n"/>
      <c r="G175" s="407" t="n"/>
      <c r="H175" s="397" t="n"/>
      <c r="I175" s="397" t="n"/>
      <c r="J175" s="397" t="n"/>
      <c r="K175" s="407" t="n"/>
      <c r="L175" s="408" t="n"/>
      <c r="M175" s="409" t="inlineStr">
        <is>
          <t xml:space="preserve">   TOPLAM ISI KAYBI =</t>
        </is>
      </c>
      <c r="N175" s="409" t="n"/>
      <c r="O175" s="410" t="n"/>
      <c r="P175" s="409" t="n"/>
      <c r="Q175" s="411">
        <f>Q172+Q174</f>
        <v/>
      </c>
    </row>
    <row r="176" ht="10.35" customHeight="1" s="244">
      <c r="A176" s="359" t="n"/>
      <c r="B176" s="360" t="n"/>
      <c r="C176" s="360" t="n"/>
      <c r="D176" s="360" t="n"/>
      <c r="E176" s="360" t="n"/>
      <c r="F176" s="361" t="inlineStr">
        <is>
          <t>2</t>
        </is>
      </c>
      <c r="G176" s="362" t="inlineStr">
        <is>
          <t>0</t>
        </is>
      </c>
      <c r="H176" s="360" t="inlineStr">
        <is>
          <t>2B1-02</t>
        </is>
      </c>
      <c r="I176" s="363" t="inlineStr">
        <is>
          <t>OFİS B1 GİRİŞ KARŞILAM</t>
        </is>
      </c>
      <c r="J176" s="364" t="n"/>
      <c r="K176" s="360" t="inlineStr">
        <is>
          <t>20ºC</t>
        </is>
      </c>
      <c r="L176" s="360" t="n"/>
      <c r="M176" s="360" t="n"/>
      <c r="N176" s="360" t="n"/>
      <c r="O176" s="360" t="n"/>
      <c r="P176" s="360" t="n"/>
      <c r="Q176" s="365" t="n"/>
    </row>
    <row r="177" ht="9.949999999999999" customHeight="1" s="244">
      <c r="A177" s="366" t="inlineStr">
        <is>
          <t>İDM</t>
        </is>
      </c>
      <c r="B177" s="367" t="inlineStr"/>
      <c r="C177" s="368" t="n"/>
      <c r="D177" s="369" t="n">
        <v>3.48</v>
      </c>
      <c r="E177" s="369" t="n">
        <v>3</v>
      </c>
      <c r="F177" s="370">
        <f>IF(D177=0," ",D177*E177)</f>
        <v/>
      </c>
      <c r="G177" s="371" t="n">
        <v>1</v>
      </c>
      <c r="H177" s="372" t="n"/>
      <c r="I177" s="370">
        <f>IF(F177=" "," ",F177*G177-H177)</f>
        <v/>
      </c>
      <c r="J177" s="369" t="n">
        <v>0.332</v>
      </c>
      <c r="K177" s="371" t="n">
        <v>10</v>
      </c>
      <c r="L177" s="373">
        <f>IF(I177=" "," ",I177*J177*K177)</f>
        <v/>
      </c>
      <c r="M177" s="374" t="n">
        <v>7</v>
      </c>
      <c r="N177" s="371" t="n">
        <v>0</v>
      </c>
      <c r="O177" s="374" t="n">
        <v>0</v>
      </c>
      <c r="P177" s="370">
        <f>IF(M177=" "," ",(1+(M177+N177+O177)/100))</f>
        <v/>
      </c>
      <c r="Q177" s="375">
        <f>IF(L177=" "," ",L177*P177)</f>
        <v/>
      </c>
    </row>
    <row r="178" ht="9.949999999999999" customHeight="1" s="244">
      <c r="A178" s="366" t="inlineStr">
        <is>
          <t>İDM</t>
        </is>
      </c>
      <c r="B178" s="367" t="inlineStr"/>
      <c r="C178" s="368" t="n"/>
      <c r="D178" s="369" t="n">
        <v>5.05</v>
      </c>
      <c r="E178" s="369" t="n">
        <v>3</v>
      </c>
      <c r="F178" s="370">
        <f>IF(D178=0," ",D178*E178)</f>
        <v/>
      </c>
      <c r="G178" s="371" t="n">
        <v>1</v>
      </c>
      <c r="H178" s="372" t="n"/>
      <c r="I178" s="370">
        <f>IF(F178=" "," ",F178*G178-H178)</f>
        <v/>
      </c>
      <c r="J178" s="369" t="n">
        <v>0.332</v>
      </c>
      <c r="K178" s="371" t="n">
        <v>10</v>
      </c>
      <c r="L178" s="373">
        <f>IF(I178=" "," ",I178*J178*K178)</f>
        <v/>
      </c>
      <c r="M178" s="374" t="n">
        <v>7</v>
      </c>
      <c r="N178" s="371" t="n">
        <v>0</v>
      </c>
      <c r="O178" s="374" t="n">
        <v>0</v>
      </c>
      <c r="P178" s="370">
        <f>IF(M178=" "," ",(1+(M178+N178+O178)/100))</f>
        <v/>
      </c>
      <c r="Q178" s="375">
        <f>IF(L178=" "," ",L178*P178)</f>
        <v/>
      </c>
    </row>
    <row r="179" ht="9.949999999999999" customHeight="1" s="244">
      <c r="A179" s="366" t="inlineStr">
        <is>
          <t>İDM</t>
        </is>
      </c>
      <c r="B179" s="367" t="inlineStr"/>
      <c r="C179" s="368" t="n"/>
      <c r="D179" s="369" t="n">
        <v>0.36</v>
      </c>
      <c r="E179" s="369" t="n">
        <v>3</v>
      </c>
      <c r="F179" s="370">
        <f>IF(D179=0," ",D179*E179)</f>
        <v/>
      </c>
      <c r="G179" s="371" t="n">
        <v>1</v>
      </c>
      <c r="H179" s="372" t="n"/>
      <c r="I179" s="370">
        <f>IF(F179=" "," ",F179*G179-H179)</f>
        <v/>
      </c>
      <c r="J179" s="369" t="n">
        <v>0.332</v>
      </c>
      <c r="K179" s="371" t="n">
        <v>10</v>
      </c>
      <c r="L179" s="373">
        <f>IF(I179=" "," ",I179*J179*K179)</f>
        <v/>
      </c>
      <c r="M179" s="374" t="n">
        <v>7</v>
      </c>
      <c r="N179" s="371" t="n">
        <v>0</v>
      </c>
      <c r="O179" s="374" t="n">
        <v>0</v>
      </c>
      <c r="P179" s="370">
        <f>IF(M179=" "," ",(1+(M179+N179+O179)/100))</f>
        <v/>
      </c>
      <c r="Q179" s="375">
        <f>IF(L179=" "," ",L179*P179)</f>
        <v/>
      </c>
    </row>
    <row r="180" ht="9.949999999999999" customHeight="1" s="244">
      <c r="A180" s="366" t="inlineStr">
        <is>
          <t>İDM</t>
        </is>
      </c>
      <c r="B180" s="367" t="inlineStr"/>
      <c r="C180" s="368" t="n"/>
      <c r="D180" s="369" t="n">
        <v>0.68</v>
      </c>
      <c r="E180" s="369" t="n">
        <v>3</v>
      </c>
      <c r="F180" s="370">
        <f>IF(D180=0," ",D180*E180)</f>
        <v/>
      </c>
      <c r="G180" s="371" t="n">
        <v>1</v>
      </c>
      <c r="H180" s="372" t="n"/>
      <c r="I180" s="370">
        <f>IF(F180=" "," ",F180*G180-H180)</f>
        <v/>
      </c>
      <c r="J180" s="369" t="n">
        <v>0.332</v>
      </c>
      <c r="K180" s="371" t="n">
        <v>10</v>
      </c>
      <c r="L180" s="373">
        <f>IF(I180=" "," ",I180*J180*K180)</f>
        <v/>
      </c>
      <c r="M180" s="374" t="n">
        <v>7</v>
      </c>
      <c r="N180" s="371" t="n">
        <v>0</v>
      </c>
      <c r="O180" s="374" t="n">
        <v>0</v>
      </c>
      <c r="P180" s="370">
        <f>IF(M180=" "," ",(1+(M180+N180+O180)/100))</f>
        <v/>
      </c>
      <c r="Q180" s="375">
        <f>IF(L180=" "," ",L180*P180)</f>
        <v/>
      </c>
    </row>
    <row r="181" ht="9.949999999999999" customHeight="1" s="244">
      <c r="A181" s="366" t="inlineStr">
        <is>
          <t>Ta</t>
        </is>
      </c>
      <c r="B181" s="367" t="inlineStr"/>
      <c r="C181" s="368" t="n"/>
      <c r="D181" s="369" t="n">
        <v>13.6</v>
      </c>
      <c r="E181" s="369" t="n">
        <v>1</v>
      </c>
      <c r="F181" s="370">
        <f>IF(D181=0," ",D181*E181)</f>
        <v/>
      </c>
      <c r="G181" s="371" t="n">
        <v>1</v>
      </c>
      <c r="H181" s="372" t="n"/>
      <c r="I181" s="370">
        <f>IF(F181=" "," ",F181*G181-H181)</f>
        <v/>
      </c>
      <c r="J181" s="369" t="n">
        <v>0.266</v>
      </c>
      <c r="K181" s="371" t="n">
        <v>23</v>
      </c>
      <c r="L181" s="373">
        <f>IF(I181=" "," ",I181*J181*K181)</f>
        <v/>
      </c>
      <c r="M181" s="374" t="n">
        <v>7</v>
      </c>
      <c r="N181" s="371" t="n">
        <v>0</v>
      </c>
      <c r="O181" s="374" t="n">
        <v>0</v>
      </c>
      <c r="P181" s="370">
        <f>IF(M181=" "," ",(1+(M181+N181+O181)/100))</f>
        <v/>
      </c>
      <c r="Q181" s="375">
        <f>IF(L181=" "," ",L181*P181)</f>
        <v/>
      </c>
    </row>
    <row r="182" ht="9.949999999999999" customHeight="1" s="244">
      <c r="A182" s="376" t="n"/>
      <c r="B182" s="377" t="n"/>
      <c r="C182" s="377" t="n"/>
      <c r="D182" s="378" t="n"/>
      <c r="E182" s="378" t="n"/>
      <c r="F182" s="378" t="n"/>
      <c r="G182" s="379" t="n"/>
      <c r="H182" s="378" t="n"/>
      <c r="I182" s="378" t="n"/>
      <c r="J182" s="378" t="n"/>
      <c r="K182" s="379" t="n"/>
      <c r="L182" s="380" t="n"/>
      <c r="M182" s="381" t="n"/>
      <c r="N182" s="381" t="n"/>
      <c r="O182" s="381" t="n"/>
      <c r="P182" s="382" t="n"/>
      <c r="Q182" s="383">
        <f>SUM(Q177:Q181)</f>
        <v/>
      </c>
    </row>
    <row r="183" ht="9.949999999999999" customHeight="1" s="244">
      <c r="A183" s="384" t="n"/>
      <c r="B183" s="385" t="n"/>
      <c r="C183" s="385" t="n"/>
      <c r="D183" s="386" t="n"/>
      <c r="E183" s="387" t="n"/>
      <c r="F183" s="388" t="n"/>
      <c r="G183" s="389" t="n"/>
      <c r="H183" s="388" t="n"/>
      <c r="I183" s="390" t="n"/>
      <c r="J183" s="391" t="inlineStr">
        <is>
          <t>Qs=</t>
        </is>
      </c>
      <c r="K183" s="390" t="inlineStr">
        <is>
          <t>S a</t>
        </is>
      </c>
      <c r="L183" s="388" t="inlineStr">
        <is>
          <t>L</t>
        </is>
      </c>
      <c r="M183" s="389" t="inlineStr">
        <is>
          <t>R</t>
        </is>
      </c>
      <c r="N183" s="392" t="inlineStr">
        <is>
          <t>H</t>
        </is>
      </c>
      <c r="O183" s="393" t="inlineStr">
        <is>
          <t>D  T</t>
        </is>
      </c>
      <c r="P183" s="389" t="inlineStr">
        <is>
          <t>Ze</t>
        </is>
      </c>
      <c r="Q183" s="394" t="n"/>
    </row>
    <row r="184" ht="9.949999999999999" customHeight="1" s="244">
      <c r="A184" s="395" t="inlineStr">
        <is>
          <t xml:space="preserve"> </t>
        </is>
      </c>
      <c r="C184" s="397" t="n"/>
      <c r="D184" s="397" t="n"/>
      <c r="E184" s="398" t="n"/>
      <c r="F184" s="399" t="n"/>
      <c r="G184" s="400" t="n"/>
      <c r="H184" s="401" t="n"/>
      <c r="I184" s="402" t="n"/>
      <c r="J184" s="403" t="inlineStr">
        <is>
          <t>Qs  =</t>
        </is>
      </c>
      <c r="K184" s="404" t="n">
        <v>2</v>
      </c>
      <c r="L184" s="404" t="n">
        <v>0</v>
      </c>
      <c r="M184" s="404" t="n">
        <v>0.9</v>
      </c>
      <c r="N184" s="404" t="n">
        <v>0.67</v>
      </c>
      <c r="O184" s="381" t="n">
        <v>23</v>
      </c>
      <c r="P184" s="404" t="n">
        <v>1</v>
      </c>
      <c r="Q184" s="383">
        <f>K184*L184*M184*N184*O184*P184</f>
        <v/>
      </c>
    </row>
    <row r="185" ht="9.949999999999999" customHeight="1" s="244">
      <c r="A185" s="405" t="n"/>
      <c r="B185" s="406" t="n"/>
      <c r="C185" s="397" t="n"/>
      <c r="D185" s="397" t="n"/>
      <c r="E185" s="378" t="n"/>
      <c r="F185" s="256" t="n"/>
      <c r="G185" s="407" t="n"/>
      <c r="H185" s="397" t="n"/>
      <c r="I185" s="397" t="n"/>
      <c r="J185" s="397" t="n"/>
      <c r="K185" s="407" t="n"/>
      <c r="L185" s="408" t="n"/>
      <c r="M185" s="409" t="inlineStr">
        <is>
          <t xml:space="preserve">   TOPLAM ISI KAYBI =</t>
        </is>
      </c>
      <c r="N185" s="409" t="n"/>
      <c r="O185" s="410" t="n"/>
      <c r="P185" s="409" t="n"/>
      <c r="Q185" s="411">
        <f>Q182+Q184</f>
        <v/>
      </c>
    </row>
    <row r="186" ht="10.35" customHeight="1" s="244">
      <c r="A186" s="359" t="n"/>
      <c r="B186" s="360" t="n"/>
      <c r="C186" s="360" t="n"/>
      <c r="D186" s="360" t="n"/>
      <c r="E186" s="360" t="n"/>
      <c r="F186" s="361" t="inlineStr">
        <is>
          <t>2</t>
        </is>
      </c>
      <c r="G186" s="362" t="inlineStr">
        <is>
          <t>0</t>
        </is>
      </c>
      <c r="H186" s="360" t="inlineStr">
        <is>
          <t>2B1-03</t>
        </is>
      </c>
      <c r="I186" s="363" t="inlineStr">
        <is>
          <t>OFİS B1 MUTFAK</t>
        </is>
      </c>
      <c r="J186" s="364" t="n"/>
      <c r="K186" s="360" t="inlineStr">
        <is>
          <t>20ºC</t>
        </is>
      </c>
      <c r="L186" s="360" t="n"/>
      <c r="M186" s="360" t="n"/>
      <c r="N186" s="360" t="n"/>
      <c r="O186" s="360" t="n"/>
      <c r="P186" s="360" t="n"/>
      <c r="Q186" s="365" t="n"/>
    </row>
    <row r="187" ht="9.949999999999999" customHeight="1" s="244">
      <c r="A187" s="366" t="inlineStr">
        <is>
          <t>Ta</t>
        </is>
      </c>
      <c r="B187" s="367" t="inlineStr"/>
      <c r="C187" s="368" t="n"/>
      <c r="D187" s="369" t="n">
        <v>5.8</v>
      </c>
      <c r="E187" s="369" t="n">
        <v>1</v>
      </c>
      <c r="F187" s="370">
        <f>IF(D187=0," ",D187*E187)</f>
        <v/>
      </c>
      <c r="G187" s="371" t="n">
        <v>1</v>
      </c>
      <c r="H187" s="372" t="n"/>
      <c r="I187" s="370">
        <f>IF(F187=" "," ",F187*G187-H187)</f>
        <v/>
      </c>
      <c r="J187" s="369" t="n">
        <v>0.266</v>
      </c>
      <c r="K187" s="371" t="n">
        <v>23</v>
      </c>
      <c r="L187" s="373">
        <f>IF(I187=" "," ",I187*J187*K187)</f>
        <v/>
      </c>
      <c r="M187" s="374" t="n">
        <v>7</v>
      </c>
      <c r="N187" s="371" t="n">
        <v>0</v>
      </c>
      <c r="O187" s="374" t="n">
        <v>0</v>
      </c>
      <c r="P187" s="370">
        <f>IF(M187=" "," ",(1+(M187+N187+O187)/100))</f>
        <v/>
      </c>
      <c r="Q187" s="375">
        <f>IF(L187=" "," ",L187*P187)</f>
        <v/>
      </c>
    </row>
    <row r="188" ht="9.949999999999999" customHeight="1" s="244">
      <c r="A188" s="376" t="n"/>
      <c r="B188" s="377" t="n"/>
      <c r="C188" s="377" t="n"/>
      <c r="D188" s="378" t="n"/>
      <c r="E188" s="378" t="n"/>
      <c r="F188" s="378" t="n"/>
      <c r="G188" s="379" t="n"/>
      <c r="H188" s="378" t="n"/>
      <c r="I188" s="378" t="n"/>
      <c r="J188" s="378" t="n"/>
      <c r="K188" s="379" t="n"/>
      <c r="L188" s="380" t="n"/>
      <c r="M188" s="381" t="n"/>
      <c r="N188" s="381" t="n"/>
      <c r="O188" s="381" t="n"/>
      <c r="P188" s="382" t="n"/>
      <c r="Q188" s="383">
        <f>SUM(Q187:Q187)</f>
        <v/>
      </c>
    </row>
    <row r="189" ht="9.949999999999999" customHeight="1" s="244">
      <c r="A189" s="384" t="n"/>
      <c r="B189" s="385" t="n"/>
      <c r="C189" s="385" t="n"/>
      <c r="D189" s="386" t="n"/>
      <c r="E189" s="387" t="n"/>
      <c r="F189" s="388" t="n"/>
      <c r="G189" s="389" t="n"/>
      <c r="H189" s="388" t="n"/>
      <c r="I189" s="390" t="n"/>
      <c r="J189" s="391" t="inlineStr">
        <is>
          <t>Qs=</t>
        </is>
      </c>
      <c r="K189" s="390" t="inlineStr">
        <is>
          <t>S a</t>
        </is>
      </c>
      <c r="L189" s="388" t="inlineStr">
        <is>
          <t>L</t>
        </is>
      </c>
      <c r="M189" s="389" t="inlineStr">
        <is>
          <t>R</t>
        </is>
      </c>
      <c r="N189" s="392" t="inlineStr">
        <is>
          <t>H</t>
        </is>
      </c>
      <c r="O189" s="393" t="inlineStr">
        <is>
          <t>D  T</t>
        </is>
      </c>
      <c r="P189" s="389" t="inlineStr">
        <is>
          <t>Ze</t>
        </is>
      </c>
      <c r="Q189" s="394" t="n"/>
    </row>
    <row r="190" ht="9.949999999999999" customHeight="1" s="244">
      <c r="A190" s="395" t="inlineStr">
        <is>
          <t xml:space="preserve"> </t>
        </is>
      </c>
      <c r="C190" s="397" t="n"/>
      <c r="D190" s="397" t="n"/>
      <c r="E190" s="398" t="n"/>
      <c r="F190" s="399" t="n"/>
      <c r="G190" s="400" t="n"/>
      <c r="H190" s="401" t="n"/>
      <c r="I190" s="402" t="n"/>
      <c r="J190" s="403" t="inlineStr">
        <is>
          <t>Qs  =</t>
        </is>
      </c>
      <c r="K190" s="404" t="n">
        <v>2</v>
      </c>
      <c r="L190" s="404" t="n">
        <v>0</v>
      </c>
      <c r="M190" s="404" t="n">
        <v>0.9</v>
      </c>
      <c r="N190" s="404" t="n">
        <v>0.67</v>
      </c>
      <c r="O190" s="381" t="n">
        <v>23</v>
      </c>
      <c r="P190" s="404" t="n">
        <v>1</v>
      </c>
      <c r="Q190" s="383">
        <f>K190*L190*M190*N190*O190*P190</f>
        <v/>
      </c>
    </row>
    <row r="191" ht="9.949999999999999" customHeight="1" s="244">
      <c r="A191" s="405" t="n"/>
      <c r="B191" s="406" t="n"/>
      <c r="C191" s="397" t="n"/>
      <c r="D191" s="397" t="n"/>
      <c r="E191" s="378" t="n"/>
      <c r="F191" s="256" t="n"/>
      <c r="G191" s="407" t="n"/>
      <c r="H191" s="397" t="n"/>
      <c r="I191" s="397" t="n"/>
      <c r="J191" s="397" t="n"/>
      <c r="K191" s="407" t="n"/>
      <c r="L191" s="408" t="n"/>
      <c r="M191" s="409" t="inlineStr">
        <is>
          <t xml:space="preserve">   TOPLAM ISI KAYBI =</t>
        </is>
      </c>
      <c r="N191" s="409" t="n"/>
      <c r="O191" s="410" t="n"/>
      <c r="P191" s="409" t="n"/>
      <c r="Q191" s="411">
        <f>Q188+Q190</f>
        <v/>
      </c>
    </row>
    <row r="192" ht="10.35" customHeight="1" s="244">
      <c r="A192" s="359" t="n"/>
      <c r="B192" s="360" t="n"/>
      <c r="C192" s="360" t="n"/>
      <c r="D192" s="360" t="n"/>
      <c r="E192" s="360" t="n"/>
      <c r="F192" s="361" t="inlineStr">
        <is>
          <t>2</t>
        </is>
      </c>
      <c r="G192" s="362" t="inlineStr">
        <is>
          <t>0</t>
        </is>
      </c>
      <c r="H192" s="360" t="inlineStr">
        <is>
          <t>2B1-04</t>
        </is>
      </c>
      <c r="I192" s="363" t="inlineStr">
        <is>
          <t>OFİS B1 BANYO</t>
        </is>
      </c>
      <c r="J192" s="364" t="n"/>
      <c r="K192" s="360" t="inlineStr">
        <is>
          <t>24ºC</t>
        </is>
      </c>
      <c r="L192" s="360" t="n"/>
      <c r="M192" s="360" t="n"/>
      <c r="N192" s="360" t="n"/>
      <c r="O192" s="360" t="n"/>
      <c r="P192" s="360" t="n"/>
      <c r="Q192" s="365" t="n"/>
    </row>
    <row r="193" ht="9.949999999999999" customHeight="1" s="244">
      <c r="A193" s="366" t="inlineStr">
        <is>
          <t>İDM</t>
        </is>
      </c>
      <c r="B193" s="367" t="inlineStr"/>
      <c r="C193" s="368" t="n"/>
      <c r="D193" s="369" t="n">
        <v>0.83</v>
      </c>
      <c r="E193" s="369" t="n">
        <v>3</v>
      </c>
      <c r="F193" s="370">
        <f>IF(D193=0," ",D193*E193)</f>
        <v/>
      </c>
      <c r="G193" s="371" t="n">
        <v>1</v>
      </c>
      <c r="H193" s="372" t="n"/>
      <c r="I193" s="370">
        <f>IF(F193=" "," ",F193*G193-H193)</f>
        <v/>
      </c>
      <c r="J193" s="369" t="n">
        <v>0.332</v>
      </c>
      <c r="K193" s="371" t="n">
        <v>14</v>
      </c>
      <c r="L193" s="373">
        <f>IF(I193=" "," ",I193*J193*K193)</f>
        <v/>
      </c>
      <c r="M193" s="374" t="n">
        <v>7</v>
      </c>
      <c r="N193" s="371" t="n">
        <v>0</v>
      </c>
      <c r="O193" s="374" t="n">
        <v>0</v>
      </c>
      <c r="P193" s="370">
        <f>IF(M193=" "," ",(1+(M193+N193+O193)/100))</f>
        <v/>
      </c>
      <c r="Q193" s="375">
        <f>IF(L193=" "," ",L193*P193)</f>
        <v/>
      </c>
    </row>
    <row r="194" ht="9.949999999999999" customHeight="1" s="244">
      <c r="A194" s="366" t="inlineStr">
        <is>
          <t>Ta</t>
        </is>
      </c>
      <c r="B194" s="367" t="inlineStr"/>
      <c r="C194" s="368" t="n"/>
      <c r="D194" s="369" t="n">
        <v>4.5</v>
      </c>
      <c r="E194" s="369" t="n">
        <v>1</v>
      </c>
      <c r="F194" s="370">
        <f>IF(D194=0," ",D194*E194)</f>
        <v/>
      </c>
      <c r="G194" s="371" t="n">
        <v>1</v>
      </c>
      <c r="H194" s="372" t="n"/>
      <c r="I194" s="370">
        <f>IF(F194=" "," ",F194*G194-H194)</f>
        <v/>
      </c>
      <c r="J194" s="369" t="n">
        <v>0.266</v>
      </c>
      <c r="K194" s="371" t="n">
        <v>27</v>
      </c>
      <c r="L194" s="373">
        <f>IF(I194=" "," ",I194*J194*K194)</f>
        <v/>
      </c>
      <c r="M194" s="374" t="n">
        <v>7</v>
      </c>
      <c r="N194" s="371" t="n">
        <v>0</v>
      </c>
      <c r="O194" s="374" t="n">
        <v>0</v>
      </c>
      <c r="P194" s="370">
        <f>IF(M194=" "," ",(1+(M194+N194+O194)/100))</f>
        <v/>
      </c>
      <c r="Q194" s="375">
        <f>IF(L194=" "," ",L194*P194)</f>
        <v/>
      </c>
    </row>
    <row r="195" ht="9.949999999999999" customHeight="1" s="244">
      <c r="A195" s="376" t="n"/>
      <c r="B195" s="377" t="n"/>
      <c r="C195" s="377" t="n"/>
      <c r="D195" s="378" t="n"/>
      <c r="E195" s="378" t="n"/>
      <c r="F195" s="378" t="n"/>
      <c r="G195" s="379" t="n"/>
      <c r="H195" s="378" t="n"/>
      <c r="I195" s="378" t="n"/>
      <c r="J195" s="378" t="n"/>
      <c r="K195" s="379" t="n"/>
      <c r="L195" s="380" t="n"/>
      <c r="M195" s="381" t="n"/>
      <c r="N195" s="381" t="n"/>
      <c r="O195" s="381" t="n"/>
      <c r="P195" s="382" t="n"/>
      <c r="Q195" s="383">
        <f>SUM(Q193:Q194)</f>
        <v/>
      </c>
    </row>
    <row r="196" ht="9.949999999999999" customHeight="1" s="244">
      <c r="A196" s="384" t="n"/>
      <c r="B196" s="385" t="n"/>
      <c r="C196" s="385" t="n"/>
      <c r="D196" s="386" t="n"/>
      <c r="E196" s="387" t="n"/>
      <c r="F196" s="388" t="n"/>
      <c r="G196" s="389" t="n"/>
      <c r="H196" s="388" t="n"/>
      <c r="I196" s="390" t="n"/>
      <c r="J196" s="391" t="inlineStr">
        <is>
          <t>Qs=</t>
        </is>
      </c>
      <c r="K196" s="390" t="inlineStr">
        <is>
          <t>S a</t>
        </is>
      </c>
      <c r="L196" s="388" t="inlineStr">
        <is>
          <t>L</t>
        </is>
      </c>
      <c r="M196" s="389" t="inlineStr">
        <is>
          <t>R</t>
        </is>
      </c>
      <c r="N196" s="392" t="inlineStr">
        <is>
          <t>H</t>
        </is>
      </c>
      <c r="O196" s="393" t="inlineStr">
        <is>
          <t>D  T</t>
        </is>
      </c>
      <c r="P196" s="389" t="inlineStr">
        <is>
          <t>Ze</t>
        </is>
      </c>
      <c r="Q196" s="394" t="n"/>
    </row>
    <row r="197" ht="9.949999999999999" customHeight="1" s="244">
      <c r="A197" s="395" t="inlineStr">
        <is>
          <t xml:space="preserve"> </t>
        </is>
      </c>
      <c r="C197" s="397" t="n"/>
      <c r="D197" s="397" t="n"/>
      <c r="E197" s="398" t="n"/>
      <c r="F197" s="399" t="n"/>
      <c r="G197" s="400" t="n"/>
      <c r="H197" s="401" t="n"/>
      <c r="I197" s="402" t="n"/>
      <c r="J197" s="403" t="inlineStr">
        <is>
          <t>Qs  =</t>
        </is>
      </c>
      <c r="K197" s="404" t="n">
        <v>2</v>
      </c>
      <c r="L197" s="404" t="n">
        <v>0</v>
      </c>
      <c r="M197" s="404" t="n">
        <v>0.9</v>
      </c>
      <c r="N197" s="404" t="n">
        <v>0.67</v>
      </c>
      <c r="O197" s="381" t="n">
        <v>27</v>
      </c>
      <c r="P197" s="404" t="n">
        <v>1</v>
      </c>
      <c r="Q197" s="383">
        <f>K197*L197*M197*N197*O197*P197</f>
        <v/>
      </c>
    </row>
    <row r="198" ht="9.949999999999999" customHeight="1" s="244">
      <c r="A198" s="405" t="n"/>
      <c r="B198" s="406" t="n"/>
      <c r="C198" s="397" t="n"/>
      <c r="D198" s="397" t="n"/>
      <c r="E198" s="378" t="n"/>
      <c r="F198" s="256" t="n"/>
      <c r="G198" s="407" t="n"/>
      <c r="H198" s="397" t="n"/>
      <c r="I198" s="397" t="n"/>
      <c r="J198" s="397" t="n"/>
      <c r="K198" s="407" t="n"/>
      <c r="L198" s="408" t="n"/>
      <c r="M198" s="409" t="inlineStr">
        <is>
          <t xml:space="preserve">   TOPLAM ISI KAYBI =</t>
        </is>
      </c>
      <c r="N198" s="409" t="n"/>
      <c r="O198" s="410" t="n"/>
      <c r="P198" s="409" t="n"/>
      <c r="Q198" s="411">
        <f>Q195+Q197</f>
        <v/>
      </c>
    </row>
    <row r="199" ht="10.35" customHeight="1" s="244">
      <c r="A199" s="359" t="n"/>
      <c r="B199" s="360" t="n"/>
      <c r="C199" s="360" t="n"/>
      <c r="D199" s="360" t="n"/>
      <c r="E199" s="360" t="n"/>
      <c r="F199" s="361" t="inlineStr">
        <is>
          <t>2</t>
        </is>
      </c>
      <c r="G199" s="362" t="inlineStr">
        <is>
          <t>0</t>
        </is>
      </c>
      <c r="H199" s="360" t="inlineStr">
        <is>
          <t>2B2-01</t>
        </is>
      </c>
      <c r="I199" s="363" t="inlineStr">
        <is>
          <t>OFİS B2 ODA</t>
        </is>
      </c>
      <c r="J199" s="364" t="n"/>
      <c r="K199" s="360" t="inlineStr">
        <is>
          <t>20ºC</t>
        </is>
      </c>
      <c r="L199" s="360" t="n"/>
      <c r="M199" s="360" t="n"/>
      <c r="N199" s="360" t="n"/>
      <c r="O199" s="360" t="n"/>
      <c r="P199" s="360" t="n"/>
      <c r="Q199" s="365" t="n"/>
    </row>
    <row r="200" ht="9.949999999999999" customHeight="1" s="244">
      <c r="A200" s="366" t="inlineStr">
        <is>
          <t>DD</t>
        </is>
      </c>
      <c r="B200" s="367" t="inlineStr">
        <is>
          <t>G</t>
        </is>
      </c>
      <c r="C200" s="368" t="n"/>
      <c r="D200" s="369" t="n">
        <v>4.68</v>
      </c>
      <c r="E200" s="369" t="n">
        <v>2.5</v>
      </c>
      <c r="F200" s="370">
        <f>IF(D200=0," ",D200*E200)</f>
        <v/>
      </c>
      <c r="G200" s="371" t="n">
        <v>1</v>
      </c>
      <c r="H200" s="372">
        <f>F202*G202</f>
        <v/>
      </c>
      <c r="I200" s="370">
        <f>IF(F200=" "," ",F200*G200-H200)</f>
        <v/>
      </c>
      <c r="J200" s="369" t="n">
        <v>0.344</v>
      </c>
      <c r="K200" s="371" t="n">
        <v>23</v>
      </c>
      <c r="L200" s="373">
        <f>IF(I200=" "," ",I200*J200*K200)</f>
        <v/>
      </c>
      <c r="M200" s="374" t="n">
        <v>7</v>
      </c>
      <c r="N200" s="371" t="n">
        <v>0</v>
      </c>
      <c r="O200" s="374" t="n">
        <v>-5</v>
      </c>
      <c r="P200" s="370">
        <f>IF(M200=" "," ",(1+(M200+N200+O200)/100))</f>
        <v/>
      </c>
      <c r="Q200" s="375">
        <f>IF(L200=" "," ",L200*P200)</f>
        <v/>
      </c>
    </row>
    <row r="201" ht="9.949999999999999" customHeight="1" s="244">
      <c r="A201" s="366" t="inlineStr">
        <is>
          <t>DD25</t>
        </is>
      </c>
      <c r="B201" s="367" t="inlineStr">
        <is>
          <t>G</t>
        </is>
      </c>
      <c r="C201" s="368" t="n"/>
      <c r="D201" s="369">
        <f>D200</f>
        <v/>
      </c>
      <c r="E201" s="369" t="n">
        <v>0.5</v>
      </c>
      <c r="F201" s="370">
        <f>IF(D201=0," ",D201*E201)</f>
        <v/>
      </c>
      <c r="G201" s="371" t="n">
        <v>1</v>
      </c>
      <c r="H201" s="372" t="n"/>
      <c r="I201" s="370">
        <f>IF(F201=" "," ",F201*G201-H201)</f>
        <v/>
      </c>
      <c r="J201" s="369" t="n">
        <v>0.387</v>
      </c>
      <c r="K201" s="371" t="n">
        <v>23</v>
      </c>
      <c r="L201" s="373">
        <f>IF(I201=" "," ",I201*J201*K201)</f>
        <v/>
      </c>
      <c r="M201" s="374" t="n">
        <v>7</v>
      </c>
      <c r="N201" s="371" t="n">
        <v>0</v>
      </c>
      <c r="O201" s="374" t="n">
        <v>-5</v>
      </c>
      <c r="P201" s="370">
        <f>IF(M201=" "," ",(1+(M201+N201+O201)/100))</f>
        <v/>
      </c>
      <c r="Q201" s="375">
        <f>IF(L201=" "," ",L201*P201)</f>
        <v/>
      </c>
    </row>
    <row r="202" ht="9.949999999999999" customHeight="1" s="244">
      <c r="A202" s="366" t="inlineStr">
        <is>
          <t>ÇP</t>
        </is>
      </c>
      <c r="B202" s="367" t="inlineStr">
        <is>
          <t>G</t>
        </is>
      </c>
      <c r="C202" s="368" t="n"/>
      <c r="D202" s="369" t="n">
        <v>2.57</v>
      </c>
      <c r="E202" s="369" t="n">
        <v>1.5</v>
      </c>
      <c r="F202" s="370">
        <f>IF(D202=0," ",D202*E202)</f>
        <v/>
      </c>
      <c r="G202" s="371" t="n">
        <v>1</v>
      </c>
      <c r="H202" s="372" t="n"/>
      <c r="I202" s="370">
        <f>IF(F202=" "," ",F202*G202-H202)</f>
        <v/>
      </c>
      <c r="J202" s="369" t="n">
        <v>1.8</v>
      </c>
      <c r="K202" s="371" t="n">
        <v>23</v>
      </c>
      <c r="L202" s="373">
        <f>IF(I202=" "," ",I202*J202*K202)</f>
        <v/>
      </c>
      <c r="M202" s="374" t="n">
        <v>7</v>
      </c>
      <c r="N202" s="371" t="n">
        <v>0</v>
      </c>
      <c r="O202" s="374" t="n">
        <v>-5</v>
      </c>
      <c r="P202" s="370">
        <f>IF(M202=" "," ",(1+(M202+N202+O202)/100))</f>
        <v/>
      </c>
      <c r="Q202" s="375">
        <f>IF(L202=" "," ",L202*P202)</f>
        <v/>
      </c>
    </row>
    <row r="203" ht="9.949999999999999" customHeight="1" s="244">
      <c r="A203" s="366" t="inlineStr">
        <is>
          <t>Ta</t>
        </is>
      </c>
      <c r="B203" s="367" t="inlineStr"/>
      <c r="C203" s="368" t="n"/>
      <c r="D203" s="369" t="n">
        <v>13.5</v>
      </c>
      <c r="E203" s="369" t="n">
        <v>1</v>
      </c>
      <c r="F203" s="370">
        <f>IF(D203=0," ",D203*E203)</f>
        <v/>
      </c>
      <c r="G203" s="371" t="n">
        <v>1</v>
      </c>
      <c r="H203" s="372" t="n"/>
      <c r="I203" s="370">
        <f>IF(F203=" "," ",F203*G203-H203)</f>
        <v/>
      </c>
      <c r="J203" s="369" t="n">
        <v>0.266</v>
      </c>
      <c r="K203" s="371" t="n">
        <v>23</v>
      </c>
      <c r="L203" s="373">
        <f>IF(I203=" "," ",I203*J203*K203)</f>
        <v/>
      </c>
      <c r="M203" s="374" t="n">
        <v>7</v>
      </c>
      <c r="N203" s="371" t="n">
        <v>0</v>
      </c>
      <c r="O203" s="374" t="n">
        <v>0</v>
      </c>
      <c r="P203" s="370">
        <f>IF(M203=" "," ",(1+(M203+N203+O203)/100))</f>
        <v/>
      </c>
      <c r="Q203" s="375">
        <f>IF(L203=" "," ",L203*P203)</f>
        <v/>
      </c>
    </row>
    <row r="204" ht="9.949999999999999" customHeight="1" s="244">
      <c r="A204" s="376" t="n"/>
      <c r="B204" s="377" t="n"/>
      <c r="C204" s="377" t="n"/>
      <c r="D204" s="378" t="n"/>
      <c r="E204" s="378" t="n"/>
      <c r="F204" s="378" t="n"/>
      <c r="G204" s="379" t="n"/>
      <c r="H204" s="378" t="n"/>
      <c r="I204" s="378" t="n"/>
      <c r="J204" s="378" t="n"/>
      <c r="K204" s="379" t="n"/>
      <c r="L204" s="380" t="n"/>
      <c r="M204" s="381" t="n"/>
      <c r="N204" s="381" t="n"/>
      <c r="O204" s="381" t="n"/>
      <c r="P204" s="382" t="n"/>
      <c r="Q204" s="383">
        <f>SUM(Q200:Q203)</f>
        <v/>
      </c>
    </row>
    <row r="205" ht="9.949999999999999" customHeight="1" s="244">
      <c r="A205" s="384" t="n"/>
      <c r="B205" s="385" t="n"/>
      <c r="C205" s="385" t="n"/>
      <c r="D205" s="386" t="n"/>
      <c r="E205" s="387" t="n"/>
      <c r="F205" s="388" t="n"/>
      <c r="G205" s="389" t="n"/>
      <c r="H205" s="388" t="n"/>
      <c r="I205" s="390" t="n"/>
      <c r="J205" s="391" t="inlineStr">
        <is>
          <t>Qs=</t>
        </is>
      </c>
      <c r="K205" s="390" t="inlineStr">
        <is>
          <t>S a</t>
        </is>
      </c>
      <c r="L205" s="388" t="inlineStr">
        <is>
          <t>L</t>
        </is>
      </c>
      <c r="M205" s="389" t="inlineStr">
        <is>
          <t>R</t>
        </is>
      </c>
      <c r="N205" s="392" t="inlineStr">
        <is>
          <t>H</t>
        </is>
      </c>
      <c r="O205" s="393" t="inlineStr">
        <is>
          <t>D  T</t>
        </is>
      </c>
      <c r="P205" s="389" t="inlineStr">
        <is>
          <t>Ze</t>
        </is>
      </c>
      <c r="Q205" s="394" t="n"/>
    </row>
    <row r="206" ht="9.949999999999999" customHeight="1" s="244">
      <c r="A206" s="395" t="inlineStr">
        <is>
          <t xml:space="preserve"> </t>
        </is>
      </c>
      <c r="C206" s="397" t="n"/>
      <c r="D206" s="397" t="n"/>
      <c r="E206" s="398" t="n"/>
      <c r="F206" s="399" t="n"/>
      <c r="G206" s="400" t="n"/>
      <c r="H206" s="401" t="n"/>
      <c r="I206" s="402" t="n"/>
      <c r="J206" s="403" t="inlineStr">
        <is>
          <t>Qs  =</t>
        </is>
      </c>
      <c r="K206" s="404" t="n">
        <v>2</v>
      </c>
      <c r="L206" s="404">
        <f>(D202+E202)*2*G202</f>
        <v/>
      </c>
      <c r="M206" s="404" t="n">
        <v>0.9</v>
      </c>
      <c r="N206" s="404" t="n">
        <v>0.67</v>
      </c>
      <c r="O206" s="381" t="n">
        <v>23</v>
      </c>
      <c r="P206" s="404" t="n">
        <v>1</v>
      </c>
      <c r="Q206" s="383">
        <f>K206*L206*M206*N206*O206*P206</f>
        <v/>
      </c>
    </row>
    <row r="207" ht="9.949999999999999" customHeight="1" s="244">
      <c r="A207" s="405" t="n"/>
      <c r="B207" s="406" t="n"/>
      <c r="C207" s="397" t="n"/>
      <c r="D207" s="397" t="n"/>
      <c r="E207" s="378" t="n"/>
      <c r="F207" s="256" t="n"/>
      <c r="G207" s="407" t="n"/>
      <c r="H207" s="397" t="n"/>
      <c r="I207" s="397" t="n"/>
      <c r="J207" s="397" t="n"/>
      <c r="K207" s="407" t="n"/>
      <c r="L207" s="408" t="n"/>
      <c r="M207" s="409" t="inlineStr">
        <is>
          <t xml:space="preserve">   TOPLAM ISI KAYBI =</t>
        </is>
      </c>
      <c r="N207" s="409" t="n"/>
      <c r="O207" s="410" t="n"/>
      <c r="P207" s="409" t="n"/>
      <c r="Q207" s="411">
        <f>Q204+Q206</f>
        <v/>
      </c>
    </row>
    <row r="208" ht="10.35" customHeight="1" s="244">
      <c r="A208" s="359" t="n"/>
      <c r="B208" s="360" t="n"/>
      <c r="C208" s="360" t="n"/>
      <c r="D208" s="360" t="n"/>
      <c r="E208" s="360" t="n"/>
      <c r="F208" s="361" t="inlineStr">
        <is>
          <t>2</t>
        </is>
      </c>
      <c r="G208" s="362" t="inlineStr">
        <is>
          <t>0</t>
        </is>
      </c>
      <c r="H208" s="360" t="inlineStr">
        <is>
          <t>2B2-02</t>
        </is>
      </c>
      <c r="I208" s="363" t="inlineStr">
        <is>
          <t>OFİS B2 GİRİŞ HOLÜ</t>
        </is>
      </c>
      <c r="J208" s="364" t="n"/>
      <c r="K208" s="360" t="inlineStr">
        <is>
          <t>20ºC</t>
        </is>
      </c>
      <c r="L208" s="360" t="n"/>
      <c r="M208" s="360" t="n"/>
      <c r="N208" s="360" t="n"/>
      <c r="O208" s="360" t="n"/>
      <c r="P208" s="360" t="n"/>
      <c r="Q208" s="365" t="n"/>
    </row>
    <row r="209" ht="9.949999999999999" customHeight="1" s="244">
      <c r="A209" s="366" t="inlineStr">
        <is>
          <t>Ta</t>
        </is>
      </c>
      <c r="B209" s="367" t="inlineStr"/>
      <c r="C209" s="368" t="n"/>
      <c r="D209" s="369" t="n">
        <v>2.4</v>
      </c>
      <c r="E209" s="369" t="n">
        <v>1</v>
      </c>
      <c r="F209" s="370">
        <f>IF(D209=0," ",D209*E209)</f>
        <v/>
      </c>
      <c r="G209" s="371" t="n">
        <v>1</v>
      </c>
      <c r="H209" s="372" t="n"/>
      <c r="I209" s="370">
        <f>IF(F209=" "," ",F209*G209-H209)</f>
        <v/>
      </c>
      <c r="J209" s="369" t="n">
        <v>0.266</v>
      </c>
      <c r="K209" s="371" t="n">
        <v>23</v>
      </c>
      <c r="L209" s="373">
        <f>IF(I209=" "," ",I209*J209*K209)</f>
        <v/>
      </c>
      <c r="M209" s="374" t="n">
        <v>7</v>
      </c>
      <c r="N209" s="371" t="n">
        <v>0</v>
      </c>
      <c r="O209" s="374" t="n">
        <v>0</v>
      </c>
      <c r="P209" s="370">
        <f>IF(M209=" "," ",(1+(M209+N209+O209)/100))</f>
        <v/>
      </c>
      <c r="Q209" s="375">
        <f>IF(L209=" "," ",L209*P209)</f>
        <v/>
      </c>
    </row>
    <row r="210" ht="9.949999999999999" customHeight="1" s="244">
      <c r="A210" s="376" t="n"/>
      <c r="B210" s="377" t="n"/>
      <c r="C210" s="377" t="n"/>
      <c r="D210" s="378" t="n"/>
      <c r="E210" s="378" t="n"/>
      <c r="F210" s="378" t="n"/>
      <c r="G210" s="379" t="n"/>
      <c r="H210" s="378" t="n"/>
      <c r="I210" s="378" t="n"/>
      <c r="J210" s="378" t="n"/>
      <c r="K210" s="379" t="n"/>
      <c r="L210" s="380" t="n"/>
      <c r="M210" s="381" t="n"/>
      <c r="N210" s="381" t="n"/>
      <c r="O210" s="381" t="n"/>
      <c r="P210" s="382" t="n"/>
      <c r="Q210" s="383">
        <f>SUM(Q209:Q209)</f>
        <v/>
      </c>
    </row>
    <row r="211" ht="9.949999999999999" customHeight="1" s="244">
      <c r="A211" s="384" t="n"/>
      <c r="B211" s="385" t="n"/>
      <c r="C211" s="385" t="n"/>
      <c r="D211" s="386" t="n"/>
      <c r="E211" s="387" t="n"/>
      <c r="F211" s="388" t="n"/>
      <c r="G211" s="389" t="n"/>
      <c r="H211" s="388" t="n"/>
      <c r="I211" s="390" t="n"/>
      <c r="J211" s="391" t="inlineStr">
        <is>
          <t>Qs=</t>
        </is>
      </c>
      <c r="K211" s="390" t="inlineStr">
        <is>
          <t>S a</t>
        </is>
      </c>
      <c r="L211" s="388" t="inlineStr">
        <is>
          <t>L</t>
        </is>
      </c>
      <c r="M211" s="389" t="inlineStr">
        <is>
          <t>R</t>
        </is>
      </c>
      <c r="N211" s="392" t="inlineStr">
        <is>
          <t>H</t>
        </is>
      </c>
      <c r="O211" s="393" t="inlineStr">
        <is>
          <t>D  T</t>
        </is>
      </c>
      <c r="P211" s="389" t="inlineStr">
        <is>
          <t>Ze</t>
        </is>
      </c>
      <c r="Q211" s="394" t="n"/>
    </row>
    <row r="212" ht="9.949999999999999" customHeight="1" s="244">
      <c r="A212" s="395" t="inlineStr">
        <is>
          <t xml:space="preserve"> </t>
        </is>
      </c>
      <c r="C212" s="397" t="n"/>
      <c r="D212" s="397" t="n"/>
      <c r="E212" s="398" t="n"/>
      <c r="F212" s="399" t="n"/>
      <c r="G212" s="400" t="n"/>
      <c r="H212" s="401" t="n"/>
      <c r="I212" s="402" t="n"/>
      <c r="J212" s="403" t="inlineStr">
        <is>
          <t>Qs  =</t>
        </is>
      </c>
      <c r="K212" s="404" t="n">
        <v>2</v>
      </c>
      <c r="L212" s="404" t="n">
        <v>0</v>
      </c>
      <c r="M212" s="404" t="n">
        <v>0.9</v>
      </c>
      <c r="N212" s="404" t="n">
        <v>0.67</v>
      </c>
      <c r="O212" s="381" t="n">
        <v>23</v>
      </c>
      <c r="P212" s="404" t="n">
        <v>1</v>
      </c>
      <c r="Q212" s="383">
        <f>K212*L212*M212*N212*O212*P212</f>
        <v/>
      </c>
    </row>
    <row r="213" ht="9.949999999999999" customHeight="1" s="244">
      <c r="A213" s="405" t="n"/>
      <c r="B213" s="406" t="n"/>
      <c r="C213" s="397" t="n"/>
      <c r="D213" s="397" t="n"/>
      <c r="E213" s="378" t="n"/>
      <c r="F213" s="256" t="n"/>
      <c r="G213" s="407" t="n"/>
      <c r="H213" s="397" t="n"/>
      <c r="I213" s="397" t="n"/>
      <c r="J213" s="397" t="n"/>
      <c r="K213" s="407" t="n"/>
      <c r="L213" s="408" t="n"/>
      <c r="M213" s="409" t="inlineStr">
        <is>
          <t xml:space="preserve">   TOPLAM ISI KAYBI =</t>
        </is>
      </c>
      <c r="N213" s="409" t="n"/>
      <c r="O213" s="410" t="n"/>
      <c r="P213" s="409" t="n"/>
      <c r="Q213" s="411">
        <f>Q210+Q212</f>
        <v/>
      </c>
    </row>
    <row r="214" ht="10.35" customHeight="1" s="244">
      <c r="A214" s="359" t="n"/>
      <c r="B214" s="360" t="n"/>
      <c r="C214" s="360" t="n"/>
      <c r="D214" s="360" t="n"/>
      <c r="E214" s="360" t="n"/>
      <c r="F214" s="361" t="inlineStr">
        <is>
          <t>2</t>
        </is>
      </c>
      <c r="G214" s="362" t="inlineStr">
        <is>
          <t>0</t>
        </is>
      </c>
      <c r="H214" s="360" t="inlineStr">
        <is>
          <t>2B2-03</t>
        </is>
      </c>
      <c r="I214" s="363" t="inlineStr">
        <is>
          <t>OFİS B2 GİRİŞ KARŞILAM</t>
        </is>
      </c>
      <c r="J214" s="364" t="n"/>
      <c r="K214" s="360" t="inlineStr">
        <is>
          <t>20ºC</t>
        </is>
      </c>
      <c r="L214" s="360" t="n"/>
      <c r="M214" s="360" t="n"/>
      <c r="N214" s="360" t="n"/>
      <c r="O214" s="360" t="n"/>
      <c r="P214" s="360" t="n"/>
      <c r="Q214" s="365" t="n"/>
    </row>
    <row r="215" ht="9.949999999999999" customHeight="1" s="244">
      <c r="A215" s="366" t="inlineStr">
        <is>
          <t>İDM</t>
        </is>
      </c>
      <c r="B215" s="367" t="inlineStr"/>
      <c r="C215" s="368" t="n"/>
      <c r="D215" s="369" t="n">
        <v>3.53</v>
      </c>
      <c r="E215" s="369" t="n">
        <v>3</v>
      </c>
      <c r="F215" s="370">
        <f>IF(D215=0," ",D215*E215)</f>
        <v/>
      </c>
      <c r="G215" s="371" t="n">
        <v>1</v>
      </c>
      <c r="H215" s="372" t="n"/>
      <c r="I215" s="370">
        <f>IF(F215=" "," ",F215*G215-H215)</f>
        <v/>
      </c>
      <c r="J215" s="369" t="n">
        <v>0.332</v>
      </c>
      <c r="K215" s="371" t="n">
        <v>10</v>
      </c>
      <c r="L215" s="373">
        <f>IF(I215=" "," ",I215*J215*K215)</f>
        <v/>
      </c>
      <c r="M215" s="374" t="n">
        <v>7</v>
      </c>
      <c r="N215" s="371" t="n">
        <v>0</v>
      </c>
      <c r="O215" s="374" t="n">
        <v>0</v>
      </c>
      <c r="P215" s="370">
        <f>IF(M215=" "," ",(1+(M215+N215+O215)/100))</f>
        <v/>
      </c>
      <c r="Q215" s="375">
        <f>IF(L215=" "," ",L215*P215)</f>
        <v/>
      </c>
    </row>
    <row r="216" ht="9.949999999999999" customHeight="1" s="244">
      <c r="A216" s="366" t="inlineStr">
        <is>
          <t>İDM</t>
        </is>
      </c>
      <c r="B216" s="367" t="inlineStr"/>
      <c r="C216" s="368" t="n"/>
      <c r="D216" s="369" t="n">
        <v>0.73</v>
      </c>
      <c r="E216" s="369" t="n">
        <v>3</v>
      </c>
      <c r="F216" s="370">
        <f>IF(D216=0," ",D216*E216)</f>
        <v/>
      </c>
      <c r="G216" s="371" t="n">
        <v>1</v>
      </c>
      <c r="H216" s="372" t="n"/>
      <c r="I216" s="370">
        <f>IF(F216=" "," ",F216*G216-H216)</f>
        <v/>
      </c>
      <c r="J216" s="369" t="n">
        <v>0.332</v>
      </c>
      <c r="K216" s="371" t="n">
        <v>10</v>
      </c>
      <c r="L216" s="373">
        <f>IF(I216=" "," ",I216*J216*K216)</f>
        <v/>
      </c>
      <c r="M216" s="374" t="n">
        <v>7</v>
      </c>
      <c r="N216" s="371" t="n">
        <v>0</v>
      </c>
      <c r="O216" s="374" t="n">
        <v>0</v>
      </c>
      <c r="P216" s="370">
        <f>IF(M216=" "," ",(1+(M216+N216+O216)/100))</f>
        <v/>
      </c>
      <c r="Q216" s="375">
        <f>IF(L216=" "," ",L216*P216)</f>
        <v/>
      </c>
    </row>
    <row r="217" ht="9.949999999999999" customHeight="1" s="244">
      <c r="A217" s="366" t="inlineStr">
        <is>
          <t>İDM</t>
        </is>
      </c>
      <c r="B217" s="367" t="inlineStr"/>
      <c r="C217" s="368" t="n"/>
      <c r="D217" s="369" t="n">
        <v>0.36</v>
      </c>
      <c r="E217" s="369" t="n">
        <v>3</v>
      </c>
      <c r="F217" s="370">
        <f>IF(D217=0," ",D217*E217)</f>
        <v/>
      </c>
      <c r="G217" s="371" t="n">
        <v>1</v>
      </c>
      <c r="H217" s="372" t="n"/>
      <c r="I217" s="370">
        <f>IF(F217=" "," ",F217*G217-H217)</f>
        <v/>
      </c>
      <c r="J217" s="369" t="n">
        <v>0.332</v>
      </c>
      <c r="K217" s="371" t="n">
        <v>10</v>
      </c>
      <c r="L217" s="373">
        <f>IF(I217=" "," ",I217*J217*K217)</f>
        <v/>
      </c>
      <c r="M217" s="374" t="n">
        <v>7</v>
      </c>
      <c r="N217" s="371" t="n">
        <v>0</v>
      </c>
      <c r="O217" s="374" t="n">
        <v>0</v>
      </c>
      <c r="P217" s="370">
        <f>IF(M217=" "," ",(1+(M217+N217+O217)/100))</f>
        <v/>
      </c>
      <c r="Q217" s="375">
        <f>IF(L217=" "," ",L217*P217)</f>
        <v/>
      </c>
    </row>
    <row r="218" ht="9.949999999999999" customHeight="1" s="244">
      <c r="A218" s="366" t="inlineStr">
        <is>
          <t>Ta</t>
        </is>
      </c>
      <c r="B218" s="367" t="inlineStr"/>
      <c r="C218" s="368" t="n"/>
      <c r="D218" s="369" t="n">
        <v>13.46</v>
      </c>
      <c r="E218" s="369" t="n">
        <v>1</v>
      </c>
      <c r="F218" s="370">
        <f>IF(D218=0," ",D218*E218)</f>
        <v/>
      </c>
      <c r="G218" s="371" t="n">
        <v>1</v>
      </c>
      <c r="H218" s="372" t="n"/>
      <c r="I218" s="370">
        <f>IF(F218=" "," ",F218*G218-H218)</f>
        <v/>
      </c>
      <c r="J218" s="369" t="n">
        <v>0.266</v>
      </c>
      <c r="K218" s="371" t="n">
        <v>23</v>
      </c>
      <c r="L218" s="373">
        <f>IF(I218=" "," ",I218*J218*K218)</f>
        <v/>
      </c>
      <c r="M218" s="374" t="n">
        <v>7</v>
      </c>
      <c r="N218" s="371" t="n">
        <v>0</v>
      </c>
      <c r="O218" s="374" t="n">
        <v>0</v>
      </c>
      <c r="P218" s="370">
        <f>IF(M218=" "," ",(1+(M218+N218+O218)/100))</f>
        <v/>
      </c>
      <c r="Q218" s="375">
        <f>IF(L218=" "," ",L218*P218)</f>
        <v/>
      </c>
    </row>
    <row r="219" ht="9.949999999999999" customHeight="1" s="244">
      <c r="A219" s="376" t="n"/>
      <c r="B219" s="377" t="n"/>
      <c r="C219" s="377" t="n"/>
      <c r="D219" s="378" t="n"/>
      <c r="E219" s="378" t="n"/>
      <c r="F219" s="378" t="n"/>
      <c r="G219" s="379" t="n"/>
      <c r="H219" s="378" t="n"/>
      <c r="I219" s="378" t="n"/>
      <c r="J219" s="378" t="n"/>
      <c r="K219" s="379" t="n"/>
      <c r="L219" s="380" t="n"/>
      <c r="M219" s="381" t="n"/>
      <c r="N219" s="381" t="n"/>
      <c r="O219" s="381" t="n"/>
      <c r="P219" s="382" t="n"/>
      <c r="Q219" s="383">
        <f>SUM(Q215:Q218)</f>
        <v/>
      </c>
    </row>
    <row r="220" ht="9.949999999999999" customHeight="1" s="244">
      <c r="A220" s="384" t="n"/>
      <c r="B220" s="385" t="n"/>
      <c r="C220" s="385" t="n"/>
      <c r="D220" s="386" t="n"/>
      <c r="E220" s="387" t="n"/>
      <c r="F220" s="388" t="n"/>
      <c r="G220" s="389" t="n"/>
      <c r="H220" s="388" t="n"/>
      <c r="I220" s="390" t="n"/>
      <c r="J220" s="391" t="inlineStr">
        <is>
          <t>Qs=</t>
        </is>
      </c>
      <c r="K220" s="390" t="inlineStr">
        <is>
          <t>S a</t>
        </is>
      </c>
      <c r="L220" s="388" t="inlineStr">
        <is>
          <t>L</t>
        </is>
      </c>
      <c r="M220" s="389" t="inlineStr">
        <is>
          <t>R</t>
        </is>
      </c>
      <c r="N220" s="392" t="inlineStr">
        <is>
          <t>H</t>
        </is>
      </c>
      <c r="O220" s="393" t="inlineStr">
        <is>
          <t>D  T</t>
        </is>
      </c>
      <c r="P220" s="389" t="inlineStr">
        <is>
          <t>Ze</t>
        </is>
      </c>
      <c r="Q220" s="394" t="n"/>
    </row>
    <row r="221" ht="9.949999999999999" customHeight="1" s="244">
      <c r="A221" s="395" t="inlineStr">
        <is>
          <t xml:space="preserve"> </t>
        </is>
      </c>
      <c r="C221" s="397" t="n"/>
      <c r="D221" s="397" t="n"/>
      <c r="E221" s="398" t="n"/>
      <c r="F221" s="399" t="n"/>
      <c r="G221" s="400" t="n"/>
      <c r="H221" s="401" t="n"/>
      <c r="I221" s="402" t="n"/>
      <c r="J221" s="403" t="inlineStr">
        <is>
          <t>Qs  =</t>
        </is>
      </c>
      <c r="K221" s="404" t="n">
        <v>2</v>
      </c>
      <c r="L221" s="404" t="n">
        <v>0</v>
      </c>
      <c r="M221" s="404" t="n">
        <v>0.9</v>
      </c>
      <c r="N221" s="404" t="n">
        <v>0.67</v>
      </c>
      <c r="O221" s="381" t="n">
        <v>23</v>
      </c>
      <c r="P221" s="404" t="n">
        <v>1</v>
      </c>
      <c r="Q221" s="383">
        <f>K221*L221*M221*N221*O221*P221</f>
        <v/>
      </c>
    </row>
    <row r="222" ht="9.949999999999999" customHeight="1" s="244">
      <c r="A222" s="405" t="n"/>
      <c r="B222" s="406" t="n"/>
      <c r="C222" s="397" t="n"/>
      <c r="D222" s="397" t="n"/>
      <c r="E222" s="378" t="n"/>
      <c r="F222" s="256" t="n"/>
      <c r="G222" s="407" t="n"/>
      <c r="H222" s="397" t="n"/>
      <c r="I222" s="397" t="n"/>
      <c r="J222" s="397" t="n"/>
      <c r="K222" s="407" t="n"/>
      <c r="L222" s="408" t="n"/>
      <c r="M222" s="409" t="inlineStr">
        <is>
          <t xml:space="preserve">   TOPLAM ISI KAYBI =</t>
        </is>
      </c>
      <c r="N222" s="409" t="n"/>
      <c r="O222" s="410" t="n"/>
      <c r="P222" s="409" t="n"/>
      <c r="Q222" s="411">
        <f>Q219+Q221</f>
        <v/>
      </c>
    </row>
    <row r="223" ht="10.35" customHeight="1" s="244">
      <c r="A223" s="359" t="n"/>
      <c r="B223" s="360" t="n"/>
      <c r="C223" s="360" t="n"/>
      <c r="D223" s="360" t="n"/>
      <c r="E223" s="360" t="n"/>
      <c r="F223" s="361" t="inlineStr">
        <is>
          <t>2</t>
        </is>
      </c>
      <c r="G223" s="362" t="inlineStr">
        <is>
          <t>0</t>
        </is>
      </c>
      <c r="H223" s="360" t="inlineStr">
        <is>
          <t>2B2-04</t>
        </is>
      </c>
      <c r="I223" s="363" t="inlineStr">
        <is>
          <t>OFİS B2 BANYO</t>
        </is>
      </c>
      <c r="J223" s="364" t="n"/>
      <c r="K223" s="360" t="inlineStr">
        <is>
          <t>24ºC</t>
        </is>
      </c>
      <c r="L223" s="360" t="n"/>
      <c r="M223" s="360" t="n"/>
      <c r="N223" s="360" t="n"/>
      <c r="O223" s="360" t="n"/>
      <c r="P223" s="360" t="n"/>
      <c r="Q223" s="365" t="n"/>
    </row>
    <row r="224" ht="9.949999999999999" customHeight="1" s="244">
      <c r="A224" s="366" t="inlineStr">
        <is>
          <t>İDM</t>
        </is>
      </c>
      <c r="B224" s="367" t="inlineStr"/>
      <c r="C224" s="368" t="n"/>
      <c r="D224" s="369" t="n">
        <v>0.4</v>
      </c>
      <c r="E224" s="369" t="n">
        <v>3</v>
      </c>
      <c r="F224" s="370">
        <f>IF(D224=0," ",D224*E224)</f>
        <v/>
      </c>
      <c r="G224" s="371" t="n">
        <v>1</v>
      </c>
      <c r="H224" s="372" t="n"/>
      <c r="I224" s="370">
        <f>IF(F224=" "," ",F224*G224-H224)</f>
        <v/>
      </c>
      <c r="J224" s="369" t="n">
        <v>0.332</v>
      </c>
      <c r="K224" s="371" t="n">
        <v>14</v>
      </c>
      <c r="L224" s="373">
        <f>IF(I224=" "," ",I224*J224*K224)</f>
        <v/>
      </c>
      <c r="M224" s="374" t="n">
        <v>7</v>
      </c>
      <c r="N224" s="371" t="n">
        <v>0</v>
      </c>
      <c r="O224" s="374" t="n">
        <v>0</v>
      </c>
      <c r="P224" s="370">
        <f>IF(M224=" "," ",(1+(M224+N224+O224)/100))</f>
        <v/>
      </c>
      <c r="Q224" s="375">
        <f>IF(L224=" "," ",L224*P224)</f>
        <v/>
      </c>
    </row>
    <row r="225" ht="9.949999999999999" customHeight="1" s="244">
      <c r="A225" s="366" t="inlineStr">
        <is>
          <t>İDM</t>
        </is>
      </c>
      <c r="B225" s="367" t="inlineStr"/>
      <c r="C225" s="368" t="n"/>
      <c r="D225" s="369" t="n">
        <v>0.83</v>
      </c>
      <c r="E225" s="369" t="n">
        <v>3</v>
      </c>
      <c r="F225" s="370">
        <f>IF(D225=0," ",D225*E225)</f>
        <v/>
      </c>
      <c r="G225" s="371" t="n">
        <v>1</v>
      </c>
      <c r="H225" s="372" t="n"/>
      <c r="I225" s="370">
        <f>IF(F225=" "," ",F225*G225-H225)</f>
        <v/>
      </c>
      <c r="J225" s="369" t="n">
        <v>0.332</v>
      </c>
      <c r="K225" s="371" t="n">
        <v>14</v>
      </c>
      <c r="L225" s="373">
        <f>IF(I225=" "," ",I225*J225*K225)</f>
        <v/>
      </c>
      <c r="M225" s="374" t="n">
        <v>7</v>
      </c>
      <c r="N225" s="371" t="n">
        <v>0</v>
      </c>
      <c r="O225" s="374" t="n">
        <v>0</v>
      </c>
      <c r="P225" s="370">
        <f>IF(M225=" "," ",(1+(M225+N225+O225)/100))</f>
        <v/>
      </c>
      <c r="Q225" s="375">
        <f>IF(L225=" "," ",L225*P225)</f>
        <v/>
      </c>
    </row>
    <row r="226" ht="9.949999999999999" customHeight="1" s="244">
      <c r="A226" s="366" t="inlineStr">
        <is>
          <t>Ta</t>
        </is>
      </c>
      <c r="B226" s="367" t="inlineStr"/>
      <c r="C226" s="368" t="n"/>
      <c r="D226" s="369" t="n">
        <v>4.5</v>
      </c>
      <c r="E226" s="369" t="n">
        <v>1</v>
      </c>
      <c r="F226" s="370">
        <f>IF(D226=0," ",D226*E226)</f>
        <v/>
      </c>
      <c r="G226" s="371" t="n">
        <v>1</v>
      </c>
      <c r="H226" s="372" t="n"/>
      <c r="I226" s="370">
        <f>IF(F226=" "," ",F226*G226-H226)</f>
        <v/>
      </c>
      <c r="J226" s="369" t="n">
        <v>0.266</v>
      </c>
      <c r="K226" s="371" t="n">
        <v>27</v>
      </c>
      <c r="L226" s="373">
        <f>IF(I226=" "," ",I226*J226*K226)</f>
        <v/>
      </c>
      <c r="M226" s="374" t="n">
        <v>7</v>
      </c>
      <c r="N226" s="371" t="n">
        <v>0</v>
      </c>
      <c r="O226" s="374" t="n">
        <v>0</v>
      </c>
      <c r="P226" s="370">
        <f>IF(M226=" "," ",(1+(M226+N226+O226)/100))</f>
        <v/>
      </c>
      <c r="Q226" s="375">
        <f>IF(L226=" "," ",L226*P226)</f>
        <v/>
      </c>
    </row>
    <row r="227" ht="9.949999999999999" customHeight="1" s="244">
      <c r="A227" s="376" t="n"/>
      <c r="B227" s="377" t="n"/>
      <c r="C227" s="377" t="n"/>
      <c r="D227" s="378" t="n"/>
      <c r="E227" s="378" t="n"/>
      <c r="F227" s="378" t="n"/>
      <c r="G227" s="379" t="n"/>
      <c r="H227" s="378" t="n"/>
      <c r="I227" s="378" t="n"/>
      <c r="J227" s="378" t="n"/>
      <c r="K227" s="379" t="n"/>
      <c r="L227" s="380" t="n"/>
      <c r="M227" s="381" t="n"/>
      <c r="N227" s="381" t="n"/>
      <c r="O227" s="381" t="n"/>
      <c r="P227" s="382" t="n"/>
      <c r="Q227" s="383">
        <f>SUM(Q224:Q226)</f>
        <v/>
      </c>
    </row>
    <row r="228" ht="9.949999999999999" customHeight="1" s="244">
      <c r="A228" s="384" t="n"/>
      <c r="B228" s="385" t="n"/>
      <c r="C228" s="385" t="n"/>
      <c r="D228" s="386" t="n"/>
      <c r="E228" s="387" t="n"/>
      <c r="F228" s="388" t="n"/>
      <c r="G228" s="389" t="n"/>
      <c r="H228" s="388" t="n"/>
      <c r="I228" s="390" t="n"/>
      <c r="J228" s="391" t="inlineStr">
        <is>
          <t>Qs=</t>
        </is>
      </c>
      <c r="K228" s="390" t="inlineStr">
        <is>
          <t>S a</t>
        </is>
      </c>
      <c r="L228" s="388" t="inlineStr">
        <is>
          <t>L</t>
        </is>
      </c>
      <c r="M228" s="389" t="inlineStr">
        <is>
          <t>R</t>
        </is>
      </c>
      <c r="N228" s="392" t="inlineStr">
        <is>
          <t>H</t>
        </is>
      </c>
      <c r="O228" s="393" t="inlineStr">
        <is>
          <t>D  T</t>
        </is>
      </c>
      <c r="P228" s="389" t="inlineStr">
        <is>
          <t>Ze</t>
        </is>
      </c>
      <c r="Q228" s="394" t="n"/>
    </row>
    <row r="229" ht="9.949999999999999" customHeight="1" s="244">
      <c r="A229" s="395" t="inlineStr">
        <is>
          <t xml:space="preserve"> </t>
        </is>
      </c>
      <c r="C229" s="397" t="n"/>
      <c r="D229" s="397" t="n"/>
      <c r="E229" s="398" t="n"/>
      <c r="F229" s="399" t="n"/>
      <c r="G229" s="400" t="n"/>
      <c r="H229" s="401" t="n"/>
      <c r="I229" s="402" t="n"/>
      <c r="J229" s="403" t="inlineStr">
        <is>
          <t>Qs  =</t>
        </is>
      </c>
      <c r="K229" s="404" t="n">
        <v>2</v>
      </c>
      <c r="L229" s="404" t="n">
        <v>0</v>
      </c>
      <c r="M229" s="404" t="n">
        <v>0.9</v>
      </c>
      <c r="N229" s="404" t="n">
        <v>0.67</v>
      </c>
      <c r="O229" s="381" t="n">
        <v>27</v>
      </c>
      <c r="P229" s="404" t="n">
        <v>1</v>
      </c>
      <c r="Q229" s="383">
        <f>K229*L229*M229*N229*O229*P229</f>
        <v/>
      </c>
    </row>
    <row r="230" ht="9.949999999999999" customHeight="1" s="244">
      <c r="A230" s="405" t="n"/>
      <c r="B230" s="406" t="n"/>
      <c r="C230" s="397" t="n"/>
      <c r="D230" s="397" t="n"/>
      <c r="E230" s="378" t="n"/>
      <c r="F230" s="256" t="n"/>
      <c r="G230" s="407" t="n"/>
      <c r="H230" s="397" t="n"/>
      <c r="I230" s="397" t="n"/>
      <c r="J230" s="397" t="n"/>
      <c r="K230" s="407" t="n"/>
      <c r="L230" s="408" t="n"/>
      <c r="M230" s="409" t="inlineStr">
        <is>
          <t xml:space="preserve">   TOPLAM ISI KAYBI =</t>
        </is>
      </c>
      <c r="N230" s="409" t="n"/>
      <c r="O230" s="410" t="n"/>
      <c r="P230" s="409" t="n"/>
      <c r="Q230" s="411">
        <f>Q227+Q229</f>
        <v/>
      </c>
    </row>
    <row r="231" ht="10.35" customHeight="1" s="244">
      <c r="A231" s="359" t="n"/>
      <c r="B231" s="360" t="n"/>
      <c r="C231" s="360" t="n"/>
      <c r="D231" s="360" t="n"/>
      <c r="E231" s="360" t="n"/>
      <c r="F231" s="361" t="inlineStr">
        <is>
          <t>2</t>
        </is>
      </c>
      <c r="G231" s="362" t="inlineStr">
        <is>
          <t>0</t>
        </is>
      </c>
      <c r="H231" s="360" t="inlineStr">
        <is>
          <t>2B3-01</t>
        </is>
      </c>
      <c r="I231" s="363" t="inlineStr">
        <is>
          <t>OFİS B3 ODA</t>
        </is>
      </c>
      <c r="J231" s="364" t="n"/>
      <c r="K231" s="360" t="inlineStr">
        <is>
          <t>20ºC</t>
        </is>
      </c>
      <c r="L231" s="360" t="n"/>
      <c r="M231" s="360" t="n"/>
      <c r="N231" s="360" t="n"/>
      <c r="O231" s="360" t="n"/>
      <c r="P231" s="360" t="n"/>
      <c r="Q231" s="365" t="n"/>
    </row>
    <row r="232" ht="9.949999999999999" customHeight="1" s="244">
      <c r="A232" s="366" t="inlineStr">
        <is>
          <t>DD</t>
        </is>
      </c>
      <c r="B232" s="367" t="inlineStr">
        <is>
          <t>G</t>
        </is>
      </c>
      <c r="C232" s="368" t="n"/>
      <c r="D232" s="369" t="n">
        <v>4.68</v>
      </c>
      <c r="E232" s="369" t="n">
        <v>2.5</v>
      </c>
      <c r="F232" s="370">
        <f>IF(D232=0," ",D232*E232)</f>
        <v/>
      </c>
      <c r="G232" s="371" t="n">
        <v>1</v>
      </c>
      <c r="H232" s="372">
        <f>F234*G234</f>
        <v/>
      </c>
      <c r="I232" s="370">
        <f>IF(F232=" "," ",F232*G232-H232)</f>
        <v/>
      </c>
      <c r="J232" s="369" t="n">
        <v>0.344</v>
      </c>
      <c r="K232" s="371" t="n">
        <v>23</v>
      </c>
      <c r="L232" s="373">
        <f>IF(I232=" "," ",I232*J232*K232)</f>
        <v/>
      </c>
      <c r="M232" s="374" t="n">
        <v>7</v>
      </c>
      <c r="N232" s="371" t="n">
        <v>0</v>
      </c>
      <c r="O232" s="374" t="n">
        <v>-5</v>
      </c>
      <c r="P232" s="370">
        <f>IF(M232=" "," ",(1+(M232+N232+O232)/100))</f>
        <v/>
      </c>
      <c r="Q232" s="375">
        <f>IF(L232=" "," ",L232*P232)</f>
        <v/>
      </c>
    </row>
    <row r="233" ht="9.949999999999999" customHeight="1" s="244">
      <c r="A233" s="366" t="inlineStr">
        <is>
          <t>DD25</t>
        </is>
      </c>
      <c r="B233" s="367" t="inlineStr">
        <is>
          <t>G</t>
        </is>
      </c>
      <c r="C233" s="368" t="n"/>
      <c r="D233" s="369">
        <f>D232</f>
        <v/>
      </c>
      <c r="E233" s="369" t="n">
        <v>0.5</v>
      </c>
      <c r="F233" s="370">
        <f>IF(D233=0," ",D233*E233)</f>
        <v/>
      </c>
      <c r="G233" s="371" t="n">
        <v>1</v>
      </c>
      <c r="H233" s="372" t="n"/>
      <c r="I233" s="370">
        <f>IF(F233=" "," ",F233*G233-H233)</f>
        <v/>
      </c>
      <c r="J233" s="369" t="n">
        <v>0.387</v>
      </c>
      <c r="K233" s="371" t="n">
        <v>23</v>
      </c>
      <c r="L233" s="373">
        <f>IF(I233=" "," ",I233*J233*K233)</f>
        <v/>
      </c>
      <c r="M233" s="374" t="n">
        <v>7</v>
      </c>
      <c r="N233" s="371" t="n">
        <v>0</v>
      </c>
      <c r="O233" s="374" t="n">
        <v>-5</v>
      </c>
      <c r="P233" s="370">
        <f>IF(M233=" "," ",(1+(M233+N233+O233)/100))</f>
        <v/>
      </c>
      <c r="Q233" s="375">
        <f>IF(L233=" "," ",L233*P233)</f>
        <v/>
      </c>
    </row>
    <row r="234" ht="9.949999999999999" customHeight="1" s="244">
      <c r="A234" s="366" t="inlineStr">
        <is>
          <t>ÇP</t>
        </is>
      </c>
      <c r="B234" s="367" t="inlineStr">
        <is>
          <t>G</t>
        </is>
      </c>
      <c r="C234" s="368" t="n"/>
      <c r="D234" s="369" t="n">
        <v>2.57</v>
      </c>
      <c r="E234" s="369" t="n">
        <v>1.5</v>
      </c>
      <c r="F234" s="370">
        <f>IF(D234=0," ",D234*E234)</f>
        <v/>
      </c>
      <c r="G234" s="371" t="n">
        <v>1</v>
      </c>
      <c r="H234" s="372" t="n"/>
      <c r="I234" s="370">
        <f>IF(F234=" "," ",F234*G234-H234)</f>
        <v/>
      </c>
      <c r="J234" s="369" t="n">
        <v>1.8</v>
      </c>
      <c r="K234" s="371" t="n">
        <v>23</v>
      </c>
      <c r="L234" s="373">
        <f>IF(I234=" "," ",I234*J234*K234)</f>
        <v/>
      </c>
      <c r="M234" s="374" t="n">
        <v>7</v>
      </c>
      <c r="N234" s="371" t="n">
        <v>0</v>
      </c>
      <c r="O234" s="374" t="n">
        <v>-5</v>
      </c>
      <c r="P234" s="370">
        <f>IF(M234=" "," ",(1+(M234+N234+O234)/100))</f>
        <v/>
      </c>
      <c r="Q234" s="375">
        <f>IF(L234=" "," ",L234*P234)</f>
        <v/>
      </c>
    </row>
    <row r="235" ht="9.949999999999999" customHeight="1" s="244">
      <c r="A235" s="366" t="inlineStr">
        <is>
          <t>İDM</t>
        </is>
      </c>
      <c r="B235" s="367" t="inlineStr"/>
      <c r="C235" s="368" t="n"/>
      <c r="D235" s="369" t="n">
        <v>2.63</v>
      </c>
      <c r="E235" s="369" t="n">
        <v>3</v>
      </c>
      <c r="F235" s="370">
        <f>IF(D235=0," ",D235*E235)</f>
        <v/>
      </c>
      <c r="G235" s="371" t="n">
        <v>1</v>
      </c>
      <c r="H235" s="372" t="n"/>
      <c r="I235" s="370">
        <f>IF(F235=" "," ",F235*G235-H235)</f>
        <v/>
      </c>
      <c r="J235" s="369" t="n">
        <v>0.332</v>
      </c>
      <c r="K235" s="371" t="n">
        <v>5</v>
      </c>
      <c r="L235" s="373">
        <f>IF(I235=" "," ",I235*J235*K235)</f>
        <v/>
      </c>
      <c r="M235" s="374" t="n">
        <v>7</v>
      </c>
      <c r="N235" s="371" t="n">
        <v>0</v>
      </c>
      <c r="O235" s="374" t="n">
        <v>0</v>
      </c>
      <c r="P235" s="370">
        <f>IF(M235=" "," ",(1+(M235+N235+O235)/100))</f>
        <v/>
      </c>
      <c r="Q235" s="375">
        <f>IF(L235=" "," ",L235*P235)</f>
        <v/>
      </c>
    </row>
    <row r="236" ht="9.949999999999999" customHeight="1" s="244">
      <c r="A236" s="366" t="inlineStr">
        <is>
          <t>Ta</t>
        </is>
      </c>
      <c r="B236" s="367" t="inlineStr"/>
      <c r="C236" s="368" t="n"/>
      <c r="D236" s="369" t="n">
        <v>13.5</v>
      </c>
      <c r="E236" s="369" t="n">
        <v>1</v>
      </c>
      <c r="F236" s="370">
        <f>IF(D236=0," ",D236*E236)</f>
        <v/>
      </c>
      <c r="G236" s="371" t="n">
        <v>1</v>
      </c>
      <c r="H236" s="372" t="n"/>
      <c r="I236" s="370">
        <f>IF(F236=" "," ",F236*G236-H236)</f>
        <v/>
      </c>
      <c r="J236" s="369" t="n">
        <v>0.266</v>
      </c>
      <c r="K236" s="371" t="n">
        <v>23</v>
      </c>
      <c r="L236" s="373">
        <f>IF(I236=" "," ",I236*J236*K236)</f>
        <v/>
      </c>
      <c r="M236" s="374" t="n">
        <v>7</v>
      </c>
      <c r="N236" s="371" t="n">
        <v>0</v>
      </c>
      <c r="O236" s="374" t="n">
        <v>0</v>
      </c>
      <c r="P236" s="370">
        <f>IF(M236=" "," ",(1+(M236+N236+O236)/100))</f>
        <v/>
      </c>
      <c r="Q236" s="375">
        <f>IF(L236=" "," ",L236*P236)</f>
        <v/>
      </c>
    </row>
    <row r="237" ht="9.949999999999999" customHeight="1" s="244">
      <c r="A237" s="376" t="n"/>
      <c r="B237" s="377" t="n"/>
      <c r="C237" s="377" t="n"/>
      <c r="D237" s="378" t="n"/>
      <c r="E237" s="378" t="n"/>
      <c r="F237" s="378" t="n"/>
      <c r="G237" s="379" t="n"/>
      <c r="H237" s="378" t="n"/>
      <c r="I237" s="378" t="n"/>
      <c r="J237" s="378" t="n"/>
      <c r="K237" s="379" t="n"/>
      <c r="L237" s="380" t="n"/>
      <c r="M237" s="381" t="n"/>
      <c r="N237" s="381" t="n"/>
      <c r="O237" s="381" t="n"/>
      <c r="P237" s="382" t="n"/>
      <c r="Q237" s="383">
        <f>SUM(Q232:Q236)</f>
        <v/>
      </c>
    </row>
    <row r="238" ht="9.949999999999999" customHeight="1" s="244">
      <c r="A238" s="384" t="n"/>
      <c r="B238" s="385" t="n"/>
      <c r="C238" s="385" t="n"/>
      <c r="D238" s="386" t="n"/>
      <c r="E238" s="387" t="n"/>
      <c r="F238" s="388" t="n"/>
      <c r="G238" s="389" t="n"/>
      <c r="H238" s="388" t="n"/>
      <c r="I238" s="390" t="n"/>
      <c r="J238" s="391" t="inlineStr">
        <is>
          <t>Qs=</t>
        </is>
      </c>
      <c r="K238" s="390" t="inlineStr">
        <is>
          <t>S a</t>
        </is>
      </c>
      <c r="L238" s="388" t="inlineStr">
        <is>
          <t>L</t>
        </is>
      </c>
      <c r="M238" s="389" t="inlineStr">
        <is>
          <t>R</t>
        </is>
      </c>
      <c r="N238" s="392" t="inlineStr">
        <is>
          <t>H</t>
        </is>
      </c>
      <c r="O238" s="393" t="inlineStr">
        <is>
          <t>D  T</t>
        </is>
      </c>
      <c r="P238" s="389" t="inlineStr">
        <is>
          <t>Ze</t>
        </is>
      </c>
      <c r="Q238" s="394" t="n"/>
    </row>
    <row r="239" ht="9.949999999999999" customHeight="1" s="244">
      <c r="A239" s="395" t="inlineStr">
        <is>
          <t xml:space="preserve"> </t>
        </is>
      </c>
      <c r="C239" s="397" t="n"/>
      <c r="D239" s="397" t="n"/>
      <c r="E239" s="398" t="n"/>
      <c r="F239" s="399" t="n"/>
      <c r="G239" s="400" t="n"/>
      <c r="H239" s="401" t="n"/>
      <c r="I239" s="402" t="n"/>
      <c r="J239" s="403" t="inlineStr">
        <is>
          <t>Qs  =</t>
        </is>
      </c>
      <c r="K239" s="404" t="n">
        <v>2</v>
      </c>
      <c r="L239" s="404">
        <f>(D234+E234)*2*G234</f>
        <v/>
      </c>
      <c r="M239" s="404" t="n">
        <v>0.9</v>
      </c>
      <c r="N239" s="404" t="n">
        <v>0.67</v>
      </c>
      <c r="O239" s="381" t="n">
        <v>23</v>
      </c>
      <c r="P239" s="404" t="n">
        <v>1</v>
      </c>
      <c r="Q239" s="383">
        <f>K239*L239*M239*N239*O239*P239</f>
        <v/>
      </c>
    </row>
    <row r="240" ht="9.949999999999999" customHeight="1" s="244">
      <c r="A240" s="405" t="n"/>
      <c r="B240" s="406" t="n"/>
      <c r="C240" s="397" t="n"/>
      <c r="D240" s="397" t="n"/>
      <c r="E240" s="378" t="n"/>
      <c r="F240" s="256" t="n"/>
      <c r="G240" s="407" t="n"/>
      <c r="H240" s="397" t="n"/>
      <c r="I240" s="397" t="n"/>
      <c r="J240" s="397" t="n"/>
      <c r="K240" s="407" t="n"/>
      <c r="L240" s="408" t="n"/>
      <c r="M240" s="409" t="inlineStr">
        <is>
          <t xml:space="preserve">   TOPLAM ISI KAYBI =</t>
        </is>
      </c>
      <c r="N240" s="409" t="n"/>
      <c r="O240" s="410" t="n"/>
      <c r="P240" s="409" t="n"/>
      <c r="Q240" s="411">
        <f>Q237+Q239</f>
        <v/>
      </c>
    </row>
    <row r="241" ht="10.35" customHeight="1" s="244">
      <c r="A241" s="359" t="n"/>
      <c r="B241" s="360" t="n"/>
      <c r="C241" s="360" t="n"/>
      <c r="D241" s="360" t="n"/>
      <c r="E241" s="360" t="n"/>
      <c r="F241" s="361" t="inlineStr">
        <is>
          <t>2</t>
        </is>
      </c>
      <c r="G241" s="362" t="inlineStr">
        <is>
          <t>0</t>
        </is>
      </c>
      <c r="H241" s="360" t="inlineStr">
        <is>
          <t>2B3-02</t>
        </is>
      </c>
      <c r="I241" s="363" t="inlineStr">
        <is>
          <t>OFİS B3 GİRİŞ KARŞILAM</t>
        </is>
      </c>
      <c r="J241" s="364" t="n"/>
      <c r="K241" s="360" t="inlineStr">
        <is>
          <t>20ºC</t>
        </is>
      </c>
      <c r="L241" s="360" t="n"/>
      <c r="M241" s="360" t="n"/>
      <c r="N241" s="360" t="n"/>
      <c r="O241" s="360" t="n"/>
      <c r="P241" s="360" t="n"/>
      <c r="Q241" s="365" t="n"/>
    </row>
    <row r="242" ht="9.949999999999999" customHeight="1" s="244">
      <c r="A242" s="366" t="inlineStr">
        <is>
          <t>İDM</t>
        </is>
      </c>
      <c r="B242" s="367" t="inlineStr"/>
      <c r="C242" s="368" t="n"/>
      <c r="D242" s="369" t="n">
        <v>3.48</v>
      </c>
      <c r="E242" s="369" t="n">
        <v>3</v>
      </c>
      <c r="F242" s="370">
        <f>IF(D242=0," ",D242*E242)</f>
        <v/>
      </c>
      <c r="G242" s="371" t="n">
        <v>1</v>
      </c>
      <c r="H242" s="372" t="n"/>
      <c r="I242" s="370">
        <f>IF(F242=" "," ",F242*G242-H242)</f>
        <v/>
      </c>
      <c r="J242" s="369" t="n">
        <v>0.332</v>
      </c>
      <c r="K242" s="371" t="n">
        <v>10</v>
      </c>
      <c r="L242" s="373">
        <f>IF(I242=" "," ",I242*J242*K242)</f>
        <v/>
      </c>
      <c r="M242" s="374" t="n">
        <v>7</v>
      </c>
      <c r="N242" s="371" t="n">
        <v>0</v>
      </c>
      <c r="O242" s="374" t="n">
        <v>0</v>
      </c>
      <c r="P242" s="370">
        <f>IF(M242=" "," ",(1+(M242+N242+O242)/100))</f>
        <v/>
      </c>
      <c r="Q242" s="375">
        <f>IF(L242=" "," ",L242*P242)</f>
        <v/>
      </c>
    </row>
    <row r="243" ht="9.949999999999999" customHeight="1" s="244">
      <c r="A243" s="366" t="inlineStr">
        <is>
          <t>İDM</t>
        </is>
      </c>
      <c r="B243" s="367" t="inlineStr"/>
      <c r="C243" s="368" t="n"/>
      <c r="D243" s="369" t="n">
        <v>0.8</v>
      </c>
      <c r="E243" s="369" t="n">
        <v>3</v>
      </c>
      <c r="F243" s="370">
        <f>IF(D243=0," ",D243*E243)</f>
        <v/>
      </c>
      <c r="G243" s="371" t="n">
        <v>1</v>
      </c>
      <c r="H243" s="372" t="n"/>
      <c r="I243" s="370">
        <f>IF(F243=" "," ",F243*G243-H243)</f>
        <v/>
      </c>
      <c r="J243" s="369" t="n">
        <v>0.332</v>
      </c>
      <c r="K243" s="371" t="n">
        <v>10</v>
      </c>
      <c r="L243" s="373">
        <f>IF(I243=" "," ",I243*J243*K243)</f>
        <v/>
      </c>
      <c r="M243" s="374" t="n">
        <v>7</v>
      </c>
      <c r="N243" s="371" t="n">
        <v>0</v>
      </c>
      <c r="O243" s="374" t="n">
        <v>0</v>
      </c>
      <c r="P243" s="370">
        <f>IF(M243=" "," ",(1+(M243+N243+O243)/100))</f>
        <v/>
      </c>
      <c r="Q243" s="375">
        <f>IF(L243=" "," ",L243*P243)</f>
        <v/>
      </c>
    </row>
    <row r="244" ht="9.949999999999999" customHeight="1" s="244">
      <c r="A244" s="366" t="inlineStr">
        <is>
          <t>İDM</t>
        </is>
      </c>
      <c r="B244" s="367" t="inlineStr"/>
      <c r="C244" s="368" t="n"/>
      <c r="D244" s="369" t="n">
        <v>0.36</v>
      </c>
      <c r="E244" s="369" t="n">
        <v>3</v>
      </c>
      <c r="F244" s="370">
        <f>IF(D244=0," ",D244*E244)</f>
        <v/>
      </c>
      <c r="G244" s="371" t="n">
        <v>1</v>
      </c>
      <c r="H244" s="372" t="n"/>
      <c r="I244" s="370">
        <f>IF(F244=" "," ",F244*G244-H244)</f>
        <v/>
      </c>
      <c r="J244" s="369" t="n">
        <v>0.332</v>
      </c>
      <c r="K244" s="371" t="n">
        <v>10</v>
      </c>
      <c r="L244" s="373">
        <f>IF(I244=" "," ",I244*J244*K244)</f>
        <v/>
      </c>
      <c r="M244" s="374" t="n">
        <v>7</v>
      </c>
      <c r="N244" s="371" t="n">
        <v>0</v>
      </c>
      <c r="O244" s="374" t="n">
        <v>0</v>
      </c>
      <c r="P244" s="370">
        <f>IF(M244=" "," ",(1+(M244+N244+O244)/100))</f>
        <v/>
      </c>
      <c r="Q244" s="375">
        <f>IF(L244=" "," ",L244*P244)</f>
        <v/>
      </c>
    </row>
    <row r="245" ht="9.949999999999999" customHeight="1" s="244">
      <c r="A245" s="366" t="inlineStr">
        <is>
          <t>İDM</t>
        </is>
      </c>
      <c r="B245" s="367" t="inlineStr"/>
      <c r="C245" s="368" t="n"/>
      <c r="D245" s="369" t="n">
        <v>0.68</v>
      </c>
      <c r="E245" s="369" t="n">
        <v>3</v>
      </c>
      <c r="F245" s="370">
        <f>IF(D245=0," ",D245*E245)</f>
        <v/>
      </c>
      <c r="G245" s="371" t="n">
        <v>1</v>
      </c>
      <c r="H245" s="372" t="n"/>
      <c r="I245" s="370">
        <f>IF(F245=" "," ",F245*G245-H245)</f>
        <v/>
      </c>
      <c r="J245" s="369" t="n">
        <v>0.332</v>
      </c>
      <c r="K245" s="371" t="n">
        <v>10</v>
      </c>
      <c r="L245" s="373">
        <f>IF(I245=" "," ",I245*J245*K245)</f>
        <v/>
      </c>
      <c r="M245" s="374" t="n">
        <v>7</v>
      </c>
      <c r="N245" s="371" t="n">
        <v>0</v>
      </c>
      <c r="O245" s="374" t="n">
        <v>0</v>
      </c>
      <c r="P245" s="370">
        <f>IF(M245=" "," ",(1+(M245+N245+O245)/100))</f>
        <v/>
      </c>
      <c r="Q245" s="375">
        <f>IF(L245=" "," ",L245*P245)</f>
        <v/>
      </c>
    </row>
    <row r="246" ht="9.949999999999999" customHeight="1" s="244">
      <c r="A246" s="366" t="inlineStr">
        <is>
          <t>İDM</t>
        </is>
      </c>
      <c r="B246" s="367" t="inlineStr"/>
      <c r="C246" s="368" t="n"/>
      <c r="D246" s="369" t="n">
        <v>1.83</v>
      </c>
      <c r="E246" s="369" t="n">
        <v>3</v>
      </c>
      <c r="F246" s="370">
        <f>IF(D246=0," ",D246*E246)</f>
        <v/>
      </c>
      <c r="G246" s="371" t="n">
        <v>1</v>
      </c>
      <c r="H246" s="372" t="n"/>
      <c r="I246" s="370">
        <f>IF(F246=" "," ",F246*G246-H246)</f>
        <v/>
      </c>
      <c r="J246" s="369" t="n">
        <v>0.332</v>
      </c>
      <c r="K246" s="371" t="n">
        <v>5</v>
      </c>
      <c r="L246" s="373">
        <f>IF(I246=" "," ",I246*J246*K246)</f>
        <v/>
      </c>
      <c r="M246" s="374" t="n">
        <v>7</v>
      </c>
      <c r="N246" s="371" t="n">
        <v>0</v>
      </c>
      <c r="O246" s="374" t="n">
        <v>0</v>
      </c>
      <c r="P246" s="370">
        <f>IF(M246=" "," ",(1+(M246+N246+O246)/100))</f>
        <v/>
      </c>
      <c r="Q246" s="375">
        <f>IF(L246=" "," ",L246*P246)</f>
        <v/>
      </c>
    </row>
    <row r="247" ht="9.949999999999999" customHeight="1" s="244">
      <c r="A247" s="366" t="inlineStr">
        <is>
          <t>Ta</t>
        </is>
      </c>
      <c r="B247" s="367" t="inlineStr"/>
      <c r="C247" s="368" t="n"/>
      <c r="D247" s="369" t="n">
        <v>13.12</v>
      </c>
      <c r="E247" s="369" t="n">
        <v>1</v>
      </c>
      <c r="F247" s="370">
        <f>IF(D247=0," ",D247*E247)</f>
        <v/>
      </c>
      <c r="G247" s="371" t="n">
        <v>1</v>
      </c>
      <c r="H247" s="372" t="n"/>
      <c r="I247" s="370">
        <f>IF(F247=" "," ",F247*G247-H247)</f>
        <v/>
      </c>
      <c r="J247" s="369" t="n">
        <v>0.266</v>
      </c>
      <c r="K247" s="371" t="n">
        <v>23</v>
      </c>
      <c r="L247" s="373">
        <f>IF(I247=" "," ",I247*J247*K247)</f>
        <v/>
      </c>
      <c r="M247" s="374" t="n">
        <v>7</v>
      </c>
      <c r="N247" s="371" t="n">
        <v>0</v>
      </c>
      <c r="O247" s="374" t="n">
        <v>0</v>
      </c>
      <c r="P247" s="370">
        <f>IF(M247=" "," ",(1+(M247+N247+O247)/100))</f>
        <v/>
      </c>
      <c r="Q247" s="375">
        <f>IF(L247=" "," ",L247*P247)</f>
        <v/>
      </c>
    </row>
    <row r="248" ht="9.949999999999999" customHeight="1" s="244">
      <c r="A248" s="376" t="n"/>
      <c r="B248" s="377" t="n"/>
      <c r="C248" s="377" t="n"/>
      <c r="D248" s="378" t="n"/>
      <c r="E248" s="378" t="n"/>
      <c r="F248" s="378" t="n"/>
      <c r="G248" s="379" t="n"/>
      <c r="H248" s="378" t="n"/>
      <c r="I248" s="378" t="n"/>
      <c r="J248" s="378" t="n"/>
      <c r="K248" s="379" t="n"/>
      <c r="L248" s="380" t="n"/>
      <c r="M248" s="381" t="n"/>
      <c r="N248" s="381" t="n"/>
      <c r="O248" s="381" t="n"/>
      <c r="P248" s="382" t="n"/>
      <c r="Q248" s="383">
        <f>SUM(Q242:Q247)</f>
        <v/>
      </c>
    </row>
    <row r="249" ht="9.949999999999999" customHeight="1" s="244">
      <c r="A249" s="384" t="n"/>
      <c r="B249" s="385" t="n"/>
      <c r="C249" s="385" t="n"/>
      <c r="D249" s="386" t="n"/>
      <c r="E249" s="387" t="n"/>
      <c r="F249" s="388" t="n"/>
      <c r="G249" s="389" t="n"/>
      <c r="H249" s="388" t="n"/>
      <c r="I249" s="390" t="n"/>
      <c r="J249" s="391" t="inlineStr">
        <is>
          <t>Qs=</t>
        </is>
      </c>
      <c r="K249" s="390" t="inlineStr">
        <is>
          <t>S a</t>
        </is>
      </c>
      <c r="L249" s="388" t="inlineStr">
        <is>
          <t>L</t>
        </is>
      </c>
      <c r="M249" s="389" t="inlineStr">
        <is>
          <t>R</t>
        </is>
      </c>
      <c r="N249" s="392" t="inlineStr">
        <is>
          <t>H</t>
        </is>
      </c>
      <c r="O249" s="393" t="inlineStr">
        <is>
          <t>D  T</t>
        </is>
      </c>
      <c r="P249" s="389" t="inlineStr">
        <is>
          <t>Ze</t>
        </is>
      </c>
      <c r="Q249" s="394" t="n"/>
    </row>
    <row r="250" ht="9.949999999999999" customHeight="1" s="244">
      <c r="A250" s="395" t="inlineStr">
        <is>
          <t xml:space="preserve"> </t>
        </is>
      </c>
      <c r="C250" s="397" t="n"/>
      <c r="D250" s="397" t="n"/>
      <c r="E250" s="398" t="n"/>
      <c r="F250" s="399" t="n"/>
      <c r="G250" s="400" t="n"/>
      <c r="H250" s="401" t="n"/>
      <c r="I250" s="402" t="n"/>
      <c r="J250" s="403" t="inlineStr">
        <is>
          <t>Qs  =</t>
        </is>
      </c>
      <c r="K250" s="404" t="n">
        <v>2</v>
      </c>
      <c r="L250" s="404" t="n">
        <v>0</v>
      </c>
      <c r="M250" s="404" t="n">
        <v>0.9</v>
      </c>
      <c r="N250" s="404" t="n">
        <v>0.67</v>
      </c>
      <c r="O250" s="381" t="n">
        <v>23</v>
      </c>
      <c r="P250" s="404" t="n">
        <v>1</v>
      </c>
      <c r="Q250" s="383">
        <f>K250*L250*M250*N250*O250*P250</f>
        <v/>
      </c>
    </row>
    <row r="251" ht="9.949999999999999" customHeight="1" s="244">
      <c r="A251" s="405" t="n"/>
      <c r="B251" s="406" t="n"/>
      <c r="C251" s="397" t="n"/>
      <c r="D251" s="397" t="n"/>
      <c r="E251" s="378" t="n"/>
      <c r="F251" s="256" t="n"/>
      <c r="G251" s="407" t="n"/>
      <c r="H251" s="397" t="n"/>
      <c r="I251" s="397" t="n"/>
      <c r="J251" s="397" t="n"/>
      <c r="K251" s="407" t="n"/>
      <c r="L251" s="408" t="n"/>
      <c r="M251" s="409" t="inlineStr">
        <is>
          <t xml:space="preserve">   TOPLAM ISI KAYBI =</t>
        </is>
      </c>
      <c r="N251" s="409" t="n"/>
      <c r="O251" s="410" t="n"/>
      <c r="P251" s="409" t="n"/>
      <c r="Q251" s="411">
        <f>Q248+Q250</f>
        <v/>
      </c>
    </row>
    <row r="252" ht="10.35" customHeight="1" s="244">
      <c r="A252" s="359" t="n"/>
      <c r="B252" s="360" t="n"/>
      <c r="C252" s="360" t="n"/>
      <c r="D252" s="360" t="n"/>
      <c r="E252" s="360" t="n"/>
      <c r="F252" s="361" t="inlineStr">
        <is>
          <t>2</t>
        </is>
      </c>
      <c r="G252" s="362" t="inlineStr">
        <is>
          <t>0</t>
        </is>
      </c>
      <c r="H252" s="360" t="inlineStr">
        <is>
          <t>2B3-03</t>
        </is>
      </c>
      <c r="I252" s="363" t="inlineStr">
        <is>
          <t>OFİS B3 MUTFAK</t>
        </is>
      </c>
      <c r="J252" s="364" t="n"/>
      <c r="K252" s="360" t="inlineStr">
        <is>
          <t>20ºC</t>
        </is>
      </c>
      <c r="L252" s="360" t="n"/>
      <c r="M252" s="360" t="n"/>
      <c r="N252" s="360" t="n"/>
      <c r="O252" s="360" t="n"/>
      <c r="P252" s="360" t="n"/>
      <c r="Q252" s="365" t="n"/>
    </row>
    <row r="253" ht="9.949999999999999" customHeight="1" s="244">
      <c r="A253" s="366" t="inlineStr">
        <is>
          <t>İDM</t>
        </is>
      </c>
      <c r="B253" s="367" t="inlineStr"/>
      <c r="C253" s="368" t="n"/>
      <c r="D253" s="369" t="n">
        <v>0.93</v>
      </c>
      <c r="E253" s="369" t="n">
        <v>3</v>
      </c>
      <c r="F253" s="370">
        <f>IF(D253=0," ",D253*E253)</f>
        <v/>
      </c>
      <c r="G253" s="371" t="n">
        <v>1</v>
      </c>
      <c r="H253" s="372" t="n"/>
      <c r="I253" s="370">
        <f>IF(F253=" "," ",F253*G253-H253)</f>
        <v/>
      </c>
      <c r="J253" s="369" t="n">
        <v>0.332</v>
      </c>
      <c r="K253" s="371" t="n">
        <v>5</v>
      </c>
      <c r="L253" s="373">
        <f>IF(I253=" "," ",I253*J253*K253)</f>
        <v/>
      </c>
      <c r="M253" s="374" t="n">
        <v>7</v>
      </c>
      <c r="N253" s="371" t="n">
        <v>0</v>
      </c>
      <c r="O253" s="374" t="n">
        <v>0</v>
      </c>
      <c r="P253" s="370">
        <f>IF(M253=" "," ",(1+(M253+N253+O253)/100))</f>
        <v/>
      </c>
      <c r="Q253" s="375">
        <f>IF(L253=" "," ",L253*P253)</f>
        <v/>
      </c>
    </row>
    <row r="254" ht="9.949999999999999" customHeight="1" s="244">
      <c r="A254" s="366" t="inlineStr">
        <is>
          <t>Ta</t>
        </is>
      </c>
      <c r="B254" s="367" t="inlineStr"/>
      <c r="C254" s="368" t="n"/>
      <c r="D254" s="369" t="n">
        <v>5.8</v>
      </c>
      <c r="E254" s="369" t="n">
        <v>1</v>
      </c>
      <c r="F254" s="370">
        <f>IF(D254=0," ",D254*E254)</f>
        <v/>
      </c>
      <c r="G254" s="371" t="n">
        <v>1</v>
      </c>
      <c r="H254" s="372" t="n"/>
      <c r="I254" s="370">
        <f>IF(F254=" "," ",F254*G254-H254)</f>
        <v/>
      </c>
      <c r="J254" s="369" t="n">
        <v>0.266</v>
      </c>
      <c r="K254" s="371" t="n">
        <v>23</v>
      </c>
      <c r="L254" s="373">
        <f>IF(I254=" "," ",I254*J254*K254)</f>
        <v/>
      </c>
      <c r="M254" s="374" t="n">
        <v>7</v>
      </c>
      <c r="N254" s="371" t="n">
        <v>0</v>
      </c>
      <c r="O254" s="374" t="n">
        <v>0</v>
      </c>
      <c r="P254" s="370">
        <f>IF(M254=" "," ",(1+(M254+N254+O254)/100))</f>
        <v/>
      </c>
      <c r="Q254" s="375">
        <f>IF(L254=" "," ",L254*P254)</f>
        <v/>
      </c>
    </row>
    <row r="255" ht="9.949999999999999" customHeight="1" s="244">
      <c r="A255" s="376" t="n"/>
      <c r="B255" s="377" t="n"/>
      <c r="C255" s="377" t="n"/>
      <c r="D255" s="378" t="n"/>
      <c r="E255" s="378" t="n"/>
      <c r="F255" s="378" t="n"/>
      <c r="G255" s="379" t="n"/>
      <c r="H255" s="378" t="n"/>
      <c r="I255" s="378" t="n"/>
      <c r="J255" s="378" t="n"/>
      <c r="K255" s="379" t="n"/>
      <c r="L255" s="380" t="n"/>
      <c r="M255" s="381" t="n"/>
      <c r="N255" s="381" t="n"/>
      <c r="O255" s="381" t="n"/>
      <c r="P255" s="382" t="n"/>
      <c r="Q255" s="383">
        <f>SUM(Q253:Q254)</f>
        <v/>
      </c>
    </row>
    <row r="256" ht="9.949999999999999" customHeight="1" s="244">
      <c r="A256" s="384" t="n"/>
      <c r="B256" s="385" t="n"/>
      <c r="C256" s="385" t="n"/>
      <c r="D256" s="386" t="n"/>
      <c r="E256" s="387" t="n"/>
      <c r="F256" s="388" t="n"/>
      <c r="G256" s="389" t="n"/>
      <c r="H256" s="388" t="n"/>
      <c r="I256" s="390" t="n"/>
      <c r="J256" s="391" t="inlineStr">
        <is>
          <t>Qs=</t>
        </is>
      </c>
      <c r="K256" s="390" t="inlineStr">
        <is>
          <t>S a</t>
        </is>
      </c>
      <c r="L256" s="388" t="inlineStr">
        <is>
          <t>L</t>
        </is>
      </c>
      <c r="M256" s="389" t="inlineStr">
        <is>
          <t>R</t>
        </is>
      </c>
      <c r="N256" s="392" t="inlineStr">
        <is>
          <t>H</t>
        </is>
      </c>
      <c r="O256" s="393" t="inlineStr">
        <is>
          <t>D  T</t>
        </is>
      </c>
      <c r="P256" s="389" t="inlineStr">
        <is>
          <t>Ze</t>
        </is>
      </c>
      <c r="Q256" s="394" t="n"/>
    </row>
    <row r="257" ht="9.949999999999999" customHeight="1" s="244">
      <c r="A257" s="395" t="inlineStr">
        <is>
          <t xml:space="preserve"> </t>
        </is>
      </c>
      <c r="C257" s="397" t="n"/>
      <c r="D257" s="397" t="n"/>
      <c r="E257" s="398" t="n"/>
      <c r="F257" s="399" t="n"/>
      <c r="G257" s="400" t="n"/>
      <c r="H257" s="401" t="n"/>
      <c r="I257" s="402" t="n"/>
      <c r="J257" s="403" t="inlineStr">
        <is>
          <t>Qs  =</t>
        </is>
      </c>
      <c r="K257" s="404" t="n">
        <v>2</v>
      </c>
      <c r="L257" s="404" t="n">
        <v>0</v>
      </c>
      <c r="M257" s="404" t="n">
        <v>0.9</v>
      </c>
      <c r="N257" s="404" t="n">
        <v>0.67</v>
      </c>
      <c r="O257" s="381" t="n">
        <v>23</v>
      </c>
      <c r="P257" s="404" t="n">
        <v>1</v>
      </c>
      <c r="Q257" s="383">
        <f>K257*L257*M257*N257*O257*P257</f>
        <v/>
      </c>
    </row>
    <row r="258" ht="9.949999999999999" customHeight="1" s="244">
      <c r="A258" s="405" t="n"/>
      <c r="B258" s="406" t="n"/>
      <c r="C258" s="397" t="n"/>
      <c r="D258" s="397" t="n"/>
      <c r="E258" s="378" t="n"/>
      <c r="F258" s="256" t="n"/>
      <c r="G258" s="407" t="n"/>
      <c r="H258" s="397" t="n"/>
      <c r="I258" s="397" t="n"/>
      <c r="J258" s="397" t="n"/>
      <c r="K258" s="407" t="n"/>
      <c r="L258" s="408" t="n"/>
      <c r="M258" s="409" t="inlineStr">
        <is>
          <t xml:space="preserve">   TOPLAM ISI KAYBI =</t>
        </is>
      </c>
      <c r="N258" s="409" t="n"/>
      <c r="O258" s="410" t="n"/>
      <c r="P258" s="409" t="n"/>
      <c r="Q258" s="411">
        <f>Q255+Q257</f>
        <v/>
      </c>
    </row>
    <row r="259" ht="10.35" customHeight="1" s="244">
      <c r="A259" s="359" t="n"/>
      <c r="B259" s="360" t="n"/>
      <c r="C259" s="360" t="n"/>
      <c r="D259" s="360" t="n"/>
      <c r="E259" s="360" t="n"/>
      <c r="F259" s="361" t="inlineStr">
        <is>
          <t>2</t>
        </is>
      </c>
      <c r="G259" s="362" t="inlineStr">
        <is>
          <t>0</t>
        </is>
      </c>
      <c r="H259" s="360" t="inlineStr">
        <is>
          <t>2B3-04</t>
        </is>
      </c>
      <c r="I259" s="363" t="inlineStr">
        <is>
          <t>OFİS B3 BANYO</t>
        </is>
      </c>
      <c r="J259" s="364" t="n"/>
      <c r="K259" s="360" t="inlineStr">
        <is>
          <t>24ºC</t>
        </is>
      </c>
      <c r="L259" s="360" t="n"/>
      <c r="M259" s="360" t="n"/>
      <c r="N259" s="360" t="n"/>
      <c r="O259" s="360" t="n"/>
      <c r="P259" s="360" t="n"/>
      <c r="Q259" s="365" t="n"/>
    </row>
    <row r="260" ht="9.949999999999999" customHeight="1" s="244">
      <c r="A260" s="366" t="inlineStr">
        <is>
          <t>İDM</t>
        </is>
      </c>
      <c r="B260" s="367" t="inlineStr"/>
      <c r="C260" s="368" t="n"/>
      <c r="D260" s="369" t="n">
        <v>0.83</v>
      </c>
      <c r="E260" s="369" t="n">
        <v>3</v>
      </c>
      <c r="F260" s="370">
        <f>IF(D260=0," ",D260*E260)</f>
        <v/>
      </c>
      <c r="G260" s="371" t="n">
        <v>1</v>
      </c>
      <c r="H260" s="372" t="n"/>
      <c r="I260" s="370">
        <f>IF(F260=" "," ",F260*G260-H260)</f>
        <v/>
      </c>
      <c r="J260" s="369" t="n">
        <v>0.332</v>
      </c>
      <c r="K260" s="371" t="n">
        <v>14</v>
      </c>
      <c r="L260" s="373">
        <f>IF(I260=" "," ",I260*J260*K260)</f>
        <v/>
      </c>
      <c r="M260" s="374" t="n">
        <v>7</v>
      </c>
      <c r="N260" s="371" t="n">
        <v>0</v>
      </c>
      <c r="O260" s="374" t="n">
        <v>0</v>
      </c>
      <c r="P260" s="370">
        <f>IF(M260=" "," ",(1+(M260+N260+O260)/100))</f>
        <v/>
      </c>
      <c r="Q260" s="375">
        <f>IF(L260=" "," ",L260*P260)</f>
        <v/>
      </c>
    </row>
    <row r="261" ht="9.949999999999999" customHeight="1" s="244">
      <c r="A261" s="366" t="inlineStr">
        <is>
          <t>Ta</t>
        </is>
      </c>
      <c r="B261" s="367" t="inlineStr"/>
      <c r="C261" s="368" t="n"/>
      <c r="D261" s="369" t="n">
        <v>4.5</v>
      </c>
      <c r="E261" s="369" t="n">
        <v>1</v>
      </c>
      <c r="F261" s="370">
        <f>IF(D261=0," ",D261*E261)</f>
        <v/>
      </c>
      <c r="G261" s="371" t="n">
        <v>1</v>
      </c>
      <c r="H261" s="372" t="n"/>
      <c r="I261" s="370">
        <f>IF(F261=" "," ",F261*G261-H261)</f>
        <v/>
      </c>
      <c r="J261" s="369" t="n">
        <v>0.266</v>
      </c>
      <c r="K261" s="371" t="n">
        <v>27</v>
      </c>
      <c r="L261" s="373">
        <f>IF(I261=" "," ",I261*J261*K261)</f>
        <v/>
      </c>
      <c r="M261" s="374" t="n">
        <v>7</v>
      </c>
      <c r="N261" s="371" t="n">
        <v>0</v>
      </c>
      <c r="O261" s="374" t="n">
        <v>0</v>
      </c>
      <c r="P261" s="370">
        <f>IF(M261=" "," ",(1+(M261+N261+O261)/100))</f>
        <v/>
      </c>
      <c r="Q261" s="375">
        <f>IF(L261=" "," ",L261*P261)</f>
        <v/>
      </c>
    </row>
    <row r="262" ht="9.949999999999999" customHeight="1" s="244">
      <c r="A262" s="376" t="n"/>
      <c r="B262" s="377" t="n"/>
      <c r="C262" s="377" t="n"/>
      <c r="D262" s="378" t="n"/>
      <c r="E262" s="378" t="n"/>
      <c r="F262" s="378" t="n"/>
      <c r="G262" s="379" t="n"/>
      <c r="H262" s="378" t="n"/>
      <c r="I262" s="378" t="n"/>
      <c r="J262" s="378" t="n"/>
      <c r="K262" s="379" t="n"/>
      <c r="L262" s="380" t="n"/>
      <c r="M262" s="381" t="n"/>
      <c r="N262" s="381" t="n"/>
      <c r="O262" s="381" t="n"/>
      <c r="P262" s="382" t="n"/>
      <c r="Q262" s="383">
        <f>SUM(Q260:Q261)</f>
        <v/>
      </c>
    </row>
    <row r="263" ht="9.949999999999999" customHeight="1" s="244">
      <c r="A263" s="384" t="n"/>
      <c r="B263" s="385" t="n"/>
      <c r="C263" s="385" t="n"/>
      <c r="D263" s="386" t="n"/>
      <c r="E263" s="387" t="n"/>
      <c r="F263" s="388" t="n"/>
      <c r="G263" s="389" t="n"/>
      <c r="H263" s="388" t="n"/>
      <c r="I263" s="390" t="n"/>
      <c r="J263" s="391" t="inlineStr">
        <is>
          <t>Qs=</t>
        </is>
      </c>
      <c r="K263" s="390" t="inlineStr">
        <is>
          <t>S a</t>
        </is>
      </c>
      <c r="L263" s="388" t="inlineStr">
        <is>
          <t>L</t>
        </is>
      </c>
      <c r="M263" s="389" t="inlineStr">
        <is>
          <t>R</t>
        </is>
      </c>
      <c r="N263" s="392" t="inlineStr">
        <is>
          <t>H</t>
        </is>
      </c>
      <c r="O263" s="393" t="inlineStr">
        <is>
          <t>D  T</t>
        </is>
      </c>
      <c r="P263" s="389" t="inlineStr">
        <is>
          <t>Ze</t>
        </is>
      </c>
      <c r="Q263" s="394" t="n"/>
    </row>
    <row r="264" ht="9.949999999999999" customHeight="1" s="244">
      <c r="A264" s="395" t="inlineStr">
        <is>
          <t xml:space="preserve"> </t>
        </is>
      </c>
      <c r="C264" s="397" t="n"/>
      <c r="D264" s="397" t="n"/>
      <c r="E264" s="398" t="n"/>
      <c r="F264" s="399" t="n"/>
      <c r="G264" s="400" t="n"/>
      <c r="H264" s="401" t="n"/>
      <c r="I264" s="402" t="n"/>
      <c r="J264" s="403" t="inlineStr">
        <is>
          <t>Qs  =</t>
        </is>
      </c>
      <c r="K264" s="404" t="n">
        <v>2</v>
      </c>
      <c r="L264" s="404" t="n">
        <v>0</v>
      </c>
      <c r="M264" s="404" t="n">
        <v>0.9</v>
      </c>
      <c r="N264" s="404" t="n">
        <v>0.67</v>
      </c>
      <c r="O264" s="381" t="n">
        <v>27</v>
      </c>
      <c r="P264" s="404" t="n">
        <v>1</v>
      </c>
      <c r="Q264" s="383">
        <f>K264*L264*M264*N264*O264*P264</f>
        <v/>
      </c>
    </row>
    <row r="265" ht="9.949999999999999" customHeight="1" s="244">
      <c r="A265" s="405" t="n"/>
      <c r="B265" s="406" t="n"/>
      <c r="C265" s="397" t="n"/>
      <c r="D265" s="397" t="n"/>
      <c r="E265" s="378" t="n"/>
      <c r="F265" s="256" t="n"/>
      <c r="G265" s="407" t="n"/>
      <c r="H265" s="397" t="n"/>
      <c r="I265" s="397" t="n"/>
      <c r="J265" s="397" t="n"/>
      <c r="K265" s="407" t="n"/>
      <c r="L265" s="408" t="n"/>
      <c r="M265" s="409" t="inlineStr">
        <is>
          <t xml:space="preserve">   TOPLAM ISI KAYBI =</t>
        </is>
      </c>
      <c r="N265" s="409" t="n"/>
      <c r="O265" s="410" t="n"/>
      <c r="P265" s="409" t="n"/>
      <c r="Q265" s="411">
        <f>Q262+Q264</f>
        <v/>
      </c>
    </row>
    <row r="266" ht="10.35" customHeight="1" s="244">
      <c r="A266" s="359" t="n"/>
      <c r="B266" s="360" t="n"/>
      <c r="C266" s="360" t="n"/>
      <c r="D266" s="360" t="n"/>
      <c r="E266" s="360" t="n"/>
      <c r="F266" s="361" t="inlineStr">
        <is>
          <t>2</t>
        </is>
      </c>
      <c r="G266" s="362" t="inlineStr">
        <is>
          <t>0</t>
        </is>
      </c>
      <c r="H266" s="360" t="inlineStr">
        <is>
          <t>2C1-01</t>
        </is>
      </c>
      <c r="I266" s="363" t="inlineStr">
        <is>
          <t>OFİS C1 GİRİŞ HOLÜ</t>
        </is>
      </c>
      <c r="J266" s="364" t="n"/>
      <c r="K266" s="360" t="inlineStr">
        <is>
          <t>20ºC</t>
        </is>
      </c>
      <c r="L266" s="360" t="n"/>
      <c r="M266" s="360" t="n"/>
      <c r="N266" s="360" t="n"/>
      <c r="O266" s="360" t="n"/>
      <c r="P266" s="360" t="n"/>
      <c r="Q266" s="365" t="n"/>
    </row>
    <row r="267" ht="9.949999999999999" customHeight="1" s="244">
      <c r="A267" s="366" t="inlineStr">
        <is>
          <t>İDM</t>
        </is>
      </c>
      <c r="B267" s="367" t="inlineStr"/>
      <c r="C267" s="368" t="n"/>
      <c r="D267" s="369" t="n">
        <v>6.04</v>
      </c>
      <c r="E267" s="369" t="n">
        <v>3</v>
      </c>
      <c r="F267" s="370">
        <f>IF(D267=0," ",D267*E267)</f>
        <v/>
      </c>
      <c r="G267" s="371" t="n">
        <v>1</v>
      </c>
      <c r="H267" s="372" t="n"/>
      <c r="I267" s="370">
        <f>IF(F267=" "," ",F267*G267-H267)</f>
        <v/>
      </c>
      <c r="J267" s="369" t="n">
        <v>0.332</v>
      </c>
      <c r="K267" s="371" t="n">
        <v>10</v>
      </c>
      <c r="L267" s="373">
        <f>IF(I267=" "," ",I267*J267*K267)</f>
        <v/>
      </c>
      <c r="M267" s="374" t="n">
        <v>7</v>
      </c>
      <c r="N267" s="371" t="n">
        <v>0</v>
      </c>
      <c r="O267" s="374" t="n">
        <v>0</v>
      </c>
      <c r="P267" s="370">
        <f>IF(M267=" "," ",(1+(M267+N267+O267)/100))</f>
        <v/>
      </c>
      <c r="Q267" s="375">
        <f>IF(L267=" "," ",L267*P267)</f>
        <v/>
      </c>
    </row>
    <row r="268" ht="9.949999999999999" customHeight="1" s="244">
      <c r="A268" s="366" t="inlineStr">
        <is>
          <t>İDM</t>
        </is>
      </c>
      <c r="B268" s="367" t="inlineStr"/>
      <c r="C268" s="368" t="n"/>
      <c r="D268" s="369" t="n">
        <v>0.2</v>
      </c>
      <c r="E268" s="369" t="n">
        <v>3</v>
      </c>
      <c r="F268" s="370">
        <f>IF(D268=0," ",D268*E268)</f>
        <v/>
      </c>
      <c r="G268" s="371" t="n">
        <v>1</v>
      </c>
      <c r="H268" s="372" t="n"/>
      <c r="I268" s="370">
        <f>IF(F268=" "," ",F268*G268-H268)</f>
        <v/>
      </c>
      <c r="J268" s="369" t="n">
        <v>0.332</v>
      </c>
      <c r="K268" s="371" t="n">
        <v>10</v>
      </c>
      <c r="L268" s="373">
        <f>IF(I268=" "," ",I268*J268*K268)</f>
        <v/>
      </c>
      <c r="M268" s="374" t="n">
        <v>7</v>
      </c>
      <c r="N268" s="371" t="n">
        <v>0</v>
      </c>
      <c r="O268" s="374" t="n">
        <v>0</v>
      </c>
      <c r="P268" s="370">
        <f>IF(M268=" "," ",(1+(M268+N268+O268)/100))</f>
        <v/>
      </c>
      <c r="Q268" s="375">
        <f>IF(L268=" "," ",L268*P268)</f>
        <v/>
      </c>
    </row>
    <row r="269" ht="9.949999999999999" customHeight="1" s="244">
      <c r="A269" s="366" t="inlineStr">
        <is>
          <t>İDM</t>
        </is>
      </c>
      <c r="B269" s="367" t="inlineStr"/>
      <c r="C269" s="368" t="n"/>
      <c r="D269" s="369" t="n">
        <v>2.95</v>
      </c>
      <c r="E269" s="369" t="n">
        <v>3</v>
      </c>
      <c r="F269" s="370">
        <f>IF(D269=0," ",D269*E269)</f>
        <v/>
      </c>
      <c r="G269" s="371" t="n">
        <v>1</v>
      </c>
      <c r="H269" s="372" t="n"/>
      <c r="I269" s="370">
        <f>IF(F269=" "," ",F269*G269-H269)</f>
        <v/>
      </c>
      <c r="J269" s="369" t="n">
        <v>0.332</v>
      </c>
      <c r="K269" s="371" t="n">
        <v>10</v>
      </c>
      <c r="L269" s="373">
        <f>IF(I269=" "," ",I269*J269*K269)</f>
        <v/>
      </c>
      <c r="M269" s="374" t="n">
        <v>7</v>
      </c>
      <c r="N269" s="371" t="n">
        <v>0</v>
      </c>
      <c r="O269" s="374" t="n">
        <v>0</v>
      </c>
      <c r="P269" s="370">
        <f>IF(M269=" "," ",(1+(M269+N269+O269)/100))</f>
        <v/>
      </c>
      <c r="Q269" s="375">
        <f>IF(L269=" "," ",L269*P269)</f>
        <v/>
      </c>
    </row>
    <row r="270" ht="9.949999999999999" customHeight="1" s="244">
      <c r="A270" s="366" t="inlineStr">
        <is>
          <t>Ta</t>
        </is>
      </c>
      <c r="B270" s="367" t="inlineStr"/>
      <c r="C270" s="368" t="n"/>
      <c r="D270" s="369" t="n">
        <v>12.65</v>
      </c>
      <c r="E270" s="369" t="n">
        <v>1</v>
      </c>
      <c r="F270" s="370">
        <f>IF(D270=0," ",D270*E270)</f>
        <v/>
      </c>
      <c r="G270" s="371" t="n">
        <v>1</v>
      </c>
      <c r="H270" s="372" t="n"/>
      <c r="I270" s="370">
        <f>IF(F270=" "," ",F270*G270-H270)</f>
        <v/>
      </c>
      <c r="J270" s="369" t="n">
        <v>0.266</v>
      </c>
      <c r="K270" s="371" t="n">
        <v>23</v>
      </c>
      <c r="L270" s="373">
        <f>IF(I270=" "," ",I270*J270*K270)</f>
        <v/>
      </c>
      <c r="M270" s="374" t="n">
        <v>7</v>
      </c>
      <c r="N270" s="371" t="n">
        <v>0</v>
      </c>
      <c r="O270" s="374" t="n">
        <v>0</v>
      </c>
      <c r="P270" s="370">
        <f>IF(M270=" "," ",(1+(M270+N270+O270)/100))</f>
        <v/>
      </c>
      <c r="Q270" s="375">
        <f>IF(L270=" "," ",L270*P270)</f>
        <v/>
      </c>
    </row>
    <row r="271" ht="9.949999999999999" customHeight="1" s="244">
      <c r="A271" s="376" t="n"/>
      <c r="B271" s="377" t="n"/>
      <c r="C271" s="377" t="n"/>
      <c r="D271" s="378" t="n"/>
      <c r="E271" s="378" t="n"/>
      <c r="F271" s="378" t="n"/>
      <c r="G271" s="379" t="n"/>
      <c r="H271" s="378" t="n"/>
      <c r="I271" s="378" t="n"/>
      <c r="J271" s="378" t="n"/>
      <c r="K271" s="379" t="n"/>
      <c r="L271" s="380" t="n"/>
      <c r="M271" s="381" t="n"/>
      <c r="N271" s="381" t="n"/>
      <c r="O271" s="381" t="n"/>
      <c r="P271" s="382" t="n"/>
      <c r="Q271" s="383">
        <f>SUM(Q267:Q270)</f>
        <v/>
      </c>
    </row>
    <row r="272" ht="9.949999999999999" customHeight="1" s="244">
      <c r="A272" s="384" t="n"/>
      <c r="B272" s="385" t="n"/>
      <c r="C272" s="385" t="n"/>
      <c r="D272" s="386" t="n"/>
      <c r="E272" s="387" t="n"/>
      <c r="F272" s="388" t="n"/>
      <c r="G272" s="389" t="n"/>
      <c r="H272" s="388" t="n"/>
      <c r="I272" s="390" t="n"/>
      <c r="J272" s="391" t="inlineStr">
        <is>
          <t>Qs=</t>
        </is>
      </c>
      <c r="K272" s="390" t="inlineStr">
        <is>
          <t>S a</t>
        </is>
      </c>
      <c r="L272" s="388" t="inlineStr">
        <is>
          <t>L</t>
        </is>
      </c>
      <c r="M272" s="389" t="inlineStr">
        <is>
          <t>R</t>
        </is>
      </c>
      <c r="N272" s="392" t="inlineStr">
        <is>
          <t>H</t>
        </is>
      </c>
      <c r="O272" s="393" t="inlineStr">
        <is>
          <t>D  T</t>
        </is>
      </c>
      <c r="P272" s="389" t="inlineStr">
        <is>
          <t>Ze</t>
        </is>
      </c>
      <c r="Q272" s="394" t="n"/>
    </row>
    <row r="273" ht="9.949999999999999" customHeight="1" s="244">
      <c r="A273" s="395" t="inlineStr">
        <is>
          <t xml:space="preserve"> </t>
        </is>
      </c>
      <c r="C273" s="397" t="n"/>
      <c r="D273" s="397" t="n"/>
      <c r="E273" s="398" t="n"/>
      <c r="F273" s="399" t="n"/>
      <c r="G273" s="400" t="n"/>
      <c r="H273" s="401" t="n"/>
      <c r="I273" s="402" t="n"/>
      <c r="J273" s="403" t="inlineStr">
        <is>
          <t>Qs  =</t>
        </is>
      </c>
      <c r="K273" s="404" t="n">
        <v>2</v>
      </c>
      <c r="L273" s="404" t="n">
        <v>0</v>
      </c>
      <c r="M273" s="404" t="n">
        <v>0.9</v>
      </c>
      <c r="N273" s="404" t="n">
        <v>0.67</v>
      </c>
      <c r="O273" s="381" t="n">
        <v>23</v>
      </c>
      <c r="P273" s="404" t="n">
        <v>1</v>
      </c>
      <c r="Q273" s="383">
        <f>K273*L273*M273*N273*O273*P273</f>
        <v/>
      </c>
    </row>
    <row r="274" ht="9.949999999999999" customHeight="1" s="244">
      <c r="A274" s="405" t="n"/>
      <c r="B274" s="406" t="n"/>
      <c r="C274" s="397" t="n"/>
      <c r="D274" s="397" t="n"/>
      <c r="E274" s="378" t="n"/>
      <c r="F274" s="256" t="n"/>
      <c r="G274" s="407" t="n"/>
      <c r="H274" s="397" t="n"/>
      <c r="I274" s="397" t="n"/>
      <c r="J274" s="397" t="n"/>
      <c r="K274" s="407" t="n"/>
      <c r="L274" s="408" t="n"/>
      <c r="M274" s="409" t="inlineStr">
        <is>
          <t xml:space="preserve">   TOPLAM ISI KAYBI =</t>
        </is>
      </c>
      <c r="N274" s="409" t="n"/>
      <c r="O274" s="410" t="n"/>
      <c r="P274" s="409" t="n"/>
      <c r="Q274" s="411">
        <f>Q271+Q273</f>
        <v/>
      </c>
    </row>
    <row r="275" ht="10.35" customHeight="1" s="244">
      <c r="A275" s="359" t="n"/>
      <c r="B275" s="360" t="n"/>
      <c r="C275" s="360" t="n"/>
      <c r="D275" s="360" t="n"/>
      <c r="E275" s="360" t="n"/>
      <c r="F275" s="361" t="inlineStr">
        <is>
          <t>2</t>
        </is>
      </c>
      <c r="G275" s="362" t="inlineStr">
        <is>
          <t>0</t>
        </is>
      </c>
      <c r="H275" s="360" t="inlineStr">
        <is>
          <t>2C1-02</t>
        </is>
      </c>
      <c r="I275" s="363" t="inlineStr">
        <is>
          <t>OFİS C1 ODA</t>
        </is>
      </c>
      <c r="J275" s="364" t="n"/>
      <c r="K275" s="360" t="inlineStr">
        <is>
          <t>20ºC</t>
        </is>
      </c>
      <c r="L275" s="360" t="n"/>
      <c r="M275" s="360" t="n"/>
      <c r="N275" s="360" t="n"/>
      <c r="O275" s="360" t="n"/>
      <c r="P275" s="360" t="n"/>
      <c r="Q275" s="365" t="n"/>
    </row>
    <row r="276" ht="9.949999999999999" customHeight="1" s="244">
      <c r="A276" s="366" t="inlineStr">
        <is>
          <t>DD</t>
        </is>
      </c>
      <c r="B276" s="367" t="inlineStr">
        <is>
          <t>K</t>
        </is>
      </c>
      <c r="C276" s="368" t="n"/>
      <c r="D276" s="369" t="n">
        <v>3.05</v>
      </c>
      <c r="E276" s="369" t="n">
        <v>2.5</v>
      </c>
      <c r="F276" s="370">
        <f>IF(D276=0," ",D276*E276)</f>
        <v/>
      </c>
      <c r="G276" s="371" t="n">
        <v>1</v>
      </c>
      <c r="H276" s="372">
        <f>F278*G278</f>
        <v/>
      </c>
      <c r="I276" s="370">
        <f>IF(F276=" "," ",F276*G276-H276)</f>
        <v/>
      </c>
      <c r="J276" s="369" t="n">
        <v>0.344</v>
      </c>
      <c r="K276" s="371" t="n">
        <v>23</v>
      </c>
      <c r="L276" s="373">
        <f>IF(I276=" "," ",I276*J276*K276)</f>
        <v/>
      </c>
      <c r="M276" s="374" t="n">
        <v>7</v>
      </c>
      <c r="N276" s="371" t="n">
        <v>0</v>
      </c>
      <c r="O276" s="374" t="n">
        <v>5</v>
      </c>
      <c r="P276" s="370">
        <f>IF(M276=" "," ",(1+(M276+N276+O276)/100))</f>
        <v/>
      </c>
      <c r="Q276" s="375">
        <f>IF(L276=" "," ",L276*P276)</f>
        <v/>
      </c>
    </row>
    <row r="277" ht="9.949999999999999" customHeight="1" s="244">
      <c r="A277" s="366" t="inlineStr">
        <is>
          <t>DD25</t>
        </is>
      </c>
      <c r="B277" s="367" t="inlineStr">
        <is>
          <t>K</t>
        </is>
      </c>
      <c r="C277" s="368" t="n"/>
      <c r="D277" s="369">
        <f>D276</f>
        <v/>
      </c>
      <c r="E277" s="369" t="n">
        <v>0.5</v>
      </c>
      <c r="F277" s="370">
        <f>IF(D277=0," ",D277*E277)</f>
        <v/>
      </c>
      <c r="G277" s="371" t="n">
        <v>1</v>
      </c>
      <c r="H277" s="372" t="n"/>
      <c r="I277" s="370">
        <f>IF(F277=" "," ",F277*G277-H277)</f>
        <v/>
      </c>
      <c r="J277" s="369" t="n">
        <v>0.387</v>
      </c>
      <c r="K277" s="371" t="n">
        <v>23</v>
      </c>
      <c r="L277" s="373">
        <f>IF(I277=" "," ",I277*J277*K277)</f>
        <v/>
      </c>
      <c r="M277" s="374" t="n">
        <v>7</v>
      </c>
      <c r="N277" s="371" t="n">
        <v>0</v>
      </c>
      <c r="O277" s="374" t="n">
        <v>5</v>
      </c>
      <c r="P277" s="370">
        <f>IF(M277=" "," ",(1+(M277+N277+O277)/100))</f>
        <v/>
      </c>
      <c r="Q277" s="375">
        <f>IF(L277=" "," ",L277*P277)</f>
        <v/>
      </c>
    </row>
    <row r="278" ht="9.949999999999999" customHeight="1" s="244">
      <c r="A278" s="366" t="inlineStr">
        <is>
          <t>ÇP</t>
        </is>
      </c>
      <c r="B278" s="367" t="inlineStr">
        <is>
          <t>K</t>
        </is>
      </c>
      <c r="C278" s="368" t="n"/>
      <c r="D278" s="369" t="n">
        <v>1.68</v>
      </c>
      <c r="E278" s="369" t="n">
        <v>1.5</v>
      </c>
      <c r="F278" s="370">
        <f>IF(D278=0," ",D278*E278)</f>
        <v/>
      </c>
      <c r="G278" s="371" t="n">
        <v>1</v>
      </c>
      <c r="H278" s="372" t="n"/>
      <c r="I278" s="370">
        <f>IF(F278=" "," ",F278*G278-H278)</f>
        <v/>
      </c>
      <c r="J278" s="369" t="n">
        <v>1.8</v>
      </c>
      <c r="K278" s="371" t="n">
        <v>23</v>
      </c>
      <c r="L278" s="373">
        <f>IF(I278=" "," ",I278*J278*K278)</f>
        <v/>
      </c>
      <c r="M278" s="374" t="n">
        <v>7</v>
      </c>
      <c r="N278" s="371" t="n">
        <v>0</v>
      </c>
      <c r="O278" s="374" t="n">
        <v>5</v>
      </c>
      <c r="P278" s="370">
        <f>IF(M278=" "," ",(1+(M278+N278+O278)/100))</f>
        <v/>
      </c>
      <c r="Q278" s="375">
        <f>IF(L278=" "," ",L278*P278)</f>
        <v/>
      </c>
    </row>
    <row r="279" ht="9.949999999999999" customHeight="1" s="244">
      <c r="A279" s="366" t="inlineStr">
        <is>
          <t>İDM</t>
        </is>
      </c>
      <c r="B279" s="367" t="inlineStr"/>
      <c r="C279" s="368" t="n"/>
      <c r="D279" s="369" t="n">
        <v>3.13</v>
      </c>
      <c r="E279" s="369" t="n">
        <v>3</v>
      </c>
      <c r="F279" s="370">
        <f>IF(D279=0," ",D279*E279)</f>
        <v/>
      </c>
      <c r="G279" s="371" t="n">
        <v>1</v>
      </c>
      <c r="H279" s="372" t="n"/>
      <c r="I279" s="370">
        <f>IF(F279=" "," ",F279*G279-H279)</f>
        <v/>
      </c>
      <c r="J279" s="369" t="n">
        <v>0.332</v>
      </c>
      <c r="K279" s="371" t="n">
        <v>10</v>
      </c>
      <c r="L279" s="373">
        <f>IF(I279=" "," ",I279*J279*K279)</f>
        <v/>
      </c>
      <c r="M279" s="374" t="n">
        <v>7</v>
      </c>
      <c r="N279" s="371" t="n">
        <v>0</v>
      </c>
      <c r="O279" s="374" t="n">
        <v>0</v>
      </c>
      <c r="P279" s="370">
        <f>IF(M279=" "," ",(1+(M279+N279+O279)/100))</f>
        <v/>
      </c>
      <c r="Q279" s="375">
        <f>IF(L279=" "," ",L279*P279)</f>
        <v/>
      </c>
    </row>
    <row r="280" ht="9.949999999999999" customHeight="1" s="244">
      <c r="A280" s="366" t="inlineStr">
        <is>
          <t>Ta</t>
        </is>
      </c>
      <c r="B280" s="367" t="inlineStr"/>
      <c r="C280" s="368" t="n"/>
      <c r="D280" s="369" t="n">
        <v>16.5</v>
      </c>
      <c r="E280" s="369" t="n">
        <v>1</v>
      </c>
      <c r="F280" s="370">
        <f>IF(D280=0," ",D280*E280)</f>
        <v/>
      </c>
      <c r="G280" s="371" t="n">
        <v>1</v>
      </c>
      <c r="H280" s="372" t="n"/>
      <c r="I280" s="370">
        <f>IF(F280=" "," ",F280*G280-H280)</f>
        <v/>
      </c>
      <c r="J280" s="369" t="n">
        <v>0.266</v>
      </c>
      <c r="K280" s="371" t="n">
        <v>23</v>
      </c>
      <c r="L280" s="373">
        <f>IF(I280=" "," ",I280*J280*K280)</f>
        <v/>
      </c>
      <c r="M280" s="374" t="n">
        <v>7</v>
      </c>
      <c r="N280" s="371" t="n">
        <v>0</v>
      </c>
      <c r="O280" s="374" t="n">
        <v>0</v>
      </c>
      <c r="P280" s="370">
        <f>IF(M280=" "," ",(1+(M280+N280+O280)/100))</f>
        <v/>
      </c>
      <c r="Q280" s="375">
        <f>IF(L280=" "," ",L280*P280)</f>
        <v/>
      </c>
    </row>
    <row r="281" ht="9.949999999999999" customHeight="1" s="244">
      <c r="A281" s="376" t="n"/>
      <c r="B281" s="377" t="n"/>
      <c r="C281" s="377" t="n"/>
      <c r="D281" s="378" t="n"/>
      <c r="E281" s="378" t="n"/>
      <c r="F281" s="378" t="n"/>
      <c r="G281" s="379" t="n"/>
      <c r="H281" s="378" t="n"/>
      <c r="I281" s="378" t="n"/>
      <c r="J281" s="378" t="n"/>
      <c r="K281" s="379" t="n"/>
      <c r="L281" s="380" t="n"/>
      <c r="M281" s="381" t="n"/>
      <c r="N281" s="381" t="n"/>
      <c r="O281" s="381" t="n"/>
      <c r="P281" s="382" t="n"/>
      <c r="Q281" s="383">
        <f>SUM(Q276:Q280)</f>
        <v/>
      </c>
    </row>
    <row r="282" ht="9.949999999999999" customHeight="1" s="244">
      <c r="A282" s="384" t="n"/>
      <c r="B282" s="385" t="n"/>
      <c r="C282" s="385" t="n"/>
      <c r="D282" s="386" t="n"/>
      <c r="E282" s="387" t="n"/>
      <c r="F282" s="388" t="n"/>
      <c r="G282" s="389" t="n"/>
      <c r="H282" s="388" t="n"/>
      <c r="I282" s="390" t="n"/>
      <c r="J282" s="391" t="inlineStr">
        <is>
          <t>Qs=</t>
        </is>
      </c>
      <c r="K282" s="390" t="inlineStr">
        <is>
          <t>S a</t>
        </is>
      </c>
      <c r="L282" s="388" t="inlineStr">
        <is>
          <t>L</t>
        </is>
      </c>
      <c r="M282" s="389" t="inlineStr">
        <is>
          <t>R</t>
        </is>
      </c>
      <c r="N282" s="392" t="inlineStr">
        <is>
          <t>H</t>
        </is>
      </c>
      <c r="O282" s="393" t="inlineStr">
        <is>
          <t>D  T</t>
        </is>
      </c>
      <c r="P282" s="389" t="inlineStr">
        <is>
          <t>Ze</t>
        </is>
      </c>
      <c r="Q282" s="394" t="n"/>
    </row>
    <row r="283" ht="9.949999999999999" customHeight="1" s="244">
      <c r="A283" s="395" t="inlineStr">
        <is>
          <t xml:space="preserve"> </t>
        </is>
      </c>
      <c r="C283" s="397" t="n"/>
      <c r="D283" s="397" t="n"/>
      <c r="E283" s="398" t="n"/>
      <c r="F283" s="399" t="n"/>
      <c r="G283" s="400" t="n"/>
      <c r="H283" s="401" t="n"/>
      <c r="I283" s="402" t="n"/>
      <c r="J283" s="403" t="inlineStr">
        <is>
          <t>Qs  =</t>
        </is>
      </c>
      <c r="K283" s="404" t="n">
        <v>2</v>
      </c>
      <c r="L283" s="404">
        <f>(D278+E278)*2*G278</f>
        <v/>
      </c>
      <c r="M283" s="404" t="n">
        <v>0.9</v>
      </c>
      <c r="N283" s="404" t="n">
        <v>0.67</v>
      </c>
      <c r="O283" s="381" t="n">
        <v>23</v>
      </c>
      <c r="P283" s="404" t="n">
        <v>1</v>
      </c>
      <c r="Q283" s="383">
        <f>K283*L283*M283*N283*O283*P283</f>
        <v/>
      </c>
    </row>
    <row r="284" ht="9.949999999999999" customHeight="1" s="244">
      <c r="A284" s="405" t="n"/>
      <c r="B284" s="406" t="n"/>
      <c r="C284" s="397" t="n"/>
      <c r="D284" s="397" t="n"/>
      <c r="E284" s="378" t="n"/>
      <c r="F284" s="256" t="n"/>
      <c r="G284" s="407" t="n"/>
      <c r="H284" s="397" t="n"/>
      <c r="I284" s="397" t="n"/>
      <c r="J284" s="397" t="n"/>
      <c r="K284" s="407" t="n"/>
      <c r="L284" s="408" t="n"/>
      <c r="M284" s="409" t="inlineStr">
        <is>
          <t xml:space="preserve">   TOPLAM ISI KAYBI =</t>
        </is>
      </c>
      <c r="N284" s="409" t="n"/>
      <c r="O284" s="410" t="n"/>
      <c r="P284" s="409" t="n"/>
      <c r="Q284" s="411">
        <f>Q281+Q283</f>
        <v/>
      </c>
    </row>
    <row r="285" ht="10.35" customHeight="1" s="244">
      <c r="A285" s="359" t="n"/>
      <c r="B285" s="360" t="n"/>
      <c r="C285" s="360" t="n"/>
      <c r="D285" s="360" t="n"/>
      <c r="E285" s="360" t="n"/>
      <c r="F285" s="361" t="inlineStr">
        <is>
          <t>2</t>
        </is>
      </c>
      <c r="G285" s="362" t="inlineStr">
        <is>
          <t>0</t>
        </is>
      </c>
      <c r="H285" s="360" t="inlineStr">
        <is>
          <t>2C1-03</t>
        </is>
      </c>
      <c r="I285" s="363" t="inlineStr">
        <is>
          <t>OFİS C1 MUTFAK</t>
        </is>
      </c>
      <c r="J285" s="364" t="n"/>
      <c r="K285" s="360" t="inlineStr">
        <is>
          <t>20ºC</t>
        </is>
      </c>
      <c r="L285" s="360" t="n"/>
      <c r="M285" s="360" t="n"/>
      <c r="N285" s="360" t="n"/>
      <c r="O285" s="360" t="n"/>
      <c r="P285" s="360" t="n"/>
      <c r="Q285" s="365" t="n"/>
    </row>
    <row r="286" ht="9.949999999999999" customHeight="1" s="244">
      <c r="A286" s="366" t="inlineStr">
        <is>
          <t>Ta</t>
        </is>
      </c>
      <c r="B286" s="367" t="inlineStr"/>
      <c r="C286" s="368" t="n"/>
      <c r="D286" s="369" t="n">
        <v>5</v>
      </c>
      <c r="E286" s="369" t="n">
        <v>1</v>
      </c>
      <c r="F286" s="370">
        <f>IF(D286=0," ",D286*E286)</f>
        <v/>
      </c>
      <c r="G286" s="371" t="n">
        <v>1</v>
      </c>
      <c r="H286" s="372" t="n"/>
      <c r="I286" s="370">
        <f>IF(F286=" "," ",F286*G286-H286)</f>
        <v/>
      </c>
      <c r="J286" s="369" t="n">
        <v>0.266</v>
      </c>
      <c r="K286" s="371" t="n">
        <v>23</v>
      </c>
      <c r="L286" s="373">
        <f>IF(I286=" "," ",I286*J286*K286)</f>
        <v/>
      </c>
      <c r="M286" s="374" t="n">
        <v>7</v>
      </c>
      <c r="N286" s="371" t="n">
        <v>0</v>
      </c>
      <c r="O286" s="374" t="n">
        <v>0</v>
      </c>
      <c r="P286" s="370">
        <f>IF(M286=" "," ",(1+(M286+N286+O286)/100))</f>
        <v/>
      </c>
      <c r="Q286" s="375">
        <f>IF(L286=" "," ",L286*P286)</f>
        <v/>
      </c>
    </row>
    <row r="287" ht="9.949999999999999" customHeight="1" s="244">
      <c r="A287" s="376" t="n"/>
      <c r="B287" s="377" t="n"/>
      <c r="C287" s="377" t="n"/>
      <c r="D287" s="378" t="n"/>
      <c r="E287" s="378" t="n"/>
      <c r="F287" s="378" t="n"/>
      <c r="G287" s="379" t="n"/>
      <c r="H287" s="378" t="n"/>
      <c r="I287" s="378" t="n"/>
      <c r="J287" s="378" t="n"/>
      <c r="K287" s="379" t="n"/>
      <c r="L287" s="380" t="n"/>
      <c r="M287" s="381" t="n"/>
      <c r="N287" s="381" t="n"/>
      <c r="O287" s="381" t="n"/>
      <c r="P287" s="382" t="n"/>
      <c r="Q287" s="383">
        <f>SUM(Q286:Q286)</f>
        <v/>
      </c>
    </row>
    <row r="288" ht="9.949999999999999" customHeight="1" s="244">
      <c r="A288" s="384" t="n"/>
      <c r="B288" s="385" t="n"/>
      <c r="C288" s="385" t="n"/>
      <c r="D288" s="386" t="n"/>
      <c r="E288" s="387" t="n"/>
      <c r="F288" s="388" t="n"/>
      <c r="G288" s="389" t="n"/>
      <c r="H288" s="388" t="n"/>
      <c r="I288" s="390" t="n"/>
      <c r="J288" s="391" t="inlineStr">
        <is>
          <t>Qs=</t>
        </is>
      </c>
      <c r="K288" s="390" t="inlineStr">
        <is>
          <t>S a</t>
        </is>
      </c>
      <c r="L288" s="388" t="inlineStr">
        <is>
          <t>L</t>
        </is>
      </c>
      <c r="M288" s="389" t="inlineStr">
        <is>
          <t>R</t>
        </is>
      </c>
      <c r="N288" s="392" t="inlineStr">
        <is>
          <t>H</t>
        </is>
      </c>
      <c r="O288" s="393" t="inlineStr">
        <is>
          <t>D  T</t>
        </is>
      </c>
      <c r="P288" s="389" t="inlineStr">
        <is>
          <t>Ze</t>
        </is>
      </c>
      <c r="Q288" s="394" t="n"/>
    </row>
    <row r="289" ht="9.949999999999999" customHeight="1" s="244">
      <c r="A289" s="395" t="inlineStr">
        <is>
          <t xml:space="preserve"> </t>
        </is>
      </c>
      <c r="C289" s="397" t="n"/>
      <c r="D289" s="397" t="n"/>
      <c r="E289" s="398" t="n"/>
      <c r="F289" s="399" t="n"/>
      <c r="G289" s="400" t="n"/>
      <c r="H289" s="401" t="n"/>
      <c r="I289" s="402" t="n"/>
      <c r="J289" s="403" t="inlineStr">
        <is>
          <t>Qs  =</t>
        </is>
      </c>
      <c r="K289" s="404" t="n">
        <v>2</v>
      </c>
      <c r="L289" s="404" t="n">
        <v>0</v>
      </c>
      <c r="M289" s="404" t="n">
        <v>0.9</v>
      </c>
      <c r="N289" s="404" t="n">
        <v>0.67</v>
      </c>
      <c r="O289" s="381" t="n">
        <v>23</v>
      </c>
      <c r="P289" s="404" t="n">
        <v>1</v>
      </c>
      <c r="Q289" s="383">
        <f>K289*L289*M289*N289*O289*P289</f>
        <v/>
      </c>
    </row>
    <row r="290" ht="9.949999999999999" customHeight="1" s="244">
      <c r="A290" s="405" t="n"/>
      <c r="B290" s="406" t="n"/>
      <c r="C290" s="397" t="n"/>
      <c r="D290" s="397" t="n"/>
      <c r="E290" s="378" t="n"/>
      <c r="F290" s="256" t="n"/>
      <c r="G290" s="407" t="n"/>
      <c r="H290" s="397" t="n"/>
      <c r="I290" s="397" t="n"/>
      <c r="J290" s="397" t="n"/>
      <c r="K290" s="407" t="n"/>
      <c r="L290" s="408" t="n"/>
      <c r="M290" s="409" t="inlineStr">
        <is>
          <t xml:space="preserve">   TOPLAM ISI KAYBI =</t>
        </is>
      </c>
      <c r="N290" s="409" t="n"/>
      <c r="O290" s="410" t="n"/>
      <c r="P290" s="409" t="n"/>
      <c r="Q290" s="411">
        <f>Q287+Q289</f>
        <v/>
      </c>
    </row>
    <row r="291" ht="10.35" customHeight="1" s="244">
      <c r="A291" s="359" t="n"/>
      <c r="B291" s="360" t="n"/>
      <c r="C291" s="360" t="n"/>
      <c r="D291" s="360" t="n"/>
      <c r="E291" s="360" t="n"/>
      <c r="F291" s="361" t="inlineStr">
        <is>
          <t>2</t>
        </is>
      </c>
      <c r="G291" s="362" t="inlineStr">
        <is>
          <t>0</t>
        </is>
      </c>
      <c r="H291" s="360" t="inlineStr">
        <is>
          <t>2C1-04</t>
        </is>
      </c>
      <c r="I291" s="363" t="inlineStr">
        <is>
          <t>OFİS C1 BANYO</t>
        </is>
      </c>
      <c r="J291" s="364" t="n"/>
      <c r="K291" s="360" t="inlineStr">
        <is>
          <t>24ºC</t>
        </is>
      </c>
      <c r="L291" s="360" t="n"/>
      <c r="M291" s="360" t="n"/>
      <c r="N291" s="360" t="n"/>
      <c r="O291" s="360" t="n"/>
      <c r="P291" s="360" t="n"/>
      <c r="Q291" s="365" t="n"/>
    </row>
    <row r="292" ht="9.949999999999999" customHeight="1" s="244">
      <c r="A292" s="366" t="inlineStr">
        <is>
          <t>Ta</t>
        </is>
      </c>
      <c r="B292" s="367" t="inlineStr"/>
      <c r="C292" s="368" t="n"/>
      <c r="D292" s="369" t="n">
        <v>3.2</v>
      </c>
      <c r="E292" s="369" t="n">
        <v>1</v>
      </c>
      <c r="F292" s="370">
        <f>IF(D292=0," ",D292*E292)</f>
        <v/>
      </c>
      <c r="G292" s="371" t="n">
        <v>1</v>
      </c>
      <c r="H292" s="372" t="n"/>
      <c r="I292" s="370">
        <f>IF(F292=" "," ",F292*G292-H292)</f>
        <v/>
      </c>
      <c r="J292" s="369" t="n">
        <v>0.266</v>
      </c>
      <c r="K292" s="371" t="n">
        <v>27</v>
      </c>
      <c r="L292" s="373">
        <f>IF(I292=" "," ",I292*J292*K292)</f>
        <v/>
      </c>
      <c r="M292" s="374" t="n">
        <v>7</v>
      </c>
      <c r="N292" s="371" t="n">
        <v>0</v>
      </c>
      <c r="O292" s="374" t="n">
        <v>0</v>
      </c>
      <c r="P292" s="370">
        <f>IF(M292=" "," ",(1+(M292+N292+O292)/100))</f>
        <v/>
      </c>
      <c r="Q292" s="375">
        <f>IF(L292=" "," ",L292*P292)</f>
        <v/>
      </c>
    </row>
    <row r="293" ht="9.949999999999999" customHeight="1" s="244">
      <c r="A293" s="376" t="n"/>
      <c r="B293" s="377" t="n"/>
      <c r="C293" s="377" t="n"/>
      <c r="D293" s="378" t="n"/>
      <c r="E293" s="378" t="n"/>
      <c r="F293" s="378" t="n"/>
      <c r="G293" s="379" t="n"/>
      <c r="H293" s="378" t="n"/>
      <c r="I293" s="378" t="n"/>
      <c r="J293" s="378" t="n"/>
      <c r="K293" s="379" t="n"/>
      <c r="L293" s="380" t="n"/>
      <c r="M293" s="381" t="n"/>
      <c r="N293" s="381" t="n"/>
      <c r="O293" s="381" t="n"/>
      <c r="P293" s="382" t="n"/>
      <c r="Q293" s="383">
        <f>SUM(Q292:Q292)</f>
        <v/>
      </c>
    </row>
    <row r="294" ht="9.949999999999999" customHeight="1" s="244">
      <c r="A294" s="384" t="n"/>
      <c r="B294" s="385" t="n"/>
      <c r="C294" s="385" t="n"/>
      <c r="D294" s="386" t="n"/>
      <c r="E294" s="387" t="n"/>
      <c r="F294" s="388" t="n"/>
      <c r="G294" s="389" t="n"/>
      <c r="H294" s="388" t="n"/>
      <c r="I294" s="390" t="n"/>
      <c r="J294" s="391" t="inlineStr">
        <is>
          <t>Qs=</t>
        </is>
      </c>
      <c r="K294" s="390" t="inlineStr">
        <is>
          <t>S a</t>
        </is>
      </c>
      <c r="L294" s="388" t="inlineStr">
        <is>
          <t>L</t>
        </is>
      </c>
      <c r="M294" s="389" t="inlineStr">
        <is>
          <t>R</t>
        </is>
      </c>
      <c r="N294" s="392" t="inlineStr">
        <is>
          <t>H</t>
        </is>
      </c>
      <c r="O294" s="393" t="inlineStr">
        <is>
          <t>D  T</t>
        </is>
      </c>
      <c r="P294" s="389" t="inlineStr">
        <is>
          <t>Ze</t>
        </is>
      </c>
      <c r="Q294" s="394" t="n"/>
    </row>
    <row r="295" ht="9.949999999999999" customHeight="1" s="244">
      <c r="A295" s="395" t="inlineStr">
        <is>
          <t xml:space="preserve"> </t>
        </is>
      </c>
      <c r="C295" s="397" t="n"/>
      <c r="D295" s="397" t="n"/>
      <c r="E295" s="398" t="n"/>
      <c r="F295" s="399" t="n"/>
      <c r="G295" s="400" t="n"/>
      <c r="H295" s="401" t="n"/>
      <c r="I295" s="402" t="n"/>
      <c r="J295" s="403" t="inlineStr">
        <is>
          <t>Qs  =</t>
        </is>
      </c>
      <c r="K295" s="404" t="n">
        <v>2</v>
      </c>
      <c r="L295" s="404" t="n">
        <v>0</v>
      </c>
      <c r="M295" s="404" t="n">
        <v>0.9</v>
      </c>
      <c r="N295" s="404" t="n">
        <v>0.67</v>
      </c>
      <c r="O295" s="381" t="n">
        <v>27</v>
      </c>
      <c r="P295" s="404" t="n">
        <v>1</v>
      </c>
      <c r="Q295" s="383">
        <f>K295*L295*M295*N295*O295*P295</f>
        <v/>
      </c>
    </row>
    <row r="296" ht="9.949999999999999" customHeight="1" s="244">
      <c r="A296" s="405" t="n"/>
      <c r="B296" s="406" t="n"/>
      <c r="C296" s="397" t="n"/>
      <c r="D296" s="397" t="n"/>
      <c r="E296" s="378" t="n"/>
      <c r="F296" s="256" t="n"/>
      <c r="G296" s="407" t="n"/>
      <c r="H296" s="397" t="n"/>
      <c r="I296" s="397" t="n"/>
      <c r="J296" s="397" t="n"/>
      <c r="K296" s="407" t="n"/>
      <c r="L296" s="408" t="n"/>
      <c r="M296" s="409" t="inlineStr">
        <is>
          <t xml:space="preserve">   TOPLAM ISI KAYBI =</t>
        </is>
      </c>
      <c r="N296" s="409" t="n"/>
      <c r="O296" s="410" t="n"/>
      <c r="P296" s="409" t="n"/>
      <c r="Q296" s="411">
        <f>Q293+Q295</f>
        <v/>
      </c>
    </row>
    <row r="297" ht="10.35" customHeight="1" s="244">
      <c r="A297" s="359" t="n"/>
      <c r="B297" s="360" t="n"/>
      <c r="C297" s="360" t="n"/>
      <c r="D297" s="360" t="n"/>
      <c r="E297" s="360" t="n"/>
      <c r="F297" s="361" t="inlineStr">
        <is>
          <t>2</t>
        </is>
      </c>
      <c r="G297" s="362" t="inlineStr">
        <is>
          <t>0</t>
        </is>
      </c>
      <c r="H297" s="360" t="inlineStr">
        <is>
          <t>2C2-01</t>
        </is>
      </c>
      <c r="I297" s="363" t="inlineStr">
        <is>
          <t>OFİS C2 GİRİŞ HOLÜ</t>
        </is>
      </c>
      <c r="J297" s="364" t="n"/>
      <c r="K297" s="360" t="inlineStr">
        <is>
          <t>20ºC</t>
        </is>
      </c>
      <c r="L297" s="360" t="n"/>
      <c r="M297" s="360" t="n"/>
      <c r="N297" s="360" t="n"/>
      <c r="O297" s="360" t="n"/>
      <c r="P297" s="360" t="n"/>
      <c r="Q297" s="365" t="n"/>
    </row>
    <row r="298" ht="9.949999999999999" customHeight="1" s="244">
      <c r="A298" s="366" t="inlineStr">
        <is>
          <t>İDM</t>
        </is>
      </c>
      <c r="B298" s="367" t="inlineStr"/>
      <c r="C298" s="368" t="n"/>
      <c r="D298" s="369" t="n">
        <v>3.33</v>
      </c>
      <c r="E298" s="369" t="n">
        <v>3</v>
      </c>
      <c r="F298" s="370">
        <f>IF(D298=0," ",D298*E298)</f>
        <v/>
      </c>
      <c r="G298" s="371" t="n">
        <v>1</v>
      </c>
      <c r="H298" s="372" t="n"/>
      <c r="I298" s="370">
        <f>IF(F298=" "," ",F298*G298-H298)</f>
        <v/>
      </c>
      <c r="J298" s="369" t="n">
        <v>0.332</v>
      </c>
      <c r="K298" s="371" t="n">
        <v>10</v>
      </c>
      <c r="L298" s="373">
        <f>IF(I298=" "," ",I298*J298*K298)</f>
        <v/>
      </c>
      <c r="M298" s="374" t="n">
        <v>7</v>
      </c>
      <c r="N298" s="371" t="n">
        <v>0</v>
      </c>
      <c r="O298" s="374" t="n">
        <v>0</v>
      </c>
      <c r="P298" s="370">
        <f>IF(M298=" "," ",(1+(M298+N298+O298)/100))</f>
        <v/>
      </c>
      <c r="Q298" s="375">
        <f>IF(L298=" "," ",L298*P298)</f>
        <v/>
      </c>
    </row>
    <row r="299" ht="9.949999999999999" customHeight="1" s="244">
      <c r="A299" s="366" t="inlineStr">
        <is>
          <t>Ta</t>
        </is>
      </c>
      <c r="B299" s="367" t="inlineStr"/>
      <c r="C299" s="368" t="n"/>
      <c r="D299" s="369" t="n">
        <v>14.54</v>
      </c>
      <c r="E299" s="369" t="n">
        <v>1</v>
      </c>
      <c r="F299" s="370">
        <f>IF(D299=0," ",D299*E299)</f>
        <v/>
      </c>
      <c r="G299" s="371" t="n">
        <v>1</v>
      </c>
      <c r="H299" s="372" t="n"/>
      <c r="I299" s="370">
        <f>IF(F299=" "," ",F299*G299-H299)</f>
        <v/>
      </c>
      <c r="J299" s="369" t="n">
        <v>0.266</v>
      </c>
      <c r="K299" s="371" t="n">
        <v>23</v>
      </c>
      <c r="L299" s="373">
        <f>IF(I299=" "," ",I299*J299*K299)</f>
        <v/>
      </c>
      <c r="M299" s="374" t="n">
        <v>7</v>
      </c>
      <c r="N299" s="371" t="n">
        <v>0</v>
      </c>
      <c r="O299" s="374" t="n">
        <v>0</v>
      </c>
      <c r="P299" s="370">
        <f>IF(M299=" "," ",(1+(M299+N299+O299)/100))</f>
        <v/>
      </c>
      <c r="Q299" s="375">
        <f>IF(L299=" "," ",L299*P299)</f>
        <v/>
      </c>
    </row>
    <row r="300" ht="9.949999999999999" customHeight="1" s="244">
      <c r="A300" s="376" t="n"/>
      <c r="B300" s="377" t="n"/>
      <c r="C300" s="377" t="n"/>
      <c r="D300" s="378" t="n"/>
      <c r="E300" s="378" t="n"/>
      <c r="F300" s="378" t="n"/>
      <c r="G300" s="379" t="n"/>
      <c r="H300" s="378" t="n"/>
      <c r="I300" s="378" t="n"/>
      <c r="J300" s="378" t="n"/>
      <c r="K300" s="379" t="n"/>
      <c r="L300" s="380" t="n"/>
      <c r="M300" s="381" t="n"/>
      <c r="N300" s="381" t="n"/>
      <c r="O300" s="381" t="n"/>
      <c r="P300" s="382" t="n"/>
      <c r="Q300" s="383">
        <f>SUM(Q298:Q299)</f>
        <v/>
      </c>
    </row>
    <row r="301" ht="9.949999999999999" customHeight="1" s="244">
      <c r="A301" s="384" t="n"/>
      <c r="B301" s="385" t="n"/>
      <c r="C301" s="385" t="n"/>
      <c r="D301" s="386" t="n"/>
      <c r="E301" s="387" t="n"/>
      <c r="F301" s="388" t="n"/>
      <c r="G301" s="389" t="n"/>
      <c r="H301" s="388" t="n"/>
      <c r="I301" s="390" t="n"/>
      <c r="J301" s="391" t="inlineStr">
        <is>
          <t>Qs=</t>
        </is>
      </c>
      <c r="K301" s="390" t="inlineStr">
        <is>
          <t>S a</t>
        </is>
      </c>
      <c r="L301" s="388" t="inlineStr">
        <is>
          <t>L</t>
        </is>
      </c>
      <c r="M301" s="389" t="inlineStr">
        <is>
          <t>R</t>
        </is>
      </c>
      <c r="N301" s="392" t="inlineStr">
        <is>
          <t>H</t>
        </is>
      </c>
      <c r="O301" s="393" t="inlineStr">
        <is>
          <t>D  T</t>
        </is>
      </c>
      <c r="P301" s="389" t="inlineStr">
        <is>
          <t>Ze</t>
        </is>
      </c>
      <c r="Q301" s="394" t="n"/>
    </row>
    <row r="302" ht="9.949999999999999" customHeight="1" s="244">
      <c r="A302" s="395" t="inlineStr">
        <is>
          <t xml:space="preserve"> </t>
        </is>
      </c>
      <c r="C302" s="397" t="n"/>
      <c r="D302" s="397" t="n"/>
      <c r="E302" s="398" t="n"/>
      <c r="F302" s="399" t="n"/>
      <c r="G302" s="400" t="n"/>
      <c r="H302" s="401" t="n"/>
      <c r="I302" s="402" t="n"/>
      <c r="J302" s="403" t="inlineStr">
        <is>
          <t>Qs  =</t>
        </is>
      </c>
      <c r="K302" s="404" t="n">
        <v>2</v>
      </c>
      <c r="L302" s="404" t="n">
        <v>0</v>
      </c>
      <c r="M302" s="404" t="n">
        <v>0.9</v>
      </c>
      <c r="N302" s="404" t="n">
        <v>0.67</v>
      </c>
      <c r="O302" s="381" t="n">
        <v>23</v>
      </c>
      <c r="P302" s="404" t="n">
        <v>1</v>
      </c>
      <c r="Q302" s="383">
        <f>K302*L302*M302*N302*O302*P302</f>
        <v/>
      </c>
    </row>
    <row r="303" ht="9.949999999999999" customHeight="1" s="244">
      <c r="A303" s="405" t="n"/>
      <c r="B303" s="406" t="n"/>
      <c r="C303" s="397" t="n"/>
      <c r="D303" s="397" t="n"/>
      <c r="E303" s="378" t="n"/>
      <c r="F303" s="256" t="n"/>
      <c r="G303" s="407" t="n"/>
      <c r="H303" s="397" t="n"/>
      <c r="I303" s="397" t="n"/>
      <c r="J303" s="397" t="n"/>
      <c r="K303" s="407" t="n"/>
      <c r="L303" s="408" t="n"/>
      <c r="M303" s="409" t="inlineStr">
        <is>
          <t xml:space="preserve">   TOPLAM ISI KAYBI =</t>
        </is>
      </c>
      <c r="N303" s="409" t="n"/>
      <c r="O303" s="410" t="n"/>
      <c r="P303" s="409" t="n"/>
      <c r="Q303" s="411">
        <f>Q300+Q302</f>
        <v/>
      </c>
    </row>
    <row r="304" ht="10.35" customHeight="1" s="244">
      <c r="A304" s="359" t="n"/>
      <c r="B304" s="360" t="n"/>
      <c r="C304" s="360" t="n"/>
      <c r="D304" s="360" t="n"/>
      <c r="E304" s="360" t="n"/>
      <c r="F304" s="361" t="inlineStr">
        <is>
          <t>2</t>
        </is>
      </c>
      <c r="G304" s="362" t="inlineStr">
        <is>
          <t>0</t>
        </is>
      </c>
      <c r="H304" s="360" t="inlineStr">
        <is>
          <t>2C2-02</t>
        </is>
      </c>
      <c r="I304" s="363" t="inlineStr">
        <is>
          <t>OFİS C2 GİRİŞ HOLÜ</t>
        </is>
      </c>
      <c r="J304" s="364" t="n"/>
      <c r="K304" s="360" t="inlineStr">
        <is>
          <t>20ºC</t>
        </is>
      </c>
      <c r="L304" s="360" t="n"/>
      <c r="M304" s="360" t="n"/>
      <c r="N304" s="360" t="n"/>
      <c r="O304" s="360" t="n"/>
      <c r="P304" s="360" t="n"/>
      <c r="Q304" s="365" t="n"/>
    </row>
    <row r="305" ht="9.949999999999999" customHeight="1" s="244">
      <c r="A305" s="366" t="inlineStr">
        <is>
          <t>DD</t>
        </is>
      </c>
      <c r="B305" s="367" t="inlineStr">
        <is>
          <t>K</t>
        </is>
      </c>
      <c r="C305" s="368" t="n"/>
      <c r="D305" s="369" t="n">
        <v>4.2</v>
      </c>
      <c r="E305" s="369" t="n">
        <v>2.5</v>
      </c>
      <c r="F305" s="370">
        <f>IF(D305=0," ",D305*E305)</f>
        <v/>
      </c>
      <c r="G305" s="371" t="n">
        <v>1</v>
      </c>
      <c r="H305" s="372">
        <f>F307*G307</f>
        <v/>
      </c>
      <c r="I305" s="370">
        <f>IF(F305=" "," ",F305*G305-H305)</f>
        <v/>
      </c>
      <c r="J305" s="369" t="n">
        <v>0.344</v>
      </c>
      <c r="K305" s="371" t="n">
        <v>23</v>
      </c>
      <c r="L305" s="373">
        <f>IF(I305=" "," ",I305*J305*K305)</f>
        <v/>
      </c>
      <c r="M305" s="374" t="n">
        <v>7</v>
      </c>
      <c r="N305" s="371" t="n">
        <v>0</v>
      </c>
      <c r="O305" s="374" t="n">
        <v>5</v>
      </c>
      <c r="P305" s="370">
        <f>IF(M305=" "," ",(1+(M305+N305+O305)/100))</f>
        <v/>
      </c>
      <c r="Q305" s="375">
        <f>IF(L305=" "," ",L305*P305)</f>
        <v/>
      </c>
    </row>
    <row r="306" ht="9.949999999999999" customHeight="1" s="244">
      <c r="A306" s="366" t="inlineStr">
        <is>
          <t>DD25</t>
        </is>
      </c>
      <c r="B306" s="367" t="inlineStr">
        <is>
          <t>K</t>
        </is>
      </c>
      <c r="C306" s="368" t="n"/>
      <c r="D306" s="369">
        <f>D305</f>
        <v/>
      </c>
      <c r="E306" s="369" t="n">
        <v>0.5</v>
      </c>
      <c r="F306" s="370">
        <f>IF(D306=0," ",D306*E306)</f>
        <v/>
      </c>
      <c r="G306" s="371" t="n">
        <v>1</v>
      </c>
      <c r="H306" s="372" t="n"/>
      <c r="I306" s="370">
        <f>IF(F306=" "," ",F306*G306-H306)</f>
        <v/>
      </c>
      <c r="J306" s="369" t="n">
        <v>0.387</v>
      </c>
      <c r="K306" s="371" t="n">
        <v>23</v>
      </c>
      <c r="L306" s="373">
        <f>IF(I306=" "," ",I306*J306*K306)</f>
        <v/>
      </c>
      <c r="M306" s="374" t="n">
        <v>7</v>
      </c>
      <c r="N306" s="371" t="n">
        <v>0</v>
      </c>
      <c r="O306" s="374" t="n">
        <v>5</v>
      </c>
      <c r="P306" s="370">
        <f>IF(M306=" "," ",(1+(M306+N306+O306)/100))</f>
        <v/>
      </c>
      <c r="Q306" s="375">
        <f>IF(L306=" "," ",L306*P306)</f>
        <v/>
      </c>
    </row>
    <row r="307" ht="9.949999999999999" customHeight="1" s="244">
      <c r="A307" s="366" t="inlineStr">
        <is>
          <t>ÇP</t>
        </is>
      </c>
      <c r="B307" s="367" t="inlineStr">
        <is>
          <t>K</t>
        </is>
      </c>
      <c r="C307" s="368" t="n"/>
      <c r="D307" s="369" t="n">
        <v>2.31</v>
      </c>
      <c r="E307" s="369" t="n">
        <v>1.5</v>
      </c>
      <c r="F307" s="370">
        <f>IF(D307=0," ",D307*E307)</f>
        <v/>
      </c>
      <c r="G307" s="371" t="n">
        <v>1</v>
      </c>
      <c r="H307" s="372" t="n"/>
      <c r="I307" s="370">
        <f>IF(F307=" "," ",F307*G307-H307)</f>
        <v/>
      </c>
      <c r="J307" s="369" t="n">
        <v>1.8</v>
      </c>
      <c r="K307" s="371" t="n">
        <v>23</v>
      </c>
      <c r="L307" s="373">
        <f>IF(I307=" "," ",I307*J307*K307)</f>
        <v/>
      </c>
      <c r="M307" s="374" t="n">
        <v>7</v>
      </c>
      <c r="N307" s="371" t="n">
        <v>0</v>
      </c>
      <c r="O307" s="374" t="n">
        <v>5</v>
      </c>
      <c r="P307" s="370">
        <f>IF(M307=" "," ",(1+(M307+N307+O307)/100))</f>
        <v/>
      </c>
      <c r="Q307" s="375">
        <f>IF(L307=" "," ",L307*P307)</f>
        <v/>
      </c>
    </row>
    <row r="308" ht="9.949999999999999" customHeight="1" s="244">
      <c r="A308" s="366" t="inlineStr">
        <is>
          <t>İDM</t>
        </is>
      </c>
      <c r="B308" s="367" t="inlineStr"/>
      <c r="C308" s="368" t="n"/>
      <c r="D308" s="369" t="n">
        <v>0.32</v>
      </c>
      <c r="E308" s="369" t="n">
        <v>3</v>
      </c>
      <c r="F308" s="370">
        <f>IF(D308=0," ",D308*E308)</f>
        <v/>
      </c>
      <c r="G308" s="371" t="n">
        <v>1</v>
      </c>
      <c r="H308" s="372" t="n"/>
      <c r="I308" s="370">
        <f>IF(F308=" "," ",F308*G308-H308)</f>
        <v/>
      </c>
      <c r="J308" s="369" t="n">
        <v>0.332</v>
      </c>
      <c r="K308" s="371" t="n">
        <v>10</v>
      </c>
      <c r="L308" s="373">
        <f>IF(I308=" "," ",I308*J308*K308)</f>
        <v/>
      </c>
      <c r="M308" s="374" t="n">
        <v>7</v>
      </c>
      <c r="N308" s="371" t="n">
        <v>0</v>
      </c>
      <c r="O308" s="374" t="n">
        <v>0</v>
      </c>
      <c r="P308" s="370">
        <f>IF(M308=" "," ",(1+(M308+N308+O308)/100))</f>
        <v/>
      </c>
      <c r="Q308" s="375">
        <f>IF(L308=" "," ",L308*P308)</f>
        <v/>
      </c>
    </row>
    <row r="309" ht="9.949999999999999" customHeight="1" s="244">
      <c r="A309" s="366" t="inlineStr">
        <is>
          <t>İDM</t>
        </is>
      </c>
      <c r="B309" s="367" t="inlineStr"/>
      <c r="C309" s="368" t="n"/>
      <c r="D309" s="369" t="n">
        <v>0.98</v>
      </c>
      <c r="E309" s="369" t="n">
        <v>3</v>
      </c>
      <c r="F309" s="370">
        <f>IF(D309=0," ",D309*E309)</f>
        <v/>
      </c>
      <c r="G309" s="371" t="n">
        <v>1</v>
      </c>
      <c r="H309" s="372" t="n"/>
      <c r="I309" s="370">
        <f>IF(F309=" "," ",F309*G309-H309)</f>
        <v/>
      </c>
      <c r="J309" s="369" t="n">
        <v>0.332</v>
      </c>
      <c r="K309" s="371" t="n">
        <v>10</v>
      </c>
      <c r="L309" s="373">
        <f>IF(I309=" "," ",I309*J309*K309)</f>
        <v/>
      </c>
      <c r="M309" s="374" t="n">
        <v>7</v>
      </c>
      <c r="N309" s="371" t="n">
        <v>0</v>
      </c>
      <c r="O309" s="374" t="n">
        <v>0</v>
      </c>
      <c r="P309" s="370">
        <f>IF(M309=" "," ",(1+(M309+N309+O309)/100))</f>
        <v/>
      </c>
      <c r="Q309" s="375">
        <f>IF(L309=" "," ",L309*P309)</f>
        <v/>
      </c>
    </row>
    <row r="310" ht="9.949999999999999" customHeight="1" s="244">
      <c r="A310" s="366" t="inlineStr">
        <is>
          <t>Ta</t>
        </is>
      </c>
      <c r="B310" s="367" t="inlineStr"/>
      <c r="C310" s="368" t="n"/>
      <c r="D310" s="369" t="n">
        <v>16.83</v>
      </c>
      <c r="E310" s="369" t="n">
        <v>1</v>
      </c>
      <c r="F310" s="370">
        <f>IF(D310=0," ",D310*E310)</f>
        <v/>
      </c>
      <c r="G310" s="371" t="n">
        <v>1</v>
      </c>
      <c r="H310" s="372" t="n"/>
      <c r="I310" s="370">
        <f>IF(F310=" "," ",F310*G310-H310)</f>
        <v/>
      </c>
      <c r="J310" s="369" t="n">
        <v>0.266</v>
      </c>
      <c r="K310" s="371" t="n">
        <v>23</v>
      </c>
      <c r="L310" s="373">
        <f>IF(I310=" "," ",I310*J310*K310)</f>
        <v/>
      </c>
      <c r="M310" s="374" t="n">
        <v>7</v>
      </c>
      <c r="N310" s="371" t="n">
        <v>0</v>
      </c>
      <c r="O310" s="374" t="n">
        <v>0</v>
      </c>
      <c r="P310" s="370">
        <f>IF(M310=" "," ",(1+(M310+N310+O310)/100))</f>
        <v/>
      </c>
      <c r="Q310" s="375">
        <f>IF(L310=" "," ",L310*P310)</f>
        <v/>
      </c>
    </row>
    <row r="311" ht="9.949999999999999" customHeight="1" s="244">
      <c r="A311" s="376" t="n"/>
      <c r="B311" s="377" t="n"/>
      <c r="C311" s="377" t="n"/>
      <c r="D311" s="378" t="n"/>
      <c r="E311" s="378" t="n"/>
      <c r="F311" s="378" t="n"/>
      <c r="G311" s="379" t="n"/>
      <c r="H311" s="378" t="n"/>
      <c r="I311" s="378" t="n"/>
      <c r="J311" s="378" t="n"/>
      <c r="K311" s="379" t="n"/>
      <c r="L311" s="380" t="n"/>
      <c r="M311" s="381" t="n"/>
      <c r="N311" s="381" t="n"/>
      <c r="O311" s="381" t="n"/>
      <c r="P311" s="382" t="n"/>
      <c r="Q311" s="383">
        <f>SUM(Q305:Q310)</f>
        <v/>
      </c>
    </row>
    <row r="312" ht="9.949999999999999" customHeight="1" s="244">
      <c r="A312" s="384" t="n"/>
      <c r="B312" s="385" t="n"/>
      <c r="C312" s="385" t="n"/>
      <c r="D312" s="386" t="n"/>
      <c r="E312" s="387" t="n"/>
      <c r="F312" s="388" t="n"/>
      <c r="G312" s="389" t="n"/>
      <c r="H312" s="388" t="n"/>
      <c r="I312" s="390" t="n"/>
      <c r="J312" s="391" t="inlineStr">
        <is>
          <t>Qs=</t>
        </is>
      </c>
      <c r="K312" s="390" t="inlineStr">
        <is>
          <t>S a</t>
        </is>
      </c>
      <c r="L312" s="388" t="inlineStr">
        <is>
          <t>L</t>
        </is>
      </c>
      <c r="M312" s="389" t="inlineStr">
        <is>
          <t>R</t>
        </is>
      </c>
      <c r="N312" s="392" t="inlineStr">
        <is>
          <t>H</t>
        </is>
      </c>
      <c r="O312" s="393" t="inlineStr">
        <is>
          <t>D  T</t>
        </is>
      </c>
      <c r="P312" s="389" t="inlineStr">
        <is>
          <t>Ze</t>
        </is>
      </c>
      <c r="Q312" s="394" t="n"/>
    </row>
    <row r="313" ht="9.949999999999999" customHeight="1" s="244">
      <c r="A313" s="395" t="inlineStr">
        <is>
          <t xml:space="preserve"> </t>
        </is>
      </c>
      <c r="C313" s="397" t="n"/>
      <c r="D313" s="397" t="n"/>
      <c r="E313" s="398" t="n"/>
      <c r="F313" s="399" t="n"/>
      <c r="G313" s="400" t="n"/>
      <c r="H313" s="401" t="n"/>
      <c r="I313" s="402" t="n"/>
      <c r="J313" s="403" t="inlineStr">
        <is>
          <t>Qs  =</t>
        </is>
      </c>
      <c r="K313" s="404" t="n">
        <v>2</v>
      </c>
      <c r="L313" s="404">
        <f>(D307+E307)*2*G307</f>
        <v/>
      </c>
      <c r="M313" s="404" t="n">
        <v>0.9</v>
      </c>
      <c r="N313" s="404" t="n">
        <v>0.67</v>
      </c>
      <c r="O313" s="381" t="n">
        <v>23</v>
      </c>
      <c r="P313" s="404" t="n">
        <v>1</v>
      </c>
      <c r="Q313" s="383">
        <f>K313*L313*M313*N313*O313*P313</f>
        <v/>
      </c>
    </row>
    <row r="314" ht="9.949999999999999" customHeight="1" s="244">
      <c r="A314" s="405" t="n"/>
      <c r="B314" s="406" t="n"/>
      <c r="C314" s="397" t="n"/>
      <c r="D314" s="397" t="n"/>
      <c r="E314" s="378" t="n"/>
      <c r="F314" s="256" t="n"/>
      <c r="G314" s="407" t="n"/>
      <c r="H314" s="397" t="n"/>
      <c r="I314" s="397" t="n"/>
      <c r="J314" s="397" t="n"/>
      <c r="K314" s="407" t="n"/>
      <c r="L314" s="408" t="n"/>
      <c r="M314" s="409" t="inlineStr">
        <is>
          <t xml:space="preserve">   TOPLAM ISI KAYBI =</t>
        </is>
      </c>
      <c r="N314" s="409" t="n"/>
      <c r="O314" s="410" t="n"/>
      <c r="P314" s="409" t="n"/>
      <c r="Q314" s="411">
        <f>Q311+Q313</f>
        <v/>
      </c>
    </row>
    <row r="315" ht="10.35" customHeight="1" s="244">
      <c r="A315" s="359" t="n"/>
      <c r="B315" s="360" t="n"/>
      <c r="C315" s="360" t="n"/>
      <c r="D315" s="360" t="n"/>
      <c r="E315" s="360" t="n"/>
      <c r="F315" s="361" t="inlineStr">
        <is>
          <t>2</t>
        </is>
      </c>
      <c r="G315" s="362" t="inlineStr">
        <is>
          <t>0</t>
        </is>
      </c>
      <c r="H315" s="360" t="inlineStr">
        <is>
          <t>2C2-03</t>
        </is>
      </c>
      <c r="I315" s="363" t="inlineStr">
        <is>
          <t>OFİS C2 MUTFAK</t>
        </is>
      </c>
      <c r="J315" s="364" t="n"/>
      <c r="K315" s="360" t="inlineStr">
        <is>
          <t>20ºC</t>
        </is>
      </c>
      <c r="L315" s="360" t="n"/>
      <c r="M315" s="360" t="n"/>
      <c r="N315" s="360" t="n"/>
      <c r="O315" s="360" t="n"/>
      <c r="P315" s="360" t="n"/>
      <c r="Q315" s="365" t="n"/>
    </row>
    <row r="316" ht="9.949999999999999" customHeight="1" s="244">
      <c r="A316" s="366" t="inlineStr">
        <is>
          <t>Ta</t>
        </is>
      </c>
      <c r="B316" s="367" t="inlineStr"/>
      <c r="C316" s="368" t="n"/>
      <c r="D316" s="369" t="n">
        <v>5</v>
      </c>
      <c r="E316" s="369" t="n">
        <v>1</v>
      </c>
      <c r="F316" s="370">
        <f>IF(D316=0," ",D316*E316)</f>
        <v/>
      </c>
      <c r="G316" s="371" t="n">
        <v>1</v>
      </c>
      <c r="H316" s="372" t="n"/>
      <c r="I316" s="370">
        <f>IF(F316=" "," ",F316*G316-H316)</f>
        <v/>
      </c>
      <c r="J316" s="369" t="n">
        <v>0.266</v>
      </c>
      <c r="K316" s="371" t="n">
        <v>23</v>
      </c>
      <c r="L316" s="373">
        <f>IF(I316=" "," ",I316*J316*K316)</f>
        <v/>
      </c>
      <c r="M316" s="374" t="n">
        <v>7</v>
      </c>
      <c r="N316" s="371" t="n">
        <v>0</v>
      </c>
      <c r="O316" s="374" t="n">
        <v>0</v>
      </c>
      <c r="P316" s="370">
        <f>IF(M316=" "," ",(1+(M316+N316+O316)/100))</f>
        <v/>
      </c>
      <c r="Q316" s="375">
        <f>IF(L316=" "," ",L316*P316)</f>
        <v/>
      </c>
    </row>
    <row r="317" ht="9.949999999999999" customHeight="1" s="244">
      <c r="A317" s="376" t="n"/>
      <c r="B317" s="377" t="n"/>
      <c r="C317" s="377" t="n"/>
      <c r="D317" s="378" t="n"/>
      <c r="E317" s="378" t="n"/>
      <c r="F317" s="378" t="n"/>
      <c r="G317" s="379" t="n"/>
      <c r="H317" s="378" t="n"/>
      <c r="I317" s="378" t="n"/>
      <c r="J317" s="378" t="n"/>
      <c r="K317" s="379" t="n"/>
      <c r="L317" s="380" t="n"/>
      <c r="M317" s="381" t="n"/>
      <c r="N317" s="381" t="n"/>
      <c r="O317" s="381" t="n"/>
      <c r="P317" s="382" t="n"/>
      <c r="Q317" s="383">
        <f>SUM(Q316:Q316)</f>
        <v/>
      </c>
    </row>
    <row r="318" ht="9.949999999999999" customHeight="1" s="244">
      <c r="A318" s="384" t="n"/>
      <c r="B318" s="385" t="n"/>
      <c r="C318" s="385" t="n"/>
      <c r="D318" s="386" t="n"/>
      <c r="E318" s="387" t="n"/>
      <c r="F318" s="388" t="n"/>
      <c r="G318" s="389" t="n"/>
      <c r="H318" s="388" t="n"/>
      <c r="I318" s="390" t="n"/>
      <c r="J318" s="391" t="inlineStr">
        <is>
          <t>Qs=</t>
        </is>
      </c>
      <c r="K318" s="390" t="inlineStr">
        <is>
          <t>S a</t>
        </is>
      </c>
      <c r="L318" s="388" t="inlineStr">
        <is>
          <t>L</t>
        </is>
      </c>
      <c r="M318" s="389" t="inlineStr">
        <is>
          <t>R</t>
        </is>
      </c>
      <c r="N318" s="392" t="inlineStr">
        <is>
          <t>H</t>
        </is>
      </c>
      <c r="O318" s="393" t="inlineStr">
        <is>
          <t>D  T</t>
        </is>
      </c>
      <c r="P318" s="389" t="inlineStr">
        <is>
          <t>Ze</t>
        </is>
      </c>
      <c r="Q318" s="394" t="n"/>
    </row>
    <row r="319" ht="9.949999999999999" customHeight="1" s="244">
      <c r="A319" s="395" t="inlineStr">
        <is>
          <t xml:space="preserve"> </t>
        </is>
      </c>
      <c r="C319" s="397" t="n"/>
      <c r="D319" s="397" t="n"/>
      <c r="E319" s="398" t="n"/>
      <c r="F319" s="399" t="n"/>
      <c r="G319" s="400" t="n"/>
      <c r="H319" s="401" t="n"/>
      <c r="I319" s="402" t="n"/>
      <c r="J319" s="403" t="inlineStr">
        <is>
          <t>Qs  =</t>
        </is>
      </c>
      <c r="K319" s="404" t="n">
        <v>2</v>
      </c>
      <c r="L319" s="404" t="n">
        <v>0</v>
      </c>
      <c r="M319" s="404" t="n">
        <v>0.9</v>
      </c>
      <c r="N319" s="404" t="n">
        <v>0.67</v>
      </c>
      <c r="O319" s="381" t="n">
        <v>23</v>
      </c>
      <c r="P319" s="404" t="n">
        <v>1</v>
      </c>
      <c r="Q319" s="383">
        <f>K319*L319*M319*N319*O319*P319</f>
        <v/>
      </c>
    </row>
    <row r="320" ht="9.949999999999999" customHeight="1" s="244">
      <c r="A320" s="405" t="n"/>
      <c r="B320" s="406" t="n"/>
      <c r="C320" s="397" t="n"/>
      <c r="D320" s="397" t="n"/>
      <c r="E320" s="378" t="n"/>
      <c r="F320" s="256" t="n"/>
      <c r="G320" s="407" t="n"/>
      <c r="H320" s="397" t="n"/>
      <c r="I320" s="397" t="n"/>
      <c r="J320" s="397" t="n"/>
      <c r="K320" s="407" t="n"/>
      <c r="L320" s="408" t="n"/>
      <c r="M320" s="409" t="inlineStr">
        <is>
          <t xml:space="preserve">   TOPLAM ISI KAYBI =</t>
        </is>
      </c>
      <c r="N320" s="409" t="n"/>
      <c r="O320" s="410" t="n"/>
      <c r="P320" s="409" t="n"/>
      <c r="Q320" s="411">
        <f>Q317+Q319</f>
        <v/>
      </c>
    </row>
    <row r="321" ht="10.35" customHeight="1" s="244">
      <c r="A321" s="359" t="n"/>
      <c r="B321" s="360" t="n"/>
      <c r="C321" s="360" t="n"/>
      <c r="D321" s="360" t="n"/>
      <c r="E321" s="360" t="n"/>
      <c r="F321" s="361" t="inlineStr">
        <is>
          <t>2</t>
        </is>
      </c>
      <c r="G321" s="362" t="inlineStr">
        <is>
          <t>0</t>
        </is>
      </c>
      <c r="H321" s="360" t="inlineStr">
        <is>
          <t>2C2-04</t>
        </is>
      </c>
      <c r="I321" s="363" t="inlineStr">
        <is>
          <t>OFİS C2 BANYO</t>
        </is>
      </c>
      <c r="J321" s="364" t="n"/>
      <c r="K321" s="360" t="inlineStr">
        <is>
          <t>24ºC</t>
        </is>
      </c>
      <c r="L321" s="360" t="n"/>
      <c r="M321" s="360" t="n"/>
      <c r="N321" s="360" t="n"/>
      <c r="O321" s="360" t="n"/>
      <c r="P321" s="360" t="n"/>
      <c r="Q321" s="365" t="n"/>
    </row>
    <row r="322" ht="9.949999999999999" customHeight="1" s="244">
      <c r="A322" s="366" t="inlineStr">
        <is>
          <t>Ta</t>
        </is>
      </c>
      <c r="B322" s="367" t="inlineStr"/>
      <c r="C322" s="368" t="n"/>
      <c r="D322" s="369" t="n">
        <v>3.2</v>
      </c>
      <c r="E322" s="369" t="n">
        <v>1</v>
      </c>
      <c r="F322" s="370">
        <f>IF(D322=0," ",D322*E322)</f>
        <v/>
      </c>
      <c r="G322" s="371" t="n">
        <v>1</v>
      </c>
      <c r="H322" s="372" t="n"/>
      <c r="I322" s="370">
        <f>IF(F322=" "," ",F322*G322-H322)</f>
        <v/>
      </c>
      <c r="J322" s="369" t="n">
        <v>0.266</v>
      </c>
      <c r="K322" s="371" t="n">
        <v>27</v>
      </c>
      <c r="L322" s="373">
        <f>IF(I322=" "," ",I322*J322*K322)</f>
        <v/>
      </c>
      <c r="M322" s="374" t="n">
        <v>7</v>
      </c>
      <c r="N322" s="371" t="n">
        <v>0</v>
      </c>
      <c r="O322" s="374" t="n">
        <v>0</v>
      </c>
      <c r="P322" s="370">
        <f>IF(M322=" "," ",(1+(M322+N322+O322)/100))</f>
        <v/>
      </c>
      <c r="Q322" s="375">
        <f>IF(L322=" "," ",L322*P322)</f>
        <v/>
      </c>
    </row>
    <row r="323" ht="9.949999999999999" customHeight="1" s="244">
      <c r="A323" s="376" t="n"/>
      <c r="B323" s="377" t="n"/>
      <c r="C323" s="377" t="n"/>
      <c r="D323" s="378" t="n"/>
      <c r="E323" s="378" t="n"/>
      <c r="F323" s="378" t="n"/>
      <c r="G323" s="379" t="n"/>
      <c r="H323" s="378" t="n"/>
      <c r="I323" s="378" t="n"/>
      <c r="J323" s="378" t="n"/>
      <c r="K323" s="379" t="n"/>
      <c r="L323" s="380" t="n"/>
      <c r="M323" s="381" t="n"/>
      <c r="N323" s="381" t="n"/>
      <c r="O323" s="381" t="n"/>
      <c r="P323" s="382" t="n"/>
      <c r="Q323" s="383">
        <f>SUM(Q322:Q322)</f>
        <v/>
      </c>
    </row>
    <row r="324" ht="9.949999999999999" customHeight="1" s="244">
      <c r="A324" s="384" t="n"/>
      <c r="B324" s="385" t="n"/>
      <c r="C324" s="385" t="n"/>
      <c r="D324" s="386" t="n"/>
      <c r="E324" s="387" t="n"/>
      <c r="F324" s="388" t="n"/>
      <c r="G324" s="389" t="n"/>
      <c r="H324" s="388" t="n"/>
      <c r="I324" s="390" t="n"/>
      <c r="J324" s="391" t="inlineStr">
        <is>
          <t>Qs=</t>
        </is>
      </c>
      <c r="K324" s="390" t="inlineStr">
        <is>
          <t>S a</t>
        </is>
      </c>
      <c r="L324" s="388" t="inlineStr">
        <is>
          <t>L</t>
        </is>
      </c>
      <c r="M324" s="389" t="inlineStr">
        <is>
          <t>R</t>
        </is>
      </c>
      <c r="N324" s="392" t="inlineStr">
        <is>
          <t>H</t>
        </is>
      </c>
      <c r="O324" s="393" t="inlineStr">
        <is>
          <t>D  T</t>
        </is>
      </c>
      <c r="P324" s="389" t="inlineStr">
        <is>
          <t>Ze</t>
        </is>
      </c>
      <c r="Q324" s="394" t="n"/>
    </row>
    <row r="325" ht="9.949999999999999" customHeight="1" s="244">
      <c r="A325" s="395" t="inlineStr">
        <is>
          <t xml:space="preserve"> </t>
        </is>
      </c>
      <c r="C325" s="397" t="n"/>
      <c r="D325" s="397" t="n"/>
      <c r="E325" s="398" t="n"/>
      <c r="F325" s="399" t="n"/>
      <c r="G325" s="400" t="n"/>
      <c r="H325" s="401" t="n"/>
      <c r="I325" s="402" t="n"/>
      <c r="J325" s="403" t="inlineStr">
        <is>
          <t>Qs  =</t>
        </is>
      </c>
      <c r="K325" s="404" t="n">
        <v>2</v>
      </c>
      <c r="L325" s="404" t="n">
        <v>0</v>
      </c>
      <c r="M325" s="404" t="n">
        <v>0.9</v>
      </c>
      <c r="N325" s="404" t="n">
        <v>0.67</v>
      </c>
      <c r="O325" s="381" t="n">
        <v>27</v>
      </c>
      <c r="P325" s="404" t="n">
        <v>1</v>
      </c>
      <c r="Q325" s="383">
        <f>K325*L325*M325*N325*O325*P325</f>
        <v/>
      </c>
    </row>
    <row r="326" ht="9.949999999999999" customHeight="1" s="244">
      <c r="A326" s="405" t="n"/>
      <c r="B326" s="406" t="n"/>
      <c r="C326" s="397" t="n"/>
      <c r="D326" s="397" t="n"/>
      <c r="E326" s="378" t="n"/>
      <c r="F326" s="256" t="n"/>
      <c r="G326" s="407" t="n"/>
      <c r="H326" s="397" t="n"/>
      <c r="I326" s="397" t="n"/>
      <c r="J326" s="397" t="n"/>
      <c r="K326" s="407" t="n"/>
      <c r="L326" s="408" t="n"/>
      <c r="M326" s="409" t="inlineStr">
        <is>
          <t xml:space="preserve">   TOPLAM ISI KAYBI =</t>
        </is>
      </c>
      <c r="N326" s="409" t="n"/>
      <c r="O326" s="410" t="n"/>
      <c r="P326" s="409" t="n"/>
      <c r="Q326" s="411">
        <f>Q323+Q325</f>
        <v/>
      </c>
    </row>
    <row r="327" ht="10.35" customHeight="1" s="244">
      <c r="A327" s="359" t="n"/>
      <c r="B327" s="360" t="n"/>
      <c r="C327" s="360" t="n"/>
      <c r="D327" s="360" t="n"/>
      <c r="E327" s="360" t="n"/>
      <c r="F327" s="361" t="inlineStr">
        <is>
          <t>2</t>
        </is>
      </c>
      <c r="G327" s="362" t="inlineStr">
        <is>
          <t>0</t>
        </is>
      </c>
      <c r="H327" s="360" t="inlineStr">
        <is>
          <t>2C3-01</t>
        </is>
      </c>
      <c r="I327" s="363" t="inlineStr">
        <is>
          <t>OFİS C3 GİRİŞ HOLÜ</t>
        </is>
      </c>
      <c r="J327" s="364" t="n"/>
      <c r="K327" s="360" t="inlineStr">
        <is>
          <t>20ºC</t>
        </is>
      </c>
      <c r="L327" s="360" t="n"/>
      <c r="M327" s="360" t="n"/>
      <c r="N327" s="360" t="n"/>
      <c r="O327" s="360" t="n"/>
      <c r="P327" s="360" t="n"/>
      <c r="Q327" s="365" t="n"/>
    </row>
    <row r="328" ht="9.949999999999999" customHeight="1" s="244">
      <c r="A328" s="366" t="inlineStr">
        <is>
          <t>İDM</t>
        </is>
      </c>
      <c r="B328" s="367" t="inlineStr"/>
      <c r="C328" s="368" t="n"/>
      <c r="D328" s="369" t="n">
        <v>0.73</v>
      </c>
      <c r="E328" s="369" t="n">
        <v>3</v>
      </c>
      <c r="F328" s="370">
        <f>IF(D328=0," ",D328*E328)</f>
        <v/>
      </c>
      <c r="G328" s="371" t="n">
        <v>1</v>
      </c>
      <c r="H328" s="372" t="n"/>
      <c r="I328" s="370">
        <f>IF(F328=" "," ",F328*G328-H328)</f>
        <v/>
      </c>
      <c r="J328" s="369" t="n">
        <v>0.332</v>
      </c>
      <c r="K328" s="371" t="n">
        <v>10</v>
      </c>
      <c r="L328" s="373">
        <f>IF(I328=" "," ",I328*J328*K328)</f>
        <v/>
      </c>
      <c r="M328" s="374" t="n">
        <v>7</v>
      </c>
      <c r="N328" s="371" t="n">
        <v>0</v>
      </c>
      <c r="O328" s="374" t="n">
        <v>0</v>
      </c>
      <c r="P328" s="370">
        <f>IF(M328=" "," ",(1+(M328+N328+O328)/100))</f>
        <v/>
      </c>
      <c r="Q328" s="375">
        <f>IF(L328=" "," ",L328*P328)</f>
        <v/>
      </c>
    </row>
    <row r="329" ht="9.949999999999999" customHeight="1" s="244">
      <c r="A329" s="366" t="inlineStr">
        <is>
          <t>İDM</t>
        </is>
      </c>
      <c r="B329" s="367" t="inlineStr"/>
      <c r="C329" s="368" t="n"/>
      <c r="D329" s="369" t="n">
        <v>0.36</v>
      </c>
      <c r="E329" s="369" t="n">
        <v>3</v>
      </c>
      <c r="F329" s="370">
        <f>IF(D329=0," ",D329*E329)</f>
        <v/>
      </c>
      <c r="G329" s="371" t="n">
        <v>1</v>
      </c>
      <c r="H329" s="372" t="n"/>
      <c r="I329" s="370">
        <f>IF(F329=" "," ",F329*G329-H329)</f>
        <v/>
      </c>
      <c r="J329" s="369" t="n">
        <v>0.332</v>
      </c>
      <c r="K329" s="371" t="n">
        <v>10</v>
      </c>
      <c r="L329" s="373">
        <f>IF(I329=" "," ",I329*J329*K329)</f>
        <v/>
      </c>
      <c r="M329" s="374" t="n">
        <v>7</v>
      </c>
      <c r="N329" s="371" t="n">
        <v>0</v>
      </c>
      <c r="O329" s="374" t="n">
        <v>0</v>
      </c>
      <c r="P329" s="370">
        <f>IF(M329=" "," ",(1+(M329+N329+O329)/100))</f>
        <v/>
      </c>
      <c r="Q329" s="375">
        <f>IF(L329=" "," ",L329*P329)</f>
        <v/>
      </c>
    </row>
    <row r="330" ht="9.949999999999999" customHeight="1" s="244">
      <c r="A330" s="366" t="inlineStr">
        <is>
          <t>İDM</t>
        </is>
      </c>
      <c r="B330" s="367" t="inlineStr"/>
      <c r="C330" s="368" t="n"/>
      <c r="D330" s="369" t="n">
        <v>0.78</v>
      </c>
      <c r="E330" s="369" t="n">
        <v>3</v>
      </c>
      <c r="F330" s="370">
        <f>IF(D330=0," ",D330*E330)</f>
        <v/>
      </c>
      <c r="G330" s="371" t="n">
        <v>1</v>
      </c>
      <c r="H330" s="372" t="n"/>
      <c r="I330" s="370">
        <f>IF(F330=" "," ",F330*G330-H330)</f>
        <v/>
      </c>
      <c r="J330" s="369" t="n">
        <v>0.332</v>
      </c>
      <c r="K330" s="371" t="n">
        <v>10</v>
      </c>
      <c r="L330" s="373">
        <f>IF(I330=" "," ",I330*J330*K330)</f>
        <v/>
      </c>
      <c r="M330" s="374" t="n">
        <v>7</v>
      </c>
      <c r="N330" s="371" t="n">
        <v>0</v>
      </c>
      <c r="O330" s="374" t="n">
        <v>0</v>
      </c>
      <c r="P330" s="370">
        <f>IF(M330=" "," ",(1+(M330+N330+O330)/100))</f>
        <v/>
      </c>
      <c r="Q330" s="375">
        <f>IF(L330=" "," ",L330*P330)</f>
        <v/>
      </c>
    </row>
    <row r="331" ht="9.949999999999999" customHeight="1" s="244">
      <c r="A331" s="366" t="inlineStr">
        <is>
          <t>İDM</t>
        </is>
      </c>
      <c r="B331" s="367" t="inlineStr"/>
      <c r="C331" s="368" t="n"/>
      <c r="D331" s="369" t="n">
        <v>0.36</v>
      </c>
      <c r="E331" s="369" t="n">
        <v>3</v>
      </c>
      <c r="F331" s="370">
        <f>IF(D331=0," ",D331*E331)</f>
        <v/>
      </c>
      <c r="G331" s="371" t="n">
        <v>1</v>
      </c>
      <c r="H331" s="372" t="n"/>
      <c r="I331" s="370">
        <f>IF(F331=" "," ",F331*G331-H331)</f>
        <v/>
      </c>
      <c r="J331" s="369" t="n">
        <v>0.332</v>
      </c>
      <c r="K331" s="371" t="n">
        <v>10</v>
      </c>
      <c r="L331" s="373">
        <f>IF(I331=" "," ",I331*J331*K331)</f>
        <v/>
      </c>
      <c r="M331" s="374" t="n">
        <v>7</v>
      </c>
      <c r="N331" s="371" t="n">
        <v>0</v>
      </c>
      <c r="O331" s="374" t="n">
        <v>0</v>
      </c>
      <c r="P331" s="370">
        <f>IF(M331=" "," ",(1+(M331+N331+O331)/100))</f>
        <v/>
      </c>
      <c r="Q331" s="375">
        <f>IF(L331=" "," ",L331*P331)</f>
        <v/>
      </c>
    </row>
    <row r="332" ht="9.949999999999999" customHeight="1" s="244">
      <c r="A332" s="366" t="inlineStr">
        <is>
          <t>İDM</t>
        </is>
      </c>
      <c r="B332" s="367" t="inlineStr"/>
      <c r="C332" s="368" t="n"/>
      <c r="D332" s="369" t="n">
        <v>0.86</v>
      </c>
      <c r="E332" s="369" t="n">
        <v>3</v>
      </c>
      <c r="F332" s="370">
        <f>IF(D332=0," ",D332*E332)</f>
        <v/>
      </c>
      <c r="G332" s="371" t="n">
        <v>1</v>
      </c>
      <c r="H332" s="372" t="n"/>
      <c r="I332" s="370">
        <f>IF(F332=" "," ",F332*G332-H332)</f>
        <v/>
      </c>
      <c r="J332" s="369" t="n">
        <v>0.332</v>
      </c>
      <c r="K332" s="371" t="n">
        <v>5</v>
      </c>
      <c r="L332" s="373">
        <f>IF(I332=" "," ",I332*J332*K332)</f>
        <v/>
      </c>
      <c r="M332" s="374" t="n">
        <v>7</v>
      </c>
      <c r="N332" s="371" t="n">
        <v>0</v>
      </c>
      <c r="O332" s="374" t="n">
        <v>0</v>
      </c>
      <c r="P332" s="370">
        <f>IF(M332=" "," ",(1+(M332+N332+O332)/100))</f>
        <v/>
      </c>
      <c r="Q332" s="375">
        <f>IF(L332=" "," ",L332*P332)</f>
        <v/>
      </c>
    </row>
    <row r="333" ht="9.949999999999999" customHeight="1" s="244">
      <c r="A333" s="366" t="inlineStr">
        <is>
          <t>Ta</t>
        </is>
      </c>
      <c r="B333" s="367" t="inlineStr"/>
      <c r="C333" s="368" t="n"/>
      <c r="D333" s="369" t="n">
        <v>10.87</v>
      </c>
      <c r="E333" s="369" t="n">
        <v>1</v>
      </c>
      <c r="F333" s="370">
        <f>IF(D333=0," ",D333*E333)</f>
        <v/>
      </c>
      <c r="G333" s="371" t="n">
        <v>1</v>
      </c>
      <c r="H333" s="372" t="n"/>
      <c r="I333" s="370">
        <f>IF(F333=" "," ",F333*G333-H333)</f>
        <v/>
      </c>
      <c r="J333" s="369" t="n">
        <v>0.266</v>
      </c>
      <c r="K333" s="371" t="n">
        <v>23</v>
      </c>
      <c r="L333" s="373">
        <f>IF(I333=" "," ",I333*J333*K333)</f>
        <v/>
      </c>
      <c r="M333" s="374" t="n">
        <v>7</v>
      </c>
      <c r="N333" s="371" t="n">
        <v>0</v>
      </c>
      <c r="O333" s="374" t="n">
        <v>0</v>
      </c>
      <c r="P333" s="370">
        <f>IF(M333=" "," ",(1+(M333+N333+O333)/100))</f>
        <v/>
      </c>
      <c r="Q333" s="375">
        <f>IF(L333=" "," ",L333*P333)</f>
        <v/>
      </c>
    </row>
    <row r="334" ht="9.949999999999999" customHeight="1" s="244">
      <c r="A334" s="376" t="n"/>
      <c r="B334" s="377" t="n"/>
      <c r="C334" s="377" t="n"/>
      <c r="D334" s="378" t="n"/>
      <c r="E334" s="378" t="n"/>
      <c r="F334" s="378" t="n"/>
      <c r="G334" s="379" t="n"/>
      <c r="H334" s="378" t="n"/>
      <c r="I334" s="378" t="n"/>
      <c r="J334" s="378" t="n"/>
      <c r="K334" s="379" t="n"/>
      <c r="L334" s="380" t="n"/>
      <c r="M334" s="381" t="n"/>
      <c r="N334" s="381" t="n"/>
      <c r="O334" s="381" t="n"/>
      <c r="P334" s="382" t="n"/>
      <c r="Q334" s="383">
        <f>SUM(Q328:Q333)</f>
        <v/>
      </c>
    </row>
    <row r="335" ht="9.949999999999999" customHeight="1" s="244">
      <c r="A335" s="384" t="n"/>
      <c r="B335" s="385" t="n"/>
      <c r="C335" s="385" t="n"/>
      <c r="D335" s="386" t="n"/>
      <c r="E335" s="387" t="n"/>
      <c r="F335" s="388" t="n"/>
      <c r="G335" s="389" t="n"/>
      <c r="H335" s="388" t="n"/>
      <c r="I335" s="390" t="n"/>
      <c r="J335" s="391" t="inlineStr">
        <is>
          <t>Qs=</t>
        </is>
      </c>
      <c r="K335" s="390" t="inlineStr">
        <is>
          <t>S a</t>
        </is>
      </c>
      <c r="L335" s="388" t="inlineStr">
        <is>
          <t>L</t>
        </is>
      </c>
      <c r="M335" s="389" t="inlineStr">
        <is>
          <t>R</t>
        </is>
      </c>
      <c r="N335" s="392" t="inlineStr">
        <is>
          <t>H</t>
        </is>
      </c>
      <c r="O335" s="393" t="inlineStr">
        <is>
          <t>D  T</t>
        </is>
      </c>
      <c r="P335" s="389" t="inlineStr">
        <is>
          <t>Ze</t>
        </is>
      </c>
      <c r="Q335" s="394" t="n"/>
    </row>
    <row r="336" ht="9.949999999999999" customHeight="1" s="244">
      <c r="A336" s="395" t="inlineStr">
        <is>
          <t xml:space="preserve"> </t>
        </is>
      </c>
      <c r="C336" s="397" t="n"/>
      <c r="D336" s="397" t="n"/>
      <c r="E336" s="398" t="n"/>
      <c r="F336" s="399" t="n"/>
      <c r="G336" s="400" t="n"/>
      <c r="H336" s="401" t="n"/>
      <c r="I336" s="402" t="n"/>
      <c r="J336" s="403" t="inlineStr">
        <is>
          <t>Qs  =</t>
        </is>
      </c>
      <c r="K336" s="404" t="n">
        <v>2</v>
      </c>
      <c r="L336" s="404" t="n">
        <v>0</v>
      </c>
      <c r="M336" s="404" t="n">
        <v>0.9</v>
      </c>
      <c r="N336" s="404" t="n">
        <v>0.67</v>
      </c>
      <c r="O336" s="381" t="n">
        <v>23</v>
      </c>
      <c r="P336" s="404" t="n">
        <v>1</v>
      </c>
      <c r="Q336" s="383">
        <f>K336*L336*M336*N336*O336*P336</f>
        <v/>
      </c>
    </row>
    <row r="337" ht="9.949999999999999" customHeight="1" s="244">
      <c r="A337" s="405" t="n"/>
      <c r="B337" s="406" t="n"/>
      <c r="C337" s="397" t="n"/>
      <c r="D337" s="397" t="n"/>
      <c r="E337" s="378" t="n"/>
      <c r="F337" s="256" t="n"/>
      <c r="G337" s="407" t="n"/>
      <c r="H337" s="397" t="n"/>
      <c r="I337" s="397" t="n"/>
      <c r="J337" s="397" t="n"/>
      <c r="K337" s="407" t="n"/>
      <c r="L337" s="408" t="n"/>
      <c r="M337" s="409" t="inlineStr">
        <is>
          <t xml:space="preserve">   TOPLAM ISI KAYBI =</t>
        </is>
      </c>
      <c r="N337" s="409" t="n"/>
      <c r="O337" s="410" t="n"/>
      <c r="P337" s="409" t="n"/>
      <c r="Q337" s="411">
        <f>Q334+Q336</f>
        <v/>
      </c>
    </row>
    <row r="338" ht="10.35" customHeight="1" s="244">
      <c r="A338" s="359" t="n"/>
      <c r="B338" s="360" t="n"/>
      <c r="C338" s="360" t="n"/>
      <c r="D338" s="360" t="n"/>
      <c r="E338" s="360" t="n"/>
      <c r="F338" s="361" t="inlineStr">
        <is>
          <t>2</t>
        </is>
      </c>
      <c r="G338" s="362" t="inlineStr">
        <is>
          <t>0</t>
        </is>
      </c>
      <c r="H338" s="360" t="inlineStr">
        <is>
          <t>2C3-02</t>
        </is>
      </c>
      <c r="I338" s="363" t="inlineStr">
        <is>
          <t>OFİS C3 GİRİŞ HOLÜ</t>
        </is>
      </c>
      <c r="J338" s="364" t="n"/>
      <c r="K338" s="360" t="inlineStr">
        <is>
          <t>20ºC</t>
        </is>
      </c>
      <c r="L338" s="360" t="n"/>
      <c r="M338" s="360" t="n"/>
      <c r="N338" s="360" t="n"/>
      <c r="O338" s="360" t="n"/>
      <c r="P338" s="360" t="n"/>
      <c r="Q338" s="365" t="n"/>
    </row>
    <row r="339" ht="9.949999999999999" customHeight="1" s="244">
      <c r="A339" s="366" t="inlineStr">
        <is>
          <t>DD</t>
        </is>
      </c>
      <c r="B339" s="367" t="inlineStr">
        <is>
          <t>K</t>
        </is>
      </c>
      <c r="C339" s="368" t="n"/>
      <c r="D339" s="369" t="n">
        <v>3.85</v>
      </c>
      <c r="E339" s="369" t="n">
        <v>2.5</v>
      </c>
      <c r="F339" s="370">
        <f>IF(D339=0," ",D339*E339)</f>
        <v/>
      </c>
      <c r="G339" s="371" t="n">
        <v>1</v>
      </c>
      <c r="H339" s="372">
        <f>F341*G341</f>
        <v/>
      </c>
      <c r="I339" s="370">
        <f>IF(F339=" "," ",F339*G339-H339)</f>
        <v/>
      </c>
      <c r="J339" s="369" t="n">
        <v>0.344</v>
      </c>
      <c r="K339" s="371" t="n">
        <v>23</v>
      </c>
      <c r="L339" s="373">
        <f>IF(I339=" "," ",I339*J339*K339)</f>
        <v/>
      </c>
      <c r="M339" s="374" t="n">
        <v>7</v>
      </c>
      <c r="N339" s="371" t="n">
        <v>0</v>
      </c>
      <c r="O339" s="374" t="n">
        <v>5</v>
      </c>
      <c r="P339" s="370">
        <f>IF(M339=" "," ",(1+(M339+N339+O339)/100))</f>
        <v/>
      </c>
      <c r="Q339" s="375">
        <f>IF(L339=" "," ",L339*P339)</f>
        <v/>
      </c>
    </row>
    <row r="340" ht="9.949999999999999" customHeight="1" s="244">
      <c r="A340" s="366" t="inlineStr">
        <is>
          <t>DD25</t>
        </is>
      </c>
      <c r="B340" s="367" t="inlineStr">
        <is>
          <t>K</t>
        </is>
      </c>
      <c r="C340" s="368" t="n"/>
      <c r="D340" s="369">
        <f>D339</f>
        <v/>
      </c>
      <c r="E340" s="369" t="n">
        <v>0.5</v>
      </c>
      <c r="F340" s="370">
        <f>IF(D340=0," ",D340*E340)</f>
        <v/>
      </c>
      <c r="G340" s="371" t="n">
        <v>1</v>
      </c>
      <c r="H340" s="372" t="n"/>
      <c r="I340" s="370">
        <f>IF(F340=" "," ",F340*G340-H340)</f>
        <v/>
      </c>
      <c r="J340" s="369" t="n">
        <v>0.387</v>
      </c>
      <c r="K340" s="371" t="n">
        <v>23</v>
      </c>
      <c r="L340" s="373">
        <f>IF(I340=" "," ",I340*J340*K340)</f>
        <v/>
      </c>
      <c r="M340" s="374" t="n">
        <v>7</v>
      </c>
      <c r="N340" s="371" t="n">
        <v>0</v>
      </c>
      <c r="O340" s="374" t="n">
        <v>5</v>
      </c>
      <c r="P340" s="370">
        <f>IF(M340=" "," ",(1+(M340+N340+O340)/100))</f>
        <v/>
      </c>
      <c r="Q340" s="375">
        <f>IF(L340=" "," ",L340*P340)</f>
        <v/>
      </c>
    </row>
    <row r="341" ht="9.949999999999999" customHeight="1" s="244">
      <c r="A341" s="366" t="inlineStr">
        <is>
          <t>ÇP</t>
        </is>
      </c>
      <c r="B341" s="367" t="inlineStr">
        <is>
          <t>K</t>
        </is>
      </c>
      <c r="C341" s="368" t="n"/>
      <c r="D341" s="369" t="n">
        <v>2.12</v>
      </c>
      <c r="E341" s="369" t="n">
        <v>1.5</v>
      </c>
      <c r="F341" s="370">
        <f>IF(D341=0," ",D341*E341)</f>
        <v/>
      </c>
      <c r="G341" s="371" t="n">
        <v>1</v>
      </c>
      <c r="H341" s="372" t="n"/>
      <c r="I341" s="370">
        <f>IF(F341=" "," ",F341*G341-H341)</f>
        <v/>
      </c>
      <c r="J341" s="369" t="n">
        <v>1.8</v>
      </c>
      <c r="K341" s="371" t="n">
        <v>23</v>
      </c>
      <c r="L341" s="373">
        <f>IF(I341=" "," ",I341*J341*K341)</f>
        <v/>
      </c>
      <c r="M341" s="374" t="n">
        <v>7</v>
      </c>
      <c r="N341" s="371" t="n">
        <v>0</v>
      </c>
      <c r="O341" s="374" t="n">
        <v>5</v>
      </c>
      <c r="P341" s="370">
        <f>IF(M341=" "," ",(1+(M341+N341+O341)/100))</f>
        <v/>
      </c>
      <c r="Q341" s="375">
        <f>IF(L341=" "," ",L341*P341)</f>
        <v/>
      </c>
    </row>
    <row r="342" ht="9.949999999999999" customHeight="1" s="244">
      <c r="A342" s="366" t="inlineStr">
        <is>
          <t>İDM</t>
        </is>
      </c>
      <c r="B342" s="367" t="inlineStr"/>
      <c r="C342" s="368" t="n"/>
      <c r="D342" s="369" t="n">
        <v>0.27</v>
      </c>
      <c r="E342" s="369" t="n">
        <v>3</v>
      </c>
      <c r="F342" s="370">
        <f>IF(D342=0," ",D342*E342)</f>
        <v/>
      </c>
      <c r="G342" s="371" t="n">
        <v>1</v>
      </c>
      <c r="H342" s="372" t="n"/>
      <c r="I342" s="370">
        <f>IF(F342=" "," ",F342*G342-H342)</f>
        <v/>
      </c>
      <c r="J342" s="369" t="n">
        <v>0.332</v>
      </c>
      <c r="K342" s="371" t="n">
        <v>10</v>
      </c>
      <c r="L342" s="373">
        <f>IF(I342=" "," ",I342*J342*K342)</f>
        <v/>
      </c>
      <c r="M342" s="374" t="n">
        <v>7</v>
      </c>
      <c r="N342" s="371" t="n">
        <v>0</v>
      </c>
      <c r="O342" s="374" t="n">
        <v>0</v>
      </c>
      <c r="P342" s="370">
        <f>IF(M342=" "," ",(1+(M342+N342+O342)/100))</f>
        <v/>
      </c>
      <c r="Q342" s="375">
        <f>IF(L342=" "," ",L342*P342)</f>
        <v/>
      </c>
    </row>
    <row r="343" ht="9.949999999999999" customHeight="1" s="244">
      <c r="A343" s="366" t="inlineStr">
        <is>
          <t>İDM</t>
        </is>
      </c>
      <c r="B343" s="367" t="inlineStr"/>
      <c r="C343" s="368" t="n"/>
      <c r="D343" s="369" t="n">
        <v>1.33</v>
      </c>
      <c r="E343" s="369" t="n">
        <v>3</v>
      </c>
      <c r="F343" s="370">
        <f>IF(D343=0," ",D343*E343)</f>
        <v/>
      </c>
      <c r="G343" s="371" t="n">
        <v>1</v>
      </c>
      <c r="H343" s="372" t="n"/>
      <c r="I343" s="370">
        <f>IF(F343=" "," ",F343*G343-H343)</f>
        <v/>
      </c>
      <c r="J343" s="369" t="n">
        <v>0.332</v>
      </c>
      <c r="K343" s="371" t="n">
        <v>10</v>
      </c>
      <c r="L343" s="373">
        <f>IF(I343=" "," ",I343*J343*K343)</f>
        <v/>
      </c>
      <c r="M343" s="374" t="n">
        <v>7</v>
      </c>
      <c r="N343" s="371" t="n">
        <v>0</v>
      </c>
      <c r="O343" s="374" t="n">
        <v>0</v>
      </c>
      <c r="P343" s="370">
        <f>IF(M343=" "," ",(1+(M343+N343+O343)/100))</f>
        <v/>
      </c>
      <c r="Q343" s="375">
        <f>IF(L343=" "," ",L343*P343)</f>
        <v/>
      </c>
    </row>
    <row r="344" ht="9.949999999999999" customHeight="1" s="244">
      <c r="A344" s="366" t="inlineStr">
        <is>
          <t>İDM</t>
        </is>
      </c>
      <c r="B344" s="367" t="inlineStr"/>
      <c r="C344" s="368" t="n"/>
      <c r="D344" s="369" t="n">
        <v>0.98</v>
      </c>
      <c r="E344" s="369" t="n">
        <v>3</v>
      </c>
      <c r="F344" s="370">
        <f>IF(D344=0," ",D344*E344)</f>
        <v/>
      </c>
      <c r="G344" s="371" t="n">
        <v>1</v>
      </c>
      <c r="H344" s="372" t="n"/>
      <c r="I344" s="370">
        <f>IF(F344=" "," ",F344*G344-H344)</f>
        <v/>
      </c>
      <c r="J344" s="369" t="n">
        <v>0.332</v>
      </c>
      <c r="K344" s="371" t="n">
        <v>10</v>
      </c>
      <c r="L344" s="373">
        <f>IF(I344=" "," ",I344*J344*K344)</f>
        <v/>
      </c>
      <c r="M344" s="374" t="n">
        <v>7</v>
      </c>
      <c r="N344" s="371" t="n">
        <v>0</v>
      </c>
      <c r="O344" s="374" t="n">
        <v>0</v>
      </c>
      <c r="P344" s="370">
        <f>IF(M344=" "," ",(1+(M344+N344+O344)/100))</f>
        <v/>
      </c>
      <c r="Q344" s="375">
        <f>IF(L344=" "," ",L344*P344)</f>
        <v/>
      </c>
    </row>
    <row r="345" ht="9.949999999999999" customHeight="1" s="244">
      <c r="A345" s="366" t="inlineStr">
        <is>
          <t>İDM</t>
        </is>
      </c>
      <c r="B345" s="367" t="inlineStr"/>
      <c r="C345" s="368" t="n"/>
      <c r="D345" s="369" t="n">
        <v>0.36</v>
      </c>
      <c r="E345" s="369" t="n">
        <v>3</v>
      </c>
      <c r="F345" s="370">
        <f>IF(D345=0," ",D345*E345)</f>
        <v/>
      </c>
      <c r="G345" s="371" t="n">
        <v>1</v>
      </c>
      <c r="H345" s="372" t="n"/>
      <c r="I345" s="370">
        <f>IF(F345=" "," ",F345*G345-H345)</f>
        <v/>
      </c>
      <c r="J345" s="369" t="n">
        <v>0.332</v>
      </c>
      <c r="K345" s="371" t="n">
        <v>10</v>
      </c>
      <c r="L345" s="373">
        <f>IF(I345=" "," ",I345*J345*K345)</f>
        <v/>
      </c>
      <c r="M345" s="374" t="n">
        <v>7</v>
      </c>
      <c r="N345" s="371" t="n">
        <v>0</v>
      </c>
      <c r="O345" s="374" t="n">
        <v>0</v>
      </c>
      <c r="P345" s="370">
        <f>IF(M345=" "," ",(1+(M345+N345+O345)/100))</f>
        <v/>
      </c>
      <c r="Q345" s="375">
        <f>IF(L345=" "," ",L345*P345)</f>
        <v/>
      </c>
    </row>
    <row r="346" ht="9.949999999999999" customHeight="1" s="244">
      <c r="A346" s="366" t="inlineStr">
        <is>
          <t>İDM</t>
        </is>
      </c>
      <c r="B346" s="367" t="inlineStr"/>
      <c r="C346" s="368" t="n"/>
      <c r="D346" s="369" t="n">
        <v>2.59</v>
      </c>
      <c r="E346" s="369" t="n">
        <v>3</v>
      </c>
      <c r="F346" s="370">
        <f>IF(D346=0," ",D346*E346)</f>
        <v/>
      </c>
      <c r="G346" s="371" t="n">
        <v>1</v>
      </c>
      <c r="H346" s="372" t="n"/>
      <c r="I346" s="370">
        <f>IF(F346=" "," ",F346*G346-H346)</f>
        <v/>
      </c>
      <c r="J346" s="369" t="n">
        <v>0.332</v>
      </c>
      <c r="K346" s="371" t="n">
        <v>5</v>
      </c>
      <c r="L346" s="373">
        <f>IF(I346=" "," ",I346*J346*K346)</f>
        <v/>
      </c>
      <c r="M346" s="374" t="n">
        <v>7</v>
      </c>
      <c r="N346" s="371" t="n">
        <v>0</v>
      </c>
      <c r="O346" s="374" t="n">
        <v>0</v>
      </c>
      <c r="P346" s="370">
        <f>IF(M346=" "," ",(1+(M346+N346+O346)/100))</f>
        <v/>
      </c>
      <c r="Q346" s="375">
        <f>IF(L346=" "," ",L346*P346)</f>
        <v/>
      </c>
    </row>
    <row r="347" ht="9.949999999999999" customHeight="1" s="244">
      <c r="A347" s="366" t="inlineStr">
        <is>
          <t>Ta</t>
        </is>
      </c>
      <c r="B347" s="367" t="inlineStr"/>
      <c r="C347" s="368" t="n"/>
      <c r="D347" s="369" t="n">
        <v>16.28</v>
      </c>
      <c r="E347" s="369" t="n">
        <v>1</v>
      </c>
      <c r="F347" s="370">
        <f>IF(D347=0," ",D347*E347)</f>
        <v/>
      </c>
      <c r="G347" s="371" t="n">
        <v>1</v>
      </c>
      <c r="H347" s="372" t="n"/>
      <c r="I347" s="370">
        <f>IF(F347=" "," ",F347*G347-H347)</f>
        <v/>
      </c>
      <c r="J347" s="369" t="n">
        <v>0.266</v>
      </c>
      <c r="K347" s="371" t="n">
        <v>23</v>
      </c>
      <c r="L347" s="373">
        <f>IF(I347=" "," ",I347*J347*K347)</f>
        <v/>
      </c>
      <c r="M347" s="374" t="n">
        <v>7</v>
      </c>
      <c r="N347" s="371" t="n">
        <v>0</v>
      </c>
      <c r="O347" s="374" t="n">
        <v>0</v>
      </c>
      <c r="P347" s="370">
        <f>IF(M347=" "," ",(1+(M347+N347+O347)/100))</f>
        <v/>
      </c>
      <c r="Q347" s="375">
        <f>IF(L347=" "," ",L347*P347)</f>
        <v/>
      </c>
    </row>
    <row r="348" ht="9.949999999999999" customHeight="1" s="244">
      <c r="A348" s="376" t="n"/>
      <c r="B348" s="377" t="n"/>
      <c r="C348" s="377" t="n"/>
      <c r="D348" s="378" t="n"/>
      <c r="E348" s="378" t="n"/>
      <c r="F348" s="378" t="n"/>
      <c r="G348" s="379" t="n"/>
      <c r="H348" s="378" t="n"/>
      <c r="I348" s="378" t="n"/>
      <c r="J348" s="378" t="n"/>
      <c r="K348" s="379" t="n"/>
      <c r="L348" s="380" t="n"/>
      <c r="M348" s="381" t="n"/>
      <c r="N348" s="381" t="n"/>
      <c r="O348" s="381" t="n"/>
      <c r="P348" s="382" t="n"/>
      <c r="Q348" s="383">
        <f>SUM(Q339:Q347)</f>
        <v/>
      </c>
    </row>
    <row r="349" ht="9.949999999999999" customHeight="1" s="244">
      <c r="A349" s="384" t="n"/>
      <c r="B349" s="385" t="n"/>
      <c r="C349" s="385" t="n"/>
      <c r="D349" s="386" t="n"/>
      <c r="E349" s="387" t="n"/>
      <c r="F349" s="388" t="n"/>
      <c r="G349" s="389" t="n"/>
      <c r="H349" s="388" t="n"/>
      <c r="I349" s="390" t="n"/>
      <c r="J349" s="391" t="inlineStr">
        <is>
          <t>Qs=</t>
        </is>
      </c>
      <c r="K349" s="390" t="inlineStr">
        <is>
          <t>S a</t>
        </is>
      </c>
      <c r="L349" s="388" t="inlineStr">
        <is>
          <t>L</t>
        </is>
      </c>
      <c r="M349" s="389" t="inlineStr">
        <is>
          <t>R</t>
        </is>
      </c>
      <c r="N349" s="392" t="inlineStr">
        <is>
          <t>H</t>
        </is>
      </c>
      <c r="O349" s="393" t="inlineStr">
        <is>
          <t>D  T</t>
        </is>
      </c>
      <c r="P349" s="389" t="inlineStr">
        <is>
          <t>Ze</t>
        </is>
      </c>
      <c r="Q349" s="394" t="n"/>
    </row>
    <row r="350" ht="9.949999999999999" customHeight="1" s="244">
      <c r="A350" s="395" t="inlineStr">
        <is>
          <t xml:space="preserve"> </t>
        </is>
      </c>
      <c r="C350" s="397" t="n"/>
      <c r="D350" s="397" t="n"/>
      <c r="E350" s="398" t="n"/>
      <c r="F350" s="399" t="n"/>
      <c r="G350" s="400" t="n"/>
      <c r="H350" s="401" t="n"/>
      <c r="I350" s="402" t="n"/>
      <c r="J350" s="403" t="inlineStr">
        <is>
          <t>Qs  =</t>
        </is>
      </c>
      <c r="K350" s="404" t="n">
        <v>2</v>
      </c>
      <c r="L350" s="404">
        <f>(D341+E341)*2*G341</f>
        <v/>
      </c>
      <c r="M350" s="404" t="n">
        <v>0.9</v>
      </c>
      <c r="N350" s="404" t="n">
        <v>0.67</v>
      </c>
      <c r="O350" s="381" t="n">
        <v>23</v>
      </c>
      <c r="P350" s="404" t="n">
        <v>1</v>
      </c>
      <c r="Q350" s="383">
        <f>K350*L350*M350*N350*O350*P350</f>
        <v/>
      </c>
    </row>
    <row r="351" ht="9.949999999999999" customHeight="1" s="244">
      <c r="A351" s="405" t="n"/>
      <c r="B351" s="406" t="n"/>
      <c r="C351" s="397" t="n"/>
      <c r="D351" s="397" t="n"/>
      <c r="E351" s="378" t="n"/>
      <c r="F351" s="256" t="n"/>
      <c r="G351" s="407" t="n"/>
      <c r="H351" s="397" t="n"/>
      <c r="I351" s="397" t="n"/>
      <c r="J351" s="397" t="n"/>
      <c r="K351" s="407" t="n"/>
      <c r="L351" s="408" t="n"/>
      <c r="M351" s="409" t="inlineStr">
        <is>
          <t xml:space="preserve">   TOPLAM ISI KAYBI =</t>
        </is>
      </c>
      <c r="N351" s="409" t="n"/>
      <c r="O351" s="410" t="n"/>
      <c r="P351" s="409" t="n"/>
      <c r="Q351" s="411">
        <f>Q348+Q350</f>
        <v/>
      </c>
    </row>
    <row r="352" ht="10.35" customHeight="1" s="244">
      <c r="A352" s="359" t="n"/>
      <c r="B352" s="360" t="n"/>
      <c r="C352" s="360" t="n"/>
      <c r="D352" s="360" t="n"/>
      <c r="E352" s="360" t="n"/>
      <c r="F352" s="361" t="inlineStr">
        <is>
          <t>2</t>
        </is>
      </c>
      <c r="G352" s="362" t="inlineStr">
        <is>
          <t>0</t>
        </is>
      </c>
      <c r="H352" s="360" t="inlineStr">
        <is>
          <t>2C3-03</t>
        </is>
      </c>
      <c r="I352" s="363" t="inlineStr">
        <is>
          <t>OFİS C3 MUTFAK</t>
        </is>
      </c>
      <c r="J352" s="364" t="n"/>
      <c r="K352" s="360" t="inlineStr">
        <is>
          <t>20ºC</t>
        </is>
      </c>
      <c r="L352" s="360" t="n"/>
      <c r="M352" s="360" t="n"/>
      <c r="N352" s="360" t="n"/>
      <c r="O352" s="360" t="n"/>
      <c r="P352" s="360" t="n"/>
      <c r="Q352" s="365" t="n"/>
    </row>
    <row r="353" ht="9.949999999999999" customHeight="1" s="244">
      <c r="A353" s="366" t="inlineStr">
        <is>
          <t>İDM</t>
        </is>
      </c>
      <c r="B353" s="367" t="inlineStr"/>
      <c r="C353" s="368" t="n"/>
      <c r="D353" s="369" t="n">
        <v>1.18</v>
      </c>
      <c r="E353" s="369" t="n">
        <v>3</v>
      </c>
      <c r="F353" s="370">
        <f>IF(D353=0," ",D353*E353)</f>
        <v/>
      </c>
      <c r="G353" s="371" t="n">
        <v>1</v>
      </c>
      <c r="H353" s="372" t="n"/>
      <c r="I353" s="370">
        <f>IF(F353=" "," ",F353*G353-H353)</f>
        <v/>
      </c>
      <c r="J353" s="369" t="n">
        <v>0.332</v>
      </c>
      <c r="K353" s="371" t="n">
        <v>5</v>
      </c>
      <c r="L353" s="373">
        <f>IF(I353=" "," ",I353*J353*K353)</f>
        <v/>
      </c>
      <c r="M353" s="374" t="n">
        <v>7</v>
      </c>
      <c r="N353" s="371" t="n">
        <v>0</v>
      </c>
      <c r="O353" s="374" t="n">
        <v>0</v>
      </c>
      <c r="P353" s="370">
        <f>IF(M353=" "," ",(1+(M353+N353+O353)/100))</f>
        <v/>
      </c>
      <c r="Q353" s="375">
        <f>IF(L353=" "," ",L353*P353)</f>
        <v/>
      </c>
    </row>
    <row r="354" ht="9.949999999999999" customHeight="1" s="244">
      <c r="A354" s="366" t="inlineStr">
        <is>
          <t>Ta</t>
        </is>
      </c>
      <c r="B354" s="367" t="inlineStr"/>
      <c r="C354" s="368" t="n"/>
      <c r="D354" s="369" t="n">
        <v>5</v>
      </c>
      <c r="E354" s="369" t="n">
        <v>1</v>
      </c>
      <c r="F354" s="370">
        <f>IF(D354=0," ",D354*E354)</f>
        <v/>
      </c>
      <c r="G354" s="371" t="n">
        <v>1</v>
      </c>
      <c r="H354" s="372" t="n"/>
      <c r="I354" s="370">
        <f>IF(F354=" "," ",F354*G354-H354)</f>
        <v/>
      </c>
      <c r="J354" s="369" t="n">
        <v>0.266</v>
      </c>
      <c r="K354" s="371" t="n">
        <v>23</v>
      </c>
      <c r="L354" s="373">
        <f>IF(I354=" "," ",I354*J354*K354)</f>
        <v/>
      </c>
      <c r="M354" s="374" t="n">
        <v>7</v>
      </c>
      <c r="N354" s="371" t="n">
        <v>0</v>
      </c>
      <c r="O354" s="374" t="n">
        <v>0</v>
      </c>
      <c r="P354" s="370">
        <f>IF(M354=" "," ",(1+(M354+N354+O354)/100))</f>
        <v/>
      </c>
      <c r="Q354" s="375">
        <f>IF(L354=" "," ",L354*P354)</f>
        <v/>
      </c>
    </row>
    <row r="355" ht="9.949999999999999" customHeight="1" s="244">
      <c r="A355" s="376" t="n"/>
      <c r="B355" s="377" t="n"/>
      <c r="C355" s="377" t="n"/>
      <c r="D355" s="378" t="n"/>
      <c r="E355" s="378" t="n"/>
      <c r="F355" s="378" t="n"/>
      <c r="G355" s="379" t="n"/>
      <c r="H355" s="378" t="n"/>
      <c r="I355" s="378" t="n"/>
      <c r="J355" s="378" t="n"/>
      <c r="K355" s="379" t="n"/>
      <c r="L355" s="380" t="n"/>
      <c r="M355" s="381" t="n"/>
      <c r="N355" s="381" t="n"/>
      <c r="O355" s="381" t="n"/>
      <c r="P355" s="382" t="n"/>
      <c r="Q355" s="383">
        <f>SUM(Q353:Q354)</f>
        <v/>
      </c>
    </row>
    <row r="356" ht="9.949999999999999" customHeight="1" s="244">
      <c r="A356" s="384" t="n"/>
      <c r="B356" s="385" t="n"/>
      <c r="C356" s="385" t="n"/>
      <c r="D356" s="386" t="n"/>
      <c r="E356" s="387" t="n"/>
      <c r="F356" s="388" t="n"/>
      <c r="G356" s="389" t="n"/>
      <c r="H356" s="388" t="n"/>
      <c r="I356" s="390" t="n"/>
      <c r="J356" s="391" t="inlineStr">
        <is>
          <t>Qs=</t>
        </is>
      </c>
      <c r="K356" s="390" t="inlineStr">
        <is>
          <t>S a</t>
        </is>
      </c>
      <c r="L356" s="388" t="inlineStr">
        <is>
          <t>L</t>
        </is>
      </c>
      <c r="M356" s="389" t="inlineStr">
        <is>
          <t>R</t>
        </is>
      </c>
      <c r="N356" s="392" t="inlineStr">
        <is>
          <t>H</t>
        </is>
      </c>
      <c r="O356" s="393" t="inlineStr">
        <is>
          <t>D  T</t>
        </is>
      </c>
      <c r="P356" s="389" t="inlineStr">
        <is>
          <t>Ze</t>
        </is>
      </c>
      <c r="Q356" s="394" t="n"/>
    </row>
    <row r="357" ht="9.949999999999999" customHeight="1" s="244">
      <c r="A357" s="395" t="inlineStr">
        <is>
          <t xml:space="preserve"> </t>
        </is>
      </c>
      <c r="C357" s="397" t="n"/>
      <c r="D357" s="397" t="n"/>
      <c r="E357" s="398" t="n"/>
      <c r="F357" s="399" t="n"/>
      <c r="G357" s="400" t="n"/>
      <c r="H357" s="401" t="n"/>
      <c r="I357" s="402" t="n"/>
      <c r="J357" s="403" t="inlineStr">
        <is>
          <t>Qs  =</t>
        </is>
      </c>
      <c r="K357" s="404" t="n">
        <v>2</v>
      </c>
      <c r="L357" s="404" t="n">
        <v>0</v>
      </c>
      <c r="M357" s="404" t="n">
        <v>0.9</v>
      </c>
      <c r="N357" s="404" t="n">
        <v>0.67</v>
      </c>
      <c r="O357" s="381" t="n">
        <v>23</v>
      </c>
      <c r="P357" s="404" t="n">
        <v>1</v>
      </c>
      <c r="Q357" s="383">
        <f>K357*L357*M357*N357*O357*P357</f>
        <v/>
      </c>
    </row>
    <row r="358" ht="9.949999999999999" customHeight="1" s="244">
      <c r="A358" s="405" t="n"/>
      <c r="B358" s="406" t="n"/>
      <c r="C358" s="397" t="n"/>
      <c r="D358" s="397" t="n"/>
      <c r="E358" s="378" t="n"/>
      <c r="F358" s="256" t="n"/>
      <c r="G358" s="407" t="n"/>
      <c r="H358" s="397" t="n"/>
      <c r="I358" s="397" t="n"/>
      <c r="J358" s="397" t="n"/>
      <c r="K358" s="407" t="n"/>
      <c r="L358" s="408" t="n"/>
      <c r="M358" s="409" t="inlineStr">
        <is>
          <t xml:space="preserve">   TOPLAM ISI KAYBI =</t>
        </is>
      </c>
      <c r="N358" s="409" t="n"/>
      <c r="O358" s="410" t="n"/>
      <c r="P358" s="409" t="n"/>
      <c r="Q358" s="411">
        <f>Q355+Q357</f>
        <v/>
      </c>
    </row>
    <row r="359" ht="10.35" customHeight="1" s="244">
      <c r="A359" s="359" t="n"/>
      <c r="B359" s="360" t="n"/>
      <c r="C359" s="360" t="n"/>
      <c r="D359" s="360" t="n"/>
      <c r="E359" s="360" t="n"/>
      <c r="F359" s="361" t="inlineStr">
        <is>
          <t>2</t>
        </is>
      </c>
      <c r="G359" s="362" t="inlineStr">
        <is>
          <t>0</t>
        </is>
      </c>
      <c r="H359" s="360" t="inlineStr">
        <is>
          <t>2C3-04</t>
        </is>
      </c>
      <c r="I359" s="363" t="inlineStr">
        <is>
          <t>OFİS C3 BANYO</t>
        </is>
      </c>
      <c r="J359" s="364" t="n"/>
      <c r="K359" s="360" t="inlineStr">
        <is>
          <t>24ºC</t>
        </is>
      </c>
      <c r="L359" s="360" t="n"/>
      <c r="M359" s="360" t="n"/>
      <c r="N359" s="360" t="n"/>
      <c r="O359" s="360" t="n"/>
      <c r="P359" s="360" t="n"/>
      <c r="Q359" s="365" t="n"/>
    </row>
    <row r="360" ht="9.949999999999999" customHeight="1" s="244">
      <c r="A360" s="366" t="inlineStr">
        <is>
          <t>İDM</t>
        </is>
      </c>
      <c r="B360" s="367" t="inlineStr"/>
      <c r="C360" s="368" t="n"/>
      <c r="D360" s="369" t="n">
        <v>1.03</v>
      </c>
      <c r="E360" s="369" t="n">
        <v>3</v>
      </c>
      <c r="F360" s="370">
        <f>IF(D360=0," ",D360*E360)</f>
        <v/>
      </c>
      <c r="G360" s="371" t="n">
        <v>1</v>
      </c>
      <c r="H360" s="372" t="n"/>
      <c r="I360" s="370">
        <f>IF(F360=" "," ",F360*G360-H360)</f>
        <v/>
      </c>
      <c r="J360" s="369" t="n">
        <v>0.332</v>
      </c>
      <c r="K360" s="371" t="n">
        <v>9</v>
      </c>
      <c r="L360" s="373">
        <f>IF(I360=" "," ",I360*J360*K360)</f>
        <v/>
      </c>
      <c r="M360" s="374" t="n">
        <v>7</v>
      </c>
      <c r="N360" s="371" t="n">
        <v>0</v>
      </c>
      <c r="O360" s="374" t="n">
        <v>0</v>
      </c>
      <c r="P360" s="370">
        <f>IF(M360=" "," ",(1+(M360+N360+O360)/100))</f>
        <v/>
      </c>
      <c r="Q360" s="375">
        <f>IF(L360=" "," ",L360*P360)</f>
        <v/>
      </c>
    </row>
    <row r="361" ht="9.949999999999999" customHeight="1" s="244">
      <c r="A361" s="366" t="inlineStr">
        <is>
          <t>Ta</t>
        </is>
      </c>
      <c r="B361" s="367" t="inlineStr"/>
      <c r="C361" s="368" t="n"/>
      <c r="D361" s="369" t="n">
        <v>3.2</v>
      </c>
      <c r="E361" s="369" t="n">
        <v>1</v>
      </c>
      <c r="F361" s="370">
        <f>IF(D361=0," ",D361*E361)</f>
        <v/>
      </c>
      <c r="G361" s="371" t="n">
        <v>1</v>
      </c>
      <c r="H361" s="372" t="n"/>
      <c r="I361" s="370">
        <f>IF(F361=" "," ",F361*G361-H361)</f>
        <v/>
      </c>
      <c r="J361" s="369" t="n">
        <v>0.266</v>
      </c>
      <c r="K361" s="371" t="n">
        <v>27</v>
      </c>
      <c r="L361" s="373">
        <f>IF(I361=" "," ",I361*J361*K361)</f>
        <v/>
      </c>
      <c r="M361" s="374" t="n">
        <v>7</v>
      </c>
      <c r="N361" s="371" t="n">
        <v>0</v>
      </c>
      <c r="O361" s="374" t="n">
        <v>0</v>
      </c>
      <c r="P361" s="370">
        <f>IF(M361=" "," ",(1+(M361+N361+O361)/100))</f>
        <v/>
      </c>
      <c r="Q361" s="375">
        <f>IF(L361=" "," ",L361*P361)</f>
        <v/>
      </c>
    </row>
    <row r="362" ht="9.949999999999999" customHeight="1" s="244">
      <c r="A362" s="376" t="n"/>
      <c r="B362" s="377" t="n"/>
      <c r="C362" s="377" t="n"/>
      <c r="D362" s="378" t="n"/>
      <c r="E362" s="378" t="n"/>
      <c r="F362" s="378" t="n"/>
      <c r="G362" s="379" t="n"/>
      <c r="H362" s="378" t="n"/>
      <c r="I362" s="378" t="n"/>
      <c r="J362" s="378" t="n"/>
      <c r="K362" s="379" t="n"/>
      <c r="L362" s="380" t="n"/>
      <c r="M362" s="381" t="n"/>
      <c r="N362" s="381" t="n"/>
      <c r="O362" s="381" t="n"/>
      <c r="P362" s="382" t="n"/>
      <c r="Q362" s="383">
        <f>SUM(Q360:Q361)</f>
        <v/>
      </c>
    </row>
    <row r="363" ht="9.949999999999999" customHeight="1" s="244">
      <c r="A363" s="384" t="n"/>
      <c r="B363" s="385" t="n"/>
      <c r="C363" s="385" t="n"/>
      <c r="D363" s="386" t="n"/>
      <c r="E363" s="387" t="n"/>
      <c r="F363" s="388" t="n"/>
      <c r="G363" s="389" t="n"/>
      <c r="H363" s="388" t="n"/>
      <c r="I363" s="390" t="n"/>
      <c r="J363" s="391" t="inlineStr">
        <is>
          <t>Qs=</t>
        </is>
      </c>
      <c r="K363" s="390" t="inlineStr">
        <is>
          <t>S a</t>
        </is>
      </c>
      <c r="L363" s="388" t="inlineStr">
        <is>
          <t>L</t>
        </is>
      </c>
      <c r="M363" s="389" t="inlineStr">
        <is>
          <t>R</t>
        </is>
      </c>
      <c r="N363" s="392" t="inlineStr">
        <is>
          <t>H</t>
        </is>
      </c>
      <c r="O363" s="393" t="inlineStr">
        <is>
          <t>D  T</t>
        </is>
      </c>
      <c r="P363" s="389" t="inlineStr">
        <is>
          <t>Ze</t>
        </is>
      </c>
      <c r="Q363" s="394" t="n"/>
    </row>
    <row r="364" ht="9.949999999999999" customHeight="1" s="244">
      <c r="A364" s="395" t="inlineStr">
        <is>
          <t xml:space="preserve"> </t>
        </is>
      </c>
      <c r="C364" s="397" t="n"/>
      <c r="D364" s="397" t="n"/>
      <c r="E364" s="398" t="n"/>
      <c r="F364" s="399" t="n"/>
      <c r="G364" s="400" t="n"/>
      <c r="H364" s="401" t="n"/>
      <c r="I364" s="402" t="n"/>
      <c r="J364" s="403" t="inlineStr">
        <is>
          <t>Qs  =</t>
        </is>
      </c>
      <c r="K364" s="404" t="n">
        <v>2</v>
      </c>
      <c r="L364" s="404" t="n">
        <v>0</v>
      </c>
      <c r="M364" s="404" t="n">
        <v>0.9</v>
      </c>
      <c r="N364" s="404" t="n">
        <v>0.67</v>
      </c>
      <c r="O364" s="381" t="n">
        <v>27</v>
      </c>
      <c r="P364" s="404" t="n">
        <v>1</v>
      </c>
      <c r="Q364" s="383">
        <f>K364*L364*M364*N364*O364*P364</f>
        <v/>
      </c>
    </row>
    <row r="365" ht="9.949999999999999" customHeight="1" s="244">
      <c r="A365" s="405" t="n"/>
      <c r="B365" s="406" t="n"/>
      <c r="C365" s="397" t="n"/>
      <c r="D365" s="397" t="n"/>
      <c r="E365" s="378" t="n"/>
      <c r="F365" s="256" t="n"/>
      <c r="G365" s="407" t="n"/>
      <c r="H365" s="397" t="n"/>
      <c r="I365" s="397" t="n"/>
      <c r="J365" s="397" t="n"/>
      <c r="K365" s="407" t="n"/>
      <c r="L365" s="408" t="n"/>
      <c r="M365" s="409" t="inlineStr">
        <is>
          <t xml:space="preserve">   TOPLAM ISI KAYBI =</t>
        </is>
      </c>
      <c r="N365" s="409" t="n"/>
      <c r="O365" s="410" t="n"/>
      <c r="P365" s="409" t="n"/>
      <c r="Q365" s="411">
        <f>Q362+Q364</f>
        <v/>
      </c>
    </row>
    <row r="366" ht="10.35" customHeight="1" s="244">
      <c r="A366" s="359" t="n"/>
      <c r="B366" s="360" t="n"/>
      <c r="C366" s="360" t="n"/>
      <c r="D366" s="360" t="n"/>
      <c r="E366" s="360" t="n"/>
      <c r="F366" s="361" t="inlineStr">
        <is>
          <t>2</t>
        </is>
      </c>
      <c r="G366" s="362" t="inlineStr">
        <is>
          <t>0</t>
        </is>
      </c>
      <c r="H366" s="360" t="inlineStr">
        <is>
          <t>2D1-01</t>
        </is>
      </c>
      <c r="I366" s="363" t="inlineStr">
        <is>
          <t>OFİS D1 ODA</t>
        </is>
      </c>
      <c r="J366" s="364" t="n"/>
      <c r="K366" s="360" t="inlineStr">
        <is>
          <t>20ºC</t>
        </is>
      </c>
      <c r="L366" s="360" t="n"/>
      <c r="M366" s="360" t="n"/>
      <c r="N366" s="360" t="n"/>
      <c r="O366" s="360" t="n"/>
      <c r="P366" s="360" t="n"/>
      <c r="Q366" s="365" t="n"/>
    </row>
    <row r="367" ht="9.949999999999999" customHeight="1" s="244">
      <c r="A367" s="366" t="inlineStr">
        <is>
          <t>İDM</t>
        </is>
      </c>
      <c r="B367" s="367" t="inlineStr"/>
      <c r="C367" s="368" t="n"/>
      <c r="D367" s="369" t="n">
        <v>5.01</v>
      </c>
      <c r="E367" s="369" t="n">
        <v>3</v>
      </c>
      <c r="F367" s="370">
        <f>IF(D367=0," ",D367*E367)</f>
        <v/>
      </c>
      <c r="G367" s="371" t="n">
        <v>1</v>
      </c>
      <c r="H367" s="372" t="n"/>
      <c r="I367" s="370">
        <f>IF(F367=" "," ",F367*G367-H367)</f>
        <v/>
      </c>
      <c r="J367" s="369" t="n">
        <v>0.332</v>
      </c>
      <c r="K367" s="371" t="n">
        <v>10</v>
      </c>
      <c r="L367" s="373">
        <f>IF(I367=" "," ",I367*J367*K367)</f>
        <v/>
      </c>
      <c r="M367" s="374" t="n">
        <v>7</v>
      </c>
      <c r="N367" s="371" t="n">
        <v>0</v>
      </c>
      <c r="O367" s="374" t="n">
        <v>0</v>
      </c>
      <c r="P367" s="370">
        <f>IF(M367=" "," ",(1+(M367+N367+O367)/100))</f>
        <v/>
      </c>
      <c r="Q367" s="375">
        <f>IF(L367=" "," ",L367*P367)</f>
        <v/>
      </c>
    </row>
    <row r="368" ht="9.949999999999999" customHeight="1" s="244">
      <c r="A368" s="366" t="inlineStr">
        <is>
          <t>İDM</t>
        </is>
      </c>
      <c r="B368" s="367" t="inlineStr"/>
      <c r="C368" s="368" t="n"/>
      <c r="D368" s="369" t="n">
        <v>2.28</v>
      </c>
      <c r="E368" s="369" t="n">
        <v>3</v>
      </c>
      <c r="F368" s="370">
        <f>IF(D368=0," ",D368*E368)</f>
        <v/>
      </c>
      <c r="G368" s="371" t="n">
        <v>1</v>
      </c>
      <c r="H368" s="372" t="n"/>
      <c r="I368" s="370">
        <f>IF(F368=" "," ",F368*G368-H368)</f>
        <v/>
      </c>
      <c r="J368" s="369" t="n">
        <v>0.332</v>
      </c>
      <c r="K368" s="371" t="n">
        <v>10</v>
      </c>
      <c r="L368" s="373">
        <f>IF(I368=" "," ",I368*J368*K368)</f>
        <v/>
      </c>
      <c r="M368" s="374" t="n">
        <v>7</v>
      </c>
      <c r="N368" s="371" t="n">
        <v>0</v>
      </c>
      <c r="O368" s="374" t="n">
        <v>0</v>
      </c>
      <c r="P368" s="370">
        <f>IF(M368=" "," ",(1+(M368+N368+O368)/100))</f>
        <v/>
      </c>
      <c r="Q368" s="375">
        <f>IF(L368=" "," ",L368*P368)</f>
        <v/>
      </c>
    </row>
    <row r="369" ht="9.949999999999999" customHeight="1" s="244">
      <c r="A369" s="366" t="inlineStr">
        <is>
          <t>Ta</t>
        </is>
      </c>
      <c r="B369" s="367" t="inlineStr"/>
      <c r="C369" s="368" t="n"/>
      <c r="D369" s="369" t="n">
        <v>16.5</v>
      </c>
      <c r="E369" s="369" t="n">
        <v>1</v>
      </c>
      <c r="F369" s="370">
        <f>IF(D369=0," ",D369*E369)</f>
        <v/>
      </c>
      <c r="G369" s="371" t="n">
        <v>1</v>
      </c>
      <c r="H369" s="372" t="n"/>
      <c r="I369" s="370">
        <f>IF(F369=" "," ",F369*G369-H369)</f>
        <v/>
      </c>
      <c r="J369" s="369" t="n">
        <v>0.266</v>
      </c>
      <c r="K369" s="371" t="n">
        <v>23</v>
      </c>
      <c r="L369" s="373">
        <f>IF(I369=" "," ",I369*J369*K369)</f>
        <v/>
      </c>
      <c r="M369" s="374" t="n">
        <v>7</v>
      </c>
      <c r="N369" s="371" t="n">
        <v>0</v>
      </c>
      <c r="O369" s="374" t="n">
        <v>0</v>
      </c>
      <c r="P369" s="370">
        <f>IF(M369=" "," ",(1+(M369+N369+O369)/100))</f>
        <v/>
      </c>
      <c r="Q369" s="375">
        <f>IF(L369=" "," ",L369*P369)</f>
        <v/>
      </c>
    </row>
    <row r="370" ht="9.949999999999999" customHeight="1" s="244">
      <c r="A370" s="376" t="n"/>
      <c r="B370" s="377" t="n"/>
      <c r="C370" s="377" t="n"/>
      <c r="D370" s="378" t="n"/>
      <c r="E370" s="378" t="n"/>
      <c r="F370" s="378" t="n"/>
      <c r="G370" s="379" t="n"/>
      <c r="H370" s="378" t="n"/>
      <c r="I370" s="378" t="n"/>
      <c r="J370" s="378" t="n"/>
      <c r="K370" s="379" t="n"/>
      <c r="L370" s="380" t="n"/>
      <c r="M370" s="381" t="n"/>
      <c r="N370" s="381" t="n"/>
      <c r="O370" s="381" t="n"/>
      <c r="P370" s="382" t="n"/>
      <c r="Q370" s="383">
        <f>SUM(Q367:Q369)</f>
        <v/>
      </c>
    </row>
    <row r="371" ht="9.949999999999999" customHeight="1" s="244">
      <c r="A371" s="384" t="n"/>
      <c r="B371" s="385" t="n"/>
      <c r="C371" s="385" t="n"/>
      <c r="D371" s="386" t="n"/>
      <c r="E371" s="387" t="n"/>
      <c r="F371" s="388" t="n"/>
      <c r="G371" s="389" t="n"/>
      <c r="H371" s="388" t="n"/>
      <c r="I371" s="390" t="n"/>
      <c r="J371" s="391" t="inlineStr">
        <is>
          <t>Qs=</t>
        </is>
      </c>
      <c r="K371" s="390" t="inlineStr">
        <is>
          <t>S a</t>
        </is>
      </c>
      <c r="L371" s="388" t="inlineStr">
        <is>
          <t>L</t>
        </is>
      </c>
      <c r="M371" s="389" t="inlineStr">
        <is>
          <t>R</t>
        </is>
      </c>
      <c r="N371" s="392" t="inlineStr">
        <is>
          <t>H</t>
        </is>
      </c>
      <c r="O371" s="393" t="inlineStr">
        <is>
          <t>D  T</t>
        </is>
      </c>
      <c r="P371" s="389" t="inlineStr">
        <is>
          <t>Ze</t>
        </is>
      </c>
      <c r="Q371" s="394" t="n"/>
    </row>
    <row r="372" ht="9.949999999999999" customHeight="1" s="244">
      <c r="A372" s="395" t="inlineStr">
        <is>
          <t xml:space="preserve"> </t>
        </is>
      </c>
      <c r="C372" s="397" t="n"/>
      <c r="D372" s="397" t="n"/>
      <c r="E372" s="398" t="n"/>
      <c r="F372" s="399" t="n"/>
      <c r="G372" s="400" t="n"/>
      <c r="H372" s="401" t="n"/>
      <c r="I372" s="402" t="n"/>
      <c r="J372" s="403" t="inlineStr">
        <is>
          <t>Qs  =</t>
        </is>
      </c>
      <c r="K372" s="404" t="n">
        <v>2</v>
      </c>
      <c r="L372" s="404" t="n">
        <v>0</v>
      </c>
      <c r="M372" s="404" t="n">
        <v>0.9</v>
      </c>
      <c r="N372" s="404" t="n">
        <v>0.67</v>
      </c>
      <c r="O372" s="381" t="n">
        <v>23</v>
      </c>
      <c r="P372" s="404" t="n">
        <v>1</v>
      </c>
      <c r="Q372" s="383">
        <f>K372*L372*M372*N372*O372*P372</f>
        <v/>
      </c>
    </row>
    <row r="373" ht="9.949999999999999" customHeight="1" s="244">
      <c r="A373" s="405" t="n"/>
      <c r="B373" s="406" t="n"/>
      <c r="C373" s="397" t="n"/>
      <c r="D373" s="397" t="n"/>
      <c r="E373" s="378" t="n"/>
      <c r="F373" s="256" t="n"/>
      <c r="G373" s="407" t="n"/>
      <c r="H373" s="397" t="n"/>
      <c r="I373" s="397" t="n"/>
      <c r="J373" s="397" t="n"/>
      <c r="K373" s="407" t="n"/>
      <c r="L373" s="408" t="n"/>
      <c r="M373" s="409" t="inlineStr">
        <is>
          <t xml:space="preserve">   TOPLAM ISI KAYBI =</t>
        </is>
      </c>
      <c r="N373" s="409" t="n"/>
      <c r="O373" s="410" t="n"/>
      <c r="P373" s="409" t="n"/>
      <c r="Q373" s="411">
        <f>Q370+Q372</f>
        <v/>
      </c>
    </row>
    <row r="374" ht="10.35" customHeight="1" s="244">
      <c r="A374" s="359" t="n"/>
      <c r="B374" s="360" t="n"/>
      <c r="C374" s="360" t="n"/>
      <c r="D374" s="360" t="n"/>
      <c r="E374" s="360" t="n"/>
      <c r="F374" s="361" t="inlineStr">
        <is>
          <t>2</t>
        </is>
      </c>
      <c r="G374" s="362" t="inlineStr">
        <is>
          <t>0</t>
        </is>
      </c>
      <c r="H374" s="360" t="inlineStr">
        <is>
          <t>2D1-02</t>
        </is>
      </c>
      <c r="I374" s="363" t="inlineStr">
        <is>
          <t>OFİS D1 GİRİŞ HOLÜ</t>
        </is>
      </c>
      <c r="J374" s="364" t="n"/>
      <c r="K374" s="360" t="inlineStr">
        <is>
          <t>20ºC</t>
        </is>
      </c>
      <c r="L374" s="360" t="n"/>
      <c r="M374" s="360" t="n"/>
      <c r="N374" s="360" t="n"/>
      <c r="O374" s="360" t="n"/>
      <c r="P374" s="360" t="n"/>
      <c r="Q374" s="365" t="n"/>
    </row>
    <row r="375" ht="9.949999999999999" customHeight="1" s="244">
      <c r="A375" s="366" t="inlineStr">
        <is>
          <t>İDM</t>
        </is>
      </c>
      <c r="B375" s="367" t="inlineStr"/>
      <c r="C375" s="368" t="n"/>
      <c r="D375" s="369" t="n">
        <v>2.73</v>
      </c>
      <c r="E375" s="369" t="n">
        <v>3</v>
      </c>
      <c r="F375" s="370">
        <f>IF(D375=0," ",D375*E375)</f>
        <v/>
      </c>
      <c r="G375" s="371" t="n">
        <v>1</v>
      </c>
      <c r="H375" s="372" t="n"/>
      <c r="I375" s="370">
        <f>IF(F375=" "," ",F375*G375-H375)</f>
        <v/>
      </c>
      <c r="J375" s="369" t="n">
        <v>0.332</v>
      </c>
      <c r="K375" s="371" t="n">
        <v>10</v>
      </c>
      <c r="L375" s="373">
        <f>IF(I375=" "," ",I375*J375*K375)</f>
        <v/>
      </c>
      <c r="M375" s="374" t="n">
        <v>7</v>
      </c>
      <c r="N375" s="371" t="n">
        <v>0</v>
      </c>
      <c r="O375" s="374" t="n">
        <v>0</v>
      </c>
      <c r="P375" s="370">
        <f>IF(M375=" "," ",(1+(M375+N375+O375)/100))</f>
        <v/>
      </c>
      <c r="Q375" s="375">
        <f>IF(L375=" "," ",L375*P375)</f>
        <v/>
      </c>
    </row>
    <row r="376" ht="9.949999999999999" customHeight="1" s="244">
      <c r="A376" s="366" t="inlineStr">
        <is>
          <t>İDM</t>
        </is>
      </c>
      <c r="B376" s="367" t="inlineStr"/>
      <c r="C376" s="368" t="n"/>
      <c r="D376" s="369" t="n">
        <v>4.15</v>
      </c>
      <c r="E376" s="369" t="n">
        <v>3</v>
      </c>
      <c r="F376" s="370">
        <f>IF(D376=0," ",D376*E376)</f>
        <v/>
      </c>
      <c r="G376" s="371" t="n">
        <v>1</v>
      </c>
      <c r="H376" s="372" t="n"/>
      <c r="I376" s="370">
        <f>IF(F376=" "," ",F376*G376-H376)</f>
        <v/>
      </c>
      <c r="J376" s="369" t="n">
        <v>0.332</v>
      </c>
      <c r="K376" s="371" t="n">
        <v>10</v>
      </c>
      <c r="L376" s="373">
        <f>IF(I376=" "," ",I376*J376*K376)</f>
        <v/>
      </c>
      <c r="M376" s="374" t="n">
        <v>7</v>
      </c>
      <c r="N376" s="371" t="n">
        <v>0</v>
      </c>
      <c r="O376" s="374" t="n">
        <v>0</v>
      </c>
      <c r="P376" s="370">
        <f>IF(M376=" "," ",(1+(M376+N376+O376)/100))</f>
        <v/>
      </c>
      <c r="Q376" s="375">
        <f>IF(L376=" "," ",L376*P376)</f>
        <v/>
      </c>
    </row>
    <row r="377" ht="9.949999999999999" customHeight="1" s="244">
      <c r="A377" s="366" t="inlineStr">
        <is>
          <t>İDM</t>
        </is>
      </c>
      <c r="B377" s="367" t="inlineStr"/>
      <c r="C377" s="368" t="n"/>
      <c r="D377" s="369" t="n">
        <v>1.54</v>
      </c>
      <c r="E377" s="369" t="n">
        <v>3</v>
      </c>
      <c r="F377" s="370">
        <f>IF(D377=0," ",D377*E377)</f>
        <v/>
      </c>
      <c r="G377" s="371" t="n">
        <v>1</v>
      </c>
      <c r="H377" s="372" t="n"/>
      <c r="I377" s="370">
        <f>IF(F377=" "," ",F377*G377-H377)</f>
        <v/>
      </c>
      <c r="J377" s="369" t="n">
        <v>0.332</v>
      </c>
      <c r="K377" s="371" t="n">
        <v>10</v>
      </c>
      <c r="L377" s="373">
        <f>IF(I377=" "," ",I377*J377*K377)</f>
        <v/>
      </c>
      <c r="M377" s="374" t="n">
        <v>7</v>
      </c>
      <c r="N377" s="371" t="n">
        <v>0</v>
      </c>
      <c r="O377" s="374" t="n">
        <v>0</v>
      </c>
      <c r="P377" s="370">
        <f>IF(M377=" "," ",(1+(M377+N377+O377)/100))</f>
        <v/>
      </c>
      <c r="Q377" s="375">
        <f>IF(L377=" "," ",L377*P377)</f>
        <v/>
      </c>
    </row>
    <row r="378" ht="9.949999999999999" customHeight="1" s="244">
      <c r="A378" s="366" t="inlineStr">
        <is>
          <t>Ta</t>
        </is>
      </c>
      <c r="B378" s="367" t="inlineStr"/>
      <c r="C378" s="368" t="n"/>
      <c r="D378" s="369" t="n">
        <v>12.26</v>
      </c>
      <c r="E378" s="369" t="n">
        <v>1</v>
      </c>
      <c r="F378" s="370">
        <f>IF(D378=0," ",D378*E378)</f>
        <v/>
      </c>
      <c r="G378" s="371" t="n">
        <v>1</v>
      </c>
      <c r="H378" s="372" t="n"/>
      <c r="I378" s="370">
        <f>IF(F378=" "," ",F378*G378-H378)</f>
        <v/>
      </c>
      <c r="J378" s="369" t="n">
        <v>0.266</v>
      </c>
      <c r="K378" s="371" t="n">
        <v>23</v>
      </c>
      <c r="L378" s="373">
        <f>IF(I378=" "," ",I378*J378*K378)</f>
        <v/>
      </c>
      <c r="M378" s="374" t="n">
        <v>7</v>
      </c>
      <c r="N378" s="371" t="n">
        <v>0</v>
      </c>
      <c r="O378" s="374" t="n">
        <v>0</v>
      </c>
      <c r="P378" s="370">
        <f>IF(M378=" "," ",(1+(M378+N378+O378)/100))</f>
        <v/>
      </c>
      <c r="Q378" s="375">
        <f>IF(L378=" "," ",L378*P378)</f>
        <v/>
      </c>
    </row>
    <row r="379" ht="9.949999999999999" customHeight="1" s="244">
      <c r="A379" s="376" t="n"/>
      <c r="B379" s="377" t="n"/>
      <c r="C379" s="377" t="n"/>
      <c r="D379" s="378" t="n"/>
      <c r="E379" s="378" t="n"/>
      <c r="F379" s="378" t="n"/>
      <c r="G379" s="379" t="n"/>
      <c r="H379" s="378" t="n"/>
      <c r="I379" s="378" t="n"/>
      <c r="J379" s="378" t="n"/>
      <c r="K379" s="379" t="n"/>
      <c r="L379" s="380" t="n"/>
      <c r="M379" s="381" t="n"/>
      <c r="N379" s="381" t="n"/>
      <c r="O379" s="381" t="n"/>
      <c r="P379" s="382" t="n"/>
      <c r="Q379" s="383">
        <f>SUM(Q375:Q378)</f>
        <v/>
      </c>
    </row>
    <row r="380" ht="9.949999999999999" customHeight="1" s="244">
      <c r="A380" s="384" t="n"/>
      <c r="B380" s="385" t="n"/>
      <c r="C380" s="385" t="n"/>
      <c r="D380" s="386" t="n"/>
      <c r="E380" s="387" t="n"/>
      <c r="F380" s="388" t="n"/>
      <c r="G380" s="389" t="n"/>
      <c r="H380" s="388" t="n"/>
      <c r="I380" s="390" t="n"/>
      <c r="J380" s="391" t="inlineStr">
        <is>
          <t>Qs=</t>
        </is>
      </c>
      <c r="K380" s="390" t="inlineStr">
        <is>
          <t>S a</t>
        </is>
      </c>
      <c r="L380" s="388" t="inlineStr">
        <is>
          <t>L</t>
        </is>
      </c>
      <c r="M380" s="389" t="inlineStr">
        <is>
          <t>R</t>
        </is>
      </c>
      <c r="N380" s="392" t="inlineStr">
        <is>
          <t>H</t>
        </is>
      </c>
      <c r="O380" s="393" t="inlineStr">
        <is>
          <t>D  T</t>
        </is>
      </c>
      <c r="P380" s="389" t="inlineStr">
        <is>
          <t>Ze</t>
        </is>
      </c>
      <c r="Q380" s="394" t="n"/>
    </row>
    <row r="381" ht="9.949999999999999" customHeight="1" s="244">
      <c r="A381" s="395" t="inlineStr">
        <is>
          <t xml:space="preserve"> </t>
        </is>
      </c>
      <c r="C381" s="397" t="n"/>
      <c r="D381" s="397" t="n"/>
      <c r="E381" s="398" t="n"/>
      <c r="F381" s="399" t="n"/>
      <c r="G381" s="400" t="n"/>
      <c r="H381" s="401" t="n"/>
      <c r="I381" s="402" t="n"/>
      <c r="J381" s="403" t="inlineStr">
        <is>
          <t>Qs  =</t>
        </is>
      </c>
      <c r="K381" s="404" t="n">
        <v>2</v>
      </c>
      <c r="L381" s="404" t="n">
        <v>0</v>
      </c>
      <c r="M381" s="404" t="n">
        <v>0.9</v>
      </c>
      <c r="N381" s="404" t="n">
        <v>0.67</v>
      </c>
      <c r="O381" s="381" t="n">
        <v>23</v>
      </c>
      <c r="P381" s="404" t="n">
        <v>1</v>
      </c>
      <c r="Q381" s="383">
        <f>K381*L381*M381*N381*O381*P381</f>
        <v/>
      </c>
    </row>
    <row r="382" ht="9.949999999999999" customHeight="1" s="244">
      <c r="A382" s="405" t="n"/>
      <c r="B382" s="406" t="n"/>
      <c r="C382" s="397" t="n"/>
      <c r="D382" s="397" t="n"/>
      <c r="E382" s="378" t="n"/>
      <c r="F382" s="256" t="n"/>
      <c r="G382" s="407" t="n"/>
      <c r="H382" s="397" t="n"/>
      <c r="I382" s="397" t="n"/>
      <c r="J382" s="397" t="n"/>
      <c r="K382" s="407" t="n"/>
      <c r="L382" s="408" t="n"/>
      <c r="M382" s="409" t="inlineStr">
        <is>
          <t xml:space="preserve">   TOPLAM ISI KAYBI =</t>
        </is>
      </c>
      <c r="N382" s="409" t="n"/>
      <c r="O382" s="410" t="n"/>
      <c r="P382" s="409" t="n"/>
      <c r="Q382" s="411">
        <f>Q379+Q381</f>
        <v/>
      </c>
    </row>
    <row r="383" ht="10.35" customHeight="1" s="244">
      <c r="A383" s="359" t="n"/>
      <c r="B383" s="360" t="n"/>
      <c r="C383" s="360" t="n"/>
      <c r="D383" s="360" t="n"/>
      <c r="E383" s="360" t="n"/>
      <c r="F383" s="361" t="inlineStr">
        <is>
          <t>2</t>
        </is>
      </c>
      <c r="G383" s="362" t="inlineStr">
        <is>
          <t>0</t>
        </is>
      </c>
      <c r="H383" s="360" t="inlineStr">
        <is>
          <t>2D1-03</t>
        </is>
      </c>
      <c r="I383" s="363" t="inlineStr">
        <is>
          <t>OFİS D1 MUTFAK</t>
        </is>
      </c>
      <c r="J383" s="364" t="n"/>
      <c r="K383" s="360" t="inlineStr">
        <is>
          <t>20ºC</t>
        </is>
      </c>
      <c r="L383" s="360" t="n"/>
      <c r="M383" s="360" t="n"/>
      <c r="N383" s="360" t="n"/>
      <c r="O383" s="360" t="n"/>
      <c r="P383" s="360" t="n"/>
      <c r="Q383" s="365" t="n"/>
    </row>
    <row r="384" ht="9.949999999999999" customHeight="1" s="244">
      <c r="A384" s="366" t="inlineStr">
        <is>
          <t>Ta</t>
        </is>
      </c>
      <c r="B384" s="367" t="inlineStr"/>
      <c r="C384" s="368" t="n"/>
      <c r="D384" s="369" t="n">
        <v>5</v>
      </c>
      <c r="E384" s="369" t="n">
        <v>1</v>
      </c>
      <c r="F384" s="370">
        <f>IF(D384=0," ",D384*E384)</f>
        <v/>
      </c>
      <c r="G384" s="371" t="n">
        <v>1</v>
      </c>
      <c r="H384" s="372" t="n"/>
      <c r="I384" s="370">
        <f>IF(F384=" "," ",F384*G384-H384)</f>
        <v/>
      </c>
      <c r="J384" s="369" t="n">
        <v>0.266</v>
      </c>
      <c r="K384" s="371" t="n">
        <v>23</v>
      </c>
      <c r="L384" s="373">
        <f>IF(I384=" "," ",I384*J384*K384)</f>
        <v/>
      </c>
      <c r="M384" s="374" t="n">
        <v>7</v>
      </c>
      <c r="N384" s="371" t="n">
        <v>0</v>
      </c>
      <c r="O384" s="374" t="n">
        <v>0</v>
      </c>
      <c r="P384" s="370">
        <f>IF(M384=" "," ",(1+(M384+N384+O384)/100))</f>
        <v/>
      </c>
      <c r="Q384" s="375">
        <f>IF(L384=" "," ",L384*P384)</f>
        <v/>
      </c>
    </row>
    <row r="385" ht="9.949999999999999" customHeight="1" s="244">
      <c r="A385" s="376" t="n"/>
      <c r="B385" s="377" t="n"/>
      <c r="C385" s="377" t="n"/>
      <c r="D385" s="378" t="n"/>
      <c r="E385" s="378" t="n"/>
      <c r="F385" s="378" t="n"/>
      <c r="G385" s="379" t="n"/>
      <c r="H385" s="378" t="n"/>
      <c r="I385" s="378" t="n"/>
      <c r="J385" s="378" t="n"/>
      <c r="K385" s="379" t="n"/>
      <c r="L385" s="380" t="n"/>
      <c r="M385" s="381" t="n"/>
      <c r="N385" s="381" t="n"/>
      <c r="O385" s="381" t="n"/>
      <c r="P385" s="382" t="n"/>
      <c r="Q385" s="383">
        <f>SUM(Q384:Q384)</f>
        <v/>
      </c>
    </row>
    <row r="386" ht="9.949999999999999" customHeight="1" s="244">
      <c r="A386" s="384" t="n"/>
      <c r="B386" s="385" t="n"/>
      <c r="C386" s="385" t="n"/>
      <c r="D386" s="386" t="n"/>
      <c r="E386" s="387" t="n"/>
      <c r="F386" s="388" t="n"/>
      <c r="G386" s="389" t="n"/>
      <c r="H386" s="388" t="n"/>
      <c r="I386" s="390" t="n"/>
      <c r="J386" s="391" t="inlineStr">
        <is>
          <t>Qs=</t>
        </is>
      </c>
      <c r="K386" s="390" t="inlineStr">
        <is>
          <t>S a</t>
        </is>
      </c>
      <c r="L386" s="388" t="inlineStr">
        <is>
          <t>L</t>
        </is>
      </c>
      <c r="M386" s="389" t="inlineStr">
        <is>
          <t>R</t>
        </is>
      </c>
      <c r="N386" s="392" t="inlineStr">
        <is>
          <t>H</t>
        </is>
      </c>
      <c r="O386" s="393" t="inlineStr">
        <is>
          <t>D  T</t>
        </is>
      </c>
      <c r="P386" s="389" t="inlineStr">
        <is>
          <t>Ze</t>
        </is>
      </c>
      <c r="Q386" s="394" t="n"/>
    </row>
    <row r="387" ht="9.949999999999999" customHeight="1" s="244">
      <c r="A387" s="395" t="inlineStr">
        <is>
          <t xml:space="preserve"> </t>
        </is>
      </c>
      <c r="C387" s="397" t="n"/>
      <c r="D387" s="397" t="n"/>
      <c r="E387" s="398" t="n"/>
      <c r="F387" s="399" t="n"/>
      <c r="G387" s="400" t="n"/>
      <c r="H387" s="401" t="n"/>
      <c r="I387" s="402" t="n"/>
      <c r="J387" s="403" t="inlineStr">
        <is>
          <t>Qs  =</t>
        </is>
      </c>
      <c r="K387" s="404" t="n">
        <v>2</v>
      </c>
      <c r="L387" s="404" t="n">
        <v>0</v>
      </c>
      <c r="M387" s="404" t="n">
        <v>0.9</v>
      </c>
      <c r="N387" s="404" t="n">
        <v>0.67</v>
      </c>
      <c r="O387" s="381" t="n">
        <v>23</v>
      </c>
      <c r="P387" s="404" t="n">
        <v>1</v>
      </c>
      <c r="Q387" s="383">
        <f>K387*L387*M387*N387*O387*P387</f>
        <v/>
      </c>
    </row>
    <row r="388" ht="9.949999999999999" customHeight="1" s="244">
      <c r="A388" s="405" t="n"/>
      <c r="B388" s="406" t="n"/>
      <c r="C388" s="397" t="n"/>
      <c r="D388" s="397" t="n"/>
      <c r="E388" s="378" t="n"/>
      <c r="F388" s="256" t="n"/>
      <c r="G388" s="407" t="n"/>
      <c r="H388" s="397" t="n"/>
      <c r="I388" s="397" t="n"/>
      <c r="J388" s="397" t="n"/>
      <c r="K388" s="407" t="n"/>
      <c r="L388" s="408" t="n"/>
      <c r="M388" s="409" t="inlineStr">
        <is>
          <t xml:space="preserve">   TOPLAM ISI KAYBI =</t>
        </is>
      </c>
      <c r="N388" s="409" t="n"/>
      <c r="O388" s="410" t="n"/>
      <c r="P388" s="409" t="n"/>
      <c r="Q388" s="411">
        <f>Q385+Q387</f>
        <v/>
      </c>
    </row>
    <row r="389" ht="10.35" customHeight="1" s="244">
      <c r="A389" s="359" t="n"/>
      <c r="B389" s="360" t="n"/>
      <c r="C389" s="360" t="n"/>
      <c r="D389" s="360" t="n"/>
      <c r="E389" s="360" t="n"/>
      <c r="F389" s="361" t="inlineStr">
        <is>
          <t>2</t>
        </is>
      </c>
      <c r="G389" s="362" t="inlineStr">
        <is>
          <t>0</t>
        </is>
      </c>
      <c r="H389" s="360" t="inlineStr">
        <is>
          <t>2D1-04</t>
        </is>
      </c>
      <c r="I389" s="363" t="inlineStr">
        <is>
          <t>OFİS D1 BANYO</t>
        </is>
      </c>
      <c r="J389" s="364" t="n"/>
      <c r="K389" s="360" t="inlineStr">
        <is>
          <t>24ºC</t>
        </is>
      </c>
      <c r="L389" s="360" t="n"/>
      <c r="M389" s="360" t="n"/>
      <c r="N389" s="360" t="n"/>
      <c r="O389" s="360" t="n"/>
      <c r="P389" s="360" t="n"/>
      <c r="Q389" s="365" t="n"/>
    </row>
    <row r="390" ht="9.949999999999999" customHeight="1" s="244">
      <c r="A390" s="366" t="inlineStr">
        <is>
          <t>İDM</t>
        </is>
      </c>
      <c r="B390" s="367" t="inlineStr"/>
      <c r="C390" s="368" t="n"/>
      <c r="D390" s="369" t="n">
        <v>0.29</v>
      </c>
      <c r="E390" s="369" t="n">
        <v>3</v>
      </c>
      <c r="F390" s="370">
        <f>IF(D390=0," ",D390*E390)</f>
        <v/>
      </c>
      <c r="G390" s="371" t="n">
        <v>1</v>
      </c>
      <c r="H390" s="372" t="n"/>
      <c r="I390" s="370">
        <f>IF(F390=" "," ",F390*G390-H390)</f>
        <v/>
      </c>
      <c r="J390" s="369" t="n">
        <v>0.332</v>
      </c>
      <c r="K390" s="371" t="n">
        <v>14</v>
      </c>
      <c r="L390" s="373">
        <f>IF(I390=" "," ",I390*J390*K390)</f>
        <v/>
      </c>
      <c r="M390" s="374" t="n">
        <v>7</v>
      </c>
      <c r="N390" s="371" t="n">
        <v>0</v>
      </c>
      <c r="O390" s="374" t="n">
        <v>0</v>
      </c>
      <c r="P390" s="370">
        <f>IF(M390=" "," ",(1+(M390+N390+O390)/100))</f>
        <v/>
      </c>
      <c r="Q390" s="375">
        <f>IF(L390=" "," ",L390*P390)</f>
        <v/>
      </c>
    </row>
    <row r="391" ht="9.949999999999999" customHeight="1" s="244">
      <c r="A391" s="366" t="inlineStr">
        <is>
          <t>Ta</t>
        </is>
      </c>
      <c r="B391" s="367" t="inlineStr"/>
      <c r="C391" s="368" t="n"/>
      <c r="D391" s="369" t="n">
        <v>3.2</v>
      </c>
      <c r="E391" s="369" t="n">
        <v>1</v>
      </c>
      <c r="F391" s="370">
        <f>IF(D391=0," ",D391*E391)</f>
        <v/>
      </c>
      <c r="G391" s="371" t="n">
        <v>1</v>
      </c>
      <c r="H391" s="372" t="n"/>
      <c r="I391" s="370">
        <f>IF(F391=" "," ",F391*G391-H391)</f>
        <v/>
      </c>
      <c r="J391" s="369" t="n">
        <v>0.266</v>
      </c>
      <c r="K391" s="371" t="n">
        <v>27</v>
      </c>
      <c r="L391" s="373">
        <f>IF(I391=" "," ",I391*J391*K391)</f>
        <v/>
      </c>
      <c r="M391" s="374" t="n">
        <v>7</v>
      </c>
      <c r="N391" s="371" t="n">
        <v>0</v>
      </c>
      <c r="O391" s="374" t="n">
        <v>0</v>
      </c>
      <c r="P391" s="370">
        <f>IF(M391=" "," ",(1+(M391+N391+O391)/100))</f>
        <v/>
      </c>
      <c r="Q391" s="375">
        <f>IF(L391=" "," ",L391*P391)</f>
        <v/>
      </c>
    </row>
    <row r="392" ht="9.949999999999999" customHeight="1" s="244">
      <c r="A392" s="376" t="n"/>
      <c r="B392" s="377" t="n"/>
      <c r="C392" s="377" t="n"/>
      <c r="D392" s="378" t="n"/>
      <c r="E392" s="378" t="n"/>
      <c r="F392" s="378" t="n"/>
      <c r="G392" s="379" t="n"/>
      <c r="H392" s="378" t="n"/>
      <c r="I392" s="378" t="n"/>
      <c r="J392" s="378" t="n"/>
      <c r="K392" s="379" t="n"/>
      <c r="L392" s="380" t="n"/>
      <c r="M392" s="381" t="n"/>
      <c r="N392" s="381" t="n"/>
      <c r="O392" s="381" t="n"/>
      <c r="P392" s="382" t="n"/>
      <c r="Q392" s="383">
        <f>SUM(Q390:Q391)</f>
        <v/>
      </c>
    </row>
    <row r="393" ht="9.949999999999999" customHeight="1" s="244">
      <c r="A393" s="384" t="n"/>
      <c r="B393" s="385" t="n"/>
      <c r="C393" s="385" t="n"/>
      <c r="D393" s="386" t="n"/>
      <c r="E393" s="387" t="n"/>
      <c r="F393" s="388" t="n"/>
      <c r="G393" s="389" t="n"/>
      <c r="H393" s="388" t="n"/>
      <c r="I393" s="390" t="n"/>
      <c r="J393" s="391" t="inlineStr">
        <is>
          <t>Qs=</t>
        </is>
      </c>
      <c r="K393" s="390" t="inlineStr">
        <is>
          <t>S a</t>
        </is>
      </c>
      <c r="L393" s="388" t="inlineStr">
        <is>
          <t>L</t>
        </is>
      </c>
      <c r="M393" s="389" t="inlineStr">
        <is>
          <t>R</t>
        </is>
      </c>
      <c r="N393" s="392" t="inlineStr">
        <is>
          <t>H</t>
        </is>
      </c>
      <c r="O393" s="393" t="inlineStr">
        <is>
          <t>D  T</t>
        </is>
      </c>
      <c r="P393" s="389" t="inlineStr">
        <is>
          <t>Ze</t>
        </is>
      </c>
      <c r="Q393" s="394" t="n"/>
    </row>
    <row r="394" ht="9.949999999999999" customHeight="1" s="244">
      <c r="A394" s="395" t="inlineStr">
        <is>
          <t xml:space="preserve"> </t>
        </is>
      </c>
      <c r="C394" s="397" t="n"/>
      <c r="D394" s="397" t="n"/>
      <c r="E394" s="398" t="n"/>
      <c r="F394" s="399" t="n"/>
      <c r="G394" s="400" t="n"/>
      <c r="H394" s="401" t="n"/>
      <c r="I394" s="402" t="n"/>
      <c r="J394" s="403" t="inlineStr">
        <is>
          <t>Qs  =</t>
        </is>
      </c>
      <c r="K394" s="404" t="n">
        <v>2</v>
      </c>
      <c r="L394" s="404" t="n">
        <v>0</v>
      </c>
      <c r="M394" s="404" t="n">
        <v>0.9</v>
      </c>
      <c r="N394" s="404" t="n">
        <v>0.67</v>
      </c>
      <c r="O394" s="381" t="n">
        <v>27</v>
      </c>
      <c r="P394" s="404" t="n">
        <v>1</v>
      </c>
      <c r="Q394" s="383">
        <f>K394*L394*M394*N394*O394*P394</f>
        <v/>
      </c>
    </row>
    <row r="395" ht="9.949999999999999" customHeight="1" s="244">
      <c r="A395" s="405" t="n"/>
      <c r="B395" s="406" t="n"/>
      <c r="C395" s="397" t="n"/>
      <c r="D395" s="397" t="n"/>
      <c r="E395" s="378" t="n"/>
      <c r="F395" s="256" t="n"/>
      <c r="G395" s="407" t="n"/>
      <c r="H395" s="397" t="n"/>
      <c r="I395" s="397" t="n"/>
      <c r="J395" s="397" t="n"/>
      <c r="K395" s="407" t="n"/>
      <c r="L395" s="408" t="n"/>
      <c r="M395" s="409" t="inlineStr">
        <is>
          <t xml:space="preserve">   TOPLAM ISI KAYBI =</t>
        </is>
      </c>
      <c r="N395" s="409" t="n"/>
      <c r="O395" s="410" t="n"/>
      <c r="P395" s="409" t="n"/>
      <c r="Q395" s="411">
        <f>Q392+Q394</f>
        <v/>
      </c>
    </row>
    <row r="396" ht="10.35" customHeight="1" s="244">
      <c r="A396" s="359" t="n"/>
      <c r="B396" s="360" t="n"/>
      <c r="C396" s="360" t="n"/>
      <c r="D396" s="360" t="n"/>
      <c r="E396" s="360" t="n"/>
      <c r="F396" s="361" t="inlineStr">
        <is>
          <t>2</t>
        </is>
      </c>
      <c r="G396" s="362" t="inlineStr">
        <is>
          <t>0</t>
        </is>
      </c>
      <c r="H396" s="360" t="inlineStr">
        <is>
          <t>2D2-01</t>
        </is>
      </c>
      <c r="I396" s="363" t="inlineStr">
        <is>
          <t>OFİS D2 ODA</t>
        </is>
      </c>
      <c r="J396" s="364" t="n"/>
      <c r="K396" s="360" t="inlineStr">
        <is>
          <t>20ºC</t>
        </is>
      </c>
      <c r="L396" s="360" t="n"/>
      <c r="M396" s="360" t="n"/>
      <c r="N396" s="360" t="n"/>
      <c r="O396" s="360" t="n"/>
      <c r="P396" s="360" t="n"/>
      <c r="Q396" s="365" t="n"/>
    </row>
    <row r="397" ht="9.949999999999999" customHeight="1" s="244">
      <c r="A397" s="366" t="inlineStr">
        <is>
          <t>DD</t>
        </is>
      </c>
      <c r="B397" s="367" t="inlineStr">
        <is>
          <t>G</t>
        </is>
      </c>
      <c r="C397" s="368" t="n"/>
      <c r="D397" s="369" t="n">
        <v>4.08</v>
      </c>
      <c r="E397" s="369" t="n">
        <v>2.5</v>
      </c>
      <c r="F397" s="370">
        <f>IF(D397=0," ",D397*E397)</f>
        <v/>
      </c>
      <c r="G397" s="371" t="n">
        <v>1</v>
      </c>
      <c r="H397" s="372">
        <f>F399*G399</f>
        <v/>
      </c>
      <c r="I397" s="370">
        <f>IF(F397=" "," ",F397*G397-H397)</f>
        <v/>
      </c>
      <c r="J397" s="369" t="n">
        <v>0.344</v>
      </c>
      <c r="K397" s="371" t="n">
        <v>23</v>
      </c>
      <c r="L397" s="373">
        <f>IF(I397=" "," ",I397*J397*K397)</f>
        <v/>
      </c>
      <c r="M397" s="374" t="n">
        <v>7</v>
      </c>
      <c r="N397" s="371" t="n">
        <v>0</v>
      </c>
      <c r="O397" s="374" t="n">
        <v>-5</v>
      </c>
      <c r="P397" s="370">
        <f>IF(M397=" "," ",(1+(M397+N397+O397)/100))</f>
        <v/>
      </c>
      <c r="Q397" s="375">
        <f>IF(L397=" "," ",L397*P397)</f>
        <v/>
      </c>
    </row>
    <row r="398" ht="9.949999999999999" customHeight="1" s="244">
      <c r="A398" s="366" t="inlineStr">
        <is>
          <t>DD25</t>
        </is>
      </c>
      <c r="B398" s="367" t="inlineStr">
        <is>
          <t>G</t>
        </is>
      </c>
      <c r="C398" s="368" t="n"/>
      <c r="D398" s="369">
        <f>D397</f>
        <v/>
      </c>
      <c r="E398" s="369" t="n">
        <v>0.5</v>
      </c>
      <c r="F398" s="370">
        <f>IF(D398=0," ",D398*E398)</f>
        <v/>
      </c>
      <c r="G398" s="371" t="n">
        <v>1</v>
      </c>
      <c r="H398" s="372" t="n"/>
      <c r="I398" s="370">
        <f>IF(F398=" "," ",F398*G398-H398)</f>
        <v/>
      </c>
      <c r="J398" s="369" t="n">
        <v>0.387</v>
      </c>
      <c r="K398" s="371" t="n">
        <v>23</v>
      </c>
      <c r="L398" s="373">
        <f>IF(I398=" "," ",I398*J398*K398)</f>
        <v/>
      </c>
      <c r="M398" s="374" t="n">
        <v>7</v>
      </c>
      <c r="N398" s="371" t="n">
        <v>0</v>
      </c>
      <c r="O398" s="374" t="n">
        <v>-5</v>
      </c>
      <c r="P398" s="370">
        <f>IF(M398=" "," ",(1+(M398+N398+O398)/100))</f>
        <v/>
      </c>
      <c r="Q398" s="375">
        <f>IF(L398=" "," ",L398*P398)</f>
        <v/>
      </c>
    </row>
    <row r="399" ht="9.949999999999999" customHeight="1" s="244">
      <c r="A399" s="366" t="inlineStr">
        <is>
          <t>ÇP</t>
        </is>
      </c>
      <c r="B399" s="367" t="inlineStr">
        <is>
          <t>G</t>
        </is>
      </c>
      <c r="C399" s="368" t="n"/>
      <c r="D399" s="369" t="n">
        <v>2.24</v>
      </c>
      <c r="E399" s="369" t="n">
        <v>1.5</v>
      </c>
      <c r="F399" s="370">
        <f>IF(D399=0," ",D399*E399)</f>
        <v/>
      </c>
      <c r="G399" s="371" t="n">
        <v>1</v>
      </c>
      <c r="H399" s="372" t="n"/>
      <c r="I399" s="370">
        <f>IF(F399=" "," ",F399*G399-H399)</f>
        <v/>
      </c>
      <c r="J399" s="369" t="n">
        <v>1.8</v>
      </c>
      <c r="K399" s="371" t="n">
        <v>23</v>
      </c>
      <c r="L399" s="373">
        <f>IF(I399=" "," ",I399*J399*K399)</f>
        <v/>
      </c>
      <c r="M399" s="374" t="n">
        <v>7</v>
      </c>
      <c r="N399" s="371" t="n">
        <v>0</v>
      </c>
      <c r="O399" s="374" t="n">
        <v>-5</v>
      </c>
      <c r="P399" s="370">
        <f>IF(M399=" "," ",(1+(M399+N399+O399)/100))</f>
        <v/>
      </c>
      <c r="Q399" s="375">
        <f>IF(L399=" "," ",L399*P399)</f>
        <v/>
      </c>
    </row>
    <row r="400" ht="9.949999999999999" customHeight="1" s="244">
      <c r="A400" s="366" t="inlineStr">
        <is>
          <t>Ta</t>
        </is>
      </c>
      <c r="B400" s="367" t="inlineStr"/>
      <c r="C400" s="368" t="n"/>
      <c r="D400" s="369" t="n">
        <v>16.5</v>
      </c>
      <c r="E400" s="369" t="n">
        <v>1</v>
      </c>
      <c r="F400" s="370">
        <f>IF(D400=0," ",D400*E400)</f>
        <v/>
      </c>
      <c r="G400" s="371" t="n">
        <v>1</v>
      </c>
      <c r="H400" s="372" t="n"/>
      <c r="I400" s="370">
        <f>IF(F400=" "," ",F400*G400-H400)</f>
        <v/>
      </c>
      <c r="J400" s="369" t="n">
        <v>0.266</v>
      </c>
      <c r="K400" s="371" t="n">
        <v>23</v>
      </c>
      <c r="L400" s="373">
        <f>IF(I400=" "," ",I400*J400*K400)</f>
        <v/>
      </c>
      <c r="M400" s="374" t="n">
        <v>7</v>
      </c>
      <c r="N400" s="371" t="n">
        <v>0</v>
      </c>
      <c r="O400" s="374" t="n">
        <v>0</v>
      </c>
      <c r="P400" s="370">
        <f>IF(M400=" "," ",(1+(M400+N400+O400)/100))</f>
        <v/>
      </c>
      <c r="Q400" s="375">
        <f>IF(L400=" "," ",L400*P400)</f>
        <v/>
      </c>
    </row>
    <row r="401" ht="9.949999999999999" customHeight="1" s="244">
      <c r="A401" s="376" t="n"/>
      <c r="B401" s="377" t="n"/>
      <c r="C401" s="377" t="n"/>
      <c r="D401" s="378" t="n"/>
      <c r="E401" s="378" t="n"/>
      <c r="F401" s="378" t="n"/>
      <c r="G401" s="379" t="n"/>
      <c r="H401" s="378" t="n"/>
      <c r="I401" s="378" t="n"/>
      <c r="J401" s="378" t="n"/>
      <c r="K401" s="379" t="n"/>
      <c r="L401" s="380" t="n"/>
      <c r="M401" s="381" t="n"/>
      <c r="N401" s="381" t="n"/>
      <c r="O401" s="381" t="n"/>
      <c r="P401" s="382" t="n"/>
      <c r="Q401" s="383">
        <f>SUM(Q397:Q400)</f>
        <v/>
      </c>
    </row>
    <row r="402" ht="9.949999999999999" customHeight="1" s="244">
      <c r="A402" s="384" t="n"/>
      <c r="B402" s="385" t="n"/>
      <c r="C402" s="385" t="n"/>
      <c r="D402" s="386" t="n"/>
      <c r="E402" s="387" t="n"/>
      <c r="F402" s="388" t="n"/>
      <c r="G402" s="389" t="n"/>
      <c r="H402" s="388" t="n"/>
      <c r="I402" s="390" t="n"/>
      <c r="J402" s="391" t="inlineStr">
        <is>
          <t>Qs=</t>
        </is>
      </c>
      <c r="K402" s="390" t="inlineStr">
        <is>
          <t>S a</t>
        </is>
      </c>
      <c r="L402" s="388" t="inlineStr">
        <is>
          <t>L</t>
        </is>
      </c>
      <c r="M402" s="389" t="inlineStr">
        <is>
          <t>R</t>
        </is>
      </c>
      <c r="N402" s="392" t="inlineStr">
        <is>
          <t>H</t>
        </is>
      </c>
      <c r="O402" s="393" t="inlineStr">
        <is>
          <t>D  T</t>
        </is>
      </c>
      <c r="P402" s="389" t="inlineStr">
        <is>
          <t>Ze</t>
        </is>
      </c>
      <c r="Q402" s="394" t="n"/>
    </row>
    <row r="403" ht="9.949999999999999" customHeight="1" s="244">
      <c r="A403" s="395" t="inlineStr">
        <is>
          <t xml:space="preserve"> </t>
        </is>
      </c>
      <c r="C403" s="397" t="n"/>
      <c r="D403" s="397" t="n"/>
      <c r="E403" s="398" t="n"/>
      <c r="F403" s="399" t="n"/>
      <c r="G403" s="400" t="n"/>
      <c r="H403" s="401" t="n"/>
      <c r="I403" s="402" t="n"/>
      <c r="J403" s="403" t="inlineStr">
        <is>
          <t>Qs  =</t>
        </is>
      </c>
      <c r="K403" s="404" t="n">
        <v>2</v>
      </c>
      <c r="L403" s="404">
        <f>(D399+E399)*2*G399</f>
        <v/>
      </c>
      <c r="M403" s="404" t="n">
        <v>0.9</v>
      </c>
      <c r="N403" s="404" t="n">
        <v>0.67</v>
      </c>
      <c r="O403" s="381" t="n">
        <v>23</v>
      </c>
      <c r="P403" s="404" t="n">
        <v>1</v>
      </c>
      <c r="Q403" s="383">
        <f>K403*L403*M403*N403*O403*P403</f>
        <v/>
      </c>
    </row>
    <row r="404" ht="9.949999999999999" customHeight="1" s="244">
      <c r="A404" s="405" t="n"/>
      <c r="B404" s="406" t="n"/>
      <c r="C404" s="397" t="n"/>
      <c r="D404" s="397" t="n"/>
      <c r="E404" s="378" t="n"/>
      <c r="F404" s="256" t="n"/>
      <c r="G404" s="407" t="n"/>
      <c r="H404" s="397" t="n"/>
      <c r="I404" s="397" t="n"/>
      <c r="J404" s="397" t="n"/>
      <c r="K404" s="407" t="n"/>
      <c r="L404" s="408" t="n"/>
      <c r="M404" s="409" t="inlineStr">
        <is>
          <t xml:space="preserve">   TOPLAM ISI KAYBI =</t>
        </is>
      </c>
      <c r="N404" s="409" t="n"/>
      <c r="O404" s="410" t="n"/>
      <c r="P404" s="409" t="n"/>
      <c r="Q404" s="411">
        <f>Q401+Q403</f>
        <v/>
      </c>
    </row>
    <row r="405" ht="10.35" customHeight="1" s="244">
      <c r="A405" s="359" t="n"/>
      <c r="B405" s="360" t="n"/>
      <c r="C405" s="360" t="n"/>
      <c r="D405" s="360" t="n"/>
      <c r="E405" s="360" t="n"/>
      <c r="F405" s="361" t="inlineStr">
        <is>
          <t>2</t>
        </is>
      </c>
      <c r="G405" s="362" t="inlineStr">
        <is>
          <t>0</t>
        </is>
      </c>
      <c r="H405" s="360" t="inlineStr">
        <is>
          <t>2D2-02</t>
        </is>
      </c>
      <c r="I405" s="363" t="inlineStr">
        <is>
          <t>OFİS D2 GİRİŞ HOLÜ</t>
        </is>
      </c>
      <c r="J405" s="364" t="n"/>
      <c r="K405" s="360" t="inlineStr">
        <is>
          <t>20ºC</t>
        </is>
      </c>
      <c r="L405" s="360" t="n"/>
      <c r="M405" s="360" t="n"/>
      <c r="N405" s="360" t="n"/>
      <c r="O405" s="360" t="n"/>
      <c r="P405" s="360" t="n"/>
      <c r="Q405" s="365" t="n"/>
    </row>
    <row r="406" ht="9.949999999999999" customHeight="1" s="244">
      <c r="A406" s="366" t="inlineStr">
        <is>
          <t>İDM</t>
        </is>
      </c>
      <c r="B406" s="367" t="inlineStr"/>
      <c r="C406" s="368" t="n"/>
      <c r="D406" s="369" t="n">
        <v>2.98</v>
      </c>
      <c r="E406" s="369" t="n">
        <v>3</v>
      </c>
      <c r="F406" s="370">
        <f>IF(D406=0," ",D406*E406)</f>
        <v/>
      </c>
      <c r="G406" s="371" t="n">
        <v>1</v>
      </c>
      <c r="H406" s="372" t="n"/>
      <c r="I406" s="370">
        <f>IF(F406=" "," ",F406*G406-H406)</f>
        <v/>
      </c>
      <c r="J406" s="369" t="n">
        <v>0.332</v>
      </c>
      <c r="K406" s="371" t="n">
        <v>10</v>
      </c>
      <c r="L406" s="373">
        <f>IF(I406=" "," ",I406*J406*K406)</f>
        <v/>
      </c>
      <c r="M406" s="374" t="n">
        <v>7</v>
      </c>
      <c r="N406" s="371" t="n">
        <v>0</v>
      </c>
      <c r="O406" s="374" t="n">
        <v>0</v>
      </c>
      <c r="P406" s="370">
        <f>IF(M406=" "," ",(1+(M406+N406+O406)/100))</f>
        <v/>
      </c>
      <c r="Q406" s="375">
        <f>IF(L406=" "," ",L406*P406)</f>
        <v/>
      </c>
    </row>
    <row r="407" ht="9.949999999999999" customHeight="1" s="244">
      <c r="A407" s="366" t="inlineStr">
        <is>
          <t>İDM</t>
        </is>
      </c>
      <c r="B407" s="367" t="inlineStr"/>
      <c r="C407" s="368" t="n"/>
      <c r="D407" s="369" t="n">
        <v>0.22</v>
      </c>
      <c r="E407" s="369" t="n">
        <v>3</v>
      </c>
      <c r="F407" s="370">
        <f>IF(D407=0," ",D407*E407)</f>
        <v/>
      </c>
      <c r="G407" s="371" t="n">
        <v>1</v>
      </c>
      <c r="H407" s="372" t="n"/>
      <c r="I407" s="370">
        <f>IF(F407=" "," ",F407*G407-H407)</f>
        <v/>
      </c>
      <c r="J407" s="369" t="n">
        <v>0.332</v>
      </c>
      <c r="K407" s="371" t="n">
        <v>10</v>
      </c>
      <c r="L407" s="373">
        <f>IF(I407=" "," ",I407*J407*K407)</f>
        <v/>
      </c>
      <c r="M407" s="374" t="n">
        <v>7</v>
      </c>
      <c r="N407" s="371" t="n">
        <v>0</v>
      </c>
      <c r="O407" s="374" t="n">
        <v>0</v>
      </c>
      <c r="P407" s="370">
        <f>IF(M407=" "," ",(1+(M407+N407+O407)/100))</f>
        <v/>
      </c>
      <c r="Q407" s="375">
        <f>IF(L407=" "," ",L407*P407)</f>
        <v/>
      </c>
    </row>
    <row r="408" ht="9.949999999999999" customHeight="1" s="244">
      <c r="A408" s="366" t="inlineStr">
        <is>
          <t>Ta</t>
        </is>
      </c>
      <c r="B408" s="367" t="inlineStr"/>
      <c r="C408" s="368" t="n"/>
      <c r="D408" s="369" t="n">
        <v>13.14</v>
      </c>
      <c r="E408" s="369" t="n">
        <v>1</v>
      </c>
      <c r="F408" s="370">
        <f>IF(D408=0," ",D408*E408)</f>
        <v/>
      </c>
      <c r="G408" s="371" t="n">
        <v>1</v>
      </c>
      <c r="H408" s="372" t="n"/>
      <c r="I408" s="370">
        <f>IF(F408=" "," ",F408*G408-H408)</f>
        <v/>
      </c>
      <c r="J408" s="369" t="n">
        <v>0.266</v>
      </c>
      <c r="K408" s="371" t="n">
        <v>23</v>
      </c>
      <c r="L408" s="373">
        <f>IF(I408=" "," ",I408*J408*K408)</f>
        <v/>
      </c>
      <c r="M408" s="374" t="n">
        <v>7</v>
      </c>
      <c r="N408" s="371" t="n">
        <v>0</v>
      </c>
      <c r="O408" s="374" t="n">
        <v>0</v>
      </c>
      <c r="P408" s="370">
        <f>IF(M408=" "," ",(1+(M408+N408+O408)/100))</f>
        <v/>
      </c>
      <c r="Q408" s="375">
        <f>IF(L408=" "," ",L408*P408)</f>
        <v/>
      </c>
    </row>
    <row r="409" ht="9.949999999999999" customHeight="1" s="244">
      <c r="A409" s="376" t="n"/>
      <c r="B409" s="377" t="n"/>
      <c r="C409" s="377" t="n"/>
      <c r="D409" s="378" t="n"/>
      <c r="E409" s="378" t="n"/>
      <c r="F409" s="378" t="n"/>
      <c r="G409" s="379" t="n"/>
      <c r="H409" s="378" t="n"/>
      <c r="I409" s="378" t="n"/>
      <c r="J409" s="378" t="n"/>
      <c r="K409" s="379" t="n"/>
      <c r="L409" s="380" t="n"/>
      <c r="M409" s="381" t="n"/>
      <c r="N409" s="381" t="n"/>
      <c r="O409" s="381" t="n"/>
      <c r="P409" s="382" t="n"/>
      <c r="Q409" s="383">
        <f>SUM(Q406:Q408)</f>
        <v/>
      </c>
    </row>
    <row r="410" ht="9.949999999999999" customHeight="1" s="244">
      <c r="A410" s="384" t="n"/>
      <c r="B410" s="385" t="n"/>
      <c r="C410" s="385" t="n"/>
      <c r="D410" s="386" t="n"/>
      <c r="E410" s="387" t="n"/>
      <c r="F410" s="388" t="n"/>
      <c r="G410" s="389" t="n"/>
      <c r="H410" s="388" t="n"/>
      <c r="I410" s="390" t="n"/>
      <c r="J410" s="391" t="inlineStr">
        <is>
          <t>Qs=</t>
        </is>
      </c>
      <c r="K410" s="390" t="inlineStr">
        <is>
          <t>S a</t>
        </is>
      </c>
      <c r="L410" s="388" t="inlineStr">
        <is>
          <t>L</t>
        </is>
      </c>
      <c r="M410" s="389" t="inlineStr">
        <is>
          <t>R</t>
        </is>
      </c>
      <c r="N410" s="392" t="inlineStr">
        <is>
          <t>H</t>
        </is>
      </c>
      <c r="O410" s="393" t="inlineStr">
        <is>
          <t>D  T</t>
        </is>
      </c>
      <c r="P410" s="389" t="inlineStr">
        <is>
          <t>Ze</t>
        </is>
      </c>
      <c r="Q410" s="394" t="n"/>
    </row>
    <row r="411" ht="9.949999999999999" customHeight="1" s="244">
      <c r="A411" s="395" t="inlineStr">
        <is>
          <t xml:space="preserve"> </t>
        </is>
      </c>
      <c r="C411" s="397" t="n"/>
      <c r="D411" s="397" t="n"/>
      <c r="E411" s="398" t="n"/>
      <c r="F411" s="399" t="n"/>
      <c r="G411" s="400" t="n"/>
      <c r="H411" s="401" t="n"/>
      <c r="I411" s="402" t="n"/>
      <c r="J411" s="403" t="inlineStr">
        <is>
          <t>Qs  =</t>
        </is>
      </c>
      <c r="K411" s="404" t="n">
        <v>2</v>
      </c>
      <c r="L411" s="404" t="n">
        <v>0</v>
      </c>
      <c r="M411" s="404" t="n">
        <v>0.9</v>
      </c>
      <c r="N411" s="404" t="n">
        <v>0.67</v>
      </c>
      <c r="O411" s="381" t="n">
        <v>23</v>
      </c>
      <c r="P411" s="404" t="n">
        <v>1</v>
      </c>
      <c r="Q411" s="383">
        <f>K411*L411*M411*N411*O411*P411</f>
        <v/>
      </c>
    </row>
    <row r="412" ht="9.949999999999999" customHeight="1" s="244">
      <c r="A412" s="405" t="n"/>
      <c r="B412" s="406" t="n"/>
      <c r="C412" s="397" t="n"/>
      <c r="D412" s="397" t="n"/>
      <c r="E412" s="378" t="n"/>
      <c r="F412" s="256" t="n"/>
      <c r="G412" s="407" t="n"/>
      <c r="H412" s="397" t="n"/>
      <c r="I412" s="397" t="n"/>
      <c r="J412" s="397" t="n"/>
      <c r="K412" s="407" t="n"/>
      <c r="L412" s="408" t="n"/>
      <c r="M412" s="409" t="inlineStr">
        <is>
          <t xml:space="preserve">   TOPLAM ISI KAYBI =</t>
        </is>
      </c>
      <c r="N412" s="409" t="n"/>
      <c r="O412" s="410" t="n"/>
      <c r="P412" s="409" t="n"/>
      <c r="Q412" s="411">
        <f>Q409+Q411</f>
        <v/>
      </c>
    </row>
    <row r="413" ht="10.35" customHeight="1" s="244">
      <c r="A413" s="359" t="n"/>
      <c r="B413" s="360" t="n"/>
      <c r="C413" s="360" t="n"/>
      <c r="D413" s="360" t="n"/>
      <c r="E413" s="360" t="n"/>
      <c r="F413" s="361" t="inlineStr">
        <is>
          <t>2</t>
        </is>
      </c>
      <c r="G413" s="362" t="inlineStr">
        <is>
          <t>0</t>
        </is>
      </c>
      <c r="H413" s="360" t="inlineStr">
        <is>
          <t>2D2-03</t>
        </is>
      </c>
      <c r="I413" s="363" t="inlineStr">
        <is>
          <t>OFİS D2 MUTFAK</t>
        </is>
      </c>
      <c r="J413" s="364" t="n"/>
      <c r="K413" s="360" t="inlineStr">
        <is>
          <t>20ºC</t>
        </is>
      </c>
      <c r="L413" s="360" t="n"/>
      <c r="M413" s="360" t="n"/>
      <c r="N413" s="360" t="n"/>
      <c r="O413" s="360" t="n"/>
      <c r="P413" s="360" t="n"/>
      <c r="Q413" s="365" t="n"/>
    </row>
    <row r="414" ht="9.949999999999999" customHeight="1" s="244">
      <c r="A414" s="366" t="inlineStr">
        <is>
          <t>Ta</t>
        </is>
      </c>
      <c r="B414" s="367" t="inlineStr"/>
      <c r="C414" s="368" t="n"/>
      <c r="D414" s="369" t="n">
        <v>5</v>
      </c>
      <c r="E414" s="369" t="n">
        <v>1</v>
      </c>
      <c r="F414" s="370">
        <f>IF(D414=0," ",D414*E414)</f>
        <v/>
      </c>
      <c r="G414" s="371" t="n">
        <v>1</v>
      </c>
      <c r="H414" s="372" t="n"/>
      <c r="I414" s="370">
        <f>IF(F414=" "," ",F414*G414-H414)</f>
        <v/>
      </c>
      <c r="J414" s="369" t="n">
        <v>0.266</v>
      </c>
      <c r="K414" s="371" t="n">
        <v>23</v>
      </c>
      <c r="L414" s="373">
        <f>IF(I414=" "," ",I414*J414*K414)</f>
        <v/>
      </c>
      <c r="M414" s="374" t="n">
        <v>7</v>
      </c>
      <c r="N414" s="371" t="n">
        <v>0</v>
      </c>
      <c r="O414" s="374" t="n">
        <v>0</v>
      </c>
      <c r="P414" s="370">
        <f>IF(M414=" "," ",(1+(M414+N414+O414)/100))</f>
        <v/>
      </c>
      <c r="Q414" s="375">
        <f>IF(L414=" "," ",L414*P414)</f>
        <v/>
      </c>
    </row>
    <row r="415" ht="9.949999999999999" customHeight="1" s="244">
      <c r="A415" s="376" t="n"/>
      <c r="B415" s="377" t="n"/>
      <c r="C415" s="377" t="n"/>
      <c r="D415" s="378" t="n"/>
      <c r="E415" s="378" t="n"/>
      <c r="F415" s="378" t="n"/>
      <c r="G415" s="379" t="n"/>
      <c r="H415" s="378" t="n"/>
      <c r="I415" s="378" t="n"/>
      <c r="J415" s="378" t="n"/>
      <c r="K415" s="379" t="n"/>
      <c r="L415" s="380" t="n"/>
      <c r="M415" s="381" t="n"/>
      <c r="N415" s="381" t="n"/>
      <c r="O415" s="381" t="n"/>
      <c r="P415" s="382" t="n"/>
      <c r="Q415" s="383">
        <f>SUM(Q414:Q414)</f>
        <v/>
      </c>
    </row>
    <row r="416" ht="9.949999999999999" customHeight="1" s="244">
      <c r="A416" s="384" t="n"/>
      <c r="B416" s="385" t="n"/>
      <c r="C416" s="385" t="n"/>
      <c r="D416" s="386" t="n"/>
      <c r="E416" s="387" t="n"/>
      <c r="F416" s="388" t="n"/>
      <c r="G416" s="389" t="n"/>
      <c r="H416" s="388" t="n"/>
      <c r="I416" s="390" t="n"/>
      <c r="J416" s="391" t="inlineStr">
        <is>
          <t>Qs=</t>
        </is>
      </c>
      <c r="K416" s="390" t="inlineStr">
        <is>
          <t>S a</t>
        </is>
      </c>
      <c r="L416" s="388" t="inlineStr">
        <is>
          <t>L</t>
        </is>
      </c>
      <c r="M416" s="389" t="inlineStr">
        <is>
          <t>R</t>
        </is>
      </c>
      <c r="N416" s="392" t="inlineStr">
        <is>
          <t>H</t>
        </is>
      </c>
      <c r="O416" s="393" t="inlineStr">
        <is>
          <t>D  T</t>
        </is>
      </c>
      <c r="P416" s="389" t="inlineStr">
        <is>
          <t>Ze</t>
        </is>
      </c>
      <c r="Q416" s="394" t="n"/>
    </row>
    <row r="417" ht="9.949999999999999" customHeight="1" s="244">
      <c r="A417" s="395" t="inlineStr">
        <is>
          <t xml:space="preserve"> </t>
        </is>
      </c>
      <c r="C417" s="397" t="n"/>
      <c r="D417" s="397" t="n"/>
      <c r="E417" s="398" t="n"/>
      <c r="F417" s="399" t="n"/>
      <c r="G417" s="400" t="n"/>
      <c r="H417" s="401" t="n"/>
      <c r="I417" s="402" t="n"/>
      <c r="J417" s="403" t="inlineStr">
        <is>
          <t>Qs  =</t>
        </is>
      </c>
      <c r="K417" s="404" t="n">
        <v>2</v>
      </c>
      <c r="L417" s="404" t="n">
        <v>0</v>
      </c>
      <c r="M417" s="404" t="n">
        <v>0.9</v>
      </c>
      <c r="N417" s="404" t="n">
        <v>0.67</v>
      </c>
      <c r="O417" s="381" t="n">
        <v>23</v>
      </c>
      <c r="P417" s="404" t="n">
        <v>1</v>
      </c>
      <c r="Q417" s="383">
        <f>K417*L417*M417*N417*O417*P417</f>
        <v/>
      </c>
    </row>
    <row r="418" ht="9.949999999999999" customHeight="1" s="244">
      <c r="A418" s="405" t="n"/>
      <c r="B418" s="406" t="n"/>
      <c r="C418" s="397" t="n"/>
      <c r="D418" s="397" t="n"/>
      <c r="E418" s="378" t="n"/>
      <c r="F418" s="256" t="n"/>
      <c r="G418" s="407" t="n"/>
      <c r="H418" s="397" t="n"/>
      <c r="I418" s="397" t="n"/>
      <c r="J418" s="397" t="n"/>
      <c r="K418" s="407" t="n"/>
      <c r="L418" s="408" t="n"/>
      <c r="M418" s="409" t="inlineStr">
        <is>
          <t xml:space="preserve">   TOPLAM ISI KAYBI =</t>
        </is>
      </c>
      <c r="N418" s="409" t="n"/>
      <c r="O418" s="410" t="n"/>
      <c r="P418" s="409" t="n"/>
      <c r="Q418" s="411">
        <f>Q415+Q417</f>
        <v/>
      </c>
    </row>
    <row r="419" ht="10.35" customHeight="1" s="244">
      <c r="A419" s="359" t="n"/>
      <c r="B419" s="360" t="n"/>
      <c r="C419" s="360" t="n"/>
      <c r="D419" s="360" t="n"/>
      <c r="E419" s="360" t="n"/>
      <c r="F419" s="361" t="inlineStr">
        <is>
          <t>2</t>
        </is>
      </c>
      <c r="G419" s="362" t="inlineStr">
        <is>
          <t>0</t>
        </is>
      </c>
      <c r="H419" s="360" t="inlineStr">
        <is>
          <t>2D2-04</t>
        </is>
      </c>
      <c r="I419" s="363" t="inlineStr">
        <is>
          <t>OFİS D2 BANYO</t>
        </is>
      </c>
      <c r="J419" s="364" t="n"/>
      <c r="K419" s="360" t="inlineStr">
        <is>
          <t>24ºC</t>
        </is>
      </c>
      <c r="L419" s="360" t="n"/>
      <c r="M419" s="360" t="n"/>
      <c r="N419" s="360" t="n"/>
      <c r="O419" s="360" t="n"/>
      <c r="P419" s="360" t="n"/>
      <c r="Q419" s="365" t="n"/>
    </row>
    <row r="420" ht="9.949999999999999" customHeight="1" s="244">
      <c r="A420" s="366" t="inlineStr">
        <is>
          <t>İDM</t>
        </is>
      </c>
      <c r="B420" s="367" t="inlineStr"/>
      <c r="C420" s="368" t="n"/>
      <c r="D420" s="369" t="n">
        <v>0.29</v>
      </c>
      <c r="E420" s="369" t="n">
        <v>3</v>
      </c>
      <c r="F420" s="370">
        <f>IF(D420=0," ",D420*E420)</f>
        <v/>
      </c>
      <c r="G420" s="371" t="n">
        <v>1</v>
      </c>
      <c r="H420" s="372" t="n"/>
      <c r="I420" s="370">
        <f>IF(F420=" "," ",F420*G420-H420)</f>
        <v/>
      </c>
      <c r="J420" s="369" t="n">
        <v>0.332</v>
      </c>
      <c r="K420" s="371" t="n">
        <v>14</v>
      </c>
      <c r="L420" s="373">
        <f>IF(I420=" "," ",I420*J420*K420)</f>
        <v/>
      </c>
      <c r="M420" s="374" t="n">
        <v>7</v>
      </c>
      <c r="N420" s="371" t="n">
        <v>0</v>
      </c>
      <c r="O420" s="374" t="n">
        <v>0</v>
      </c>
      <c r="P420" s="370">
        <f>IF(M420=" "," ",(1+(M420+N420+O420)/100))</f>
        <v/>
      </c>
      <c r="Q420" s="375">
        <f>IF(L420=" "," ",L420*P420)</f>
        <v/>
      </c>
    </row>
    <row r="421" ht="9.949999999999999" customHeight="1" s="244">
      <c r="A421" s="366" t="inlineStr">
        <is>
          <t>Ta</t>
        </is>
      </c>
      <c r="B421" s="367" t="inlineStr"/>
      <c r="C421" s="368" t="n"/>
      <c r="D421" s="369" t="n">
        <v>3.2</v>
      </c>
      <c r="E421" s="369" t="n">
        <v>1</v>
      </c>
      <c r="F421" s="370">
        <f>IF(D421=0," ",D421*E421)</f>
        <v/>
      </c>
      <c r="G421" s="371" t="n">
        <v>1</v>
      </c>
      <c r="H421" s="372" t="n"/>
      <c r="I421" s="370">
        <f>IF(F421=" "," ",F421*G421-H421)</f>
        <v/>
      </c>
      <c r="J421" s="369" t="n">
        <v>0.266</v>
      </c>
      <c r="K421" s="371" t="n">
        <v>27</v>
      </c>
      <c r="L421" s="373">
        <f>IF(I421=" "," ",I421*J421*K421)</f>
        <v/>
      </c>
      <c r="M421" s="374" t="n">
        <v>7</v>
      </c>
      <c r="N421" s="371" t="n">
        <v>0</v>
      </c>
      <c r="O421" s="374" t="n">
        <v>0</v>
      </c>
      <c r="P421" s="370">
        <f>IF(M421=" "," ",(1+(M421+N421+O421)/100))</f>
        <v/>
      </c>
      <c r="Q421" s="375">
        <f>IF(L421=" "," ",L421*P421)</f>
        <v/>
      </c>
    </row>
    <row r="422" ht="9.949999999999999" customHeight="1" s="244">
      <c r="A422" s="376" t="n"/>
      <c r="B422" s="377" t="n"/>
      <c r="C422" s="377" t="n"/>
      <c r="D422" s="378" t="n"/>
      <c r="E422" s="378" t="n"/>
      <c r="F422" s="378" t="n"/>
      <c r="G422" s="379" t="n"/>
      <c r="H422" s="378" t="n"/>
      <c r="I422" s="378" t="n"/>
      <c r="J422" s="378" t="n"/>
      <c r="K422" s="379" t="n"/>
      <c r="L422" s="380" t="n"/>
      <c r="M422" s="381" t="n"/>
      <c r="N422" s="381" t="n"/>
      <c r="O422" s="381" t="n"/>
      <c r="P422" s="382" t="n"/>
      <c r="Q422" s="383">
        <f>SUM(Q420:Q421)</f>
        <v/>
      </c>
    </row>
    <row r="423" ht="9.949999999999999" customHeight="1" s="244">
      <c r="A423" s="384" t="n"/>
      <c r="B423" s="385" t="n"/>
      <c r="C423" s="385" t="n"/>
      <c r="D423" s="386" t="n"/>
      <c r="E423" s="387" t="n"/>
      <c r="F423" s="388" t="n"/>
      <c r="G423" s="389" t="n"/>
      <c r="H423" s="388" t="n"/>
      <c r="I423" s="390" t="n"/>
      <c r="J423" s="391" t="inlineStr">
        <is>
          <t>Qs=</t>
        </is>
      </c>
      <c r="K423" s="390" t="inlineStr">
        <is>
          <t>S a</t>
        </is>
      </c>
      <c r="L423" s="388" t="inlineStr">
        <is>
          <t>L</t>
        </is>
      </c>
      <c r="M423" s="389" t="inlineStr">
        <is>
          <t>R</t>
        </is>
      </c>
      <c r="N423" s="392" t="inlineStr">
        <is>
          <t>H</t>
        </is>
      </c>
      <c r="O423" s="393" t="inlineStr">
        <is>
          <t>D  T</t>
        </is>
      </c>
      <c r="P423" s="389" t="inlineStr">
        <is>
          <t>Ze</t>
        </is>
      </c>
      <c r="Q423" s="394" t="n"/>
    </row>
    <row r="424" ht="9.949999999999999" customHeight="1" s="244">
      <c r="A424" s="395" t="inlineStr">
        <is>
          <t xml:space="preserve"> </t>
        </is>
      </c>
      <c r="C424" s="397" t="n"/>
      <c r="D424" s="397" t="n"/>
      <c r="E424" s="398" t="n"/>
      <c r="F424" s="399" t="n"/>
      <c r="G424" s="400" t="n"/>
      <c r="H424" s="401" t="n"/>
      <c r="I424" s="402" t="n"/>
      <c r="J424" s="403" t="inlineStr">
        <is>
          <t>Qs  =</t>
        </is>
      </c>
      <c r="K424" s="404" t="n">
        <v>2</v>
      </c>
      <c r="L424" s="404" t="n">
        <v>0</v>
      </c>
      <c r="M424" s="404" t="n">
        <v>0.9</v>
      </c>
      <c r="N424" s="404" t="n">
        <v>0.67</v>
      </c>
      <c r="O424" s="381" t="n">
        <v>27</v>
      </c>
      <c r="P424" s="404" t="n">
        <v>1</v>
      </c>
      <c r="Q424" s="383">
        <f>K424*L424*M424*N424*O424*P424</f>
        <v/>
      </c>
    </row>
    <row r="425" ht="9.949999999999999" customHeight="1" s="244">
      <c r="A425" s="405" t="n"/>
      <c r="B425" s="406" t="n"/>
      <c r="C425" s="397" t="n"/>
      <c r="D425" s="397" t="n"/>
      <c r="E425" s="378" t="n"/>
      <c r="F425" s="256" t="n"/>
      <c r="G425" s="407" t="n"/>
      <c r="H425" s="397" t="n"/>
      <c r="I425" s="397" t="n"/>
      <c r="J425" s="397" t="n"/>
      <c r="K425" s="407" t="n"/>
      <c r="L425" s="408" t="n"/>
      <c r="M425" s="409" t="inlineStr">
        <is>
          <t xml:space="preserve">   TOPLAM ISI KAYBI =</t>
        </is>
      </c>
      <c r="N425" s="409" t="n"/>
      <c r="O425" s="410" t="n"/>
      <c r="P425" s="409" t="n"/>
      <c r="Q425" s="411">
        <f>Q422+Q424</f>
        <v/>
      </c>
    </row>
    <row r="426" ht="10.35" customHeight="1" s="244">
      <c r="A426" s="359" t="n"/>
      <c r="B426" s="360" t="n"/>
      <c r="C426" s="360" t="n"/>
      <c r="D426" s="360" t="n"/>
      <c r="E426" s="360" t="n"/>
      <c r="F426" s="361" t="inlineStr">
        <is>
          <t>2</t>
        </is>
      </c>
      <c r="G426" s="362" t="inlineStr">
        <is>
          <t>0</t>
        </is>
      </c>
      <c r="H426" s="360" t="inlineStr">
        <is>
          <t>2D3-01</t>
        </is>
      </c>
      <c r="I426" s="363" t="inlineStr">
        <is>
          <t>OFİS D3 ODA</t>
        </is>
      </c>
      <c r="J426" s="364" t="n"/>
      <c r="K426" s="360" t="inlineStr">
        <is>
          <t>20ºC</t>
        </is>
      </c>
      <c r="L426" s="360" t="n"/>
      <c r="M426" s="360" t="n"/>
      <c r="N426" s="360" t="n"/>
      <c r="O426" s="360" t="n"/>
      <c r="P426" s="360" t="n"/>
      <c r="Q426" s="365" t="n"/>
    </row>
    <row r="427" ht="9.949999999999999" customHeight="1" s="244">
      <c r="A427" s="366" t="inlineStr">
        <is>
          <t>DD</t>
        </is>
      </c>
      <c r="B427" s="367" t="inlineStr">
        <is>
          <t>G</t>
        </is>
      </c>
      <c r="C427" s="368" t="n"/>
      <c r="D427" s="369" t="n">
        <v>3.58</v>
      </c>
      <c r="E427" s="369" t="n">
        <v>2.5</v>
      </c>
      <c r="F427" s="370">
        <f>IF(D427=0," ",D427*E427)</f>
        <v/>
      </c>
      <c r="G427" s="371" t="n">
        <v>1</v>
      </c>
      <c r="H427" s="372">
        <f>F429*G429</f>
        <v/>
      </c>
      <c r="I427" s="370">
        <f>IF(F427=" "," ",F427*G427-H427)</f>
        <v/>
      </c>
      <c r="J427" s="369" t="n">
        <v>0.344</v>
      </c>
      <c r="K427" s="371" t="n">
        <v>23</v>
      </c>
      <c r="L427" s="373">
        <f>IF(I427=" "," ",I427*J427*K427)</f>
        <v/>
      </c>
      <c r="M427" s="374" t="n">
        <v>7</v>
      </c>
      <c r="N427" s="371" t="n">
        <v>0</v>
      </c>
      <c r="O427" s="374" t="n">
        <v>-5</v>
      </c>
      <c r="P427" s="370">
        <f>IF(M427=" "," ",(1+(M427+N427+O427)/100))</f>
        <v/>
      </c>
      <c r="Q427" s="375">
        <f>IF(L427=" "," ",L427*P427)</f>
        <v/>
      </c>
    </row>
    <row r="428" ht="9.949999999999999" customHeight="1" s="244">
      <c r="A428" s="366" t="inlineStr">
        <is>
          <t>DD25</t>
        </is>
      </c>
      <c r="B428" s="367" t="inlineStr">
        <is>
          <t>G</t>
        </is>
      </c>
      <c r="C428" s="368" t="n"/>
      <c r="D428" s="369">
        <f>D427</f>
        <v/>
      </c>
      <c r="E428" s="369" t="n">
        <v>0.5</v>
      </c>
      <c r="F428" s="370">
        <f>IF(D428=0," ",D428*E428)</f>
        <v/>
      </c>
      <c r="G428" s="371" t="n">
        <v>1</v>
      </c>
      <c r="H428" s="372" t="n"/>
      <c r="I428" s="370">
        <f>IF(F428=" "," ",F428*G428-H428)</f>
        <v/>
      </c>
      <c r="J428" s="369" t="n">
        <v>0.387</v>
      </c>
      <c r="K428" s="371" t="n">
        <v>23</v>
      </c>
      <c r="L428" s="373">
        <f>IF(I428=" "," ",I428*J428*K428)</f>
        <v/>
      </c>
      <c r="M428" s="374" t="n">
        <v>7</v>
      </c>
      <c r="N428" s="371" t="n">
        <v>0</v>
      </c>
      <c r="O428" s="374" t="n">
        <v>-5</v>
      </c>
      <c r="P428" s="370">
        <f>IF(M428=" "," ",(1+(M428+N428+O428)/100))</f>
        <v/>
      </c>
      <c r="Q428" s="375">
        <f>IF(L428=" "," ",L428*P428)</f>
        <v/>
      </c>
    </row>
    <row r="429" ht="9.949999999999999" customHeight="1" s="244">
      <c r="A429" s="366" t="inlineStr">
        <is>
          <t>ÇP</t>
        </is>
      </c>
      <c r="B429" s="367" t="inlineStr">
        <is>
          <t>G</t>
        </is>
      </c>
      <c r="C429" s="368" t="n"/>
      <c r="D429" s="369" t="n">
        <v>1.97</v>
      </c>
      <c r="E429" s="369" t="n">
        <v>1.5</v>
      </c>
      <c r="F429" s="370">
        <f>IF(D429=0," ",D429*E429)</f>
        <v/>
      </c>
      <c r="G429" s="371" t="n">
        <v>1</v>
      </c>
      <c r="H429" s="372" t="n"/>
      <c r="I429" s="370">
        <f>IF(F429=" "," ",F429*G429-H429)</f>
        <v/>
      </c>
      <c r="J429" s="369" t="n">
        <v>1.8</v>
      </c>
      <c r="K429" s="371" t="n">
        <v>23</v>
      </c>
      <c r="L429" s="373">
        <f>IF(I429=" "," ",I429*J429*K429)</f>
        <v/>
      </c>
      <c r="M429" s="374" t="n">
        <v>7</v>
      </c>
      <c r="N429" s="371" t="n">
        <v>0</v>
      </c>
      <c r="O429" s="374" t="n">
        <v>-5</v>
      </c>
      <c r="P429" s="370">
        <f>IF(M429=" "," ",(1+(M429+N429+O429)/100))</f>
        <v/>
      </c>
      <c r="Q429" s="375">
        <f>IF(L429=" "," ",L429*P429)</f>
        <v/>
      </c>
    </row>
    <row r="430" ht="9.949999999999999" customHeight="1" s="244">
      <c r="A430" s="366" t="inlineStr">
        <is>
          <t>İDM</t>
        </is>
      </c>
      <c r="B430" s="367" t="inlineStr"/>
      <c r="C430" s="368" t="n"/>
      <c r="D430" s="369" t="n">
        <v>2.69</v>
      </c>
      <c r="E430" s="369" t="n">
        <v>3</v>
      </c>
      <c r="F430" s="370">
        <f>IF(D430=0," ",D430*E430)</f>
        <v/>
      </c>
      <c r="G430" s="371" t="n">
        <v>1</v>
      </c>
      <c r="H430" s="372" t="n"/>
      <c r="I430" s="370">
        <f>IF(F430=" "," ",F430*G430-H430)</f>
        <v/>
      </c>
      <c r="J430" s="369" t="n">
        <v>0.332</v>
      </c>
      <c r="K430" s="371" t="n">
        <v>5</v>
      </c>
      <c r="L430" s="373">
        <f>IF(I430=" "," ",I430*J430*K430)</f>
        <v/>
      </c>
      <c r="M430" s="374" t="n">
        <v>7</v>
      </c>
      <c r="N430" s="371" t="n">
        <v>0</v>
      </c>
      <c r="O430" s="374" t="n">
        <v>0</v>
      </c>
      <c r="P430" s="370">
        <f>IF(M430=" "," ",(1+(M430+N430+O430)/100))</f>
        <v/>
      </c>
      <c r="Q430" s="375">
        <f>IF(L430=" "," ",L430*P430)</f>
        <v/>
      </c>
    </row>
    <row r="431" ht="9.949999999999999" customHeight="1" s="244">
      <c r="A431" s="366" t="inlineStr">
        <is>
          <t>Ta</t>
        </is>
      </c>
      <c r="B431" s="367" t="inlineStr"/>
      <c r="C431" s="368" t="n"/>
      <c r="D431" s="369" t="n">
        <v>16.5</v>
      </c>
      <c r="E431" s="369" t="n">
        <v>1</v>
      </c>
      <c r="F431" s="370">
        <f>IF(D431=0," ",D431*E431)</f>
        <v/>
      </c>
      <c r="G431" s="371" t="n">
        <v>1</v>
      </c>
      <c r="H431" s="372" t="n"/>
      <c r="I431" s="370">
        <f>IF(F431=" "," ",F431*G431-H431)</f>
        <v/>
      </c>
      <c r="J431" s="369" t="n">
        <v>0.266</v>
      </c>
      <c r="K431" s="371" t="n">
        <v>23</v>
      </c>
      <c r="L431" s="373">
        <f>IF(I431=" "," ",I431*J431*K431)</f>
        <v/>
      </c>
      <c r="M431" s="374" t="n">
        <v>7</v>
      </c>
      <c r="N431" s="371" t="n">
        <v>0</v>
      </c>
      <c r="O431" s="374" t="n">
        <v>0</v>
      </c>
      <c r="P431" s="370">
        <f>IF(M431=" "," ",(1+(M431+N431+O431)/100))</f>
        <v/>
      </c>
      <c r="Q431" s="375">
        <f>IF(L431=" "," ",L431*P431)</f>
        <v/>
      </c>
    </row>
    <row r="432" ht="9.949999999999999" customHeight="1" s="244">
      <c r="A432" s="376" t="n"/>
      <c r="B432" s="377" t="n"/>
      <c r="C432" s="377" t="n"/>
      <c r="D432" s="378" t="n"/>
      <c r="E432" s="378" t="n"/>
      <c r="F432" s="378" t="n"/>
      <c r="G432" s="379" t="n"/>
      <c r="H432" s="378" t="n"/>
      <c r="I432" s="378" t="n"/>
      <c r="J432" s="378" t="n"/>
      <c r="K432" s="379" t="n"/>
      <c r="L432" s="380" t="n"/>
      <c r="M432" s="381" t="n"/>
      <c r="N432" s="381" t="n"/>
      <c r="O432" s="381" t="n"/>
      <c r="P432" s="382" t="n"/>
      <c r="Q432" s="383">
        <f>SUM(Q427:Q431)</f>
        <v/>
      </c>
    </row>
    <row r="433" ht="9.949999999999999" customHeight="1" s="244">
      <c r="A433" s="384" t="n"/>
      <c r="B433" s="385" t="n"/>
      <c r="C433" s="385" t="n"/>
      <c r="D433" s="386" t="n"/>
      <c r="E433" s="387" t="n"/>
      <c r="F433" s="388" t="n"/>
      <c r="G433" s="389" t="n"/>
      <c r="H433" s="388" t="n"/>
      <c r="I433" s="390" t="n"/>
      <c r="J433" s="391" t="inlineStr">
        <is>
          <t>Qs=</t>
        </is>
      </c>
      <c r="K433" s="390" t="inlineStr">
        <is>
          <t>S a</t>
        </is>
      </c>
      <c r="L433" s="388" t="inlineStr">
        <is>
          <t>L</t>
        </is>
      </c>
      <c r="M433" s="389" t="inlineStr">
        <is>
          <t>R</t>
        </is>
      </c>
      <c r="N433" s="392" t="inlineStr">
        <is>
          <t>H</t>
        </is>
      </c>
      <c r="O433" s="393" t="inlineStr">
        <is>
          <t>D  T</t>
        </is>
      </c>
      <c r="P433" s="389" t="inlineStr">
        <is>
          <t>Ze</t>
        </is>
      </c>
      <c r="Q433" s="394" t="n"/>
    </row>
    <row r="434" ht="9.949999999999999" customHeight="1" s="244">
      <c r="A434" s="395" t="inlineStr">
        <is>
          <t xml:space="preserve"> </t>
        </is>
      </c>
      <c r="C434" s="397" t="n"/>
      <c r="D434" s="397" t="n"/>
      <c r="E434" s="398" t="n"/>
      <c r="F434" s="399" t="n"/>
      <c r="G434" s="400" t="n"/>
      <c r="H434" s="401" t="n"/>
      <c r="I434" s="402" t="n"/>
      <c r="J434" s="403" t="inlineStr">
        <is>
          <t>Qs  =</t>
        </is>
      </c>
      <c r="K434" s="404" t="n">
        <v>2</v>
      </c>
      <c r="L434" s="404">
        <f>(D429+E429)*2*G429</f>
        <v/>
      </c>
      <c r="M434" s="404" t="n">
        <v>0.9</v>
      </c>
      <c r="N434" s="404" t="n">
        <v>0.67</v>
      </c>
      <c r="O434" s="381" t="n">
        <v>23</v>
      </c>
      <c r="P434" s="404" t="n">
        <v>1</v>
      </c>
      <c r="Q434" s="383">
        <f>K434*L434*M434*N434*O434*P434</f>
        <v/>
      </c>
    </row>
    <row r="435" ht="9.949999999999999" customHeight="1" s="244">
      <c r="A435" s="405" t="n"/>
      <c r="B435" s="406" t="n"/>
      <c r="C435" s="397" t="n"/>
      <c r="D435" s="397" t="n"/>
      <c r="E435" s="378" t="n"/>
      <c r="F435" s="256" t="n"/>
      <c r="G435" s="407" t="n"/>
      <c r="H435" s="397" t="n"/>
      <c r="I435" s="397" t="n"/>
      <c r="J435" s="397" t="n"/>
      <c r="K435" s="407" t="n"/>
      <c r="L435" s="408" t="n"/>
      <c r="M435" s="409" t="inlineStr">
        <is>
          <t xml:space="preserve">   TOPLAM ISI KAYBI =</t>
        </is>
      </c>
      <c r="N435" s="409" t="n"/>
      <c r="O435" s="410" t="n"/>
      <c r="P435" s="409" t="n"/>
      <c r="Q435" s="411">
        <f>Q432+Q434</f>
        <v/>
      </c>
    </row>
    <row r="436" ht="10.35" customHeight="1" s="244">
      <c r="A436" s="359" t="n"/>
      <c r="B436" s="360" t="n"/>
      <c r="C436" s="360" t="n"/>
      <c r="D436" s="360" t="n"/>
      <c r="E436" s="360" t="n"/>
      <c r="F436" s="361" t="inlineStr">
        <is>
          <t>2</t>
        </is>
      </c>
      <c r="G436" s="362" t="inlineStr">
        <is>
          <t>0</t>
        </is>
      </c>
      <c r="H436" s="360" t="inlineStr">
        <is>
          <t>2D3-02</t>
        </is>
      </c>
      <c r="I436" s="363" t="inlineStr">
        <is>
          <t>OFİS D3 MUTFAK</t>
        </is>
      </c>
      <c r="J436" s="364" t="n"/>
      <c r="K436" s="360" t="inlineStr">
        <is>
          <t>20ºC</t>
        </is>
      </c>
      <c r="L436" s="360" t="n"/>
      <c r="M436" s="360" t="n"/>
      <c r="N436" s="360" t="n"/>
      <c r="O436" s="360" t="n"/>
      <c r="P436" s="360" t="n"/>
      <c r="Q436" s="365" t="n"/>
    </row>
    <row r="437" ht="9.949999999999999" customHeight="1" s="244">
      <c r="A437" s="366" t="inlineStr">
        <is>
          <t>Ta</t>
        </is>
      </c>
      <c r="B437" s="367" t="inlineStr"/>
      <c r="C437" s="368" t="n"/>
      <c r="D437" s="369" t="n">
        <v>5</v>
      </c>
      <c r="E437" s="369" t="n">
        <v>1</v>
      </c>
      <c r="F437" s="370">
        <f>IF(D437=0," ",D437*E437)</f>
        <v/>
      </c>
      <c r="G437" s="371" t="n">
        <v>1</v>
      </c>
      <c r="H437" s="372" t="n"/>
      <c r="I437" s="370">
        <f>IF(F437=" "," ",F437*G437-H437)</f>
        <v/>
      </c>
      <c r="J437" s="369" t="n">
        <v>0.266</v>
      </c>
      <c r="K437" s="371" t="n">
        <v>23</v>
      </c>
      <c r="L437" s="373">
        <f>IF(I437=" "," ",I437*J437*K437)</f>
        <v/>
      </c>
      <c r="M437" s="374" t="n">
        <v>7</v>
      </c>
      <c r="N437" s="371" t="n">
        <v>0</v>
      </c>
      <c r="O437" s="374" t="n">
        <v>0</v>
      </c>
      <c r="P437" s="370">
        <f>IF(M437=" "," ",(1+(M437+N437+O437)/100))</f>
        <v/>
      </c>
      <c r="Q437" s="375">
        <f>IF(L437=" "," ",L437*P437)</f>
        <v/>
      </c>
    </row>
    <row r="438" ht="9.949999999999999" customHeight="1" s="244">
      <c r="A438" s="376" t="n"/>
      <c r="B438" s="377" t="n"/>
      <c r="C438" s="377" t="n"/>
      <c r="D438" s="378" t="n"/>
      <c r="E438" s="378" t="n"/>
      <c r="F438" s="378" t="n"/>
      <c r="G438" s="379" t="n"/>
      <c r="H438" s="378" t="n"/>
      <c r="I438" s="378" t="n"/>
      <c r="J438" s="378" t="n"/>
      <c r="K438" s="379" t="n"/>
      <c r="L438" s="380" t="n"/>
      <c r="M438" s="381" t="n"/>
      <c r="N438" s="381" t="n"/>
      <c r="O438" s="381" t="n"/>
      <c r="P438" s="382" t="n"/>
      <c r="Q438" s="383">
        <f>SUM(Q437:Q437)</f>
        <v/>
      </c>
    </row>
    <row r="439" ht="9.949999999999999" customHeight="1" s="244">
      <c r="A439" s="384" t="n"/>
      <c r="B439" s="385" t="n"/>
      <c r="C439" s="385" t="n"/>
      <c r="D439" s="386" t="n"/>
      <c r="E439" s="387" t="n"/>
      <c r="F439" s="388" t="n"/>
      <c r="G439" s="389" t="n"/>
      <c r="H439" s="388" t="n"/>
      <c r="I439" s="390" t="n"/>
      <c r="J439" s="391" t="inlineStr">
        <is>
          <t>Qs=</t>
        </is>
      </c>
      <c r="K439" s="390" t="inlineStr">
        <is>
          <t>S a</t>
        </is>
      </c>
      <c r="L439" s="388" t="inlineStr">
        <is>
          <t>L</t>
        </is>
      </c>
      <c r="M439" s="389" t="inlineStr">
        <is>
          <t>R</t>
        </is>
      </c>
      <c r="N439" s="392" t="inlineStr">
        <is>
          <t>H</t>
        </is>
      </c>
      <c r="O439" s="393" t="inlineStr">
        <is>
          <t>D  T</t>
        </is>
      </c>
      <c r="P439" s="389" t="inlineStr">
        <is>
          <t>Ze</t>
        </is>
      </c>
      <c r="Q439" s="394" t="n"/>
    </row>
    <row r="440" ht="9.949999999999999" customHeight="1" s="244">
      <c r="A440" s="395" t="inlineStr">
        <is>
          <t xml:space="preserve"> </t>
        </is>
      </c>
      <c r="C440" s="397" t="n"/>
      <c r="D440" s="397" t="n"/>
      <c r="E440" s="398" t="n"/>
      <c r="F440" s="399" t="n"/>
      <c r="G440" s="400" t="n"/>
      <c r="H440" s="401" t="n"/>
      <c r="I440" s="402" t="n"/>
      <c r="J440" s="403" t="inlineStr">
        <is>
          <t>Qs  =</t>
        </is>
      </c>
      <c r="K440" s="404" t="n">
        <v>2</v>
      </c>
      <c r="L440" s="404" t="n">
        <v>0</v>
      </c>
      <c r="M440" s="404" t="n">
        <v>0.9</v>
      </c>
      <c r="N440" s="404" t="n">
        <v>0.67</v>
      </c>
      <c r="O440" s="381" t="n">
        <v>23</v>
      </c>
      <c r="P440" s="404" t="n">
        <v>1</v>
      </c>
      <c r="Q440" s="383">
        <f>K440*L440*M440*N440*O440*P440</f>
        <v/>
      </c>
    </row>
    <row r="441" ht="9.949999999999999" customHeight="1" s="244">
      <c r="A441" s="405" t="n"/>
      <c r="B441" s="406" t="n"/>
      <c r="C441" s="397" t="n"/>
      <c r="D441" s="397" t="n"/>
      <c r="E441" s="378" t="n"/>
      <c r="F441" s="256" t="n"/>
      <c r="G441" s="407" t="n"/>
      <c r="H441" s="397" t="n"/>
      <c r="I441" s="397" t="n"/>
      <c r="J441" s="397" t="n"/>
      <c r="K441" s="407" t="n"/>
      <c r="L441" s="408" t="n"/>
      <c r="M441" s="409" t="inlineStr">
        <is>
          <t xml:space="preserve">   TOPLAM ISI KAYBI =</t>
        </is>
      </c>
      <c r="N441" s="409" t="n"/>
      <c r="O441" s="410" t="n"/>
      <c r="P441" s="409" t="n"/>
      <c r="Q441" s="411">
        <f>Q438+Q440</f>
        <v/>
      </c>
    </row>
    <row r="442" ht="10.35" customHeight="1" s="244">
      <c r="A442" s="359" t="n"/>
      <c r="B442" s="360" t="n"/>
      <c r="C442" s="360" t="n"/>
      <c r="D442" s="360" t="n"/>
      <c r="E442" s="360" t="n"/>
      <c r="F442" s="361" t="inlineStr">
        <is>
          <t>2</t>
        </is>
      </c>
      <c r="G442" s="362" t="inlineStr">
        <is>
          <t>0</t>
        </is>
      </c>
      <c r="H442" s="360" t="inlineStr">
        <is>
          <t>2D3-03</t>
        </is>
      </c>
      <c r="I442" s="363" t="inlineStr">
        <is>
          <t>OFİS D3 BANYO</t>
        </is>
      </c>
      <c r="J442" s="364" t="n"/>
      <c r="K442" s="360" t="inlineStr">
        <is>
          <t>24ºC</t>
        </is>
      </c>
      <c r="L442" s="360" t="n"/>
      <c r="M442" s="360" t="n"/>
      <c r="N442" s="360" t="n"/>
      <c r="O442" s="360" t="n"/>
      <c r="P442" s="360" t="n"/>
      <c r="Q442" s="365" t="n"/>
    </row>
    <row r="443" ht="9.949999999999999" customHeight="1" s="244">
      <c r="A443" s="366" t="inlineStr">
        <is>
          <t>İDM</t>
        </is>
      </c>
      <c r="B443" s="367" t="inlineStr"/>
      <c r="C443" s="368" t="n"/>
      <c r="D443" s="369" t="n">
        <v>0.3</v>
      </c>
      <c r="E443" s="369" t="n">
        <v>3</v>
      </c>
      <c r="F443" s="370">
        <f>IF(D443=0," ",D443*E443)</f>
        <v/>
      </c>
      <c r="G443" s="371" t="n">
        <v>1</v>
      </c>
      <c r="H443" s="372" t="n"/>
      <c r="I443" s="370">
        <f>IF(F443=" "," ",F443*G443-H443)</f>
        <v/>
      </c>
      <c r="J443" s="369" t="n">
        <v>0.332</v>
      </c>
      <c r="K443" s="371" t="n">
        <v>14</v>
      </c>
      <c r="L443" s="373">
        <f>IF(I443=" "," ",I443*J443*K443)</f>
        <v/>
      </c>
      <c r="M443" s="374" t="n">
        <v>7</v>
      </c>
      <c r="N443" s="371" t="n">
        <v>0</v>
      </c>
      <c r="O443" s="374" t="n">
        <v>0</v>
      </c>
      <c r="P443" s="370">
        <f>IF(M443=" "," ",(1+(M443+N443+O443)/100))</f>
        <v/>
      </c>
      <c r="Q443" s="375">
        <f>IF(L443=" "," ",L443*P443)</f>
        <v/>
      </c>
    </row>
    <row r="444" ht="9.949999999999999" customHeight="1" s="244">
      <c r="A444" s="366" t="inlineStr">
        <is>
          <t>Ta</t>
        </is>
      </c>
      <c r="B444" s="367" t="inlineStr"/>
      <c r="C444" s="368" t="n"/>
      <c r="D444" s="369" t="n">
        <v>3.2</v>
      </c>
      <c r="E444" s="369" t="n">
        <v>1</v>
      </c>
      <c r="F444" s="370">
        <f>IF(D444=0," ",D444*E444)</f>
        <v/>
      </c>
      <c r="G444" s="371" t="n">
        <v>1</v>
      </c>
      <c r="H444" s="372" t="n"/>
      <c r="I444" s="370">
        <f>IF(F444=" "," ",F444*G444-H444)</f>
        <v/>
      </c>
      <c r="J444" s="369" t="n">
        <v>0.266</v>
      </c>
      <c r="K444" s="371" t="n">
        <v>27</v>
      </c>
      <c r="L444" s="373">
        <f>IF(I444=" "," ",I444*J444*K444)</f>
        <v/>
      </c>
      <c r="M444" s="374" t="n">
        <v>7</v>
      </c>
      <c r="N444" s="371" t="n">
        <v>0</v>
      </c>
      <c r="O444" s="374" t="n">
        <v>0</v>
      </c>
      <c r="P444" s="370">
        <f>IF(M444=" "," ",(1+(M444+N444+O444)/100))</f>
        <v/>
      </c>
      <c r="Q444" s="375">
        <f>IF(L444=" "," ",L444*P444)</f>
        <v/>
      </c>
    </row>
    <row r="445" ht="9.949999999999999" customHeight="1" s="244">
      <c r="A445" s="376" t="n"/>
      <c r="B445" s="377" t="n"/>
      <c r="C445" s="377" t="n"/>
      <c r="D445" s="378" t="n"/>
      <c r="E445" s="378" t="n"/>
      <c r="F445" s="378" t="n"/>
      <c r="G445" s="379" t="n"/>
      <c r="H445" s="378" t="n"/>
      <c r="I445" s="378" t="n"/>
      <c r="J445" s="378" t="n"/>
      <c r="K445" s="379" t="n"/>
      <c r="L445" s="380" t="n"/>
      <c r="M445" s="381" t="n"/>
      <c r="N445" s="381" t="n"/>
      <c r="O445" s="381" t="n"/>
      <c r="P445" s="382" t="n"/>
      <c r="Q445" s="383">
        <f>SUM(Q443:Q444)</f>
        <v/>
      </c>
    </row>
    <row r="446" ht="9.949999999999999" customHeight="1" s="244">
      <c r="A446" s="384" t="n"/>
      <c r="B446" s="385" t="n"/>
      <c r="C446" s="385" t="n"/>
      <c r="D446" s="386" t="n"/>
      <c r="E446" s="387" t="n"/>
      <c r="F446" s="388" t="n"/>
      <c r="G446" s="389" t="n"/>
      <c r="H446" s="388" t="n"/>
      <c r="I446" s="390" t="n"/>
      <c r="J446" s="391" t="inlineStr">
        <is>
          <t>Qs=</t>
        </is>
      </c>
      <c r="K446" s="390" t="inlineStr">
        <is>
          <t>S a</t>
        </is>
      </c>
      <c r="L446" s="388" t="inlineStr">
        <is>
          <t>L</t>
        </is>
      </c>
      <c r="M446" s="389" t="inlineStr">
        <is>
          <t>R</t>
        </is>
      </c>
      <c r="N446" s="392" t="inlineStr">
        <is>
          <t>H</t>
        </is>
      </c>
      <c r="O446" s="393" t="inlineStr">
        <is>
          <t>D  T</t>
        </is>
      </c>
      <c r="P446" s="389" t="inlineStr">
        <is>
          <t>Ze</t>
        </is>
      </c>
      <c r="Q446" s="394" t="n"/>
    </row>
    <row r="447" ht="9.949999999999999" customHeight="1" s="244">
      <c r="A447" s="395" t="inlineStr">
        <is>
          <t xml:space="preserve"> </t>
        </is>
      </c>
      <c r="C447" s="397" t="n"/>
      <c r="D447" s="397" t="n"/>
      <c r="E447" s="398" t="n"/>
      <c r="F447" s="399" t="n"/>
      <c r="G447" s="400" t="n"/>
      <c r="H447" s="401" t="n"/>
      <c r="I447" s="402" t="n"/>
      <c r="J447" s="403" t="inlineStr">
        <is>
          <t>Qs  =</t>
        </is>
      </c>
      <c r="K447" s="404" t="n">
        <v>2</v>
      </c>
      <c r="L447" s="404" t="n">
        <v>0</v>
      </c>
      <c r="M447" s="404" t="n">
        <v>0.9</v>
      </c>
      <c r="N447" s="404" t="n">
        <v>0.67</v>
      </c>
      <c r="O447" s="381" t="n">
        <v>27</v>
      </c>
      <c r="P447" s="404" t="n">
        <v>1</v>
      </c>
      <c r="Q447" s="383">
        <f>K447*L447*M447*N447*O447*P447</f>
        <v/>
      </c>
    </row>
    <row r="448" ht="9.949999999999999" customHeight="1" s="244">
      <c r="A448" s="405" t="n"/>
      <c r="B448" s="406" t="n"/>
      <c r="C448" s="397" t="n"/>
      <c r="D448" s="397" t="n"/>
      <c r="E448" s="378" t="n"/>
      <c r="F448" s="256" t="n"/>
      <c r="G448" s="407" t="n"/>
      <c r="H448" s="397" t="n"/>
      <c r="I448" s="397" t="n"/>
      <c r="J448" s="397" t="n"/>
      <c r="K448" s="407" t="n"/>
      <c r="L448" s="408" t="n"/>
      <c r="M448" s="409" t="inlineStr">
        <is>
          <t xml:space="preserve">   TOPLAM ISI KAYBI =</t>
        </is>
      </c>
      <c r="N448" s="409" t="n"/>
      <c r="O448" s="410" t="n"/>
      <c r="P448" s="409" t="n"/>
      <c r="Q448" s="411">
        <f>Q445+Q447</f>
        <v/>
      </c>
    </row>
    <row r="449" ht="10.35" customHeight="1" s="244">
      <c r="A449" s="359" t="n"/>
      <c r="B449" s="360" t="n"/>
      <c r="C449" s="360" t="n"/>
      <c r="D449" s="360" t="n"/>
      <c r="E449" s="360" t="n"/>
      <c r="F449" s="361" t="inlineStr">
        <is>
          <t>2</t>
        </is>
      </c>
      <c r="G449" s="362" t="inlineStr">
        <is>
          <t>0</t>
        </is>
      </c>
      <c r="H449" s="360" t="inlineStr">
        <is>
          <t>2D3-04</t>
        </is>
      </c>
      <c r="I449" s="363" t="inlineStr">
        <is>
          <t>OFİS D3 GİRİŞ HOLÜ</t>
        </is>
      </c>
      <c r="J449" s="364" t="n"/>
      <c r="K449" s="360" t="inlineStr">
        <is>
          <t>20ºC</t>
        </is>
      </c>
      <c r="L449" s="360" t="n"/>
      <c r="M449" s="360" t="n"/>
      <c r="N449" s="360" t="n"/>
      <c r="O449" s="360" t="n"/>
      <c r="P449" s="360" t="n"/>
      <c r="Q449" s="365" t="n"/>
    </row>
    <row r="450" ht="9.949999999999999" customHeight="1" s="244">
      <c r="A450" s="366" t="inlineStr">
        <is>
          <t>İDM</t>
        </is>
      </c>
      <c r="B450" s="367" t="inlineStr"/>
      <c r="C450" s="368" t="n"/>
      <c r="D450" s="369" t="n">
        <v>0.53</v>
      </c>
      <c r="E450" s="369" t="n">
        <v>3</v>
      </c>
      <c r="F450" s="370">
        <f>IF(D450=0," ",D450*E450)</f>
        <v/>
      </c>
      <c r="G450" s="371" t="n">
        <v>1</v>
      </c>
      <c r="H450" s="372" t="n"/>
      <c r="I450" s="370">
        <f>IF(F450=" "," ",F450*G450-H450)</f>
        <v/>
      </c>
      <c r="J450" s="369" t="n">
        <v>0.332</v>
      </c>
      <c r="K450" s="371" t="n">
        <v>10</v>
      </c>
      <c r="L450" s="373">
        <f>IF(I450=" "," ",I450*J450*K450)</f>
        <v/>
      </c>
      <c r="M450" s="374" t="n">
        <v>7</v>
      </c>
      <c r="N450" s="371" t="n">
        <v>0</v>
      </c>
      <c r="O450" s="374" t="n">
        <v>0</v>
      </c>
      <c r="P450" s="370">
        <f>IF(M450=" "," ",(1+(M450+N450+O450)/100))</f>
        <v/>
      </c>
      <c r="Q450" s="375">
        <f>IF(L450=" "," ",L450*P450)</f>
        <v/>
      </c>
    </row>
    <row r="451" ht="9.949999999999999" customHeight="1" s="244">
      <c r="A451" s="366" t="inlineStr">
        <is>
          <t>İDM</t>
        </is>
      </c>
      <c r="B451" s="367" t="inlineStr"/>
      <c r="C451" s="368" t="n"/>
      <c r="D451" s="369" t="n">
        <v>2.68</v>
      </c>
      <c r="E451" s="369" t="n">
        <v>3</v>
      </c>
      <c r="F451" s="370">
        <f>IF(D451=0," ",D451*E451)</f>
        <v/>
      </c>
      <c r="G451" s="371" t="n">
        <v>1</v>
      </c>
      <c r="H451" s="372" t="n"/>
      <c r="I451" s="370">
        <f>IF(F451=" "," ",F451*G451-H451)</f>
        <v/>
      </c>
      <c r="J451" s="369" t="n">
        <v>0.332</v>
      </c>
      <c r="K451" s="371" t="n">
        <v>10</v>
      </c>
      <c r="L451" s="373">
        <f>IF(I451=" "," ",I451*J451*K451)</f>
        <v/>
      </c>
      <c r="M451" s="374" t="n">
        <v>7</v>
      </c>
      <c r="N451" s="371" t="n">
        <v>0</v>
      </c>
      <c r="O451" s="374" t="n">
        <v>0</v>
      </c>
      <c r="P451" s="370">
        <f>IF(M451=" "," ",(1+(M451+N451+O451)/100))</f>
        <v/>
      </c>
      <c r="Q451" s="375">
        <f>IF(L451=" "," ",L451*P451)</f>
        <v/>
      </c>
    </row>
    <row r="452" ht="9.949999999999999" customHeight="1" s="244">
      <c r="A452" s="366" t="inlineStr">
        <is>
          <t>İDM</t>
        </is>
      </c>
      <c r="B452" s="367" t="inlineStr"/>
      <c r="C452" s="368" t="n"/>
      <c r="D452" s="369" t="n">
        <v>0.83</v>
      </c>
      <c r="E452" s="369" t="n">
        <v>3</v>
      </c>
      <c r="F452" s="370">
        <f>IF(D452=0," ",D452*E452)</f>
        <v/>
      </c>
      <c r="G452" s="371" t="n">
        <v>1</v>
      </c>
      <c r="H452" s="372" t="n"/>
      <c r="I452" s="370">
        <f>IF(F452=" "," ",F452*G452-H452)</f>
        <v/>
      </c>
      <c r="J452" s="369" t="n">
        <v>0.332</v>
      </c>
      <c r="K452" s="371" t="n">
        <v>10</v>
      </c>
      <c r="L452" s="373">
        <f>IF(I452=" "," ",I452*J452*K452)</f>
        <v/>
      </c>
      <c r="M452" s="374" t="n">
        <v>7</v>
      </c>
      <c r="N452" s="371" t="n">
        <v>0</v>
      </c>
      <c r="O452" s="374" t="n">
        <v>0</v>
      </c>
      <c r="P452" s="370">
        <f>IF(M452=" "," ",(1+(M452+N452+O452)/100))</f>
        <v/>
      </c>
      <c r="Q452" s="375">
        <f>IF(L452=" "," ",L452*P452)</f>
        <v/>
      </c>
    </row>
    <row r="453" ht="9.949999999999999" customHeight="1" s="244">
      <c r="A453" s="366" t="inlineStr">
        <is>
          <t>İDM</t>
        </is>
      </c>
      <c r="B453" s="367" t="inlineStr"/>
      <c r="C453" s="368" t="n"/>
      <c r="D453" s="369" t="n">
        <v>0.41</v>
      </c>
      <c r="E453" s="369" t="n">
        <v>3</v>
      </c>
      <c r="F453" s="370">
        <f>IF(D453=0," ",D453*E453)</f>
        <v/>
      </c>
      <c r="G453" s="371" t="n">
        <v>1</v>
      </c>
      <c r="H453" s="372" t="n"/>
      <c r="I453" s="370">
        <f>IF(F453=" "," ",F453*G453-H453)</f>
        <v/>
      </c>
      <c r="J453" s="369" t="n">
        <v>0.332</v>
      </c>
      <c r="K453" s="371" t="n">
        <v>10</v>
      </c>
      <c r="L453" s="373">
        <f>IF(I453=" "," ",I453*J453*K453)</f>
        <v/>
      </c>
      <c r="M453" s="374" t="n">
        <v>7</v>
      </c>
      <c r="N453" s="371" t="n">
        <v>0</v>
      </c>
      <c r="O453" s="374" t="n">
        <v>0</v>
      </c>
      <c r="P453" s="370">
        <f>IF(M453=" "," ",(1+(M453+N453+O453)/100))</f>
        <v/>
      </c>
      <c r="Q453" s="375">
        <f>IF(L453=" "," ",L453*P453)</f>
        <v/>
      </c>
    </row>
    <row r="454" ht="9.949999999999999" customHeight="1" s="244">
      <c r="A454" s="366" t="inlineStr">
        <is>
          <t>İDM</t>
        </is>
      </c>
      <c r="B454" s="367" t="inlineStr"/>
      <c r="C454" s="368" t="n"/>
      <c r="D454" s="369" t="n">
        <v>6.93</v>
      </c>
      <c r="E454" s="369" t="n">
        <v>3</v>
      </c>
      <c r="F454" s="370">
        <f>IF(D454=0," ",D454*E454)</f>
        <v/>
      </c>
      <c r="G454" s="371" t="n">
        <v>1</v>
      </c>
      <c r="H454" s="372" t="n"/>
      <c r="I454" s="370">
        <f>IF(F454=" "," ",F454*G454-H454)</f>
        <v/>
      </c>
      <c r="J454" s="369" t="n">
        <v>0.332</v>
      </c>
      <c r="K454" s="371" t="n">
        <v>5</v>
      </c>
      <c r="L454" s="373">
        <f>IF(I454=" "," ",I454*J454*K454)</f>
        <v/>
      </c>
      <c r="M454" s="374" t="n">
        <v>7</v>
      </c>
      <c r="N454" s="371" t="n">
        <v>0</v>
      </c>
      <c r="O454" s="374" t="n">
        <v>0</v>
      </c>
      <c r="P454" s="370">
        <f>IF(M454=" "," ",(1+(M454+N454+O454)/100))</f>
        <v/>
      </c>
      <c r="Q454" s="375">
        <f>IF(L454=" "," ",L454*P454)</f>
        <v/>
      </c>
    </row>
    <row r="455" ht="9.949999999999999" customHeight="1" s="244">
      <c r="A455" s="366" t="inlineStr">
        <is>
          <t>Ta</t>
        </is>
      </c>
      <c r="B455" s="367" t="inlineStr"/>
      <c r="C455" s="368" t="n"/>
      <c r="D455" s="369" t="n">
        <v>16.74</v>
      </c>
      <c r="E455" s="369" t="n">
        <v>1</v>
      </c>
      <c r="F455" s="370">
        <f>IF(D455=0," ",D455*E455)</f>
        <v/>
      </c>
      <c r="G455" s="371" t="n">
        <v>1</v>
      </c>
      <c r="H455" s="372" t="n"/>
      <c r="I455" s="370">
        <f>IF(F455=" "," ",F455*G455-H455)</f>
        <v/>
      </c>
      <c r="J455" s="369" t="n">
        <v>0.266</v>
      </c>
      <c r="K455" s="371" t="n">
        <v>23</v>
      </c>
      <c r="L455" s="373">
        <f>IF(I455=" "," ",I455*J455*K455)</f>
        <v/>
      </c>
      <c r="M455" s="374" t="n">
        <v>7</v>
      </c>
      <c r="N455" s="371" t="n">
        <v>0</v>
      </c>
      <c r="O455" s="374" t="n">
        <v>0</v>
      </c>
      <c r="P455" s="370">
        <f>IF(M455=" "," ",(1+(M455+N455+O455)/100))</f>
        <v/>
      </c>
      <c r="Q455" s="375">
        <f>IF(L455=" "," ",L455*P455)</f>
        <v/>
      </c>
    </row>
    <row r="456" ht="9.949999999999999" customHeight="1" s="244">
      <c r="A456" s="376" t="n"/>
      <c r="B456" s="377" t="n"/>
      <c r="C456" s="377" t="n"/>
      <c r="D456" s="378" t="n"/>
      <c r="E456" s="378" t="n"/>
      <c r="F456" s="378" t="n"/>
      <c r="G456" s="379" t="n"/>
      <c r="H456" s="378" t="n"/>
      <c r="I456" s="378" t="n"/>
      <c r="J456" s="378" t="n"/>
      <c r="K456" s="379" t="n"/>
      <c r="L456" s="380" t="n"/>
      <c r="M456" s="381" t="n"/>
      <c r="N456" s="381" t="n"/>
      <c r="O456" s="381" t="n"/>
      <c r="P456" s="382" t="n"/>
      <c r="Q456" s="383">
        <f>SUM(Q450:Q455)</f>
        <v/>
      </c>
    </row>
    <row r="457" ht="9.949999999999999" customHeight="1" s="244">
      <c r="A457" s="384" t="n"/>
      <c r="B457" s="385" t="n"/>
      <c r="C457" s="385" t="n"/>
      <c r="D457" s="386" t="n"/>
      <c r="E457" s="387" t="n"/>
      <c r="F457" s="388" t="n"/>
      <c r="G457" s="389" t="n"/>
      <c r="H457" s="388" t="n"/>
      <c r="I457" s="390" t="n"/>
      <c r="J457" s="391" t="inlineStr">
        <is>
          <t>Qs=</t>
        </is>
      </c>
      <c r="K457" s="390" t="inlineStr">
        <is>
          <t>S a</t>
        </is>
      </c>
      <c r="L457" s="388" t="inlineStr">
        <is>
          <t>L</t>
        </is>
      </c>
      <c r="M457" s="389" t="inlineStr">
        <is>
          <t>R</t>
        </is>
      </c>
      <c r="N457" s="392" t="inlineStr">
        <is>
          <t>H</t>
        </is>
      </c>
      <c r="O457" s="393" t="inlineStr">
        <is>
          <t>D  T</t>
        </is>
      </c>
      <c r="P457" s="389" t="inlineStr">
        <is>
          <t>Ze</t>
        </is>
      </c>
      <c r="Q457" s="394" t="n"/>
    </row>
    <row r="458" ht="9.949999999999999" customHeight="1" s="244">
      <c r="A458" s="395" t="inlineStr">
        <is>
          <t xml:space="preserve"> </t>
        </is>
      </c>
      <c r="C458" s="397" t="n"/>
      <c r="D458" s="397" t="n"/>
      <c r="E458" s="398" t="n"/>
      <c r="F458" s="399" t="n"/>
      <c r="G458" s="400" t="n"/>
      <c r="H458" s="401" t="n"/>
      <c r="I458" s="402" t="n"/>
      <c r="J458" s="403" t="inlineStr">
        <is>
          <t>Qs  =</t>
        </is>
      </c>
      <c r="K458" s="404" t="n">
        <v>2</v>
      </c>
      <c r="L458" s="404" t="n">
        <v>0</v>
      </c>
      <c r="M458" s="404" t="n">
        <v>0.9</v>
      </c>
      <c r="N458" s="404" t="n">
        <v>0.67</v>
      </c>
      <c r="O458" s="381" t="n">
        <v>23</v>
      </c>
      <c r="P458" s="404" t="n">
        <v>1</v>
      </c>
      <c r="Q458" s="383">
        <f>K458*L458*M458*N458*O458*P458</f>
        <v/>
      </c>
    </row>
    <row r="459" ht="9.949999999999999" customHeight="1" s="244">
      <c r="A459" s="405" t="n"/>
      <c r="B459" s="406" t="n"/>
      <c r="C459" s="397" t="n"/>
      <c r="D459" s="397" t="n"/>
      <c r="E459" s="378" t="n"/>
      <c r="F459" s="256" t="n"/>
      <c r="G459" s="407" t="n"/>
      <c r="H459" s="397" t="n"/>
      <c r="I459" s="397" t="n"/>
      <c r="J459" s="397" t="n"/>
      <c r="K459" s="407" t="n"/>
      <c r="L459" s="408" t="n"/>
      <c r="M459" s="409" t="inlineStr">
        <is>
          <t xml:space="preserve">   TOPLAM ISI KAYBI =</t>
        </is>
      </c>
      <c r="N459" s="409" t="n"/>
      <c r="O459" s="410" t="n"/>
      <c r="P459" s="409" t="n"/>
      <c r="Q459" s="411">
        <f>Q456+Q458</f>
        <v/>
      </c>
    </row>
    <row r="460" ht="10.35" customHeight="1" s="244">
      <c r="A460" s="359" t="n"/>
      <c r="B460" s="360" t="n"/>
      <c r="C460" s="360" t="n"/>
      <c r="D460" s="360" t="n"/>
      <c r="E460" s="360" t="n"/>
      <c r="F460" s="361" t="inlineStr">
        <is>
          <t>2</t>
        </is>
      </c>
      <c r="G460" s="362" t="inlineStr">
        <is>
          <t>0</t>
        </is>
      </c>
      <c r="H460" s="360" t="inlineStr">
        <is>
          <t>2E1-01</t>
        </is>
      </c>
      <c r="I460" s="363" t="inlineStr">
        <is>
          <t>OFİS E1 ODA</t>
        </is>
      </c>
      <c r="J460" s="364" t="n"/>
      <c r="K460" s="360" t="inlineStr">
        <is>
          <t>20ºC</t>
        </is>
      </c>
      <c r="L460" s="360" t="n"/>
      <c r="M460" s="360" t="n"/>
      <c r="N460" s="360" t="n"/>
      <c r="O460" s="360" t="n"/>
      <c r="P460" s="360" t="n"/>
      <c r="Q460" s="365" t="n"/>
    </row>
    <row r="461" ht="9.949999999999999" customHeight="1" s="244">
      <c r="A461" s="366" t="inlineStr">
        <is>
          <t>DD</t>
        </is>
      </c>
      <c r="B461" s="367" t="inlineStr">
        <is>
          <t>G</t>
        </is>
      </c>
      <c r="C461" s="368" t="n"/>
      <c r="D461" s="369" t="n">
        <v>4.87</v>
      </c>
      <c r="E461" s="369" t="n">
        <v>2.5</v>
      </c>
      <c r="F461" s="370">
        <f>IF(D461=0," ",D461*E461)</f>
        <v/>
      </c>
      <c r="G461" s="371" t="n">
        <v>1</v>
      </c>
      <c r="H461" s="372">
        <f>F463*G463</f>
        <v/>
      </c>
      <c r="I461" s="370">
        <f>IF(F461=" "," ",F461*G461-H461)</f>
        <v/>
      </c>
      <c r="J461" s="369" t="n">
        <v>0.344</v>
      </c>
      <c r="K461" s="371" t="n">
        <v>23</v>
      </c>
      <c r="L461" s="373">
        <f>IF(I461=" "," ",I461*J461*K461)</f>
        <v/>
      </c>
      <c r="M461" s="374" t="n">
        <v>7</v>
      </c>
      <c r="N461" s="371" t="n">
        <v>0</v>
      </c>
      <c r="O461" s="374" t="n">
        <v>-5</v>
      </c>
      <c r="P461" s="370">
        <f>IF(M461=" "," ",(1+(M461+N461+O461)/100))</f>
        <v/>
      </c>
      <c r="Q461" s="375">
        <f>IF(L461=" "," ",L461*P461)</f>
        <v/>
      </c>
    </row>
    <row r="462" ht="9.949999999999999" customHeight="1" s="244">
      <c r="A462" s="366" t="inlineStr">
        <is>
          <t>DD25</t>
        </is>
      </c>
      <c r="B462" s="367" t="inlineStr">
        <is>
          <t>G</t>
        </is>
      </c>
      <c r="C462" s="368" t="n"/>
      <c r="D462" s="369">
        <f>D461</f>
        <v/>
      </c>
      <c r="E462" s="369" t="n">
        <v>0.5</v>
      </c>
      <c r="F462" s="370">
        <f>IF(D462=0," ",D462*E462)</f>
        <v/>
      </c>
      <c r="G462" s="371" t="n">
        <v>1</v>
      </c>
      <c r="H462" s="372" t="n"/>
      <c r="I462" s="370">
        <f>IF(F462=" "," ",F462*G462-H462)</f>
        <v/>
      </c>
      <c r="J462" s="369" t="n">
        <v>0.387</v>
      </c>
      <c r="K462" s="371" t="n">
        <v>23</v>
      </c>
      <c r="L462" s="373">
        <f>IF(I462=" "," ",I462*J462*K462)</f>
        <v/>
      </c>
      <c r="M462" s="374" t="n">
        <v>7</v>
      </c>
      <c r="N462" s="371" t="n">
        <v>0</v>
      </c>
      <c r="O462" s="374" t="n">
        <v>-5</v>
      </c>
      <c r="P462" s="370">
        <f>IF(M462=" "," ",(1+(M462+N462+O462)/100))</f>
        <v/>
      </c>
      <c r="Q462" s="375">
        <f>IF(L462=" "," ",L462*P462)</f>
        <v/>
      </c>
    </row>
    <row r="463" ht="9.949999999999999" customHeight="1" s="244">
      <c r="A463" s="366" t="inlineStr">
        <is>
          <t>ÇP</t>
        </is>
      </c>
      <c r="B463" s="367" t="inlineStr">
        <is>
          <t>G</t>
        </is>
      </c>
      <c r="C463" s="368" t="n"/>
      <c r="D463" s="369" t="n">
        <v>2.68</v>
      </c>
      <c r="E463" s="369" t="n">
        <v>1.5</v>
      </c>
      <c r="F463" s="370">
        <f>IF(D463=0," ",D463*E463)</f>
        <v/>
      </c>
      <c r="G463" s="371" t="n">
        <v>1</v>
      </c>
      <c r="H463" s="372" t="n"/>
      <c r="I463" s="370">
        <f>IF(F463=" "," ",F463*G463-H463)</f>
        <v/>
      </c>
      <c r="J463" s="369" t="n">
        <v>1.8</v>
      </c>
      <c r="K463" s="371" t="n">
        <v>23</v>
      </c>
      <c r="L463" s="373">
        <f>IF(I463=" "," ",I463*J463*K463)</f>
        <v/>
      </c>
      <c r="M463" s="374" t="n">
        <v>7</v>
      </c>
      <c r="N463" s="371" t="n">
        <v>0</v>
      </c>
      <c r="O463" s="374" t="n">
        <v>-5</v>
      </c>
      <c r="P463" s="370">
        <f>IF(M463=" "," ",(1+(M463+N463+O463)/100))</f>
        <v/>
      </c>
      <c r="Q463" s="375">
        <f>IF(L463=" "," ",L463*P463)</f>
        <v/>
      </c>
    </row>
    <row r="464" ht="9.949999999999999" customHeight="1" s="244">
      <c r="A464" s="366" t="inlineStr">
        <is>
          <t>İDM</t>
        </is>
      </c>
      <c r="B464" s="367" t="inlineStr"/>
      <c r="C464" s="368" t="n"/>
      <c r="D464" s="369" t="n">
        <v>6.48</v>
      </c>
      <c r="E464" s="369" t="n">
        <v>3</v>
      </c>
      <c r="F464" s="370">
        <f>IF(D464=0," ",D464*E464)</f>
        <v/>
      </c>
      <c r="G464" s="371" t="n">
        <v>1</v>
      </c>
      <c r="H464" s="372" t="n"/>
      <c r="I464" s="370">
        <f>IF(F464=" "," ",F464*G464-H464)</f>
        <v/>
      </c>
      <c r="J464" s="369" t="n">
        <v>0.332</v>
      </c>
      <c r="K464" s="371" t="n">
        <v>10</v>
      </c>
      <c r="L464" s="373">
        <f>IF(I464=" "," ",I464*J464*K464)</f>
        <v/>
      </c>
      <c r="M464" s="374" t="n">
        <v>7</v>
      </c>
      <c r="N464" s="371" t="n">
        <v>0</v>
      </c>
      <c r="O464" s="374" t="n">
        <v>0</v>
      </c>
      <c r="P464" s="370">
        <f>IF(M464=" "," ",(1+(M464+N464+O464)/100))</f>
        <v/>
      </c>
      <c r="Q464" s="375">
        <f>IF(L464=" "," ",L464*P464)</f>
        <v/>
      </c>
    </row>
    <row r="465" ht="9.949999999999999" customHeight="1" s="244">
      <c r="A465" s="366" t="inlineStr">
        <is>
          <t>İDM</t>
        </is>
      </c>
      <c r="B465" s="367" t="inlineStr"/>
      <c r="C465" s="368" t="n"/>
      <c r="D465" s="369" t="n">
        <v>0.34</v>
      </c>
      <c r="E465" s="369" t="n">
        <v>3</v>
      </c>
      <c r="F465" s="370">
        <f>IF(D465=0," ",D465*E465)</f>
        <v/>
      </c>
      <c r="G465" s="371" t="n">
        <v>1</v>
      </c>
      <c r="H465" s="372" t="n"/>
      <c r="I465" s="370">
        <f>IF(F465=" "," ",F465*G465-H465)</f>
        <v/>
      </c>
      <c r="J465" s="369" t="n">
        <v>0.332</v>
      </c>
      <c r="K465" s="371" t="n">
        <v>10</v>
      </c>
      <c r="L465" s="373">
        <f>IF(I465=" "," ",I465*J465*K465)</f>
        <v/>
      </c>
      <c r="M465" s="374" t="n">
        <v>7</v>
      </c>
      <c r="N465" s="371" t="n">
        <v>0</v>
      </c>
      <c r="O465" s="374" t="n">
        <v>0</v>
      </c>
      <c r="P465" s="370">
        <f>IF(M465=" "," ",(1+(M465+N465+O465)/100))</f>
        <v/>
      </c>
      <c r="Q465" s="375">
        <f>IF(L465=" "," ",L465*P465)</f>
        <v/>
      </c>
    </row>
    <row r="466" ht="9.949999999999999" customHeight="1" s="244">
      <c r="A466" s="366" t="inlineStr">
        <is>
          <t>İDM</t>
        </is>
      </c>
      <c r="B466" s="367" t="inlineStr"/>
      <c r="C466" s="368" t="n"/>
      <c r="D466" s="369" t="n">
        <v>0.8</v>
      </c>
      <c r="E466" s="369" t="n">
        <v>3</v>
      </c>
      <c r="F466" s="370">
        <f>IF(D466=0," ",D466*E466)</f>
        <v/>
      </c>
      <c r="G466" s="371" t="n">
        <v>1</v>
      </c>
      <c r="H466" s="372" t="n"/>
      <c r="I466" s="370">
        <f>IF(F466=" "," ",F466*G466-H466)</f>
        <v/>
      </c>
      <c r="J466" s="369" t="n">
        <v>0.332</v>
      </c>
      <c r="K466" s="371" t="n">
        <v>10</v>
      </c>
      <c r="L466" s="373">
        <f>IF(I466=" "," ",I466*J466*K466)</f>
        <v/>
      </c>
      <c r="M466" s="374" t="n">
        <v>7</v>
      </c>
      <c r="N466" s="371" t="n">
        <v>0</v>
      </c>
      <c r="O466" s="374" t="n">
        <v>0</v>
      </c>
      <c r="P466" s="370">
        <f>IF(M466=" "," ",(1+(M466+N466+O466)/100))</f>
        <v/>
      </c>
      <c r="Q466" s="375">
        <f>IF(L466=" "," ",L466*P466)</f>
        <v/>
      </c>
    </row>
    <row r="467" ht="9.949999999999999" customHeight="1" s="244">
      <c r="A467" s="366" t="inlineStr">
        <is>
          <t>İDM</t>
        </is>
      </c>
      <c r="B467" s="367" t="inlineStr"/>
      <c r="C467" s="368" t="n"/>
      <c r="D467" s="369" t="n">
        <v>0.51</v>
      </c>
      <c r="E467" s="369" t="n">
        <v>3</v>
      </c>
      <c r="F467" s="370">
        <f>IF(D467=0," ",D467*E467)</f>
        <v/>
      </c>
      <c r="G467" s="371" t="n">
        <v>1</v>
      </c>
      <c r="H467" s="372" t="n"/>
      <c r="I467" s="370">
        <f>IF(F467=" "," ",F467*G467-H467)</f>
        <v/>
      </c>
      <c r="J467" s="369" t="n">
        <v>0.332</v>
      </c>
      <c r="K467" s="371" t="n">
        <v>10</v>
      </c>
      <c r="L467" s="373">
        <f>IF(I467=" "," ",I467*J467*K467)</f>
        <v/>
      </c>
      <c r="M467" s="374" t="n">
        <v>7</v>
      </c>
      <c r="N467" s="371" t="n">
        <v>0</v>
      </c>
      <c r="O467" s="374" t="n">
        <v>0</v>
      </c>
      <c r="P467" s="370">
        <f>IF(M467=" "," ",(1+(M467+N467+O467)/100))</f>
        <v/>
      </c>
      <c r="Q467" s="375">
        <f>IF(L467=" "," ",L467*P467)</f>
        <v/>
      </c>
    </row>
    <row r="468" ht="9.949999999999999" customHeight="1" s="244">
      <c r="A468" s="366" t="inlineStr">
        <is>
          <t>Ta</t>
        </is>
      </c>
      <c r="B468" s="367" t="inlineStr"/>
      <c r="C468" s="368" t="n"/>
      <c r="D468" s="369" t="n">
        <v>40</v>
      </c>
      <c r="E468" s="369" t="n">
        <v>1</v>
      </c>
      <c r="F468" s="370">
        <f>IF(D468=0," ",D468*E468)</f>
        <v/>
      </c>
      <c r="G468" s="371" t="n">
        <v>1</v>
      </c>
      <c r="H468" s="372" t="n"/>
      <c r="I468" s="370">
        <f>IF(F468=" "," ",F468*G468-H468)</f>
        <v/>
      </c>
      <c r="J468" s="369" t="n">
        <v>0.266</v>
      </c>
      <c r="K468" s="371" t="n">
        <v>23</v>
      </c>
      <c r="L468" s="373">
        <f>IF(I468=" "," ",I468*J468*K468)</f>
        <v/>
      </c>
      <c r="M468" s="374" t="n">
        <v>7</v>
      </c>
      <c r="N468" s="371" t="n">
        <v>0</v>
      </c>
      <c r="O468" s="374" t="n">
        <v>0</v>
      </c>
      <c r="P468" s="370">
        <f>IF(M468=" "," ",(1+(M468+N468+O468)/100))</f>
        <v/>
      </c>
      <c r="Q468" s="375">
        <f>IF(L468=" "," ",L468*P468)</f>
        <v/>
      </c>
    </row>
    <row r="469" ht="9.949999999999999" customHeight="1" s="244">
      <c r="A469" s="376" t="n"/>
      <c r="B469" s="377" t="n"/>
      <c r="C469" s="377" t="n"/>
      <c r="D469" s="378" t="n"/>
      <c r="E469" s="378" t="n"/>
      <c r="F469" s="378" t="n"/>
      <c r="G469" s="379" t="n"/>
      <c r="H469" s="378" t="n"/>
      <c r="I469" s="378" t="n"/>
      <c r="J469" s="378" t="n"/>
      <c r="K469" s="379" t="n"/>
      <c r="L469" s="380" t="n"/>
      <c r="M469" s="381" t="n"/>
      <c r="N469" s="381" t="n"/>
      <c r="O469" s="381" t="n"/>
      <c r="P469" s="382" t="n"/>
      <c r="Q469" s="383">
        <f>SUM(Q461:Q468)</f>
        <v/>
      </c>
    </row>
    <row r="470" ht="9.949999999999999" customHeight="1" s="244">
      <c r="A470" s="384" t="n"/>
      <c r="B470" s="385" t="n"/>
      <c r="C470" s="385" t="n"/>
      <c r="D470" s="386" t="n"/>
      <c r="E470" s="387" t="n"/>
      <c r="F470" s="388" t="n"/>
      <c r="G470" s="389" t="n"/>
      <c r="H470" s="388" t="n"/>
      <c r="I470" s="390" t="n"/>
      <c r="J470" s="391" t="inlineStr">
        <is>
          <t>Qs=</t>
        </is>
      </c>
      <c r="K470" s="390" t="inlineStr">
        <is>
          <t>S a</t>
        </is>
      </c>
      <c r="L470" s="388" t="inlineStr">
        <is>
          <t>L</t>
        </is>
      </c>
      <c r="M470" s="389" t="inlineStr">
        <is>
          <t>R</t>
        </is>
      </c>
      <c r="N470" s="392" t="inlineStr">
        <is>
          <t>H</t>
        </is>
      </c>
      <c r="O470" s="393" t="inlineStr">
        <is>
          <t>D  T</t>
        </is>
      </c>
      <c r="P470" s="389" t="inlineStr">
        <is>
          <t>Ze</t>
        </is>
      </c>
      <c r="Q470" s="394" t="n"/>
    </row>
    <row r="471" ht="9.949999999999999" customHeight="1" s="244">
      <c r="A471" s="395" t="inlineStr">
        <is>
          <t xml:space="preserve"> </t>
        </is>
      </c>
      <c r="C471" s="397" t="n"/>
      <c r="D471" s="397" t="n"/>
      <c r="E471" s="398" t="n"/>
      <c r="F471" s="399" t="n"/>
      <c r="G471" s="400" t="n"/>
      <c r="H471" s="401" t="n"/>
      <c r="I471" s="402" t="n"/>
      <c r="J471" s="403" t="inlineStr">
        <is>
          <t>Qs  =</t>
        </is>
      </c>
      <c r="K471" s="404" t="n">
        <v>2</v>
      </c>
      <c r="L471" s="404">
        <f>(D463+E463)*2*G463</f>
        <v/>
      </c>
      <c r="M471" s="404" t="n">
        <v>0.9</v>
      </c>
      <c r="N471" s="404" t="n">
        <v>0.67</v>
      </c>
      <c r="O471" s="381" t="n">
        <v>23</v>
      </c>
      <c r="P471" s="404" t="n">
        <v>1</v>
      </c>
      <c r="Q471" s="383">
        <f>K471*L471*M471*N471*O471*P471</f>
        <v/>
      </c>
    </row>
    <row r="472" ht="9.949999999999999" customHeight="1" s="244">
      <c r="A472" s="405" t="n"/>
      <c r="B472" s="406" t="n"/>
      <c r="C472" s="397" t="n"/>
      <c r="D472" s="397" t="n"/>
      <c r="E472" s="378" t="n"/>
      <c r="F472" s="256" t="n"/>
      <c r="G472" s="407" t="n"/>
      <c r="H472" s="397" t="n"/>
      <c r="I472" s="397" t="n"/>
      <c r="J472" s="397" t="n"/>
      <c r="K472" s="407" t="n"/>
      <c r="L472" s="408" t="n"/>
      <c r="M472" s="409" t="inlineStr">
        <is>
          <t xml:space="preserve">   TOPLAM ISI KAYBI =</t>
        </is>
      </c>
      <c r="N472" s="409" t="n"/>
      <c r="O472" s="410" t="n"/>
      <c r="P472" s="409" t="n"/>
      <c r="Q472" s="411">
        <f>Q469+Q471</f>
        <v/>
      </c>
    </row>
    <row r="473" ht="10.35" customHeight="1" s="244">
      <c r="A473" s="359" t="n"/>
      <c r="B473" s="360" t="n"/>
      <c r="C473" s="360" t="n"/>
      <c r="D473" s="360" t="n"/>
      <c r="E473" s="360" t="n"/>
      <c r="F473" s="361" t="inlineStr">
        <is>
          <t>2</t>
        </is>
      </c>
      <c r="G473" s="362" t="inlineStr">
        <is>
          <t>0</t>
        </is>
      </c>
      <c r="H473" s="360" t="inlineStr">
        <is>
          <t>2E1-02</t>
        </is>
      </c>
      <c r="I473" s="363" t="inlineStr">
        <is>
          <t>OFİS E1 GİRİŞ HOLÜ</t>
        </is>
      </c>
      <c r="J473" s="364" t="n"/>
      <c r="K473" s="360" t="inlineStr">
        <is>
          <t>20ºC</t>
        </is>
      </c>
      <c r="L473" s="360" t="n"/>
      <c r="M473" s="360" t="n"/>
      <c r="N473" s="360" t="n"/>
      <c r="O473" s="360" t="n"/>
      <c r="P473" s="360" t="n"/>
      <c r="Q473" s="365" t="n"/>
    </row>
    <row r="474" ht="9.949999999999999" customHeight="1" s="244">
      <c r="A474" s="366" t="inlineStr">
        <is>
          <t>İDM</t>
        </is>
      </c>
      <c r="B474" s="367" t="inlineStr"/>
      <c r="C474" s="368" t="n"/>
      <c r="D474" s="369" t="n">
        <v>1.27</v>
      </c>
      <c r="E474" s="369" t="n">
        <v>3</v>
      </c>
      <c r="F474" s="370">
        <f>IF(D474=0," ",D474*E474)</f>
        <v/>
      </c>
      <c r="G474" s="371" t="n">
        <v>1</v>
      </c>
      <c r="H474" s="372" t="n"/>
      <c r="I474" s="370">
        <f>IF(F474=" "," ",F474*G474-H474)</f>
        <v/>
      </c>
      <c r="J474" s="369" t="n">
        <v>0.332</v>
      </c>
      <c r="K474" s="371" t="n">
        <v>10</v>
      </c>
      <c r="L474" s="373">
        <f>IF(I474=" "," ",I474*J474*K474)</f>
        <v/>
      </c>
      <c r="M474" s="374" t="n">
        <v>7</v>
      </c>
      <c r="N474" s="371" t="n">
        <v>0</v>
      </c>
      <c r="O474" s="374" t="n">
        <v>0</v>
      </c>
      <c r="P474" s="370">
        <f>IF(M474=" "," ",(1+(M474+N474+O474)/100))</f>
        <v/>
      </c>
      <c r="Q474" s="375">
        <f>IF(L474=" "," ",L474*P474)</f>
        <v/>
      </c>
    </row>
    <row r="475" ht="9.949999999999999" customHeight="1" s="244">
      <c r="A475" s="366" t="inlineStr">
        <is>
          <t>İDM</t>
        </is>
      </c>
      <c r="B475" s="367" t="inlineStr"/>
      <c r="C475" s="368" t="n"/>
      <c r="D475" s="369" t="n">
        <v>0.86</v>
      </c>
      <c r="E475" s="369" t="n">
        <v>3</v>
      </c>
      <c r="F475" s="370">
        <f>IF(D475=0," ",D475*E475)</f>
        <v/>
      </c>
      <c r="G475" s="371" t="n">
        <v>1</v>
      </c>
      <c r="H475" s="372" t="n"/>
      <c r="I475" s="370">
        <f>IF(F475=" "," ",F475*G475-H475)</f>
        <v/>
      </c>
      <c r="J475" s="369" t="n">
        <v>0.332</v>
      </c>
      <c r="K475" s="371" t="n">
        <v>10</v>
      </c>
      <c r="L475" s="373">
        <f>IF(I475=" "," ",I475*J475*K475)</f>
        <v/>
      </c>
      <c r="M475" s="374" t="n">
        <v>7</v>
      </c>
      <c r="N475" s="371" t="n">
        <v>0</v>
      </c>
      <c r="O475" s="374" t="n">
        <v>0</v>
      </c>
      <c r="P475" s="370">
        <f>IF(M475=" "," ",(1+(M475+N475+O475)/100))</f>
        <v/>
      </c>
      <c r="Q475" s="375">
        <f>IF(L475=" "," ",L475*P475)</f>
        <v/>
      </c>
    </row>
    <row r="476" ht="9.949999999999999" customHeight="1" s="244">
      <c r="A476" s="366" t="inlineStr">
        <is>
          <t>İDM</t>
        </is>
      </c>
      <c r="B476" s="367" t="inlineStr"/>
      <c r="C476" s="368" t="n"/>
      <c r="D476" s="369" t="n">
        <v>0.43</v>
      </c>
      <c r="E476" s="369" t="n">
        <v>3</v>
      </c>
      <c r="F476" s="370">
        <f>IF(D476=0," ",D476*E476)</f>
        <v/>
      </c>
      <c r="G476" s="371" t="n">
        <v>1</v>
      </c>
      <c r="H476" s="372" t="n"/>
      <c r="I476" s="370">
        <f>IF(F476=" "," ",F476*G476-H476)</f>
        <v/>
      </c>
      <c r="J476" s="369" t="n">
        <v>0.332</v>
      </c>
      <c r="K476" s="371" t="n">
        <v>10</v>
      </c>
      <c r="L476" s="373">
        <f>IF(I476=" "," ",I476*J476*K476)</f>
        <v/>
      </c>
      <c r="M476" s="374" t="n">
        <v>7</v>
      </c>
      <c r="N476" s="371" t="n">
        <v>0</v>
      </c>
      <c r="O476" s="374" t="n">
        <v>0</v>
      </c>
      <c r="P476" s="370">
        <f>IF(M476=" "," ",(1+(M476+N476+O476)/100))</f>
        <v/>
      </c>
      <c r="Q476" s="375">
        <f>IF(L476=" "," ",L476*P476)</f>
        <v/>
      </c>
    </row>
    <row r="477" ht="9.949999999999999" customHeight="1" s="244">
      <c r="A477" s="366" t="inlineStr">
        <is>
          <t>İDM</t>
        </is>
      </c>
      <c r="B477" s="367" t="inlineStr"/>
      <c r="C477" s="368" t="n"/>
      <c r="D477" s="369" t="n">
        <v>0.83</v>
      </c>
      <c r="E477" s="369" t="n">
        <v>3</v>
      </c>
      <c r="F477" s="370">
        <f>IF(D477=0," ",D477*E477)</f>
        <v/>
      </c>
      <c r="G477" s="371" t="n">
        <v>1</v>
      </c>
      <c r="H477" s="372" t="n"/>
      <c r="I477" s="370">
        <f>IF(F477=" "," ",F477*G477-H477)</f>
        <v/>
      </c>
      <c r="J477" s="369" t="n">
        <v>0.332</v>
      </c>
      <c r="K477" s="371" t="n">
        <v>10</v>
      </c>
      <c r="L477" s="373">
        <f>IF(I477=" "," ",I477*J477*K477)</f>
        <v/>
      </c>
      <c r="M477" s="374" t="n">
        <v>7</v>
      </c>
      <c r="N477" s="371" t="n">
        <v>0</v>
      </c>
      <c r="O477" s="374" t="n">
        <v>0</v>
      </c>
      <c r="P477" s="370">
        <f>IF(M477=" "," ",(1+(M477+N477+O477)/100))</f>
        <v/>
      </c>
      <c r="Q477" s="375">
        <f>IF(L477=" "," ",L477*P477)</f>
        <v/>
      </c>
    </row>
    <row r="478" ht="9.949999999999999" customHeight="1" s="244">
      <c r="A478" s="366" t="inlineStr">
        <is>
          <t>İDM</t>
        </is>
      </c>
      <c r="B478" s="367" t="inlineStr"/>
      <c r="C478" s="368" t="n"/>
      <c r="D478" s="369" t="n">
        <v>1.6</v>
      </c>
      <c r="E478" s="369" t="n">
        <v>3</v>
      </c>
      <c r="F478" s="370">
        <f>IF(D478=0," ",D478*E478)</f>
        <v/>
      </c>
      <c r="G478" s="371" t="n">
        <v>1</v>
      </c>
      <c r="H478" s="372" t="n"/>
      <c r="I478" s="370">
        <f>IF(F478=" "," ",F478*G478-H478)</f>
        <v/>
      </c>
      <c r="J478" s="369" t="n">
        <v>0.332</v>
      </c>
      <c r="K478" s="371" t="n">
        <v>10</v>
      </c>
      <c r="L478" s="373">
        <f>IF(I478=" "," ",I478*J478*K478)</f>
        <v/>
      </c>
      <c r="M478" s="374" t="n">
        <v>7</v>
      </c>
      <c r="N478" s="371" t="n">
        <v>0</v>
      </c>
      <c r="O478" s="374" t="n">
        <v>0</v>
      </c>
      <c r="P478" s="370">
        <f>IF(M478=" "," ",(1+(M478+N478+O478)/100))</f>
        <v/>
      </c>
      <c r="Q478" s="375">
        <f>IF(L478=" "," ",L478*P478)</f>
        <v/>
      </c>
    </row>
    <row r="479" ht="9.949999999999999" customHeight="1" s="244">
      <c r="A479" s="366" t="inlineStr">
        <is>
          <t>İDM</t>
        </is>
      </c>
      <c r="B479" s="367" t="inlineStr"/>
      <c r="C479" s="368" t="n"/>
      <c r="D479" s="369" t="n">
        <v>0.63</v>
      </c>
      <c r="E479" s="369" t="n">
        <v>3</v>
      </c>
      <c r="F479" s="370">
        <f>IF(D479=0," ",D479*E479)</f>
        <v/>
      </c>
      <c r="G479" s="371" t="n">
        <v>1</v>
      </c>
      <c r="H479" s="372" t="n"/>
      <c r="I479" s="370">
        <f>IF(F479=" "," ",F479*G479-H479)</f>
        <v/>
      </c>
      <c r="J479" s="369" t="n">
        <v>0.332</v>
      </c>
      <c r="K479" s="371" t="n">
        <v>10</v>
      </c>
      <c r="L479" s="373">
        <f>IF(I479=" "," ",I479*J479*K479)</f>
        <v/>
      </c>
      <c r="M479" s="374" t="n">
        <v>7</v>
      </c>
      <c r="N479" s="371" t="n">
        <v>0</v>
      </c>
      <c r="O479" s="374" t="n">
        <v>0</v>
      </c>
      <c r="P479" s="370">
        <f>IF(M479=" "," ",(1+(M479+N479+O479)/100))</f>
        <v/>
      </c>
      <c r="Q479" s="375">
        <f>IF(L479=" "," ",L479*P479)</f>
        <v/>
      </c>
    </row>
    <row r="480" ht="9.949999999999999" customHeight="1" s="244">
      <c r="A480" s="366" t="inlineStr">
        <is>
          <t>İDM</t>
        </is>
      </c>
      <c r="B480" s="367" t="inlineStr"/>
      <c r="C480" s="368" t="n"/>
      <c r="D480" s="369" t="n">
        <v>0.43</v>
      </c>
      <c r="E480" s="369" t="n">
        <v>3</v>
      </c>
      <c r="F480" s="370">
        <f>IF(D480=0," ",D480*E480)</f>
        <v/>
      </c>
      <c r="G480" s="371" t="n">
        <v>1</v>
      </c>
      <c r="H480" s="372" t="n"/>
      <c r="I480" s="370">
        <f>IF(F480=" "," ",F480*G480-H480)</f>
        <v/>
      </c>
      <c r="J480" s="369" t="n">
        <v>0.332</v>
      </c>
      <c r="K480" s="371" t="n">
        <v>10</v>
      </c>
      <c r="L480" s="373">
        <f>IF(I480=" "," ",I480*J480*K480)</f>
        <v/>
      </c>
      <c r="M480" s="374" t="n">
        <v>7</v>
      </c>
      <c r="N480" s="371" t="n">
        <v>0</v>
      </c>
      <c r="O480" s="374" t="n">
        <v>0</v>
      </c>
      <c r="P480" s="370">
        <f>IF(M480=" "," ",(1+(M480+N480+O480)/100))</f>
        <v/>
      </c>
      <c r="Q480" s="375">
        <f>IF(L480=" "," ",L480*P480)</f>
        <v/>
      </c>
    </row>
    <row r="481" ht="9.949999999999999" customHeight="1" s="244">
      <c r="A481" s="366" t="inlineStr">
        <is>
          <t>İDM</t>
        </is>
      </c>
      <c r="B481" s="367" t="inlineStr"/>
      <c r="C481" s="368" t="n"/>
      <c r="D481" s="369" t="n">
        <v>3.76</v>
      </c>
      <c r="E481" s="369" t="n">
        <v>3</v>
      </c>
      <c r="F481" s="370">
        <f>IF(D481=0," ",D481*E481)</f>
        <v/>
      </c>
      <c r="G481" s="371" t="n">
        <v>1</v>
      </c>
      <c r="H481" s="372" t="n"/>
      <c r="I481" s="370">
        <f>IF(F481=" "," ",F481*G481-H481)</f>
        <v/>
      </c>
      <c r="J481" s="369" t="n">
        <v>0.332</v>
      </c>
      <c r="K481" s="371" t="n">
        <v>10</v>
      </c>
      <c r="L481" s="373">
        <f>IF(I481=" "," ",I481*J481*K481)</f>
        <v/>
      </c>
      <c r="M481" s="374" t="n">
        <v>7</v>
      </c>
      <c r="N481" s="371" t="n">
        <v>0</v>
      </c>
      <c r="O481" s="374" t="n">
        <v>0</v>
      </c>
      <c r="P481" s="370">
        <f>IF(M481=" "," ",(1+(M481+N481+O481)/100))</f>
        <v/>
      </c>
      <c r="Q481" s="375">
        <f>IF(L481=" "," ",L481*P481)</f>
        <v/>
      </c>
    </row>
    <row r="482" ht="9.949999999999999" customHeight="1" s="244">
      <c r="A482" s="366" t="inlineStr">
        <is>
          <t>Ta</t>
        </is>
      </c>
      <c r="B482" s="367" t="inlineStr"/>
      <c r="C482" s="368" t="n"/>
      <c r="D482" s="369" t="n">
        <v>11.8</v>
      </c>
      <c r="E482" s="369" t="n">
        <v>1</v>
      </c>
      <c r="F482" s="370">
        <f>IF(D482=0," ",D482*E482)</f>
        <v/>
      </c>
      <c r="G482" s="371" t="n">
        <v>1</v>
      </c>
      <c r="H482" s="372" t="n"/>
      <c r="I482" s="370">
        <f>IF(F482=" "," ",F482*G482-H482)</f>
        <v/>
      </c>
      <c r="J482" s="369" t="n">
        <v>0.266</v>
      </c>
      <c r="K482" s="371" t="n">
        <v>23</v>
      </c>
      <c r="L482" s="373">
        <f>IF(I482=" "," ",I482*J482*K482)</f>
        <v/>
      </c>
      <c r="M482" s="374" t="n">
        <v>7</v>
      </c>
      <c r="N482" s="371" t="n">
        <v>0</v>
      </c>
      <c r="O482" s="374" t="n">
        <v>0</v>
      </c>
      <c r="P482" s="370">
        <f>IF(M482=" "," ",(1+(M482+N482+O482)/100))</f>
        <v/>
      </c>
      <c r="Q482" s="375">
        <f>IF(L482=" "," ",L482*P482)</f>
        <v/>
      </c>
    </row>
    <row r="483" ht="9.949999999999999" customHeight="1" s="244">
      <c r="A483" s="376" t="n"/>
      <c r="B483" s="377" t="n"/>
      <c r="C483" s="377" t="n"/>
      <c r="D483" s="378" t="n"/>
      <c r="E483" s="378" t="n"/>
      <c r="F483" s="378" t="n"/>
      <c r="G483" s="379" t="n"/>
      <c r="H483" s="378" t="n"/>
      <c r="I483" s="378" t="n"/>
      <c r="J483" s="378" t="n"/>
      <c r="K483" s="379" t="n"/>
      <c r="L483" s="380" t="n"/>
      <c r="M483" s="381" t="n"/>
      <c r="N483" s="381" t="n"/>
      <c r="O483" s="381" t="n"/>
      <c r="P483" s="382" t="n"/>
      <c r="Q483" s="383">
        <f>SUM(Q474:Q482)</f>
        <v/>
      </c>
    </row>
    <row r="484" ht="9.949999999999999" customHeight="1" s="244">
      <c r="A484" s="384" t="n"/>
      <c r="B484" s="385" t="n"/>
      <c r="C484" s="385" t="n"/>
      <c r="D484" s="386" t="n"/>
      <c r="E484" s="387" t="n"/>
      <c r="F484" s="388" t="n"/>
      <c r="G484" s="389" t="n"/>
      <c r="H484" s="388" t="n"/>
      <c r="I484" s="390" t="n"/>
      <c r="J484" s="391" t="inlineStr">
        <is>
          <t>Qs=</t>
        </is>
      </c>
      <c r="K484" s="390" t="inlineStr">
        <is>
          <t>S a</t>
        </is>
      </c>
      <c r="L484" s="388" t="inlineStr">
        <is>
          <t>L</t>
        </is>
      </c>
      <c r="M484" s="389" t="inlineStr">
        <is>
          <t>R</t>
        </is>
      </c>
      <c r="N484" s="392" t="inlineStr">
        <is>
          <t>H</t>
        </is>
      </c>
      <c r="O484" s="393" t="inlineStr">
        <is>
          <t>D  T</t>
        </is>
      </c>
      <c r="P484" s="389" t="inlineStr">
        <is>
          <t>Ze</t>
        </is>
      </c>
      <c r="Q484" s="394" t="n"/>
    </row>
    <row r="485" ht="9.949999999999999" customHeight="1" s="244">
      <c r="A485" s="395" t="inlineStr">
        <is>
          <t xml:space="preserve"> </t>
        </is>
      </c>
      <c r="C485" s="397" t="n"/>
      <c r="D485" s="397" t="n"/>
      <c r="E485" s="398" t="n"/>
      <c r="F485" s="399" t="n"/>
      <c r="G485" s="400" t="n"/>
      <c r="H485" s="401" t="n"/>
      <c r="I485" s="402" t="n"/>
      <c r="J485" s="403" t="inlineStr">
        <is>
          <t>Qs  =</t>
        </is>
      </c>
      <c r="K485" s="404" t="n">
        <v>2</v>
      </c>
      <c r="L485" s="404" t="n">
        <v>0</v>
      </c>
      <c r="M485" s="404" t="n">
        <v>0.9</v>
      </c>
      <c r="N485" s="404" t="n">
        <v>0.67</v>
      </c>
      <c r="O485" s="381" t="n">
        <v>23</v>
      </c>
      <c r="P485" s="404" t="n">
        <v>1</v>
      </c>
      <c r="Q485" s="383">
        <f>K485*L485*M485*N485*O485*P485</f>
        <v/>
      </c>
    </row>
    <row r="486" ht="9.949999999999999" customHeight="1" s="244">
      <c r="A486" s="405" t="n"/>
      <c r="B486" s="406" t="n"/>
      <c r="C486" s="397" t="n"/>
      <c r="D486" s="397" t="n"/>
      <c r="E486" s="378" t="n"/>
      <c r="F486" s="256" t="n"/>
      <c r="G486" s="407" t="n"/>
      <c r="H486" s="397" t="n"/>
      <c r="I486" s="397" t="n"/>
      <c r="J486" s="397" t="n"/>
      <c r="K486" s="407" t="n"/>
      <c r="L486" s="408" t="n"/>
      <c r="M486" s="409" t="inlineStr">
        <is>
          <t xml:space="preserve">   TOPLAM ISI KAYBI =</t>
        </is>
      </c>
      <c r="N486" s="409" t="n"/>
      <c r="O486" s="410" t="n"/>
      <c r="P486" s="409" t="n"/>
      <c r="Q486" s="411">
        <f>Q483+Q485</f>
        <v/>
      </c>
    </row>
    <row r="487" ht="10.35" customHeight="1" s="244">
      <c r="A487" s="359" t="n"/>
      <c r="B487" s="360" t="n"/>
      <c r="C487" s="360" t="n"/>
      <c r="D487" s="360" t="n"/>
      <c r="E487" s="360" t="n"/>
      <c r="F487" s="361" t="inlineStr">
        <is>
          <t>2</t>
        </is>
      </c>
      <c r="G487" s="362" t="inlineStr">
        <is>
          <t>0</t>
        </is>
      </c>
      <c r="H487" s="360" t="inlineStr">
        <is>
          <t>2E1-03</t>
        </is>
      </c>
      <c r="I487" s="363" t="inlineStr">
        <is>
          <t>OFİS E1 ODA</t>
        </is>
      </c>
      <c r="J487" s="364" t="n"/>
      <c r="K487" s="360" t="inlineStr">
        <is>
          <t>20ºC</t>
        </is>
      </c>
      <c r="L487" s="360" t="n"/>
      <c r="M487" s="360" t="n"/>
      <c r="N487" s="360" t="n"/>
      <c r="O487" s="360" t="n"/>
      <c r="P487" s="360" t="n"/>
      <c r="Q487" s="365" t="n"/>
    </row>
    <row r="488" ht="9.949999999999999" customHeight="1" s="244">
      <c r="A488" s="366" t="inlineStr">
        <is>
          <t>Ta</t>
        </is>
      </c>
      <c r="B488" s="367" t="inlineStr"/>
      <c r="C488" s="368" t="n"/>
      <c r="D488" s="369" t="n">
        <v>10</v>
      </c>
      <c r="E488" s="369" t="n">
        <v>1</v>
      </c>
      <c r="F488" s="370">
        <f>IF(D488=0," ",D488*E488)</f>
        <v/>
      </c>
      <c r="G488" s="371" t="n">
        <v>1</v>
      </c>
      <c r="H488" s="372" t="n"/>
      <c r="I488" s="370">
        <f>IF(F488=" "," ",F488*G488-H488)</f>
        <v/>
      </c>
      <c r="J488" s="369" t="n">
        <v>0.266</v>
      </c>
      <c r="K488" s="371" t="n">
        <v>23</v>
      </c>
      <c r="L488" s="373">
        <f>IF(I488=" "," ",I488*J488*K488)</f>
        <v/>
      </c>
      <c r="M488" s="374" t="n">
        <v>7</v>
      </c>
      <c r="N488" s="371" t="n">
        <v>0</v>
      </c>
      <c r="O488" s="374" t="n">
        <v>0</v>
      </c>
      <c r="P488" s="370">
        <f>IF(M488=" "," ",(1+(M488+N488+O488)/100))</f>
        <v/>
      </c>
      <c r="Q488" s="375">
        <f>IF(L488=" "," ",L488*P488)</f>
        <v/>
      </c>
    </row>
    <row r="489" ht="9.949999999999999" customHeight="1" s="244">
      <c r="A489" s="376" t="n"/>
      <c r="B489" s="377" t="n"/>
      <c r="C489" s="377" t="n"/>
      <c r="D489" s="378" t="n"/>
      <c r="E489" s="378" t="n"/>
      <c r="F489" s="378" t="n"/>
      <c r="G489" s="379" t="n"/>
      <c r="H489" s="378" t="n"/>
      <c r="I489" s="378" t="n"/>
      <c r="J489" s="378" t="n"/>
      <c r="K489" s="379" t="n"/>
      <c r="L489" s="380" t="n"/>
      <c r="M489" s="381" t="n"/>
      <c r="N489" s="381" t="n"/>
      <c r="O489" s="381" t="n"/>
      <c r="P489" s="382" t="n"/>
      <c r="Q489" s="383">
        <f>SUM(Q488:Q488)</f>
        <v/>
      </c>
    </row>
    <row r="490" ht="9.949999999999999" customHeight="1" s="244">
      <c r="A490" s="384" t="n"/>
      <c r="B490" s="385" t="n"/>
      <c r="C490" s="385" t="n"/>
      <c r="D490" s="386" t="n"/>
      <c r="E490" s="387" t="n"/>
      <c r="F490" s="388" t="n"/>
      <c r="G490" s="389" t="n"/>
      <c r="H490" s="388" t="n"/>
      <c r="I490" s="390" t="n"/>
      <c r="J490" s="391" t="inlineStr">
        <is>
          <t>Qs=</t>
        </is>
      </c>
      <c r="K490" s="390" t="inlineStr">
        <is>
          <t>S a</t>
        </is>
      </c>
      <c r="L490" s="388" t="inlineStr">
        <is>
          <t>L</t>
        </is>
      </c>
      <c r="M490" s="389" t="inlineStr">
        <is>
          <t>R</t>
        </is>
      </c>
      <c r="N490" s="392" t="inlineStr">
        <is>
          <t>H</t>
        </is>
      </c>
      <c r="O490" s="393" t="inlineStr">
        <is>
          <t>D  T</t>
        </is>
      </c>
      <c r="P490" s="389" t="inlineStr">
        <is>
          <t>Ze</t>
        </is>
      </c>
      <c r="Q490" s="394" t="n"/>
    </row>
    <row r="491" ht="9.949999999999999" customHeight="1" s="244">
      <c r="A491" s="395" t="inlineStr">
        <is>
          <t xml:space="preserve"> </t>
        </is>
      </c>
      <c r="C491" s="397" t="n"/>
      <c r="D491" s="397" t="n"/>
      <c r="E491" s="398" t="n"/>
      <c r="F491" s="399" t="n"/>
      <c r="G491" s="400" t="n"/>
      <c r="H491" s="401" t="n"/>
      <c r="I491" s="402" t="n"/>
      <c r="J491" s="403" t="inlineStr">
        <is>
          <t>Qs  =</t>
        </is>
      </c>
      <c r="K491" s="404" t="n">
        <v>2</v>
      </c>
      <c r="L491" s="404" t="n">
        <v>0</v>
      </c>
      <c r="M491" s="404" t="n">
        <v>0.9</v>
      </c>
      <c r="N491" s="404" t="n">
        <v>0.67</v>
      </c>
      <c r="O491" s="381" t="n">
        <v>23</v>
      </c>
      <c r="P491" s="404" t="n">
        <v>1</v>
      </c>
      <c r="Q491" s="383">
        <f>K491*L491*M491*N491*O491*P491</f>
        <v/>
      </c>
    </row>
    <row r="492" ht="9.949999999999999" customHeight="1" s="244">
      <c r="A492" s="405" t="n"/>
      <c r="B492" s="406" t="n"/>
      <c r="C492" s="397" t="n"/>
      <c r="D492" s="397" t="n"/>
      <c r="E492" s="378" t="n"/>
      <c r="F492" s="256" t="n"/>
      <c r="G492" s="407" t="n"/>
      <c r="H492" s="397" t="n"/>
      <c r="I492" s="397" t="n"/>
      <c r="J492" s="397" t="n"/>
      <c r="K492" s="407" t="n"/>
      <c r="L492" s="408" t="n"/>
      <c r="M492" s="409" t="inlineStr">
        <is>
          <t xml:space="preserve">   TOPLAM ISI KAYBI =</t>
        </is>
      </c>
      <c r="N492" s="409" t="n"/>
      <c r="O492" s="410" t="n"/>
      <c r="P492" s="409" t="n"/>
      <c r="Q492" s="411">
        <f>Q489+Q491</f>
        <v/>
      </c>
    </row>
    <row r="493" ht="10.35" customHeight="1" s="244">
      <c r="A493" s="359" t="n"/>
      <c r="B493" s="360" t="n"/>
      <c r="C493" s="360" t="n"/>
      <c r="D493" s="360" t="n"/>
      <c r="E493" s="360" t="n"/>
      <c r="F493" s="361" t="inlineStr">
        <is>
          <t>2</t>
        </is>
      </c>
      <c r="G493" s="362" t="inlineStr">
        <is>
          <t>0</t>
        </is>
      </c>
      <c r="H493" s="360" t="inlineStr">
        <is>
          <t>2E1-04</t>
        </is>
      </c>
      <c r="I493" s="363" t="inlineStr">
        <is>
          <t>OFİS E1 MUTFAK</t>
        </is>
      </c>
      <c r="J493" s="364" t="n"/>
      <c r="K493" s="360" t="inlineStr">
        <is>
          <t>20ºC</t>
        </is>
      </c>
      <c r="L493" s="360" t="n"/>
      <c r="M493" s="360" t="n"/>
      <c r="N493" s="360" t="n"/>
      <c r="O493" s="360" t="n"/>
      <c r="P493" s="360" t="n"/>
      <c r="Q493" s="365" t="n"/>
    </row>
    <row r="494" ht="9.949999999999999" customHeight="1" s="244">
      <c r="A494" s="366" t="inlineStr">
        <is>
          <t>Ta</t>
        </is>
      </c>
      <c r="B494" s="367" t="inlineStr"/>
      <c r="C494" s="368" t="n"/>
      <c r="D494" s="369" t="n">
        <v>5</v>
      </c>
      <c r="E494" s="369" t="n">
        <v>1</v>
      </c>
      <c r="F494" s="370">
        <f>IF(D494=0," ",D494*E494)</f>
        <v/>
      </c>
      <c r="G494" s="371" t="n">
        <v>1</v>
      </c>
      <c r="H494" s="372" t="n"/>
      <c r="I494" s="370">
        <f>IF(F494=" "," ",F494*G494-H494)</f>
        <v/>
      </c>
      <c r="J494" s="369" t="n">
        <v>0.266</v>
      </c>
      <c r="K494" s="371" t="n">
        <v>23</v>
      </c>
      <c r="L494" s="373">
        <f>IF(I494=" "," ",I494*J494*K494)</f>
        <v/>
      </c>
      <c r="M494" s="374" t="n">
        <v>7</v>
      </c>
      <c r="N494" s="371" t="n">
        <v>0</v>
      </c>
      <c r="O494" s="374" t="n">
        <v>0</v>
      </c>
      <c r="P494" s="370">
        <f>IF(M494=" "," ",(1+(M494+N494+O494)/100))</f>
        <v/>
      </c>
      <c r="Q494" s="375">
        <f>IF(L494=" "," ",L494*P494)</f>
        <v/>
      </c>
    </row>
    <row r="495" ht="9.949999999999999" customHeight="1" s="244">
      <c r="A495" s="376" t="n"/>
      <c r="B495" s="377" t="n"/>
      <c r="C495" s="377" t="n"/>
      <c r="D495" s="378" t="n"/>
      <c r="E495" s="378" t="n"/>
      <c r="F495" s="378" t="n"/>
      <c r="G495" s="379" t="n"/>
      <c r="H495" s="378" t="n"/>
      <c r="I495" s="378" t="n"/>
      <c r="J495" s="378" t="n"/>
      <c r="K495" s="379" t="n"/>
      <c r="L495" s="380" t="n"/>
      <c r="M495" s="381" t="n"/>
      <c r="N495" s="381" t="n"/>
      <c r="O495" s="381" t="n"/>
      <c r="P495" s="382" t="n"/>
      <c r="Q495" s="383">
        <f>SUM(Q494:Q494)</f>
        <v/>
      </c>
    </row>
    <row r="496" ht="9.949999999999999" customHeight="1" s="244">
      <c r="A496" s="384" t="n"/>
      <c r="B496" s="385" t="n"/>
      <c r="C496" s="385" t="n"/>
      <c r="D496" s="386" t="n"/>
      <c r="E496" s="387" t="n"/>
      <c r="F496" s="388" t="n"/>
      <c r="G496" s="389" t="n"/>
      <c r="H496" s="388" t="n"/>
      <c r="I496" s="390" t="n"/>
      <c r="J496" s="391" t="inlineStr">
        <is>
          <t>Qs=</t>
        </is>
      </c>
      <c r="K496" s="390" t="inlineStr">
        <is>
          <t>S a</t>
        </is>
      </c>
      <c r="L496" s="388" t="inlineStr">
        <is>
          <t>L</t>
        </is>
      </c>
      <c r="M496" s="389" t="inlineStr">
        <is>
          <t>R</t>
        </is>
      </c>
      <c r="N496" s="392" t="inlineStr">
        <is>
          <t>H</t>
        </is>
      </c>
      <c r="O496" s="393" t="inlineStr">
        <is>
          <t>D  T</t>
        </is>
      </c>
      <c r="P496" s="389" t="inlineStr">
        <is>
          <t>Ze</t>
        </is>
      </c>
      <c r="Q496" s="394" t="n"/>
    </row>
    <row r="497" ht="9.949999999999999" customHeight="1" s="244">
      <c r="A497" s="395" t="inlineStr">
        <is>
          <t xml:space="preserve"> </t>
        </is>
      </c>
      <c r="C497" s="397" t="n"/>
      <c r="D497" s="397" t="n"/>
      <c r="E497" s="398" t="n"/>
      <c r="F497" s="399" t="n"/>
      <c r="G497" s="400" t="n"/>
      <c r="H497" s="401" t="n"/>
      <c r="I497" s="402" t="n"/>
      <c r="J497" s="403" t="inlineStr">
        <is>
          <t>Qs  =</t>
        </is>
      </c>
      <c r="K497" s="404" t="n">
        <v>2</v>
      </c>
      <c r="L497" s="404" t="n">
        <v>0</v>
      </c>
      <c r="M497" s="404" t="n">
        <v>0.9</v>
      </c>
      <c r="N497" s="404" t="n">
        <v>0.67</v>
      </c>
      <c r="O497" s="381" t="n">
        <v>23</v>
      </c>
      <c r="P497" s="404" t="n">
        <v>1</v>
      </c>
      <c r="Q497" s="383">
        <f>K497*L497*M497*N497*O497*P497</f>
        <v/>
      </c>
    </row>
    <row r="498" ht="9.949999999999999" customHeight="1" s="244">
      <c r="A498" s="405" t="n"/>
      <c r="B498" s="406" t="n"/>
      <c r="C498" s="397" t="n"/>
      <c r="D498" s="397" t="n"/>
      <c r="E498" s="378" t="n"/>
      <c r="F498" s="256" t="n"/>
      <c r="G498" s="407" t="n"/>
      <c r="H498" s="397" t="n"/>
      <c r="I498" s="397" t="n"/>
      <c r="J498" s="397" t="n"/>
      <c r="K498" s="407" t="n"/>
      <c r="L498" s="408" t="n"/>
      <c r="M498" s="409" t="inlineStr">
        <is>
          <t xml:space="preserve">   TOPLAM ISI KAYBI =</t>
        </is>
      </c>
      <c r="N498" s="409" t="n"/>
      <c r="O498" s="410" t="n"/>
      <c r="P498" s="409" t="n"/>
      <c r="Q498" s="411">
        <f>Q495+Q497</f>
        <v/>
      </c>
    </row>
    <row r="499" ht="10.35" customHeight="1" s="244">
      <c r="A499" s="359" t="n"/>
      <c r="B499" s="360" t="n"/>
      <c r="C499" s="360" t="n"/>
      <c r="D499" s="360" t="n"/>
      <c r="E499" s="360" t="n"/>
      <c r="F499" s="361" t="inlineStr">
        <is>
          <t>2</t>
        </is>
      </c>
      <c r="G499" s="362" t="inlineStr">
        <is>
          <t>0</t>
        </is>
      </c>
      <c r="H499" s="360" t="inlineStr">
        <is>
          <t>2E1-05</t>
        </is>
      </c>
      <c r="I499" s="363" t="inlineStr">
        <is>
          <t>OFİS E1 BANYO</t>
        </is>
      </c>
      <c r="J499" s="364" t="n"/>
      <c r="K499" s="360" t="inlineStr">
        <is>
          <t>24ºC</t>
        </is>
      </c>
      <c r="L499" s="360" t="n"/>
      <c r="M499" s="360" t="n"/>
      <c r="N499" s="360" t="n"/>
      <c r="O499" s="360" t="n"/>
      <c r="P499" s="360" t="n"/>
      <c r="Q499" s="365" t="n"/>
    </row>
    <row r="500" ht="9.949999999999999" customHeight="1" s="244">
      <c r="A500" s="366" t="inlineStr">
        <is>
          <t>İDM</t>
        </is>
      </c>
      <c r="B500" s="367" t="inlineStr"/>
      <c r="C500" s="368" t="n"/>
      <c r="D500" s="369" t="n">
        <v>0.63</v>
      </c>
      <c r="E500" s="369" t="n">
        <v>3</v>
      </c>
      <c r="F500" s="370">
        <f>IF(D500=0," ",D500*E500)</f>
        <v/>
      </c>
      <c r="G500" s="371" t="n">
        <v>1</v>
      </c>
      <c r="H500" s="372" t="n"/>
      <c r="I500" s="370">
        <f>IF(F500=" "," ",F500*G500-H500)</f>
        <v/>
      </c>
      <c r="J500" s="369" t="n">
        <v>0.332</v>
      </c>
      <c r="K500" s="371" t="n">
        <v>14</v>
      </c>
      <c r="L500" s="373">
        <f>IF(I500=" "," ",I500*J500*K500)</f>
        <v/>
      </c>
      <c r="M500" s="374" t="n">
        <v>7</v>
      </c>
      <c r="N500" s="371" t="n">
        <v>0</v>
      </c>
      <c r="O500" s="374" t="n">
        <v>0</v>
      </c>
      <c r="P500" s="370">
        <f>IF(M500=" "," ",(1+(M500+N500+O500)/100))</f>
        <v/>
      </c>
      <c r="Q500" s="375">
        <f>IF(L500=" "," ",L500*P500)</f>
        <v/>
      </c>
    </row>
    <row r="501" ht="9.949999999999999" customHeight="1" s="244">
      <c r="A501" s="366" t="inlineStr">
        <is>
          <t>İDM</t>
        </is>
      </c>
      <c r="B501" s="367" t="inlineStr"/>
      <c r="C501" s="368" t="n"/>
      <c r="D501" s="369" t="n">
        <v>2.05</v>
      </c>
      <c r="E501" s="369" t="n">
        <v>3</v>
      </c>
      <c r="F501" s="370">
        <f>IF(D501=0," ",D501*E501)</f>
        <v/>
      </c>
      <c r="G501" s="371" t="n">
        <v>1</v>
      </c>
      <c r="H501" s="372" t="n"/>
      <c r="I501" s="370">
        <f>IF(F501=" "," ",F501*G501-H501)</f>
        <v/>
      </c>
      <c r="J501" s="369" t="n">
        <v>0.332</v>
      </c>
      <c r="K501" s="371" t="n">
        <v>14</v>
      </c>
      <c r="L501" s="373">
        <f>IF(I501=" "," ",I501*J501*K501)</f>
        <v/>
      </c>
      <c r="M501" s="374" t="n">
        <v>7</v>
      </c>
      <c r="N501" s="371" t="n">
        <v>0</v>
      </c>
      <c r="O501" s="374" t="n">
        <v>0</v>
      </c>
      <c r="P501" s="370">
        <f>IF(M501=" "," ",(1+(M501+N501+O501)/100))</f>
        <v/>
      </c>
      <c r="Q501" s="375">
        <f>IF(L501=" "," ",L501*P501)</f>
        <v/>
      </c>
    </row>
    <row r="502" ht="9.949999999999999" customHeight="1" s="244">
      <c r="A502" s="366" t="inlineStr">
        <is>
          <t>İDM</t>
        </is>
      </c>
      <c r="B502" s="367" t="inlineStr"/>
      <c r="C502" s="368" t="n"/>
      <c r="D502" s="369" t="n">
        <v>0.22</v>
      </c>
      <c r="E502" s="369" t="n">
        <v>3</v>
      </c>
      <c r="F502" s="370">
        <f>IF(D502=0," ",D502*E502)</f>
        <v/>
      </c>
      <c r="G502" s="371" t="n">
        <v>1</v>
      </c>
      <c r="H502" s="372" t="n"/>
      <c r="I502" s="370">
        <f>IF(F502=" "," ",F502*G502-H502)</f>
        <v/>
      </c>
      <c r="J502" s="369" t="n">
        <v>0.332</v>
      </c>
      <c r="K502" s="371" t="n">
        <v>14</v>
      </c>
      <c r="L502" s="373">
        <f>IF(I502=" "," ",I502*J502*K502)</f>
        <v/>
      </c>
      <c r="M502" s="374" t="n">
        <v>7</v>
      </c>
      <c r="N502" s="371" t="n">
        <v>0</v>
      </c>
      <c r="O502" s="374" t="n">
        <v>0</v>
      </c>
      <c r="P502" s="370">
        <f>IF(M502=" "," ",(1+(M502+N502+O502)/100))</f>
        <v/>
      </c>
      <c r="Q502" s="375">
        <f>IF(L502=" "," ",L502*P502)</f>
        <v/>
      </c>
    </row>
    <row r="503" ht="9.949999999999999" customHeight="1" s="244">
      <c r="A503" s="366" t="inlineStr">
        <is>
          <t>İDM</t>
        </is>
      </c>
      <c r="B503" s="367" t="inlineStr"/>
      <c r="C503" s="368" t="n"/>
      <c r="D503" s="369" t="n">
        <v>0.29</v>
      </c>
      <c r="E503" s="369" t="n">
        <v>3</v>
      </c>
      <c r="F503" s="370">
        <f>IF(D503=0," ",D503*E503)</f>
        <v/>
      </c>
      <c r="G503" s="371" t="n">
        <v>1</v>
      </c>
      <c r="H503" s="372" t="n"/>
      <c r="I503" s="370">
        <f>IF(F503=" "," ",F503*G503-H503)</f>
        <v/>
      </c>
      <c r="J503" s="369" t="n">
        <v>0.332</v>
      </c>
      <c r="K503" s="371" t="n">
        <v>14</v>
      </c>
      <c r="L503" s="373">
        <f>IF(I503=" "," ",I503*J503*K503)</f>
        <v/>
      </c>
      <c r="M503" s="374" t="n">
        <v>7</v>
      </c>
      <c r="N503" s="371" t="n">
        <v>0</v>
      </c>
      <c r="O503" s="374" t="n">
        <v>0</v>
      </c>
      <c r="P503" s="370">
        <f>IF(M503=" "," ",(1+(M503+N503+O503)/100))</f>
        <v/>
      </c>
      <c r="Q503" s="375">
        <f>IF(L503=" "," ",L503*P503)</f>
        <v/>
      </c>
    </row>
    <row r="504" ht="9.949999999999999" customHeight="1" s="244">
      <c r="A504" s="366" t="inlineStr">
        <is>
          <t>İDM</t>
        </is>
      </c>
      <c r="B504" s="367" t="inlineStr"/>
      <c r="C504" s="368" t="n"/>
      <c r="D504" s="369" t="n">
        <v>0.27</v>
      </c>
      <c r="E504" s="369" t="n">
        <v>3</v>
      </c>
      <c r="F504" s="370">
        <f>IF(D504=0," ",D504*E504)</f>
        <v/>
      </c>
      <c r="G504" s="371" t="n">
        <v>1</v>
      </c>
      <c r="H504" s="372" t="n"/>
      <c r="I504" s="370">
        <f>IF(F504=" "," ",F504*G504-H504)</f>
        <v/>
      </c>
      <c r="J504" s="369" t="n">
        <v>0.332</v>
      </c>
      <c r="K504" s="371" t="n">
        <v>14</v>
      </c>
      <c r="L504" s="373">
        <f>IF(I504=" "," ",I504*J504*K504)</f>
        <v/>
      </c>
      <c r="M504" s="374" t="n">
        <v>7</v>
      </c>
      <c r="N504" s="371" t="n">
        <v>0</v>
      </c>
      <c r="O504" s="374" t="n">
        <v>0</v>
      </c>
      <c r="P504" s="370">
        <f>IF(M504=" "," ",(1+(M504+N504+O504)/100))</f>
        <v/>
      </c>
      <c r="Q504" s="375">
        <f>IF(L504=" "," ",L504*P504)</f>
        <v/>
      </c>
    </row>
    <row r="505" ht="9.949999999999999" customHeight="1" s="244">
      <c r="A505" s="366" t="inlineStr">
        <is>
          <t>Ta</t>
        </is>
      </c>
      <c r="B505" s="367" t="inlineStr"/>
      <c r="C505" s="368" t="n"/>
      <c r="D505" s="369" t="n">
        <v>4.5</v>
      </c>
      <c r="E505" s="369" t="n">
        <v>1</v>
      </c>
      <c r="F505" s="370">
        <f>IF(D505=0," ",D505*E505)</f>
        <v/>
      </c>
      <c r="G505" s="371" t="n">
        <v>1</v>
      </c>
      <c r="H505" s="372" t="n"/>
      <c r="I505" s="370">
        <f>IF(F505=" "," ",F505*G505-H505)</f>
        <v/>
      </c>
      <c r="J505" s="369" t="n">
        <v>0.266</v>
      </c>
      <c r="K505" s="371" t="n">
        <v>27</v>
      </c>
      <c r="L505" s="373">
        <f>IF(I505=" "," ",I505*J505*K505)</f>
        <v/>
      </c>
      <c r="M505" s="374" t="n">
        <v>7</v>
      </c>
      <c r="N505" s="371" t="n">
        <v>0</v>
      </c>
      <c r="O505" s="374" t="n">
        <v>0</v>
      </c>
      <c r="P505" s="370">
        <f>IF(M505=" "," ",(1+(M505+N505+O505)/100))</f>
        <v/>
      </c>
      <c r="Q505" s="375">
        <f>IF(L505=" "," ",L505*P505)</f>
        <v/>
      </c>
    </row>
    <row r="506" ht="9.949999999999999" customHeight="1" s="244">
      <c r="A506" s="376" t="n"/>
      <c r="B506" s="377" t="n"/>
      <c r="C506" s="377" t="n"/>
      <c r="D506" s="378" t="n"/>
      <c r="E506" s="378" t="n"/>
      <c r="F506" s="378" t="n"/>
      <c r="G506" s="379" t="n"/>
      <c r="H506" s="378" t="n"/>
      <c r="I506" s="378" t="n"/>
      <c r="J506" s="378" t="n"/>
      <c r="K506" s="379" t="n"/>
      <c r="L506" s="380" t="n"/>
      <c r="M506" s="381" t="n"/>
      <c r="N506" s="381" t="n"/>
      <c r="O506" s="381" t="n"/>
      <c r="P506" s="382" t="n"/>
      <c r="Q506" s="383">
        <f>SUM(Q500:Q505)</f>
        <v/>
      </c>
    </row>
    <row r="507" ht="9.949999999999999" customHeight="1" s="244">
      <c r="A507" s="384" t="n"/>
      <c r="B507" s="385" t="n"/>
      <c r="C507" s="385" t="n"/>
      <c r="D507" s="386" t="n"/>
      <c r="E507" s="387" t="n"/>
      <c r="F507" s="388" t="n"/>
      <c r="G507" s="389" t="n"/>
      <c r="H507" s="388" t="n"/>
      <c r="I507" s="390" t="n"/>
      <c r="J507" s="391" t="inlineStr">
        <is>
          <t>Qs=</t>
        </is>
      </c>
      <c r="K507" s="390" t="inlineStr">
        <is>
          <t>S a</t>
        </is>
      </c>
      <c r="L507" s="388" t="inlineStr">
        <is>
          <t>L</t>
        </is>
      </c>
      <c r="M507" s="389" t="inlineStr">
        <is>
          <t>R</t>
        </is>
      </c>
      <c r="N507" s="392" t="inlineStr">
        <is>
          <t>H</t>
        </is>
      </c>
      <c r="O507" s="393" t="inlineStr">
        <is>
          <t>D  T</t>
        </is>
      </c>
      <c r="P507" s="389" t="inlineStr">
        <is>
          <t>Ze</t>
        </is>
      </c>
      <c r="Q507" s="394" t="n"/>
    </row>
    <row r="508" ht="9.949999999999999" customHeight="1" s="244">
      <c r="A508" s="395" t="inlineStr">
        <is>
          <t xml:space="preserve"> </t>
        </is>
      </c>
      <c r="C508" s="397" t="n"/>
      <c r="D508" s="397" t="n"/>
      <c r="E508" s="398" t="n"/>
      <c r="F508" s="399" t="n"/>
      <c r="G508" s="400" t="n"/>
      <c r="H508" s="401" t="n"/>
      <c r="I508" s="402" t="n"/>
      <c r="J508" s="403" t="inlineStr">
        <is>
          <t>Qs  =</t>
        </is>
      </c>
      <c r="K508" s="404" t="n">
        <v>2</v>
      </c>
      <c r="L508" s="404" t="n">
        <v>0</v>
      </c>
      <c r="M508" s="404" t="n">
        <v>0.9</v>
      </c>
      <c r="N508" s="404" t="n">
        <v>0.67</v>
      </c>
      <c r="O508" s="381" t="n">
        <v>27</v>
      </c>
      <c r="P508" s="404" t="n">
        <v>1</v>
      </c>
      <c r="Q508" s="383">
        <f>K508*L508*M508*N508*O508*P508</f>
        <v/>
      </c>
    </row>
    <row r="509" ht="9.949999999999999" customHeight="1" s="244">
      <c r="A509" s="405" t="n"/>
      <c r="B509" s="406" t="n"/>
      <c r="C509" s="397" t="n"/>
      <c r="D509" s="397" t="n"/>
      <c r="E509" s="378" t="n"/>
      <c r="F509" s="256" t="n"/>
      <c r="G509" s="407" t="n"/>
      <c r="H509" s="397" t="n"/>
      <c r="I509" s="397" t="n"/>
      <c r="J509" s="397" t="n"/>
      <c r="K509" s="407" t="n"/>
      <c r="L509" s="408" t="n"/>
      <c r="M509" s="409" t="inlineStr">
        <is>
          <t xml:space="preserve">   TOPLAM ISI KAYBI =</t>
        </is>
      </c>
      <c r="N509" s="409" t="n"/>
      <c r="O509" s="410" t="n"/>
      <c r="P509" s="409" t="n"/>
      <c r="Q509" s="411">
        <f>Q506+Q508</f>
        <v/>
      </c>
    </row>
    <row r="510" ht="10.35" customHeight="1" s="244">
      <c r="A510" s="359" t="n"/>
      <c r="B510" s="360" t="n"/>
      <c r="C510" s="360" t="n"/>
      <c r="D510" s="360" t="n"/>
      <c r="E510" s="360" t="n"/>
      <c r="F510" s="361" t="inlineStr">
        <is>
          <t>2</t>
        </is>
      </c>
      <c r="G510" s="362" t="inlineStr">
        <is>
          <t>0</t>
        </is>
      </c>
      <c r="H510" s="360" t="inlineStr">
        <is>
          <t>2E2-01</t>
        </is>
      </c>
      <c r="I510" s="363" t="inlineStr">
        <is>
          <t>OFİS E2 ODA</t>
        </is>
      </c>
      <c r="J510" s="364" t="n"/>
      <c r="K510" s="360" t="inlineStr">
        <is>
          <t>20ºC</t>
        </is>
      </c>
      <c r="L510" s="360" t="n"/>
      <c r="M510" s="360" t="n"/>
      <c r="N510" s="360" t="n"/>
      <c r="O510" s="360" t="n"/>
      <c r="P510" s="360" t="n"/>
      <c r="Q510" s="365" t="n"/>
    </row>
    <row r="511" ht="9.949999999999999" customHeight="1" s="244">
      <c r="A511" s="366" t="inlineStr">
        <is>
          <t>DD</t>
        </is>
      </c>
      <c r="B511" s="367" t="inlineStr">
        <is>
          <t>G</t>
        </is>
      </c>
      <c r="C511" s="368" t="n"/>
      <c r="D511" s="369" t="n">
        <v>5.14</v>
      </c>
      <c r="E511" s="369" t="n">
        <v>2.5</v>
      </c>
      <c r="F511" s="370">
        <f>IF(D511=0," ",D511*E511)</f>
        <v/>
      </c>
      <c r="G511" s="371" t="n">
        <v>1</v>
      </c>
      <c r="H511" s="372">
        <f>F513*G513</f>
        <v/>
      </c>
      <c r="I511" s="370">
        <f>IF(F511=" "," ",F511*G511-H511)</f>
        <v/>
      </c>
      <c r="J511" s="369" t="n">
        <v>0.344</v>
      </c>
      <c r="K511" s="371" t="n">
        <v>23</v>
      </c>
      <c r="L511" s="373">
        <f>IF(I511=" "," ",I511*J511*K511)</f>
        <v/>
      </c>
      <c r="M511" s="374" t="n">
        <v>7</v>
      </c>
      <c r="N511" s="371" t="n">
        <v>0</v>
      </c>
      <c r="O511" s="374" t="n">
        <v>-5</v>
      </c>
      <c r="P511" s="370">
        <f>IF(M511=" "," ",(1+(M511+N511+O511)/100))</f>
        <v/>
      </c>
      <c r="Q511" s="375">
        <f>IF(L511=" "," ",L511*P511)</f>
        <v/>
      </c>
    </row>
    <row r="512" ht="9.949999999999999" customHeight="1" s="244">
      <c r="A512" s="366" t="inlineStr">
        <is>
          <t>DD25</t>
        </is>
      </c>
      <c r="B512" s="367" t="inlineStr">
        <is>
          <t>G</t>
        </is>
      </c>
      <c r="C512" s="368" t="n"/>
      <c r="D512" s="369">
        <f>D511</f>
        <v/>
      </c>
      <c r="E512" s="369" t="n">
        <v>0.5</v>
      </c>
      <c r="F512" s="370">
        <f>IF(D512=0," ",D512*E512)</f>
        <v/>
      </c>
      <c r="G512" s="371" t="n">
        <v>1</v>
      </c>
      <c r="H512" s="372" t="n"/>
      <c r="I512" s="370">
        <f>IF(F512=" "," ",F512*G512-H512)</f>
        <v/>
      </c>
      <c r="J512" s="369" t="n">
        <v>0.387</v>
      </c>
      <c r="K512" s="371" t="n">
        <v>23</v>
      </c>
      <c r="L512" s="373">
        <f>IF(I512=" "," ",I512*J512*K512)</f>
        <v/>
      </c>
      <c r="M512" s="374" t="n">
        <v>7</v>
      </c>
      <c r="N512" s="371" t="n">
        <v>0</v>
      </c>
      <c r="O512" s="374" t="n">
        <v>-5</v>
      </c>
      <c r="P512" s="370">
        <f>IF(M512=" "," ",(1+(M512+N512+O512)/100))</f>
        <v/>
      </c>
      <c r="Q512" s="375">
        <f>IF(L512=" "," ",L512*P512)</f>
        <v/>
      </c>
    </row>
    <row r="513" ht="9.949999999999999" customHeight="1" s="244">
      <c r="A513" s="366" t="inlineStr">
        <is>
          <t>ÇP</t>
        </is>
      </c>
      <c r="B513" s="367" t="inlineStr">
        <is>
          <t>G</t>
        </is>
      </c>
      <c r="C513" s="368" t="n"/>
      <c r="D513" s="369" t="n">
        <v>2.83</v>
      </c>
      <c r="E513" s="369" t="n">
        <v>1.5</v>
      </c>
      <c r="F513" s="370">
        <f>IF(D513=0," ",D513*E513)</f>
        <v/>
      </c>
      <c r="G513" s="371" t="n">
        <v>1</v>
      </c>
      <c r="H513" s="372" t="n"/>
      <c r="I513" s="370">
        <f>IF(F513=" "," ",F513*G513-H513)</f>
        <v/>
      </c>
      <c r="J513" s="369" t="n">
        <v>1.8</v>
      </c>
      <c r="K513" s="371" t="n">
        <v>23</v>
      </c>
      <c r="L513" s="373">
        <f>IF(I513=" "," ",I513*J513*K513)</f>
        <v/>
      </c>
      <c r="M513" s="374" t="n">
        <v>7</v>
      </c>
      <c r="N513" s="371" t="n">
        <v>0</v>
      </c>
      <c r="O513" s="374" t="n">
        <v>-5</v>
      </c>
      <c r="P513" s="370">
        <f>IF(M513=" "," ",(1+(M513+N513+O513)/100))</f>
        <v/>
      </c>
      <c r="Q513" s="375">
        <f>IF(L513=" "," ",L513*P513)</f>
        <v/>
      </c>
    </row>
    <row r="514" ht="9.949999999999999" customHeight="1" s="244">
      <c r="A514" s="366" t="inlineStr">
        <is>
          <t>İDM</t>
        </is>
      </c>
      <c r="B514" s="367" t="inlineStr"/>
      <c r="C514" s="368" t="n"/>
      <c r="D514" s="369" t="n">
        <v>0.27</v>
      </c>
      <c r="E514" s="369" t="n">
        <v>3</v>
      </c>
      <c r="F514" s="370">
        <f>IF(D514=0," ",D514*E514)</f>
        <v/>
      </c>
      <c r="G514" s="371" t="n">
        <v>1</v>
      </c>
      <c r="H514" s="372" t="n"/>
      <c r="I514" s="370">
        <f>IF(F514=" "," ",F514*G514-H514)</f>
        <v/>
      </c>
      <c r="J514" s="369" t="n">
        <v>0.332</v>
      </c>
      <c r="K514" s="371" t="n">
        <v>10</v>
      </c>
      <c r="L514" s="373">
        <f>IF(I514=" "," ",I514*J514*K514)</f>
        <v/>
      </c>
      <c r="M514" s="374" t="n">
        <v>7</v>
      </c>
      <c r="N514" s="371" t="n">
        <v>0</v>
      </c>
      <c r="O514" s="374" t="n">
        <v>0</v>
      </c>
      <c r="P514" s="370">
        <f>IF(M514=" "," ",(1+(M514+N514+O514)/100))</f>
        <v/>
      </c>
      <c r="Q514" s="375">
        <f>IF(L514=" "," ",L514*P514)</f>
        <v/>
      </c>
    </row>
    <row r="515" ht="9.949999999999999" customHeight="1" s="244">
      <c r="A515" s="366" t="inlineStr">
        <is>
          <t>İDM</t>
        </is>
      </c>
      <c r="B515" s="367" t="inlineStr"/>
      <c r="C515" s="368" t="n"/>
      <c r="D515" s="369" t="n">
        <v>1.05</v>
      </c>
      <c r="E515" s="369" t="n">
        <v>3</v>
      </c>
      <c r="F515" s="370">
        <f>IF(D515=0," ",D515*E515)</f>
        <v/>
      </c>
      <c r="G515" s="371" t="n">
        <v>1</v>
      </c>
      <c r="H515" s="372" t="n"/>
      <c r="I515" s="370">
        <f>IF(F515=" "," ",F515*G515-H515)</f>
        <v/>
      </c>
      <c r="J515" s="369" t="n">
        <v>0.332</v>
      </c>
      <c r="K515" s="371" t="n">
        <v>10</v>
      </c>
      <c r="L515" s="373">
        <f>IF(I515=" "," ",I515*J515*K515)</f>
        <v/>
      </c>
      <c r="M515" s="374" t="n">
        <v>7</v>
      </c>
      <c r="N515" s="371" t="n">
        <v>0</v>
      </c>
      <c r="O515" s="374" t="n">
        <v>0</v>
      </c>
      <c r="P515" s="370">
        <f>IF(M515=" "," ",(1+(M515+N515+O515)/100))</f>
        <v/>
      </c>
      <c r="Q515" s="375">
        <f>IF(L515=" "," ",L515*P515)</f>
        <v/>
      </c>
    </row>
    <row r="516" ht="9.949999999999999" customHeight="1" s="244">
      <c r="A516" s="366" t="inlineStr">
        <is>
          <t>İDM</t>
        </is>
      </c>
      <c r="B516" s="367" t="inlineStr"/>
      <c r="C516" s="368" t="n"/>
      <c r="D516" s="369" t="n">
        <v>0.85</v>
      </c>
      <c r="E516" s="369" t="n">
        <v>3</v>
      </c>
      <c r="F516" s="370">
        <f>IF(D516=0," ",D516*E516)</f>
        <v/>
      </c>
      <c r="G516" s="371" t="n">
        <v>1</v>
      </c>
      <c r="H516" s="372" t="n"/>
      <c r="I516" s="370">
        <f>IF(F516=" "," ",F516*G516-H516)</f>
        <v/>
      </c>
      <c r="J516" s="369" t="n">
        <v>0.332</v>
      </c>
      <c r="K516" s="371" t="n">
        <v>5</v>
      </c>
      <c r="L516" s="373">
        <f>IF(I516=" "," ",I516*J516*K516)</f>
        <v/>
      </c>
      <c r="M516" s="374" t="n">
        <v>7</v>
      </c>
      <c r="N516" s="371" t="n">
        <v>0</v>
      </c>
      <c r="O516" s="374" t="n">
        <v>0</v>
      </c>
      <c r="P516" s="370">
        <f>IF(M516=" "," ",(1+(M516+N516+O516)/100))</f>
        <v/>
      </c>
      <c r="Q516" s="375">
        <f>IF(L516=" "," ",L516*P516)</f>
        <v/>
      </c>
    </row>
    <row r="517" ht="9.949999999999999" customHeight="1" s="244">
      <c r="A517" s="366" t="inlineStr">
        <is>
          <t>İDM</t>
        </is>
      </c>
      <c r="B517" s="367" t="inlineStr"/>
      <c r="C517" s="368" t="n"/>
      <c r="D517" s="369" t="n">
        <v>0.25</v>
      </c>
      <c r="E517" s="369" t="n">
        <v>3</v>
      </c>
      <c r="F517" s="370">
        <f>IF(D517=0," ",D517*E517)</f>
        <v/>
      </c>
      <c r="G517" s="371" t="n">
        <v>1</v>
      </c>
      <c r="H517" s="372" t="n"/>
      <c r="I517" s="370">
        <f>IF(F517=" "," ",F517*G517-H517)</f>
        <v/>
      </c>
      <c r="J517" s="369" t="n">
        <v>0.332</v>
      </c>
      <c r="K517" s="371" t="n">
        <v>10</v>
      </c>
      <c r="L517" s="373">
        <f>IF(I517=" "," ",I517*J517*K517)</f>
        <v/>
      </c>
      <c r="M517" s="374" t="n">
        <v>7</v>
      </c>
      <c r="N517" s="371" t="n">
        <v>0</v>
      </c>
      <c r="O517" s="374" t="n">
        <v>0</v>
      </c>
      <c r="P517" s="370">
        <f>IF(M517=" "," ",(1+(M517+N517+O517)/100))</f>
        <v/>
      </c>
      <c r="Q517" s="375">
        <f>IF(L517=" "," ",L517*P517)</f>
        <v/>
      </c>
    </row>
    <row r="518" ht="9.949999999999999" customHeight="1" s="244">
      <c r="A518" s="366" t="inlineStr">
        <is>
          <t>İDM</t>
        </is>
      </c>
      <c r="B518" s="367" t="inlineStr"/>
      <c r="C518" s="368" t="n"/>
      <c r="D518" s="369" t="n">
        <v>0.45</v>
      </c>
      <c r="E518" s="369" t="n">
        <v>3</v>
      </c>
      <c r="F518" s="370">
        <f>IF(D518=0," ",D518*E518)</f>
        <v/>
      </c>
      <c r="G518" s="371" t="n">
        <v>1</v>
      </c>
      <c r="H518" s="372" t="n"/>
      <c r="I518" s="370">
        <f>IF(F518=" "," ",F518*G518-H518)</f>
        <v/>
      </c>
      <c r="J518" s="369" t="n">
        <v>0.332</v>
      </c>
      <c r="K518" s="371" t="n">
        <v>10</v>
      </c>
      <c r="L518" s="373">
        <f>IF(I518=" "," ",I518*J518*K518)</f>
        <v/>
      </c>
      <c r="M518" s="374" t="n">
        <v>7</v>
      </c>
      <c r="N518" s="371" t="n">
        <v>0</v>
      </c>
      <c r="O518" s="374" t="n">
        <v>0</v>
      </c>
      <c r="P518" s="370">
        <f>IF(M518=" "," ",(1+(M518+N518+O518)/100))</f>
        <v/>
      </c>
      <c r="Q518" s="375">
        <f>IF(L518=" "," ",L518*P518)</f>
        <v/>
      </c>
    </row>
    <row r="519" ht="9.949999999999999" customHeight="1" s="244">
      <c r="A519" s="366" t="inlineStr">
        <is>
          <t>İDM</t>
        </is>
      </c>
      <c r="B519" s="367" t="inlineStr"/>
      <c r="C519" s="368" t="n"/>
      <c r="D519" s="369" t="n">
        <v>0.5</v>
      </c>
      <c r="E519" s="369" t="n">
        <v>3</v>
      </c>
      <c r="F519" s="370">
        <f>IF(D519=0," ",D519*E519)</f>
        <v/>
      </c>
      <c r="G519" s="371" t="n">
        <v>1</v>
      </c>
      <c r="H519" s="372" t="n"/>
      <c r="I519" s="370">
        <f>IF(F519=" "," ",F519*G519-H519)</f>
        <v/>
      </c>
      <c r="J519" s="369" t="n">
        <v>0.332</v>
      </c>
      <c r="K519" s="371" t="n">
        <v>10</v>
      </c>
      <c r="L519" s="373">
        <f>IF(I519=" "," ",I519*J519*K519)</f>
        <v/>
      </c>
      <c r="M519" s="374" t="n">
        <v>7</v>
      </c>
      <c r="N519" s="371" t="n">
        <v>0</v>
      </c>
      <c r="O519" s="374" t="n">
        <v>0</v>
      </c>
      <c r="P519" s="370">
        <f>IF(M519=" "," ",(1+(M519+N519+O519)/100))</f>
        <v/>
      </c>
      <c r="Q519" s="375">
        <f>IF(L519=" "," ",L519*P519)</f>
        <v/>
      </c>
    </row>
    <row r="520" ht="9.949999999999999" customHeight="1" s="244">
      <c r="A520" s="366" t="inlineStr">
        <is>
          <t>İDM</t>
        </is>
      </c>
      <c r="B520" s="367" t="inlineStr"/>
      <c r="C520" s="368" t="n"/>
      <c r="D520" s="369" t="n">
        <v>0.34</v>
      </c>
      <c r="E520" s="369" t="n">
        <v>3</v>
      </c>
      <c r="F520" s="370">
        <f>IF(D520=0," ",D520*E520)</f>
        <v/>
      </c>
      <c r="G520" s="371" t="n">
        <v>1</v>
      </c>
      <c r="H520" s="372" t="n"/>
      <c r="I520" s="370">
        <f>IF(F520=" "," ",F520*G520-H520)</f>
        <v/>
      </c>
      <c r="J520" s="369" t="n">
        <v>0.332</v>
      </c>
      <c r="K520" s="371" t="n">
        <v>10</v>
      </c>
      <c r="L520" s="373">
        <f>IF(I520=" "," ",I520*J520*K520)</f>
        <v/>
      </c>
      <c r="M520" s="374" t="n">
        <v>7</v>
      </c>
      <c r="N520" s="371" t="n">
        <v>0</v>
      </c>
      <c r="O520" s="374" t="n">
        <v>0</v>
      </c>
      <c r="P520" s="370">
        <f>IF(M520=" "," ",(1+(M520+N520+O520)/100))</f>
        <v/>
      </c>
      <c r="Q520" s="375">
        <f>IF(L520=" "," ",L520*P520)</f>
        <v/>
      </c>
    </row>
    <row r="521" ht="9.949999999999999" customHeight="1" s="244">
      <c r="A521" s="366" t="inlineStr">
        <is>
          <t>İDM</t>
        </is>
      </c>
      <c r="B521" s="367" t="inlineStr"/>
      <c r="C521" s="368" t="n"/>
      <c r="D521" s="369" t="n">
        <v>4.32</v>
      </c>
      <c r="E521" s="369" t="n">
        <v>3</v>
      </c>
      <c r="F521" s="370">
        <f>IF(D521=0," ",D521*E521)</f>
        <v/>
      </c>
      <c r="G521" s="371" t="n">
        <v>1</v>
      </c>
      <c r="H521" s="372" t="n"/>
      <c r="I521" s="370">
        <f>IF(F521=" "," ",F521*G521-H521)</f>
        <v/>
      </c>
      <c r="J521" s="369" t="n">
        <v>0.332</v>
      </c>
      <c r="K521" s="371" t="n">
        <v>5</v>
      </c>
      <c r="L521" s="373">
        <f>IF(I521=" "," ",I521*J521*K521)</f>
        <v/>
      </c>
      <c r="M521" s="374" t="n">
        <v>7</v>
      </c>
      <c r="N521" s="371" t="n">
        <v>0</v>
      </c>
      <c r="O521" s="374" t="n">
        <v>0</v>
      </c>
      <c r="P521" s="370">
        <f>IF(M521=" "," ",(1+(M521+N521+O521)/100))</f>
        <v/>
      </c>
      <c r="Q521" s="375">
        <f>IF(L521=" "," ",L521*P521)</f>
        <v/>
      </c>
    </row>
    <row r="522" ht="9.949999999999999" customHeight="1" s="244">
      <c r="A522" s="366" t="inlineStr">
        <is>
          <t>İDM</t>
        </is>
      </c>
      <c r="B522" s="367" t="inlineStr"/>
      <c r="C522" s="368" t="n"/>
      <c r="D522" s="369" t="n">
        <v>0.32</v>
      </c>
      <c r="E522" s="369" t="n">
        <v>3</v>
      </c>
      <c r="F522" s="370">
        <f>IF(D522=0," ",D522*E522)</f>
        <v/>
      </c>
      <c r="G522" s="371" t="n">
        <v>1</v>
      </c>
      <c r="H522" s="372" t="n"/>
      <c r="I522" s="370">
        <f>IF(F522=" "," ",F522*G522-H522)</f>
        <v/>
      </c>
      <c r="J522" s="369" t="n">
        <v>0.332</v>
      </c>
      <c r="K522" s="371" t="n">
        <v>10</v>
      </c>
      <c r="L522" s="373">
        <f>IF(I522=" "," ",I522*J522*K522)</f>
        <v/>
      </c>
      <c r="M522" s="374" t="n">
        <v>7</v>
      </c>
      <c r="N522" s="371" t="n">
        <v>0</v>
      </c>
      <c r="O522" s="374" t="n">
        <v>0</v>
      </c>
      <c r="P522" s="370">
        <f>IF(M522=" "," ",(1+(M522+N522+O522)/100))</f>
        <v/>
      </c>
      <c r="Q522" s="375">
        <f>IF(L522=" "," ",L522*P522)</f>
        <v/>
      </c>
    </row>
    <row r="523" ht="9.949999999999999" customHeight="1" s="244">
      <c r="A523" s="366" t="inlineStr">
        <is>
          <t>İDM</t>
        </is>
      </c>
      <c r="B523" s="367" t="inlineStr"/>
      <c r="C523" s="368" t="n"/>
      <c r="D523" s="369" t="n">
        <v>0.8</v>
      </c>
      <c r="E523" s="369" t="n">
        <v>3</v>
      </c>
      <c r="F523" s="370">
        <f>IF(D523=0," ",D523*E523)</f>
        <v/>
      </c>
      <c r="G523" s="371" t="n">
        <v>1</v>
      </c>
      <c r="H523" s="372" t="n"/>
      <c r="I523" s="370">
        <f>IF(F523=" "," ",F523*G523-H523)</f>
        <v/>
      </c>
      <c r="J523" s="369" t="n">
        <v>0.332</v>
      </c>
      <c r="K523" s="371" t="n">
        <v>10</v>
      </c>
      <c r="L523" s="373">
        <f>IF(I523=" "," ",I523*J523*K523)</f>
        <v/>
      </c>
      <c r="M523" s="374" t="n">
        <v>7</v>
      </c>
      <c r="N523" s="371" t="n">
        <v>0</v>
      </c>
      <c r="O523" s="374" t="n">
        <v>0</v>
      </c>
      <c r="P523" s="370">
        <f>IF(M523=" "," ",(1+(M523+N523+O523)/100))</f>
        <v/>
      </c>
      <c r="Q523" s="375">
        <f>IF(L523=" "," ",L523*P523)</f>
        <v/>
      </c>
    </row>
    <row r="524" ht="9.949999999999999" customHeight="1" s="244">
      <c r="A524" s="366" t="inlineStr">
        <is>
          <t>İDM</t>
        </is>
      </c>
      <c r="B524" s="367" t="inlineStr"/>
      <c r="C524" s="368" t="n"/>
      <c r="D524" s="369" t="n">
        <v>0.42</v>
      </c>
      <c r="E524" s="369" t="n">
        <v>3</v>
      </c>
      <c r="F524" s="370">
        <f>IF(D524=0," ",D524*E524)</f>
        <v/>
      </c>
      <c r="G524" s="371" t="n">
        <v>1</v>
      </c>
      <c r="H524" s="372" t="n"/>
      <c r="I524" s="370">
        <f>IF(F524=" "," ",F524*G524-H524)</f>
        <v/>
      </c>
      <c r="J524" s="369" t="n">
        <v>0.332</v>
      </c>
      <c r="K524" s="371" t="n">
        <v>10</v>
      </c>
      <c r="L524" s="373">
        <f>IF(I524=" "," ",I524*J524*K524)</f>
        <v/>
      </c>
      <c r="M524" s="374" t="n">
        <v>7</v>
      </c>
      <c r="N524" s="371" t="n">
        <v>0</v>
      </c>
      <c r="O524" s="374" t="n">
        <v>0</v>
      </c>
      <c r="P524" s="370">
        <f>IF(M524=" "," ",(1+(M524+N524+O524)/100))</f>
        <v/>
      </c>
      <c r="Q524" s="375">
        <f>IF(L524=" "," ",L524*P524)</f>
        <v/>
      </c>
    </row>
    <row r="525" ht="9.949999999999999" customHeight="1" s="244">
      <c r="A525" s="366" t="inlineStr">
        <is>
          <t>İDM</t>
        </is>
      </c>
      <c r="B525" s="367" t="inlineStr"/>
      <c r="C525" s="368" t="n"/>
      <c r="D525" s="369" t="n">
        <v>1.25</v>
      </c>
      <c r="E525" s="369" t="n">
        <v>3</v>
      </c>
      <c r="F525" s="370">
        <f>IF(D525=0," ",D525*E525)</f>
        <v/>
      </c>
      <c r="G525" s="371" t="n">
        <v>1</v>
      </c>
      <c r="H525" s="372" t="n"/>
      <c r="I525" s="370">
        <f>IF(F525=" "," ",F525*G525-H525)</f>
        <v/>
      </c>
      <c r="J525" s="369" t="n">
        <v>0.332</v>
      </c>
      <c r="K525" s="371" t="n">
        <v>5</v>
      </c>
      <c r="L525" s="373">
        <f>IF(I525=" "," ",I525*J525*K525)</f>
        <v/>
      </c>
      <c r="M525" s="374" t="n">
        <v>7</v>
      </c>
      <c r="N525" s="371" t="n">
        <v>0</v>
      </c>
      <c r="O525" s="374" t="n">
        <v>0</v>
      </c>
      <c r="P525" s="370">
        <f>IF(M525=" "," ",(1+(M525+N525+O525)/100))</f>
        <v/>
      </c>
      <c r="Q525" s="375">
        <f>IF(L525=" "," ",L525*P525)</f>
        <v/>
      </c>
    </row>
    <row r="526" ht="9.949999999999999" customHeight="1" s="244">
      <c r="A526" s="366" t="inlineStr">
        <is>
          <t>Ta</t>
        </is>
      </c>
      <c r="B526" s="367" t="inlineStr"/>
      <c r="C526" s="368" t="n"/>
      <c r="D526" s="369" t="n">
        <v>44</v>
      </c>
      <c r="E526" s="369" t="n">
        <v>1</v>
      </c>
      <c r="F526" s="370">
        <f>IF(D526=0," ",D526*E526)</f>
        <v/>
      </c>
      <c r="G526" s="371" t="n">
        <v>1</v>
      </c>
      <c r="H526" s="372" t="n"/>
      <c r="I526" s="370">
        <f>IF(F526=" "," ",F526*G526-H526)</f>
        <v/>
      </c>
      <c r="J526" s="369" t="n">
        <v>0.266</v>
      </c>
      <c r="K526" s="371" t="n">
        <v>23</v>
      </c>
      <c r="L526" s="373">
        <f>IF(I526=" "," ",I526*J526*K526)</f>
        <v/>
      </c>
      <c r="M526" s="374" t="n">
        <v>7</v>
      </c>
      <c r="N526" s="371" t="n">
        <v>0</v>
      </c>
      <c r="O526" s="374" t="n">
        <v>0</v>
      </c>
      <c r="P526" s="370">
        <f>IF(M526=" "," ",(1+(M526+N526+O526)/100))</f>
        <v/>
      </c>
      <c r="Q526" s="375">
        <f>IF(L526=" "," ",L526*P526)</f>
        <v/>
      </c>
    </row>
    <row r="527" ht="9.949999999999999" customHeight="1" s="244">
      <c r="A527" s="376" t="n"/>
      <c r="B527" s="377" t="n"/>
      <c r="C527" s="377" t="n"/>
      <c r="D527" s="378" t="n"/>
      <c r="E527" s="378" t="n"/>
      <c r="F527" s="378" t="n"/>
      <c r="G527" s="379" t="n"/>
      <c r="H527" s="378" t="n"/>
      <c r="I527" s="378" t="n"/>
      <c r="J527" s="378" t="n"/>
      <c r="K527" s="379" t="n"/>
      <c r="L527" s="380" t="n"/>
      <c r="M527" s="381" t="n"/>
      <c r="N527" s="381" t="n"/>
      <c r="O527" s="381" t="n"/>
      <c r="P527" s="382" t="n"/>
      <c r="Q527" s="383">
        <f>SUM(Q511:Q526)</f>
        <v/>
      </c>
    </row>
    <row r="528" ht="9.949999999999999" customHeight="1" s="244">
      <c r="A528" s="384" t="n"/>
      <c r="B528" s="385" t="n"/>
      <c r="C528" s="385" t="n"/>
      <c r="D528" s="386" t="n"/>
      <c r="E528" s="387" t="n"/>
      <c r="F528" s="388" t="n"/>
      <c r="G528" s="389" t="n"/>
      <c r="H528" s="388" t="n"/>
      <c r="I528" s="390" t="n"/>
      <c r="J528" s="391" t="inlineStr">
        <is>
          <t>Qs=</t>
        </is>
      </c>
      <c r="K528" s="390" t="inlineStr">
        <is>
          <t>S a</t>
        </is>
      </c>
      <c r="L528" s="388" t="inlineStr">
        <is>
          <t>L</t>
        </is>
      </c>
      <c r="M528" s="389" t="inlineStr">
        <is>
          <t>R</t>
        </is>
      </c>
      <c r="N528" s="392" t="inlineStr">
        <is>
          <t>H</t>
        </is>
      </c>
      <c r="O528" s="393" t="inlineStr">
        <is>
          <t>D  T</t>
        </is>
      </c>
      <c r="P528" s="389" t="inlineStr">
        <is>
          <t>Ze</t>
        </is>
      </c>
      <c r="Q528" s="394" t="n"/>
    </row>
    <row r="529" ht="9.949999999999999" customHeight="1" s="244">
      <c r="A529" s="395" t="inlineStr">
        <is>
          <t xml:space="preserve"> </t>
        </is>
      </c>
      <c r="C529" s="397" t="n"/>
      <c r="D529" s="397" t="n"/>
      <c r="E529" s="398" t="n"/>
      <c r="F529" s="399" t="n"/>
      <c r="G529" s="400" t="n"/>
      <c r="H529" s="401" t="n"/>
      <c r="I529" s="402" t="n"/>
      <c r="J529" s="403" t="inlineStr">
        <is>
          <t>Qs  =</t>
        </is>
      </c>
      <c r="K529" s="404" t="n">
        <v>2</v>
      </c>
      <c r="L529" s="404">
        <f>(D513+E513)*2*G513</f>
        <v/>
      </c>
      <c r="M529" s="404" t="n">
        <v>0.9</v>
      </c>
      <c r="N529" s="404" t="n">
        <v>0.67</v>
      </c>
      <c r="O529" s="381" t="n">
        <v>23</v>
      </c>
      <c r="P529" s="404" t="n">
        <v>1</v>
      </c>
      <c r="Q529" s="383">
        <f>K529*L529*M529*N529*O529*P529</f>
        <v/>
      </c>
    </row>
    <row r="530" ht="9.949999999999999" customHeight="1" s="244">
      <c r="A530" s="405" t="n"/>
      <c r="B530" s="406" t="n"/>
      <c r="C530" s="397" t="n"/>
      <c r="D530" s="397" t="n"/>
      <c r="E530" s="378" t="n"/>
      <c r="F530" s="256" t="n"/>
      <c r="G530" s="407" t="n"/>
      <c r="H530" s="397" t="n"/>
      <c r="I530" s="397" t="n"/>
      <c r="J530" s="397" t="n"/>
      <c r="K530" s="407" t="n"/>
      <c r="L530" s="408" t="n"/>
      <c r="M530" s="409" t="inlineStr">
        <is>
          <t xml:space="preserve">   TOPLAM ISI KAYBI =</t>
        </is>
      </c>
      <c r="N530" s="409" t="n"/>
      <c r="O530" s="410" t="n"/>
      <c r="P530" s="409" t="n"/>
      <c r="Q530" s="411">
        <f>Q527+Q529</f>
        <v/>
      </c>
    </row>
    <row r="531" ht="10.35" customHeight="1" s="244">
      <c r="A531" s="359" t="n"/>
      <c r="B531" s="360" t="n"/>
      <c r="C531" s="360" t="n"/>
      <c r="D531" s="360" t="n"/>
      <c r="E531" s="360" t="n"/>
      <c r="F531" s="361" t="inlineStr">
        <is>
          <t>2</t>
        </is>
      </c>
      <c r="G531" s="362" t="inlineStr">
        <is>
          <t>0</t>
        </is>
      </c>
      <c r="H531" s="360" t="inlineStr">
        <is>
          <t>2E2-02</t>
        </is>
      </c>
      <c r="I531" s="363" t="inlineStr">
        <is>
          <t>OFİS E2 GİRİŞ HOLÜ</t>
        </is>
      </c>
      <c r="J531" s="364" t="n"/>
      <c r="K531" s="360" t="inlineStr">
        <is>
          <t>20ºC</t>
        </is>
      </c>
      <c r="L531" s="360" t="n"/>
      <c r="M531" s="360" t="n"/>
      <c r="N531" s="360" t="n"/>
      <c r="O531" s="360" t="n"/>
      <c r="P531" s="360" t="n"/>
      <c r="Q531" s="365" t="n"/>
    </row>
    <row r="532" ht="9.949999999999999" customHeight="1" s="244">
      <c r="A532" s="366" t="inlineStr">
        <is>
          <t>DD</t>
        </is>
      </c>
      <c r="B532" s="367" t="inlineStr">
        <is>
          <t>K</t>
        </is>
      </c>
      <c r="C532" s="368" t="n"/>
      <c r="D532" s="369" t="n">
        <v>1.33</v>
      </c>
      <c r="E532" s="369" t="n">
        <v>2.5</v>
      </c>
      <c r="F532" s="370">
        <f>IF(D532=0," ",D532*E532)</f>
        <v/>
      </c>
      <c r="G532" s="371" t="n">
        <v>1</v>
      </c>
      <c r="H532" s="372">
        <f>F534*G534</f>
        <v/>
      </c>
      <c r="I532" s="370">
        <f>IF(F532=" "," ",F532*G532-H532)</f>
        <v/>
      </c>
      <c r="J532" s="369" t="n">
        <v>0.344</v>
      </c>
      <c r="K532" s="371" t="n">
        <v>23</v>
      </c>
      <c r="L532" s="373">
        <f>IF(I532=" "," ",I532*J532*K532)</f>
        <v/>
      </c>
      <c r="M532" s="374" t="n">
        <v>7</v>
      </c>
      <c r="N532" s="371" t="n">
        <v>0</v>
      </c>
      <c r="O532" s="374" t="n">
        <v>5</v>
      </c>
      <c r="P532" s="370">
        <f>IF(M532=" "," ",(1+(M532+N532+O532)/100))</f>
        <v/>
      </c>
      <c r="Q532" s="375">
        <f>IF(L532=" "," ",L532*P532)</f>
        <v/>
      </c>
    </row>
    <row r="533" ht="9.949999999999999" customHeight="1" s="244">
      <c r="A533" s="366" t="inlineStr">
        <is>
          <t>DD25</t>
        </is>
      </c>
      <c r="B533" s="367" t="inlineStr">
        <is>
          <t>K</t>
        </is>
      </c>
      <c r="C533" s="368" t="n"/>
      <c r="D533" s="369">
        <f>D532</f>
        <v/>
      </c>
      <c r="E533" s="369" t="n">
        <v>0.5</v>
      </c>
      <c r="F533" s="370">
        <f>IF(D533=0," ",D533*E533)</f>
        <v/>
      </c>
      <c r="G533" s="371" t="n">
        <v>1</v>
      </c>
      <c r="H533" s="372" t="n"/>
      <c r="I533" s="370">
        <f>IF(F533=" "," ",F533*G533-H533)</f>
        <v/>
      </c>
      <c r="J533" s="369" t="n">
        <v>0.387</v>
      </c>
      <c r="K533" s="371" t="n">
        <v>23</v>
      </c>
      <c r="L533" s="373">
        <f>IF(I533=" "," ",I533*J533*K533)</f>
        <v/>
      </c>
      <c r="M533" s="374" t="n">
        <v>7</v>
      </c>
      <c r="N533" s="371" t="n">
        <v>0</v>
      </c>
      <c r="O533" s="374" t="n">
        <v>5</v>
      </c>
      <c r="P533" s="370">
        <f>IF(M533=" "," ",(1+(M533+N533+O533)/100))</f>
        <v/>
      </c>
      <c r="Q533" s="375">
        <f>IF(L533=" "," ",L533*P533)</f>
        <v/>
      </c>
    </row>
    <row r="534" ht="9.949999999999999" customHeight="1" s="244">
      <c r="A534" s="366" t="inlineStr">
        <is>
          <t>ÇP</t>
        </is>
      </c>
      <c r="B534" s="367" t="inlineStr">
        <is>
          <t>K</t>
        </is>
      </c>
      <c r="C534" s="368" t="n"/>
      <c r="D534" s="369" t="n">
        <v>0.73</v>
      </c>
      <c r="E534" s="369" t="n">
        <v>1.5</v>
      </c>
      <c r="F534" s="370">
        <f>IF(D534=0," ",D534*E534)</f>
        <v/>
      </c>
      <c r="G534" s="371" t="n">
        <v>1</v>
      </c>
      <c r="H534" s="372" t="n"/>
      <c r="I534" s="370">
        <f>IF(F534=" "," ",F534*G534-H534)</f>
        <v/>
      </c>
      <c r="J534" s="369" t="n">
        <v>1.8</v>
      </c>
      <c r="K534" s="371" t="n">
        <v>23</v>
      </c>
      <c r="L534" s="373">
        <f>IF(I534=" "," ",I534*J534*K534)</f>
        <v/>
      </c>
      <c r="M534" s="374" t="n">
        <v>7</v>
      </c>
      <c r="N534" s="371" t="n">
        <v>0</v>
      </c>
      <c r="O534" s="374" t="n">
        <v>5</v>
      </c>
      <c r="P534" s="370">
        <f>IF(M534=" "," ",(1+(M534+N534+O534)/100))</f>
        <v/>
      </c>
      <c r="Q534" s="375">
        <f>IF(L534=" "," ",L534*P534)</f>
        <v/>
      </c>
    </row>
    <row r="535" ht="9.949999999999999" customHeight="1" s="244">
      <c r="A535" s="366" t="inlineStr">
        <is>
          <t>İDM</t>
        </is>
      </c>
      <c r="B535" s="367" t="inlineStr"/>
      <c r="C535" s="368" t="n"/>
      <c r="D535" s="369" t="n">
        <v>0.84</v>
      </c>
      <c r="E535" s="369" t="n">
        <v>3</v>
      </c>
      <c r="F535" s="370">
        <f>IF(D535=0," ",D535*E535)</f>
        <v/>
      </c>
      <c r="G535" s="371" t="n">
        <v>1</v>
      </c>
      <c r="H535" s="372" t="n"/>
      <c r="I535" s="370">
        <f>IF(F535=" "," ",F535*G535-H535)</f>
        <v/>
      </c>
      <c r="J535" s="369" t="n">
        <v>0.332</v>
      </c>
      <c r="K535" s="371" t="n">
        <v>10</v>
      </c>
      <c r="L535" s="373">
        <f>IF(I535=" "," ",I535*J535*K535)</f>
        <v/>
      </c>
      <c r="M535" s="374" t="n">
        <v>7</v>
      </c>
      <c r="N535" s="371" t="n">
        <v>0</v>
      </c>
      <c r="O535" s="374" t="n">
        <v>0</v>
      </c>
      <c r="P535" s="370">
        <f>IF(M535=" "," ",(1+(M535+N535+O535)/100))</f>
        <v/>
      </c>
      <c r="Q535" s="375">
        <f>IF(L535=" "," ",L535*P535)</f>
        <v/>
      </c>
    </row>
    <row r="536" ht="9.949999999999999" customHeight="1" s="244">
      <c r="A536" s="366" t="inlineStr">
        <is>
          <t>İDM</t>
        </is>
      </c>
      <c r="B536" s="367" t="inlineStr"/>
      <c r="C536" s="368" t="n"/>
      <c r="D536" s="369" t="n">
        <v>0.5</v>
      </c>
      <c r="E536" s="369" t="n">
        <v>3</v>
      </c>
      <c r="F536" s="370">
        <f>IF(D536=0," ",D536*E536)</f>
        <v/>
      </c>
      <c r="G536" s="371" t="n">
        <v>1</v>
      </c>
      <c r="H536" s="372" t="n"/>
      <c r="I536" s="370">
        <f>IF(F536=" "," ",F536*G536-H536)</f>
        <v/>
      </c>
      <c r="J536" s="369" t="n">
        <v>0.332</v>
      </c>
      <c r="K536" s="371" t="n">
        <v>10</v>
      </c>
      <c r="L536" s="373">
        <f>IF(I536=" "," ",I536*J536*K536)</f>
        <v/>
      </c>
      <c r="M536" s="374" t="n">
        <v>7</v>
      </c>
      <c r="N536" s="371" t="n">
        <v>0</v>
      </c>
      <c r="O536" s="374" t="n">
        <v>0</v>
      </c>
      <c r="P536" s="370">
        <f>IF(M536=" "," ",(1+(M536+N536+O536)/100))</f>
        <v/>
      </c>
      <c r="Q536" s="375">
        <f>IF(L536=" "," ",L536*P536)</f>
        <v/>
      </c>
    </row>
    <row r="537" ht="9.949999999999999" customHeight="1" s="244">
      <c r="A537" s="366" t="inlineStr">
        <is>
          <t>İDM</t>
        </is>
      </c>
      <c r="B537" s="367" t="inlineStr"/>
      <c r="C537" s="368" t="n"/>
      <c r="D537" s="369" t="n">
        <v>0.78</v>
      </c>
      <c r="E537" s="369" t="n">
        <v>3</v>
      </c>
      <c r="F537" s="370">
        <f>IF(D537=0," ",D537*E537)</f>
        <v/>
      </c>
      <c r="G537" s="371" t="n">
        <v>1</v>
      </c>
      <c r="H537" s="372" t="n"/>
      <c r="I537" s="370">
        <f>IF(F537=" "," ",F537*G537-H537)</f>
        <v/>
      </c>
      <c r="J537" s="369" t="n">
        <v>0.332</v>
      </c>
      <c r="K537" s="371" t="n">
        <v>10</v>
      </c>
      <c r="L537" s="373">
        <f>IF(I537=" "," ",I537*J537*K537)</f>
        <v/>
      </c>
      <c r="M537" s="374" t="n">
        <v>7</v>
      </c>
      <c r="N537" s="371" t="n">
        <v>0</v>
      </c>
      <c r="O537" s="374" t="n">
        <v>0</v>
      </c>
      <c r="P537" s="370">
        <f>IF(M537=" "," ",(1+(M537+N537+O537)/100))</f>
        <v/>
      </c>
      <c r="Q537" s="375">
        <f>IF(L537=" "," ",L537*P537)</f>
        <v/>
      </c>
    </row>
    <row r="538" ht="9.949999999999999" customHeight="1" s="244">
      <c r="A538" s="366" t="inlineStr">
        <is>
          <t>İDM</t>
        </is>
      </c>
      <c r="B538" s="367" t="inlineStr"/>
      <c r="C538" s="368" t="n"/>
      <c r="D538" s="369" t="n">
        <v>0.47</v>
      </c>
      <c r="E538" s="369" t="n">
        <v>3</v>
      </c>
      <c r="F538" s="370">
        <f>IF(D538=0," ",D538*E538)</f>
        <v/>
      </c>
      <c r="G538" s="371" t="n">
        <v>1</v>
      </c>
      <c r="H538" s="372" t="n"/>
      <c r="I538" s="370">
        <f>IF(F538=" "," ",F538*G538-H538)</f>
        <v/>
      </c>
      <c r="J538" s="369" t="n">
        <v>0.332</v>
      </c>
      <c r="K538" s="371" t="n">
        <v>10</v>
      </c>
      <c r="L538" s="373">
        <f>IF(I538=" "," ",I538*J538*K538)</f>
        <v/>
      </c>
      <c r="M538" s="374" t="n">
        <v>7</v>
      </c>
      <c r="N538" s="371" t="n">
        <v>0</v>
      </c>
      <c r="O538" s="374" t="n">
        <v>0</v>
      </c>
      <c r="P538" s="370">
        <f>IF(M538=" "," ",(1+(M538+N538+O538)/100))</f>
        <v/>
      </c>
      <c r="Q538" s="375">
        <f>IF(L538=" "," ",L538*P538)</f>
        <v/>
      </c>
    </row>
    <row r="539" ht="9.949999999999999" customHeight="1" s="244">
      <c r="A539" s="366" t="inlineStr">
        <is>
          <t>İDM</t>
        </is>
      </c>
      <c r="B539" s="367" t="inlineStr"/>
      <c r="C539" s="368" t="n"/>
      <c r="D539" s="369" t="n">
        <v>0.96</v>
      </c>
      <c r="E539" s="369" t="n">
        <v>3</v>
      </c>
      <c r="F539" s="370">
        <f>IF(D539=0," ",D539*E539)</f>
        <v/>
      </c>
      <c r="G539" s="371" t="n">
        <v>1</v>
      </c>
      <c r="H539" s="372" t="n"/>
      <c r="I539" s="370">
        <f>IF(F539=" "," ",F539*G539-H539)</f>
        <v/>
      </c>
      <c r="J539" s="369" t="n">
        <v>0.332</v>
      </c>
      <c r="K539" s="371" t="n">
        <v>10</v>
      </c>
      <c r="L539" s="373">
        <f>IF(I539=" "," ",I539*J539*K539)</f>
        <v/>
      </c>
      <c r="M539" s="374" t="n">
        <v>7</v>
      </c>
      <c r="N539" s="371" t="n">
        <v>0</v>
      </c>
      <c r="O539" s="374" t="n">
        <v>0</v>
      </c>
      <c r="P539" s="370">
        <f>IF(M539=" "," ",(1+(M539+N539+O539)/100))</f>
        <v/>
      </c>
      <c r="Q539" s="375">
        <f>IF(L539=" "," ",L539*P539)</f>
        <v/>
      </c>
    </row>
    <row r="540" ht="9.949999999999999" customHeight="1" s="244">
      <c r="A540" s="366" t="inlineStr">
        <is>
          <t>İDM</t>
        </is>
      </c>
      <c r="B540" s="367" t="inlineStr"/>
      <c r="C540" s="368" t="n"/>
      <c r="D540" s="369" t="n">
        <v>0.22</v>
      </c>
      <c r="E540" s="369" t="n">
        <v>3</v>
      </c>
      <c r="F540" s="370">
        <f>IF(D540=0," ",D540*E540)</f>
        <v/>
      </c>
      <c r="G540" s="371" t="n">
        <v>1</v>
      </c>
      <c r="H540" s="372" t="n"/>
      <c r="I540" s="370">
        <f>IF(F540=" "," ",F540*G540-H540)</f>
        <v/>
      </c>
      <c r="J540" s="369" t="n">
        <v>0.332</v>
      </c>
      <c r="K540" s="371" t="n">
        <v>10</v>
      </c>
      <c r="L540" s="373">
        <f>IF(I540=" "," ",I540*J540*K540)</f>
        <v/>
      </c>
      <c r="M540" s="374" t="n">
        <v>7</v>
      </c>
      <c r="N540" s="371" t="n">
        <v>0</v>
      </c>
      <c r="O540" s="374" t="n">
        <v>0</v>
      </c>
      <c r="P540" s="370">
        <f>IF(M540=" "," ",(1+(M540+N540+O540)/100))</f>
        <v/>
      </c>
      <c r="Q540" s="375">
        <f>IF(L540=" "," ",L540*P540)</f>
        <v/>
      </c>
    </row>
    <row r="541" ht="9.949999999999999" customHeight="1" s="244">
      <c r="A541" s="366" t="inlineStr">
        <is>
          <t>İDM</t>
        </is>
      </c>
      <c r="B541" s="367" t="inlineStr"/>
      <c r="C541" s="368" t="n"/>
      <c r="D541" s="369" t="n">
        <v>0.83</v>
      </c>
      <c r="E541" s="369" t="n">
        <v>3</v>
      </c>
      <c r="F541" s="370">
        <f>IF(D541=0," ",D541*E541)</f>
        <v/>
      </c>
      <c r="G541" s="371" t="n">
        <v>1</v>
      </c>
      <c r="H541" s="372" t="n"/>
      <c r="I541" s="370">
        <f>IF(F541=" "," ",F541*G541-H541)</f>
        <v/>
      </c>
      <c r="J541" s="369" t="n">
        <v>0.332</v>
      </c>
      <c r="K541" s="371" t="n">
        <v>10</v>
      </c>
      <c r="L541" s="373">
        <f>IF(I541=" "," ",I541*J541*K541)</f>
        <v/>
      </c>
      <c r="M541" s="374" t="n">
        <v>7</v>
      </c>
      <c r="N541" s="371" t="n">
        <v>0</v>
      </c>
      <c r="O541" s="374" t="n">
        <v>0</v>
      </c>
      <c r="P541" s="370">
        <f>IF(M541=" "," ",(1+(M541+N541+O541)/100))</f>
        <v/>
      </c>
      <c r="Q541" s="375">
        <f>IF(L541=" "," ",L541*P541)</f>
        <v/>
      </c>
    </row>
    <row r="542" ht="9.949999999999999" customHeight="1" s="244">
      <c r="A542" s="366" t="inlineStr">
        <is>
          <t>İDM</t>
        </is>
      </c>
      <c r="B542" s="367" t="inlineStr"/>
      <c r="C542" s="368" t="n"/>
      <c r="D542" s="369" t="n">
        <v>0.5</v>
      </c>
      <c r="E542" s="369" t="n">
        <v>3</v>
      </c>
      <c r="F542" s="370">
        <f>IF(D542=0," ",D542*E542)</f>
        <v/>
      </c>
      <c r="G542" s="371" t="n">
        <v>1</v>
      </c>
      <c r="H542" s="372" t="n"/>
      <c r="I542" s="370">
        <f>IF(F542=" "," ",F542*G542-H542)</f>
        <v/>
      </c>
      <c r="J542" s="369" t="n">
        <v>0.332</v>
      </c>
      <c r="K542" s="371" t="n">
        <v>10</v>
      </c>
      <c r="L542" s="373">
        <f>IF(I542=" "," ",I542*J542*K542)</f>
        <v/>
      </c>
      <c r="M542" s="374" t="n">
        <v>7</v>
      </c>
      <c r="N542" s="371" t="n">
        <v>0</v>
      </c>
      <c r="O542" s="374" t="n">
        <v>0</v>
      </c>
      <c r="P542" s="370">
        <f>IF(M542=" "," ",(1+(M542+N542+O542)/100))</f>
        <v/>
      </c>
      <c r="Q542" s="375">
        <f>IF(L542=" "," ",L542*P542)</f>
        <v/>
      </c>
    </row>
    <row r="543" ht="9.949999999999999" customHeight="1" s="244">
      <c r="A543" s="366" t="inlineStr">
        <is>
          <t>Ta</t>
        </is>
      </c>
      <c r="B543" s="367" t="inlineStr"/>
      <c r="C543" s="368" t="n"/>
      <c r="D543" s="369" t="n">
        <v>11.12</v>
      </c>
      <c r="E543" s="369" t="n">
        <v>1</v>
      </c>
      <c r="F543" s="370">
        <f>IF(D543=0," ",D543*E543)</f>
        <v/>
      </c>
      <c r="G543" s="371" t="n">
        <v>1</v>
      </c>
      <c r="H543" s="372" t="n"/>
      <c r="I543" s="370">
        <f>IF(F543=" "," ",F543*G543-H543)</f>
        <v/>
      </c>
      <c r="J543" s="369" t="n">
        <v>0.266</v>
      </c>
      <c r="K543" s="371" t="n">
        <v>23</v>
      </c>
      <c r="L543" s="373">
        <f>IF(I543=" "," ",I543*J543*K543)</f>
        <v/>
      </c>
      <c r="M543" s="374" t="n">
        <v>7</v>
      </c>
      <c r="N543" s="371" t="n">
        <v>0</v>
      </c>
      <c r="O543" s="374" t="n">
        <v>0</v>
      </c>
      <c r="P543" s="370">
        <f>IF(M543=" "," ",(1+(M543+N543+O543)/100))</f>
        <v/>
      </c>
      <c r="Q543" s="375">
        <f>IF(L543=" "," ",L543*P543)</f>
        <v/>
      </c>
    </row>
    <row r="544" ht="9.949999999999999" customHeight="1" s="244">
      <c r="A544" s="376" t="n"/>
      <c r="B544" s="377" t="n"/>
      <c r="C544" s="377" t="n"/>
      <c r="D544" s="378" t="n"/>
      <c r="E544" s="378" t="n"/>
      <c r="F544" s="378" t="n"/>
      <c r="G544" s="379" t="n"/>
      <c r="H544" s="378" t="n"/>
      <c r="I544" s="378" t="n"/>
      <c r="J544" s="378" t="n"/>
      <c r="K544" s="379" t="n"/>
      <c r="L544" s="380" t="n"/>
      <c r="M544" s="381" t="n"/>
      <c r="N544" s="381" t="n"/>
      <c r="O544" s="381" t="n"/>
      <c r="P544" s="382" t="n"/>
      <c r="Q544" s="383">
        <f>SUM(Q532:Q543)</f>
        <v/>
      </c>
    </row>
    <row r="545" ht="9.949999999999999" customHeight="1" s="244">
      <c r="A545" s="384" t="n"/>
      <c r="B545" s="385" t="n"/>
      <c r="C545" s="385" t="n"/>
      <c r="D545" s="386" t="n"/>
      <c r="E545" s="387" t="n"/>
      <c r="F545" s="388" t="n"/>
      <c r="G545" s="389" t="n"/>
      <c r="H545" s="388" t="n"/>
      <c r="I545" s="390" t="n"/>
      <c r="J545" s="391" t="inlineStr">
        <is>
          <t>Qs=</t>
        </is>
      </c>
      <c r="K545" s="390" t="inlineStr">
        <is>
          <t>S a</t>
        </is>
      </c>
      <c r="L545" s="388" t="inlineStr">
        <is>
          <t>L</t>
        </is>
      </c>
      <c r="M545" s="389" t="inlineStr">
        <is>
          <t>R</t>
        </is>
      </c>
      <c r="N545" s="392" t="inlineStr">
        <is>
          <t>H</t>
        </is>
      </c>
      <c r="O545" s="393" t="inlineStr">
        <is>
          <t>D  T</t>
        </is>
      </c>
      <c r="P545" s="389" t="inlineStr">
        <is>
          <t>Ze</t>
        </is>
      </c>
      <c r="Q545" s="394" t="n"/>
    </row>
    <row r="546" ht="9.949999999999999" customHeight="1" s="244">
      <c r="A546" s="395" t="inlineStr">
        <is>
          <t xml:space="preserve"> </t>
        </is>
      </c>
      <c r="C546" s="397" t="n"/>
      <c r="D546" s="397" t="n"/>
      <c r="E546" s="398" t="n"/>
      <c r="F546" s="399" t="n"/>
      <c r="G546" s="400" t="n"/>
      <c r="H546" s="401" t="n"/>
      <c r="I546" s="402" t="n"/>
      <c r="J546" s="403" t="inlineStr">
        <is>
          <t>Qs  =</t>
        </is>
      </c>
      <c r="K546" s="404" t="n">
        <v>2</v>
      </c>
      <c r="L546" s="404">
        <f>(D534+E534)*2*G534</f>
        <v/>
      </c>
      <c r="M546" s="404" t="n">
        <v>0.9</v>
      </c>
      <c r="N546" s="404" t="n">
        <v>0.67</v>
      </c>
      <c r="O546" s="381" t="n">
        <v>23</v>
      </c>
      <c r="P546" s="404" t="n">
        <v>1</v>
      </c>
      <c r="Q546" s="383">
        <f>K546*L546*M546*N546*O546*P546</f>
        <v/>
      </c>
    </row>
    <row r="547" ht="9.949999999999999" customHeight="1" s="244">
      <c r="A547" s="405" t="n"/>
      <c r="B547" s="406" t="n"/>
      <c r="C547" s="397" t="n"/>
      <c r="D547" s="397" t="n"/>
      <c r="E547" s="378" t="n"/>
      <c r="F547" s="256" t="n"/>
      <c r="G547" s="407" t="n"/>
      <c r="H547" s="397" t="n"/>
      <c r="I547" s="397" t="n"/>
      <c r="J547" s="397" t="n"/>
      <c r="K547" s="407" t="n"/>
      <c r="L547" s="408" t="n"/>
      <c r="M547" s="409" t="inlineStr">
        <is>
          <t xml:space="preserve">   TOPLAM ISI KAYBI =</t>
        </is>
      </c>
      <c r="N547" s="409" t="n"/>
      <c r="O547" s="410" t="n"/>
      <c r="P547" s="409" t="n"/>
      <c r="Q547" s="411">
        <f>Q544+Q546</f>
        <v/>
      </c>
    </row>
    <row r="548" ht="10.35" customHeight="1" s="244">
      <c r="A548" s="359" t="n"/>
      <c r="B548" s="360" t="n"/>
      <c r="C548" s="360" t="n"/>
      <c r="D548" s="360" t="n"/>
      <c r="E548" s="360" t="n"/>
      <c r="F548" s="361" t="inlineStr">
        <is>
          <t>2</t>
        </is>
      </c>
      <c r="G548" s="362" t="inlineStr">
        <is>
          <t>0</t>
        </is>
      </c>
      <c r="H548" s="360" t="inlineStr">
        <is>
          <t>2E2-03</t>
        </is>
      </c>
      <c r="I548" s="363" t="inlineStr">
        <is>
          <t>OFİS E2 MUTFAK</t>
        </is>
      </c>
      <c r="J548" s="364" t="n"/>
      <c r="K548" s="360" t="inlineStr">
        <is>
          <t>20ºC</t>
        </is>
      </c>
      <c r="L548" s="360" t="n"/>
      <c r="M548" s="360" t="n"/>
      <c r="N548" s="360" t="n"/>
      <c r="O548" s="360" t="n"/>
      <c r="P548" s="360" t="n"/>
      <c r="Q548" s="365" t="n"/>
    </row>
    <row r="549" ht="9.949999999999999" customHeight="1" s="244">
      <c r="A549" s="366" t="inlineStr">
        <is>
          <t>İDM</t>
        </is>
      </c>
      <c r="B549" s="367" t="inlineStr"/>
      <c r="C549" s="368" t="n"/>
      <c r="D549" s="369" t="n">
        <v>1.03</v>
      </c>
      <c r="E549" s="369" t="n">
        <v>3</v>
      </c>
      <c r="F549" s="370">
        <f>IF(D549=0," ",D549*E549)</f>
        <v/>
      </c>
      <c r="G549" s="371" t="n">
        <v>1</v>
      </c>
      <c r="H549" s="372" t="n"/>
      <c r="I549" s="370">
        <f>IF(F549=" "," ",F549*G549-H549)</f>
        <v/>
      </c>
      <c r="J549" s="369" t="n">
        <v>0.332</v>
      </c>
      <c r="K549" s="371" t="n">
        <v>5</v>
      </c>
      <c r="L549" s="373">
        <f>IF(I549=" "," ",I549*J549*K549)</f>
        <v/>
      </c>
      <c r="M549" s="374" t="n">
        <v>7</v>
      </c>
      <c r="N549" s="371" t="n">
        <v>0</v>
      </c>
      <c r="O549" s="374" t="n">
        <v>0</v>
      </c>
      <c r="P549" s="370">
        <f>IF(M549=" "," ",(1+(M549+N549+O549)/100))</f>
        <v/>
      </c>
      <c r="Q549" s="375">
        <f>IF(L549=" "," ",L549*P549)</f>
        <v/>
      </c>
    </row>
    <row r="550" ht="9.949999999999999" customHeight="1" s="244">
      <c r="A550" s="366" t="inlineStr">
        <is>
          <t>Ta</t>
        </is>
      </c>
      <c r="B550" s="367" t="inlineStr"/>
      <c r="C550" s="368" t="n"/>
      <c r="D550" s="369" t="n">
        <v>5</v>
      </c>
      <c r="E550" s="369" t="n">
        <v>1</v>
      </c>
      <c r="F550" s="370">
        <f>IF(D550=0," ",D550*E550)</f>
        <v/>
      </c>
      <c r="G550" s="371" t="n">
        <v>1</v>
      </c>
      <c r="H550" s="372" t="n"/>
      <c r="I550" s="370">
        <f>IF(F550=" "," ",F550*G550-H550)</f>
        <v/>
      </c>
      <c r="J550" s="369" t="n">
        <v>0.266</v>
      </c>
      <c r="K550" s="371" t="n">
        <v>23</v>
      </c>
      <c r="L550" s="373">
        <f>IF(I550=" "," ",I550*J550*K550)</f>
        <v/>
      </c>
      <c r="M550" s="374" t="n">
        <v>7</v>
      </c>
      <c r="N550" s="371" t="n">
        <v>0</v>
      </c>
      <c r="O550" s="374" t="n">
        <v>0</v>
      </c>
      <c r="P550" s="370">
        <f>IF(M550=" "," ",(1+(M550+N550+O550)/100))</f>
        <v/>
      </c>
      <c r="Q550" s="375">
        <f>IF(L550=" "," ",L550*P550)</f>
        <v/>
      </c>
    </row>
    <row r="551" ht="9.949999999999999" customHeight="1" s="244">
      <c r="A551" s="376" t="n"/>
      <c r="B551" s="377" t="n"/>
      <c r="C551" s="377" t="n"/>
      <c r="D551" s="378" t="n"/>
      <c r="E551" s="378" t="n"/>
      <c r="F551" s="378" t="n"/>
      <c r="G551" s="379" t="n"/>
      <c r="H551" s="378" t="n"/>
      <c r="I551" s="378" t="n"/>
      <c r="J551" s="378" t="n"/>
      <c r="K551" s="379" t="n"/>
      <c r="L551" s="380" t="n"/>
      <c r="M551" s="381" t="n"/>
      <c r="N551" s="381" t="n"/>
      <c r="O551" s="381" t="n"/>
      <c r="P551" s="382" t="n"/>
      <c r="Q551" s="383">
        <f>SUM(Q549:Q550)</f>
        <v/>
      </c>
    </row>
    <row r="552" ht="9.949999999999999" customHeight="1" s="244">
      <c r="A552" s="384" t="n"/>
      <c r="B552" s="385" t="n"/>
      <c r="C552" s="385" t="n"/>
      <c r="D552" s="386" t="n"/>
      <c r="E552" s="387" t="n"/>
      <c r="F552" s="388" t="n"/>
      <c r="G552" s="389" t="n"/>
      <c r="H552" s="388" t="n"/>
      <c r="I552" s="390" t="n"/>
      <c r="J552" s="391" t="inlineStr">
        <is>
          <t>Qs=</t>
        </is>
      </c>
      <c r="K552" s="390" t="inlineStr">
        <is>
          <t>S a</t>
        </is>
      </c>
      <c r="L552" s="388" t="inlineStr">
        <is>
          <t>L</t>
        </is>
      </c>
      <c r="M552" s="389" t="inlineStr">
        <is>
          <t>R</t>
        </is>
      </c>
      <c r="N552" s="392" t="inlineStr">
        <is>
          <t>H</t>
        </is>
      </c>
      <c r="O552" s="393" t="inlineStr">
        <is>
          <t>D  T</t>
        </is>
      </c>
      <c r="P552" s="389" t="inlineStr">
        <is>
          <t>Ze</t>
        </is>
      </c>
      <c r="Q552" s="394" t="n"/>
    </row>
    <row r="553" ht="9.949999999999999" customHeight="1" s="244">
      <c r="A553" s="395" t="inlineStr">
        <is>
          <t xml:space="preserve"> </t>
        </is>
      </c>
      <c r="C553" s="397" t="n"/>
      <c r="D553" s="397" t="n"/>
      <c r="E553" s="398" t="n"/>
      <c r="F553" s="399" t="n"/>
      <c r="G553" s="400" t="n"/>
      <c r="H553" s="401" t="n"/>
      <c r="I553" s="402" t="n"/>
      <c r="J553" s="403" t="inlineStr">
        <is>
          <t>Qs  =</t>
        </is>
      </c>
      <c r="K553" s="404" t="n">
        <v>2</v>
      </c>
      <c r="L553" s="404" t="n">
        <v>0</v>
      </c>
      <c r="M553" s="404" t="n">
        <v>0.9</v>
      </c>
      <c r="N553" s="404" t="n">
        <v>0.67</v>
      </c>
      <c r="O553" s="381" t="n">
        <v>23</v>
      </c>
      <c r="P553" s="404" t="n">
        <v>1</v>
      </c>
      <c r="Q553" s="383">
        <f>K553*L553*M553*N553*O553*P553</f>
        <v/>
      </c>
    </row>
    <row r="554" ht="9.949999999999999" customHeight="1" s="244">
      <c r="A554" s="405" t="n"/>
      <c r="B554" s="406" t="n"/>
      <c r="C554" s="397" t="n"/>
      <c r="D554" s="397" t="n"/>
      <c r="E554" s="378" t="n"/>
      <c r="F554" s="256" t="n"/>
      <c r="G554" s="407" t="n"/>
      <c r="H554" s="397" t="n"/>
      <c r="I554" s="397" t="n"/>
      <c r="J554" s="397" t="n"/>
      <c r="K554" s="407" t="n"/>
      <c r="L554" s="408" t="n"/>
      <c r="M554" s="409" t="inlineStr">
        <is>
          <t xml:space="preserve">   TOPLAM ISI KAYBI =</t>
        </is>
      </c>
      <c r="N554" s="409" t="n"/>
      <c r="O554" s="410" t="n"/>
      <c r="P554" s="409" t="n"/>
      <c r="Q554" s="411">
        <f>Q551+Q553</f>
        <v/>
      </c>
    </row>
    <row r="555" ht="10.35" customHeight="1" s="244">
      <c r="A555" s="359" t="n"/>
      <c r="B555" s="360" t="n"/>
      <c r="C555" s="360" t="n"/>
      <c r="D555" s="360" t="n"/>
      <c r="E555" s="360" t="n"/>
      <c r="F555" s="361" t="inlineStr">
        <is>
          <t>2</t>
        </is>
      </c>
      <c r="G555" s="362" t="inlineStr">
        <is>
          <t>0</t>
        </is>
      </c>
      <c r="H555" s="360" t="inlineStr">
        <is>
          <t>2E2-04</t>
        </is>
      </c>
      <c r="I555" s="363" t="inlineStr">
        <is>
          <t>OFİS E2 ODA</t>
        </is>
      </c>
      <c r="J555" s="364" t="n"/>
      <c r="K555" s="360" t="inlineStr">
        <is>
          <t>20ºC</t>
        </is>
      </c>
      <c r="L555" s="360" t="n"/>
      <c r="M555" s="360" t="n"/>
      <c r="N555" s="360" t="n"/>
      <c r="O555" s="360" t="n"/>
      <c r="P555" s="360" t="n"/>
      <c r="Q555" s="365" t="n"/>
    </row>
    <row r="556" ht="9.949999999999999" customHeight="1" s="244">
      <c r="A556" s="366" t="inlineStr">
        <is>
          <t>İDM</t>
        </is>
      </c>
      <c r="B556" s="367" t="inlineStr"/>
      <c r="C556" s="368" t="n"/>
      <c r="D556" s="369" t="n">
        <v>2.72</v>
      </c>
      <c r="E556" s="369" t="n">
        <v>3</v>
      </c>
      <c r="F556" s="370">
        <f>IF(D556=0," ",D556*E556)</f>
        <v/>
      </c>
      <c r="G556" s="371" t="n">
        <v>1</v>
      </c>
      <c r="H556" s="372" t="n"/>
      <c r="I556" s="370">
        <f>IF(F556=" "," ",F556*G556-H556)</f>
        <v/>
      </c>
      <c r="J556" s="369" t="n">
        <v>0.332</v>
      </c>
      <c r="K556" s="371" t="n">
        <v>10</v>
      </c>
      <c r="L556" s="373">
        <f>IF(I556=" "," ",I556*J556*K556)</f>
        <v/>
      </c>
      <c r="M556" s="374" t="n">
        <v>7</v>
      </c>
      <c r="N556" s="371" t="n">
        <v>0</v>
      </c>
      <c r="O556" s="374" t="n">
        <v>0</v>
      </c>
      <c r="P556" s="370">
        <f>IF(M556=" "," ",(1+(M556+N556+O556)/100))</f>
        <v/>
      </c>
      <c r="Q556" s="375">
        <f>IF(L556=" "," ",L556*P556)</f>
        <v/>
      </c>
    </row>
    <row r="557" ht="9.949999999999999" customHeight="1" s="244">
      <c r="A557" s="366" t="inlineStr">
        <is>
          <t>İDM</t>
        </is>
      </c>
      <c r="B557" s="367" t="inlineStr"/>
      <c r="C557" s="368" t="n"/>
      <c r="D557" s="369" t="n">
        <v>2.16</v>
      </c>
      <c r="E557" s="369" t="n">
        <v>3</v>
      </c>
      <c r="F557" s="370">
        <f>IF(D557=0," ",D557*E557)</f>
        <v/>
      </c>
      <c r="G557" s="371" t="n">
        <v>1</v>
      </c>
      <c r="H557" s="372" t="n"/>
      <c r="I557" s="370">
        <f>IF(F557=" "," ",F557*G557-H557)</f>
        <v/>
      </c>
      <c r="J557" s="369" t="n">
        <v>0.332</v>
      </c>
      <c r="K557" s="371" t="n">
        <v>5</v>
      </c>
      <c r="L557" s="373">
        <f>IF(I557=" "," ",I557*J557*K557)</f>
        <v/>
      </c>
      <c r="M557" s="374" t="n">
        <v>7</v>
      </c>
      <c r="N557" s="371" t="n">
        <v>0</v>
      </c>
      <c r="O557" s="374" t="n">
        <v>0</v>
      </c>
      <c r="P557" s="370">
        <f>IF(M557=" "," ",(1+(M557+N557+O557)/100))</f>
        <v/>
      </c>
      <c r="Q557" s="375">
        <f>IF(L557=" "," ",L557*P557)</f>
        <v/>
      </c>
    </row>
    <row r="558" ht="9.949999999999999" customHeight="1" s="244">
      <c r="A558" s="366" t="inlineStr">
        <is>
          <t>İDM</t>
        </is>
      </c>
      <c r="B558" s="367" t="inlineStr"/>
      <c r="C558" s="368" t="n"/>
      <c r="D558" s="369" t="n">
        <v>0.27</v>
      </c>
      <c r="E558" s="369" t="n">
        <v>3</v>
      </c>
      <c r="F558" s="370">
        <f>IF(D558=0," ",D558*E558)</f>
        <v/>
      </c>
      <c r="G558" s="371" t="n">
        <v>1</v>
      </c>
      <c r="H558" s="372" t="n"/>
      <c r="I558" s="370">
        <f>IF(F558=" "," ",F558*G558-H558)</f>
        <v/>
      </c>
      <c r="J558" s="369" t="n">
        <v>0.332</v>
      </c>
      <c r="K558" s="371" t="n">
        <v>10</v>
      </c>
      <c r="L558" s="373">
        <f>IF(I558=" "," ",I558*J558*K558)</f>
        <v/>
      </c>
      <c r="M558" s="374" t="n">
        <v>7</v>
      </c>
      <c r="N558" s="371" t="n">
        <v>0</v>
      </c>
      <c r="O558" s="374" t="n">
        <v>0</v>
      </c>
      <c r="P558" s="370">
        <f>IF(M558=" "," ",(1+(M558+N558+O558)/100))</f>
        <v/>
      </c>
      <c r="Q558" s="375">
        <f>IF(L558=" "," ",L558*P558)</f>
        <v/>
      </c>
    </row>
    <row r="559" ht="9.949999999999999" customHeight="1" s="244">
      <c r="A559" s="366" t="inlineStr">
        <is>
          <t>İDM</t>
        </is>
      </c>
      <c r="B559" s="367" t="inlineStr"/>
      <c r="C559" s="368" t="n"/>
      <c r="D559" s="369" t="n">
        <v>0.96</v>
      </c>
      <c r="E559" s="369" t="n">
        <v>3</v>
      </c>
      <c r="F559" s="370">
        <f>IF(D559=0," ",D559*E559)</f>
        <v/>
      </c>
      <c r="G559" s="371" t="n">
        <v>1</v>
      </c>
      <c r="H559" s="372" t="n"/>
      <c r="I559" s="370">
        <f>IF(F559=" "," ",F559*G559-H559)</f>
        <v/>
      </c>
      <c r="J559" s="369" t="n">
        <v>0.332</v>
      </c>
      <c r="K559" s="371" t="n">
        <v>10</v>
      </c>
      <c r="L559" s="373">
        <f>IF(I559=" "," ",I559*J559*K559)</f>
        <v/>
      </c>
      <c r="M559" s="374" t="n">
        <v>7</v>
      </c>
      <c r="N559" s="371" t="n">
        <v>0</v>
      </c>
      <c r="O559" s="374" t="n">
        <v>0</v>
      </c>
      <c r="P559" s="370">
        <f>IF(M559=" "," ",(1+(M559+N559+O559)/100))</f>
        <v/>
      </c>
      <c r="Q559" s="375">
        <f>IF(L559=" "," ",L559*P559)</f>
        <v/>
      </c>
    </row>
    <row r="560" ht="9.949999999999999" customHeight="1" s="244">
      <c r="A560" s="366" t="inlineStr">
        <is>
          <t>Ta</t>
        </is>
      </c>
      <c r="B560" s="367" t="inlineStr"/>
      <c r="C560" s="368" t="n"/>
      <c r="D560" s="369" t="n">
        <v>14</v>
      </c>
      <c r="E560" s="369" t="n">
        <v>1</v>
      </c>
      <c r="F560" s="370">
        <f>IF(D560=0," ",D560*E560)</f>
        <v/>
      </c>
      <c r="G560" s="371" t="n">
        <v>1</v>
      </c>
      <c r="H560" s="372" t="n"/>
      <c r="I560" s="370">
        <f>IF(F560=" "," ",F560*G560-H560)</f>
        <v/>
      </c>
      <c r="J560" s="369" t="n">
        <v>0.266</v>
      </c>
      <c r="K560" s="371" t="n">
        <v>23</v>
      </c>
      <c r="L560" s="373">
        <f>IF(I560=" "," ",I560*J560*K560)</f>
        <v/>
      </c>
      <c r="M560" s="374" t="n">
        <v>7</v>
      </c>
      <c r="N560" s="371" t="n">
        <v>0</v>
      </c>
      <c r="O560" s="374" t="n">
        <v>0</v>
      </c>
      <c r="P560" s="370">
        <f>IF(M560=" "," ",(1+(M560+N560+O560)/100))</f>
        <v/>
      </c>
      <c r="Q560" s="375">
        <f>IF(L560=" "," ",L560*P560)</f>
        <v/>
      </c>
    </row>
    <row r="561" ht="9.949999999999999" customHeight="1" s="244">
      <c r="A561" s="376" t="n"/>
      <c r="B561" s="377" t="n"/>
      <c r="C561" s="377" t="n"/>
      <c r="D561" s="378" t="n"/>
      <c r="E561" s="378" t="n"/>
      <c r="F561" s="378" t="n"/>
      <c r="G561" s="379" t="n"/>
      <c r="H561" s="378" t="n"/>
      <c r="I561" s="378" t="n"/>
      <c r="J561" s="378" t="n"/>
      <c r="K561" s="379" t="n"/>
      <c r="L561" s="380" t="n"/>
      <c r="M561" s="381" t="n"/>
      <c r="N561" s="381" t="n"/>
      <c r="O561" s="381" t="n"/>
      <c r="P561" s="382" t="n"/>
      <c r="Q561" s="383">
        <f>SUM(Q556:Q560)</f>
        <v/>
      </c>
    </row>
    <row r="562" ht="9.949999999999999" customHeight="1" s="244">
      <c r="A562" s="384" t="n"/>
      <c r="B562" s="385" t="n"/>
      <c r="C562" s="385" t="n"/>
      <c r="D562" s="386" t="n"/>
      <c r="E562" s="387" t="n"/>
      <c r="F562" s="388" t="n"/>
      <c r="G562" s="389" t="n"/>
      <c r="H562" s="388" t="n"/>
      <c r="I562" s="390" t="n"/>
      <c r="J562" s="391" t="inlineStr">
        <is>
          <t>Qs=</t>
        </is>
      </c>
      <c r="K562" s="390" t="inlineStr">
        <is>
          <t>S a</t>
        </is>
      </c>
      <c r="L562" s="388" t="inlineStr">
        <is>
          <t>L</t>
        </is>
      </c>
      <c r="M562" s="389" t="inlineStr">
        <is>
          <t>R</t>
        </is>
      </c>
      <c r="N562" s="392" t="inlineStr">
        <is>
          <t>H</t>
        </is>
      </c>
      <c r="O562" s="393" t="inlineStr">
        <is>
          <t>D  T</t>
        </is>
      </c>
      <c r="P562" s="389" t="inlineStr">
        <is>
          <t>Ze</t>
        </is>
      </c>
      <c r="Q562" s="394" t="n"/>
    </row>
    <row r="563" ht="9.949999999999999" customHeight="1" s="244">
      <c r="A563" s="395" t="inlineStr">
        <is>
          <t xml:space="preserve"> </t>
        </is>
      </c>
      <c r="C563" s="397" t="n"/>
      <c r="D563" s="397" t="n"/>
      <c r="E563" s="398" t="n"/>
      <c r="F563" s="399" t="n"/>
      <c r="G563" s="400" t="n"/>
      <c r="H563" s="401" t="n"/>
      <c r="I563" s="402" t="n"/>
      <c r="J563" s="403" t="inlineStr">
        <is>
          <t>Qs  =</t>
        </is>
      </c>
      <c r="K563" s="404" t="n">
        <v>2</v>
      </c>
      <c r="L563" s="404" t="n">
        <v>0</v>
      </c>
      <c r="M563" s="404" t="n">
        <v>0.9</v>
      </c>
      <c r="N563" s="404" t="n">
        <v>0.67</v>
      </c>
      <c r="O563" s="381" t="n">
        <v>23</v>
      </c>
      <c r="P563" s="404" t="n">
        <v>1</v>
      </c>
      <c r="Q563" s="383">
        <f>K563*L563*M563*N563*O563*P563</f>
        <v/>
      </c>
    </row>
    <row r="564" ht="9.949999999999999" customHeight="1" s="244">
      <c r="A564" s="405" t="n"/>
      <c r="B564" s="406" t="n"/>
      <c r="C564" s="397" t="n"/>
      <c r="D564" s="397" t="n"/>
      <c r="E564" s="378" t="n"/>
      <c r="F564" s="256" t="n"/>
      <c r="G564" s="407" t="n"/>
      <c r="H564" s="397" t="n"/>
      <c r="I564" s="397" t="n"/>
      <c r="J564" s="397" t="n"/>
      <c r="K564" s="407" t="n"/>
      <c r="L564" s="408" t="n"/>
      <c r="M564" s="409" t="inlineStr">
        <is>
          <t xml:space="preserve">   TOPLAM ISI KAYBI =</t>
        </is>
      </c>
      <c r="N564" s="409" t="n"/>
      <c r="O564" s="410" t="n"/>
      <c r="P564" s="409" t="n"/>
      <c r="Q564" s="411">
        <f>Q561+Q563</f>
        <v/>
      </c>
    </row>
    <row r="565" ht="10.35" customHeight="1" s="244">
      <c r="A565" s="359" t="n"/>
      <c r="B565" s="360" t="n"/>
      <c r="C565" s="360" t="n"/>
      <c r="D565" s="360" t="n"/>
      <c r="E565" s="360" t="n"/>
      <c r="F565" s="361" t="inlineStr">
        <is>
          <t>2</t>
        </is>
      </c>
      <c r="G565" s="362" t="inlineStr">
        <is>
          <t>0</t>
        </is>
      </c>
      <c r="H565" s="360" t="inlineStr">
        <is>
          <t>2E2-05</t>
        </is>
      </c>
      <c r="I565" s="363" t="inlineStr">
        <is>
          <t>OFİS E2 BANYO</t>
        </is>
      </c>
      <c r="J565" s="364" t="n"/>
      <c r="K565" s="360" t="inlineStr">
        <is>
          <t>24ºC</t>
        </is>
      </c>
      <c r="L565" s="360" t="n"/>
      <c r="M565" s="360" t="n"/>
      <c r="N565" s="360" t="n"/>
      <c r="O565" s="360" t="n"/>
      <c r="P565" s="360" t="n"/>
      <c r="Q565" s="365" t="n"/>
    </row>
    <row r="566" ht="9.949999999999999" customHeight="1" s="244">
      <c r="A566" s="366" t="inlineStr">
        <is>
          <t>İDM</t>
        </is>
      </c>
      <c r="B566" s="367" t="inlineStr"/>
      <c r="C566" s="368" t="n"/>
      <c r="D566" s="369" t="n">
        <v>0.22</v>
      </c>
      <c r="E566" s="369" t="n">
        <v>3</v>
      </c>
      <c r="F566" s="370">
        <f>IF(D566=0," ",D566*E566)</f>
        <v/>
      </c>
      <c r="G566" s="371" t="n">
        <v>1</v>
      </c>
      <c r="H566" s="372" t="n"/>
      <c r="I566" s="370">
        <f>IF(F566=" "," ",F566*G566-H566)</f>
        <v/>
      </c>
      <c r="J566" s="369" t="n">
        <v>0.332</v>
      </c>
      <c r="K566" s="371" t="n">
        <v>14</v>
      </c>
      <c r="L566" s="373">
        <f>IF(I566=" "," ",I566*J566*K566)</f>
        <v/>
      </c>
      <c r="M566" s="374" t="n">
        <v>7</v>
      </c>
      <c r="N566" s="371" t="n">
        <v>0</v>
      </c>
      <c r="O566" s="374" t="n">
        <v>0</v>
      </c>
      <c r="P566" s="370">
        <f>IF(M566=" "," ",(1+(M566+N566+O566)/100))</f>
        <v/>
      </c>
      <c r="Q566" s="375">
        <f>IF(L566=" "," ",L566*P566)</f>
        <v/>
      </c>
    </row>
    <row r="567" ht="9.949999999999999" customHeight="1" s="244">
      <c r="A567" s="366" t="inlineStr">
        <is>
          <t>İDM</t>
        </is>
      </c>
      <c r="B567" s="367" t="inlineStr"/>
      <c r="C567" s="368" t="n"/>
      <c r="D567" s="369" t="n">
        <v>1.08</v>
      </c>
      <c r="E567" s="369" t="n">
        <v>3</v>
      </c>
      <c r="F567" s="370">
        <f>IF(D567=0," ",D567*E567)</f>
        <v/>
      </c>
      <c r="G567" s="371" t="n">
        <v>1</v>
      </c>
      <c r="H567" s="372" t="n"/>
      <c r="I567" s="370">
        <f>IF(F567=" "," ",F567*G567-H567)</f>
        <v/>
      </c>
      <c r="J567" s="369" t="n">
        <v>0.332</v>
      </c>
      <c r="K567" s="371" t="n">
        <v>9</v>
      </c>
      <c r="L567" s="373">
        <f>IF(I567=" "," ",I567*J567*K567)</f>
        <v/>
      </c>
      <c r="M567" s="374" t="n">
        <v>7</v>
      </c>
      <c r="N567" s="371" t="n">
        <v>0</v>
      </c>
      <c r="O567" s="374" t="n">
        <v>0</v>
      </c>
      <c r="P567" s="370">
        <f>IF(M567=" "," ",(1+(M567+N567+O567)/100))</f>
        <v/>
      </c>
      <c r="Q567" s="375">
        <f>IF(L567=" "," ",L567*P567)</f>
        <v/>
      </c>
    </row>
    <row r="568" ht="9.949999999999999" customHeight="1" s="244">
      <c r="A568" s="366" t="inlineStr">
        <is>
          <t>Ta</t>
        </is>
      </c>
      <c r="B568" s="367" t="inlineStr"/>
      <c r="C568" s="368" t="n"/>
      <c r="D568" s="369" t="n">
        <v>3.2</v>
      </c>
      <c r="E568" s="369" t="n">
        <v>1</v>
      </c>
      <c r="F568" s="370">
        <f>IF(D568=0," ",D568*E568)</f>
        <v/>
      </c>
      <c r="G568" s="371" t="n">
        <v>1</v>
      </c>
      <c r="H568" s="372" t="n"/>
      <c r="I568" s="370">
        <f>IF(F568=" "," ",F568*G568-H568)</f>
        <v/>
      </c>
      <c r="J568" s="369" t="n">
        <v>0.266</v>
      </c>
      <c r="K568" s="371" t="n">
        <v>27</v>
      </c>
      <c r="L568" s="373">
        <f>IF(I568=" "," ",I568*J568*K568)</f>
        <v/>
      </c>
      <c r="M568" s="374" t="n">
        <v>7</v>
      </c>
      <c r="N568" s="371" t="n">
        <v>0</v>
      </c>
      <c r="O568" s="374" t="n">
        <v>0</v>
      </c>
      <c r="P568" s="370">
        <f>IF(M568=" "," ",(1+(M568+N568+O568)/100))</f>
        <v/>
      </c>
      <c r="Q568" s="375">
        <f>IF(L568=" "," ",L568*P568)</f>
        <v/>
      </c>
    </row>
    <row r="569" ht="9.949999999999999" customHeight="1" s="244">
      <c r="A569" s="376" t="n"/>
      <c r="B569" s="377" t="n"/>
      <c r="C569" s="377" t="n"/>
      <c r="D569" s="378" t="n"/>
      <c r="E569" s="378" t="n"/>
      <c r="F569" s="378" t="n"/>
      <c r="G569" s="379" t="n"/>
      <c r="H569" s="378" t="n"/>
      <c r="I569" s="378" t="n"/>
      <c r="J569" s="378" t="n"/>
      <c r="K569" s="379" t="n"/>
      <c r="L569" s="380" t="n"/>
      <c r="M569" s="381" t="n"/>
      <c r="N569" s="381" t="n"/>
      <c r="O569" s="381" t="n"/>
      <c r="P569" s="382" t="n"/>
      <c r="Q569" s="383">
        <f>SUM(Q566:Q568)</f>
        <v/>
      </c>
    </row>
    <row r="570" ht="9.949999999999999" customHeight="1" s="244">
      <c r="A570" s="384" t="n"/>
      <c r="B570" s="385" t="n"/>
      <c r="C570" s="385" t="n"/>
      <c r="D570" s="386" t="n"/>
      <c r="E570" s="387" t="n"/>
      <c r="F570" s="388" t="n"/>
      <c r="G570" s="389" t="n"/>
      <c r="H570" s="388" t="n"/>
      <c r="I570" s="390" t="n"/>
      <c r="J570" s="391" t="inlineStr">
        <is>
          <t>Qs=</t>
        </is>
      </c>
      <c r="K570" s="390" t="inlineStr">
        <is>
          <t>S a</t>
        </is>
      </c>
      <c r="L570" s="388" t="inlineStr">
        <is>
          <t>L</t>
        </is>
      </c>
      <c r="M570" s="389" t="inlineStr">
        <is>
          <t>R</t>
        </is>
      </c>
      <c r="N570" s="392" t="inlineStr">
        <is>
          <t>H</t>
        </is>
      </c>
      <c r="O570" s="393" t="inlineStr">
        <is>
          <t>D  T</t>
        </is>
      </c>
      <c r="P570" s="389" t="inlineStr">
        <is>
          <t>Ze</t>
        </is>
      </c>
      <c r="Q570" s="394" t="n"/>
    </row>
    <row r="571" ht="9.949999999999999" customHeight="1" s="244">
      <c r="A571" s="395" t="inlineStr">
        <is>
          <t xml:space="preserve"> </t>
        </is>
      </c>
      <c r="C571" s="397" t="n"/>
      <c r="D571" s="397" t="n"/>
      <c r="E571" s="398" t="n"/>
      <c r="F571" s="399" t="n"/>
      <c r="G571" s="400" t="n"/>
      <c r="H571" s="401" t="n"/>
      <c r="I571" s="402" t="n"/>
      <c r="J571" s="403" t="inlineStr">
        <is>
          <t>Qs  =</t>
        </is>
      </c>
      <c r="K571" s="404" t="n">
        <v>2</v>
      </c>
      <c r="L571" s="404" t="n">
        <v>0</v>
      </c>
      <c r="M571" s="404" t="n">
        <v>0.9</v>
      </c>
      <c r="N571" s="404" t="n">
        <v>0.67</v>
      </c>
      <c r="O571" s="381" t="n">
        <v>27</v>
      </c>
      <c r="P571" s="404" t="n">
        <v>1</v>
      </c>
      <c r="Q571" s="383">
        <f>K571*L571*M571*N571*O571*P571</f>
        <v/>
      </c>
    </row>
    <row r="572" ht="9.949999999999999" customHeight="1" s="244">
      <c r="A572" s="405" t="n"/>
      <c r="B572" s="406" t="n"/>
      <c r="C572" s="397" t="n"/>
      <c r="D572" s="397" t="n"/>
      <c r="E572" s="378" t="n"/>
      <c r="F572" s="256" t="n"/>
      <c r="G572" s="407" t="n"/>
      <c r="H572" s="397" t="n"/>
      <c r="I572" s="397" t="n"/>
      <c r="J572" s="397" t="n"/>
      <c r="K572" s="407" t="n"/>
      <c r="L572" s="408" t="n"/>
      <c r="M572" s="409" t="inlineStr">
        <is>
          <t xml:space="preserve">   TOPLAM ISI KAYBI =</t>
        </is>
      </c>
      <c r="N572" s="409" t="n"/>
      <c r="O572" s="410" t="n"/>
      <c r="P572" s="409" t="n"/>
      <c r="Q572" s="411">
        <f>Q569+Q571</f>
        <v/>
      </c>
    </row>
  </sheetData>
  <mergeCells count="126">
    <mergeCell ref="I531:J531"/>
    <mergeCell ref="I81:J81"/>
    <mergeCell ref="I208:J208"/>
    <mergeCell ref="I266:J266"/>
    <mergeCell ref="I419:J419"/>
    <mergeCell ref="E459:F459"/>
    <mergeCell ref="E129:F129"/>
    <mergeCell ref="I275:J275"/>
    <mergeCell ref="I366:J366"/>
    <mergeCell ref="E486:F486"/>
    <mergeCell ref="E23:F23"/>
    <mergeCell ref="E418:F418"/>
    <mergeCell ref="E51:F51"/>
    <mergeCell ref="E153:F153"/>
    <mergeCell ref="E358:F358"/>
    <mergeCell ref="I436:J436"/>
    <mergeCell ref="I214:J214"/>
    <mergeCell ref="I223:J223"/>
    <mergeCell ref="I186:J186"/>
    <mergeCell ref="E284:F284"/>
    <mergeCell ref="E222:F222"/>
    <mergeCell ref="I52:J52"/>
    <mergeCell ref="E448:F448"/>
    <mergeCell ref="I110:J110"/>
    <mergeCell ref="I44:J44"/>
    <mergeCell ref="I166:J166"/>
    <mergeCell ref="E100:F100"/>
    <mergeCell ref="I473:J473"/>
    <mergeCell ref="E498:F498"/>
    <mergeCell ref="I383:J383"/>
    <mergeCell ref="E547:F547"/>
    <mergeCell ref="E198:F198"/>
    <mergeCell ref="E326:F326"/>
    <mergeCell ref="I555:J555"/>
    <mergeCell ref="M3:P3"/>
    <mergeCell ref="I304:J304"/>
    <mergeCell ref="E175:F175"/>
    <mergeCell ref="I199:J199"/>
    <mergeCell ref="E303:F303"/>
    <mergeCell ref="E185:F185"/>
    <mergeCell ref="I449:J449"/>
    <mergeCell ref="I61:J61"/>
    <mergeCell ref="E290:F290"/>
    <mergeCell ref="I499:J499"/>
    <mergeCell ref="E3:H3"/>
    <mergeCell ref="I32:J32"/>
    <mergeCell ref="E274:F274"/>
    <mergeCell ref="E314:F314"/>
    <mergeCell ref="E509:F509"/>
    <mergeCell ref="I176:J176"/>
    <mergeCell ref="I460:J460"/>
    <mergeCell ref="I285:J285"/>
    <mergeCell ref="E564:F564"/>
    <mergeCell ref="I24:J24"/>
    <mergeCell ref="E388:F388"/>
    <mergeCell ref="I8:J8"/>
    <mergeCell ref="I259:J259"/>
    <mergeCell ref="I241:J241"/>
    <mergeCell ref="I231:J231"/>
    <mergeCell ref="E365:F365"/>
    <mergeCell ref="E472:F472"/>
    <mergeCell ref="I374:J374"/>
    <mergeCell ref="E66:F66"/>
    <mergeCell ref="E251:F251"/>
    <mergeCell ref="E351:F351"/>
    <mergeCell ref="E213:F213"/>
    <mergeCell ref="I359:J359"/>
    <mergeCell ref="I124:J124"/>
    <mergeCell ref="I487:J487"/>
    <mergeCell ref="E123:F123"/>
    <mergeCell ref="I352:J352"/>
    <mergeCell ref="E337:F337"/>
    <mergeCell ref="E373:F373"/>
    <mergeCell ref="I141:J141"/>
    <mergeCell ref="E265:F265"/>
    <mergeCell ref="E441:F441"/>
    <mergeCell ref="E435:F435"/>
    <mergeCell ref="I321:J321"/>
    <mergeCell ref="E554:F554"/>
    <mergeCell ref="E320:F320"/>
    <mergeCell ref="E31:F31"/>
    <mergeCell ref="E492:F492"/>
    <mergeCell ref="E191:F191"/>
    <mergeCell ref="E80:F80"/>
    <mergeCell ref="E89:F89"/>
    <mergeCell ref="I315:J315"/>
    <mergeCell ref="I442:J442"/>
    <mergeCell ref="E572:F572"/>
    <mergeCell ref="E404:F404"/>
    <mergeCell ref="I426:J426"/>
    <mergeCell ref="I291:J291"/>
    <mergeCell ref="E258:F258"/>
    <mergeCell ref="I413:J413"/>
    <mergeCell ref="E43:F43"/>
    <mergeCell ref="I90:J90"/>
    <mergeCell ref="I192:J192"/>
    <mergeCell ref="E412:F412"/>
    <mergeCell ref="E425:F425"/>
    <mergeCell ref="E382:F382"/>
    <mergeCell ref="I154:J154"/>
    <mergeCell ref="E165:F165"/>
    <mergeCell ref="I396:J396"/>
    <mergeCell ref="I101:J101"/>
    <mergeCell ref="I405:J405"/>
    <mergeCell ref="E140:F140"/>
    <mergeCell ref="I548:J548"/>
    <mergeCell ref="I493:J493"/>
    <mergeCell ref="E240:F240"/>
    <mergeCell ref="I389:J389"/>
    <mergeCell ref="I327:J327"/>
    <mergeCell ref="E230:F230"/>
    <mergeCell ref="E60:F60"/>
    <mergeCell ref="I510:J510"/>
    <mergeCell ref="I130:J130"/>
    <mergeCell ref="E530:F530"/>
    <mergeCell ref="I297:J297"/>
    <mergeCell ref="E207:F207"/>
    <mergeCell ref="I67:J67"/>
    <mergeCell ref="E296:F296"/>
    <mergeCell ref="I3:L3"/>
    <mergeCell ref="A3:D3"/>
    <mergeCell ref="I252:J252"/>
    <mergeCell ref="E395:F395"/>
    <mergeCell ref="E109:F109"/>
    <mergeCell ref="I338:J338"/>
    <mergeCell ref="I565:J565"/>
  </mergeCells>
  <printOptions horizontalCentered="0" verticalCentered="0" headings="0" gridLines="0" gridLinesSet="1"/>
  <pageMargins left="0.196527777777778" right="0.157638888888889" top="0.315277777777778" bottom="0.315277777777778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4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4625" ySplit="0" topLeftCell="A1" activePane="topLeft" state="split"/>
      <selection pane="topLeft" activeCell="F19" activeCellId="0" sqref="F19"/>
      <selection pane="topRight" activeCell="A1" activeCellId="0" sqref="A1"/>
    </sheetView>
  </sheetViews>
  <sheetFormatPr baseColWidth="8" defaultColWidth="9.13671875" defaultRowHeight="12.75" zeroHeight="0" outlineLevelRow="0"/>
  <cols>
    <col width="5.41" customWidth="1" style="416" min="1" max="1"/>
    <col width="20.99" customWidth="1" style="416" min="2" max="2"/>
    <col width="11.85" customWidth="1" style="416" min="3" max="3"/>
    <col width="10.13" customWidth="1" style="416" min="4" max="4"/>
    <col width="9.99" customWidth="1" style="416" min="5" max="5"/>
    <col width="9.85" customWidth="1" style="416" min="6" max="6"/>
    <col width="16.99" customWidth="1" style="416" min="7" max="7"/>
    <col width="3.28" customWidth="1" style="416" min="8" max="8"/>
    <col width="4.14" customWidth="1" style="416" min="9" max="10"/>
    <col width="3.99" customWidth="1" style="416" min="11" max="11"/>
    <col width="4.14" customWidth="1" style="416" min="12" max="16"/>
    <col width="9.140000000000001" customWidth="1" style="417" min="17" max="21"/>
    <col width="16.7" customWidth="1" style="417" min="22" max="22"/>
    <col width="9.140000000000001" customWidth="1" style="417" min="23" max="257"/>
  </cols>
  <sheetData>
    <row r="1" ht="12.75" customHeight="1" s="244">
      <c r="A1" s="418" t="inlineStr">
        <is>
          <t>ROTAŞ</t>
        </is>
      </c>
      <c r="B1" s="275" t="n"/>
      <c r="C1" s="419" t="inlineStr">
        <is>
          <t>MAHAL VE YERDEN ISITMA BORU BOYU ÇİZELGESİ</t>
        </is>
      </c>
      <c r="D1" s="250" t="n"/>
      <c r="E1" s="250" t="n"/>
      <c r="F1" s="250" t="n"/>
      <c r="G1" s="275" t="n"/>
      <c r="H1" s="419" t="inlineStr">
        <is>
          <t>SAYFA</t>
        </is>
      </c>
      <c r="I1" s="250" t="n"/>
      <c r="J1" s="250" t="n"/>
      <c r="K1" s="250" t="n"/>
      <c r="L1" s="250" t="n"/>
      <c r="M1" s="275" t="n"/>
      <c r="N1" s="419" t="n">
        <v>7</v>
      </c>
      <c r="O1" s="250" t="n"/>
      <c r="P1" s="275" t="n"/>
    </row>
    <row r="2" ht="8.25" customHeight="1" s="244">
      <c r="A2" s="420" t="n"/>
      <c r="B2" s="421" t="n"/>
      <c r="C2" s="420" t="n"/>
      <c r="G2" s="421" t="n"/>
      <c r="H2" s="278" t="n"/>
      <c r="I2" s="256" t="n"/>
      <c r="J2" s="256" t="n"/>
      <c r="K2" s="256" t="n"/>
      <c r="L2" s="256" t="n"/>
      <c r="M2" s="277" t="n"/>
      <c r="N2" s="278" t="n"/>
      <c r="O2" s="256" t="n"/>
      <c r="P2" s="277" t="n"/>
    </row>
    <row r="3" ht="5.25" customHeight="1" s="244">
      <c r="A3" s="420" t="n"/>
      <c r="B3" s="421" t="n"/>
      <c r="C3" s="420" t="n"/>
      <c r="G3" s="421" t="n"/>
      <c r="H3" s="419" t="inlineStr">
        <is>
          <t>TARİH</t>
        </is>
      </c>
      <c r="I3" s="250" t="n"/>
      <c r="J3" s="250" t="n"/>
      <c r="K3" s="250" t="n"/>
      <c r="L3" s="250" t="n"/>
      <c r="M3" s="275" t="n"/>
      <c r="N3" s="422" t="n">
        <v>46308</v>
      </c>
      <c r="O3" s="250" t="n"/>
      <c r="P3" s="275" t="n"/>
    </row>
    <row r="4" ht="15" customHeight="1" s="244">
      <c r="A4" s="278" t="n"/>
      <c r="B4" s="277" t="n"/>
      <c r="C4" s="278" t="n"/>
      <c r="D4" s="256" t="n"/>
      <c r="E4" s="256" t="n"/>
      <c r="F4" s="256" t="n"/>
      <c r="G4" s="277" t="n"/>
      <c r="H4" s="278" t="n"/>
      <c r="I4" s="256" t="n"/>
      <c r="J4" s="256" t="n"/>
      <c r="K4" s="256" t="n"/>
      <c r="L4" s="256" t="n"/>
      <c r="M4" s="277" t="n"/>
      <c r="N4" s="278" t="n"/>
      <c r="O4" s="256" t="n"/>
      <c r="P4" s="277" t="n"/>
    </row>
    <row r="5" ht="13.5" customHeight="1" s="244">
      <c r="A5" s="419" t="inlineStr">
        <is>
          <t>ODANIN</t>
        </is>
      </c>
      <c r="B5" s="260" t="n"/>
      <c r="C5" s="419" t="inlineStr">
        <is>
          <t>RADYATÖRLERİN</t>
        </is>
      </c>
      <c r="D5" s="264" t="n"/>
      <c r="E5" s="264" t="n"/>
      <c r="F5" s="264" t="n"/>
      <c r="G5" s="260" t="n"/>
      <c r="H5" s="419" t="inlineStr">
        <is>
          <t>TEFERRUATIN</t>
        </is>
      </c>
      <c r="I5" s="264" t="n"/>
      <c r="J5" s="264" t="n"/>
      <c r="K5" s="264" t="n"/>
      <c r="L5" s="264" t="n"/>
      <c r="M5" s="264" t="n"/>
      <c r="N5" s="264" t="n"/>
      <c r="O5" s="264" t="n"/>
      <c r="P5" s="260" t="n"/>
    </row>
    <row r="6" ht="12.75" customHeight="1" s="244">
      <c r="A6" s="419" t="inlineStr">
        <is>
          <t>NO</t>
        </is>
      </c>
      <c r="B6" s="419" t="inlineStr">
        <is>
          <t>ADI</t>
        </is>
      </c>
      <c r="C6" s="423" t="inlineStr">
        <is>
          <t>SICAKLIĞI</t>
        </is>
      </c>
      <c r="D6" s="418" t="inlineStr">
        <is>
          <t>ISI
KAYBI</t>
        </is>
      </c>
      <c r="E6" s="418" t="inlineStr">
        <is>
          <t>BİRİM 
VERİMİ</t>
        </is>
      </c>
      <c r="F6" s="419" t="inlineStr">
        <is>
          <t>VERİMİ</t>
        </is>
      </c>
      <c r="G6" s="419" t="inlineStr">
        <is>
          <t>BORU UZUNLUĞU</t>
        </is>
      </c>
      <c r="H6" s="424" t="inlineStr">
        <is>
          <t>GRUP</t>
        </is>
      </c>
      <c r="I6" s="424" t="inlineStr">
        <is>
          <t>KONSOL</t>
        </is>
      </c>
      <c r="J6" s="424" t="inlineStr">
        <is>
          <t>KELEPÇE</t>
        </is>
      </c>
      <c r="K6" s="419" t="inlineStr">
        <is>
          <t>MUSLUK</t>
        </is>
      </c>
      <c r="L6" s="264" t="n"/>
      <c r="M6" s="260" t="n"/>
      <c r="N6" s="419" t="inlineStr">
        <is>
          <t>REKOR</t>
        </is>
      </c>
      <c r="O6" s="264" t="n"/>
      <c r="P6" s="260" t="n"/>
    </row>
    <row r="7" ht="12.75" customHeight="1" s="244">
      <c r="A7" s="425" t="n"/>
      <c r="B7" s="425" t="n"/>
      <c r="C7" s="425" t="n"/>
      <c r="D7" s="425" t="n"/>
      <c r="E7" s="425" t="n"/>
      <c r="F7" s="425" t="n"/>
      <c r="G7" s="425" t="n"/>
      <c r="H7" s="425" t="n"/>
      <c r="I7" s="425" t="n"/>
      <c r="J7" s="425" t="n"/>
      <c r="K7" s="426" t="inlineStr">
        <is>
          <t>1/2"</t>
        </is>
      </c>
      <c r="L7" s="426" t="inlineStr">
        <is>
          <t>3/4"</t>
        </is>
      </c>
      <c r="M7" s="426" t="inlineStr">
        <is>
          <t>1"</t>
        </is>
      </c>
      <c r="N7" s="426" t="inlineStr">
        <is>
          <t>1/2"</t>
        </is>
      </c>
      <c r="O7" s="426" t="inlineStr">
        <is>
          <t>3/4"</t>
        </is>
      </c>
      <c r="P7" s="426" t="inlineStr">
        <is>
          <t>1"</t>
        </is>
      </c>
    </row>
    <row r="8" ht="6" customHeight="1" s="244">
      <c r="A8" s="425" t="n"/>
      <c r="B8" s="425" t="n"/>
      <c r="C8" s="303" t="n"/>
      <c r="D8" s="303" t="n"/>
      <c r="E8" s="303" t="n"/>
      <c r="F8" s="303" t="n"/>
      <c r="G8" s="303" t="n"/>
      <c r="H8" s="425" t="n"/>
      <c r="I8" s="425" t="n"/>
      <c r="J8" s="425" t="n"/>
      <c r="K8" s="425" t="n"/>
      <c r="L8" s="425" t="n"/>
      <c r="M8" s="425" t="n"/>
      <c r="N8" s="425" t="n"/>
      <c r="O8" s="425" t="n"/>
      <c r="P8" s="425" t="n"/>
    </row>
    <row r="9" ht="12.75" customHeight="1" s="244">
      <c r="A9" s="303" t="n"/>
      <c r="B9" s="303" t="n"/>
      <c r="C9" s="427" t="inlineStr">
        <is>
          <t>0c</t>
        </is>
      </c>
      <c r="D9" s="419" t="inlineStr">
        <is>
          <t>W/h</t>
        </is>
      </c>
      <c r="E9" s="419" t="inlineStr">
        <is>
          <t>W/m2K</t>
        </is>
      </c>
      <c r="F9" s="419" t="inlineStr">
        <is>
          <t>W/m2K</t>
        </is>
      </c>
      <c r="G9" s="419" t="inlineStr">
        <is>
          <t>m</t>
        </is>
      </c>
      <c r="H9" s="303" t="n"/>
      <c r="I9" s="303" t="n"/>
      <c r="J9" s="303" t="n"/>
      <c r="K9" s="303" t="n"/>
      <c r="L9" s="303" t="n"/>
      <c r="M9" s="303" t="n"/>
      <c r="N9" s="303" t="n"/>
      <c r="O9" s="303" t="n"/>
      <c r="P9" s="303" t="n"/>
    </row>
    <row r="10" ht="12.75" customHeight="1" s="244">
      <c r="A10" s="428" t="inlineStr">
        <is>
          <t>1A1-01</t>
        </is>
      </c>
      <c r="B10" s="429" t="inlineStr">
        <is>
          <t>OFİS A1 BANYO</t>
        </is>
      </c>
      <c r="C10" s="430" t="inlineStr">
        <is>
          <t>24</t>
        </is>
      </c>
      <c r="D10" s="431">
        <f>'1 NK'!Q22</f>
        <v/>
      </c>
      <c r="E10" s="432" t="n">
        <v>17.5</v>
      </c>
      <c r="F10" s="431">
        <f>'YERDEN ISITMA'!N10</f>
        <v/>
      </c>
      <c r="G10" s="428" t="n">
        <v>18.18</v>
      </c>
      <c r="H10" s="428" t="n">
        <v>1</v>
      </c>
      <c r="I10" s="428" t="inlineStr">
        <is>
          <t>ZEMİNDEN ISITMA</t>
        </is>
      </c>
      <c r="J10" s="264" t="n"/>
      <c r="K10" s="264" t="n"/>
      <c r="L10" s="264" t="n"/>
      <c r="M10" s="264" t="n"/>
      <c r="N10" s="264" t="n"/>
      <c r="O10" s="264" t="n"/>
      <c r="P10" s="260" t="n"/>
    </row>
    <row r="11" ht="12.75" customHeight="1" s="244">
      <c r="A11" s="428" t="inlineStr">
        <is>
          <t>1A1-02</t>
        </is>
      </c>
      <c r="B11" s="429" t="inlineStr">
        <is>
          <t>OFİS A1 MUTFAK</t>
        </is>
      </c>
      <c r="C11" s="430" t="inlineStr">
        <is>
          <t>20</t>
        </is>
      </c>
      <c r="D11" s="431">
        <f>'1 NK'!Q29</f>
        <v/>
      </c>
      <c r="E11" s="432" t="n">
        <v>17.5</v>
      </c>
      <c r="F11" s="431">
        <f>'YERDEN ISITMA'!N11</f>
        <v/>
      </c>
      <c r="G11" s="428" t="n">
        <v>34.95</v>
      </c>
      <c r="H11" s="428" t="n">
        <v>1</v>
      </c>
      <c r="I11" s="428" t="inlineStr">
        <is>
          <t>ZEMİNDEN ISITMA</t>
        </is>
      </c>
      <c r="J11" s="264" t="n"/>
      <c r="K11" s="264" t="n"/>
      <c r="L11" s="264" t="n"/>
      <c r="M11" s="264" t="n"/>
      <c r="N11" s="264" t="n"/>
      <c r="O11" s="264" t="n"/>
      <c r="P11" s="260" t="n"/>
    </row>
    <row r="12" ht="12.75" customHeight="1" s="244">
      <c r="A12" s="428" t="inlineStr">
        <is>
          <t>1A1-03</t>
        </is>
      </c>
      <c r="B12" s="429" t="inlineStr">
        <is>
          <t>OFİS A1 ODA 1</t>
        </is>
      </c>
      <c r="C12" s="430" t="inlineStr">
        <is>
          <t>20</t>
        </is>
      </c>
      <c r="D12" s="431">
        <f>'1 NK'!Q40</f>
        <v/>
      </c>
      <c r="E12" s="432" t="n">
        <v>17.5</v>
      </c>
      <c r="F12" s="431">
        <f>'YERDEN ISITMA'!N12</f>
        <v/>
      </c>
      <c r="G12" s="428" t="n">
        <v>144.1</v>
      </c>
      <c r="H12" s="428" t="n">
        <v>3</v>
      </c>
      <c r="I12" s="428" t="inlineStr">
        <is>
          <t>ZEMİNDEN ISITMA</t>
        </is>
      </c>
      <c r="J12" s="264" t="n"/>
      <c r="K12" s="264" t="n"/>
      <c r="L12" s="264" t="n"/>
      <c r="M12" s="264" t="n"/>
      <c r="N12" s="264" t="n"/>
      <c r="O12" s="264" t="n"/>
      <c r="P12" s="260" t="n"/>
    </row>
    <row r="13" ht="12.75" customHeight="1" s="244">
      <c r="A13" s="428" t="inlineStr">
        <is>
          <t>1A1-04</t>
        </is>
      </c>
      <c r="B13" s="429" t="inlineStr">
        <is>
          <t>OFİS A1 HOL</t>
        </is>
      </c>
      <c r="C13" s="430" t="inlineStr">
        <is>
          <t>20</t>
        </is>
      </c>
      <c r="D13" s="431">
        <f>'1 NK'!Q47</f>
        <v/>
      </c>
      <c r="E13" s="432" t="n">
        <v>17.5</v>
      </c>
      <c r="F13" s="431">
        <f>'YERDEN ISITMA'!N13</f>
        <v/>
      </c>
      <c r="G13" s="428" t="n">
        <v>69.2</v>
      </c>
      <c r="H13" s="428" t="n">
        <v>2</v>
      </c>
      <c r="I13" s="428" t="inlineStr">
        <is>
          <t>ZEMİNDEN ISITMA</t>
        </is>
      </c>
      <c r="J13" s="264" t="n"/>
      <c r="K13" s="264" t="n"/>
      <c r="L13" s="264" t="n"/>
      <c r="M13" s="264" t="n"/>
      <c r="N13" s="264" t="n"/>
      <c r="O13" s="264" t="n"/>
      <c r="P13" s="260" t="n"/>
    </row>
    <row r="14" ht="12.75" customHeight="1" s="244">
      <c r="A14" s="428" t="inlineStr">
        <is>
          <t>1A1-05</t>
        </is>
      </c>
      <c r="B14" s="429" t="inlineStr">
        <is>
          <t>OFİS A1 ODA 2</t>
        </is>
      </c>
      <c r="C14" s="430" t="inlineStr">
        <is>
          <t>20</t>
        </is>
      </c>
      <c r="D14" s="431">
        <f>'1 NK'!Q55</f>
        <v/>
      </c>
      <c r="E14" s="432" t="n">
        <v>17.5</v>
      </c>
      <c r="F14" s="431">
        <f>'YERDEN ISITMA'!N14</f>
        <v/>
      </c>
      <c r="G14" s="428" t="n">
        <v>124.35</v>
      </c>
      <c r="H14" s="428" t="n">
        <v>2</v>
      </c>
      <c r="I14" s="428" t="inlineStr">
        <is>
          <t>ZEMİNDEN ISITMA</t>
        </is>
      </c>
      <c r="J14" s="264" t="n"/>
      <c r="K14" s="264" t="n"/>
      <c r="L14" s="264" t="n"/>
      <c r="M14" s="264" t="n"/>
      <c r="N14" s="264" t="n"/>
      <c r="O14" s="264" t="n"/>
      <c r="P14" s="260" t="n"/>
    </row>
    <row r="15" ht="12.75" customHeight="1" s="244">
      <c r="A15" s="428" t="inlineStr">
        <is>
          <t>1A2-01</t>
        </is>
      </c>
      <c r="B15" s="429" t="inlineStr">
        <is>
          <t>OFİS A2 MUTFAK</t>
        </is>
      </c>
      <c r="C15" s="430" t="inlineStr">
        <is>
          <t>20</t>
        </is>
      </c>
      <c r="D15" s="431">
        <f>'1 NK'!Q60</f>
        <v/>
      </c>
      <c r="E15" s="432" t="n">
        <v>17.5</v>
      </c>
      <c r="F15" s="431">
        <f>'YERDEN ISITMA'!N15</f>
        <v/>
      </c>
      <c r="G15" s="428" t="n">
        <v>34.95</v>
      </c>
      <c r="H15" s="428" t="n">
        <v>1</v>
      </c>
      <c r="I15" s="428" t="inlineStr">
        <is>
          <t>ZEMİNDEN ISITMA</t>
        </is>
      </c>
      <c r="J15" s="264" t="n"/>
      <c r="K15" s="264" t="n"/>
      <c r="L15" s="264" t="n"/>
      <c r="M15" s="264" t="n"/>
      <c r="N15" s="264" t="n"/>
      <c r="O15" s="264" t="n"/>
      <c r="P15" s="260" t="n"/>
    </row>
    <row r="16" ht="12.75" customHeight="1" s="244">
      <c r="A16" s="428" t="inlineStr">
        <is>
          <t>1A2-02</t>
        </is>
      </c>
      <c r="B16" s="429" t="inlineStr">
        <is>
          <t>OFİS A2 BANYO</t>
        </is>
      </c>
      <c r="C16" s="430" t="inlineStr">
        <is>
          <t>24</t>
        </is>
      </c>
      <c r="D16" s="431">
        <f>'1 NK'!Q73</f>
        <v/>
      </c>
      <c r="E16" s="432" t="n">
        <v>17.5</v>
      </c>
      <c r="F16" s="431">
        <f>'YERDEN ISITMA'!N16</f>
        <v/>
      </c>
      <c r="G16" s="428" t="n">
        <v>18.18</v>
      </c>
      <c r="H16" s="428" t="n">
        <v>1</v>
      </c>
      <c r="I16" s="428" t="inlineStr">
        <is>
          <t>ZEMİNDEN ISITMA</t>
        </is>
      </c>
      <c r="J16" s="264" t="n"/>
      <c r="K16" s="264" t="n"/>
      <c r="L16" s="264" t="n"/>
      <c r="M16" s="264" t="n"/>
      <c r="N16" s="264" t="n"/>
      <c r="O16" s="264" t="n"/>
      <c r="P16" s="260" t="n"/>
    </row>
    <row r="17" ht="12.75" customHeight="1" s="244">
      <c r="A17" s="428" t="inlineStr">
        <is>
          <t>1A2-03</t>
        </is>
      </c>
      <c r="B17" s="429" t="inlineStr">
        <is>
          <t>OFİS A2 ODA 1</t>
        </is>
      </c>
      <c r="C17" s="430" t="inlineStr">
        <is>
          <t>20</t>
        </is>
      </c>
      <c r="D17" s="431">
        <f>'1 NK'!Q81</f>
        <v/>
      </c>
      <c r="E17" s="432" t="n">
        <v>17.5</v>
      </c>
      <c r="F17" s="431">
        <f>'YERDEN ISITMA'!N17</f>
        <v/>
      </c>
      <c r="G17" s="428" t="n">
        <v>144.1</v>
      </c>
      <c r="H17" s="428" t="n">
        <v>3</v>
      </c>
      <c r="I17" s="428" t="inlineStr">
        <is>
          <t>ZEMİNDEN ISITMA</t>
        </is>
      </c>
      <c r="J17" s="264" t="n"/>
      <c r="K17" s="264" t="n"/>
      <c r="L17" s="264" t="n"/>
      <c r="M17" s="264" t="n"/>
      <c r="N17" s="264" t="n"/>
      <c r="O17" s="264" t="n"/>
      <c r="P17" s="260" t="n"/>
    </row>
    <row r="18" ht="12.75" customHeight="1" s="244">
      <c r="A18" s="428" t="inlineStr">
        <is>
          <t>1A2-04</t>
        </is>
      </c>
      <c r="B18" s="429" t="inlineStr">
        <is>
          <t>OFİS A2 ODA 2</t>
        </is>
      </c>
      <c r="C18" s="430" t="inlineStr">
        <is>
          <t>20</t>
        </is>
      </c>
      <c r="D18" s="431">
        <f>'1 NK'!Q91</f>
        <v/>
      </c>
      <c r="E18" s="432" t="n">
        <v>17.5</v>
      </c>
      <c r="F18" s="431">
        <f>'YERDEN ISITMA'!N18</f>
        <v/>
      </c>
      <c r="G18" s="428" t="n">
        <v>117.85</v>
      </c>
      <c r="H18" s="428" t="n">
        <v>2</v>
      </c>
      <c r="I18" s="428" t="inlineStr">
        <is>
          <t>ZEMİNDEN ISITMA</t>
        </is>
      </c>
      <c r="J18" s="264" t="n"/>
      <c r="K18" s="264" t="n"/>
      <c r="L18" s="264" t="n"/>
      <c r="M18" s="264" t="n"/>
      <c r="N18" s="264" t="n"/>
      <c r="O18" s="264" t="n"/>
      <c r="P18" s="260" t="n"/>
    </row>
    <row r="19" ht="12.75" customHeight="1" s="244">
      <c r="A19" s="428" t="inlineStr">
        <is>
          <t>1A2-05</t>
        </is>
      </c>
      <c r="B19" s="429" t="inlineStr">
        <is>
          <t>OFİS A2 HOL</t>
        </is>
      </c>
      <c r="C19" s="430" t="inlineStr">
        <is>
          <t>20</t>
        </is>
      </c>
      <c r="D19" s="431">
        <f>'1 NK'!Q99</f>
        <v/>
      </c>
      <c r="E19" s="432" t="n">
        <v>17.5</v>
      </c>
      <c r="F19" s="431">
        <f>'YERDEN ISITMA'!N19</f>
        <v/>
      </c>
      <c r="G19" s="428" t="n">
        <v>65.02</v>
      </c>
      <c r="H19" s="428" t="n">
        <v>2</v>
      </c>
      <c r="I19" s="428" t="inlineStr">
        <is>
          <t>ZEMİNDEN ISITMA</t>
        </is>
      </c>
      <c r="J19" s="264" t="n"/>
      <c r="K19" s="264" t="n"/>
      <c r="L19" s="264" t="n"/>
      <c r="M19" s="264" t="n"/>
      <c r="N19" s="264" t="n"/>
      <c r="O19" s="264" t="n"/>
      <c r="P19" s="260" t="n"/>
    </row>
    <row r="20" ht="12.75" customHeight="1" s="244">
      <c r="A20" s="428" t="inlineStr">
        <is>
          <t>1A3-01</t>
        </is>
      </c>
      <c r="B20" s="429" t="inlineStr">
        <is>
          <t>OFİS A3 BANYO</t>
        </is>
      </c>
      <c r="C20" s="430" t="inlineStr">
        <is>
          <t>24</t>
        </is>
      </c>
      <c r="D20" s="431">
        <f>'1 NK'!Q112</f>
        <v/>
      </c>
      <c r="E20" s="432" t="n">
        <v>17.5</v>
      </c>
      <c r="F20" s="431">
        <f>'YERDEN ISITMA'!N20</f>
        <v/>
      </c>
      <c r="G20" s="428" t="n">
        <v>18.18</v>
      </c>
      <c r="H20" s="428" t="n">
        <v>1</v>
      </c>
      <c r="I20" s="428" t="inlineStr">
        <is>
          <t>ZEMİNDEN ISITMA</t>
        </is>
      </c>
      <c r="J20" s="264" t="n"/>
      <c r="K20" s="264" t="n"/>
      <c r="L20" s="264" t="n"/>
      <c r="M20" s="264" t="n"/>
      <c r="N20" s="264" t="n"/>
      <c r="O20" s="264" t="n"/>
      <c r="P20" s="260" t="n"/>
    </row>
    <row r="21" ht="12.75" customHeight="1" s="244">
      <c r="A21" s="428" t="inlineStr">
        <is>
          <t>1A3-02</t>
        </is>
      </c>
      <c r="B21" s="429" t="inlineStr">
        <is>
          <t>OFİS A3 MUTFAK</t>
        </is>
      </c>
      <c r="C21" s="430" t="inlineStr">
        <is>
          <t>20</t>
        </is>
      </c>
      <c r="D21" s="431">
        <f>'1 NK'!Q117</f>
        <v/>
      </c>
      <c r="E21" s="432" t="n">
        <v>17.5</v>
      </c>
      <c r="F21" s="431">
        <f>'YERDEN ISITMA'!N21</f>
        <v/>
      </c>
      <c r="G21" s="428" t="n">
        <v>34.95</v>
      </c>
      <c r="H21" s="428" t="n">
        <v>1</v>
      </c>
      <c r="I21" s="428" t="inlineStr">
        <is>
          <t>ZEMİNDEN ISITMA</t>
        </is>
      </c>
      <c r="J21" s="264" t="n"/>
      <c r="K21" s="264" t="n"/>
      <c r="L21" s="264" t="n"/>
      <c r="M21" s="264" t="n"/>
      <c r="N21" s="264" t="n"/>
      <c r="O21" s="264" t="n"/>
      <c r="P21" s="260" t="n"/>
    </row>
    <row r="22" ht="12.75" customHeight="1" s="244">
      <c r="A22" s="428" t="inlineStr">
        <is>
          <t>1A3-03</t>
        </is>
      </c>
      <c r="B22" s="429" t="inlineStr">
        <is>
          <t>OFİS A3 ODA 1</t>
        </is>
      </c>
      <c r="C22" s="430" t="inlineStr">
        <is>
          <t>20</t>
        </is>
      </c>
      <c r="D22" s="431">
        <f>'1 NK'!Q127</f>
        <v/>
      </c>
      <c r="E22" s="432" t="n">
        <v>17.5</v>
      </c>
      <c r="F22" s="431">
        <f>'YERDEN ISITMA'!N22</f>
        <v/>
      </c>
      <c r="G22" s="428" t="n">
        <v>144.1</v>
      </c>
      <c r="H22" s="428" t="n">
        <v>3</v>
      </c>
      <c r="I22" s="428" t="inlineStr">
        <is>
          <t>ZEMİNDEN ISITMA</t>
        </is>
      </c>
      <c r="J22" s="264" t="n"/>
      <c r="K22" s="264" t="n"/>
      <c r="L22" s="264" t="n"/>
      <c r="M22" s="264" t="n"/>
      <c r="N22" s="264" t="n"/>
      <c r="O22" s="264" t="n"/>
      <c r="P22" s="260" t="n"/>
    </row>
    <row r="23" ht="12.75" customHeight="1" s="244">
      <c r="A23" s="428" t="inlineStr">
        <is>
          <t>1A3-04</t>
        </is>
      </c>
      <c r="B23" s="429" t="inlineStr">
        <is>
          <t>OFİS A3 HOL</t>
        </is>
      </c>
      <c r="C23" s="430" t="inlineStr">
        <is>
          <t>20</t>
        </is>
      </c>
      <c r="D23" s="431">
        <f>'1 NK'!Q139</f>
        <v/>
      </c>
      <c r="E23" s="432" t="n">
        <v>17.5</v>
      </c>
      <c r="F23" s="431">
        <f>'YERDEN ISITMA'!N23</f>
        <v/>
      </c>
      <c r="G23" s="428" t="n">
        <v>90.41</v>
      </c>
      <c r="H23" s="428" t="n">
        <v>2</v>
      </c>
      <c r="I23" s="428" t="inlineStr">
        <is>
          <t>ZEMİNDEN ISITMA</t>
        </is>
      </c>
      <c r="J23" s="264" t="n"/>
      <c r="K23" s="264" t="n"/>
      <c r="L23" s="264" t="n"/>
      <c r="M23" s="264" t="n"/>
      <c r="N23" s="264" t="n"/>
      <c r="O23" s="264" t="n"/>
      <c r="P23" s="260" t="n"/>
    </row>
    <row r="24" ht="12.75" customHeight="1" s="244">
      <c r="A24" s="428" t="inlineStr">
        <is>
          <t>1A3-05</t>
        </is>
      </c>
      <c r="B24" s="429" t="inlineStr">
        <is>
          <t>OFİS A3 ODA 2</t>
        </is>
      </c>
      <c r="C24" s="430" t="inlineStr">
        <is>
          <t>20</t>
        </is>
      </c>
      <c r="D24" s="431">
        <f>'1 NK'!Q150</f>
        <v/>
      </c>
      <c r="E24" s="432" t="n">
        <v>17.5</v>
      </c>
      <c r="F24" s="431">
        <f>'YERDEN ISITMA'!N24</f>
        <v/>
      </c>
      <c r="G24" s="428" t="n">
        <v>117.85</v>
      </c>
      <c r="H24" s="428" t="n">
        <v>2</v>
      </c>
      <c r="I24" s="428" t="inlineStr">
        <is>
          <t>ZEMİNDEN ISITMA</t>
        </is>
      </c>
      <c r="J24" s="264" t="n"/>
      <c r="K24" s="264" t="n"/>
      <c r="L24" s="264" t="n"/>
      <c r="M24" s="264" t="n"/>
      <c r="N24" s="264" t="n"/>
      <c r="O24" s="264" t="n"/>
      <c r="P24" s="260" t="n"/>
    </row>
    <row r="25">
      <c r="A25" s="433" t="inlineStr">
        <is>
          <t>1B1-01</t>
        </is>
      </c>
      <c r="B25" s="434" t="inlineStr">
        <is>
          <t>OFİS B1 ODA</t>
        </is>
      </c>
      <c r="C25" s="435" t="inlineStr">
        <is>
          <t>20</t>
        </is>
      </c>
      <c r="D25" s="436">
        <f>'1 NK'!Q159</f>
        <v/>
      </c>
      <c r="E25" s="437" t="n">
        <v>17.5</v>
      </c>
      <c r="F25" s="436">
        <f>'YERDEN ISITMA'!N25</f>
        <v/>
      </c>
      <c r="G25" s="433" t="n">
        <v>119.69</v>
      </c>
      <c r="H25" s="433" t="n">
        <v>3</v>
      </c>
      <c r="I25" s="433" t="inlineStr">
        <is>
          <t>ZEMİNDEN ISITMA</t>
        </is>
      </c>
      <c r="J25" s="264" t="n"/>
      <c r="K25" s="264" t="n"/>
      <c r="L25" s="264" t="n"/>
      <c r="M25" s="264" t="n"/>
      <c r="N25" s="264" t="n"/>
      <c r="O25" s="264" t="n"/>
      <c r="P25" s="260" t="n"/>
    </row>
    <row r="26">
      <c r="A26" s="433" t="inlineStr">
        <is>
          <t>1B1-02</t>
        </is>
      </c>
      <c r="B26" s="434" t="inlineStr">
        <is>
          <t>OFİS B1 GİRİŞ KARŞILAM</t>
        </is>
      </c>
      <c r="C26" s="435" t="inlineStr">
        <is>
          <t>20</t>
        </is>
      </c>
      <c r="D26" s="436">
        <f>'1 NK'!Q168</f>
        <v/>
      </c>
      <c r="E26" s="437" t="n">
        <v>17.5</v>
      </c>
      <c r="F26" s="436">
        <f>'YERDEN ISITMA'!N26</f>
        <v/>
      </c>
      <c r="G26" s="433" t="n">
        <v>98.64</v>
      </c>
      <c r="H26" s="433" t="n">
        <v>2</v>
      </c>
      <c r="I26" s="433" t="inlineStr">
        <is>
          <t>ZEMİNDEN ISITMA</t>
        </is>
      </c>
      <c r="J26" s="264" t="n"/>
      <c r="K26" s="264" t="n"/>
      <c r="L26" s="264" t="n"/>
      <c r="M26" s="264" t="n"/>
      <c r="N26" s="264" t="n"/>
      <c r="O26" s="264" t="n"/>
      <c r="P26" s="260" t="n"/>
    </row>
    <row r="27">
      <c r="A27" s="433" t="inlineStr">
        <is>
          <t>1B1-03</t>
        </is>
      </c>
      <c r="B27" s="434" t="inlineStr">
        <is>
          <t>OFİS B1 MUTFAK</t>
        </is>
      </c>
      <c r="C27" s="435" t="inlineStr">
        <is>
          <t>20</t>
        </is>
      </c>
      <c r="D27" s="436">
        <f>'1 NK'!Q173</f>
        <v/>
      </c>
      <c r="E27" s="437" t="n">
        <v>17.5</v>
      </c>
      <c r="F27" s="436">
        <f>'YERDEN ISITMA'!N27</f>
        <v/>
      </c>
      <c r="G27" s="433" t="n">
        <v>0</v>
      </c>
      <c r="H27" s="433" t="n">
        <v>0</v>
      </c>
      <c r="I27" s="433" t="inlineStr">
        <is>
          <t>ISITILMIYOR (tefriş/ıslak hacim dolu) - kollektör bağlantı boruları</t>
        </is>
      </c>
      <c r="J27" s="264" t="n"/>
      <c r="K27" s="264" t="n"/>
      <c r="L27" s="264" t="n"/>
      <c r="M27" s="264" t="n"/>
      <c r="N27" s="264" t="n"/>
      <c r="O27" s="264" t="n"/>
      <c r="P27" s="260" t="n"/>
    </row>
    <row r="28">
      <c r="A28" s="433" t="inlineStr">
        <is>
          <t>1B1-04</t>
        </is>
      </c>
      <c r="B28" s="434" t="inlineStr">
        <is>
          <t>OFİS B1 BANYO</t>
        </is>
      </c>
      <c r="C28" s="435" t="inlineStr">
        <is>
          <t>24</t>
        </is>
      </c>
      <c r="D28" s="436">
        <f>'1 NK'!Q179</f>
        <v/>
      </c>
      <c r="E28" s="437" t="n">
        <v>17.5</v>
      </c>
      <c r="F28" s="436">
        <f>'YERDEN ISITMA'!N28</f>
        <v/>
      </c>
      <c r="G28" s="433" t="n">
        <v>15.85</v>
      </c>
      <c r="H28" s="433" t="n">
        <v>1</v>
      </c>
      <c r="I28" s="433" t="inlineStr">
        <is>
          <t>ZEMİNDEN ISITMA</t>
        </is>
      </c>
      <c r="J28" s="264" t="n"/>
      <c r="K28" s="264" t="n"/>
      <c r="L28" s="264" t="n"/>
      <c r="M28" s="264" t="n"/>
      <c r="N28" s="264" t="n"/>
      <c r="O28" s="264" t="n"/>
      <c r="P28" s="260" t="n"/>
    </row>
    <row r="29">
      <c r="A29" s="433" t="inlineStr">
        <is>
          <t>1B2-01</t>
        </is>
      </c>
      <c r="B29" s="434" t="inlineStr">
        <is>
          <t>OFİS B2 ODA</t>
        </is>
      </c>
      <c r="C29" s="435" t="inlineStr">
        <is>
          <t>20</t>
        </is>
      </c>
      <c r="D29" s="436">
        <f>'1 NK'!Q187</f>
        <v/>
      </c>
      <c r="E29" s="437" t="n">
        <v>17.5</v>
      </c>
      <c r="F29" s="436">
        <f>'YERDEN ISITMA'!N29</f>
        <v/>
      </c>
      <c r="G29" s="433" t="n">
        <v>119.69</v>
      </c>
      <c r="H29" s="433" t="n">
        <v>3</v>
      </c>
      <c r="I29" s="433" t="inlineStr">
        <is>
          <t>ZEMİNDEN ISITMA</t>
        </is>
      </c>
      <c r="J29" s="264" t="n"/>
      <c r="K29" s="264" t="n"/>
      <c r="L29" s="264" t="n"/>
      <c r="M29" s="264" t="n"/>
      <c r="N29" s="264" t="n"/>
      <c r="O29" s="264" t="n"/>
      <c r="P29" s="260" t="n"/>
    </row>
    <row r="30">
      <c r="A30" s="433" t="inlineStr">
        <is>
          <t>1B2-02</t>
        </is>
      </c>
      <c r="B30" s="434" t="inlineStr">
        <is>
          <t>OFİS B2 GİRİŞ HOLÜ</t>
        </is>
      </c>
      <c r="C30" s="435" t="inlineStr">
        <is>
          <t>20</t>
        </is>
      </c>
      <c r="D30" s="436">
        <f>'1 NK'!Q192</f>
        <v/>
      </c>
      <c r="E30" s="437" t="n">
        <v>17.5</v>
      </c>
      <c r="F30" s="436">
        <f>'YERDEN ISITMA'!N30</f>
        <v/>
      </c>
      <c r="G30" s="433" t="n">
        <v>0</v>
      </c>
      <c r="H30" s="433" t="n">
        <v>0</v>
      </c>
      <c r="I30" s="433" t="inlineStr">
        <is>
          <t>ISITILMIYOR (tefriş/ıslak hacim dolu) - kollektör bağlantı boruları</t>
        </is>
      </c>
      <c r="J30" s="264" t="n"/>
      <c r="K30" s="264" t="n"/>
      <c r="L30" s="264" t="n"/>
      <c r="M30" s="264" t="n"/>
      <c r="N30" s="264" t="n"/>
      <c r="O30" s="264" t="n"/>
      <c r="P30" s="260" t="n"/>
    </row>
    <row r="31">
      <c r="A31" s="433" t="inlineStr">
        <is>
          <t>1B2-03</t>
        </is>
      </c>
      <c r="B31" s="434" t="inlineStr">
        <is>
          <t>OFİS B2 GİRİŞ KARŞILAM</t>
        </is>
      </c>
      <c r="C31" s="435" t="inlineStr">
        <is>
          <t>20</t>
        </is>
      </c>
      <c r="D31" s="436">
        <f>'1 NK'!Q200</f>
        <v/>
      </c>
      <c r="E31" s="437" t="n">
        <v>17.5</v>
      </c>
      <c r="F31" s="436">
        <f>'YERDEN ISITMA'!N31</f>
        <v/>
      </c>
      <c r="G31" s="433" t="n">
        <v>98.64</v>
      </c>
      <c r="H31" s="433" t="n">
        <v>2</v>
      </c>
      <c r="I31" s="433" t="inlineStr">
        <is>
          <t>ZEMİNDEN ISITMA</t>
        </is>
      </c>
      <c r="J31" s="264" t="n"/>
      <c r="K31" s="264" t="n"/>
      <c r="L31" s="264" t="n"/>
      <c r="M31" s="264" t="n"/>
      <c r="N31" s="264" t="n"/>
      <c r="O31" s="264" t="n"/>
      <c r="P31" s="260" t="n"/>
    </row>
    <row r="32">
      <c r="A32" s="433" t="inlineStr">
        <is>
          <t>1B2-04</t>
        </is>
      </c>
      <c r="B32" s="434" t="inlineStr">
        <is>
          <t>OFİS B2 BANYO</t>
        </is>
      </c>
      <c r="C32" s="435" t="inlineStr">
        <is>
          <t>24</t>
        </is>
      </c>
      <c r="D32" s="436">
        <f>'1 NK'!Q207</f>
        <v/>
      </c>
      <c r="E32" s="437" t="n">
        <v>17.5</v>
      </c>
      <c r="F32" s="436">
        <f>'YERDEN ISITMA'!N32</f>
        <v/>
      </c>
      <c r="G32" s="433" t="n">
        <v>15.85</v>
      </c>
      <c r="H32" s="433" t="n">
        <v>1</v>
      </c>
      <c r="I32" s="433" t="inlineStr">
        <is>
          <t>ZEMİNDEN ISITMA</t>
        </is>
      </c>
      <c r="J32" s="264" t="n"/>
      <c r="K32" s="264" t="n"/>
      <c r="L32" s="264" t="n"/>
      <c r="M32" s="264" t="n"/>
      <c r="N32" s="264" t="n"/>
      <c r="O32" s="264" t="n"/>
      <c r="P32" s="260" t="n"/>
    </row>
    <row r="33">
      <c r="A33" s="433" t="inlineStr">
        <is>
          <t>1B3-01</t>
        </is>
      </c>
      <c r="B33" s="434" t="inlineStr">
        <is>
          <t>OFİS B3 ODA</t>
        </is>
      </c>
      <c r="C33" s="435" t="inlineStr">
        <is>
          <t>20</t>
        </is>
      </c>
      <c r="D33" s="436">
        <f>'1 NK'!Q216</f>
        <v/>
      </c>
      <c r="E33" s="437" t="n">
        <v>17.5</v>
      </c>
      <c r="F33" s="436">
        <f>'YERDEN ISITMA'!N33</f>
        <v/>
      </c>
      <c r="G33" s="433" t="n">
        <v>119.69</v>
      </c>
      <c r="H33" s="433" t="n">
        <v>3</v>
      </c>
      <c r="I33" s="433" t="inlineStr">
        <is>
          <t>ZEMİNDEN ISITMA</t>
        </is>
      </c>
      <c r="J33" s="264" t="n"/>
      <c r="K33" s="264" t="n"/>
      <c r="L33" s="264" t="n"/>
      <c r="M33" s="264" t="n"/>
      <c r="N33" s="264" t="n"/>
      <c r="O33" s="264" t="n"/>
      <c r="P33" s="260" t="n"/>
    </row>
    <row r="34">
      <c r="A34" s="433" t="inlineStr">
        <is>
          <t>1B3-02</t>
        </is>
      </c>
      <c r="B34" s="434" t="inlineStr">
        <is>
          <t>OFİS B3 GİRİŞ KARŞILAM</t>
        </is>
      </c>
      <c r="C34" s="435" t="inlineStr">
        <is>
          <t>20</t>
        </is>
      </c>
      <c r="D34" s="436">
        <f>'1 NK'!Q226</f>
        <v/>
      </c>
      <c r="E34" s="437" t="n">
        <v>17.5</v>
      </c>
      <c r="F34" s="436">
        <f>'YERDEN ISITMA'!N34</f>
        <v/>
      </c>
      <c r="G34" s="433" t="n">
        <v>98.64</v>
      </c>
      <c r="H34" s="433" t="n">
        <v>2</v>
      </c>
      <c r="I34" s="433" t="inlineStr">
        <is>
          <t>ZEMİNDEN ISITMA</t>
        </is>
      </c>
      <c r="J34" s="264" t="n"/>
      <c r="K34" s="264" t="n"/>
      <c r="L34" s="264" t="n"/>
      <c r="M34" s="264" t="n"/>
      <c r="N34" s="264" t="n"/>
      <c r="O34" s="264" t="n"/>
      <c r="P34" s="260" t="n"/>
    </row>
    <row r="35">
      <c r="A35" s="433" t="inlineStr">
        <is>
          <t>1B3-03</t>
        </is>
      </c>
      <c r="B35" s="434" t="inlineStr">
        <is>
          <t>OFİS B3 MUTFAK</t>
        </is>
      </c>
      <c r="C35" s="435" t="inlineStr">
        <is>
          <t>20</t>
        </is>
      </c>
      <c r="D35" s="436">
        <f>'1 NK'!Q232</f>
        <v/>
      </c>
      <c r="E35" s="437" t="n">
        <v>17.5</v>
      </c>
      <c r="F35" s="436">
        <f>'YERDEN ISITMA'!N35</f>
        <v/>
      </c>
      <c r="G35" s="433" t="n">
        <v>0</v>
      </c>
      <c r="H35" s="433" t="n">
        <v>0</v>
      </c>
      <c r="I35" s="433" t="inlineStr">
        <is>
          <t>ISITILMIYOR (tefriş/ıslak hacim dolu) - kollektör bağlantı boruları</t>
        </is>
      </c>
      <c r="J35" s="264" t="n"/>
      <c r="K35" s="264" t="n"/>
      <c r="L35" s="264" t="n"/>
      <c r="M35" s="264" t="n"/>
      <c r="N35" s="264" t="n"/>
      <c r="O35" s="264" t="n"/>
      <c r="P35" s="260" t="n"/>
    </row>
    <row r="36">
      <c r="A36" s="433" t="inlineStr">
        <is>
          <t>1B3-04</t>
        </is>
      </c>
      <c r="B36" s="434" t="inlineStr">
        <is>
          <t>OFİS B3 BANYO</t>
        </is>
      </c>
      <c r="C36" s="435" t="inlineStr">
        <is>
          <t>24</t>
        </is>
      </c>
      <c r="D36" s="436">
        <f>'1 NK'!Q238</f>
        <v/>
      </c>
      <c r="E36" s="437" t="n">
        <v>17.5</v>
      </c>
      <c r="F36" s="436">
        <f>'YERDEN ISITMA'!N36</f>
        <v/>
      </c>
      <c r="G36" s="433" t="n">
        <v>15.85</v>
      </c>
      <c r="H36" s="433" t="n">
        <v>1</v>
      </c>
      <c r="I36" s="433" t="inlineStr">
        <is>
          <t>ZEMİNDEN ISITMA</t>
        </is>
      </c>
      <c r="J36" s="264" t="n"/>
      <c r="K36" s="264" t="n"/>
      <c r="L36" s="264" t="n"/>
      <c r="M36" s="264" t="n"/>
      <c r="N36" s="264" t="n"/>
      <c r="O36" s="264" t="n"/>
      <c r="P36" s="260" t="n"/>
    </row>
    <row r="37">
      <c r="A37" s="433" t="inlineStr">
        <is>
          <t>1C1-01</t>
        </is>
      </c>
      <c r="B37" s="434" t="inlineStr">
        <is>
          <t>OFİS C1 GİRİŞ HOLÜ</t>
        </is>
      </c>
      <c r="C37" s="435" t="inlineStr">
        <is>
          <t>20</t>
        </is>
      </c>
      <c r="D37" s="436">
        <f>'1 NK'!Q246</f>
        <v/>
      </c>
      <c r="E37" s="437" t="n">
        <v>17.5</v>
      </c>
      <c r="F37" s="436">
        <f>'YERDEN ISITMA'!N37</f>
        <v/>
      </c>
      <c r="G37" s="433" t="n">
        <v>83.73999999999999</v>
      </c>
      <c r="H37" s="433" t="n">
        <v>2</v>
      </c>
      <c r="I37" s="433" t="inlineStr">
        <is>
          <t>ZEMİNDEN ISITMA</t>
        </is>
      </c>
      <c r="J37" s="264" t="n"/>
      <c r="K37" s="264" t="n"/>
      <c r="L37" s="264" t="n"/>
      <c r="M37" s="264" t="n"/>
      <c r="N37" s="264" t="n"/>
      <c r="O37" s="264" t="n"/>
      <c r="P37" s="260" t="n"/>
    </row>
    <row r="38">
      <c r="A38" s="433" t="inlineStr">
        <is>
          <t>1C1-02</t>
        </is>
      </c>
      <c r="B38" s="434" t="inlineStr">
        <is>
          <t>OFİS C1 ODA</t>
        </is>
      </c>
      <c r="C38" s="435" t="inlineStr">
        <is>
          <t>20</t>
        </is>
      </c>
      <c r="D38" s="436">
        <f>'1 NK'!Q255</f>
        <v/>
      </c>
      <c r="E38" s="437" t="n">
        <v>17.5</v>
      </c>
      <c r="F38" s="436">
        <f>'YERDEN ISITMA'!N38</f>
        <v/>
      </c>
      <c r="G38" s="433" t="n">
        <v>103.11</v>
      </c>
      <c r="H38" s="433" t="n">
        <v>2</v>
      </c>
      <c r="I38" s="433" t="inlineStr">
        <is>
          <t>ZEMİNDEN ISITMA</t>
        </is>
      </c>
      <c r="J38" s="264" t="n"/>
      <c r="K38" s="264" t="n"/>
      <c r="L38" s="264" t="n"/>
      <c r="M38" s="264" t="n"/>
      <c r="N38" s="264" t="n"/>
      <c r="O38" s="264" t="n"/>
      <c r="P38" s="260" t="n"/>
    </row>
    <row r="39">
      <c r="A39" s="433" t="inlineStr">
        <is>
          <t>1C1-03</t>
        </is>
      </c>
      <c r="B39" s="434" t="inlineStr">
        <is>
          <t>OFİS C1 MUTFAK</t>
        </is>
      </c>
      <c r="C39" s="435" t="inlineStr">
        <is>
          <t>20</t>
        </is>
      </c>
      <c r="D39" s="436">
        <f>'1 NK'!Q260</f>
        <v/>
      </c>
      <c r="E39" s="437" t="n">
        <v>17.5</v>
      </c>
      <c r="F39" s="436">
        <f>'YERDEN ISITMA'!N39</f>
        <v/>
      </c>
      <c r="G39" s="433" t="n">
        <v>0</v>
      </c>
      <c r="H39" s="433" t="n">
        <v>0</v>
      </c>
      <c r="I39" s="433" t="inlineStr">
        <is>
          <t>ISITILMIYOR (tefriş/ıslak hacim dolu) - kollektör bağlantı boruları</t>
        </is>
      </c>
      <c r="J39" s="264" t="n"/>
      <c r="K39" s="264" t="n"/>
      <c r="L39" s="264" t="n"/>
      <c r="M39" s="264" t="n"/>
      <c r="N39" s="264" t="n"/>
      <c r="O39" s="264" t="n"/>
      <c r="P39" s="260" t="n"/>
    </row>
    <row r="40">
      <c r="A40" s="433" t="inlineStr">
        <is>
          <t>1C1-04</t>
        </is>
      </c>
      <c r="B40" s="434" t="inlineStr">
        <is>
          <t>OFİS C1 BANYO</t>
        </is>
      </c>
      <c r="C40" s="435" t="inlineStr">
        <is>
          <t>24</t>
        </is>
      </c>
      <c r="D40" s="436">
        <f>'1 NK'!Q265</f>
        <v/>
      </c>
      <c r="E40" s="437" t="n">
        <v>17.5</v>
      </c>
      <c r="F40" s="436">
        <f>'YERDEN ISITMA'!N40</f>
        <v/>
      </c>
      <c r="G40" s="433" t="n">
        <v>33.75</v>
      </c>
      <c r="H40" s="433" t="n">
        <v>2</v>
      </c>
      <c r="I40" s="433" t="inlineStr">
        <is>
          <t>ZEMİNDEN ISITMA</t>
        </is>
      </c>
      <c r="J40" s="264" t="n"/>
      <c r="K40" s="264" t="n"/>
      <c r="L40" s="264" t="n"/>
      <c r="M40" s="264" t="n"/>
      <c r="N40" s="264" t="n"/>
      <c r="O40" s="264" t="n"/>
      <c r="P40" s="260" t="n"/>
    </row>
    <row r="41">
      <c r="A41" s="433" t="inlineStr">
        <is>
          <t>1C2-01</t>
        </is>
      </c>
      <c r="B41" s="434" t="inlineStr">
        <is>
          <t>OFİS C2 GİRİŞ HOLÜ</t>
        </is>
      </c>
      <c r="C41" s="435" t="inlineStr">
        <is>
          <t>20</t>
        </is>
      </c>
      <c r="D41" s="436">
        <f>'1 NK'!Q271</f>
        <v/>
      </c>
      <c r="E41" s="437" t="n">
        <v>17.5</v>
      </c>
      <c r="F41" s="436">
        <f>'YERDEN ISITMA'!N41</f>
        <v/>
      </c>
      <c r="G41" s="433" t="n">
        <v>102.02</v>
      </c>
      <c r="H41" s="433" t="n">
        <v>3</v>
      </c>
      <c r="I41" s="433" t="inlineStr">
        <is>
          <t>ZEMİNDEN ISITMA</t>
        </is>
      </c>
      <c r="J41" s="264" t="n"/>
      <c r="K41" s="264" t="n"/>
      <c r="L41" s="264" t="n"/>
      <c r="M41" s="264" t="n"/>
      <c r="N41" s="264" t="n"/>
      <c r="O41" s="264" t="n"/>
      <c r="P41" s="260" t="n"/>
    </row>
    <row r="42">
      <c r="A42" s="433" t="inlineStr">
        <is>
          <t>1C2-02</t>
        </is>
      </c>
      <c r="B42" s="434" t="inlineStr">
        <is>
          <t>OFİS C2 GİRİŞ HOLÜ</t>
        </is>
      </c>
      <c r="C42" s="435" t="inlineStr">
        <is>
          <t>20</t>
        </is>
      </c>
      <c r="D42" s="436">
        <f>'1 NK'!Q281</f>
        <v/>
      </c>
      <c r="E42" s="437" t="n">
        <v>17.5</v>
      </c>
      <c r="F42" s="436">
        <f>'YERDEN ISITMA'!N42</f>
        <v/>
      </c>
      <c r="G42" s="433" t="n">
        <v>120.1</v>
      </c>
      <c r="H42" s="433" t="n">
        <v>2</v>
      </c>
      <c r="I42" s="433" t="inlineStr">
        <is>
          <t>ZEMİNDEN ISITMA</t>
        </is>
      </c>
      <c r="J42" s="264" t="n"/>
      <c r="K42" s="264" t="n"/>
      <c r="L42" s="264" t="n"/>
      <c r="M42" s="264" t="n"/>
      <c r="N42" s="264" t="n"/>
      <c r="O42" s="264" t="n"/>
      <c r="P42" s="260" t="n"/>
    </row>
    <row r="43">
      <c r="A43" s="433" t="inlineStr">
        <is>
          <t>1C2-03</t>
        </is>
      </c>
      <c r="B43" s="434" t="inlineStr">
        <is>
          <t>OFİS C2 MUTFAK</t>
        </is>
      </c>
      <c r="C43" s="435" t="inlineStr">
        <is>
          <t>20</t>
        </is>
      </c>
      <c r="D43" s="436">
        <f>'1 NK'!Q286</f>
        <v/>
      </c>
      <c r="E43" s="437" t="n">
        <v>17.5</v>
      </c>
      <c r="F43" s="436">
        <f>'YERDEN ISITMA'!N43</f>
        <v/>
      </c>
      <c r="G43" s="433" t="n">
        <v>21.12</v>
      </c>
      <c r="H43" s="433" t="n">
        <v>1</v>
      </c>
      <c r="I43" s="433" t="inlineStr">
        <is>
          <t>ZEMİNDEN ISITMA</t>
        </is>
      </c>
      <c r="J43" s="264" t="n"/>
      <c r="K43" s="264" t="n"/>
      <c r="L43" s="264" t="n"/>
      <c r="M43" s="264" t="n"/>
      <c r="N43" s="264" t="n"/>
      <c r="O43" s="264" t="n"/>
      <c r="P43" s="260" t="n"/>
    </row>
    <row r="44">
      <c r="A44" s="433" t="inlineStr">
        <is>
          <t>1C2-04</t>
        </is>
      </c>
      <c r="B44" s="434" t="inlineStr">
        <is>
          <t>OFİS C2 BANYO</t>
        </is>
      </c>
      <c r="C44" s="435" t="inlineStr">
        <is>
          <t>24</t>
        </is>
      </c>
      <c r="D44" s="436">
        <f>'1 NK'!Q291</f>
        <v/>
      </c>
      <c r="E44" s="437" t="n">
        <v>17.5</v>
      </c>
      <c r="F44" s="436">
        <f>'YERDEN ISITMA'!N44</f>
        <v/>
      </c>
      <c r="G44" s="433" t="n">
        <v>0</v>
      </c>
      <c r="H44" s="433" t="n">
        <v>0</v>
      </c>
      <c r="I44" s="433" t="inlineStr">
        <is>
          <t>ISITILMIYOR (tefriş/ıslak hacim dolu) - kollektör bağlantı boruları</t>
        </is>
      </c>
      <c r="J44" s="264" t="n"/>
      <c r="K44" s="264" t="n"/>
      <c r="L44" s="264" t="n"/>
      <c r="M44" s="264" t="n"/>
      <c r="N44" s="264" t="n"/>
      <c r="O44" s="264" t="n"/>
      <c r="P44" s="260" t="n"/>
    </row>
    <row r="45">
      <c r="A45" s="433" t="inlineStr">
        <is>
          <t>1C3-01</t>
        </is>
      </c>
      <c r="B45" s="434" t="inlineStr">
        <is>
          <t>OFİS C3 GİRİŞ HOLÜ</t>
        </is>
      </c>
      <c r="C45" s="435" t="inlineStr">
        <is>
          <t>20</t>
        </is>
      </c>
      <c r="D45" s="436">
        <f>'1 NK'!Q301</f>
        <v/>
      </c>
      <c r="E45" s="437" t="n">
        <v>17.5</v>
      </c>
      <c r="F45" s="436">
        <f>'YERDEN ISITMA'!N45</f>
        <v/>
      </c>
      <c r="G45" s="433" t="n">
        <v>76.56999999999999</v>
      </c>
      <c r="H45" s="433" t="n">
        <v>2</v>
      </c>
      <c r="I45" s="433" t="inlineStr">
        <is>
          <t>ZEMİNDEN ISITMA</t>
        </is>
      </c>
      <c r="J45" s="264" t="n"/>
      <c r="K45" s="264" t="n"/>
      <c r="L45" s="264" t="n"/>
      <c r="M45" s="264" t="n"/>
      <c r="N45" s="264" t="n"/>
      <c r="O45" s="264" t="n"/>
      <c r="P45" s="260" t="n"/>
    </row>
    <row r="46">
      <c r="A46" s="433" t="inlineStr">
        <is>
          <t>1C3-02</t>
        </is>
      </c>
      <c r="B46" s="434" t="inlineStr">
        <is>
          <t>OFİS C3 GİRİŞ HOLÜ</t>
        </is>
      </c>
      <c r="C46" s="435" t="inlineStr">
        <is>
          <t>20</t>
        </is>
      </c>
      <c r="D46" s="436">
        <f>'1 NK'!Q314</f>
        <v/>
      </c>
      <c r="E46" s="437" t="n">
        <v>17.5</v>
      </c>
      <c r="F46" s="436">
        <f>'YERDEN ISITMA'!N46</f>
        <v/>
      </c>
      <c r="G46" s="433" t="n">
        <v>117.83</v>
      </c>
      <c r="H46" s="433" t="n">
        <v>2</v>
      </c>
      <c r="I46" s="433" t="inlineStr">
        <is>
          <t>ZEMİNDEN ISITMA</t>
        </is>
      </c>
      <c r="J46" s="264" t="n"/>
      <c r="K46" s="264" t="n"/>
      <c r="L46" s="264" t="n"/>
      <c r="M46" s="264" t="n"/>
      <c r="N46" s="264" t="n"/>
      <c r="O46" s="264" t="n"/>
      <c r="P46" s="260" t="n"/>
    </row>
    <row r="47">
      <c r="A47" s="433" t="inlineStr">
        <is>
          <t>1C3-03</t>
        </is>
      </c>
      <c r="B47" s="434" t="inlineStr">
        <is>
          <t>OFİS C3 MUTFAK</t>
        </is>
      </c>
      <c r="C47" s="435" t="inlineStr">
        <is>
          <t>20</t>
        </is>
      </c>
      <c r="D47" s="436">
        <f>'1 NK'!Q320</f>
        <v/>
      </c>
      <c r="E47" s="437" t="n">
        <v>17.5</v>
      </c>
      <c r="F47" s="436">
        <f>'YERDEN ISITMA'!N47</f>
        <v/>
      </c>
      <c r="G47" s="433" t="n">
        <v>22.74</v>
      </c>
      <c r="H47" s="433" t="n">
        <v>1</v>
      </c>
      <c r="I47" s="433" t="inlineStr">
        <is>
          <t>ZEMİNDEN ISITMA</t>
        </is>
      </c>
      <c r="J47" s="264" t="n"/>
      <c r="K47" s="264" t="n"/>
      <c r="L47" s="264" t="n"/>
      <c r="M47" s="264" t="n"/>
      <c r="N47" s="264" t="n"/>
      <c r="O47" s="264" t="n"/>
      <c r="P47" s="260" t="n"/>
    </row>
    <row r="48">
      <c r="A48" s="433" t="inlineStr">
        <is>
          <t>1C3-04</t>
        </is>
      </c>
      <c r="B48" s="434" t="inlineStr">
        <is>
          <t>OFİS C3 BANYO</t>
        </is>
      </c>
      <c r="C48" s="435" t="inlineStr">
        <is>
          <t>24</t>
        </is>
      </c>
      <c r="D48" s="436">
        <f>'1 NK'!Q326</f>
        <v/>
      </c>
      <c r="E48" s="437" t="n">
        <v>17.5</v>
      </c>
      <c r="F48" s="436">
        <f>'YERDEN ISITMA'!N48</f>
        <v/>
      </c>
      <c r="G48" s="433" t="n">
        <v>13.22</v>
      </c>
      <c r="H48" s="433" t="n">
        <v>1</v>
      </c>
      <c r="I48" s="433" t="inlineStr">
        <is>
          <t>ZEMİNDEN ISITMA</t>
        </is>
      </c>
      <c r="J48" s="264" t="n"/>
      <c r="K48" s="264" t="n"/>
      <c r="L48" s="264" t="n"/>
      <c r="M48" s="264" t="n"/>
      <c r="N48" s="264" t="n"/>
      <c r="O48" s="264" t="n"/>
      <c r="P48" s="260" t="n"/>
    </row>
    <row r="49">
      <c r="A49" s="433" t="inlineStr">
        <is>
          <t>1D1-01</t>
        </is>
      </c>
      <c r="B49" s="434" t="inlineStr">
        <is>
          <t>OFİS D1 ODA</t>
        </is>
      </c>
      <c r="C49" s="435" t="inlineStr">
        <is>
          <t>20</t>
        </is>
      </c>
      <c r="D49" s="436">
        <f>'1 NK'!Q333</f>
        <v/>
      </c>
      <c r="E49" s="437" t="n">
        <v>17.5</v>
      </c>
      <c r="F49" s="436">
        <f>'YERDEN ISITMA'!N49</f>
        <v/>
      </c>
      <c r="G49" s="433" t="n">
        <v>176.55</v>
      </c>
      <c r="H49" s="433" t="n">
        <v>4</v>
      </c>
      <c r="I49" s="433" t="inlineStr">
        <is>
          <t>ZEMİNDEN ISITMA</t>
        </is>
      </c>
      <c r="J49" s="264" t="n"/>
      <c r="K49" s="264" t="n"/>
      <c r="L49" s="264" t="n"/>
      <c r="M49" s="264" t="n"/>
      <c r="N49" s="264" t="n"/>
      <c r="O49" s="264" t="n"/>
      <c r="P49" s="260" t="n"/>
    </row>
    <row r="50">
      <c r="A50" s="433" t="inlineStr">
        <is>
          <t>1D1-02</t>
        </is>
      </c>
      <c r="B50" s="434" t="inlineStr">
        <is>
          <t>OFİS D1 GİRİŞ HOLÜ</t>
        </is>
      </c>
      <c r="C50" s="435" t="inlineStr">
        <is>
          <t>20</t>
        </is>
      </c>
      <c r="D50" s="436">
        <f>'1 NK'!Q341</f>
        <v/>
      </c>
      <c r="E50" s="437" t="n">
        <v>17.5</v>
      </c>
      <c r="F50" s="436">
        <f>'YERDEN ISITMA'!N50</f>
        <v/>
      </c>
      <c r="G50" s="433" t="n">
        <v>78.45</v>
      </c>
      <c r="H50" s="433" t="n">
        <v>2</v>
      </c>
      <c r="I50" s="433" t="inlineStr">
        <is>
          <t>ZEMİNDEN ISITMA</t>
        </is>
      </c>
      <c r="J50" s="264" t="n"/>
      <c r="K50" s="264" t="n"/>
      <c r="L50" s="264" t="n"/>
      <c r="M50" s="264" t="n"/>
      <c r="N50" s="264" t="n"/>
      <c r="O50" s="264" t="n"/>
      <c r="P50" s="260" t="n"/>
    </row>
    <row r="51">
      <c r="A51" s="433" t="inlineStr">
        <is>
          <t>1D1-03</t>
        </is>
      </c>
      <c r="B51" s="434" t="inlineStr">
        <is>
          <t>OFİS D1 MUTFAK</t>
        </is>
      </c>
      <c r="C51" s="435" t="inlineStr">
        <is>
          <t>20</t>
        </is>
      </c>
      <c r="D51" s="436">
        <f>'1 NK'!Q346</f>
        <v/>
      </c>
      <c r="E51" s="437" t="n">
        <v>17.5</v>
      </c>
      <c r="F51" s="436">
        <f>'YERDEN ISITMA'!N51</f>
        <v/>
      </c>
      <c r="G51" s="433" t="n">
        <v>21.12</v>
      </c>
      <c r="H51" s="433" t="n">
        <v>1</v>
      </c>
      <c r="I51" s="433" t="inlineStr">
        <is>
          <t>ZEMİNDEN ISITMA</t>
        </is>
      </c>
      <c r="J51" s="264" t="n"/>
      <c r="K51" s="264" t="n"/>
      <c r="L51" s="264" t="n"/>
      <c r="M51" s="264" t="n"/>
      <c r="N51" s="264" t="n"/>
      <c r="O51" s="264" t="n"/>
      <c r="P51" s="260" t="n"/>
    </row>
    <row r="52">
      <c r="A52" s="433" t="inlineStr">
        <is>
          <t>1D1-04</t>
        </is>
      </c>
      <c r="B52" s="434" t="inlineStr">
        <is>
          <t>OFİS D1 BANYO</t>
        </is>
      </c>
      <c r="C52" s="435" t="inlineStr">
        <is>
          <t>24</t>
        </is>
      </c>
      <c r="D52" s="436">
        <f>'1 NK'!Q352</f>
        <v/>
      </c>
      <c r="E52" s="437" t="n">
        <v>17.5</v>
      </c>
      <c r="F52" s="436">
        <f>'YERDEN ISITMA'!N52</f>
        <v/>
      </c>
      <c r="G52" s="433" t="n">
        <v>12.66</v>
      </c>
      <c r="H52" s="433" t="n">
        <v>1</v>
      </c>
      <c r="I52" s="433" t="inlineStr">
        <is>
          <t>ZEMİNDEN ISITMA</t>
        </is>
      </c>
      <c r="J52" s="264" t="n"/>
      <c r="K52" s="264" t="n"/>
      <c r="L52" s="264" t="n"/>
      <c r="M52" s="264" t="n"/>
      <c r="N52" s="264" t="n"/>
      <c r="O52" s="264" t="n"/>
      <c r="P52" s="260" t="n"/>
    </row>
    <row r="53">
      <c r="A53" s="433" t="inlineStr">
        <is>
          <t>1D2-01</t>
        </is>
      </c>
      <c r="B53" s="434" t="inlineStr">
        <is>
          <t>OFİS D2 ODA</t>
        </is>
      </c>
      <c r="C53" s="435" t="inlineStr">
        <is>
          <t>20</t>
        </is>
      </c>
      <c r="D53" s="436">
        <f>'1 NK'!Q360</f>
        <v/>
      </c>
      <c r="E53" s="437" t="n">
        <v>17.5</v>
      </c>
      <c r="F53" s="436">
        <f>'YERDEN ISITMA'!N53</f>
        <v/>
      </c>
      <c r="G53" s="433" t="n">
        <v>89.75</v>
      </c>
      <c r="H53" s="433" t="n">
        <v>2</v>
      </c>
      <c r="I53" s="433" t="inlineStr">
        <is>
          <t>ZEMİNDEN ISITMA</t>
        </is>
      </c>
      <c r="J53" s="264" t="n"/>
      <c r="K53" s="264" t="n"/>
      <c r="L53" s="264" t="n"/>
      <c r="M53" s="264" t="n"/>
      <c r="N53" s="264" t="n"/>
      <c r="O53" s="264" t="n"/>
      <c r="P53" s="260" t="n"/>
    </row>
    <row r="54">
      <c r="A54" s="433" t="inlineStr">
        <is>
          <t>1D2-02</t>
        </is>
      </c>
      <c r="B54" s="434" t="inlineStr">
        <is>
          <t>OFİS D2 GİRİŞ HOLÜ</t>
        </is>
      </c>
      <c r="C54" s="435" t="inlineStr">
        <is>
          <t>20</t>
        </is>
      </c>
      <c r="D54" s="436">
        <f>'1 NK'!Q367</f>
        <v/>
      </c>
      <c r="E54" s="437" t="n">
        <v>17.5</v>
      </c>
      <c r="F54" s="436">
        <f>'YERDEN ISITMA'!N54</f>
        <v/>
      </c>
      <c r="G54" s="433" t="n">
        <v>110.42</v>
      </c>
      <c r="H54" s="433" t="n">
        <v>3</v>
      </c>
      <c r="I54" s="433" t="inlineStr">
        <is>
          <t>ZEMİNDEN ISITMA</t>
        </is>
      </c>
      <c r="J54" s="264" t="n"/>
      <c r="K54" s="264" t="n"/>
      <c r="L54" s="264" t="n"/>
      <c r="M54" s="264" t="n"/>
      <c r="N54" s="264" t="n"/>
      <c r="O54" s="264" t="n"/>
      <c r="P54" s="260" t="n"/>
    </row>
    <row r="55">
      <c r="A55" s="433" t="inlineStr">
        <is>
          <t>1D2-03</t>
        </is>
      </c>
      <c r="B55" s="434" t="inlineStr">
        <is>
          <t>OFİS D2 MUTFAK</t>
        </is>
      </c>
      <c r="C55" s="435" t="inlineStr">
        <is>
          <t>20</t>
        </is>
      </c>
      <c r="D55" s="436">
        <f>'1 NK'!Q372</f>
        <v/>
      </c>
      <c r="E55" s="437" t="n">
        <v>17.5</v>
      </c>
      <c r="F55" s="436">
        <f>'YERDEN ISITMA'!N55</f>
        <v/>
      </c>
      <c r="G55" s="433" t="n">
        <v>18.57</v>
      </c>
      <c r="H55" s="433" t="n">
        <v>1</v>
      </c>
      <c r="I55" s="433" t="inlineStr">
        <is>
          <t>ZEMİNDEN ISITMA</t>
        </is>
      </c>
      <c r="J55" s="264" t="n"/>
      <c r="K55" s="264" t="n"/>
      <c r="L55" s="264" t="n"/>
      <c r="M55" s="264" t="n"/>
      <c r="N55" s="264" t="n"/>
      <c r="O55" s="264" t="n"/>
      <c r="P55" s="260" t="n"/>
    </row>
    <row r="56">
      <c r="A56" s="433" t="inlineStr">
        <is>
          <t>1D2-04</t>
        </is>
      </c>
      <c r="B56" s="434" t="inlineStr">
        <is>
          <t>OFİS D2 BANYO</t>
        </is>
      </c>
      <c r="C56" s="435" t="inlineStr">
        <is>
          <t>24</t>
        </is>
      </c>
      <c r="D56" s="436">
        <f>'1 NK'!Q378</f>
        <v/>
      </c>
      <c r="E56" s="437" t="n">
        <v>17.5</v>
      </c>
      <c r="F56" s="436">
        <f>'YERDEN ISITMA'!N56</f>
        <v/>
      </c>
      <c r="G56" s="433" t="n">
        <v>0</v>
      </c>
      <c r="H56" s="433" t="n">
        <v>0</v>
      </c>
      <c r="I56" s="433" t="inlineStr">
        <is>
          <t>ISITILMIYOR (tefriş/ıslak hacim dolu) - kollektör bağlantı boruları</t>
        </is>
      </c>
      <c r="J56" s="264" t="n"/>
      <c r="K56" s="264" t="n"/>
      <c r="L56" s="264" t="n"/>
      <c r="M56" s="264" t="n"/>
      <c r="N56" s="264" t="n"/>
      <c r="O56" s="264" t="n"/>
      <c r="P56" s="260" t="n"/>
    </row>
    <row r="57">
      <c r="A57" s="433" t="inlineStr">
        <is>
          <t>1D3-01</t>
        </is>
      </c>
      <c r="B57" s="434" t="inlineStr">
        <is>
          <t>OFİS D3 ODA</t>
        </is>
      </c>
      <c r="C57" s="435" t="inlineStr">
        <is>
          <t>20</t>
        </is>
      </c>
      <c r="D57" s="436">
        <f>'1 NK'!Q387</f>
        <v/>
      </c>
      <c r="E57" s="437" t="n">
        <v>17.5</v>
      </c>
      <c r="F57" s="436">
        <f>'YERDEN ISITMA'!N57</f>
        <v/>
      </c>
      <c r="G57" s="433" t="n">
        <v>88.51000000000001</v>
      </c>
      <c r="H57" s="433" t="n">
        <v>2</v>
      </c>
      <c r="I57" s="433" t="inlineStr">
        <is>
          <t>ZEMİNDEN ISITMA</t>
        </is>
      </c>
      <c r="J57" s="264" t="n"/>
      <c r="K57" s="264" t="n"/>
      <c r="L57" s="264" t="n"/>
      <c r="M57" s="264" t="n"/>
      <c r="N57" s="264" t="n"/>
      <c r="O57" s="264" t="n"/>
      <c r="P57" s="260" t="n"/>
    </row>
    <row r="58">
      <c r="A58" s="433" t="inlineStr">
        <is>
          <t>1D3-02</t>
        </is>
      </c>
      <c r="B58" s="434" t="inlineStr">
        <is>
          <t>OFİS D3 MUTFAK</t>
        </is>
      </c>
      <c r="C58" s="435" t="inlineStr">
        <is>
          <t>20</t>
        </is>
      </c>
      <c r="D58" s="436">
        <f>'1 NK'!Q392</f>
        <v/>
      </c>
      <c r="E58" s="437" t="n">
        <v>17.5</v>
      </c>
      <c r="F58" s="436">
        <f>'YERDEN ISITMA'!N58</f>
        <v/>
      </c>
      <c r="G58" s="433" t="n">
        <v>21.12</v>
      </c>
      <c r="H58" s="433" t="n">
        <v>1</v>
      </c>
      <c r="I58" s="433" t="inlineStr">
        <is>
          <t>ZEMİNDEN ISITMA</t>
        </is>
      </c>
      <c r="J58" s="264" t="n"/>
      <c r="K58" s="264" t="n"/>
      <c r="L58" s="264" t="n"/>
      <c r="M58" s="264" t="n"/>
      <c r="N58" s="264" t="n"/>
      <c r="O58" s="264" t="n"/>
      <c r="P58" s="260" t="n"/>
    </row>
    <row r="59">
      <c r="A59" s="433" t="inlineStr">
        <is>
          <t>1D3-03</t>
        </is>
      </c>
      <c r="B59" s="434" t="inlineStr">
        <is>
          <t>OFİS D3 BANYO</t>
        </is>
      </c>
      <c r="C59" s="435" t="inlineStr">
        <is>
          <t>24</t>
        </is>
      </c>
      <c r="D59" s="436">
        <f>'1 NK'!Q398</f>
        <v/>
      </c>
      <c r="E59" s="437" t="n">
        <v>17.5</v>
      </c>
      <c r="F59" s="436">
        <f>'YERDEN ISITMA'!N59</f>
        <v/>
      </c>
      <c r="G59" s="433" t="n">
        <v>12.81</v>
      </c>
      <c r="H59" s="433" t="n">
        <v>1</v>
      </c>
      <c r="I59" s="433" t="inlineStr">
        <is>
          <t>ZEMİNDEN ISITMA</t>
        </is>
      </c>
      <c r="J59" s="264" t="n"/>
      <c r="K59" s="264" t="n"/>
      <c r="L59" s="264" t="n"/>
      <c r="M59" s="264" t="n"/>
      <c r="N59" s="264" t="n"/>
      <c r="O59" s="264" t="n"/>
      <c r="P59" s="260" t="n"/>
    </row>
    <row r="60">
      <c r="A60" s="433" t="inlineStr">
        <is>
          <t>1D3-04</t>
        </is>
      </c>
      <c r="B60" s="434" t="inlineStr">
        <is>
          <t>OFİS D3 GİRİŞ HOLÜ</t>
        </is>
      </c>
      <c r="C60" s="435" t="inlineStr">
        <is>
          <t>20</t>
        </is>
      </c>
      <c r="D60" s="436">
        <f>'1 NK'!Q408</f>
        <v/>
      </c>
      <c r="E60" s="437" t="n">
        <v>17.5</v>
      </c>
      <c r="F60" s="436">
        <f>'YERDEN ISITMA'!N60</f>
        <v/>
      </c>
      <c r="G60" s="433" t="n">
        <v>115.48</v>
      </c>
      <c r="H60" s="433" t="n">
        <v>3</v>
      </c>
      <c r="I60" s="433" t="inlineStr">
        <is>
          <t>ZEMİNDEN ISITMA</t>
        </is>
      </c>
      <c r="J60" s="264" t="n"/>
      <c r="K60" s="264" t="n"/>
      <c r="L60" s="264" t="n"/>
      <c r="M60" s="264" t="n"/>
      <c r="N60" s="264" t="n"/>
      <c r="O60" s="264" t="n"/>
      <c r="P60" s="260" t="n"/>
    </row>
    <row r="61">
      <c r="A61" s="433" t="inlineStr">
        <is>
          <t>1E1-01</t>
        </is>
      </c>
      <c r="B61" s="434" t="inlineStr">
        <is>
          <t>OFİS E1 ODA</t>
        </is>
      </c>
      <c r="C61" s="435" t="inlineStr">
        <is>
          <t>20</t>
        </is>
      </c>
      <c r="D61" s="436">
        <f>'1 NK'!Q420</f>
        <v/>
      </c>
      <c r="E61" s="437" t="n">
        <v>17.5</v>
      </c>
      <c r="F61" s="436">
        <f>'YERDEN ISITMA'!N61</f>
        <v/>
      </c>
      <c r="G61" s="433" t="n">
        <v>232.11</v>
      </c>
      <c r="H61" s="433" t="n">
        <v>4</v>
      </c>
      <c r="I61" s="433" t="inlineStr">
        <is>
          <t>ZEMİNDEN ISITMA</t>
        </is>
      </c>
      <c r="J61" s="264" t="n"/>
      <c r="K61" s="264" t="n"/>
      <c r="L61" s="264" t="n"/>
      <c r="M61" s="264" t="n"/>
      <c r="N61" s="264" t="n"/>
      <c r="O61" s="264" t="n"/>
      <c r="P61" s="260" t="n"/>
    </row>
    <row r="62">
      <c r="A62" s="433" t="inlineStr">
        <is>
          <t>1E1-02</t>
        </is>
      </c>
      <c r="B62" s="434" t="inlineStr">
        <is>
          <t>OFİS E1 GİRİŞ HOLÜ</t>
        </is>
      </c>
      <c r="C62" s="435" t="inlineStr">
        <is>
          <t>20</t>
        </is>
      </c>
      <c r="D62" s="436">
        <f>'1 NK'!Q433</f>
        <v/>
      </c>
      <c r="E62" s="437" t="n">
        <v>17.5</v>
      </c>
      <c r="F62" s="436">
        <f>'YERDEN ISITMA'!N62</f>
        <v/>
      </c>
      <c r="G62" s="433" t="n">
        <v>65.65000000000001</v>
      </c>
      <c r="H62" s="433" t="n">
        <v>1</v>
      </c>
      <c r="I62" s="433" t="inlineStr">
        <is>
          <t>ZEMİNDEN ISITMA</t>
        </is>
      </c>
      <c r="J62" s="264" t="n"/>
      <c r="K62" s="264" t="n"/>
      <c r="L62" s="264" t="n"/>
      <c r="M62" s="264" t="n"/>
      <c r="N62" s="264" t="n"/>
      <c r="O62" s="264" t="n"/>
      <c r="P62" s="260" t="n"/>
    </row>
    <row r="63">
      <c r="A63" s="433" t="inlineStr">
        <is>
          <t>1E1-03</t>
        </is>
      </c>
      <c r="B63" s="434" t="inlineStr">
        <is>
          <t>OFİS E1 ODA</t>
        </is>
      </c>
      <c r="C63" s="435" t="inlineStr">
        <is>
          <t>20</t>
        </is>
      </c>
      <c r="D63" s="436">
        <f>'1 NK'!Q438</f>
        <v/>
      </c>
      <c r="E63" s="437" t="n">
        <v>17.5</v>
      </c>
      <c r="F63" s="436">
        <f>'YERDEN ISITMA'!N63</f>
        <v/>
      </c>
      <c r="G63" s="433" t="n">
        <v>54.1</v>
      </c>
      <c r="H63" s="433" t="n">
        <v>1</v>
      </c>
      <c r="I63" s="433" t="inlineStr">
        <is>
          <t>ZEMİNDEN ISITMA</t>
        </is>
      </c>
      <c r="J63" s="264" t="n"/>
      <c r="K63" s="264" t="n"/>
      <c r="L63" s="264" t="n"/>
      <c r="M63" s="264" t="n"/>
      <c r="N63" s="264" t="n"/>
      <c r="O63" s="264" t="n"/>
      <c r="P63" s="260" t="n"/>
    </row>
    <row r="64">
      <c r="A64" s="433" t="inlineStr">
        <is>
          <t>1E1-04</t>
        </is>
      </c>
      <c r="B64" s="434" t="inlineStr">
        <is>
          <t>OFİS E1 MUTFAK</t>
        </is>
      </c>
      <c r="C64" s="435" t="inlineStr">
        <is>
          <t>20</t>
        </is>
      </c>
      <c r="D64" s="436">
        <f>'1 NK'!Q443</f>
        <v/>
      </c>
      <c r="E64" s="437" t="n">
        <v>17.5</v>
      </c>
      <c r="F64" s="436">
        <f>'YERDEN ISITMA'!N64</f>
        <v/>
      </c>
      <c r="G64" s="433" t="n">
        <v>27.82</v>
      </c>
      <c r="H64" s="433" t="n">
        <v>1</v>
      </c>
      <c r="I64" s="433" t="inlineStr">
        <is>
          <t>ZEMİNDEN ISITMA</t>
        </is>
      </c>
      <c r="J64" s="264" t="n"/>
      <c r="K64" s="264" t="n"/>
      <c r="L64" s="264" t="n"/>
      <c r="M64" s="264" t="n"/>
      <c r="N64" s="264" t="n"/>
      <c r="O64" s="264" t="n"/>
      <c r="P64" s="260" t="n"/>
    </row>
    <row r="65">
      <c r="A65" s="433" t="inlineStr">
        <is>
          <t>1E1-05</t>
        </is>
      </c>
      <c r="B65" s="434" t="inlineStr">
        <is>
          <t>OFİS E1 BANYO</t>
        </is>
      </c>
      <c r="C65" s="435" t="inlineStr">
        <is>
          <t>24</t>
        </is>
      </c>
      <c r="D65" s="436">
        <f>'1 NK'!Q453</f>
        <v/>
      </c>
      <c r="E65" s="437" t="n">
        <v>17.5</v>
      </c>
      <c r="F65" s="436">
        <f>'YERDEN ISITMA'!N65</f>
        <v/>
      </c>
      <c r="G65" s="433" t="n">
        <v>23.12</v>
      </c>
      <c r="H65" s="433" t="n">
        <v>1</v>
      </c>
      <c r="I65" s="433" t="inlineStr">
        <is>
          <t>ZEMİNDEN ISITMA</t>
        </is>
      </c>
      <c r="J65" s="264" t="n"/>
      <c r="K65" s="264" t="n"/>
      <c r="L65" s="264" t="n"/>
      <c r="M65" s="264" t="n"/>
      <c r="N65" s="264" t="n"/>
      <c r="O65" s="264" t="n"/>
      <c r="P65" s="260" t="n"/>
    </row>
    <row r="66">
      <c r="A66" s="433" t="inlineStr">
        <is>
          <t>1E2-01</t>
        </is>
      </c>
      <c r="B66" s="434" t="inlineStr">
        <is>
          <t>OFİS E2 ODA</t>
        </is>
      </c>
      <c r="C66" s="435" t="inlineStr">
        <is>
          <t>20</t>
        </is>
      </c>
      <c r="D66" s="436">
        <f>'1 NK'!Q473</f>
        <v/>
      </c>
      <c r="E66" s="437" t="n">
        <v>17.5</v>
      </c>
      <c r="F66" s="436">
        <f>'YERDEN ISITMA'!N66</f>
        <v/>
      </c>
      <c r="G66" s="433" t="n">
        <v>277.38</v>
      </c>
      <c r="H66" s="433" t="n">
        <v>4</v>
      </c>
      <c r="I66" s="433" t="inlineStr">
        <is>
          <t>ZEMİNDEN ISITMA</t>
        </is>
      </c>
      <c r="J66" s="264" t="n"/>
      <c r="K66" s="264" t="n"/>
      <c r="L66" s="264" t="n"/>
      <c r="M66" s="264" t="n"/>
      <c r="N66" s="264" t="n"/>
      <c r="O66" s="264" t="n"/>
      <c r="P66" s="260" t="n"/>
    </row>
    <row r="67">
      <c r="A67" s="433" t="inlineStr">
        <is>
          <t>1E2-02</t>
        </is>
      </c>
      <c r="B67" s="434" t="inlineStr">
        <is>
          <t>OFİS E2 GİRİŞ HOLÜ</t>
        </is>
      </c>
      <c r="C67" s="435" t="inlineStr">
        <is>
          <t>20</t>
        </is>
      </c>
      <c r="D67" s="436">
        <f>'1 NK'!Q489</f>
        <v/>
      </c>
      <c r="E67" s="437" t="n">
        <v>17.5</v>
      </c>
      <c r="F67" s="436">
        <f>'YERDEN ISITMA'!N67</f>
        <v/>
      </c>
      <c r="G67" s="433" t="n">
        <v>74.95999999999999</v>
      </c>
      <c r="H67" s="433" t="n">
        <v>2</v>
      </c>
      <c r="I67" s="433" t="inlineStr">
        <is>
          <t>ZEMİNDEN ISITMA</t>
        </is>
      </c>
      <c r="J67" s="264" t="n"/>
      <c r="K67" s="264" t="n"/>
      <c r="L67" s="264" t="n"/>
      <c r="M67" s="264" t="n"/>
      <c r="N67" s="264" t="n"/>
      <c r="O67" s="264" t="n"/>
      <c r="P67" s="260" t="n"/>
    </row>
    <row r="68">
      <c r="A68" s="433" t="inlineStr">
        <is>
          <t>1E2-03</t>
        </is>
      </c>
      <c r="B68" s="434" t="inlineStr">
        <is>
          <t>OFİS E2 MUTFAK</t>
        </is>
      </c>
      <c r="C68" s="435" t="inlineStr">
        <is>
          <t>20</t>
        </is>
      </c>
      <c r="D68" s="436">
        <f>'1 NK'!Q495</f>
        <v/>
      </c>
      <c r="E68" s="437" t="n">
        <v>17.5</v>
      </c>
      <c r="F68" s="436">
        <f>'YERDEN ISITMA'!N68</f>
        <v/>
      </c>
      <c r="G68" s="433" t="n">
        <v>25.58</v>
      </c>
      <c r="H68" s="433" t="n">
        <v>1</v>
      </c>
      <c r="I68" s="433" t="inlineStr">
        <is>
          <t>ZEMİNDEN ISITMA</t>
        </is>
      </c>
      <c r="J68" s="264" t="n"/>
      <c r="K68" s="264" t="n"/>
      <c r="L68" s="264" t="n"/>
      <c r="M68" s="264" t="n"/>
      <c r="N68" s="264" t="n"/>
      <c r="O68" s="264" t="n"/>
      <c r="P68" s="260" t="n"/>
    </row>
    <row r="69">
      <c r="A69" s="433" t="inlineStr">
        <is>
          <t>1E2-04</t>
        </is>
      </c>
      <c r="B69" s="434" t="inlineStr">
        <is>
          <t>OFİS E2 ODA</t>
        </is>
      </c>
      <c r="C69" s="435" t="inlineStr">
        <is>
          <t>20</t>
        </is>
      </c>
      <c r="D69" s="436">
        <f>'1 NK'!Q504</f>
        <v/>
      </c>
      <c r="E69" s="437" t="n">
        <v>17.5</v>
      </c>
      <c r="F69" s="436">
        <f>'YERDEN ISITMA'!N69</f>
        <v/>
      </c>
      <c r="G69" s="433" t="n">
        <v>91.17</v>
      </c>
      <c r="H69" s="433" t="n">
        <v>2</v>
      </c>
      <c r="I69" s="433" t="inlineStr">
        <is>
          <t>ZEMİNDEN ISITMA</t>
        </is>
      </c>
      <c r="J69" s="264" t="n"/>
      <c r="K69" s="264" t="n"/>
      <c r="L69" s="264" t="n"/>
      <c r="M69" s="264" t="n"/>
      <c r="N69" s="264" t="n"/>
      <c r="O69" s="264" t="n"/>
      <c r="P69" s="260" t="n"/>
    </row>
    <row r="70">
      <c r="A70" s="433" t="inlineStr">
        <is>
          <t>1E2-05</t>
        </is>
      </c>
      <c r="B70" s="434" t="inlineStr">
        <is>
          <t>OFİS E2 BANYO</t>
        </is>
      </c>
      <c r="C70" s="435" t="inlineStr">
        <is>
          <t>24</t>
        </is>
      </c>
      <c r="D70" s="436">
        <f>'1 NK'!Q511</f>
        <v/>
      </c>
      <c r="E70" s="437" t="n">
        <v>17.5</v>
      </c>
      <c r="F70" s="436">
        <f>'YERDEN ISITMA'!N70</f>
        <v/>
      </c>
      <c r="G70" s="433" t="n">
        <v>17.11</v>
      </c>
      <c r="H70" s="433" t="n">
        <v>1</v>
      </c>
      <c r="I70" s="433" t="inlineStr">
        <is>
          <t>ZEMİNDEN ISITMA</t>
        </is>
      </c>
      <c r="J70" s="264" t="n"/>
      <c r="K70" s="264" t="n"/>
      <c r="L70" s="264" t="n"/>
      <c r="M70" s="264" t="n"/>
      <c r="N70" s="264" t="n"/>
      <c r="O70" s="264" t="n"/>
      <c r="P70" s="260" t="n"/>
    </row>
    <row r="71">
      <c r="A71" s="433" t="n"/>
      <c r="B71" s="433" t="n"/>
      <c r="C71" s="435" t="n"/>
      <c r="D71" s="436" t="n"/>
      <c r="E71" s="438" t="inlineStr">
        <is>
          <t>TOPLAM =</t>
        </is>
      </c>
      <c r="F71" s="439">
        <f>SUM(F10:F70)</f>
        <v/>
      </c>
      <c r="G71" s="433" t="inlineStr">
        <is>
          <t>watt</t>
        </is>
      </c>
      <c r="H71" s="433" t="n"/>
      <c r="I71" s="433" t="n"/>
      <c r="J71" s="433" t="n"/>
      <c r="K71" s="433" t="n"/>
      <c r="L71" s="433" t="n"/>
      <c r="M71" s="433" t="n"/>
      <c r="N71" s="433" t="n"/>
      <c r="O71" s="433" t="n"/>
      <c r="P71" s="433" t="n"/>
    </row>
    <row r="72">
      <c r="A72" s="433" t="inlineStr">
        <is>
          <t>2A1-01</t>
        </is>
      </c>
      <c r="B72" s="434" t="inlineStr">
        <is>
          <t>OFİS A1 BANYO</t>
        </is>
      </c>
      <c r="C72" s="435" t="inlineStr">
        <is>
          <t>24</t>
        </is>
      </c>
      <c r="D72" s="436">
        <f>'2 NK'!Q23</f>
        <v/>
      </c>
      <c r="E72" s="437" t="n">
        <v>17.5</v>
      </c>
      <c r="F72" s="436">
        <f>'YERDEN ISITMA'!N72</f>
        <v/>
      </c>
      <c r="G72" s="433" t="n">
        <v>18.18</v>
      </c>
      <c r="H72" s="433" t="n">
        <v>1</v>
      </c>
      <c r="I72" s="433" t="inlineStr">
        <is>
          <t>ZEMİNDEN ISITMA</t>
        </is>
      </c>
      <c r="J72" s="264" t="n"/>
      <c r="K72" s="264" t="n"/>
      <c r="L72" s="264" t="n"/>
      <c r="M72" s="264" t="n"/>
      <c r="N72" s="264" t="n"/>
      <c r="O72" s="264" t="n"/>
      <c r="P72" s="260" t="n"/>
    </row>
    <row r="73">
      <c r="A73" s="433" t="inlineStr">
        <is>
          <t>2A1-02</t>
        </is>
      </c>
      <c r="B73" s="434" t="inlineStr">
        <is>
          <t>OFİS A1 MUTFAK</t>
        </is>
      </c>
      <c r="C73" s="435" t="inlineStr">
        <is>
          <t>20</t>
        </is>
      </c>
      <c r="D73" s="436">
        <f>'2 NK'!Q31</f>
        <v/>
      </c>
      <c r="E73" s="437" t="n">
        <v>17.5</v>
      </c>
      <c r="F73" s="436">
        <f>'YERDEN ISITMA'!N73</f>
        <v/>
      </c>
      <c r="G73" s="433" t="n">
        <v>34.95</v>
      </c>
      <c r="H73" s="433" t="n">
        <v>1</v>
      </c>
      <c r="I73" s="433" t="inlineStr">
        <is>
          <t>ZEMİNDEN ISITMA</t>
        </is>
      </c>
      <c r="J73" s="264" t="n"/>
      <c r="K73" s="264" t="n"/>
      <c r="L73" s="264" t="n"/>
      <c r="M73" s="264" t="n"/>
      <c r="N73" s="264" t="n"/>
      <c r="O73" s="264" t="n"/>
      <c r="P73" s="260" t="n"/>
    </row>
    <row r="74">
      <c r="A74" s="433" t="inlineStr">
        <is>
          <t>2A1-03</t>
        </is>
      </c>
      <c r="B74" s="434" t="inlineStr">
        <is>
          <t>OFİS A1 ODA 1</t>
        </is>
      </c>
      <c r="C74" s="435" t="inlineStr">
        <is>
          <t>20</t>
        </is>
      </c>
      <c r="D74" s="436">
        <f>'2 NK'!Q43</f>
        <v/>
      </c>
      <c r="E74" s="437" t="n">
        <v>17.5</v>
      </c>
      <c r="F74" s="436">
        <f>'YERDEN ISITMA'!N74</f>
        <v/>
      </c>
      <c r="G74" s="433" t="n">
        <v>144.1</v>
      </c>
      <c r="H74" s="433" t="n">
        <v>3</v>
      </c>
      <c r="I74" s="433" t="inlineStr">
        <is>
          <t>ZEMİNDEN ISITMA</t>
        </is>
      </c>
      <c r="J74" s="264" t="n"/>
      <c r="K74" s="264" t="n"/>
      <c r="L74" s="264" t="n"/>
      <c r="M74" s="264" t="n"/>
      <c r="N74" s="264" t="n"/>
      <c r="O74" s="264" t="n"/>
      <c r="P74" s="260" t="n"/>
    </row>
    <row r="75">
      <c r="A75" s="433" t="inlineStr">
        <is>
          <t>2A1-04</t>
        </is>
      </c>
      <c r="B75" s="434" t="inlineStr">
        <is>
          <t>OFİS A1 HOL</t>
        </is>
      </c>
      <c r="C75" s="435" t="inlineStr">
        <is>
          <t>20</t>
        </is>
      </c>
      <c r="D75" s="436">
        <f>'2 NK'!Q51</f>
        <v/>
      </c>
      <c r="E75" s="437" t="n">
        <v>17.5</v>
      </c>
      <c r="F75" s="436">
        <f>'YERDEN ISITMA'!N75</f>
        <v/>
      </c>
      <c r="G75" s="433" t="n">
        <v>69.2</v>
      </c>
      <c r="H75" s="433" t="n">
        <v>2</v>
      </c>
      <c r="I75" s="433" t="inlineStr">
        <is>
          <t>ZEMİNDEN ISITMA</t>
        </is>
      </c>
      <c r="J75" s="264" t="n"/>
      <c r="K75" s="264" t="n"/>
      <c r="L75" s="264" t="n"/>
      <c r="M75" s="264" t="n"/>
      <c r="N75" s="264" t="n"/>
      <c r="O75" s="264" t="n"/>
      <c r="P75" s="260" t="n"/>
    </row>
    <row r="76">
      <c r="A76" s="433" t="inlineStr">
        <is>
          <t>2A1-05</t>
        </is>
      </c>
      <c r="B76" s="434" t="inlineStr">
        <is>
          <t>OFİS A1 ODA 2</t>
        </is>
      </c>
      <c r="C76" s="435" t="inlineStr">
        <is>
          <t>20</t>
        </is>
      </c>
      <c r="D76" s="436">
        <f>'2 NK'!Q60</f>
        <v/>
      </c>
      <c r="E76" s="437" t="n">
        <v>17.5</v>
      </c>
      <c r="F76" s="436">
        <f>'YERDEN ISITMA'!N76</f>
        <v/>
      </c>
      <c r="G76" s="433" t="n">
        <v>124.35</v>
      </c>
      <c r="H76" s="433" t="n">
        <v>2</v>
      </c>
      <c r="I76" s="433" t="inlineStr">
        <is>
          <t>ZEMİNDEN ISITMA</t>
        </is>
      </c>
      <c r="J76" s="264" t="n"/>
      <c r="K76" s="264" t="n"/>
      <c r="L76" s="264" t="n"/>
      <c r="M76" s="264" t="n"/>
      <c r="N76" s="264" t="n"/>
      <c r="O76" s="264" t="n"/>
      <c r="P76" s="260" t="n"/>
    </row>
    <row r="77">
      <c r="A77" s="433" t="inlineStr">
        <is>
          <t>2A2-01</t>
        </is>
      </c>
      <c r="B77" s="434" t="inlineStr">
        <is>
          <t>OFİS A2 MUTFAK</t>
        </is>
      </c>
      <c r="C77" s="435" t="inlineStr">
        <is>
          <t>20</t>
        </is>
      </c>
      <c r="D77" s="436">
        <f>'2 NK'!Q66</f>
        <v/>
      </c>
      <c r="E77" s="437" t="n">
        <v>17.5</v>
      </c>
      <c r="F77" s="436">
        <f>'YERDEN ISITMA'!N77</f>
        <v/>
      </c>
      <c r="G77" s="433" t="n">
        <v>34.95</v>
      </c>
      <c r="H77" s="433" t="n">
        <v>1</v>
      </c>
      <c r="I77" s="433" t="inlineStr">
        <is>
          <t>ZEMİNDEN ISITMA</t>
        </is>
      </c>
      <c r="J77" s="264" t="n"/>
      <c r="K77" s="264" t="n"/>
      <c r="L77" s="264" t="n"/>
      <c r="M77" s="264" t="n"/>
      <c r="N77" s="264" t="n"/>
      <c r="O77" s="264" t="n"/>
      <c r="P77" s="260" t="n"/>
    </row>
    <row r="78">
      <c r="A78" s="433" t="inlineStr">
        <is>
          <t>2A2-02</t>
        </is>
      </c>
      <c r="B78" s="434" t="inlineStr">
        <is>
          <t>OFİS A2 BANYO</t>
        </is>
      </c>
      <c r="C78" s="435" t="inlineStr">
        <is>
          <t>24</t>
        </is>
      </c>
      <c r="D78" s="436">
        <f>'2 NK'!Q80</f>
        <v/>
      </c>
      <c r="E78" s="437" t="n">
        <v>17.5</v>
      </c>
      <c r="F78" s="436">
        <f>'YERDEN ISITMA'!N78</f>
        <v/>
      </c>
      <c r="G78" s="433" t="n">
        <v>18.18</v>
      </c>
      <c r="H78" s="433" t="n">
        <v>1</v>
      </c>
      <c r="I78" s="433" t="inlineStr">
        <is>
          <t>ZEMİNDEN ISITMA</t>
        </is>
      </c>
      <c r="J78" s="264" t="n"/>
      <c r="K78" s="264" t="n"/>
      <c r="L78" s="264" t="n"/>
      <c r="M78" s="264" t="n"/>
      <c r="N78" s="264" t="n"/>
      <c r="O78" s="264" t="n"/>
      <c r="P78" s="260" t="n"/>
    </row>
    <row r="79">
      <c r="A79" s="433" t="inlineStr">
        <is>
          <t>2A2-03</t>
        </is>
      </c>
      <c r="B79" s="434" t="inlineStr">
        <is>
          <t>OFİS A2 ODA 1</t>
        </is>
      </c>
      <c r="C79" s="435" t="inlineStr">
        <is>
          <t>20</t>
        </is>
      </c>
      <c r="D79" s="436">
        <f>'2 NK'!Q89</f>
        <v/>
      </c>
      <c r="E79" s="437" t="n">
        <v>17.5</v>
      </c>
      <c r="F79" s="436">
        <f>'YERDEN ISITMA'!N79</f>
        <v/>
      </c>
      <c r="G79" s="433" t="n">
        <v>144.1</v>
      </c>
      <c r="H79" s="433" t="n">
        <v>3</v>
      </c>
      <c r="I79" s="433" t="inlineStr">
        <is>
          <t>ZEMİNDEN ISITMA</t>
        </is>
      </c>
      <c r="J79" s="264" t="n"/>
      <c r="K79" s="264" t="n"/>
      <c r="L79" s="264" t="n"/>
      <c r="M79" s="264" t="n"/>
      <c r="N79" s="264" t="n"/>
      <c r="O79" s="264" t="n"/>
      <c r="P79" s="260" t="n"/>
    </row>
    <row r="80">
      <c r="A80" s="433" t="inlineStr">
        <is>
          <t>2A2-04</t>
        </is>
      </c>
      <c r="B80" s="434" t="inlineStr">
        <is>
          <t>OFİS A2 ODA 2</t>
        </is>
      </c>
      <c r="C80" s="435" t="inlineStr">
        <is>
          <t>20</t>
        </is>
      </c>
      <c r="D80" s="436">
        <f>'2 NK'!Q100</f>
        <v/>
      </c>
      <c r="E80" s="437" t="n">
        <v>17.5</v>
      </c>
      <c r="F80" s="436">
        <f>'YERDEN ISITMA'!N80</f>
        <v/>
      </c>
      <c r="G80" s="433" t="n">
        <v>117.85</v>
      </c>
      <c r="H80" s="433" t="n">
        <v>2</v>
      </c>
      <c r="I80" s="433" t="inlineStr">
        <is>
          <t>ZEMİNDEN ISITMA</t>
        </is>
      </c>
      <c r="J80" s="264" t="n"/>
      <c r="K80" s="264" t="n"/>
      <c r="L80" s="264" t="n"/>
      <c r="M80" s="264" t="n"/>
      <c r="N80" s="264" t="n"/>
      <c r="O80" s="264" t="n"/>
      <c r="P80" s="260" t="n"/>
    </row>
    <row r="81">
      <c r="A81" s="433" t="inlineStr">
        <is>
          <t>2A2-05</t>
        </is>
      </c>
      <c r="B81" s="434" t="inlineStr">
        <is>
          <t>OFİS A2 HOL</t>
        </is>
      </c>
      <c r="C81" s="435" t="inlineStr">
        <is>
          <t>20</t>
        </is>
      </c>
      <c r="D81" s="436">
        <f>'2 NK'!Q109</f>
        <v/>
      </c>
      <c r="E81" s="437" t="n">
        <v>17.5</v>
      </c>
      <c r="F81" s="436">
        <f>'YERDEN ISITMA'!N81</f>
        <v/>
      </c>
      <c r="G81" s="433" t="n">
        <v>65.02</v>
      </c>
      <c r="H81" s="433" t="n">
        <v>2</v>
      </c>
      <c r="I81" s="433" t="inlineStr">
        <is>
          <t>ZEMİNDEN ISITMA</t>
        </is>
      </c>
      <c r="J81" s="264" t="n"/>
      <c r="K81" s="264" t="n"/>
      <c r="L81" s="264" t="n"/>
      <c r="M81" s="264" t="n"/>
      <c r="N81" s="264" t="n"/>
      <c r="O81" s="264" t="n"/>
      <c r="P81" s="260" t="n"/>
    </row>
    <row r="82">
      <c r="A82" s="433" t="inlineStr">
        <is>
          <t>2A3-01</t>
        </is>
      </c>
      <c r="B82" s="434" t="inlineStr">
        <is>
          <t>OFİS A3 BANYO</t>
        </is>
      </c>
      <c r="C82" s="435" t="inlineStr">
        <is>
          <t>24</t>
        </is>
      </c>
      <c r="D82" s="436">
        <f>'2 NK'!Q123</f>
        <v/>
      </c>
      <c r="E82" s="437" t="n">
        <v>17.5</v>
      </c>
      <c r="F82" s="436">
        <f>'YERDEN ISITMA'!N82</f>
        <v/>
      </c>
      <c r="G82" s="433" t="n">
        <v>18.18</v>
      </c>
      <c r="H82" s="433" t="n">
        <v>1</v>
      </c>
      <c r="I82" s="433" t="inlineStr">
        <is>
          <t>ZEMİNDEN ISITMA</t>
        </is>
      </c>
      <c r="J82" s="264" t="n"/>
      <c r="K82" s="264" t="n"/>
      <c r="L82" s="264" t="n"/>
      <c r="M82" s="264" t="n"/>
      <c r="N82" s="264" t="n"/>
      <c r="O82" s="264" t="n"/>
      <c r="P82" s="260" t="n"/>
    </row>
    <row r="83">
      <c r="A83" s="433" t="inlineStr">
        <is>
          <t>2A3-02</t>
        </is>
      </c>
      <c r="B83" s="434" t="inlineStr">
        <is>
          <t>OFİS A3 MUTFAK</t>
        </is>
      </c>
      <c r="C83" s="435" t="inlineStr">
        <is>
          <t>20</t>
        </is>
      </c>
      <c r="D83" s="436">
        <f>'2 NK'!Q129</f>
        <v/>
      </c>
      <c r="E83" s="437" t="n">
        <v>17.5</v>
      </c>
      <c r="F83" s="436">
        <f>'YERDEN ISITMA'!N83</f>
        <v/>
      </c>
      <c r="G83" s="433" t="n">
        <v>34.95</v>
      </c>
      <c r="H83" s="433" t="n">
        <v>1</v>
      </c>
      <c r="I83" s="433" t="inlineStr">
        <is>
          <t>ZEMİNDEN ISITMA</t>
        </is>
      </c>
      <c r="J83" s="264" t="n"/>
      <c r="K83" s="264" t="n"/>
      <c r="L83" s="264" t="n"/>
      <c r="M83" s="264" t="n"/>
      <c r="N83" s="264" t="n"/>
      <c r="O83" s="264" t="n"/>
      <c r="P83" s="260" t="n"/>
    </row>
    <row r="84">
      <c r="A84" s="433" t="inlineStr">
        <is>
          <t>2A3-03</t>
        </is>
      </c>
      <c r="B84" s="434" t="inlineStr">
        <is>
          <t>OFİS A3 ODA 1</t>
        </is>
      </c>
      <c r="C84" s="435" t="inlineStr">
        <is>
          <t>20</t>
        </is>
      </c>
      <c r="D84" s="436">
        <f>'2 NK'!Q140</f>
        <v/>
      </c>
      <c r="E84" s="437" t="n">
        <v>17.5</v>
      </c>
      <c r="F84" s="436">
        <f>'YERDEN ISITMA'!N84</f>
        <v/>
      </c>
      <c r="G84" s="433" t="n">
        <v>144.1</v>
      </c>
      <c r="H84" s="433" t="n">
        <v>3</v>
      </c>
      <c r="I84" s="433" t="inlineStr">
        <is>
          <t>ZEMİNDEN ISITMA</t>
        </is>
      </c>
      <c r="J84" s="264" t="n"/>
      <c r="K84" s="264" t="n"/>
      <c r="L84" s="264" t="n"/>
      <c r="M84" s="264" t="n"/>
      <c r="N84" s="264" t="n"/>
      <c r="O84" s="264" t="n"/>
      <c r="P84" s="260" t="n"/>
    </row>
    <row r="85">
      <c r="A85" s="433" t="inlineStr">
        <is>
          <t>2A3-04</t>
        </is>
      </c>
      <c r="B85" s="434" t="inlineStr">
        <is>
          <t>OFİS A3 HOL</t>
        </is>
      </c>
      <c r="C85" s="435" t="inlineStr">
        <is>
          <t>20</t>
        </is>
      </c>
      <c r="D85" s="436">
        <f>'2 NK'!Q153</f>
        <v/>
      </c>
      <c r="E85" s="437" t="n">
        <v>17.5</v>
      </c>
      <c r="F85" s="436">
        <f>'YERDEN ISITMA'!N85</f>
        <v/>
      </c>
      <c r="G85" s="433" t="n">
        <v>90.41</v>
      </c>
      <c r="H85" s="433" t="n">
        <v>2</v>
      </c>
      <c r="I85" s="433" t="inlineStr">
        <is>
          <t>ZEMİNDEN ISITMA</t>
        </is>
      </c>
      <c r="J85" s="264" t="n"/>
      <c r="K85" s="264" t="n"/>
      <c r="L85" s="264" t="n"/>
      <c r="M85" s="264" t="n"/>
      <c r="N85" s="264" t="n"/>
      <c r="O85" s="264" t="n"/>
      <c r="P85" s="260" t="n"/>
    </row>
    <row r="86">
      <c r="A86" s="433" t="inlineStr">
        <is>
          <t>2A3-05</t>
        </is>
      </c>
      <c r="B86" s="434" t="inlineStr">
        <is>
          <t>OFİS A3 ODA 2</t>
        </is>
      </c>
      <c r="C86" s="435" t="inlineStr">
        <is>
          <t>20</t>
        </is>
      </c>
      <c r="D86" s="436">
        <f>'2 NK'!Q165</f>
        <v/>
      </c>
      <c r="E86" s="437" t="n">
        <v>17.5</v>
      </c>
      <c r="F86" s="436">
        <f>'YERDEN ISITMA'!N86</f>
        <v/>
      </c>
      <c r="G86" s="433" t="n">
        <v>117.85</v>
      </c>
      <c r="H86" s="433" t="n">
        <v>2</v>
      </c>
      <c r="I86" s="433" t="inlineStr">
        <is>
          <t>ZEMİNDEN ISITMA</t>
        </is>
      </c>
      <c r="J86" s="264" t="n"/>
      <c r="K86" s="264" t="n"/>
      <c r="L86" s="264" t="n"/>
      <c r="M86" s="264" t="n"/>
      <c r="N86" s="264" t="n"/>
      <c r="O86" s="264" t="n"/>
      <c r="P86" s="260" t="n"/>
    </row>
    <row r="87">
      <c r="A87" s="433" t="inlineStr">
        <is>
          <t>2B1-01</t>
        </is>
      </c>
      <c r="B87" s="434" t="inlineStr">
        <is>
          <t>OFİS B1 ODA</t>
        </is>
      </c>
      <c r="C87" s="435" t="inlineStr">
        <is>
          <t>20</t>
        </is>
      </c>
      <c r="D87" s="436">
        <f>'2 NK'!Q175</f>
        <v/>
      </c>
      <c r="E87" s="437" t="n">
        <v>17.5</v>
      </c>
      <c r="F87" s="436">
        <f>'YERDEN ISITMA'!N87</f>
        <v/>
      </c>
      <c r="G87" s="433" t="n">
        <v>119.69</v>
      </c>
      <c r="H87" s="433" t="n">
        <v>3</v>
      </c>
      <c r="I87" s="433" t="inlineStr">
        <is>
          <t>ZEMİNDEN ISITMA</t>
        </is>
      </c>
      <c r="J87" s="264" t="n"/>
      <c r="K87" s="264" t="n"/>
      <c r="L87" s="264" t="n"/>
      <c r="M87" s="264" t="n"/>
      <c r="N87" s="264" t="n"/>
      <c r="O87" s="264" t="n"/>
      <c r="P87" s="260" t="n"/>
    </row>
    <row r="88">
      <c r="A88" s="433" t="inlineStr">
        <is>
          <t>2B1-02</t>
        </is>
      </c>
      <c r="B88" s="434" t="inlineStr">
        <is>
          <t>OFİS B1 GİRİŞ KARŞILAM</t>
        </is>
      </c>
      <c r="C88" s="435" t="inlineStr">
        <is>
          <t>20</t>
        </is>
      </c>
      <c r="D88" s="436">
        <f>'2 NK'!Q185</f>
        <v/>
      </c>
      <c r="E88" s="437" t="n">
        <v>17.5</v>
      </c>
      <c r="F88" s="436">
        <f>'YERDEN ISITMA'!N88</f>
        <v/>
      </c>
      <c r="G88" s="433" t="n">
        <v>98.64</v>
      </c>
      <c r="H88" s="433" t="n">
        <v>2</v>
      </c>
      <c r="I88" s="433" t="inlineStr">
        <is>
          <t>ZEMİNDEN ISITMA</t>
        </is>
      </c>
      <c r="J88" s="264" t="n"/>
      <c r="K88" s="264" t="n"/>
      <c r="L88" s="264" t="n"/>
      <c r="M88" s="264" t="n"/>
      <c r="N88" s="264" t="n"/>
      <c r="O88" s="264" t="n"/>
      <c r="P88" s="260" t="n"/>
    </row>
    <row r="89">
      <c r="A89" s="433" t="inlineStr">
        <is>
          <t>2B1-03</t>
        </is>
      </c>
      <c r="B89" s="434" t="inlineStr">
        <is>
          <t>OFİS B1 MUTFAK</t>
        </is>
      </c>
      <c r="C89" s="435" t="inlineStr">
        <is>
          <t>20</t>
        </is>
      </c>
      <c r="D89" s="436">
        <f>'2 NK'!Q191</f>
        <v/>
      </c>
      <c r="E89" s="437" t="n">
        <v>17.5</v>
      </c>
      <c r="F89" s="436">
        <f>'YERDEN ISITMA'!N89</f>
        <v/>
      </c>
      <c r="G89" s="433" t="n">
        <v>0</v>
      </c>
      <c r="H89" s="433" t="n">
        <v>0</v>
      </c>
      <c r="I89" s="433" t="inlineStr">
        <is>
          <t>ISITILMIYOR (tefriş/ıslak hacim dolu) - kollektör bağlantı boruları</t>
        </is>
      </c>
      <c r="J89" s="264" t="n"/>
      <c r="K89" s="264" t="n"/>
      <c r="L89" s="264" t="n"/>
      <c r="M89" s="264" t="n"/>
      <c r="N89" s="264" t="n"/>
      <c r="O89" s="264" t="n"/>
      <c r="P89" s="260" t="n"/>
    </row>
    <row r="90">
      <c r="A90" s="433" t="inlineStr">
        <is>
          <t>2B1-04</t>
        </is>
      </c>
      <c r="B90" s="434" t="inlineStr">
        <is>
          <t>OFİS B1 BANYO</t>
        </is>
      </c>
      <c r="C90" s="435" t="inlineStr">
        <is>
          <t>24</t>
        </is>
      </c>
      <c r="D90" s="436">
        <f>'2 NK'!Q198</f>
        <v/>
      </c>
      <c r="E90" s="437" t="n">
        <v>17.5</v>
      </c>
      <c r="F90" s="436">
        <f>'YERDEN ISITMA'!N90</f>
        <v/>
      </c>
      <c r="G90" s="433" t="n">
        <v>15.85</v>
      </c>
      <c r="H90" s="433" t="n">
        <v>1</v>
      </c>
      <c r="I90" s="433" t="inlineStr">
        <is>
          <t>ZEMİNDEN ISITMA</t>
        </is>
      </c>
      <c r="J90" s="264" t="n"/>
      <c r="K90" s="264" t="n"/>
      <c r="L90" s="264" t="n"/>
      <c r="M90" s="264" t="n"/>
      <c r="N90" s="264" t="n"/>
      <c r="O90" s="264" t="n"/>
      <c r="P90" s="260" t="n"/>
    </row>
    <row r="91">
      <c r="A91" s="433" t="inlineStr">
        <is>
          <t>2B2-01</t>
        </is>
      </c>
      <c r="B91" s="434" t="inlineStr">
        <is>
          <t>OFİS B2 ODA</t>
        </is>
      </c>
      <c r="C91" s="435" t="inlineStr">
        <is>
          <t>20</t>
        </is>
      </c>
      <c r="D91" s="436">
        <f>'2 NK'!Q207</f>
        <v/>
      </c>
      <c r="E91" s="437" t="n">
        <v>17.5</v>
      </c>
      <c r="F91" s="436">
        <f>'YERDEN ISITMA'!N91</f>
        <v/>
      </c>
      <c r="G91" s="433" t="n">
        <v>119.69</v>
      </c>
      <c r="H91" s="433" t="n">
        <v>3</v>
      </c>
      <c r="I91" s="433" t="inlineStr">
        <is>
          <t>ZEMİNDEN ISITMA</t>
        </is>
      </c>
      <c r="J91" s="264" t="n"/>
      <c r="K91" s="264" t="n"/>
      <c r="L91" s="264" t="n"/>
      <c r="M91" s="264" t="n"/>
      <c r="N91" s="264" t="n"/>
      <c r="O91" s="264" t="n"/>
      <c r="P91" s="260" t="n"/>
    </row>
    <row r="92">
      <c r="A92" s="433" t="inlineStr">
        <is>
          <t>2B2-02</t>
        </is>
      </c>
      <c r="B92" s="434" t="inlineStr">
        <is>
          <t>OFİS B2 GİRİŞ HOLÜ</t>
        </is>
      </c>
      <c r="C92" s="435" t="inlineStr">
        <is>
          <t>20</t>
        </is>
      </c>
      <c r="D92" s="436">
        <f>'2 NK'!Q213</f>
        <v/>
      </c>
      <c r="E92" s="437" t="n">
        <v>17.5</v>
      </c>
      <c r="F92" s="436">
        <f>'YERDEN ISITMA'!N92</f>
        <v/>
      </c>
      <c r="G92" s="433" t="n">
        <v>0</v>
      </c>
      <c r="H92" s="433" t="n">
        <v>0</v>
      </c>
      <c r="I92" s="433" t="inlineStr">
        <is>
          <t>ISITILMIYOR (tefriş/ıslak hacim dolu) - kollektör bağlantı boruları</t>
        </is>
      </c>
      <c r="J92" s="264" t="n"/>
      <c r="K92" s="264" t="n"/>
      <c r="L92" s="264" t="n"/>
      <c r="M92" s="264" t="n"/>
      <c r="N92" s="264" t="n"/>
      <c r="O92" s="264" t="n"/>
      <c r="P92" s="260" t="n"/>
    </row>
    <row r="93">
      <c r="A93" s="433" t="inlineStr">
        <is>
          <t>2B2-03</t>
        </is>
      </c>
      <c r="B93" s="434" t="inlineStr">
        <is>
          <t>OFİS B2 GİRİŞ KARŞILAM</t>
        </is>
      </c>
      <c r="C93" s="435" t="inlineStr">
        <is>
          <t>20</t>
        </is>
      </c>
      <c r="D93" s="436">
        <f>'2 NK'!Q222</f>
        <v/>
      </c>
      <c r="E93" s="437" t="n">
        <v>17.5</v>
      </c>
      <c r="F93" s="436">
        <f>'YERDEN ISITMA'!N93</f>
        <v/>
      </c>
      <c r="G93" s="433" t="n">
        <v>98.64</v>
      </c>
      <c r="H93" s="433" t="n">
        <v>2</v>
      </c>
      <c r="I93" s="433" t="inlineStr">
        <is>
          <t>ZEMİNDEN ISITMA</t>
        </is>
      </c>
      <c r="J93" s="264" t="n"/>
      <c r="K93" s="264" t="n"/>
      <c r="L93" s="264" t="n"/>
      <c r="M93" s="264" t="n"/>
      <c r="N93" s="264" t="n"/>
      <c r="O93" s="264" t="n"/>
      <c r="P93" s="260" t="n"/>
    </row>
    <row r="94">
      <c r="A94" s="433" t="inlineStr">
        <is>
          <t>2B2-04</t>
        </is>
      </c>
      <c r="B94" s="434" t="inlineStr">
        <is>
          <t>OFİS B2 BANYO</t>
        </is>
      </c>
      <c r="C94" s="435" t="inlineStr">
        <is>
          <t>24</t>
        </is>
      </c>
      <c r="D94" s="436">
        <f>'2 NK'!Q230</f>
        <v/>
      </c>
      <c r="E94" s="437" t="n">
        <v>17.5</v>
      </c>
      <c r="F94" s="436">
        <f>'YERDEN ISITMA'!N94</f>
        <v/>
      </c>
      <c r="G94" s="433" t="n">
        <v>15.85</v>
      </c>
      <c r="H94" s="433" t="n">
        <v>1</v>
      </c>
      <c r="I94" s="433" t="inlineStr">
        <is>
          <t>ZEMİNDEN ISITMA</t>
        </is>
      </c>
      <c r="J94" s="264" t="n"/>
      <c r="K94" s="264" t="n"/>
      <c r="L94" s="264" t="n"/>
      <c r="M94" s="264" t="n"/>
      <c r="N94" s="264" t="n"/>
      <c r="O94" s="264" t="n"/>
      <c r="P94" s="260" t="n"/>
    </row>
    <row r="95">
      <c r="A95" s="433" t="inlineStr">
        <is>
          <t>2B3-01</t>
        </is>
      </c>
      <c r="B95" s="434" t="inlineStr">
        <is>
          <t>OFİS B3 ODA</t>
        </is>
      </c>
      <c r="C95" s="435" t="inlineStr">
        <is>
          <t>20</t>
        </is>
      </c>
      <c r="D95" s="436">
        <f>'2 NK'!Q240</f>
        <v/>
      </c>
      <c r="E95" s="437" t="n">
        <v>17.5</v>
      </c>
      <c r="F95" s="436">
        <f>'YERDEN ISITMA'!N95</f>
        <v/>
      </c>
      <c r="G95" s="433" t="n">
        <v>119.69</v>
      </c>
      <c r="H95" s="433" t="n">
        <v>3</v>
      </c>
      <c r="I95" s="433" t="inlineStr">
        <is>
          <t>ZEMİNDEN ISITMA</t>
        </is>
      </c>
      <c r="J95" s="264" t="n"/>
      <c r="K95" s="264" t="n"/>
      <c r="L95" s="264" t="n"/>
      <c r="M95" s="264" t="n"/>
      <c r="N95" s="264" t="n"/>
      <c r="O95" s="264" t="n"/>
      <c r="P95" s="260" t="n"/>
    </row>
    <row r="96">
      <c r="A96" s="433" t="inlineStr">
        <is>
          <t>2B3-02</t>
        </is>
      </c>
      <c r="B96" s="434" t="inlineStr">
        <is>
          <t>OFİS B3 GİRİŞ KARŞILAM</t>
        </is>
      </c>
      <c r="C96" s="435" t="inlineStr">
        <is>
          <t>20</t>
        </is>
      </c>
      <c r="D96" s="436">
        <f>'2 NK'!Q251</f>
        <v/>
      </c>
      <c r="E96" s="437" t="n">
        <v>17.5</v>
      </c>
      <c r="F96" s="436">
        <f>'YERDEN ISITMA'!N96</f>
        <v/>
      </c>
      <c r="G96" s="433" t="n">
        <v>98.64</v>
      </c>
      <c r="H96" s="433" t="n">
        <v>2</v>
      </c>
      <c r="I96" s="433" t="inlineStr">
        <is>
          <t>ZEMİNDEN ISITMA</t>
        </is>
      </c>
      <c r="J96" s="264" t="n"/>
      <c r="K96" s="264" t="n"/>
      <c r="L96" s="264" t="n"/>
      <c r="M96" s="264" t="n"/>
      <c r="N96" s="264" t="n"/>
      <c r="O96" s="264" t="n"/>
      <c r="P96" s="260" t="n"/>
    </row>
    <row r="97">
      <c r="A97" s="433" t="inlineStr">
        <is>
          <t>2B3-03</t>
        </is>
      </c>
      <c r="B97" s="434" t="inlineStr">
        <is>
          <t>OFİS B3 MUTFAK</t>
        </is>
      </c>
      <c r="C97" s="435" t="inlineStr">
        <is>
          <t>20</t>
        </is>
      </c>
      <c r="D97" s="436">
        <f>'2 NK'!Q258</f>
        <v/>
      </c>
      <c r="E97" s="437" t="n">
        <v>17.5</v>
      </c>
      <c r="F97" s="436">
        <f>'YERDEN ISITMA'!N97</f>
        <v/>
      </c>
      <c r="G97" s="433" t="n">
        <v>0</v>
      </c>
      <c r="H97" s="433" t="n">
        <v>0</v>
      </c>
      <c r="I97" s="433" t="inlineStr">
        <is>
          <t>ISITILMIYOR (tefriş/ıslak hacim dolu) - kollektör bağlantı boruları</t>
        </is>
      </c>
      <c r="J97" s="264" t="n"/>
      <c r="K97" s="264" t="n"/>
      <c r="L97" s="264" t="n"/>
      <c r="M97" s="264" t="n"/>
      <c r="N97" s="264" t="n"/>
      <c r="O97" s="264" t="n"/>
      <c r="P97" s="260" t="n"/>
    </row>
    <row r="98">
      <c r="A98" s="433" t="inlineStr">
        <is>
          <t>2B3-04</t>
        </is>
      </c>
      <c r="B98" s="434" t="inlineStr">
        <is>
          <t>OFİS B3 BANYO</t>
        </is>
      </c>
      <c r="C98" s="435" t="inlineStr">
        <is>
          <t>24</t>
        </is>
      </c>
      <c r="D98" s="436">
        <f>'2 NK'!Q265</f>
        <v/>
      </c>
      <c r="E98" s="437" t="n">
        <v>17.5</v>
      </c>
      <c r="F98" s="436">
        <f>'YERDEN ISITMA'!N98</f>
        <v/>
      </c>
      <c r="G98" s="433" t="n">
        <v>15.85</v>
      </c>
      <c r="H98" s="433" t="n">
        <v>1</v>
      </c>
      <c r="I98" s="433" t="inlineStr">
        <is>
          <t>ZEMİNDEN ISITMA</t>
        </is>
      </c>
      <c r="J98" s="264" t="n"/>
      <c r="K98" s="264" t="n"/>
      <c r="L98" s="264" t="n"/>
      <c r="M98" s="264" t="n"/>
      <c r="N98" s="264" t="n"/>
      <c r="O98" s="264" t="n"/>
      <c r="P98" s="260" t="n"/>
    </row>
    <row r="99">
      <c r="A99" s="433" t="inlineStr">
        <is>
          <t>2C1-01</t>
        </is>
      </c>
      <c r="B99" s="434" t="inlineStr">
        <is>
          <t>OFİS C1 GİRİŞ HOLÜ</t>
        </is>
      </c>
      <c r="C99" s="435" t="inlineStr">
        <is>
          <t>20</t>
        </is>
      </c>
      <c r="D99" s="436">
        <f>'2 NK'!Q274</f>
        <v/>
      </c>
      <c r="E99" s="437" t="n">
        <v>17.5</v>
      </c>
      <c r="F99" s="436">
        <f>'YERDEN ISITMA'!N99</f>
        <v/>
      </c>
      <c r="G99" s="433" t="n">
        <v>83.73999999999999</v>
      </c>
      <c r="H99" s="433" t="n">
        <v>2</v>
      </c>
      <c r="I99" s="433" t="inlineStr">
        <is>
          <t>ZEMİNDEN ISITMA</t>
        </is>
      </c>
      <c r="J99" s="264" t="n"/>
      <c r="K99" s="264" t="n"/>
      <c r="L99" s="264" t="n"/>
      <c r="M99" s="264" t="n"/>
      <c r="N99" s="264" t="n"/>
      <c r="O99" s="264" t="n"/>
      <c r="P99" s="260" t="n"/>
    </row>
    <row r="100">
      <c r="A100" s="433" t="inlineStr">
        <is>
          <t>2C1-02</t>
        </is>
      </c>
      <c r="B100" s="434" t="inlineStr">
        <is>
          <t>OFİS C1 ODA</t>
        </is>
      </c>
      <c r="C100" s="435" t="inlineStr">
        <is>
          <t>20</t>
        </is>
      </c>
      <c r="D100" s="436">
        <f>'2 NK'!Q284</f>
        <v/>
      </c>
      <c r="E100" s="437" t="n">
        <v>17.5</v>
      </c>
      <c r="F100" s="436">
        <f>'YERDEN ISITMA'!N100</f>
        <v/>
      </c>
      <c r="G100" s="433" t="n">
        <v>103.11</v>
      </c>
      <c r="H100" s="433" t="n">
        <v>2</v>
      </c>
      <c r="I100" s="433" t="inlineStr">
        <is>
          <t>ZEMİNDEN ISITMA</t>
        </is>
      </c>
      <c r="J100" s="264" t="n"/>
      <c r="K100" s="264" t="n"/>
      <c r="L100" s="264" t="n"/>
      <c r="M100" s="264" t="n"/>
      <c r="N100" s="264" t="n"/>
      <c r="O100" s="264" t="n"/>
      <c r="P100" s="260" t="n"/>
    </row>
    <row r="101">
      <c r="A101" s="433" t="inlineStr">
        <is>
          <t>2C1-03</t>
        </is>
      </c>
      <c r="B101" s="434" t="inlineStr">
        <is>
          <t>OFİS C1 MUTFAK</t>
        </is>
      </c>
      <c r="C101" s="435" t="inlineStr">
        <is>
          <t>20</t>
        </is>
      </c>
      <c r="D101" s="436">
        <f>'2 NK'!Q290</f>
        <v/>
      </c>
      <c r="E101" s="437" t="n">
        <v>17.5</v>
      </c>
      <c r="F101" s="436">
        <f>'YERDEN ISITMA'!N101</f>
        <v/>
      </c>
      <c r="G101" s="433" t="n">
        <v>0</v>
      </c>
      <c r="H101" s="433" t="n">
        <v>0</v>
      </c>
      <c r="I101" s="433" t="inlineStr">
        <is>
          <t>ISITILMIYOR (tefriş/ıslak hacim dolu) - kollektör bağlantı boruları</t>
        </is>
      </c>
      <c r="J101" s="264" t="n"/>
      <c r="K101" s="264" t="n"/>
      <c r="L101" s="264" t="n"/>
      <c r="M101" s="264" t="n"/>
      <c r="N101" s="264" t="n"/>
      <c r="O101" s="264" t="n"/>
      <c r="P101" s="260" t="n"/>
    </row>
    <row r="102">
      <c r="A102" s="433" t="inlineStr">
        <is>
          <t>2C1-04</t>
        </is>
      </c>
      <c r="B102" s="434" t="inlineStr">
        <is>
          <t>OFİS C1 BANYO</t>
        </is>
      </c>
      <c r="C102" s="435" t="inlineStr">
        <is>
          <t>24</t>
        </is>
      </c>
      <c r="D102" s="436">
        <f>'2 NK'!Q296</f>
        <v/>
      </c>
      <c r="E102" s="437" t="n">
        <v>17.5</v>
      </c>
      <c r="F102" s="436">
        <f>'YERDEN ISITMA'!N102</f>
        <v/>
      </c>
      <c r="G102" s="433" t="n">
        <v>33.75</v>
      </c>
      <c r="H102" s="433" t="n">
        <v>2</v>
      </c>
      <c r="I102" s="433" t="inlineStr">
        <is>
          <t>ZEMİNDEN ISITMA</t>
        </is>
      </c>
      <c r="J102" s="264" t="n"/>
      <c r="K102" s="264" t="n"/>
      <c r="L102" s="264" t="n"/>
      <c r="M102" s="264" t="n"/>
      <c r="N102" s="264" t="n"/>
      <c r="O102" s="264" t="n"/>
      <c r="P102" s="260" t="n"/>
    </row>
    <row r="103">
      <c r="A103" s="433" t="inlineStr">
        <is>
          <t>2C2-01</t>
        </is>
      </c>
      <c r="B103" s="434" t="inlineStr">
        <is>
          <t>OFİS C2 GİRİŞ HOLÜ</t>
        </is>
      </c>
      <c r="C103" s="435" t="inlineStr">
        <is>
          <t>20</t>
        </is>
      </c>
      <c r="D103" s="436">
        <f>'2 NK'!Q303</f>
        <v/>
      </c>
      <c r="E103" s="437" t="n">
        <v>17.5</v>
      </c>
      <c r="F103" s="436">
        <f>'YERDEN ISITMA'!N103</f>
        <v/>
      </c>
      <c r="G103" s="433" t="n">
        <v>102.02</v>
      </c>
      <c r="H103" s="433" t="n">
        <v>3</v>
      </c>
      <c r="I103" s="433" t="inlineStr">
        <is>
          <t>ZEMİNDEN ISITMA</t>
        </is>
      </c>
      <c r="J103" s="264" t="n"/>
      <c r="K103" s="264" t="n"/>
      <c r="L103" s="264" t="n"/>
      <c r="M103" s="264" t="n"/>
      <c r="N103" s="264" t="n"/>
      <c r="O103" s="264" t="n"/>
      <c r="P103" s="260" t="n"/>
    </row>
    <row r="104">
      <c r="A104" s="433" t="inlineStr">
        <is>
          <t>2C2-02</t>
        </is>
      </c>
      <c r="B104" s="434" t="inlineStr">
        <is>
          <t>OFİS C2 GİRİŞ HOLÜ</t>
        </is>
      </c>
      <c r="C104" s="435" t="inlineStr">
        <is>
          <t>20</t>
        </is>
      </c>
      <c r="D104" s="436">
        <f>'2 NK'!Q314</f>
        <v/>
      </c>
      <c r="E104" s="437" t="n">
        <v>17.5</v>
      </c>
      <c r="F104" s="436">
        <f>'YERDEN ISITMA'!N104</f>
        <v/>
      </c>
      <c r="G104" s="433" t="n">
        <v>120.1</v>
      </c>
      <c r="H104" s="433" t="n">
        <v>2</v>
      </c>
      <c r="I104" s="433" t="inlineStr">
        <is>
          <t>ZEMİNDEN ISITMA</t>
        </is>
      </c>
      <c r="J104" s="264" t="n"/>
      <c r="K104" s="264" t="n"/>
      <c r="L104" s="264" t="n"/>
      <c r="M104" s="264" t="n"/>
      <c r="N104" s="264" t="n"/>
      <c r="O104" s="264" t="n"/>
      <c r="P104" s="260" t="n"/>
    </row>
    <row r="105">
      <c r="A105" s="433" t="inlineStr">
        <is>
          <t>2C2-03</t>
        </is>
      </c>
      <c r="B105" s="434" t="inlineStr">
        <is>
          <t>OFİS C2 MUTFAK</t>
        </is>
      </c>
      <c r="C105" s="435" t="inlineStr">
        <is>
          <t>20</t>
        </is>
      </c>
      <c r="D105" s="436">
        <f>'2 NK'!Q320</f>
        <v/>
      </c>
      <c r="E105" s="437" t="n">
        <v>17.5</v>
      </c>
      <c r="F105" s="436">
        <f>'YERDEN ISITMA'!N105</f>
        <v/>
      </c>
      <c r="G105" s="433" t="n">
        <v>21.12</v>
      </c>
      <c r="H105" s="433" t="n">
        <v>1</v>
      </c>
      <c r="I105" s="433" t="inlineStr">
        <is>
          <t>ZEMİNDEN ISITMA</t>
        </is>
      </c>
      <c r="J105" s="264" t="n"/>
      <c r="K105" s="264" t="n"/>
      <c r="L105" s="264" t="n"/>
      <c r="M105" s="264" t="n"/>
      <c r="N105" s="264" t="n"/>
      <c r="O105" s="264" t="n"/>
      <c r="P105" s="260" t="n"/>
    </row>
    <row r="106">
      <c r="A106" s="433" t="inlineStr">
        <is>
          <t>2C2-04</t>
        </is>
      </c>
      <c r="B106" s="434" t="inlineStr">
        <is>
          <t>OFİS C2 BANYO</t>
        </is>
      </c>
      <c r="C106" s="435" t="inlineStr">
        <is>
          <t>24</t>
        </is>
      </c>
      <c r="D106" s="436">
        <f>'2 NK'!Q326</f>
        <v/>
      </c>
      <c r="E106" s="437" t="n">
        <v>17.5</v>
      </c>
      <c r="F106" s="436">
        <f>'YERDEN ISITMA'!N106</f>
        <v/>
      </c>
      <c r="G106" s="433" t="n">
        <v>0</v>
      </c>
      <c r="H106" s="433" t="n">
        <v>0</v>
      </c>
      <c r="I106" s="433" t="inlineStr">
        <is>
          <t>ISITILMIYOR (tefriş/ıslak hacim dolu) - kollektör bağlantı boruları</t>
        </is>
      </c>
      <c r="J106" s="264" t="n"/>
      <c r="K106" s="264" t="n"/>
      <c r="L106" s="264" t="n"/>
      <c r="M106" s="264" t="n"/>
      <c r="N106" s="264" t="n"/>
      <c r="O106" s="264" t="n"/>
      <c r="P106" s="260" t="n"/>
    </row>
    <row r="107">
      <c r="A107" s="433" t="inlineStr">
        <is>
          <t>2C3-01</t>
        </is>
      </c>
      <c r="B107" s="434" t="inlineStr">
        <is>
          <t>OFİS C3 GİRİŞ HOLÜ</t>
        </is>
      </c>
      <c r="C107" s="435" t="inlineStr">
        <is>
          <t>20</t>
        </is>
      </c>
      <c r="D107" s="436">
        <f>'2 NK'!Q337</f>
        <v/>
      </c>
      <c r="E107" s="437" t="n">
        <v>17.5</v>
      </c>
      <c r="F107" s="436">
        <f>'YERDEN ISITMA'!N107</f>
        <v/>
      </c>
      <c r="G107" s="433" t="n">
        <v>76.56999999999999</v>
      </c>
      <c r="H107" s="433" t="n">
        <v>2</v>
      </c>
      <c r="I107" s="433" t="inlineStr">
        <is>
          <t>ZEMİNDEN ISITMA</t>
        </is>
      </c>
      <c r="J107" s="264" t="n"/>
      <c r="K107" s="264" t="n"/>
      <c r="L107" s="264" t="n"/>
      <c r="M107" s="264" t="n"/>
      <c r="N107" s="264" t="n"/>
      <c r="O107" s="264" t="n"/>
      <c r="P107" s="260" t="n"/>
    </row>
    <row r="108">
      <c r="A108" s="433" t="inlineStr">
        <is>
          <t>2C3-02</t>
        </is>
      </c>
      <c r="B108" s="434" t="inlineStr">
        <is>
          <t>OFİS C3 GİRİŞ HOLÜ</t>
        </is>
      </c>
      <c r="C108" s="435" t="inlineStr">
        <is>
          <t>20</t>
        </is>
      </c>
      <c r="D108" s="436">
        <f>'2 NK'!Q351</f>
        <v/>
      </c>
      <c r="E108" s="437" t="n">
        <v>17.5</v>
      </c>
      <c r="F108" s="436">
        <f>'YERDEN ISITMA'!N108</f>
        <v/>
      </c>
      <c r="G108" s="433" t="n">
        <v>117.83</v>
      </c>
      <c r="H108" s="433" t="n">
        <v>2</v>
      </c>
      <c r="I108" s="433" t="inlineStr">
        <is>
          <t>ZEMİNDEN ISITMA</t>
        </is>
      </c>
      <c r="J108" s="264" t="n"/>
      <c r="K108" s="264" t="n"/>
      <c r="L108" s="264" t="n"/>
      <c r="M108" s="264" t="n"/>
      <c r="N108" s="264" t="n"/>
      <c r="O108" s="264" t="n"/>
      <c r="P108" s="260" t="n"/>
    </row>
    <row r="109">
      <c r="A109" s="433" t="inlineStr">
        <is>
          <t>2C3-03</t>
        </is>
      </c>
      <c r="B109" s="434" t="inlineStr">
        <is>
          <t>OFİS C3 MUTFAK</t>
        </is>
      </c>
      <c r="C109" s="435" t="inlineStr">
        <is>
          <t>20</t>
        </is>
      </c>
      <c r="D109" s="436">
        <f>'2 NK'!Q358</f>
        <v/>
      </c>
      <c r="E109" s="437" t="n">
        <v>17.5</v>
      </c>
      <c r="F109" s="436">
        <f>'YERDEN ISITMA'!N109</f>
        <v/>
      </c>
      <c r="G109" s="433" t="n">
        <v>22.74</v>
      </c>
      <c r="H109" s="433" t="n">
        <v>1</v>
      </c>
      <c r="I109" s="433" t="inlineStr">
        <is>
          <t>ZEMİNDEN ISITMA</t>
        </is>
      </c>
      <c r="J109" s="264" t="n"/>
      <c r="K109" s="264" t="n"/>
      <c r="L109" s="264" t="n"/>
      <c r="M109" s="264" t="n"/>
      <c r="N109" s="264" t="n"/>
      <c r="O109" s="264" t="n"/>
      <c r="P109" s="260" t="n"/>
    </row>
    <row r="110">
      <c r="A110" s="433" t="inlineStr">
        <is>
          <t>2C3-04</t>
        </is>
      </c>
      <c r="B110" s="434" t="inlineStr">
        <is>
          <t>OFİS C3 BANYO</t>
        </is>
      </c>
      <c r="C110" s="435" t="inlineStr">
        <is>
          <t>24</t>
        </is>
      </c>
      <c r="D110" s="436">
        <f>'2 NK'!Q365</f>
        <v/>
      </c>
      <c r="E110" s="437" t="n">
        <v>17.5</v>
      </c>
      <c r="F110" s="436">
        <f>'YERDEN ISITMA'!N110</f>
        <v/>
      </c>
      <c r="G110" s="433" t="n">
        <v>13.22</v>
      </c>
      <c r="H110" s="433" t="n">
        <v>1</v>
      </c>
      <c r="I110" s="433" t="inlineStr">
        <is>
          <t>ZEMİNDEN ISITMA</t>
        </is>
      </c>
      <c r="J110" s="264" t="n"/>
      <c r="K110" s="264" t="n"/>
      <c r="L110" s="264" t="n"/>
      <c r="M110" s="264" t="n"/>
      <c r="N110" s="264" t="n"/>
      <c r="O110" s="264" t="n"/>
      <c r="P110" s="260" t="n"/>
    </row>
    <row r="111">
      <c r="A111" s="433" t="inlineStr">
        <is>
          <t>2D1-01</t>
        </is>
      </c>
      <c r="B111" s="434" t="inlineStr">
        <is>
          <t>OFİS D1 ODA</t>
        </is>
      </c>
      <c r="C111" s="435" t="inlineStr">
        <is>
          <t>20</t>
        </is>
      </c>
      <c r="D111" s="436">
        <f>'2 NK'!Q373</f>
        <v/>
      </c>
      <c r="E111" s="437" t="n">
        <v>17.5</v>
      </c>
      <c r="F111" s="436">
        <f>'YERDEN ISITMA'!N111</f>
        <v/>
      </c>
      <c r="G111" s="433" t="n">
        <v>176.55</v>
      </c>
      <c r="H111" s="433" t="n">
        <v>4</v>
      </c>
      <c r="I111" s="433" t="inlineStr">
        <is>
          <t>ZEMİNDEN ISITMA</t>
        </is>
      </c>
      <c r="J111" s="264" t="n"/>
      <c r="K111" s="264" t="n"/>
      <c r="L111" s="264" t="n"/>
      <c r="M111" s="264" t="n"/>
      <c r="N111" s="264" t="n"/>
      <c r="O111" s="264" t="n"/>
      <c r="P111" s="260" t="n"/>
    </row>
    <row r="112">
      <c r="A112" s="433" t="inlineStr">
        <is>
          <t>2D1-02</t>
        </is>
      </c>
      <c r="B112" s="434" t="inlineStr">
        <is>
          <t>OFİS D1 GİRİŞ HOLÜ</t>
        </is>
      </c>
      <c r="C112" s="435" t="inlineStr">
        <is>
          <t>20</t>
        </is>
      </c>
      <c r="D112" s="436">
        <f>'2 NK'!Q382</f>
        <v/>
      </c>
      <c r="E112" s="437" t="n">
        <v>17.5</v>
      </c>
      <c r="F112" s="436">
        <f>'YERDEN ISITMA'!N112</f>
        <v/>
      </c>
      <c r="G112" s="433" t="n">
        <v>78.45</v>
      </c>
      <c r="H112" s="433" t="n">
        <v>2</v>
      </c>
      <c r="I112" s="433" t="inlineStr">
        <is>
          <t>ZEMİNDEN ISITMA</t>
        </is>
      </c>
      <c r="J112" s="264" t="n"/>
      <c r="K112" s="264" t="n"/>
      <c r="L112" s="264" t="n"/>
      <c r="M112" s="264" t="n"/>
      <c r="N112" s="264" t="n"/>
      <c r="O112" s="264" t="n"/>
      <c r="P112" s="260" t="n"/>
    </row>
    <row r="113">
      <c r="A113" s="433" t="inlineStr">
        <is>
          <t>2D1-03</t>
        </is>
      </c>
      <c r="B113" s="434" t="inlineStr">
        <is>
          <t>OFİS D1 MUTFAK</t>
        </is>
      </c>
      <c r="C113" s="435" t="inlineStr">
        <is>
          <t>20</t>
        </is>
      </c>
      <c r="D113" s="436">
        <f>'2 NK'!Q388</f>
        <v/>
      </c>
      <c r="E113" s="437" t="n">
        <v>17.5</v>
      </c>
      <c r="F113" s="436">
        <f>'YERDEN ISITMA'!N113</f>
        <v/>
      </c>
      <c r="G113" s="433" t="n">
        <v>21.12</v>
      </c>
      <c r="H113" s="433" t="n">
        <v>1</v>
      </c>
      <c r="I113" s="433" t="inlineStr">
        <is>
          <t>ZEMİNDEN ISITMA</t>
        </is>
      </c>
      <c r="J113" s="264" t="n"/>
      <c r="K113" s="264" t="n"/>
      <c r="L113" s="264" t="n"/>
      <c r="M113" s="264" t="n"/>
      <c r="N113" s="264" t="n"/>
      <c r="O113" s="264" t="n"/>
      <c r="P113" s="260" t="n"/>
    </row>
    <row r="114">
      <c r="A114" s="433" t="inlineStr">
        <is>
          <t>2D1-04</t>
        </is>
      </c>
      <c r="B114" s="434" t="inlineStr">
        <is>
          <t>OFİS D1 BANYO</t>
        </is>
      </c>
      <c r="C114" s="435" t="inlineStr">
        <is>
          <t>24</t>
        </is>
      </c>
      <c r="D114" s="436">
        <f>'2 NK'!Q395</f>
        <v/>
      </c>
      <c r="E114" s="437" t="n">
        <v>17.5</v>
      </c>
      <c r="F114" s="436">
        <f>'YERDEN ISITMA'!N114</f>
        <v/>
      </c>
      <c r="G114" s="433" t="n">
        <v>12.66</v>
      </c>
      <c r="H114" s="433" t="n">
        <v>1</v>
      </c>
      <c r="I114" s="433" t="inlineStr">
        <is>
          <t>ZEMİNDEN ISITMA</t>
        </is>
      </c>
      <c r="J114" s="264" t="n"/>
      <c r="K114" s="264" t="n"/>
      <c r="L114" s="264" t="n"/>
      <c r="M114" s="264" t="n"/>
      <c r="N114" s="264" t="n"/>
      <c r="O114" s="264" t="n"/>
      <c r="P114" s="260" t="n"/>
    </row>
    <row r="115">
      <c r="A115" s="433" t="inlineStr">
        <is>
          <t>2D2-01</t>
        </is>
      </c>
      <c r="B115" s="434" t="inlineStr">
        <is>
          <t>OFİS D2 ODA</t>
        </is>
      </c>
      <c r="C115" s="435" t="inlineStr">
        <is>
          <t>20</t>
        </is>
      </c>
      <c r="D115" s="436">
        <f>'2 NK'!Q404</f>
        <v/>
      </c>
      <c r="E115" s="437" t="n">
        <v>17.5</v>
      </c>
      <c r="F115" s="436">
        <f>'YERDEN ISITMA'!N115</f>
        <v/>
      </c>
      <c r="G115" s="433" t="n">
        <v>89.75</v>
      </c>
      <c r="H115" s="433" t="n">
        <v>2</v>
      </c>
      <c r="I115" s="433" t="inlineStr">
        <is>
          <t>ZEMİNDEN ISITMA</t>
        </is>
      </c>
      <c r="J115" s="264" t="n"/>
      <c r="K115" s="264" t="n"/>
      <c r="L115" s="264" t="n"/>
      <c r="M115" s="264" t="n"/>
      <c r="N115" s="264" t="n"/>
      <c r="O115" s="264" t="n"/>
      <c r="P115" s="260" t="n"/>
    </row>
    <row r="116">
      <c r="A116" s="433" t="inlineStr">
        <is>
          <t>2D2-02</t>
        </is>
      </c>
      <c r="B116" s="434" t="inlineStr">
        <is>
          <t>OFİS D2 GİRİŞ HOLÜ</t>
        </is>
      </c>
      <c r="C116" s="435" t="inlineStr">
        <is>
          <t>20</t>
        </is>
      </c>
      <c r="D116" s="436">
        <f>'2 NK'!Q412</f>
        <v/>
      </c>
      <c r="E116" s="437" t="n">
        <v>17.5</v>
      </c>
      <c r="F116" s="436">
        <f>'YERDEN ISITMA'!N116</f>
        <v/>
      </c>
      <c r="G116" s="433" t="n">
        <v>110.42</v>
      </c>
      <c r="H116" s="433" t="n">
        <v>3</v>
      </c>
      <c r="I116" s="433" t="inlineStr">
        <is>
          <t>ZEMİNDEN ISITMA</t>
        </is>
      </c>
      <c r="J116" s="264" t="n"/>
      <c r="K116" s="264" t="n"/>
      <c r="L116" s="264" t="n"/>
      <c r="M116" s="264" t="n"/>
      <c r="N116" s="264" t="n"/>
      <c r="O116" s="264" t="n"/>
      <c r="P116" s="260" t="n"/>
    </row>
    <row r="117">
      <c r="A117" s="433" t="inlineStr">
        <is>
          <t>2D2-03</t>
        </is>
      </c>
      <c r="B117" s="434" t="inlineStr">
        <is>
          <t>OFİS D2 MUTFAK</t>
        </is>
      </c>
      <c r="C117" s="435" t="inlineStr">
        <is>
          <t>20</t>
        </is>
      </c>
      <c r="D117" s="436">
        <f>'2 NK'!Q418</f>
        <v/>
      </c>
      <c r="E117" s="437" t="n">
        <v>17.5</v>
      </c>
      <c r="F117" s="436">
        <f>'YERDEN ISITMA'!N117</f>
        <v/>
      </c>
      <c r="G117" s="433" t="n">
        <v>18.57</v>
      </c>
      <c r="H117" s="433" t="n">
        <v>1</v>
      </c>
      <c r="I117" s="433" t="inlineStr">
        <is>
          <t>ZEMİNDEN ISITMA</t>
        </is>
      </c>
      <c r="J117" s="264" t="n"/>
      <c r="K117" s="264" t="n"/>
      <c r="L117" s="264" t="n"/>
      <c r="M117" s="264" t="n"/>
      <c r="N117" s="264" t="n"/>
      <c r="O117" s="264" t="n"/>
      <c r="P117" s="260" t="n"/>
    </row>
    <row r="118">
      <c r="A118" s="433" t="inlineStr">
        <is>
          <t>2D2-04</t>
        </is>
      </c>
      <c r="B118" s="434" t="inlineStr">
        <is>
          <t>OFİS D2 BANYO</t>
        </is>
      </c>
      <c r="C118" s="435" t="inlineStr">
        <is>
          <t>24</t>
        </is>
      </c>
      <c r="D118" s="436">
        <f>'2 NK'!Q425</f>
        <v/>
      </c>
      <c r="E118" s="437" t="n">
        <v>17.5</v>
      </c>
      <c r="F118" s="436">
        <f>'YERDEN ISITMA'!N118</f>
        <v/>
      </c>
      <c r="G118" s="433" t="n">
        <v>0</v>
      </c>
      <c r="H118" s="433" t="n">
        <v>0</v>
      </c>
      <c r="I118" s="433" t="inlineStr">
        <is>
          <t>ISITILMIYOR (tefriş/ıslak hacim dolu) - kollektör bağlantı boruları</t>
        </is>
      </c>
      <c r="J118" s="264" t="n"/>
      <c r="K118" s="264" t="n"/>
      <c r="L118" s="264" t="n"/>
      <c r="M118" s="264" t="n"/>
      <c r="N118" s="264" t="n"/>
      <c r="O118" s="264" t="n"/>
      <c r="P118" s="260" t="n"/>
    </row>
    <row r="119">
      <c r="A119" s="433" t="inlineStr">
        <is>
          <t>2D3-01</t>
        </is>
      </c>
      <c r="B119" s="434" t="inlineStr">
        <is>
          <t>OFİS D3 ODA</t>
        </is>
      </c>
      <c r="C119" s="435" t="inlineStr">
        <is>
          <t>20</t>
        </is>
      </c>
      <c r="D119" s="436">
        <f>'2 NK'!Q435</f>
        <v/>
      </c>
      <c r="E119" s="437" t="n">
        <v>17.5</v>
      </c>
      <c r="F119" s="436">
        <f>'YERDEN ISITMA'!N119</f>
        <v/>
      </c>
      <c r="G119" s="433" t="n">
        <v>88.51000000000001</v>
      </c>
      <c r="H119" s="433" t="n">
        <v>2</v>
      </c>
      <c r="I119" s="433" t="inlineStr">
        <is>
          <t>ZEMİNDEN ISITMA</t>
        </is>
      </c>
      <c r="J119" s="264" t="n"/>
      <c r="K119" s="264" t="n"/>
      <c r="L119" s="264" t="n"/>
      <c r="M119" s="264" t="n"/>
      <c r="N119" s="264" t="n"/>
      <c r="O119" s="264" t="n"/>
      <c r="P119" s="260" t="n"/>
    </row>
    <row r="120">
      <c r="A120" s="433" t="inlineStr">
        <is>
          <t>2D3-02</t>
        </is>
      </c>
      <c r="B120" s="434" t="inlineStr">
        <is>
          <t>OFİS D3 MUTFAK</t>
        </is>
      </c>
      <c r="C120" s="435" t="inlineStr">
        <is>
          <t>20</t>
        </is>
      </c>
      <c r="D120" s="436">
        <f>'2 NK'!Q441</f>
        <v/>
      </c>
      <c r="E120" s="437" t="n">
        <v>17.5</v>
      </c>
      <c r="F120" s="436">
        <f>'YERDEN ISITMA'!N120</f>
        <v/>
      </c>
      <c r="G120" s="433" t="n">
        <v>21.12</v>
      </c>
      <c r="H120" s="433" t="n">
        <v>1</v>
      </c>
      <c r="I120" s="433" t="inlineStr">
        <is>
          <t>ZEMİNDEN ISITMA</t>
        </is>
      </c>
      <c r="J120" s="264" t="n"/>
      <c r="K120" s="264" t="n"/>
      <c r="L120" s="264" t="n"/>
      <c r="M120" s="264" t="n"/>
      <c r="N120" s="264" t="n"/>
      <c r="O120" s="264" t="n"/>
      <c r="P120" s="260" t="n"/>
    </row>
    <row r="121">
      <c r="A121" s="433" t="inlineStr">
        <is>
          <t>2D3-03</t>
        </is>
      </c>
      <c r="B121" s="434" t="inlineStr">
        <is>
          <t>OFİS D3 BANYO</t>
        </is>
      </c>
      <c r="C121" s="435" t="inlineStr">
        <is>
          <t>24</t>
        </is>
      </c>
      <c r="D121" s="436">
        <f>'2 NK'!Q448</f>
        <v/>
      </c>
      <c r="E121" s="437" t="n">
        <v>17.5</v>
      </c>
      <c r="F121" s="436">
        <f>'YERDEN ISITMA'!N121</f>
        <v/>
      </c>
      <c r="G121" s="433" t="n">
        <v>12.81</v>
      </c>
      <c r="H121" s="433" t="n">
        <v>1</v>
      </c>
      <c r="I121" s="433" t="inlineStr">
        <is>
          <t>ZEMİNDEN ISITMA</t>
        </is>
      </c>
      <c r="J121" s="264" t="n"/>
      <c r="K121" s="264" t="n"/>
      <c r="L121" s="264" t="n"/>
      <c r="M121" s="264" t="n"/>
      <c r="N121" s="264" t="n"/>
      <c r="O121" s="264" t="n"/>
      <c r="P121" s="260" t="n"/>
    </row>
    <row r="122">
      <c r="A122" s="433" t="inlineStr">
        <is>
          <t>2D3-04</t>
        </is>
      </c>
      <c r="B122" s="434" t="inlineStr">
        <is>
          <t>OFİS D3 GİRİŞ HOLÜ</t>
        </is>
      </c>
      <c r="C122" s="435" t="inlineStr">
        <is>
          <t>20</t>
        </is>
      </c>
      <c r="D122" s="436">
        <f>'2 NK'!Q459</f>
        <v/>
      </c>
      <c r="E122" s="437" t="n">
        <v>17.5</v>
      </c>
      <c r="F122" s="436">
        <f>'YERDEN ISITMA'!N122</f>
        <v/>
      </c>
      <c r="G122" s="433" t="n">
        <v>115.48</v>
      </c>
      <c r="H122" s="433" t="n">
        <v>3</v>
      </c>
      <c r="I122" s="433" t="inlineStr">
        <is>
          <t>ZEMİNDEN ISITMA</t>
        </is>
      </c>
      <c r="J122" s="264" t="n"/>
      <c r="K122" s="264" t="n"/>
      <c r="L122" s="264" t="n"/>
      <c r="M122" s="264" t="n"/>
      <c r="N122" s="264" t="n"/>
      <c r="O122" s="264" t="n"/>
      <c r="P122" s="260" t="n"/>
    </row>
    <row r="123">
      <c r="A123" s="433" t="inlineStr">
        <is>
          <t>2E1-01</t>
        </is>
      </c>
      <c r="B123" s="434" t="inlineStr">
        <is>
          <t>OFİS E1 ODA</t>
        </is>
      </c>
      <c r="C123" s="435" t="inlineStr">
        <is>
          <t>20</t>
        </is>
      </c>
      <c r="D123" s="436">
        <f>'2 NK'!Q472</f>
        <v/>
      </c>
      <c r="E123" s="437" t="n">
        <v>17.5</v>
      </c>
      <c r="F123" s="436">
        <f>'YERDEN ISITMA'!N123</f>
        <v/>
      </c>
      <c r="G123" s="433" t="n">
        <v>232.11</v>
      </c>
      <c r="H123" s="433" t="n">
        <v>4</v>
      </c>
      <c r="I123" s="433" t="inlineStr">
        <is>
          <t>ZEMİNDEN ISITMA</t>
        </is>
      </c>
      <c r="J123" s="264" t="n"/>
      <c r="K123" s="264" t="n"/>
      <c r="L123" s="264" t="n"/>
      <c r="M123" s="264" t="n"/>
      <c r="N123" s="264" t="n"/>
      <c r="O123" s="264" t="n"/>
      <c r="P123" s="260" t="n"/>
    </row>
    <row r="124">
      <c r="A124" s="433" t="inlineStr">
        <is>
          <t>2E1-02</t>
        </is>
      </c>
      <c r="B124" s="434" t="inlineStr">
        <is>
          <t>OFİS E1 GİRİŞ HOLÜ</t>
        </is>
      </c>
      <c r="C124" s="435" t="inlineStr">
        <is>
          <t>20</t>
        </is>
      </c>
      <c r="D124" s="436">
        <f>'2 NK'!Q486</f>
        <v/>
      </c>
      <c r="E124" s="437" t="n">
        <v>17.5</v>
      </c>
      <c r="F124" s="436">
        <f>'YERDEN ISITMA'!N124</f>
        <v/>
      </c>
      <c r="G124" s="433" t="n">
        <v>65.65000000000001</v>
      </c>
      <c r="H124" s="433" t="n">
        <v>1</v>
      </c>
      <c r="I124" s="433" t="inlineStr">
        <is>
          <t>ZEMİNDEN ISITMA</t>
        </is>
      </c>
      <c r="J124" s="264" t="n"/>
      <c r="K124" s="264" t="n"/>
      <c r="L124" s="264" t="n"/>
      <c r="M124" s="264" t="n"/>
      <c r="N124" s="264" t="n"/>
      <c r="O124" s="264" t="n"/>
      <c r="P124" s="260" t="n"/>
    </row>
    <row r="125">
      <c r="A125" s="433" t="inlineStr">
        <is>
          <t>2E1-03</t>
        </is>
      </c>
      <c r="B125" s="434" t="inlineStr">
        <is>
          <t>OFİS E1 ODA</t>
        </is>
      </c>
      <c r="C125" s="435" t="inlineStr">
        <is>
          <t>20</t>
        </is>
      </c>
      <c r="D125" s="436">
        <f>'2 NK'!Q492</f>
        <v/>
      </c>
      <c r="E125" s="437" t="n">
        <v>17.5</v>
      </c>
      <c r="F125" s="436">
        <f>'YERDEN ISITMA'!N125</f>
        <v/>
      </c>
      <c r="G125" s="433" t="n">
        <v>54.1</v>
      </c>
      <c r="H125" s="433" t="n">
        <v>1</v>
      </c>
      <c r="I125" s="433" t="inlineStr">
        <is>
          <t>ZEMİNDEN ISITMA</t>
        </is>
      </c>
      <c r="J125" s="264" t="n"/>
      <c r="K125" s="264" t="n"/>
      <c r="L125" s="264" t="n"/>
      <c r="M125" s="264" t="n"/>
      <c r="N125" s="264" t="n"/>
      <c r="O125" s="264" t="n"/>
      <c r="P125" s="260" t="n"/>
    </row>
    <row r="126">
      <c r="A126" s="433" t="inlineStr">
        <is>
          <t>2E1-04</t>
        </is>
      </c>
      <c r="B126" s="434" t="inlineStr">
        <is>
          <t>OFİS E1 MUTFAK</t>
        </is>
      </c>
      <c r="C126" s="435" t="inlineStr">
        <is>
          <t>20</t>
        </is>
      </c>
      <c r="D126" s="436">
        <f>'2 NK'!Q498</f>
        <v/>
      </c>
      <c r="E126" s="437" t="n">
        <v>17.5</v>
      </c>
      <c r="F126" s="436">
        <f>'YERDEN ISITMA'!N126</f>
        <v/>
      </c>
      <c r="G126" s="433" t="n">
        <v>27.82</v>
      </c>
      <c r="H126" s="433" t="n">
        <v>1</v>
      </c>
      <c r="I126" s="433" t="inlineStr">
        <is>
          <t>ZEMİNDEN ISITMA</t>
        </is>
      </c>
      <c r="J126" s="264" t="n"/>
      <c r="K126" s="264" t="n"/>
      <c r="L126" s="264" t="n"/>
      <c r="M126" s="264" t="n"/>
      <c r="N126" s="264" t="n"/>
      <c r="O126" s="264" t="n"/>
      <c r="P126" s="260" t="n"/>
    </row>
    <row r="127">
      <c r="A127" s="433" t="inlineStr">
        <is>
          <t>2E1-05</t>
        </is>
      </c>
      <c r="B127" s="434" t="inlineStr">
        <is>
          <t>OFİS E1 BANYO</t>
        </is>
      </c>
      <c r="C127" s="435" t="inlineStr">
        <is>
          <t>24</t>
        </is>
      </c>
      <c r="D127" s="436">
        <f>'2 NK'!Q509</f>
        <v/>
      </c>
      <c r="E127" s="437" t="n">
        <v>17.5</v>
      </c>
      <c r="F127" s="436">
        <f>'YERDEN ISITMA'!N127</f>
        <v/>
      </c>
      <c r="G127" s="433" t="n">
        <v>23.12</v>
      </c>
      <c r="H127" s="433" t="n">
        <v>1</v>
      </c>
      <c r="I127" s="433" t="inlineStr">
        <is>
          <t>ZEMİNDEN ISITMA</t>
        </is>
      </c>
      <c r="J127" s="264" t="n"/>
      <c r="K127" s="264" t="n"/>
      <c r="L127" s="264" t="n"/>
      <c r="M127" s="264" t="n"/>
      <c r="N127" s="264" t="n"/>
      <c r="O127" s="264" t="n"/>
      <c r="P127" s="260" t="n"/>
    </row>
    <row r="128">
      <c r="A128" s="433" t="inlineStr">
        <is>
          <t>2E2-01</t>
        </is>
      </c>
      <c r="B128" s="434" t="inlineStr">
        <is>
          <t>OFİS E2 ODA</t>
        </is>
      </c>
      <c r="C128" s="435" t="inlineStr">
        <is>
          <t>20</t>
        </is>
      </c>
      <c r="D128" s="436">
        <f>'2 NK'!Q530</f>
        <v/>
      </c>
      <c r="E128" s="437" t="n">
        <v>17.5</v>
      </c>
      <c r="F128" s="436">
        <f>'YERDEN ISITMA'!N128</f>
        <v/>
      </c>
      <c r="G128" s="433" t="n">
        <v>277.38</v>
      </c>
      <c r="H128" s="433" t="n">
        <v>4</v>
      </c>
      <c r="I128" s="433" t="inlineStr">
        <is>
          <t>ZEMİNDEN ISITMA</t>
        </is>
      </c>
      <c r="J128" s="264" t="n"/>
      <c r="K128" s="264" t="n"/>
      <c r="L128" s="264" t="n"/>
      <c r="M128" s="264" t="n"/>
      <c r="N128" s="264" t="n"/>
      <c r="O128" s="264" t="n"/>
      <c r="P128" s="260" t="n"/>
    </row>
    <row r="129">
      <c r="A129" s="433" t="inlineStr">
        <is>
          <t>2E2-02</t>
        </is>
      </c>
      <c r="B129" s="434" t="inlineStr">
        <is>
          <t>OFİS E2 GİRİŞ HOLÜ</t>
        </is>
      </c>
      <c r="C129" s="435" t="inlineStr">
        <is>
          <t>20</t>
        </is>
      </c>
      <c r="D129" s="436">
        <f>'2 NK'!Q547</f>
        <v/>
      </c>
      <c r="E129" s="437" t="n">
        <v>17.5</v>
      </c>
      <c r="F129" s="436">
        <f>'YERDEN ISITMA'!N129</f>
        <v/>
      </c>
      <c r="G129" s="433" t="n">
        <v>74.95999999999999</v>
      </c>
      <c r="H129" s="433" t="n">
        <v>2</v>
      </c>
      <c r="I129" s="433" t="inlineStr">
        <is>
          <t>ZEMİNDEN ISITMA</t>
        </is>
      </c>
      <c r="J129" s="264" t="n"/>
      <c r="K129" s="264" t="n"/>
      <c r="L129" s="264" t="n"/>
      <c r="M129" s="264" t="n"/>
      <c r="N129" s="264" t="n"/>
      <c r="O129" s="264" t="n"/>
      <c r="P129" s="260" t="n"/>
    </row>
    <row r="130">
      <c r="A130" s="433" t="inlineStr">
        <is>
          <t>2E2-03</t>
        </is>
      </c>
      <c r="B130" s="434" t="inlineStr">
        <is>
          <t>OFİS E2 MUTFAK</t>
        </is>
      </c>
      <c r="C130" s="435" t="inlineStr">
        <is>
          <t>20</t>
        </is>
      </c>
      <c r="D130" s="436">
        <f>'2 NK'!Q554</f>
        <v/>
      </c>
      <c r="E130" s="437" t="n">
        <v>17.5</v>
      </c>
      <c r="F130" s="436">
        <f>'YERDEN ISITMA'!N130</f>
        <v/>
      </c>
      <c r="G130" s="433" t="n">
        <v>25.58</v>
      </c>
      <c r="H130" s="433" t="n">
        <v>1</v>
      </c>
      <c r="I130" s="433" t="inlineStr">
        <is>
          <t>ZEMİNDEN ISITMA</t>
        </is>
      </c>
      <c r="J130" s="264" t="n"/>
      <c r="K130" s="264" t="n"/>
      <c r="L130" s="264" t="n"/>
      <c r="M130" s="264" t="n"/>
      <c r="N130" s="264" t="n"/>
      <c r="O130" s="264" t="n"/>
      <c r="P130" s="260" t="n"/>
    </row>
    <row r="131">
      <c r="A131" s="433" t="inlineStr">
        <is>
          <t>2E2-04</t>
        </is>
      </c>
      <c r="B131" s="434" t="inlineStr">
        <is>
          <t>OFİS E2 ODA</t>
        </is>
      </c>
      <c r="C131" s="435" t="inlineStr">
        <is>
          <t>20</t>
        </is>
      </c>
      <c r="D131" s="436">
        <f>'2 NK'!Q564</f>
        <v/>
      </c>
      <c r="E131" s="437" t="n">
        <v>17.5</v>
      </c>
      <c r="F131" s="436">
        <f>'YERDEN ISITMA'!N131</f>
        <v/>
      </c>
      <c r="G131" s="433" t="n">
        <v>91.17</v>
      </c>
      <c r="H131" s="433" t="n">
        <v>2</v>
      </c>
      <c r="I131" s="433" t="inlineStr">
        <is>
          <t>ZEMİNDEN ISITMA</t>
        </is>
      </c>
      <c r="J131" s="264" t="n"/>
      <c r="K131" s="264" t="n"/>
      <c r="L131" s="264" t="n"/>
      <c r="M131" s="264" t="n"/>
      <c r="N131" s="264" t="n"/>
      <c r="O131" s="264" t="n"/>
      <c r="P131" s="260" t="n"/>
    </row>
    <row r="132">
      <c r="A132" s="433" t="inlineStr">
        <is>
          <t>2E2-05</t>
        </is>
      </c>
      <c r="B132" s="434" t="inlineStr">
        <is>
          <t>OFİS E2 BANYO</t>
        </is>
      </c>
      <c r="C132" s="435" t="inlineStr">
        <is>
          <t>24</t>
        </is>
      </c>
      <c r="D132" s="436">
        <f>'2 NK'!Q572</f>
        <v/>
      </c>
      <c r="E132" s="437" t="n">
        <v>17.5</v>
      </c>
      <c r="F132" s="436">
        <f>'YERDEN ISITMA'!N132</f>
        <v/>
      </c>
      <c r="G132" s="433" t="n">
        <v>17.11</v>
      </c>
      <c r="H132" s="433" t="n">
        <v>1</v>
      </c>
      <c r="I132" s="433" t="inlineStr">
        <is>
          <t>ZEMİNDEN ISITMA</t>
        </is>
      </c>
      <c r="J132" s="264" t="n"/>
      <c r="K132" s="264" t="n"/>
      <c r="L132" s="264" t="n"/>
      <c r="M132" s="264" t="n"/>
      <c r="N132" s="264" t="n"/>
      <c r="O132" s="264" t="n"/>
      <c r="P132" s="260" t="n"/>
    </row>
    <row r="133">
      <c r="A133" s="433" t="n"/>
      <c r="B133" s="433" t="n"/>
      <c r="C133" s="435" t="n"/>
      <c r="D133" s="436" t="n"/>
      <c r="E133" s="438" t="inlineStr">
        <is>
          <t>TOPLAM =</t>
        </is>
      </c>
      <c r="F133" s="439">
        <f>SUM(F72:F132)</f>
        <v/>
      </c>
      <c r="G133" s="433" t="inlineStr">
        <is>
          <t>watt</t>
        </is>
      </c>
      <c r="H133" s="433" t="n"/>
      <c r="I133" s="433" t="n"/>
      <c r="J133" s="433" t="n"/>
      <c r="K133" s="433" t="n"/>
      <c r="L133" s="433" t="n"/>
      <c r="M133" s="433" t="n"/>
      <c r="N133" s="433" t="n"/>
      <c r="O133" s="433" t="n"/>
      <c r="P133" s="433" t="n"/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</sheetData>
  <mergeCells count="149">
    <mergeCell ref="I65:P65"/>
    <mergeCell ref="I34:P34"/>
    <mergeCell ref="I74:P74"/>
    <mergeCell ref="I105:P105"/>
    <mergeCell ref="I49:P49"/>
    <mergeCell ref="C5:G5"/>
    <mergeCell ref="I36:P36"/>
    <mergeCell ref="I45:P45"/>
    <mergeCell ref="I101:P101"/>
    <mergeCell ref="I116:P116"/>
    <mergeCell ref="I113:P113"/>
    <mergeCell ref="H1:M2"/>
    <mergeCell ref="I100:P100"/>
    <mergeCell ref="O7:O9"/>
    <mergeCell ref="I47:P47"/>
    <mergeCell ref="I22:P22"/>
    <mergeCell ref="I28:P28"/>
    <mergeCell ref="I93:P93"/>
    <mergeCell ref="I115:P115"/>
    <mergeCell ref="I37:P37"/>
    <mergeCell ref="N7:N9"/>
    <mergeCell ref="I102:P102"/>
    <mergeCell ref="I12:P12"/>
    <mergeCell ref="I21:P21"/>
    <mergeCell ref="I92:P92"/>
    <mergeCell ref="B6:B9"/>
    <mergeCell ref="I62:P62"/>
    <mergeCell ref="I118:P118"/>
    <mergeCell ref="I14:P14"/>
    <mergeCell ref="I23:P23"/>
    <mergeCell ref="I64:P64"/>
    <mergeCell ref="I38:P38"/>
    <mergeCell ref="I78:P78"/>
    <mergeCell ref="G6:G8"/>
    <mergeCell ref="C1:G4"/>
    <mergeCell ref="I119:P119"/>
    <mergeCell ref="H3:M4"/>
    <mergeCell ref="I128:P128"/>
    <mergeCell ref="I40:P40"/>
    <mergeCell ref="I81:P81"/>
    <mergeCell ref="I90:P90"/>
    <mergeCell ref="I104:P104"/>
    <mergeCell ref="I27:P27"/>
    <mergeCell ref="I120:P120"/>
    <mergeCell ref="I106:P106"/>
    <mergeCell ref="I129:P129"/>
    <mergeCell ref="K7:K9"/>
    <mergeCell ref="I76:P76"/>
    <mergeCell ref="I91:P91"/>
    <mergeCell ref="I25:P25"/>
    <mergeCell ref="I85:P85"/>
    <mergeCell ref="I66:P66"/>
    <mergeCell ref="I131:P131"/>
    <mergeCell ref="D6:D8"/>
    <mergeCell ref="I75:P75"/>
    <mergeCell ref="I53:P53"/>
    <mergeCell ref="F6:F8"/>
    <mergeCell ref="N3:P4"/>
    <mergeCell ref="I121:P121"/>
    <mergeCell ref="I130:P130"/>
    <mergeCell ref="I68:P68"/>
    <mergeCell ref="H5:P5"/>
    <mergeCell ref="I117:P117"/>
    <mergeCell ref="I55:P55"/>
    <mergeCell ref="I52:P52"/>
    <mergeCell ref="I67:P67"/>
    <mergeCell ref="I123:P123"/>
    <mergeCell ref="I39:P39"/>
    <mergeCell ref="I132:P132"/>
    <mergeCell ref="I110:P110"/>
    <mergeCell ref="I48:P48"/>
    <mergeCell ref="I20:P20"/>
    <mergeCell ref="I29:P29"/>
    <mergeCell ref="M7:M9"/>
    <mergeCell ref="I94:P94"/>
    <mergeCell ref="I109:P109"/>
    <mergeCell ref="I13:P13"/>
    <mergeCell ref="I84:P84"/>
    <mergeCell ref="I31:P31"/>
    <mergeCell ref="I15:P15"/>
    <mergeCell ref="I108:P108"/>
    <mergeCell ref="P7:P9"/>
    <mergeCell ref="I86:P86"/>
    <mergeCell ref="I80:P80"/>
    <mergeCell ref="I95:P95"/>
    <mergeCell ref="I89:P89"/>
    <mergeCell ref="H6:H9"/>
    <mergeCell ref="J6:J9"/>
    <mergeCell ref="I70:P70"/>
    <mergeCell ref="I26:P26"/>
    <mergeCell ref="I57:P57"/>
    <mergeCell ref="I54:P54"/>
    <mergeCell ref="I72:P72"/>
    <mergeCell ref="A6:A9"/>
    <mergeCell ref="I41:P41"/>
    <mergeCell ref="I16:P16"/>
    <mergeCell ref="I122:P122"/>
    <mergeCell ref="I56:P56"/>
    <mergeCell ref="I43:P43"/>
    <mergeCell ref="I18:P18"/>
    <mergeCell ref="I58:P58"/>
    <mergeCell ref="A5:B5"/>
    <mergeCell ref="I33:P33"/>
    <mergeCell ref="I42:P42"/>
    <mergeCell ref="I107:P107"/>
    <mergeCell ref="I17:P17"/>
    <mergeCell ref="I83:P83"/>
    <mergeCell ref="I35:P35"/>
    <mergeCell ref="I44:P44"/>
    <mergeCell ref="A1:B4"/>
    <mergeCell ref="I19:P19"/>
    <mergeCell ref="I99:P99"/>
    <mergeCell ref="I60:P60"/>
    <mergeCell ref="I69:P69"/>
    <mergeCell ref="I30:P30"/>
    <mergeCell ref="I124:P124"/>
    <mergeCell ref="I77:P77"/>
    <mergeCell ref="I11:P11"/>
    <mergeCell ref="I46:P46"/>
    <mergeCell ref="I61:P61"/>
    <mergeCell ref="I126:P126"/>
    <mergeCell ref="I32:P32"/>
    <mergeCell ref="I125:P125"/>
    <mergeCell ref="I103:P103"/>
    <mergeCell ref="I97:P97"/>
    <mergeCell ref="I112:P112"/>
    <mergeCell ref="C6:C8"/>
    <mergeCell ref="N6:P6"/>
    <mergeCell ref="I87:P87"/>
    <mergeCell ref="I96:P96"/>
    <mergeCell ref="I127:P127"/>
    <mergeCell ref="K6:M6"/>
    <mergeCell ref="L7:L9"/>
    <mergeCell ref="I114:P114"/>
    <mergeCell ref="I111:P111"/>
    <mergeCell ref="I24:P24"/>
    <mergeCell ref="I98:P98"/>
    <mergeCell ref="E6:E8"/>
    <mergeCell ref="I79:P79"/>
    <mergeCell ref="I73:P73"/>
    <mergeCell ref="I88:P88"/>
    <mergeCell ref="I51:P51"/>
    <mergeCell ref="N1:P2"/>
    <mergeCell ref="I82:P82"/>
    <mergeCell ref="I63:P63"/>
    <mergeCell ref="I10:P10"/>
    <mergeCell ref="I6:I9"/>
    <mergeCell ref="I50:P50"/>
    <mergeCell ref="I59:P59"/>
  </mergeCells>
  <conditionalFormatting sqref="F10 F12:F14 F16:F20 F23">
    <cfRule type="cellIs" rank="0" priority="2" equalAverage="0" operator="lessThan" aboveAverage="0" dxfId="0" text="" percent="0" bottom="0">
      <formula>D10</formula>
    </cfRule>
  </conditionalFormatting>
  <conditionalFormatting sqref="G10 G12 G16 G18">
    <cfRule type="cellIs" rank="0" priority="3" equalAverage="0" operator="greaterThan" aboveAverage="0" dxfId="1" text="" percent="0" bottom="0">
      <formula>D10*1.4</formula>
    </cfRule>
  </conditionalFormatting>
  <conditionalFormatting sqref="F15">
    <cfRule type="cellIs" rank="0" priority="4" equalAverage="0" operator="lessThan" aboveAverage="0" dxfId="0" text="" percent="0" bottom="0">
      <formula>D15</formula>
    </cfRule>
  </conditionalFormatting>
  <conditionalFormatting sqref="G15">
    <cfRule type="cellIs" rank="0" priority="5" equalAverage="0" operator="greaterThan" aboveAverage="0" dxfId="1" text="" percent="0" bottom="0">
      <formula>D15*1.4</formula>
    </cfRule>
  </conditionalFormatting>
  <conditionalFormatting sqref="F24">
    <cfRule type="cellIs" rank="0" priority="6" equalAverage="0" operator="lessThan" aboveAverage="0" dxfId="0" text="" percent="0" bottom="0">
      <formula>D24</formula>
    </cfRule>
  </conditionalFormatting>
  <conditionalFormatting sqref="G24">
    <cfRule type="cellIs" rank="0" priority="7" equalAverage="0" operator="greaterThan" aboveAverage="0" dxfId="1" text="" percent="0" bottom="0">
      <formula>D24*1.4</formula>
    </cfRule>
  </conditionalFormatting>
  <conditionalFormatting sqref="G19">
    <cfRule type="cellIs" rank="0" priority="8" equalAverage="0" operator="greaterThan" aboveAverage="0" dxfId="1" text="" percent="0" bottom="0">
      <formula>D19*1.4</formula>
    </cfRule>
  </conditionalFormatting>
  <conditionalFormatting sqref="G23">
    <cfRule type="cellIs" rank="0" priority="9" equalAverage="0" operator="greaterThan" aboveAverage="0" dxfId="1" text="" percent="0" bottom="0">
      <formula>D23*1.4</formula>
    </cfRule>
  </conditionalFormatting>
  <conditionalFormatting sqref="G20">
    <cfRule type="cellIs" rank="0" priority="10" equalAverage="0" operator="greaterThan" aboveAverage="0" dxfId="1" text="" percent="0" bottom="0">
      <formula>D20*1.4</formula>
    </cfRule>
  </conditionalFormatting>
  <conditionalFormatting sqref="G13">
    <cfRule type="cellIs" rank="0" priority="11" equalAverage="0" operator="greaterThan" aboveAverage="0" dxfId="1" text="" percent="0" bottom="0">
      <formula>D13*1.4</formula>
    </cfRule>
  </conditionalFormatting>
  <conditionalFormatting sqref="G14">
    <cfRule type="cellIs" rank="0" priority="12" equalAverage="0" operator="greaterThan" aboveAverage="0" dxfId="1" text="" percent="0" bottom="0">
      <formula>D14*1.4</formula>
    </cfRule>
  </conditionalFormatting>
  <conditionalFormatting sqref="G17">
    <cfRule type="cellIs" rank="0" priority="13" equalAverage="0" operator="greaterThan" aboveAverage="0" dxfId="1" text="" percent="0" bottom="0">
      <formula>D17*1.4</formula>
    </cfRule>
  </conditionalFormatting>
  <conditionalFormatting sqref="F11">
    <cfRule type="cellIs" rank="0" priority="14" equalAverage="0" operator="lessThan" aboveAverage="0" dxfId="0" text="" percent="0" bottom="0">
      <formula>D11</formula>
    </cfRule>
  </conditionalFormatting>
  <conditionalFormatting sqref="G11">
    <cfRule type="cellIs" rank="0" priority="15" equalAverage="0" operator="greaterThan" aboveAverage="0" dxfId="1" text="" percent="0" bottom="0">
      <formula>D11*1.4</formula>
    </cfRule>
  </conditionalFormatting>
  <conditionalFormatting sqref="F21:F22">
    <cfRule type="cellIs" rank="0" priority="16" equalAverage="0" operator="lessThan" aboveAverage="0" dxfId="0" text="" percent="0" bottom="0">
      <formula>D21</formula>
    </cfRule>
  </conditionalFormatting>
  <conditionalFormatting sqref="G21:G22">
    <cfRule type="cellIs" rank="0" priority="17" equalAverage="0" operator="greaterThan" aboveAverage="0" dxfId="1" text="" percent="0" bottom="0">
      <formula>D21*1.4</formula>
    </cfRule>
  </conditionalFormatting>
  <printOptions horizontalCentered="0" verticalCentered="0" headings="0" gridLines="0" gridLinesSet="1"/>
  <pageMargins left="0.25" right="0.25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U400"/>
  <sheetViews>
    <sheetView showFormulas="0" showGridLines="1" showRowColHeaders="1" showZeros="1" rightToLeft="0" tabSelected="0" showOutlineSymbols="1" defaultGridColor="1" view="normal" topLeftCell="A10" colorId="64" zoomScale="115" zoomScaleNormal="115" zoomScalePageLayoutView="100" workbookViewId="0">
      <selection pane="topLeft" activeCell="D23" activeCellId="0" sqref="D23"/>
    </sheetView>
  </sheetViews>
  <sheetFormatPr baseColWidth="8" defaultColWidth="9.0546875" defaultRowHeight="12.75" zeroHeight="0" outlineLevelRow="0"/>
  <cols>
    <col width="7.56" customWidth="1" style="243" min="1" max="1"/>
    <col width="16.42" customWidth="1" style="243" min="2" max="2"/>
    <col width="7.56" customWidth="1" style="243" min="3" max="3"/>
    <col width="8.41" customWidth="1" style="440" min="4" max="4"/>
    <col width="7.42" customWidth="1" style="243" min="5" max="5"/>
    <col width="7.7" customWidth="1" style="243" min="9" max="9"/>
    <col width="11.7" customWidth="1" style="243" min="12" max="12"/>
    <col width="12.28" customWidth="1" style="243" min="13" max="13"/>
    <col width="7.56" customWidth="1" style="243" min="14" max="14"/>
  </cols>
  <sheetData>
    <row r="1" ht="12.75" customHeight="1" s="244">
      <c r="A1" s="441" t="inlineStr">
        <is>
          <t>ROTAŞ</t>
        </is>
      </c>
      <c r="B1" s="275" t="n"/>
      <c r="C1" s="442" t="inlineStr">
        <is>
          <t>ZEMİNDEN ISITMA MODÜLASYON HESABI</t>
        </is>
      </c>
      <c r="D1" s="250" t="n"/>
      <c r="E1" s="250" t="n"/>
      <c r="F1" s="250" t="n"/>
      <c r="G1" s="275" t="n"/>
      <c r="H1" s="419" t="inlineStr">
        <is>
          <t>SAYFA</t>
        </is>
      </c>
      <c r="I1" s="250" t="n"/>
      <c r="J1" s="250" t="n"/>
      <c r="K1" s="275" t="n"/>
      <c r="L1" s="419" t="n">
        <v>8</v>
      </c>
      <c r="M1" s="250" t="n"/>
      <c r="N1" s="275" t="n"/>
      <c r="O1" s="443" t="n"/>
      <c r="P1" s="443" t="n"/>
    </row>
    <row r="2" ht="12.75" customHeight="1" s="244">
      <c r="A2" s="420" t="n"/>
      <c r="B2" s="421" t="n"/>
      <c r="C2" s="420" t="n"/>
      <c r="G2" s="421" t="n"/>
      <c r="H2" s="278" t="n"/>
      <c r="I2" s="256" t="n"/>
      <c r="J2" s="256" t="n"/>
      <c r="K2" s="277" t="n"/>
      <c r="L2" s="278" t="n"/>
      <c r="M2" s="256" t="n"/>
      <c r="N2" s="277" t="n"/>
      <c r="O2" s="443" t="n"/>
      <c r="P2" s="443" t="n"/>
    </row>
    <row r="3" ht="14.25" customHeight="1" s="244">
      <c r="A3" s="420" t="n"/>
      <c r="B3" s="421" t="n"/>
      <c r="C3" s="420" t="n"/>
      <c r="G3" s="421" t="n"/>
      <c r="H3" s="442" t="inlineStr">
        <is>
          <t>TARİH</t>
        </is>
      </c>
      <c r="I3" s="250" t="n"/>
      <c r="J3" s="250" t="n"/>
      <c r="K3" s="275" t="n"/>
      <c r="L3" s="422">
        <f>kapak!G41</f>
        <v/>
      </c>
      <c r="M3" s="250" t="n"/>
      <c r="N3" s="275" t="n"/>
      <c r="O3" s="443" t="n"/>
      <c r="P3" s="443" t="n"/>
      <c r="Q3" s="444" t="n"/>
      <c r="R3" s="444" t="n"/>
      <c r="S3" s="444" t="n"/>
      <c r="T3" s="444" t="n"/>
      <c r="U3" s="444" t="n"/>
      <c r="V3" s="444" t="n"/>
      <c r="W3" s="444" t="n"/>
      <c r="X3" s="444" t="n"/>
      <c r="Y3" s="444" t="n"/>
      <c r="Z3" s="444" t="n"/>
      <c r="AA3" s="444" t="n"/>
      <c r="AB3" s="444" t="n"/>
      <c r="AC3" s="444" t="n"/>
      <c r="AD3" s="444" t="n"/>
      <c r="AE3" s="444" t="n"/>
      <c r="AF3" s="444" t="n"/>
      <c r="AG3" s="444" t="n"/>
      <c r="AH3" s="444" t="n"/>
      <c r="AI3" s="444" t="n"/>
      <c r="AJ3" s="444" t="n"/>
      <c r="AK3" s="444" t="n"/>
      <c r="AL3" s="444" t="n"/>
      <c r="AM3" s="444" t="n"/>
      <c r="AN3" s="444" t="n"/>
      <c r="AO3" s="444" t="n"/>
      <c r="AP3" s="444" t="n"/>
      <c r="AQ3" s="444" t="n"/>
      <c r="AR3" s="444" t="n"/>
      <c r="AS3" s="444" t="n"/>
      <c r="AT3" s="444" t="n"/>
      <c r="AU3" s="444" t="n"/>
      <c r="AV3" s="444" t="n"/>
      <c r="AW3" s="444" t="n"/>
      <c r="AX3" s="444" t="n"/>
      <c r="AY3" s="444" t="n"/>
      <c r="AZ3" s="444" t="n"/>
      <c r="BA3" s="444" t="n"/>
      <c r="BB3" s="444" t="n"/>
      <c r="BC3" s="444" t="n"/>
      <c r="BD3" s="444" t="n"/>
      <c r="BE3" s="444" t="n"/>
      <c r="BF3" s="444" t="n"/>
      <c r="BG3" s="444" t="n"/>
      <c r="BH3" s="444" t="n"/>
      <c r="BI3" s="444" t="n"/>
      <c r="BJ3" s="444" t="n"/>
      <c r="BK3" s="444" t="n"/>
      <c r="BL3" s="444" t="n"/>
      <c r="BM3" s="444" t="n"/>
      <c r="BN3" s="444" t="n"/>
      <c r="BO3" s="444" t="n"/>
      <c r="BP3" s="444" t="n"/>
      <c r="BQ3" s="444" t="n"/>
      <c r="BR3" s="444" t="n"/>
      <c r="BS3" s="444" t="n"/>
      <c r="BT3" s="444" t="n"/>
      <c r="BU3" s="444" t="n"/>
      <c r="BV3" s="444" t="n"/>
      <c r="BW3" s="444" t="n"/>
      <c r="BX3" s="444" t="n"/>
      <c r="BY3" s="444" t="n"/>
      <c r="BZ3" s="444" t="n"/>
      <c r="CA3" s="444" t="n"/>
      <c r="CB3" s="444" t="n"/>
      <c r="CC3" s="444" t="n"/>
      <c r="CD3" s="444" t="n"/>
      <c r="CE3" s="444" t="n"/>
      <c r="CF3" s="444" t="n"/>
      <c r="CG3" s="444" t="n"/>
      <c r="CH3" s="444" t="n"/>
      <c r="CI3" s="444" t="n"/>
      <c r="CJ3" s="444" t="n"/>
      <c r="CK3" s="444" t="n"/>
      <c r="CL3" s="444" t="n"/>
      <c r="CM3" s="444" t="n"/>
      <c r="CN3" s="444" t="n"/>
      <c r="CO3" s="444" t="n"/>
      <c r="CP3" s="444" t="n"/>
      <c r="CQ3" s="444" t="n"/>
      <c r="CR3" s="444" t="n"/>
      <c r="CS3" s="444" t="n"/>
      <c r="CT3" s="444" t="n"/>
      <c r="CU3" s="444" t="n"/>
      <c r="CV3" s="444" t="n"/>
      <c r="CW3" s="444" t="n"/>
      <c r="CX3" s="444" t="n"/>
      <c r="CY3" s="444" t="n"/>
      <c r="CZ3" s="444" t="n"/>
      <c r="DA3" s="444" t="n"/>
      <c r="DB3" s="444" t="n"/>
      <c r="DC3" s="444" t="n"/>
      <c r="DD3" s="444" t="n"/>
      <c r="DE3" s="444" t="n"/>
      <c r="DF3" s="444" t="n"/>
      <c r="DG3" s="444" t="n"/>
      <c r="DH3" s="444" t="n"/>
      <c r="DI3" s="444" t="n"/>
      <c r="DJ3" s="444" t="n"/>
      <c r="DK3" s="444" t="n"/>
      <c r="DL3" s="444" t="n"/>
      <c r="DM3" s="444" t="n"/>
      <c r="DN3" s="444" t="n"/>
      <c r="DO3" s="444" t="n"/>
      <c r="DP3" s="444" t="n"/>
      <c r="DQ3" s="444" t="n"/>
      <c r="DR3" s="444" t="n"/>
      <c r="DS3" s="444" t="n"/>
      <c r="DT3" s="444" t="n"/>
      <c r="DU3" s="444" t="n"/>
      <c r="DV3" s="444" t="n"/>
      <c r="DW3" s="444" t="n"/>
      <c r="DX3" s="444" t="n"/>
      <c r="DY3" s="444" t="n"/>
      <c r="DZ3" s="444" t="n"/>
      <c r="EA3" s="444" t="n"/>
      <c r="EB3" s="444" t="n"/>
      <c r="EC3" s="444" t="n"/>
      <c r="ED3" s="444" t="n"/>
      <c r="EE3" s="444" t="n"/>
      <c r="EF3" s="444" t="n"/>
      <c r="EG3" s="444" t="n"/>
      <c r="EH3" s="444" t="n"/>
      <c r="EI3" s="444" t="n"/>
      <c r="EJ3" s="444" t="n"/>
      <c r="EK3" s="444" t="n"/>
      <c r="EL3" s="444" t="n"/>
      <c r="EM3" s="444" t="n"/>
      <c r="EN3" s="444" t="n"/>
      <c r="EO3" s="444" t="n"/>
      <c r="EP3" s="444" t="n"/>
      <c r="EQ3" s="444" t="n"/>
      <c r="ER3" s="444" t="n"/>
      <c r="ES3" s="444" t="n"/>
      <c r="ET3" s="444" t="n"/>
      <c r="EU3" s="444" t="n"/>
      <c r="EV3" s="444" t="n"/>
      <c r="EW3" s="444" t="n"/>
      <c r="EX3" s="444" t="n"/>
      <c r="EY3" s="444" t="n"/>
      <c r="EZ3" s="444" t="n"/>
      <c r="FA3" s="444" t="n"/>
      <c r="FB3" s="444" t="n"/>
      <c r="FC3" s="444" t="n"/>
      <c r="FD3" s="444" t="n"/>
      <c r="FE3" s="444" t="n"/>
      <c r="FF3" s="444" t="n"/>
      <c r="FG3" s="444" t="n"/>
      <c r="FH3" s="444" t="n"/>
      <c r="FI3" s="444" t="n"/>
      <c r="FJ3" s="444" t="n"/>
      <c r="FK3" s="444" t="n"/>
      <c r="FL3" s="444" t="n"/>
      <c r="FM3" s="444" t="n"/>
      <c r="FN3" s="444" t="n"/>
      <c r="FO3" s="444" t="n"/>
      <c r="FP3" s="444" t="n"/>
      <c r="FQ3" s="444" t="n"/>
      <c r="FR3" s="444" t="n"/>
      <c r="FS3" s="444" t="n"/>
      <c r="FT3" s="444" t="n"/>
      <c r="FU3" s="444" t="n"/>
      <c r="FV3" s="444" t="n"/>
      <c r="FW3" s="444" t="n"/>
      <c r="FX3" s="444" t="n"/>
      <c r="FY3" s="444" t="n"/>
      <c r="FZ3" s="444" t="n"/>
      <c r="GA3" s="444" t="n"/>
      <c r="GB3" s="444" t="n"/>
      <c r="GC3" s="444" t="n"/>
      <c r="GD3" s="444" t="n"/>
      <c r="GE3" s="444" t="n"/>
      <c r="GF3" s="444" t="n"/>
      <c r="GG3" s="444" t="n"/>
      <c r="GH3" s="444" t="n"/>
      <c r="GI3" s="444" t="n"/>
      <c r="GJ3" s="444" t="n"/>
      <c r="GK3" s="444" t="n"/>
      <c r="GL3" s="444" t="n"/>
      <c r="GM3" s="444" t="n"/>
      <c r="GN3" s="444" t="n"/>
      <c r="GO3" s="444" t="n"/>
      <c r="GP3" s="444" t="n"/>
      <c r="GQ3" s="444" t="n"/>
      <c r="GR3" s="444" t="n"/>
      <c r="GS3" s="444" t="n"/>
      <c r="GT3" s="444" t="n"/>
      <c r="GU3" s="444" t="n"/>
      <c r="GV3" s="444" t="n"/>
      <c r="GW3" s="444" t="n"/>
      <c r="GX3" s="444" t="n"/>
      <c r="GY3" s="444" t="n"/>
      <c r="GZ3" s="444" t="n"/>
      <c r="HA3" s="444" t="n"/>
      <c r="HB3" s="444" t="n"/>
      <c r="HC3" s="444" t="n"/>
      <c r="HD3" s="444" t="n"/>
      <c r="HE3" s="444" t="n"/>
      <c r="HF3" s="444" t="n"/>
      <c r="HG3" s="444" t="n"/>
      <c r="HH3" s="444" t="n"/>
      <c r="HI3" s="444" t="n"/>
      <c r="HJ3" s="444" t="n"/>
      <c r="HK3" s="444" t="n"/>
      <c r="HL3" s="444" t="n"/>
      <c r="HM3" s="444" t="n"/>
      <c r="HN3" s="444" t="n"/>
      <c r="HO3" s="444" t="n"/>
      <c r="HP3" s="444" t="n"/>
      <c r="HQ3" s="444" t="n"/>
      <c r="HR3" s="444" t="n"/>
      <c r="HS3" s="444" t="n"/>
      <c r="HT3" s="444" t="n"/>
      <c r="HU3" s="444" t="n"/>
      <c r="HV3" s="444" t="n"/>
      <c r="HW3" s="444" t="n"/>
      <c r="HX3" s="444" t="n"/>
      <c r="HY3" s="444" t="n"/>
      <c r="HZ3" s="444" t="n"/>
      <c r="IA3" s="444" t="n"/>
      <c r="IB3" s="444" t="n"/>
      <c r="IC3" s="444" t="n"/>
      <c r="ID3" s="444" t="n"/>
      <c r="IE3" s="444" t="n"/>
      <c r="IF3" s="444" t="n"/>
      <c r="IG3" s="444" t="n"/>
      <c r="IH3" s="444" t="n"/>
      <c r="II3" s="444" t="n"/>
      <c r="IJ3" s="444" t="n"/>
      <c r="IK3" s="444" t="n"/>
      <c r="IL3" s="444" t="n"/>
      <c r="IM3" s="444" t="n"/>
      <c r="IN3" s="444" t="n"/>
      <c r="IO3" s="444" t="n"/>
      <c r="IP3" s="444" t="n"/>
      <c r="IQ3" s="444" t="n"/>
      <c r="IR3" s="444" t="n"/>
      <c r="IS3" s="444" t="n"/>
      <c r="IT3" s="444" t="n"/>
      <c r="IU3" s="444" t="n"/>
    </row>
    <row r="4" ht="14.25" customHeight="1" s="244">
      <c r="A4" s="420" t="n"/>
      <c r="B4" s="421" t="n"/>
      <c r="C4" s="420" t="n"/>
      <c r="G4" s="421" t="n"/>
      <c r="H4" s="420" t="n"/>
      <c r="K4" s="421" t="n"/>
      <c r="L4" s="278" t="n"/>
      <c r="M4" s="256" t="n"/>
      <c r="N4" s="277" t="n"/>
      <c r="O4" s="443" t="n"/>
      <c r="P4" s="443" t="n"/>
      <c r="Q4" s="444" t="n"/>
      <c r="R4" s="444" t="n"/>
      <c r="S4" s="444" t="n"/>
      <c r="T4" s="444" t="n"/>
      <c r="U4" s="444" t="n"/>
      <c r="V4" s="444" t="n"/>
      <c r="W4" s="444" t="n"/>
      <c r="X4" s="444" t="n"/>
      <c r="Y4" s="444" t="n"/>
      <c r="Z4" s="444" t="n"/>
      <c r="AA4" s="444" t="n"/>
      <c r="AB4" s="444" t="n"/>
      <c r="AC4" s="444" t="n"/>
      <c r="AD4" s="444" t="n"/>
      <c r="AE4" s="444" t="n"/>
      <c r="AF4" s="444" t="n"/>
      <c r="AG4" s="444" t="n"/>
      <c r="AH4" s="444" t="n"/>
      <c r="AI4" s="444" t="n"/>
      <c r="AJ4" s="444" t="n"/>
      <c r="AK4" s="444" t="n"/>
      <c r="AL4" s="444" t="n"/>
      <c r="AM4" s="444" t="n"/>
      <c r="AN4" s="444" t="n"/>
      <c r="AO4" s="444" t="n"/>
      <c r="AP4" s="444" t="n"/>
      <c r="AQ4" s="444" t="n"/>
      <c r="AR4" s="444" t="n"/>
      <c r="AS4" s="444" t="n"/>
      <c r="AT4" s="444" t="n"/>
      <c r="AU4" s="444" t="n"/>
      <c r="AV4" s="444" t="n"/>
      <c r="AW4" s="444" t="n"/>
      <c r="AX4" s="444" t="n"/>
      <c r="AY4" s="444" t="n"/>
      <c r="AZ4" s="444" t="n"/>
      <c r="BA4" s="444" t="n"/>
      <c r="BB4" s="444" t="n"/>
      <c r="BC4" s="444" t="n"/>
      <c r="BD4" s="444" t="n"/>
      <c r="BE4" s="444" t="n"/>
      <c r="BF4" s="444" t="n"/>
      <c r="BG4" s="444" t="n"/>
      <c r="BH4" s="444" t="n"/>
      <c r="BI4" s="444" t="n"/>
      <c r="BJ4" s="444" t="n"/>
      <c r="BK4" s="444" t="n"/>
      <c r="BL4" s="444" t="n"/>
      <c r="BM4" s="444" t="n"/>
      <c r="BN4" s="444" t="n"/>
      <c r="BO4" s="444" t="n"/>
      <c r="BP4" s="444" t="n"/>
      <c r="BQ4" s="444" t="n"/>
      <c r="BR4" s="444" t="n"/>
      <c r="BS4" s="444" t="n"/>
      <c r="BT4" s="444" t="n"/>
      <c r="BU4" s="444" t="n"/>
      <c r="BV4" s="444" t="n"/>
      <c r="BW4" s="444" t="n"/>
      <c r="BX4" s="444" t="n"/>
      <c r="BY4" s="444" t="n"/>
      <c r="BZ4" s="444" t="n"/>
      <c r="CA4" s="444" t="n"/>
      <c r="CB4" s="444" t="n"/>
      <c r="CC4" s="444" t="n"/>
      <c r="CD4" s="444" t="n"/>
      <c r="CE4" s="444" t="n"/>
      <c r="CF4" s="444" t="n"/>
      <c r="CG4" s="444" t="n"/>
      <c r="CH4" s="444" t="n"/>
      <c r="CI4" s="444" t="n"/>
      <c r="CJ4" s="444" t="n"/>
      <c r="CK4" s="444" t="n"/>
      <c r="CL4" s="444" t="n"/>
      <c r="CM4" s="444" t="n"/>
      <c r="CN4" s="444" t="n"/>
      <c r="CO4" s="444" t="n"/>
      <c r="CP4" s="444" t="n"/>
      <c r="CQ4" s="444" t="n"/>
      <c r="CR4" s="444" t="n"/>
      <c r="CS4" s="444" t="n"/>
      <c r="CT4" s="444" t="n"/>
      <c r="CU4" s="444" t="n"/>
      <c r="CV4" s="444" t="n"/>
      <c r="CW4" s="444" t="n"/>
      <c r="CX4" s="444" t="n"/>
      <c r="CY4" s="444" t="n"/>
      <c r="CZ4" s="444" t="n"/>
      <c r="DA4" s="444" t="n"/>
      <c r="DB4" s="444" t="n"/>
      <c r="DC4" s="444" t="n"/>
      <c r="DD4" s="444" t="n"/>
      <c r="DE4" s="444" t="n"/>
      <c r="DF4" s="444" t="n"/>
      <c r="DG4" s="444" t="n"/>
      <c r="DH4" s="444" t="n"/>
      <c r="DI4" s="444" t="n"/>
      <c r="DJ4" s="444" t="n"/>
      <c r="DK4" s="444" t="n"/>
      <c r="DL4" s="444" t="n"/>
      <c r="DM4" s="444" t="n"/>
      <c r="DN4" s="444" t="n"/>
      <c r="DO4" s="444" t="n"/>
      <c r="DP4" s="444" t="n"/>
      <c r="DQ4" s="444" t="n"/>
      <c r="DR4" s="444" t="n"/>
      <c r="DS4" s="444" t="n"/>
      <c r="DT4" s="444" t="n"/>
      <c r="DU4" s="444" t="n"/>
      <c r="DV4" s="444" t="n"/>
      <c r="DW4" s="444" t="n"/>
      <c r="DX4" s="444" t="n"/>
      <c r="DY4" s="444" t="n"/>
      <c r="DZ4" s="444" t="n"/>
      <c r="EA4" s="444" t="n"/>
      <c r="EB4" s="444" t="n"/>
      <c r="EC4" s="444" t="n"/>
      <c r="ED4" s="444" t="n"/>
      <c r="EE4" s="444" t="n"/>
      <c r="EF4" s="444" t="n"/>
      <c r="EG4" s="444" t="n"/>
      <c r="EH4" s="444" t="n"/>
      <c r="EI4" s="444" t="n"/>
      <c r="EJ4" s="444" t="n"/>
      <c r="EK4" s="444" t="n"/>
      <c r="EL4" s="444" t="n"/>
      <c r="EM4" s="444" t="n"/>
      <c r="EN4" s="444" t="n"/>
      <c r="EO4" s="444" t="n"/>
      <c r="EP4" s="444" t="n"/>
      <c r="EQ4" s="444" t="n"/>
      <c r="ER4" s="444" t="n"/>
      <c r="ES4" s="444" t="n"/>
      <c r="ET4" s="444" t="n"/>
      <c r="EU4" s="444" t="n"/>
      <c r="EV4" s="444" t="n"/>
      <c r="EW4" s="444" t="n"/>
      <c r="EX4" s="444" t="n"/>
      <c r="EY4" s="444" t="n"/>
      <c r="EZ4" s="444" t="n"/>
      <c r="FA4" s="444" t="n"/>
      <c r="FB4" s="444" t="n"/>
      <c r="FC4" s="444" t="n"/>
      <c r="FD4" s="444" t="n"/>
      <c r="FE4" s="444" t="n"/>
      <c r="FF4" s="444" t="n"/>
      <c r="FG4" s="444" t="n"/>
      <c r="FH4" s="444" t="n"/>
      <c r="FI4" s="444" t="n"/>
      <c r="FJ4" s="444" t="n"/>
      <c r="FK4" s="444" t="n"/>
      <c r="FL4" s="444" t="n"/>
      <c r="FM4" s="444" t="n"/>
      <c r="FN4" s="444" t="n"/>
      <c r="FO4" s="444" t="n"/>
      <c r="FP4" s="444" t="n"/>
      <c r="FQ4" s="444" t="n"/>
      <c r="FR4" s="444" t="n"/>
      <c r="FS4" s="444" t="n"/>
      <c r="FT4" s="444" t="n"/>
      <c r="FU4" s="444" t="n"/>
      <c r="FV4" s="444" t="n"/>
      <c r="FW4" s="444" t="n"/>
      <c r="FX4" s="444" t="n"/>
      <c r="FY4" s="444" t="n"/>
      <c r="FZ4" s="444" t="n"/>
      <c r="GA4" s="444" t="n"/>
      <c r="GB4" s="444" t="n"/>
      <c r="GC4" s="444" t="n"/>
      <c r="GD4" s="444" t="n"/>
      <c r="GE4" s="444" t="n"/>
      <c r="GF4" s="444" t="n"/>
      <c r="GG4" s="444" t="n"/>
      <c r="GH4" s="444" t="n"/>
      <c r="GI4" s="444" t="n"/>
      <c r="GJ4" s="444" t="n"/>
      <c r="GK4" s="444" t="n"/>
      <c r="GL4" s="444" t="n"/>
      <c r="GM4" s="444" t="n"/>
      <c r="GN4" s="444" t="n"/>
      <c r="GO4" s="444" t="n"/>
      <c r="GP4" s="444" t="n"/>
      <c r="GQ4" s="444" t="n"/>
      <c r="GR4" s="444" t="n"/>
      <c r="GS4" s="444" t="n"/>
      <c r="GT4" s="444" t="n"/>
      <c r="GU4" s="444" t="n"/>
      <c r="GV4" s="444" t="n"/>
      <c r="GW4" s="444" t="n"/>
      <c r="GX4" s="444" t="n"/>
      <c r="GY4" s="444" t="n"/>
      <c r="GZ4" s="444" t="n"/>
      <c r="HA4" s="444" t="n"/>
      <c r="HB4" s="444" t="n"/>
      <c r="HC4" s="444" t="n"/>
      <c r="HD4" s="444" t="n"/>
      <c r="HE4" s="444" t="n"/>
      <c r="HF4" s="444" t="n"/>
      <c r="HG4" s="444" t="n"/>
      <c r="HH4" s="444" t="n"/>
      <c r="HI4" s="444" t="n"/>
      <c r="HJ4" s="444" t="n"/>
      <c r="HK4" s="444" t="n"/>
      <c r="HL4" s="444" t="n"/>
      <c r="HM4" s="444" t="n"/>
      <c r="HN4" s="444" t="n"/>
      <c r="HO4" s="444" t="n"/>
      <c r="HP4" s="444" t="n"/>
      <c r="HQ4" s="444" t="n"/>
      <c r="HR4" s="444" t="n"/>
      <c r="HS4" s="444" t="n"/>
      <c r="HT4" s="444" t="n"/>
      <c r="HU4" s="444" t="n"/>
      <c r="HV4" s="444" t="n"/>
      <c r="HW4" s="444" t="n"/>
      <c r="HX4" s="444" t="n"/>
      <c r="HY4" s="444" t="n"/>
      <c r="HZ4" s="444" t="n"/>
      <c r="IA4" s="444" t="n"/>
      <c r="IB4" s="444" t="n"/>
      <c r="IC4" s="444" t="n"/>
      <c r="ID4" s="444" t="n"/>
      <c r="IE4" s="444" t="n"/>
      <c r="IF4" s="444" t="n"/>
      <c r="IG4" s="444" t="n"/>
      <c r="IH4" s="444" t="n"/>
      <c r="II4" s="444" t="n"/>
      <c r="IJ4" s="444" t="n"/>
      <c r="IK4" s="444" t="n"/>
      <c r="IL4" s="444" t="n"/>
      <c r="IM4" s="444" t="n"/>
      <c r="IN4" s="444" t="n"/>
      <c r="IO4" s="444" t="n"/>
      <c r="IP4" s="444" t="n"/>
      <c r="IQ4" s="444" t="n"/>
      <c r="IR4" s="444" t="n"/>
      <c r="IS4" s="444" t="n"/>
      <c r="IT4" s="444" t="n"/>
      <c r="IU4" s="444" t="n"/>
    </row>
    <row r="5" ht="14.25" customHeight="1" s="244">
      <c r="A5" s="445" t="inlineStr">
        <is>
          <t>PROJE ADI :</t>
        </is>
      </c>
      <c r="B5" s="264" t="n"/>
      <c r="C5" s="264" t="n"/>
      <c r="D5" s="264" t="n"/>
      <c r="E5" s="264" t="n"/>
      <c r="F5" s="264" t="n"/>
      <c r="G5" s="260" t="n"/>
      <c r="H5" s="445">
        <f>kapak!C31</f>
        <v/>
      </c>
      <c r="I5" s="264" t="n"/>
      <c r="J5" s="264" t="n"/>
      <c r="K5" s="264" t="n"/>
      <c r="L5" s="264" t="n"/>
      <c r="M5" s="264" t="n"/>
      <c r="N5" s="260" t="n"/>
      <c r="O5" s="444" t="n"/>
      <c r="P5" s="446" t="n"/>
      <c r="Q5" s="444" t="n"/>
      <c r="R5" s="444" t="n"/>
      <c r="S5" s="444" t="n"/>
      <c r="T5" s="444" t="n"/>
      <c r="U5" s="444" t="n"/>
      <c r="V5" s="444" t="n"/>
      <c r="W5" s="444" t="n"/>
      <c r="X5" s="444" t="n"/>
      <c r="Y5" s="444" t="n"/>
      <c r="Z5" s="444" t="n"/>
      <c r="AA5" s="444" t="n"/>
      <c r="AB5" s="444" t="n"/>
      <c r="AC5" s="444" t="n"/>
      <c r="AD5" s="444" t="n"/>
      <c r="AE5" s="444" t="n"/>
      <c r="AF5" s="444" t="n"/>
      <c r="AG5" s="444" t="n"/>
      <c r="AH5" s="444" t="n"/>
      <c r="AI5" s="444" t="n"/>
      <c r="AJ5" s="444" t="n"/>
      <c r="AK5" s="444" t="n"/>
      <c r="AL5" s="444" t="n"/>
      <c r="AM5" s="444" t="n"/>
      <c r="AN5" s="444" t="n"/>
      <c r="AO5" s="444" t="n"/>
      <c r="AP5" s="444" t="n"/>
      <c r="AQ5" s="444" t="n"/>
      <c r="AR5" s="444" t="n"/>
      <c r="AS5" s="444" t="n"/>
      <c r="AT5" s="444" t="n"/>
      <c r="AU5" s="444" t="n"/>
      <c r="AV5" s="444" t="n"/>
      <c r="AW5" s="444" t="n"/>
      <c r="AX5" s="444" t="n"/>
      <c r="AY5" s="444" t="n"/>
      <c r="AZ5" s="444" t="n"/>
      <c r="BA5" s="444" t="n"/>
      <c r="BB5" s="444" t="n"/>
      <c r="BC5" s="444" t="n"/>
      <c r="BD5" s="444" t="n"/>
      <c r="BE5" s="444" t="n"/>
      <c r="BF5" s="444" t="n"/>
      <c r="BG5" s="444" t="n"/>
      <c r="BH5" s="444" t="n"/>
      <c r="BI5" s="444" t="n"/>
      <c r="BJ5" s="444" t="n"/>
      <c r="BK5" s="444" t="n"/>
      <c r="BL5" s="444" t="n"/>
      <c r="BM5" s="444" t="n"/>
      <c r="BN5" s="444" t="n"/>
      <c r="BO5" s="444" t="n"/>
      <c r="BP5" s="444" t="n"/>
      <c r="BQ5" s="444" t="n"/>
      <c r="BR5" s="444" t="n"/>
      <c r="BS5" s="444" t="n"/>
      <c r="BT5" s="444" t="n"/>
      <c r="BU5" s="444" t="n"/>
      <c r="BV5" s="444" t="n"/>
      <c r="BW5" s="444" t="n"/>
      <c r="BX5" s="444" t="n"/>
      <c r="BY5" s="444" t="n"/>
      <c r="BZ5" s="444" t="n"/>
      <c r="CA5" s="444" t="n"/>
      <c r="CB5" s="444" t="n"/>
      <c r="CC5" s="444" t="n"/>
      <c r="CD5" s="444" t="n"/>
      <c r="CE5" s="444" t="n"/>
      <c r="CF5" s="444" t="n"/>
      <c r="CG5" s="444" t="n"/>
      <c r="CH5" s="444" t="n"/>
      <c r="CI5" s="444" t="n"/>
      <c r="CJ5" s="444" t="n"/>
      <c r="CK5" s="444" t="n"/>
      <c r="CL5" s="444" t="n"/>
      <c r="CM5" s="444" t="n"/>
      <c r="CN5" s="444" t="n"/>
      <c r="CO5" s="444" t="n"/>
      <c r="CP5" s="444" t="n"/>
      <c r="CQ5" s="444" t="n"/>
      <c r="CR5" s="444" t="n"/>
      <c r="CS5" s="444" t="n"/>
      <c r="CT5" s="444" t="n"/>
      <c r="CU5" s="444" t="n"/>
      <c r="CV5" s="444" t="n"/>
      <c r="CW5" s="444" t="n"/>
      <c r="CX5" s="444" t="n"/>
      <c r="CY5" s="444" t="n"/>
      <c r="CZ5" s="444" t="n"/>
      <c r="DA5" s="444" t="n"/>
      <c r="DB5" s="444" t="n"/>
      <c r="DC5" s="444" t="n"/>
      <c r="DD5" s="444" t="n"/>
      <c r="DE5" s="444" t="n"/>
      <c r="DF5" s="444" t="n"/>
      <c r="DG5" s="444" t="n"/>
      <c r="DH5" s="444" t="n"/>
      <c r="DI5" s="444" t="n"/>
      <c r="DJ5" s="444" t="n"/>
      <c r="DK5" s="444" t="n"/>
      <c r="DL5" s="444" t="n"/>
      <c r="DM5" s="444" t="n"/>
      <c r="DN5" s="444" t="n"/>
      <c r="DO5" s="444" t="n"/>
      <c r="DP5" s="444" t="n"/>
      <c r="DQ5" s="444" t="n"/>
      <c r="DR5" s="444" t="n"/>
      <c r="DS5" s="444" t="n"/>
      <c r="DT5" s="444" t="n"/>
      <c r="DU5" s="444" t="n"/>
      <c r="DV5" s="444" t="n"/>
      <c r="DW5" s="444" t="n"/>
      <c r="DX5" s="444" t="n"/>
      <c r="DY5" s="444" t="n"/>
      <c r="DZ5" s="444" t="n"/>
      <c r="EA5" s="444" t="n"/>
      <c r="EB5" s="444" t="n"/>
      <c r="EC5" s="444" t="n"/>
      <c r="ED5" s="444" t="n"/>
      <c r="EE5" s="444" t="n"/>
      <c r="EF5" s="444" t="n"/>
      <c r="EG5" s="444" t="n"/>
      <c r="EH5" s="444" t="n"/>
      <c r="EI5" s="444" t="n"/>
      <c r="EJ5" s="444" t="n"/>
      <c r="EK5" s="444" t="n"/>
      <c r="EL5" s="444" t="n"/>
      <c r="EM5" s="444" t="n"/>
      <c r="EN5" s="444" t="n"/>
      <c r="EO5" s="444" t="n"/>
      <c r="EP5" s="444" t="n"/>
      <c r="EQ5" s="444" t="n"/>
      <c r="ER5" s="444" t="n"/>
      <c r="ES5" s="444" t="n"/>
      <c r="ET5" s="444" t="n"/>
      <c r="EU5" s="444" t="n"/>
      <c r="EV5" s="444" t="n"/>
      <c r="EW5" s="444" t="n"/>
      <c r="EX5" s="444" t="n"/>
      <c r="EY5" s="444" t="n"/>
      <c r="EZ5" s="444" t="n"/>
      <c r="FA5" s="444" t="n"/>
      <c r="FB5" s="444" t="n"/>
      <c r="FC5" s="444" t="n"/>
      <c r="FD5" s="444" t="n"/>
      <c r="FE5" s="444" t="n"/>
      <c r="FF5" s="444" t="n"/>
      <c r="FG5" s="444" t="n"/>
      <c r="FH5" s="444" t="n"/>
      <c r="FI5" s="444" t="n"/>
      <c r="FJ5" s="444" t="n"/>
      <c r="FK5" s="444" t="n"/>
      <c r="FL5" s="444" t="n"/>
      <c r="FM5" s="444" t="n"/>
      <c r="FN5" s="444" t="n"/>
      <c r="FO5" s="444" t="n"/>
      <c r="FP5" s="444" t="n"/>
      <c r="FQ5" s="444" t="n"/>
      <c r="FR5" s="444" t="n"/>
      <c r="FS5" s="444" t="n"/>
      <c r="FT5" s="444" t="n"/>
      <c r="FU5" s="444" t="n"/>
      <c r="FV5" s="444" t="n"/>
      <c r="FW5" s="444" t="n"/>
      <c r="FX5" s="444" t="n"/>
      <c r="FY5" s="444" t="n"/>
      <c r="FZ5" s="444" t="n"/>
      <c r="GA5" s="444" t="n"/>
      <c r="GB5" s="444" t="n"/>
      <c r="GC5" s="444" t="n"/>
      <c r="GD5" s="444" t="n"/>
      <c r="GE5" s="444" t="n"/>
      <c r="GF5" s="444" t="n"/>
      <c r="GG5" s="444" t="n"/>
      <c r="GH5" s="444" t="n"/>
      <c r="GI5" s="444" t="n"/>
      <c r="GJ5" s="444" t="n"/>
      <c r="GK5" s="444" t="n"/>
      <c r="GL5" s="444" t="n"/>
      <c r="GM5" s="444" t="n"/>
      <c r="GN5" s="444" t="n"/>
      <c r="GO5" s="444" t="n"/>
      <c r="GP5" s="444" t="n"/>
      <c r="GQ5" s="444" t="n"/>
      <c r="GR5" s="444" t="n"/>
      <c r="GS5" s="444" t="n"/>
      <c r="GT5" s="444" t="n"/>
      <c r="GU5" s="444" t="n"/>
      <c r="GV5" s="444" t="n"/>
      <c r="GW5" s="444" t="n"/>
      <c r="GX5" s="444" t="n"/>
      <c r="GY5" s="444" t="n"/>
      <c r="GZ5" s="444" t="n"/>
      <c r="HA5" s="444" t="n"/>
      <c r="HB5" s="444" t="n"/>
      <c r="HC5" s="444" t="n"/>
      <c r="HD5" s="444" t="n"/>
      <c r="HE5" s="444" t="n"/>
      <c r="HF5" s="444" t="n"/>
      <c r="HG5" s="444" t="n"/>
      <c r="HH5" s="444" t="n"/>
      <c r="HI5" s="444" t="n"/>
      <c r="HJ5" s="444" t="n"/>
      <c r="HK5" s="444" t="n"/>
      <c r="HL5" s="444" t="n"/>
      <c r="HM5" s="444" t="n"/>
      <c r="HN5" s="444" t="n"/>
      <c r="HO5" s="444" t="n"/>
      <c r="HP5" s="444" t="n"/>
      <c r="HQ5" s="444" t="n"/>
      <c r="HR5" s="444" t="n"/>
      <c r="HS5" s="444" t="n"/>
      <c r="HT5" s="444" t="n"/>
      <c r="HU5" s="444" t="n"/>
      <c r="HV5" s="444" t="n"/>
      <c r="HW5" s="444" t="n"/>
      <c r="HX5" s="444" t="n"/>
      <c r="HY5" s="444" t="n"/>
      <c r="HZ5" s="444" t="n"/>
      <c r="IA5" s="444" t="n"/>
      <c r="IB5" s="444" t="n"/>
      <c r="IC5" s="444" t="n"/>
      <c r="ID5" s="444" t="n"/>
      <c r="IE5" s="444" t="n"/>
      <c r="IF5" s="444" t="n"/>
      <c r="IG5" s="444" t="n"/>
      <c r="IH5" s="444" t="n"/>
      <c r="II5" s="444" t="n"/>
      <c r="IJ5" s="444" t="n"/>
      <c r="IK5" s="444" t="n"/>
      <c r="IL5" s="444" t="n"/>
      <c r="IM5" s="444" t="n"/>
      <c r="IN5" s="444" t="n"/>
      <c r="IO5" s="444" t="n"/>
      <c r="IP5" s="444" t="n"/>
      <c r="IQ5" s="444" t="n"/>
      <c r="IR5" s="444" t="n"/>
      <c r="IS5" s="444" t="n"/>
      <c r="IT5" s="444" t="n"/>
      <c r="IU5" s="444" t="n"/>
    </row>
    <row r="6" ht="14.25" customHeight="1" s="244">
      <c r="A6" s="445" t="inlineStr">
        <is>
          <t>HESAPLARI YAPAN MAKİNA MÜHENDİSİ :</t>
        </is>
      </c>
      <c r="B6" s="264" t="n"/>
      <c r="C6" s="264" t="n"/>
      <c r="D6" s="264" t="n"/>
      <c r="E6" s="264" t="n"/>
      <c r="F6" s="264" t="n"/>
      <c r="G6" s="260" t="n"/>
      <c r="H6" s="445" t="inlineStr">
        <is>
          <t>BAYRAM GENÇ</t>
        </is>
      </c>
      <c r="I6" s="264" t="n"/>
      <c r="J6" s="264" t="n"/>
      <c r="K6" s="264" t="n"/>
      <c r="L6" s="264" t="n"/>
      <c r="M6" s="264" t="n"/>
      <c r="N6" s="260" t="n"/>
    </row>
    <row r="8" ht="127.5" customHeight="1" s="244">
      <c r="A8" s="447" t="inlineStr">
        <is>
          <t>MAHAL NO</t>
        </is>
      </c>
      <c r="B8" s="447" t="inlineStr">
        <is>
          <t>MAHAL ADI</t>
        </is>
      </c>
      <c r="C8" s="447" t="inlineStr">
        <is>
          <t>MAHAL SICAKLIĞI</t>
        </is>
      </c>
      <c r="D8" s="448" t="inlineStr">
        <is>
          <t>Mahal ısı ihtiyacı Q</t>
        </is>
      </c>
      <c r="E8" s="447" t="inlineStr">
        <is>
          <t>MAHAL ALANI A</t>
        </is>
      </c>
      <c r="F8" s="447" t="inlineStr">
        <is>
          <t>1 m2 ' DEKİ TOPLAM ISI YÜKÜ Q/A</t>
        </is>
      </c>
      <c r="G8" s="447" t="inlineStr">
        <is>
          <t>MODÜL</t>
        </is>
      </c>
      <c r="H8" s="447" t="inlineStr">
        <is>
          <t>m2</t>
        </is>
      </c>
      <c r="I8" s="447" t="inlineStr">
        <is>
          <t>STANDART MODÜL</t>
        </is>
      </c>
      <c r="J8" s="447" t="inlineStr">
        <is>
          <t>BORU BOYU</t>
        </is>
      </c>
      <c r="K8" s="447" t="inlineStr">
        <is>
          <t>KOLLEKTÖR ADETİ</t>
        </is>
      </c>
      <c r="L8" s="447" t="inlineStr">
        <is>
          <t>TOPLAM OLMASI GEREKEN KOLLEKTÖR ADETİ</t>
        </is>
      </c>
      <c r="M8" s="447" t="inlineStr">
        <is>
          <t>BİRİM VERİM</t>
        </is>
      </c>
      <c r="N8" s="447" t="inlineStr">
        <is>
          <t>TOPLAM VERİM</t>
        </is>
      </c>
      <c r="O8" s="449" t="n"/>
      <c r="P8" s="449" t="n"/>
      <c r="Q8" s="449" t="n"/>
      <c r="R8" s="449" t="n"/>
      <c r="S8" s="449" t="n"/>
      <c r="T8" s="449" t="n"/>
      <c r="U8" s="449" t="n"/>
      <c r="V8" s="449" t="n"/>
      <c r="W8" s="449" t="n"/>
      <c r="X8" s="449" t="n"/>
      <c r="Y8" s="449" t="n"/>
      <c r="Z8" s="449" t="n"/>
      <c r="AA8" s="449" t="n"/>
      <c r="AB8" s="449" t="n"/>
      <c r="AC8" s="449" t="n"/>
      <c r="AD8" s="449" t="n"/>
      <c r="AE8" s="449" t="n"/>
      <c r="AF8" s="449" t="n"/>
      <c r="AG8" s="449" t="n"/>
      <c r="AH8" s="449" t="n"/>
      <c r="AI8" s="449" t="n"/>
      <c r="AJ8" s="449" t="n"/>
      <c r="AK8" s="449" t="n"/>
      <c r="AL8" s="449" t="n"/>
      <c r="AM8" s="449" t="n"/>
      <c r="AN8" s="449" t="n"/>
      <c r="AO8" s="449" t="n"/>
      <c r="AP8" s="449" t="n"/>
      <c r="AQ8" s="449" t="n"/>
      <c r="AR8" s="449" t="n"/>
      <c r="AS8" s="449" t="n"/>
      <c r="AT8" s="449" t="n"/>
      <c r="AU8" s="449" t="n"/>
      <c r="AV8" s="449" t="n"/>
      <c r="AW8" s="449" t="n"/>
      <c r="AX8" s="449" t="n"/>
      <c r="AY8" s="449" t="n"/>
      <c r="AZ8" s="449" t="n"/>
      <c r="BA8" s="449" t="n"/>
      <c r="BB8" s="449" t="n"/>
      <c r="BC8" s="449" t="n"/>
      <c r="BD8" s="449" t="n"/>
      <c r="BE8" s="449" t="n"/>
      <c r="BF8" s="449" t="n"/>
      <c r="BG8" s="449" t="n"/>
      <c r="BH8" s="449" t="n"/>
      <c r="BI8" s="449" t="n"/>
      <c r="BJ8" s="449" t="n"/>
      <c r="BK8" s="449" t="n"/>
      <c r="BL8" s="449" t="n"/>
      <c r="BM8" s="449" t="n"/>
      <c r="BN8" s="449" t="n"/>
      <c r="BO8" s="449" t="n"/>
      <c r="BP8" s="449" t="n"/>
      <c r="BQ8" s="449" t="n"/>
      <c r="BR8" s="449" t="n"/>
      <c r="BS8" s="449" t="n"/>
      <c r="BT8" s="449" t="n"/>
      <c r="BU8" s="449" t="n"/>
      <c r="BV8" s="449" t="n"/>
      <c r="BW8" s="449" t="n"/>
      <c r="BX8" s="449" t="n"/>
      <c r="BY8" s="449" t="n"/>
      <c r="BZ8" s="449" t="n"/>
      <c r="CA8" s="449" t="n"/>
      <c r="CB8" s="449" t="n"/>
      <c r="CC8" s="449" t="n"/>
      <c r="CD8" s="449" t="n"/>
      <c r="CE8" s="449" t="n"/>
      <c r="CF8" s="449" t="n"/>
      <c r="CG8" s="449" t="n"/>
      <c r="CH8" s="449" t="n"/>
      <c r="CI8" s="449" t="n"/>
      <c r="CJ8" s="449" t="n"/>
      <c r="CK8" s="449" t="n"/>
      <c r="CL8" s="449" t="n"/>
      <c r="CM8" s="449" t="n"/>
      <c r="CN8" s="449" t="n"/>
      <c r="CO8" s="449" t="n"/>
      <c r="CP8" s="449" t="n"/>
      <c r="CQ8" s="449" t="n"/>
      <c r="CR8" s="449" t="n"/>
      <c r="CS8" s="449" t="n"/>
      <c r="CT8" s="449" t="n"/>
      <c r="CU8" s="449" t="n"/>
      <c r="CV8" s="449" t="n"/>
      <c r="CW8" s="449" t="n"/>
      <c r="CX8" s="449" t="n"/>
      <c r="CY8" s="449" t="n"/>
      <c r="CZ8" s="449" t="n"/>
      <c r="DA8" s="449" t="n"/>
      <c r="DB8" s="449" t="n"/>
      <c r="DC8" s="449" t="n"/>
      <c r="DD8" s="449" t="n"/>
      <c r="DE8" s="449" t="n"/>
      <c r="DF8" s="449" t="n"/>
      <c r="DG8" s="449" t="n"/>
      <c r="DH8" s="449" t="n"/>
      <c r="DI8" s="449" t="n"/>
      <c r="DJ8" s="449" t="n"/>
      <c r="DK8" s="449" t="n"/>
      <c r="DL8" s="449" t="n"/>
      <c r="DM8" s="449" t="n"/>
      <c r="DN8" s="449" t="n"/>
      <c r="DO8" s="449" t="n"/>
      <c r="DP8" s="449" t="n"/>
      <c r="DQ8" s="449" t="n"/>
      <c r="DR8" s="449" t="n"/>
      <c r="DS8" s="449" t="n"/>
      <c r="DT8" s="449" t="n"/>
      <c r="DU8" s="449" t="n"/>
      <c r="DV8" s="449" t="n"/>
      <c r="DW8" s="449" t="n"/>
      <c r="DX8" s="449" t="n"/>
      <c r="DY8" s="449" t="n"/>
      <c r="DZ8" s="449" t="n"/>
      <c r="EA8" s="449" t="n"/>
      <c r="EB8" s="449" t="n"/>
      <c r="EC8" s="449" t="n"/>
      <c r="ED8" s="449" t="n"/>
      <c r="EE8" s="449" t="n"/>
      <c r="EF8" s="449" t="n"/>
      <c r="EG8" s="449" t="n"/>
      <c r="EH8" s="449" t="n"/>
      <c r="EI8" s="449" t="n"/>
      <c r="EJ8" s="449" t="n"/>
      <c r="EK8" s="449" t="n"/>
      <c r="EL8" s="449" t="n"/>
      <c r="EM8" s="449" t="n"/>
      <c r="EN8" s="449" t="n"/>
      <c r="EO8" s="449" t="n"/>
      <c r="EP8" s="449" t="n"/>
      <c r="EQ8" s="449" t="n"/>
      <c r="ER8" s="449" t="n"/>
      <c r="ES8" s="449" t="n"/>
      <c r="ET8" s="449" t="n"/>
      <c r="EU8" s="449" t="n"/>
      <c r="EV8" s="449" t="n"/>
      <c r="EW8" s="449" t="n"/>
      <c r="EX8" s="449" t="n"/>
      <c r="EY8" s="449" t="n"/>
      <c r="EZ8" s="449" t="n"/>
      <c r="FA8" s="449" t="n"/>
      <c r="FB8" s="449" t="n"/>
      <c r="FC8" s="449" t="n"/>
      <c r="FD8" s="449" t="n"/>
      <c r="FE8" s="449" t="n"/>
      <c r="FF8" s="449" t="n"/>
      <c r="FG8" s="449" t="n"/>
      <c r="FH8" s="449" t="n"/>
      <c r="FI8" s="449" t="n"/>
      <c r="FJ8" s="449" t="n"/>
      <c r="FK8" s="449" t="n"/>
      <c r="FL8" s="449" t="n"/>
      <c r="FM8" s="449" t="n"/>
      <c r="FN8" s="449" t="n"/>
      <c r="FO8" s="449" t="n"/>
      <c r="FP8" s="449" t="n"/>
      <c r="FQ8" s="449" t="n"/>
      <c r="FR8" s="449" t="n"/>
      <c r="FS8" s="449" t="n"/>
      <c r="FT8" s="449" t="n"/>
      <c r="FU8" s="449" t="n"/>
      <c r="FV8" s="449" t="n"/>
      <c r="FW8" s="449" t="n"/>
      <c r="FX8" s="449" t="n"/>
      <c r="FY8" s="449" t="n"/>
      <c r="FZ8" s="449" t="n"/>
      <c r="GA8" s="449" t="n"/>
      <c r="GB8" s="449" t="n"/>
      <c r="GC8" s="449" t="n"/>
      <c r="GD8" s="449" t="n"/>
      <c r="GE8" s="449" t="n"/>
      <c r="GF8" s="449" t="n"/>
      <c r="GG8" s="449" t="n"/>
      <c r="GH8" s="449" t="n"/>
      <c r="GI8" s="449" t="n"/>
      <c r="GJ8" s="449" t="n"/>
      <c r="GK8" s="449" t="n"/>
      <c r="GL8" s="449" t="n"/>
      <c r="GM8" s="449" t="n"/>
      <c r="GN8" s="449" t="n"/>
      <c r="GO8" s="449" t="n"/>
      <c r="GP8" s="449" t="n"/>
      <c r="GQ8" s="449" t="n"/>
      <c r="GR8" s="449" t="n"/>
      <c r="GS8" s="449" t="n"/>
      <c r="GT8" s="449" t="n"/>
      <c r="GU8" s="449" t="n"/>
      <c r="GV8" s="449" t="n"/>
      <c r="GW8" s="449" t="n"/>
      <c r="GX8" s="449" t="n"/>
      <c r="GY8" s="449" t="n"/>
      <c r="GZ8" s="449" t="n"/>
      <c r="HA8" s="449" t="n"/>
      <c r="HB8" s="449" t="n"/>
      <c r="HC8" s="449" t="n"/>
      <c r="HD8" s="449" t="n"/>
      <c r="HE8" s="449" t="n"/>
      <c r="HF8" s="449" t="n"/>
      <c r="HG8" s="449" t="n"/>
      <c r="HH8" s="449" t="n"/>
      <c r="HI8" s="449" t="n"/>
      <c r="HJ8" s="449" t="n"/>
      <c r="HK8" s="449" t="n"/>
      <c r="HL8" s="449" t="n"/>
      <c r="HM8" s="449" t="n"/>
      <c r="HN8" s="449" t="n"/>
      <c r="HO8" s="449" t="n"/>
      <c r="HP8" s="449" t="n"/>
      <c r="HQ8" s="449" t="n"/>
      <c r="HR8" s="449" t="n"/>
      <c r="HS8" s="449" t="n"/>
      <c r="HT8" s="449" t="n"/>
      <c r="HU8" s="449" t="n"/>
      <c r="HV8" s="449" t="n"/>
      <c r="HW8" s="449" t="n"/>
      <c r="HX8" s="449" t="n"/>
      <c r="HY8" s="449" t="n"/>
      <c r="HZ8" s="449" t="n"/>
      <c r="IA8" s="449" t="n"/>
      <c r="IB8" s="449" t="n"/>
      <c r="IC8" s="449" t="n"/>
      <c r="ID8" s="449" t="n"/>
      <c r="IE8" s="449" t="n"/>
      <c r="IF8" s="449" t="n"/>
      <c r="IG8" s="449" t="n"/>
      <c r="IH8" s="449" t="n"/>
      <c r="II8" s="449" t="n"/>
      <c r="IJ8" s="449" t="n"/>
      <c r="IK8" s="449" t="n"/>
      <c r="IL8" s="449" t="n"/>
      <c r="IM8" s="449" t="n"/>
      <c r="IN8" s="449" t="n"/>
      <c r="IO8" s="449" t="n"/>
      <c r="IP8" s="449" t="n"/>
      <c r="IQ8" s="449" t="n"/>
      <c r="IR8" s="449" t="n"/>
      <c r="IS8" s="449" t="n"/>
      <c r="IT8" s="449" t="n"/>
      <c r="IU8" s="449" t="n"/>
    </row>
    <row r="9" ht="12.75" customHeight="1" s="244">
      <c r="A9" s="450" t="n"/>
      <c r="B9" s="451" t="n"/>
      <c r="C9" s="451" t="inlineStr">
        <is>
          <t>C0</t>
        </is>
      </c>
      <c r="D9" s="452" t="inlineStr">
        <is>
          <t>watt/h</t>
        </is>
      </c>
      <c r="E9" s="450" t="inlineStr">
        <is>
          <t>m2</t>
        </is>
      </c>
      <c r="F9" s="453" t="inlineStr">
        <is>
          <t>watt/m2h</t>
        </is>
      </c>
      <c r="G9" s="453" t="inlineStr">
        <is>
          <t>watt/m2h</t>
        </is>
      </c>
      <c r="H9" s="450" t="inlineStr">
        <is>
          <t>m2</t>
        </is>
      </c>
      <c r="I9" s="450" t="n"/>
      <c r="J9" s="450" t="inlineStr">
        <is>
          <t>m</t>
        </is>
      </c>
      <c r="K9" s="450" t="inlineStr">
        <is>
          <t>Ad.</t>
        </is>
      </c>
      <c r="L9" s="450" t="inlineStr">
        <is>
          <t>Ad.</t>
        </is>
      </c>
      <c r="M9" s="450" t="inlineStr">
        <is>
          <t>m</t>
        </is>
      </c>
      <c r="N9" s="451" t="inlineStr">
        <is>
          <t>Watt</t>
        </is>
      </c>
      <c r="O9" s="454" t="n"/>
      <c r="P9" s="454" t="n"/>
      <c r="Q9" s="455" t="n"/>
      <c r="R9" s="455" t="n"/>
      <c r="S9" s="455" t="n"/>
      <c r="T9" s="455" t="n"/>
      <c r="U9" s="455" t="n"/>
      <c r="V9" s="455" t="n"/>
      <c r="W9" s="455" t="n"/>
      <c r="X9" s="455" t="n"/>
      <c r="Y9" s="455" t="n"/>
      <c r="Z9" s="455" t="n"/>
      <c r="AA9" s="455" t="n"/>
      <c r="AB9" s="455" t="n"/>
      <c r="AC9" s="455" t="n"/>
      <c r="AD9" s="455" t="n"/>
      <c r="AE9" s="455" t="n"/>
      <c r="AF9" s="455" t="n"/>
      <c r="AG9" s="455" t="n"/>
      <c r="AH9" s="455" t="n"/>
      <c r="AI9" s="455" t="n"/>
      <c r="AJ9" s="455" t="n"/>
      <c r="AK9" s="455" t="n"/>
      <c r="AL9" s="455" t="n"/>
      <c r="AM9" s="455" t="n"/>
      <c r="AN9" s="455" t="n"/>
      <c r="AO9" s="455" t="n"/>
      <c r="AP9" s="455" t="n"/>
      <c r="AQ9" s="455" t="n"/>
      <c r="AR9" s="455" t="n"/>
      <c r="AS9" s="455" t="n"/>
      <c r="AT9" s="455" t="n"/>
      <c r="AU9" s="455" t="n"/>
      <c r="AV9" s="455" t="n"/>
      <c r="AW9" s="455" t="n"/>
      <c r="AX9" s="455" t="n"/>
      <c r="AY9" s="455" t="n"/>
      <c r="AZ9" s="455" t="n"/>
      <c r="BA9" s="455" t="n"/>
      <c r="BB9" s="455" t="n"/>
      <c r="BC9" s="455" t="n"/>
      <c r="BD9" s="455" t="n"/>
      <c r="BE9" s="455" t="n"/>
      <c r="BF9" s="455" t="n"/>
      <c r="BG9" s="455" t="n"/>
      <c r="BH9" s="455" t="n"/>
      <c r="BI9" s="455" t="n"/>
      <c r="BJ9" s="455" t="n"/>
      <c r="BK9" s="455" t="n"/>
      <c r="BL9" s="455" t="n"/>
      <c r="BM9" s="455" t="n"/>
      <c r="BN9" s="455" t="n"/>
      <c r="BO9" s="455" t="n"/>
      <c r="BP9" s="455" t="n"/>
      <c r="BQ9" s="455" t="n"/>
      <c r="BR9" s="455" t="n"/>
      <c r="BS9" s="455" t="n"/>
      <c r="BT9" s="455" t="n"/>
      <c r="BU9" s="455" t="n"/>
      <c r="BV9" s="455" t="n"/>
      <c r="BW9" s="455" t="n"/>
      <c r="BX9" s="455" t="n"/>
      <c r="BY9" s="455" t="n"/>
      <c r="BZ9" s="455" t="n"/>
      <c r="CA9" s="455" t="n"/>
      <c r="CB9" s="455" t="n"/>
      <c r="CC9" s="455" t="n"/>
      <c r="CD9" s="455" t="n"/>
      <c r="CE9" s="455" t="n"/>
      <c r="CF9" s="455" t="n"/>
      <c r="CG9" s="455" t="n"/>
      <c r="CH9" s="455" t="n"/>
      <c r="CI9" s="455" t="n"/>
      <c r="CJ9" s="455" t="n"/>
      <c r="CK9" s="455" t="n"/>
      <c r="CL9" s="455" t="n"/>
      <c r="CM9" s="455" t="n"/>
      <c r="CN9" s="455" t="n"/>
      <c r="CO9" s="455" t="n"/>
      <c r="CP9" s="455" t="n"/>
      <c r="CQ9" s="455" t="n"/>
      <c r="CR9" s="455" t="n"/>
      <c r="CS9" s="455" t="n"/>
      <c r="CT9" s="455" t="n"/>
      <c r="CU9" s="455" t="n"/>
      <c r="CV9" s="455" t="n"/>
      <c r="CW9" s="455" t="n"/>
      <c r="CX9" s="455" t="n"/>
      <c r="CY9" s="455" t="n"/>
      <c r="CZ9" s="455" t="n"/>
      <c r="DA9" s="455" t="n"/>
      <c r="DB9" s="455" t="n"/>
      <c r="DC9" s="455" t="n"/>
      <c r="DD9" s="455" t="n"/>
      <c r="DE9" s="455" t="n"/>
      <c r="DF9" s="455" t="n"/>
      <c r="DG9" s="455" t="n"/>
      <c r="DH9" s="455" t="n"/>
      <c r="DI9" s="455" t="n"/>
      <c r="DJ9" s="455" t="n"/>
      <c r="DK9" s="455" t="n"/>
      <c r="DL9" s="455" t="n"/>
      <c r="DM9" s="455" t="n"/>
      <c r="DN9" s="455" t="n"/>
      <c r="DO9" s="455" t="n"/>
      <c r="DP9" s="455" t="n"/>
      <c r="DQ9" s="455" t="n"/>
      <c r="DR9" s="455" t="n"/>
      <c r="DS9" s="455" t="n"/>
      <c r="DT9" s="455" t="n"/>
      <c r="DU9" s="455" t="n"/>
      <c r="DV9" s="455" t="n"/>
      <c r="DW9" s="455" t="n"/>
      <c r="DX9" s="455" t="n"/>
      <c r="DY9" s="455" t="n"/>
      <c r="DZ9" s="455" t="n"/>
      <c r="EA9" s="455" t="n"/>
      <c r="EB9" s="455" t="n"/>
      <c r="EC9" s="455" t="n"/>
      <c r="ED9" s="455" t="n"/>
      <c r="EE9" s="455" t="n"/>
      <c r="EF9" s="455" t="n"/>
      <c r="EG9" s="455" t="n"/>
      <c r="EH9" s="455" t="n"/>
      <c r="EI9" s="455" t="n"/>
      <c r="EJ9" s="455" t="n"/>
      <c r="EK9" s="455" t="n"/>
      <c r="EL9" s="455" t="n"/>
      <c r="EM9" s="455" t="n"/>
      <c r="EN9" s="455" t="n"/>
      <c r="EO9" s="455" t="n"/>
      <c r="EP9" s="455" t="n"/>
      <c r="EQ9" s="455" t="n"/>
      <c r="ER9" s="455" t="n"/>
      <c r="ES9" s="455" t="n"/>
      <c r="ET9" s="455" t="n"/>
      <c r="EU9" s="455" t="n"/>
      <c r="EV9" s="455" t="n"/>
      <c r="EW9" s="455" t="n"/>
      <c r="EX9" s="455" t="n"/>
      <c r="EY9" s="455" t="n"/>
      <c r="EZ9" s="455" t="n"/>
      <c r="FA9" s="455" t="n"/>
      <c r="FB9" s="455" t="n"/>
      <c r="FC9" s="455" t="n"/>
      <c r="FD9" s="455" t="n"/>
      <c r="FE9" s="455" t="n"/>
      <c r="FF9" s="455" t="n"/>
      <c r="FG9" s="455" t="n"/>
      <c r="FH9" s="455" t="n"/>
      <c r="FI9" s="455" t="n"/>
      <c r="FJ9" s="455" t="n"/>
      <c r="FK9" s="455" t="n"/>
      <c r="FL9" s="455" t="n"/>
      <c r="FM9" s="455" t="n"/>
      <c r="FN9" s="455" t="n"/>
      <c r="FO9" s="455" t="n"/>
      <c r="FP9" s="455" t="n"/>
      <c r="FQ9" s="455" t="n"/>
      <c r="FR9" s="455" t="n"/>
      <c r="FS9" s="455" t="n"/>
      <c r="FT9" s="455" t="n"/>
      <c r="FU9" s="455" t="n"/>
      <c r="FV9" s="455" t="n"/>
      <c r="FW9" s="455" t="n"/>
      <c r="FX9" s="455" t="n"/>
      <c r="FY9" s="455" t="n"/>
      <c r="FZ9" s="455" t="n"/>
      <c r="GA9" s="455" t="n"/>
      <c r="GB9" s="455" t="n"/>
      <c r="GC9" s="455" t="n"/>
      <c r="GD9" s="455" t="n"/>
      <c r="GE9" s="455" t="n"/>
      <c r="GF9" s="455" t="n"/>
      <c r="GG9" s="455" t="n"/>
      <c r="GH9" s="455" t="n"/>
      <c r="GI9" s="455" t="n"/>
      <c r="GJ9" s="455" t="n"/>
      <c r="GK9" s="455" t="n"/>
      <c r="GL9" s="455" t="n"/>
      <c r="GM9" s="455" t="n"/>
      <c r="GN9" s="455" t="n"/>
      <c r="GO9" s="455" t="n"/>
      <c r="GP9" s="455" t="n"/>
      <c r="GQ9" s="455" t="n"/>
      <c r="GR9" s="455" t="n"/>
      <c r="GS9" s="455" t="n"/>
      <c r="GT9" s="455" t="n"/>
      <c r="GU9" s="455" t="n"/>
      <c r="GV9" s="455" t="n"/>
      <c r="GW9" s="455" t="n"/>
      <c r="GX9" s="455" t="n"/>
      <c r="GY9" s="455" t="n"/>
      <c r="GZ9" s="455" t="n"/>
      <c r="HA9" s="455" t="n"/>
      <c r="HB9" s="455" t="n"/>
      <c r="HC9" s="455" t="n"/>
      <c r="HD9" s="455" t="n"/>
      <c r="HE9" s="455" t="n"/>
      <c r="HF9" s="455" t="n"/>
      <c r="HG9" s="455" t="n"/>
      <c r="HH9" s="455" t="n"/>
      <c r="HI9" s="455" t="n"/>
      <c r="HJ9" s="455" t="n"/>
      <c r="HK9" s="455" t="n"/>
      <c r="HL9" s="455" t="n"/>
      <c r="HM9" s="455" t="n"/>
      <c r="HN9" s="455" t="n"/>
      <c r="HO9" s="455" t="n"/>
      <c r="HP9" s="455" t="n"/>
      <c r="HQ9" s="455" t="n"/>
      <c r="HR9" s="455" t="n"/>
      <c r="HS9" s="455" t="n"/>
      <c r="HT9" s="455" t="n"/>
      <c r="HU9" s="455" t="n"/>
      <c r="HV9" s="455" t="n"/>
      <c r="HW9" s="455" t="n"/>
      <c r="HX9" s="455" t="n"/>
      <c r="HY9" s="455" t="n"/>
      <c r="HZ9" s="455" t="n"/>
      <c r="IA9" s="455" t="n"/>
      <c r="IB9" s="455" t="n"/>
      <c r="IC9" s="455" t="n"/>
      <c r="ID9" s="455" t="n"/>
      <c r="IE9" s="455" t="n"/>
      <c r="IF9" s="455" t="n"/>
      <c r="IG9" s="455" t="n"/>
      <c r="IH9" s="455" t="n"/>
      <c r="II9" s="455" t="n"/>
      <c r="IJ9" s="455" t="n"/>
      <c r="IK9" s="455" t="n"/>
      <c r="IL9" s="455" t="n"/>
      <c r="IM9" s="455" t="n"/>
      <c r="IN9" s="455" t="n"/>
      <c r="IO9" s="455" t="n"/>
      <c r="IP9" s="455" t="n"/>
      <c r="IQ9" s="455" t="n"/>
      <c r="IR9" s="455" t="n"/>
      <c r="IS9" s="455" t="n"/>
      <c r="IT9" s="455" t="n"/>
      <c r="IU9" s="455" t="n"/>
    </row>
    <row r="10" ht="12.75" customHeight="1" s="244">
      <c r="A10" s="456">
        <f>'PETEK LİST'!A10</f>
        <v/>
      </c>
      <c r="B10" s="457">
        <f>'PETEK LİST'!B10</f>
        <v/>
      </c>
      <c r="C10" s="458">
        <f>'PETEK LİST'!C10</f>
        <v/>
      </c>
      <c r="D10" s="431">
        <f>'PETEK LİST'!D10</f>
        <v/>
      </c>
      <c r="E10" s="459" t="n">
        <v>2.85</v>
      </c>
      <c r="F10" s="460">
        <f>D10/E10</f>
        <v/>
      </c>
      <c r="G10" s="460">
        <f>76.263-0.539*F10</f>
        <v/>
      </c>
      <c r="H10" s="460">
        <f>D10/G10</f>
        <v/>
      </c>
      <c r="I10" s="456" t="n">
        <v>15</v>
      </c>
      <c r="J10" s="428">
        <f>'PETEK LİST'!G10</f>
        <v/>
      </c>
      <c r="K10" s="460">
        <f>J10/80</f>
        <v/>
      </c>
      <c r="L10" s="456" t="n">
        <v>1</v>
      </c>
      <c r="M10" s="456" t="n">
        <v>17.5</v>
      </c>
      <c r="N10" s="461">
        <f>J10*M10</f>
        <v/>
      </c>
    </row>
    <row r="11" ht="12.75" customHeight="1" s="244">
      <c r="A11" s="456">
        <f>'PETEK LİST'!A11</f>
        <v/>
      </c>
      <c r="B11" s="457">
        <f>'PETEK LİST'!B11</f>
        <v/>
      </c>
      <c r="C11" s="458">
        <f>'PETEK LİST'!C11</f>
        <v/>
      </c>
      <c r="D11" s="431">
        <f>'PETEK LİST'!D11</f>
        <v/>
      </c>
      <c r="E11" s="459" t="n">
        <v>4.54</v>
      </c>
      <c r="F11" s="460">
        <f>D11/E11</f>
        <v/>
      </c>
      <c r="G11" s="460">
        <f>76.263-0.539*F11</f>
        <v/>
      </c>
      <c r="H11" s="460">
        <f>D11/G11</f>
        <v/>
      </c>
      <c r="I11" s="456" t="n">
        <v>15</v>
      </c>
      <c r="J11" s="428">
        <f>'PETEK LİST'!G11</f>
        <v/>
      </c>
      <c r="K11" s="460">
        <f>J11/80</f>
        <v/>
      </c>
      <c r="L11" s="456" t="n">
        <v>1</v>
      </c>
      <c r="M11" s="456" t="n">
        <v>17.5</v>
      </c>
      <c r="N11" s="461">
        <f>J11*M11</f>
        <v/>
      </c>
    </row>
    <row r="12" ht="12.75" customHeight="1" s="244">
      <c r="A12" s="456">
        <f>'PETEK LİST'!A12</f>
        <v/>
      </c>
      <c r="B12" s="457">
        <f>'PETEK LİST'!B12</f>
        <v/>
      </c>
      <c r="C12" s="458">
        <f>'PETEK LİST'!C12</f>
        <v/>
      </c>
      <c r="D12" s="431">
        <f>'PETEK LİST'!D12</f>
        <v/>
      </c>
      <c r="E12" s="459" t="n">
        <v>65.56999999999999</v>
      </c>
      <c r="F12" s="460">
        <f>D12/E12</f>
        <v/>
      </c>
      <c r="G12" s="460">
        <f>76.263-0.539*F12</f>
        <v/>
      </c>
      <c r="H12" s="460">
        <f>D12/G12</f>
        <v/>
      </c>
      <c r="I12" s="456" t="n">
        <v>15</v>
      </c>
      <c r="J12" s="428">
        <f>'PETEK LİST'!G12</f>
        <v/>
      </c>
      <c r="K12" s="460">
        <f>J12/80</f>
        <v/>
      </c>
      <c r="L12" s="456" t="n">
        <v>3</v>
      </c>
      <c r="M12" s="456" t="n">
        <v>17.5</v>
      </c>
      <c r="N12" s="461">
        <f>J12*M12</f>
        <v/>
      </c>
    </row>
    <row r="13" ht="12.75" customHeight="1" s="244">
      <c r="A13" s="456">
        <f>'PETEK LİST'!A13</f>
        <v/>
      </c>
      <c r="B13" s="457">
        <f>'PETEK LİST'!B13</f>
        <v/>
      </c>
      <c r="C13" s="458">
        <f>'PETEK LİST'!C13</f>
        <v/>
      </c>
      <c r="D13" s="431">
        <f>'PETEK LİST'!D13</f>
        <v/>
      </c>
      <c r="E13" s="459" t="n">
        <v>22.28</v>
      </c>
      <c r="F13" s="460">
        <f>D13/E13</f>
        <v/>
      </c>
      <c r="G13" s="460">
        <f>76.263-0.539*F13</f>
        <v/>
      </c>
      <c r="H13" s="460">
        <f>D13/G13</f>
        <v/>
      </c>
      <c r="I13" s="456" t="n">
        <v>15</v>
      </c>
      <c r="J13" s="428">
        <f>'PETEK LİST'!G13</f>
        <v/>
      </c>
      <c r="K13" s="460">
        <f>J13/80</f>
        <v/>
      </c>
      <c r="L13" s="456" t="n">
        <v>2</v>
      </c>
      <c r="M13" s="456" t="n">
        <v>17.5</v>
      </c>
      <c r="N13" s="461">
        <f>J13*M13</f>
        <v/>
      </c>
    </row>
    <row r="14" ht="12.75" customHeight="1" s="244">
      <c r="A14" s="456">
        <f>'PETEK LİST'!A14</f>
        <v/>
      </c>
      <c r="B14" s="457">
        <f>'PETEK LİST'!B14</f>
        <v/>
      </c>
      <c r="C14" s="458">
        <f>'PETEK LİST'!C14</f>
        <v/>
      </c>
      <c r="D14" s="431">
        <f>'PETEK LİST'!D14</f>
        <v/>
      </c>
      <c r="E14" s="459" t="n">
        <v>34.78</v>
      </c>
      <c r="F14" s="460">
        <f>D14/E14</f>
        <v/>
      </c>
      <c r="G14" s="460">
        <f>76.263-0.539*F14</f>
        <v/>
      </c>
      <c r="H14" s="460">
        <f>D14/G14</f>
        <v/>
      </c>
      <c r="I14" s="456" t="n">
        <v>15</v>
      </c>
      <c r="J14" s="428">
        <f>'PETEK LİST'!G14</f>
        <v/>
      </c>
      <c r="K14" s="460">
        <f>J14/80</f>
        <v/>
      </c>
      <c r="L14" s="456" t="n">
        <v>2</v>
      </c>
      <c r="M14" s="456" t="n">
        <v>17.5</v>
      </c>
      <c r="N14" s="461">
        <f>J14*M14</f>
        <v/>
      </c>
    </row>
    <row r="15" ht="12.75" customHeight="1" s="244">
      <c r="A15" s="456">
        <f>'PETEK LİST'!A15</f>
        <v/>
      </c>
      <c r="B15" s="457">
        <f>'PETEK LİST'!B15</f>
        <v/>
      </c>
      <c r="C15" s="458">
        <f>'PETEK LİST'!C15</f>
        <v/>
      </c>
      <c r="D15" s="436">
        <f>'PETEK LİST'!D15</f>
        <v/>
      </c>
      <c r="E15" s="459" t="n">
        <v>5.24</v>
      </c>
      <c r="F15" s="460">
        <f>D15/E15</f>
        <v/>
      </c>
      <c r="G15" s="460">
        <f>76.263-0.539*F15</f>
        <v/>
      </c>
      <c r="H15" s="460">
        <f>D15/G15</f>
        <v/>
      </c>
      <c r="I15" s="456" t="n">
        <v>15</v>
      </c>
      <c r="J15" s="428">
        <f>'PETEK LİST'!G15</f>
        <v/>
      </c>
      <c r="K15" s="460">
        <f>J15/80</f>
        <v/>
      </c>
      <c r="L15" s="456" t="n">
        <v>1</v>
      </c>
      <c r="M15" s="456" t="n">
        <v>17.5</v>
      </c>
      <c r="N15" s="461">
        <f>J15*M15</f>
        <v/>
      </c>
    </row>
    <row r="16" ht="12.75" customHeight="1" s="244">
      <c r="A16" s="462">
        <f>'PETEK LİST'!A16</f>
        <v/>
      </c>
      <c r="B16" s="463">
        <f>'PETEK LİST'!B16</f>
        <v/>
      </c>
      <c r="C16" s="464">
        <f>'PETEK LİST'!C16</f>
        <v/>
      </c>
      <c r="D16" s="431">
        <f>'PETEK LİST'!D16</f>
        <v/>
      </c>
      <c r="E16" s="459" t="n">
        <v>3.43</v>
      </c>
      <c r="F16" s="460">
        <f>D16/E16</f>
        <v/>
      </c>
      <c r="G16" s="460">
        <f>76.263-0.539*F16</f>
        <v/>
      </c>
      <c r="H16" s="460">
        <f>D16/G16</f>
        <v/>
      </c>
      <c r="I16" s="456" t="n">
        <v>15</v>
      </c>
      <c r="J16" s="428">
        <f>'PETEK LİST'!G16</f>
        <v/>
      </c>
      <c r="K16" s="460">
        <f>J16/80</f>
        <v/>
      </c>
      <c r="L16" s="456" t="n">
        <v>1</v>
      </c>
      <c r="M16" s="456" t="n">
        <v>17.5</v>
      </c>
      <c r="N16" s="461">
        <f>J16*M16</f>
        <v/>
      </c>
    </row>
    <row r="17" ht="12.75" customHeight="1" s="244">
      <c r="A17" s="462">
        <f>'PETEK LİST'!A17</f>
        <v/>
      </c>
      <c r="B17" s="463">
        <f>'PETEK LİST'!B17</f>
        <v/>
      </c>
      <c r="C17" s="464">
        <f>'PETEK LİST'!C17</f>
        <v/>
      </c>
      <c r="D17" s="431">
        <f>'PETEK LİST'!D17</f>
        <v/>
      </c>
      <c r="E17" s="459" t="n">
        <v>66.48</v>
      </c>
      <c r="F17" s="460">
        <f>D17/E17</f>
        <v/>
      </c>
      <c r="G17" s="460">
        <f>76.263-0.539*F17</f>
        <v/>
      </c>
      <c r="H17" s="460">
        <f>D17/G17</f>
        <v/>
      </c>
      <c r="I17" s="456" t="n">
        <v>15</v>
      </c>
      <c r="J17" s="428">
        <f>'PETEK LİST'!G17</f>
        <v/>
      </c>
      <c r="K17" s="460">
        <f>J17/80</f>
        <v/>
      </c>
      <c r="L17" s="456" t="n">
        <v>3</v>
      </c>
      <c r="M17" s="456" t="n">
        <v>17.5</v>
      </c>
      <c r="N17" s="461">
        <f>J17*M17</f>
        <v/>
      </c>
    </row>
    <row r="18" ht="12.75" customHeight="1" s="244">
      <c r="A18" s="462">
        <f>'PETEK LİST'!A18</f>
        <v/>
      </c>
      <c r="B18" s="463">
        <f>'PETEK LİST'!B18</f>
        <v/>
      </c>
      <c r="C18" s="464">
        <f>'PETEK LİST'!C18</f>
        <v/>
      </c>
      <c r="D18" s="431">
        <f>'PETEK LİST'!D18</f>
        <v/>
      </c>
      <c r="E18" s="459" t="n">
        <v>35.48</v>
      </c>
      <c r="F18" s="460">
        <f>D18/E18</f>
        <v/>
      </c>
      <c r="G18" s="460">
        <f>76.263-0.539*F18</f>
        <v/>
      </c>
      <c r="H18" s="460">
        <f>D18/G18</f>
        <v/>
      </c>
      <c r="I18" s="456" t="n">
        <v>15</v>
      </c>
      <c r="J18" s="428">
        <f>'PETEK LİST'!G18</f>
        <v/>
      </c>
      <c r="K18" s="460">
        <f>J18/80</f>
        <v/>
      </c>
      <c r="L18" s="456" t="n">
        <v>2</v>
      </c>
      <c r="M18" s="456" t="n">
        <v>17.5</v>
      </c>
      <c r="N18" s="461">
        <f>J18*M18</f>
        <v/>
      </c>
    </row>
    <row r="19" ht="12.75" customHeight="1" s="244">
      <c r="A19" s="462">
        <f>'PETEK LİST'!A19</f>
        <v/>
      </c>
      <c r="B19" s="463">
        <f>'PETEK LİST'!B19</f>
        <v/>
      </c>
      <c r="C19" s="464">
        <f>'PETEK LİST'!C19</f>
        <v/>
      </c>
      <c r="D19" s="431">
        <f>'PETEK LİST'!D19</f>
        <v/>
      </c>
      <c r="E19" s="459" t="n">
        <v>19.83</v>
      </c>
      <c r="F19" s="460">
        <f>D19/E19</f>
        <v/>
      </c>
      <c r="G19" s="460">
        <f>76.263-0.539*F19</f>
        <v/>
      </c>
      <c r="H19" s="460">
        <f>D19/G19</f>
        <v/>
      </c>
      <c r="I19" s="456" t="n">
        <v>15</v>
      </c>
      <c r="J19" s="428">
        <f>'PETEK LİST'!G19</f>
        <v/>
      </c>
      <c r="K19" s="460">
        <f>J19/80</f>
        <v/>
      </c>
      <c r="L19" s="456" t="n">
        <v>2</v>
      </c>
      <c r="M19" s="456" t="n">
        <v>17.5</v>
      </c>
      <c r="N19" s="461">
        <f>J19*M19</f>
        <v/>
      </c>
    </row>
    <row r="20" ht="12.75" customHeight="1" s="244">
      <c r="A20" s="462">
        <f>'PETEK LİST'!A20</f>
        <v/>
      </c>
      <c r="B20" s="463">
        <f>'PETEK LİST'!B20</f>
        <v/>
      </c>
      <c r="C20" s="464">
        <f>'PETEK LİST'!C20</f>
        <v/>
      </c>
      <c r="D20" s="431">
        <f>'PETEK LİST'!D20</f>
        <v/>
      </c>
      <c r="E20" s="459" t="n">
        <v>2.85</v>
      </c>
      <c r="F20" s="460">
        <f>D20/E20</f>
        <v/>
      </c>
      <c r="G20" s="460">
        <f>76.263-0.539*F20</f>
        <v/>
      </c>
      <c r="H20" s="460">
        <f>D20/G20</f>
        <v/>
      </c>
      <c r="I20" s="456" t="n">
        <v>15</v>
      </c>
      <c r="J20" s="428">
        <f>'PETEK LİST'!G20</f>
        <v/>
      </c>
      <c r="K20" s="460">
        <f>J20/80</f>
        <v/>
      </c>
      <c r="L20" s="456" t="n">
        <v>1</v>
      </c>
      <c r="M20" s="456" t="n">
        <v>17.5</v>
      </c>
      <c r="N20" s="461">
        <f>J20*M20</f>
        <v/>
      </c>
    </row>
    <row r="21" ht="12.75" customHeight="1" s="244">
      <c r="A21" s="462">
        <f>'PETEK LİST'!A21</f>
        <v/>
      </c>
      <c r="B21" s="463">
        <f>'PETEK LİST'!B21</f>
        <v/>
      </c>
      <c r="C21" s="464">
        <f>'PETEK LİST'!C21</f>
        <v/>
      </c>
      <c r="D21" s="431">
        <f>'PETEK LİST'!D21</f>
        <v/>
      </c>
      <c r="E21" s="459" t="n">
        <v>4.55</v>
      </c>
      <c r="F21" s="460">
        <f>D21/E21</f>
        <v/>
      </c>
      <c r="G21" s="460">
        <f>76.263-0.539*F21</f>
        <v/>
      </c>
      <c r="H21" s="460">
        <f>D21/G21</f>
        <v/>
      </c>
      <c r="I21" s="456" t="n">
        <v>15</v>
      </c>
      <c r="J21" s="428">
        <f>'PETEK LİST'!G21</f>
        <v/>
      </c>
      <c r="K21" s="460">
        <f>J21/80</f>
        <v/>
      </c>
      <c r="L21" s="456" t="n">
        <v>1</v>
      </c>
      <c r="M21" s="456" t="n">
        <v>17.5</v>
      </c>
      <c r="N21" s="461">
        <f>J21*M21</f>
        <v/>
      </c>
    </row>
    <row r="22" ht="12.75" customHeight="1" s="244">
      <c r="A22" s="462">
        <f>'PETEK LİST'!A22</f>
        <v/>
      </c>
      <c r="B22" s="463">
        <f>'PETEK LİST'!B22</f>
        <v/>
      </c>
      <c r="C22" s="464">
        <f>'PETEK LİST'!C22</f>
        <v/>
      </c>
      <c r="D22" s="431">
        <f>'PETEK LİST'!D22</f>
        <v/>
      </c>
      <c r="E22" s="459" t="n">
        <v>63.64</v>
      </c>
      <c r="F22" s="460">
        <f>D22/E22</f>
        <v/>
      </c>
      <c r="G22" s="460">
        <f>76.263-0.539*F22</f>
        <v/>
      </c>
      <c r="H22" s="460">
        <f>D22/G22</f>
        <v/>
      </c>
      <c r="I22" s="456" t="n">
        <v>15</v>
      </c>
      <c r="J22" s="428">
        <f>'PETEK LİST'!G22</f>
        <v/>
      </c>
      <c r="K22" s="460">
        <f>J22/80</f>
        <v/>
      </c>
      <c r="L22" s="456" t="n">
        <v>3</v>
      </c>
      <c r="M22" s="456" t="n">
        <v>17.5</v>
      </c>
      <c r="N22" s="461">
        <f>J22*M22</f>
        <v/>
      </c>
    </row>
    <row r="23" ht="12.75" customHeight="1" s="244">
      <c r="A23" s="462">
        <f>'PETEK LİST'!A23</f>
        <v/>
      </c>
      <c r="B23" s="463">
        <f>'PETEK LİST'!B23</f>
        <v/>
      </c>
      <c r="C23" s="464">
        <f>'PETEK LİST'!C23</f>
        <v/>
      </c>
      <c r="D23" s="431">
        <f>'PETEK LİST'!D23</f>
        <v/>
      </c>
      <c r="E23" s="459" t="n">
        <v>24.82</v>
      </c>
      <c r="F23" s="460">
        <f>D23/E23</f>
        <v/>
      </c>
      <c r="G23" s="460">
        <f>76.263-0.539*F23</f>
        <v/>
      </c>
      <c r="H23" s="460">
        <f>D23/G23</f>
        <v/>
      </c>
      <c r="I23" s="456" t="n">
        <v>15</v>
      </c>
      <c r="J23" s="428">
        <f>'PETEK LİST'!G23</f>
        <v/>
      </c>
      <c r="K23" s="460">
        <f>J23/80</f>
        <v/>
      </c>
      <c r="L23" s="456" t="n">
        <v>2</v>
      </c>
      <c r="M23" s="456" t="n">
        <v>17.5</v>
      </c>
      <c r="N23" s="461">
        <f>J23*M23</f>
        <v/>
      </c>
    </row>
    <row r="24">
      <c r="A24" s="456">
        <f>'PETEK LİST'!A24</f>
        <v/>
      </c>
      <c r="B24" s="457">
        <f>'PETEK LİST'!B24</f>
        <v/>
      </c>
      <c r="C24" s="458">
        <f>'PETEK LİST'!C24</f>
        <v/>
      </c>
      <c r="D24" s="436">
        <f>'PETEK LİST'!D24</f>
        <v/>
      </c>
      <c r="E24" s="459" t="n">
        <v>35.03</v>
      </c>
      <c r="F24" s="460">
        <f>D24/E24</f>
        <v/>
      </c>
      <c r="G24" s="460">
        <f>76.263-0.539*F24</f>
        <v/>
      </c>
      <c r="H24" s="460">
        <f>D24/G24</f>
        <v/>
      </c>
      <c r="I24" s="456" t="n">
        <v>15</v>
      </c>
      <c r="J24" s="433">
        <f>'PETEK LİST'!G24</f>
        <v/>
      </c>
      <c r="K24" s="460">
        <f>J24/80</f>
        <v/>
      </c>
      <c r="L24" s="456" t="n">
        <v>2</v>
      </c>
      <c r="M24" s="456" t="n">
        <v>17.5</v>
      </c>
      <c r="N24" s="461">
        <f>J24*M24</f>
        <v/>
      </c>
    </row>
    <row r="25">
      <c r="A25" s="456">
        <f>'PETEK LİST'!A25</f>
        <v/>
      </c>
      <c r="B25" s="457">
        <f>'PETEK LİST'!B25</f>
        <v/>
      </c>
      <c r="C25" s="458">
        <f>'PETEK LİST'!C25</f>
        <v/>
      </c>
      <c r="D25" s="436">
        <f>'PETEK LİST'!D25</f>
        <v/>
      </c>
      <c r="E25" s="459" t="n">
        <v>34.99</v>
      </c>
      <c r="F25" s="460">
        <f>D25/E25</f>
        <v/>
      </c>
      <c r="G25" s="460">
        <f>76.263-0.539*F25</f>
        <v/>
      </c>
      <c r="H25" s="460">
        <f>D25/G25</f>
        <v/>
      </c>
      <c r="I25" s="456" t="n">
        <v>15</v>
      </c>
      <c r="J25" s="433">
        <f>'PETEK LİST'!G25</f>
        <v/>
      </c>
      <c r="K25" s="460">
        <f>J25/80</f>
        <v/>
      </c>
      <c r="L25" s="456" t="n">
        <v>3</v>
      </c>
      <c r="M25" s="456" t="n">
        <v>17.5</v>
      </c>
      <c r="N25" s="461">
        <f>J25*M25</f>
        <v/>
      </c>
    </row>
    <row r="26">
      <c r="A26" s="456">
        <f>'PETEK LİST'!A26</f>
        <v/>
      </c>
      <c r="B26" s="457">
        <f>'PETEK LİST'!B26</f>
        <v/>
      </c>
      <c r="C26" s="458">
        <f>'PETEK LİST'!C26</f>
        <v/>
      </c>
      <c r="D26" s="436">
        <f>'PETEK LİST'!D26</f>
        <v/>
      </c>
      <c r="E26" s="459" t="n">
        <v>27.2</v>
      </c>
      <c r="F26" s="460">
        <f>D26/E26</f>
        <v/>
      </c>
      <c r="G26" s="460">
        <f>76.263-0.539*F26</f>
        <v/>
      </c>
      <c r="H26" s="460">
        <f>D26/G26</f>
        <v/>
      </c>
      <c r="I26" s="456" t="n">
        <v>15</v>
      </c>
      <c r="J26" s="433">
        <f>'PETEK LİST'!G26</f>
        <v/>
      </c>
      <c r="K26" s="460">
        <f>J26/80</f>
        <v/>
      </c>
      <c r="L26" s="456" t="n">
        <v>2</v>
      </c>
      <c r="M26" s="456" t="n">
        <v>17.5</v>
      </c>
      <c r="N26" s="461">
        <f>J26*M26</f>
        <v/>
      </c>
    </row>
    <row r="27">
      <c r="A27" s="456">
        <f>'PETEK LİST'!A27</f>
        <v/>
      </c>
      <c r="B27" s="457">
        <f>'PETEK LİST'!B27</f>
        <v/>
      </c>
      <c r="C27" s="458">
        <f>'PETEK LİST'!C27</f>
        <v/>
      </c>
      <c r="D27" s="436">
        <f>'PETEK LİST'!D27</f>
        <v/>
      </c>
      <c r="E27" s="459" t="n">
        <v>5.8</v>
      </c>
      <c r="F27" s="460">
        <f>D27/E27</f>
        <v/>
      </c>
      <c r="G27" s="460">
        <f>76.263-0.539*F27</f>
        <v/>
      </c>
      <c r="H27" s="460">
        <f>D27/G27</f>
        <v/>
      </c>
      <c r="I27" s="456" t="n">
        <v>15</v>
      </c>
      <c r="J27" s="433">
        <f>'PETEK LİST'!G27</f>
        <v/>
      </c>
      <c r="K27" s="460">
        <f>J27/80</f>
        <v/>
      </c>
      <c r="L27" s="456" t="n">
        <v>0</v>
      </c>
      <c r="M27" s="456" t="n">
        <v>17.5</v>
      </c>
      <c r="N27" s="461">
        <f>J27*M27</f>
        <v/>
      </c>
    </row>
    <row r="28">
      <c r="A28" s="456">
        <f>'PETEK LİST'!A28</f>
        <v/>
      </c>
      <c r="B28" s="457">
        <f>'PETEK LİST'!B28</f>
        <v/>
      </c>
      <c r="C28" s="458">
        <f>'PETEK LİST'!C28</f>
        <v/>
      </c>
      <c r="D28" s="436">
        <f>'PETEK LİST'!D28</f>
        <v/>
      </c>
      <c r="E28" s="459" t="n">
        <v>2.02</v>
      </c>
      <c r="F28" s="460">
        <f>D28/E28</f>
        <v/>
      </c>
      <c r="G28" s="460">
        <f>76.263-0.539*F28</f>
        <v/>
      </c>
      <c r="H28" s="460">
        <f>D28/G28</f>
        <v/>
      </c>
      <c r="I28" s="456" t="n">
        <v>15</v>
      </c>
      <c r="J28" s="433">
        <f>'PETEK LİST'!G28</f>
        <v/>
      </c>
      <c r="K28" s="460">
        <f>J28/80</f>
        <v/>
      </c>
      <c r="L28" s="456" t="n">
        <v>1</v>
      </c>
      <c r="M28" s="456" t="n">
        <v>17.5</v>
      </c>
      <c r="N28" s="461">
        <f>J28*M28</f>
        <v/>
      </c>
    </row>
    <row r="29">
      <c r="A29" s="456">
        <f>'PETEK LİST'!A29</f>
        <v/>
      </c>
      <c r="B29" s="457">
        <f>'PETEK LİST'!B29</f>
        <v/>
      </c>
      <c r="C29" s="458">
        <f>'PETEK LİST'!C29</f>
        <v/>
      </c>
      <c r="D29" s="436">
        <f>'PETEK LİST'!D29</f>
        <v/>
      </c>
      <c r="E29" s="459" t="n">
        <v>35.28</v>
      </c>
      <c r="F29" s="460">
        <f>D29/E29</f>
        <v/>
      </c>
      <c r="G29" s="460">
        <f>76.263-0.539*F29</f>
        <v/>
      </c>
      <c r="H29" s="460">
        <f>D29/G29</f>
        <v/>
      </c>
      <c r="I29" s="456" t="n">
        <v>15</v>
      </c>
      <c r="J29" s="433">
        <f>'PETEK LİST'!G29</f>
        <v/>
      </c>
      <c r="K29" s="460">
        <f>J29/80</f>
        <v/>
      </c>
      <c r="L29" s="456" t="n">
        <v>3</v>
      </c>
      <c r="M29" s="456" t="n">
        <v>17.5</v>
      </c>
      <c r="N29" s="461">
        <f>J29*M29</f>
        <v/>
      </c>
    </row>
    <row r="30">
      <c r="A30" s="456">
        <f>'PETEK LİST'!A30</f>
        <v/>
      </c>
      <c r="B30" s="457">
        <f>'PETEK LİST'!B30</f>
        <v/>
      </c>
      <c r="C30" s="458">
        <f>'PETEK LİST'!C30</f>
        <v/>
      </c>
      <c r="D30" s="436">
        <f>'PETEK LİST'!D30</f>
        <v/>
      </c>
      <c r="E30" s="459" t="n">
        <v>2.4</v>
      </c>
      <c r="F30" s="460">
        <f>D30/E30</f>
        <v/>
      </c>
      <c r="G30" s="460">
        <f>76.263-0.539*F30</f>
        <v/>
      </c>
      <c r="H30" s="460">
        <f>D30/G30</f>
        <v/>
      </c>
      <c r="I30" s="456" t="n">
        <v>15</v>
      </c>
      <c r="J30" s="433">
        <f>'PETEK LİST'!G30</f>
        <v/>
      </c>
      <c r="K30" s="460">
        <f>J30/80</f>
        <v/>
      </c>
      <c r="L30" s="456" t="n">
        <v>0</v>
      </c>
      <c r="M30" s="456" t="n">
        <v>17.5</v>
      </c>
      <c r="N30" s="461">
        <f>J30*M30</f>
        <v/>
      </c>
    </row>
    <row r="31">
      <c r="A31" s="456">
        <f>'PETEK LİST'!A31</f>
        <v/>
      </c>
      <c r="B31" s="457">
        <f>'PETEK LİST'!B31</f>
        <v/>
      </c>
      <c r="C31" s="458">
        <f>'PETEK LİST'!C31</f>
        <v/>
      </c>
      <c r="D31" s="436">
        <f>'PETEK LİST'!D31</f>
        <v/>
      </c>
      <c r="E31" s="459" t="n">
        <v>26.93</v>
      </c>
      <c r="F31" s="460">
        <f>D31/E31</f>
        <v/>
      </c>
      <c r="G31" s="460">
        <f>76.263-0.539*F31</f>
        <v/>
      </c>
      <c r="H31" s="460">
        <f>D31/G31</f>
        <v/>
      </c>
      <c r="I31" s="456" t="n">
        <v>15</v>
      </c>
      <c r="J31" s="433">
        <f>'PETEK LİST'!G31</f>
        <v/>
      </c>
      <c r="K31" s="460">
        <f>J31/80</f>
        <v/>
      </c>
      <c r="L31" s="456" t="n">
        <v>2</v>
      </c>
      <c r="M31" s="456" t="n">
        <v>17.5</v>
      </c>
      <c r="N31" s="461">
        <f>J31*M31</f>
        <v/>
      </c>
    </row>
    <row r="32">
      <c r="A32" s="456">
        <f>'PETEK LİST'!A32</f>
        <v/>
      </c>
      <c r="B32" s="457">
        <f>'PETEK LİST'!B32</f>
        <v/>
      </c>
      <c r="C32" s="458">
        <f>'PETEK LİST'!C32</f>
        <v/>
      </c>
      <c r="D32" s="436">
        <f>'PETEK LİST'!D32</f>
        <v/>
      </c>
      <c r="E32" s="459" t="n">
        <v>2</v>
      </c>
      <c r="F32" s="460">
        <f>D32/E32</f>
        <v/>
      </c>
      <c r="G32" s="460">
        <f>76.263-0.539*F32</f>
        <v/>
      </c>
      <c r="H32" s="460">
        <f>D32/G32</f>
        <v/>
      </c>
      <c r="I32" s="456" t="n">
        <v>15</v>
      </c>
      <c r="J32" s="433">
        <f>'PETEK LİST'!G32</f>
        <v/>
      </c>
      <c r="K32" s="460">
        <f>J32/80</f>
        <v/>
      </c>
      <c r="L32" s="456" t="n">
        <v>1</v>
      </c>
      <c r="M32" s="456" t="n">
        <v>17.5</v>
      </c>
      <c r="N32" s="461">
        <f>J32*M32</f>
        <v/>
      </c>
    </row>
    <row r="33">
      <c r="A33" s="456">
        <f>'PETEK LİST'!A33</f>
        <v/>
      </c>
      <c r="B33" s="457">
        <f>'PETEK LİST'!B33</f>
        <v/>
      </c>
      <c r="C33" s="458">
        <f>'PETEK LİST'!C33</f>
        <v/>
      </c>
      <c r="D33" s="436">
        <f>'PETEK LİST'!D33</f>
        <v/>
      </c>
      <c r="E33" s="459" t="n">
        <v>35.27</v>
      </c>
      <c r="F33" s="460">
        <f>D33/E33</f>
        <v/>
      </c>
      <c r="G33" s="460">
        <f>76.263-0.539*F33</f>
        <v/>
      </c>
      <c r="H33" s="460">
        <f>D33/G33</f>
        <v/>
      </c>
      <c r="I33" s="456" t="n">
        <v>15</v>
      </c>
      <c r="J33" s="433">
        <f>'PETEK LİST'!G33</f>
        <v/>
      </c>
      <c r="K33" s="460">
        <f>J33/80</f>
        <v/>
      </c>
      <c r="L33" s="456" t="n">
        <v>3</v>
      </c>
      <c r="M33" s="456" t="n">
        <v>17.5</v>
      </c>
      <c r="N33" s="461">
        <f>J33*M33</f>
        <v/>
      </c>
    </row>
    <row r="34">
      <c r="A34" s="456">
        <f>'PETEK LİST'!A34</f>
        <v/>
      </c>
      <c r="B34" s="457">
        <f>'PETEK LİST'!B34</f>
        <v/>
      </c>
      <c r="C34" s="458">
        <f>'PETEK LİST'!C34</f>
        <v/>
      </c>
      <c r="D34" s="436">
        <f>'PETEK LİST'!D34</f>
        <v/>
      </c>
      <c r="E34" s="459" t="n">
        <v>26.24</v>
      </c>
      <c r="F34" s="460">
        <f>D34/E34</f>
        <v/>
      </c>
      <c r="G34" s="460">
        <f>76.263-0.539*F34</f>
        <v/>
      </c>
      <c r="H34" s="460">
        <f>D34/G34</f>
        <v/>
      </c>
      <c r="I34" s="456" t="n">
        <v>15</v>
      </c>
      <c r="J34" s="433">
        <f>'PETEK LİST'!G34</f>
        <v/>
      </c>
      <c r="K34" s="460">
        <f>J34/80</f>
        <v/>
      </c>
      <c r="L34" s="456" t="n">
        <v>2</v>
      </c>
      <c r="M34" s="456" t="n">
        <v>17.5</v>
      </c>
      <c r="N34" s="461">
        <f>J34*M34</f>
        <v/>
      </c>
    </row>
    <row r="35">
      <c r="A35" s="456">
        <f>'PETEK LİST'!A35</f>
        <v/>
      </c>
      <c r="B35" s="457">
        <f>'PETEK LİST'!B35</f>
        <v/>
      </c>
      <c r="C35" s="458">
        <f>'PETEK LİST'!C35</f>
        <v/>
      </c>
      <c r="D35" s="436">
        <f>'PETEK LİST'!D35</f>
        <v/>
      </c>
      <c r="E35" s="459" t="n">
        <v>5.8</v>
      </c>
      <c r="F35" s="460">
        <f>D35/E35</f>
        <v/>
      </c>
      <c r="G35" s="460">
        <f>76.263-0.539*F35</f>
        <v/>
      </c>
      <c r="H35" s="460">
        <f>D35/G35</f>
        <v/>
      </c>
      <c r="I35" s="456" t="n">
        <v>15</v>
      </c>
      <c r="J35" s="433">
        <f>'PETEK LİST'!G35</f>
        <v/>
      </c>
      <c r="K35" s="460">
        <f>J35/80</f>
        <v/>
      </c>
      <c r="L35" s="456" t="n">
        <v>0</v>
      </c>
      <c r="M35" s="456" t="n">
        <v>17.5</v>
      </c>
      <c r="N35" s="461">
        <f>J35*M35</f>
        <v/>
      </c>
    </row>
    <row r="36">
      <c r="A36" s="456">
        <f>'PETEK LİST'!A36</f>
        <v/>
      </c>
      <c r="B36" s="457">
        <f>'PETEK LİST'!B36</f>
        <v/>
      </c>
      <c r="C36" s="458">
        <f>'PETEK LİST'!C36</f>
        <v/>
      </c>
      <c r="D36" s="436">
        <f>'PETEK LİST'!D36</f>
        <v/>
      </c>
      <c r="E36" s="459" t="n">
        <v>2.09</v>
      </c>
      <c r="F36" s="460">
        <f>D36/E36</f>
        <v/>
      </c>
      <c r="G36" s="460">
        <f>76.263-0.539*F36</f>
        <v/>
      </c>
      <c r="H36" s="460">
        <f>D36/G36</f>
        <v/>
      </c>
      <c r="I36" s="456" t="n">
        <v>15</v>
      </c>
      <c r="J36" s="433">
        <f>'PETEK LİST'!G36</f>
        <v/>
      </c>
      <c r="K36" s="460">
        <f>J36/80</f>
        <v/>
      </c>
      <c r="L36" s="456" t="n">
        <v>1</v>
      </c>
      <c r="M36" s="456" t="n">
        <v>17.5</v>
      </c>
      <c r="N36" s="461">
        <f>J36*M36</f>
        <v/>
      </c>
    </row>
    <row r="37">
      <c r="A37" s="456">
        <f>'PETEK LİST'!A37</f>
        <v/>
      </c>
      <c r="B37" s="457">
        <f>'PETEK LİST'!B37</f>
        <v/>
      </c>
      <c r="C37" s="458">
        <f>'PETEK LİST'!C37</f>
        <v/>
      </c>
      <c r="D37" s="436">
        <f>'PETEK LİST'!D37</f>
        <v/>
      </c>
      <c r="E37" s="459" t="n">
        <v>25.3</v>
      </c>
      <c r="F37" s="460">
        <f>D37/E37</f>
        <v/>
      </c>
      <c r="G37" s="460">
        <f>76.263-0.539*F37</f>
        <v/>
      </c>
      <c r="H37" s="460">
        <f>D37/G37</f>
        <v/>
      </c>
      <c r="I37" s="456" t="n">
        <v>15</v>
      </c>
      <c r="J37" s="433">
        <f>'PETEK LİST'!G37</f>
        <v/>
      </c>
      <c r="K37" s="460">
        <f>J37/80</f>
        <v/>
      </c>
      <c r="L37" s="456" t="n">
        <v>2</v>
      </c>
      <c r="M37" s="456" t="n">
        <v>17.5</v>
      </c>
      <c r="N37" s="461">
        <f>J37*M37</f>
        <v/>
      </c>
    </row>
    <row r="38">
      <c r="A38" s="456">
        <f>'PETEK LİST'!A38</f>
        <v/>
      </c>
      <c r="B38" s="457">
        <f>'PETEK LİST'!B38</f>
        <v/>
      </c>
      <c r="C38" s="458">
        <f>'PETEK LİST'!C38</f>
        <v/>
      </c>
      <c r="D38" s="436">
        <f>'PETEK LİST'!D38</f>
        <v/>
      </c>
      <c r="E38" s="459" t="n">
        <v>28.37</v>
      </c>
      <c r="F38" s="460">
        <f>D38/E38</f>
        <v/>
      </c>
      <c r="G38" s="460">
        <f>76.263-0.539*F38</f>
        <v/>
      </c>
      <c r="H38" s="460">
        <f>D38/G38</f>
        <v/>
      </c>
      <c r="I38" s="456" t="n">
        <v>15</v>
      </c>
      <c r="J38" s="433">
        <f>'PETEK LİST'!G38</f>
        <v/>
      </c>
      <c r="K38" s="460">
        <f>J38/80</f>
        <v/>
      </c>
      <c r="L38" s="456" t="n">
        <v>2</v>
      </c>
      <c r="M38" s="456" t="n">
        <v>17.5</v>
      </c>
      <c r="N38" s="461">
        <f>J38*M38</f>
        <v/>
      </c>
    </row>
    <row r="39">
      <c r="A39" s="456">
        <f>'PETEK LİST'!A39</f>
        <v/>
      </c>
      <c r="B39" s="457">
        <f>'PETEK LİST'!B39</f>
        <v/>
      </c>
      <c r="C39" s="458">
        <f>'PETEK LİST'!C39</f>
        <v/>
      </c>
      <c r="D39" s="436">
        <f>'PETEK LİST'!D39</f>
        <v/>
      </c>
      <c r="E39" s="459" t="n">
        <v>5</v>
      </c>
      <c r="F39" s="460">
        <f>D39/E39</f>
        <v/>
      </c>
      <c r="G39" s="460">
        <f>76.263-0.539*F39</f>
        <v/>
      </c>
      <c r="H39" s="460">
        <f>D39/G39</f>
        <v/>
      </c>
      <c r="I39" s="456" t="n">
        <v>15</v>
      </c>
      <c r="J39" s="433">
        <f>'PETEK LİST'!G39</f>
        <v/>
      </c>
      <c r="K39" s="460">
        <f>J39/80</f>
        <v/>
      </c>
      <c r="L39" s="456" t="n">
        <v>0</v>
      </c>
      <c r="M39" s="456" t="n">
        <v>17.5</v>
      </c>
      <c r="N39" s="461">
        <f>J39*M39</f>
        <v/>
      </c>
    </row>
    <row r="40">
      <c r="A40" s="456">
        <f>'PETEK LİST'!A40</f>
        <v/>
      </c>
      <c r="B40" s="457">
        <f>'PETEK LİST'!B40</f>
        <v/>
      </c>
      <c r="C40" s="458">
        <f>'PETEK LİST'!C40</f>
        <v/>
      </c>
      <c r="D40" s="436">
        <f>'PETEK LİST'!D40</f>
        <v/>
      </c>
      <c r="E40" s="459" t="n">
        <v>3.21</v>
      </c>
      <c r="F40" s="460">
        <f>D40/E40</f>
        <v/>
      </c>
      <c r="G40" s="460">
        <f>76.263-0.539*F40</f>
        <v/>
      </c>
      <c r="H40" s="460">
        <f>D40/G40</f>
        <v/>
      </c>
      <c r="I40" s="456" t="n">
        <v>15</v>
      </c>
      <c r="J40" s="433">
        <f>'PETEK LİST'!G40</f>
        <v/>
      </c>
      <c r="K40" s="460">
        <f>J40/80</f>
        <v/>
      </c>
      <c r="L40" s="456" t="n">
        <v>2</v>
      </c>
      <c r="M40" s="456" t="n">
        <v>17.5</v>
      </c>
      <c r="N40" s="461">
        <f>J40*M40</f>
        <v/>
      </c>
    </row>
    <row r="41">
      <c r="A41" s="456">
        <f>'PETEK LİST'!A41</f>
        <v/>
      </c>
      <c r="B41" s="457">
        <f>'PETEK LİST'!B41</f>
        <v/>
      </c>
      <c r="C41" s="458">
        <f>'PETEK LİST'!C41</f>
        <v/>
      </c>
      <c r="D41" s="436">
        <f>'PETEK LİST'!D41</f>
        <v/>
      </c>
      <c r="E41" s="459" t="n">
        <v>43.61</v>
      </c>
      <c r="F41" s="460">
        <f>D41/E41</f>
        <v/>
      </c>
      <c r="G41" s="460">
        <f>76.263-0.539*F41</f>
        <v/>
      </c>
      <c r="H41" s="460">
        <f>D41/G41</f>
        <v/>
      </c>
      <c r="I41" s="456" t="n">
        <v>15</v>
      </c>
      <c r="J41" s="433">
        <f>'PETEK LİST'!G41</f>
        <v/>
      </c>
      <c r="K41" s="460">
        <f>J41/80</f>
        <v/>
      </c>
      <c r="L41" s="456" t="n">
        <v>3</v>
      </c>
      <c r="M41" s="456" t="n">
        <v>17.5</v>
      </c>
      <c r="N41" s="461">
        <f>J41*M41</f>
        <v/>
      </c>
    </row>
    <row r="42">
      <c r="A42" s="456">
        <f>'PETEK LİST'!A42</f>
        <v/>
      </c>
      <c r="B42" s="457">
        <f>'PETEK LİST'!B42</f>
        <v/>
      </c>
      <c r="C42" s="458">
        <f>'PETEK LİST'!C42</f>
        <v/>
      </c>
      <c r="D42" s="436">
        <f>'PETEK LİST'!D42</f>
        <v/>
      </c>
      <c r="E42" s="459" t="n">
        <v>33.66</v>
      </c>
      <c r="F42" s="460">
        <f>D42/E42</f>
        <v/>
      </c>
      <c r="G42" s="460">
        <f>76.263-0.539*F42</f>
        <v/>
      </c>
      <c r="H42" s="460">
        <f>D42/G42</f>
        <v/>
      </c>
      <c r="I42" s="456" t="n">
        <v>15</v>
      </c>
      <c r="J42" s="433">
        <f>'PETEK LİST'!G42</f>
        <v/>
      </c>
      <c r="K42" s="460">
        <f>J42/80</f>
        <v/>
      </c>
      <c r="L42" s="456" t="n">
        <v>2</v>
      </c>
      <c r="M42" s="456" t="n">
        <v>17.5</v>
      </c>
      <c r="N42" s="461">
        <f>J42*M42</f>
        <v/>
      </c>
    </row>
    <row r="43">
      <c r="A43" s="456">
        <f>'PETEK LİST'!A43</f>
        <v/>
      </c>
      <c r="B43" s="457">
        <f>'PETEK LİST'!B43</f>
        <v/>
      </c>
      <c r="C43" s="458">
        <f>'PETEK LİST'!C43</f>
        <v/>
      </c>
      <c r="D43" s="436">
        <f>'PETEK LİST'!D43</f>
        <v/>
      </c>
      <c r="E43" s="459" t="n">
        <v>2.11</v>
      </c>
      <c r="F43" s="460">
        <f>D43/E43</f>
        <v/>
      </c>
      <c r="G43" s="460">
        <f>76.263-0.539*F43</f>
        <v/>
      </c>
      <c r="H43" s="460">
        <f>D43/G43</f>
        <v/>
      </c>
      <c r="I43" s="456" t="n">
        <v>15</v>
      </c>
      <c r="J43" s="433">
        <f>'PETEK LİST'!G43</f>
        <v/>
      </c>
      <c r="K43" s="460">
        <f>J43/80</f>
        <v/>
      </c>
      <c r="L43" s="456" t="n">
        <v>1</v>
      </c>
      <c r="M43" s="456" t="n">
        <v>17.5</v>
      </c>
      <c r="N43" s="461">
        <f>J43*M43</f>
        <v/>
      </c>
    </row>
    <row r="44">
      <c r="A44" s="456">
        <f>'PETEK LİST'!A44</f>
        <v/>
      </c>
      <c r="B44" s="457">
        <f>'PETEK LİST'!B44</f>
        <v/>
      </c>
      <c r="C44" s="458">
        <f>'PETEK LİST'!C44</f>
        <v/>
      </c>
      <c r="D44" s="436">
        <f>'PETEK LİST'!D44</f>
        <v/>
      </c>
      <c r="E44" s="459" t="n">
        <v>3.2</v>
      </c>
      <c r="F44" s="460">
        <f>D44/E44</f>
        <v/>
      </c>
      <c r="G44" s="460">
        <f>76.263-0.539*F44</f>
        <v/>
      </c>
      <c r="H44" s="460">
        <f>D44/G44</f>
        <v/>
      </c>
      <c r="I44" s="456" t="n">
        <v>15</v>
      </c>
      <c r="J44" s="433">
        <f>'PETEK LİST'!G44</f>
        <v/>
      </c>
      <c r="K44" s="460">
        <f>J44/80</f>
        <v/>
      </c>
      <c r="L44" s="456" t="n">
        <v>0</v>
      </c>
      <c r="M44" s="456" t="n">
        <v>17.5</v>
      </c>
      <c r="N44" s="461">
        <f>J44*M44</f>
        <v/>
      </c>
    </row>
    <row r="45">
      <c r="A45" s="456">
        <f>'PETEK LİST'!A45</f>
        <v/>
      </c>
      <c r="B45" s="457">
        <f>'PETEK LİST'!B45</f>
        <v/>
      </c>
      <c r="C45" s="458">
        <f>'PETEK LİST'!C45</f>
        <v/>
      </c>
      <c r="D45" s="436">
        <f>'PETEK LİST'!D45</f>
        <v/>
      </c>
      <c r="E45" s="459" t="n">
        <v>21.74</v>
      </c>
      <c r="F45" s="460">
        <f>D45/E45</f>
        <v/>
      </c>
      <c r="G45" s="460">
        <f>76.263-0.539*F45</f>
        <v/>
      </c>
      <c r="H45" s="460">
        <f>D45/G45</f>
        <v/>
      </c>
      <c r="I45" s="456" t="n">
        <v>15</v>
      </c>
      <c r="J45" s="433">
        <f>'PETEK LİST'!G45</f>
        <v/>
      </c>
      <c r="K45" s="460">
        <f>J45/80</f>
        <v/>
      </c>
      <c r="L45" s="456" t="n">
        <v>2</v>
      </c>
      <c r="M45" s="456" t="n">
        <v>17.5</v>
      </c>
      <c r="N45" s="461">
        <f>J45*M45</f>
        <v/>
      </c>
    </row>
    <row r="46">
      <c r="A46" s="456">
        <f>'PETEK LİST'!A46</f>
        <v/>
      </c>
      <c r="B46" s="457">
        <f>'PETEK LİST'!B46</f>
        <v/>
      </c>
      <c r="C46" s="458">
        <f>'PETEK LİST'!C46</f>
        <v/>
      </c>
      <c r="D46" s="436">
        <f>'PETEK LİST'!D46</f>
        <v/>
      </c>
      <c r="E46" s="459" t="n">
        <v>32.57</v>
      </c>
      <c r="F46" s="460">
        <f>D46/E46</f>
        <v/>
      </c>
      <c r="G46" s="460">
        <f>76.263-0.539*F46</f>
        <v/>
      </c>
      <c r="H46" s="460">
        <f>D46/G46</f>
        <v/>
      </c>
      <c r="I46" s="456" t="n">
        <v>15</v>
      </c>
      <c r="J46" s="433">
        <f>'PETEK LİST'!G46</f>
        <v/>
      </c>
      <c r="K46" s="460">
        <f>J46/80</f>
        <v/>
      </c>
      <c r="L46" s="456" t="n">
        <v>2</v>
      </c>
      <c r="M46" s="456" t="n">
        <v>17.5</v>
      </c>
      <c r="N46" s="461">
        <f>J46*M46</f>
        <v/>
      </c>
    </row>
    <row r="47">
      <c r="A47" s="456">
        <f>'PETEK LİST'!A47</f>
        <v/>
      </c>
      <c r="B47" s="457">
        <f>'PETEK LİST'!B47</f>
        <v/>
      </c>
      <c r="C47" s="458">
        <f>'PETEK LİST'!C47</f>
        <v/>
      </c>
      <c r="D47" s="436">
        <f>'PETEK LİST'!D47</f>
        <v/>
      </c>
      <c r="E47" s="459" t="n">
        <v>2.36</v>
      </c>
      <c r="F47" s="460">
        <f>D47/E47</f>
        <v/>
      </c>
      <c r="G47" s="460">
        <f>76.263-0.539*F47</f>
        <v/>
      </c>
      <c r="H47" s="460">
        <f>D47/G47</f>
        <v/>
      </c>
      <c r="I47" s="456" t="n">
        <v>15</v>
      </c>
      <c r="J47" s="433">
        <f>'PETEK LİST'!G47</f>
        <v/>
      </c>
      <c r="K47" s="460">
        <f>J47/80</f>
        <v/>
      </c>
      <c r="L47" s="456" t="n">
        <v>1</v>
      </c>
      <c r="M47" s="456" t="n">
        <v>17.5</v>
      </c>
      <c r="N47" s="461">
        <f>J47*M47</f>
        <v/>
      </c>
    </row>
    <row r="48">
      <c r="A48" s="456">
        <f>'PETEK LİST'!A48</f>
        <v/>
      </c>
      <c r="B48" s="457">
        <f>'PETEK LİST'!B48</f>
        <v/>
      </c>
      <c r="C48" s="458">
        <f>'PETEK LİST'!C48</f>
        <v/>
      </c>
      <c r="D48" s="436">
        <f>'PETEK LİST'!D48</f>
        <v/>
      </c>
      <c r="E48" s="459" t="n">
        <v>1.84</v>
      </c>
      <c r="F48" s="460">
        <f>D48/E48</f>
        <v/>
      </c>
      <c r="G48" s="460">
        <f>76.263-0.539*F48</f>
        <v/>
      </c>
      <c r="H48" s="460">
        <f>D48/G48</f>
        <v/>
      </c>
      <c r="I48" s="456" t="n">
        <v>15</v>
      </c>
      <c r="J48" s="433">
        <f>'PETEK LİST'!G48</f>
        <v/>
      </c>
      <c r="K48" s="460">
        <f>J48/80</f>
        <v/>
      </c>
      <c r="L48" s="456" t="n">
        <v>1</v>
      </c>
      <c r="M48" s="456" t="n">
        <v>17.5</v>
      </c>
      <c r="N48" s="461">
        <f>J48*M48</f>
        <v/>
      </c>
    </row>
    <row r="49">
      <c r="A49" s="456">
        <f>'PETEK LİST'!A49</f>
        <v/>
      </c>
      <c r="B49" s="457">
        <f>'PETEK LİST'!B49</f>
        <v/>
      </c>
      <c r="C49" s="458">
        <f>'PETEK LİST'!C49</f>
        <v/>
      </c>
      <c r="D49" s="436">
        <f>'PETEK LİST'!D49</f>
        <v/>
      </c>
      <c r="E49" s="459" t="n">
        <v>104.71</v>
      </c>
      <c r="F49" s="460">
        <f>D49/E49</f>
        <v/>
      </c>
      <c r="G49" s="460">
        <f>76.263-0.539*F49</f>
        <v/>
      </c>
      <c r="H49" s="460">
        <f>D49/G49</f>
        <v/>
      </c>
      <c r="I49" s="456" t="n">
        <v>15</v>
      </c>
      <c r="J49" s="433">
        <f>'PETEK LİST'!G49</f>
        <v/>
      </c>
      <c r="K49" s="460">
        <f>J49/80</f>
        <v/>
      </c>
      <c r="L49" s="456" t="n">
        <v>4</v>
      </c>
      <c r="M49" s="456" t="n">
        <v>17.5</v>
      </c>
      <c r="N49" s="461">
        <f>J49*M49</f>
        <v/>
      </c>
    </row>
    <row r="50">
      <c r="A50" s="456">
        <f>'PETEK LİST'!A50</f>
        <v/>
      </c>
      <c r="B50" s="457">
        <f>'PETEK LİST'!B50</f>
        <v/>
      </c>
      <c r="C50" s="458">
        <f>'PETEK LİST'!C50</f>
        <v/>
      </c>
      <c r="D50" s="436">
        <f>'PETEK LİST'!D50</f>
        <v/>
      </c>
      <c r="E50" s="459" t="n">
        <v>24.52</v>
      </c>
      <c r="F50" s="460">
        <f>D50/E50</f>
        <v/>
      </c>
      <c r="G50" s="460">
        <f>76.263-0.539*F50</f>
        <v/>
      </c>
      <c r="H50" s="460">
        <f>D50/G50</f>
        <v/>
      </c>
      <c r="I50" s="456" t="n">
        <v>15</v>
      </c>
      <c r="J50" s="433">
        <f>'PETEK LİST'!G50</f>
        <v/>
      </c>
      <c r="K50" s="460">
        <f>J50/80</f>
        <v/>
      </c>
      <c r="L50" s="456" t="n">
        <v>2</v>
      </c>
      <c r="M50" s="456" t="n">
        <v>17.5</v>
      </c>
      <c r="N50" s="461">
        <f>J50*M50</f>
        <v/>
      </c>
    </row>
    <row r="51">
      <c r="A51" s="456">
        <f>'PETEK LİST'!A51</f>
        <v/>
      </c>
      <c r="B51" s="457">
        <f>'PETEK LİST'!B51</f>
        <v/>
      </c>
      <c r="C51" s="458">
        <f>'PETEK LİST'!C51</f>
        <v/>
      </c>
      <c r="D51" s="436">
        <f>'PETEK LİST'!D51</f>
        <v/>
      </c>
      <c r="E51" s="459" t="n">
        <v>2.04</v>
      </c>
      <c r="F51" s="460">
        <f>D51/E51</f>
        <v/>
      </c>
      <c r="G51" s="460">
        <f>76.263-0.539*F51</f>
        <v/>
      </c>
      <c r="H51" s="460">
        <f>D51/G51</f>
        <v/>
      </c>
      <c r="I51" s="456" t="n">
        <v>15</v>
      </c>
      <c r="J51" s="433">
        <f>'PETEK LİST'!G51</f>
        <v/>
      </c>
      <c r="K51" s="460">
        <f>J51/80</f>
        <v/>
      </c>
      <c r="L51" s="456" t="n">
        <v>1</v>
      </c>
      <c r="M51" s="456" t="n">
        <v>17.5</v>
      </c>
      <c r="N51" s="461">
        <f>J51*M51</f>
        <v/>
      </c>
    </row>
    <row r="52">
      <c r="A52" s="456">
        <f>'PETEK LİST'!A52</f>
        <v/>
      </c>
      <c r="B52" s="457">
        <f>'PETEK LİST'!B52</f>
        <v/>
      </c>
      <c r="C52" s="458">
        <f>'PETEK LİST'!C52</f>
        <v/>
      </c>
      <c r="D52" s="436">
        <f>'PETEK LİST'!D52</f>
        <v/>
      </c>
      <c r="E52" s="459" t="n">
        <v>1.63</v>
      </c>
      <c r="F52" s="460">
        <f>D52/E52</f>
        <v/>
      </c>
      <c r="G52" s="460">
        <f>76.263-0.539*F52</f>
        <v/>
      </c>
      <c r="H52" s="460">
        <f>D52/G52</f>
        <v/>
      </c>
      <c r="I52" s="456" t="n">
        <v>15</v>
      </c>
      <c r="J52" s="433">
        <f>'PETEK LİST'!G52</f>
        <v/>
      </c>
      <c r="K52" s="460">
        <f>J52/80</f>
        <v/>
      </c>
      <c r="L52" s="456" t="n">
        <v>1</v>
      </c>
      <c r="M52" s="456" t="n">
        <v>17.5</v>
      </c>
      <c r="N52" s="461">
        <f>J52*M52</f>
        <v/>
      </c>
    </row>
    <row r="53">
      <c r="A53" s="456">
        <f>'PETEK LİST'!A53</f>
        <v/>
      </c>
      <c r="B53" s="457">
        <f>'PETEK LİST'!B53</f>
        <v/>
      </c>
      <c r="C53" s="458">
        <f>'PETEK LİST'!C53</f>
        <v/>
      </c>
      <c r="D53" s="436">
        <f>'PETEK LİST'!D53</f>
        <v/>
      </c>
      <c r="E53" s="459" t="n">
        <v>28.07</v>
      </c>
      <c r="F53" s="460">
        <f>D53/E53</f>
        <v/>
      </c>
      <c r="G53" s="460">
        <f>76.263-0.539*F53</f>
        <v/>
      </c>
      <c r="H53" s="460">
        <f>D53/G53</f>
        <v/>
      </c>
      <c r="I53" s="456" t="n">
        <v>15</v>
      </c>
      <c r="J53" s="433">
        <f>'PETEK LİST'!G53</f>
        <v/>
      </c>
      <c r="K53" s="460">
        <f>J53/80</f>
        <v/>
      </c>
      <c r="L53" s="456" t="n">
        <v>2</v>
      </c>
      <c r="M53" s="456" t="n">
        <v>17.5</v>
      </c>
      <c r="N53" s="461">
        <f>J53*M53</f>
        <v/>
      </c>
    </row>
    <row r="54">
      <c r="A54" s="456">
        <f>'PETEK LİST'!A54</f>
        <v/>
      </c>
      <c r="B54" s="457">
        <f>'PETEK LİST'!B54</f>
        <v/>
      </c>
      <c r="C54" s="458">
        <f>'PETEK LİST'!C54</f>
        <v/>
      </c>
      <c r="D54" s="436">
        <f>'PETEK LİST'!D54</f>
        <v/>
      </c>
      <c r="E54" s="459" t="n">
        <v>39.43</v>
      </c>
      <c r="F54" s="460">
        <f>D54/E54</f>
        <v/>
      </c>
      <c r="G54" s="460">
        <f>76.263-0.539*F54</f>
        <v/>
      </c>
      <c r="H54" s="460">
        <f>D54/G54</f>
        <v/>
      </c>
      <c r="I54" s="456" t="n">
        <v>15</v>
      </c>
      <c r="J54" s="433">
        <f>'PETEK LİST'!G54</f>
        <v/>
      </c>
      <c r="K54" s="460">
        <f>J54/80</f>
        <v/>
      </c>
      <c r="L54" s="456" t="n">
        <v>3</v>
      </c>
      <c r="M54" s="456" t="n">
        <v>17.5</v>
      </c>
      <c r="N54" s="461">
        <f>J54*M54</f>
        <v/>
      </c>
    </row>
    <row r="55">
      <c r="A55" s="456">
        <f>'PETEK LİST'!A55</f>
        <v/>
      </c>
      <c r="B55" s="457">
        <f>'PETEK LİST'!B55</f>
        <v/>
      </c>
      <c r="C55" s="458">
        <f>'PETEK LİST'!C55</f>
        <v/>
      </c>
      <c r="D55" s="436">
        <f>'PETEK LİST'!D55</f>
        <v/>
      </c>
      <c r="E55" s="459" t="n">
        <v>2.04</v>
      </c>
      <c r="F55" s="460">
        <f>D55/E55</f>
        <v/>
      </c>
      <c r="G55" s="460">
        <f>76.263-0.539*F55</f>
        <v/>
      </c>
      <c r="H55" s="460">
        <f>D55/G55</f>
        <v/>
      </c>
      <c r="I55" s="456" t="n">
        <v>15</v>
      </c>
      <c r="J55" s="433">
        <f>'PETEK LİST'!G55</f>
        <v/>
      </c>
      <c r="K55" s="460">
        <f>J55/80</f>
        <v/>
      </c>
      <c r="L55" s="456" t="n">
        <v>1</v>
      </c>
      <c r="M55" s="456" t="n">
        <v>17.5</v>
      </c>
      <c r="N55" s="461">
        <f>J55*M55</f>
        <v/>
      </c>
    </row>
    <row r="56">
      <c r="A56" s="456">
        <f>'PETEK LİST'!A56</f>
        <v/>
      </c>
      <c r="B56" s="457">
        <f>'PETEK LİST'!B56</f>
        <v/>
      </c>
      <c r="C56" s="458">
        <f>'PETEK LİST'!C56</f>
        <v/>
      </c>
      <c r="D56" s="436">
        <f>'PETEK LİST'!D56</f>
        <v/>
      </c>
      <c r="E56" s="459" t="n">
        <v>3.2</v>
      </c>
      <c r="F56" s="460">
        <f>D56/E56</f>
        <v/>
      </c>
      <c r="G56" s="460">
        <f>76.263-0.539*F56</f>
        <v/>
      </c>
      <c r="H56" s="460">
        <f>D56/G56</f>
        <v/>
      </c>
      <c r="I56" s="456" t="n">
        <v>15</v>
      </c>
      <c r="J56" s="433">
        <f>'PETEK LİST'!G56</f>
        <v/>
      </c>
      <c r="K56" s="460">
        <f>J56/80</f>
        <v/>
      </c>
      <c r="L56" s="456" t="n">
        <v>0</v>
      </c>
      <c r="M56" s="456" t="n">
        <v>17.5</v>
      </c>
      <c r="N56" s="461">
        <f>J56*M56</f>
        <v/>
      </c>
    </row>
    <row r="57">
      <c r="A57" s="456">
        <f>'PETEK LİST'!A57</f>
        <v/>
      </c>
      <c r="B57" s="457">
        <f>'PETEK LİST'!B57</f>
        <v/>
      </c>
      <c r="C57" s="458">
        <f>'PETEK LİST'!C57</f>
        <v/>
      </c>
      <c r="D57" s="436">
        <f>'PETEK LİST'!D57</f>
        <v/>
      </c>
      <c r="E57" s="459" t="n">
        <v>26.77</v>
      </c>
      <c r="F57" s="460">
        <f>D57/E57</f>
        <v/>
      </c>
      <c r="G57" s="460">
        <f>76.263-0.539*F57</f>
        <v/>
      </c>
      <c r="H57" s="460">
        <f>D57/G57</f>
        <v/>
      </c>
      <c r="I57" s="456" t="n">
        <v>15</v>
      </c>
      <c r="J57" s="433">
        <f>'PETEK LİST'!G57</f>
        <v/>
      </c>
      <c r="K57" s="460">
        <f>J57/80</f>
        <v/>
      </c>
      <c r="L57" s="456" t="n">
        <v>2</v>
      </c>
      <c r="M57" s="456" t="n">
        <v>17.5</v>
      </c>
      <c r="N57" s="461">
        <f>J57*M57</f>
        <v/>
      </c>
    </row>
    <row r="58">
      <c r="A58" s="456">
        <f>'PETEK LİST'!A58</f>
        <v/>
      </c>
      <c r="B58" s="457">
        <f>'PETEK LİST'!B58</f>
        <v/>
      </c>
      <c r="C58" s="458">
        <f>'PETEK LİST'!C58</f>
        <v/>
      </c>
      <c r="D58" s="436">
        <f>'PETEK LİST'!D58</f>
        <v/>
      </c>
      <c r="E58" s="459" t="n">
        <v>2.09</v>
      </c>
      <c r="F58" s="460">
        <f>D58/E58</f>
        <v/>
      </c>
      <c r="G58" s="460">
        <f>76.263-0.539*F58</f>
        <v/>
      </c>
      <c r="H58" s="460">
        <f>D58/G58</f>
        <v/>
      </c>
      <c r="I58" s="456" t="n">
        <v>15</v>
      </c>
      <c r="J58" s="433">
        <f>'PETEK LİST'!G58</f>
        <v/>
      </c>
      <c r="K58" s="460">
        <f>J58/80</f>
        <v/>
      </c>
      <c r="L58" s="456" t="n">
        <v>1</v>
      </c>
      <c r="M58" s="456" t="n">
        <v>17.5</v>
      </c>
      <c r="N58" s="461">
        <f>J58*M58</f>
        <v/>
      </c>
    </row>
    <row r="59">
      <c r="A59" s="456">
        <f>'PETEK LİST'!A59</f>
        <v/>
      </c>
      <c r="B59" s="457">
        <f>'PETEK LİST'!B59</f>
        <v/>
      </c>
      <c r="C59" s="458">
        <f>'PETEK LİST'!C59</f>
        <v/>
      </c>
      <c r="D59" s="436">
        <f>'PETEK LİST'!D59</f>
        <v/>
      </c>
      <c r="E59" s="459" t="n">
        <v>1.63</v>
      </c>
      <c r="F59" s="460">
        <f>D59/E59</f>
        <v/>
      </c>
      <c r="G59" s="460">
        <f>76.263-0.539*F59</f>
        <v/>
      </c>
      <c r="H59" s="460">
        <f>D59/G59</f>
        <v/>
      </c>
      <c r="I59" s="456" t="n">
        <v>15</v>
      </c>
      <c r="J59" s="433">
        <f>'PETEK LİST'!G59</f>
        <v/>
      </c>
      <c r="K59" s="460">
        <f>J59/80</f>
        <v/>
      </c>
      <c r="L59" s="456" t="n">
        <v>1</v>
      </c>
      <c r="M59" s="456" t="n">
        <v>17.5</v>
      </c>
      <c r="N59" s="461">
        <f>J59*M59</f>
        <v/>
      </c>
    </row>
    <row r="60">
      <c r="A60" s="456">
        <f>'PETEK LİST'!A60</f>
        <v/>
      </c>
      <c r="B60" s="457">
        <f>'PETEK LİST'!B60</f>
        <v/>
      </c>
      <c r="C60" s="458">
        <f>'PETEK LİST'!C60</f>
        <v/>
      </c>
      <c r="D60" s="436">
        <f>'PETEK LİST'!D60</f>
        <v/>
      </c>
      <c r="E60" s="459" t="n">
        <v>50.21</v>
      </c>
      <c r="F60" s="460">
        <f>D60/E60</f>
        <v/>
      </c>
      <c r="G60" s="460">
        <f>76.263-0.539*F60</f>
        <v/>
      </c>
      <c r="H60" s="460">
        <f>D60/G60</f>
        <v/>
      </c>
      <c r="I60" s="456" t="n">
        <v>15</v>
      </c>
      <c r="J60" s="433">
        <f>'PETEK LİST'!G60</f>
        <v/>
      </c>
      <c r="K60" s="460">
        <f>J60/80</f>
        <v/>
      </c>
      <c r="L60" s="456" t="n">
        <v>3</v>
      </c>
      <c r="M60" s="456" t="n">
        <v>17.5</v>
      </c>
      <c r="N60" s="461">
        <f>J60*M60</f>
        <v/>
      </c>
    </row>
    <row r="61">
      <c r="A61" s="456">
        <f>'PETEK LİST'!A61</f>
        <v/>
      </c>
      <c r="B61" s="457">
        <f>'PETEK LİST'!B61</f>
        <v/>
      </c>
      <c r="C61" s="458">
        <f>'PETEK LİST'!C61</f>
        <v/>
      </c>
      <c r="D61" s="436">
        <f>'PETEK LİST'!D61</f>
        <v/>
      </c>
      <c r="E61" s="459" t="n">
        <v>143.54</v>
      </c>
      <c r="F61" s="460">
        <f>D61/E61</f>
        <v/>
      </c>
      <c r="G61" s="460">
        <f>76.263-0.539*F61</f>
        <v/>
      </c>
      <c r="H61" s="460">
        <f>D61/G61</f>
        <v/>
      </c>
      <c r="I61" s="456" t="n">
        <v>15</v>
      </c>
      <c r="J61" s="433">
        <f>'PETEK LİST'!G61</f>
        <v/>
      </c>
      <c r="K61" s="460">
        <f>J61/80</f>
        <v/>
      </c>
      <c r="L61" s="456" t="n">
        <v>4</v>
      </c>
      <c r="M61" s="456" t="n">
        <v>17.5</v>
      </c>
      <c r="N61" s="461">
        <f>J61*M61</f>
        <v/>
      </c>
    </row>
    <row r="62">
      <c r="A62" s="456">
        <f>'PETEK LİST'!A62</f>
        <v/>
      </c>
      <c r="B62" s="457">
        <f>'PETEK LİST'!B62</f>
        <v/>
      </c>
      <c r="C62" s="458">
        <f>'PETEK LİST'!C62</f>
        <v/>
      </c>
      <c r="D62" s="436">
        <f>'PETEK LİST'!D62</f>
        <v/>
      </c>
      <c r="E62" s="459" t="n">
        <v>11.8</v>
      </c>
      <c r="F62" s="460">
        <f>D62/E62</f>
        <v/>
      </c>
      <c r="G62" s="460">
        <f>76.263-0.539*F62</f>
        <v/>
      </c>
      <c r="H62" s="460">
        <f>D62/G62</f>
        <v/>
      </c>
      <c r="I62" s="456" t="n">
        <v>15</v>
      </c>
      <c r="J62" s="433">
        <f>'PETEK LİST'!G62</f>
        <v/>
      </c>
      <c r="K62" s="460">
        <f>J62/80</f>
        <v/>
      </c>
      <c r="L62" s="456" t="n">
        <v>1</v>
      </c>
      <c r="M62" s="456" t="n">
        <v>17.5</v>
      </c>
      <c r="N62" s="461">
        <f>J62*M62</f>
        <v/>
      </c>
    </row>
    <row r="63">
      <c r="A63" s="456">
        <f>'PETEK LİST'!A63</f>
        <v/>
      </c>
      <c r="B63" s="457">
        <f>'PETEK LİST'!B63</f>
        <v/>
      </c>
      <c r="C63" s="458">
        <f>'PETEK LİST'!C63</f>
        <v/>
      </c>
      <c r="D63" s="436">
        <f>'PETEK LİST'!D63</f>
        <v/>
      </c>
      <c r="E63" s="459" t="n">
        <v>7.02</v>
      </c>
      <c r="F63" s="460">
        <f>D63/E63</f>
        <v/>
      </c>
      <c r="G63" s="460">
        <f>76.263-0.539*F63</f>
        <v/>
      </c>
      <c r="H63" s="460">
        <f>D63/G63</f>
        <v/>
      </c>
      <c r="I63" s="456" t="n">
        <v>15</v>
      </c>
      <c r="J63" s="433">
        <f>'PETEK LİST'!G63</f>
        <v/>
      </c>
      <c r="K63" s="460">
        <f>J63/80</f>
        <v/>
      </c>
      <c r="L63" s="456" t="n">
        <v>1</v>
      </c>
      <c r="M63" s="456" t="n">
        <v>17.5</v>
      </c>
      <c r="N63" s="461">
        <f>J63*M63</f>
        <v/>
      </c>
    </row>
    <row r="64">
      <c r="A64" s="456">
        <f>'PETEK LİST'!A64</f>
        <v/>
      </c>
      <c r="B64" s="457">
        <f>'PETEK LİST'!B64</f>
        <v/>
      </c>
      <c r="C64" s="458">
        <f>'PETEK LİST'!C64</f>
        <v/>
      </c>
      <c r="D64" s="436">
        <f>'PETEK LİST'!D64</f>
        <v/>
      </c>
      <c r="E64" s="459" t="n">
        <v>3.32</v>
      </c>
      <c r="F64" s="460">
        <f>D64/E64</f>
        <v/>
      </c>
      <c r="G64" s="460">
        <f>76.263-0.539*F64</f>
        <v/>
      </c>
      <c r="H64" s="460">
        <f>D64/G64</f>
        <v/>
      </c>
      <c r="I64" s="456" t="n">
        <v>15</v>
      </c>
      <c r="J64" s="433">
        <f>'PETEK LİST'!G64</f>
        <v/>
      </c>
      <c r="K64" s="460">
        <f>J64/80</f>
        <v/>
      </c>
      <c r="L64" s="456" t="n">
        <v>1</v>
      </c>
      <c r="M64" s="456" t="n">
        <v>17.5</v>
      </c>
      <c r="N64" s="461">
        <f>J64*M64</f>
        <v/>
      </c>
    </row>
    <row r="65">
      <c r="A65" s="456">
        <f>'PETEK LİST'!A65</f>
        <v/>
      </c>
      <c r="B65" s="457">
        <f>'PETEK LİST'!B65</f>
        <v/>
      </c>
      <c r="C65" s="458">
        <f>'PETEK LİST'!C65</f>
        <v/>
      </c>
      <c r="D65" s="436">
        <f>'PETEK LİST'!D65</f>
        <v/>
      </c>
      <c r="E65" s="459" t="n">
        <v>3.19</v>
      </c>
      <c r="F65" s="460">
        <f>D65/E65</f>
        <v/>
      </c>
      <c r="G65" s="460">
        <f>76.263-0.539*F65</f>
        <v/>
      </c>
      <c r="H65" s="460">
        <f>D65/G65</f>
        <v/>
      </c>
      <c r="I65" s="456" t="n">
        <v>15</v>
      </c>
      <c r="J65" s="433">
        <f>'PETEK LİST'!G65</f>
        <v/>
      </c>
      <c r="K65" s="460">
        <f>J65/80</f>
        <v/>
      </c>
      <c r="L65" s="456" t="n">
        <v>1</v>
      </c>
      <c r="M65" s="456" t="n">
        <v>17.5</v>
      </c>
      <c r="N65" s="461">
        <f>J65*M65</f>
        <v/>
      </c>
    </row>
    <row r="66">
      <c r="A66" s="456">
        <f>'PETEK LİST'!A66</f>
        <v/>
      </c>
      <c r="B66" s="457">
        <f>'PETEK LİST'!B66</f>
        <v/>
      </c>
      <c r="C66" s="458">
        <f>'PETEK LİST'!C66</f>
        <v/>
      </c>
      <c r="D66" s="436">
        <f>'PETEK LİST'!D66</f>
        <v/>
      </c>
      <c r="E66" s="459" t="n">
        <v>162.86</v>
      </c>
      <c r="F66" s="460">
        <f>D66/E66</f>
        <v/>
      </c>
      <c r="G66" s="460">
        <f>76.263-0.539*F66</f>
        <v/>
      </c>
      <c r="H66" s="460">
        <f>D66/G66</f>
        <v/>
      </c>
      <c r="I66" s="456" t="n">
        <v>15</v>
      </c>
      <c r="J66" s="433">
        <f>'PETEK LİST'!G66</f>
        <v/>
      </c>
      <c r="K66" s="460">
        <f>J66/80</f>
        <v/>
      </c>
      <c r="L66" s="456" t="n">
        <v>4</v>
      </c>
      <c r="M66" s="456" t="n">
        <v>17.5</v>
      </c>
      <c r="N66" s="461">
        <f>J66*M66</f>
        <v/>
      </c>
    </row>
    <row r="67">
      <c r="A67" s="456">
        <f>'PETEK LİST'!A67</f>
        <v/>
      </c>
      <c r="B67" s="457">
        <f>'PETEK LİST'!B67</f>
        <v/>
      </c>
      <c r="C67" s="458">
        <f>'PETEK LİST'!C67</f>
        <v/>
      </c>
      <c r="D67" s="436">
        <f>'PETEK LİST'!D67</f>
        <v/>
      </c>
      <c r="E67" s="459" t="n">
        <v>22.25</v>
      </c>
      <c r="F67" s="460">
        <f>D67/E67</f>
        <v/>
      </c>
      <c r="G67" s="460">
        <f>76.263-0.539*F67</f>
        <v/>
      </c>
      <c r="H67" s="460">
        <f>D67/G67</f>
        <v/>
      </c>
      <c r="I67" s="456" t="n">
        <v>15</v>
      </c>
      <c r="J67" s="433">
        <f>'PETEK LİST'!G67</f>
        <v/>
      </c>
      <c r="K67" s="460">
        <f>J67/80</f>
        <v/>
      </c>
      <c r="L67" s="456" t="n">
        <v>2</v>
      </c>
      <c r="M67" s="456" t="n">
        <v>17.5</v>
      </c>
      <c r="N67" s="461">
        <f>J67*M67</f>
        <v/>
      </c>
    </row>
    <row r="68">
      <c r="A68" s="456">
        <f>'PETEK LİST'!A68</f>
        <v/>
      </c>
      <c r="B68" s="457">
        <f>'PETEK LİST'!B68</f>
        <v/>
      </c>
      <c r="C68" s="458">
        <f>'PETEK LİST'!C68</f>
        <v/>
      </c>
      <c r="D68" s="436">
        <f>'PETEK LİST'!D68</f>
        <v/>
      </c>
      <c r="E68" s="459" t="n">
        <v>2.94</v>
      </c>
      <c r="F68" s="460">
        <f>D68/E68</f>
        <v/>
      </c>
      <c r="G68" s="460">
        <f>76.263-0.539*F68</f>
        <v/>
      </c>
      <c r="H68" s="460">
        <f>D68/G68</f>
        <v/>
      </c>
      <c r="I68" s="456" t="n">
        <v>15</v>
      </c>
      <c r="J68" s="433">
        <f>'PETEK LİST'!G68</f>
        <v/>
      </c>
      <c r="K68" s="460">
        <f>J68/80</f>
        <v/>
      </c>
      <c r="L68" s="456" t="n">
        <v>1</v>
      </c>
      <c r="M68" s="456" t="n">
        <v>17.5</v>
      </c>
      <c r="N68" s="461">
        <f>J68*M68</f>
        <v/>
      </c>
    </row>
    <row r="69">
      <c r="A69" s="456">
        <f>'PETEK LİST'!A69</f>
        <v/>
      </c>
      <c r="B69" s="457">
        <f>'PETEK LİST'!B69</f>
        <v/>
      </c>
      <c r="C69" s="458">
        <f>'PETEK LİST'!C69</f>
        <v/>
      </c>
      <c r="D69" s="436">
        <f>'PETEK LİST'!D69</f>
        <v/>
      </c>
      <c r="E69" s="459" t="n">
        <v>17.84</v>
      </c>
      <c r="F69" s="460">
        <f>D69/E69</f>
        <v/>
      </c>
      <c r="G69" s="460">
        <f>76.263-0.539*F69</f>
        <v/>
      </c>
      <c r="H69" s="460">
        <f>D69/G69</f>
        <v/>
      </c>
      <c r="I69" s="456" t="n">
        <v>15</v>
      </c>
      <c r="J69" s="433">
        <f>'PETEK LİST'!G69</f>
        <v/>
      </c>
      <c r="K69" s="460">
        <f>J69/80</f>
        <v/>
      </c>
      <c r="L69" s="456" t="n">
        <v>2</v>
      </c>
      <c r="M69" s="456" t="n">
        <v>17.5</v>
      </c>
      <c r="N69" s="461">
        <f>J69*M69</f>
        <v/>
      </c>
    </row>
    <row r="70">
      <c r="A70" s="456">
        <f>'PETEK LİST'!A70</f>
        <v/>
      </c>
      <c r="B70" s="457">
        <f>'PETEK LİST'!B70</f>
        <v/>
      </c>
      <c r="C70" s="458">
        <f>'PETEK LİST'!C70</f>
        <v/>
      </c>
      <c r="D70" s="436">
        <f>'PETEK LİST'!D70</f>
        <v/>
      </c>
      <c r="E70" s="459" t="n">
        <v>2.32</v>
      </c>
      <c r="F70" s="460">
        <f>D70/E70</f>
        <v/>
      </c>
      <c r="G70" s="460">
        <f>76.263-0.539*F70</f>
        <v/>
      </c>
      <c r="H70" s="460">
        <f>D70/G70</f>
        <v/>
      </c>
      <c r="I70" s="456" t="n">
        <v>15</v>
      </c>
      <c r="J70" s="433">
        <f>'PETEK LİST'!G70</f>
        <v/>
      </c>
      <c r="K70" s="460">
        <f>J70/80</f>
        <v/>
      </c>
      <c r="L70" s="456" t="n">
        <v>1</v>
      </c>
      <c r="M70" s="456" t="n">
        <v>17.5</v>
      </c>
      <c r="N70" s="461">
        <f>J70*M70</f>
        <v/>
      </c>
    </row>
    <row r="71"/>
    <row r="72">
      <c r="A72" s="456">
        <f>'PETEK LİST'!A72</f>
        <v/>
      </c>
      <c r="B72" s="457">
        <f>'PETEK LİST'!B72</f>
        <v/>
      </c>
      <c r="C72" s="458">
        <f>'PETEK LİST'!C72</f>
        <v/>
      </c>
      <c r="D72" s="436">
        <f>'PETEK LİST'!D72</f>
        <v/>
      </c>
      <c r="E72" s="459" t="n">
        <v>2.85</v>
      </c>
      <c r="F72" s="460">
        <f>D72/E72</f>
        <v/>
      </c>
      <c r="G72" s="460">
        <f>76.263-0.539*F72</f>
        <v/>
      </c>
      <c r="H72" s="460">
        <f>D72/G72</f>
        <v/>
      </c>
      <c r="I72" s="456" t="n">
        <v>15</v>
      </c>
      <c r="J72" s="433">
        <f>'PETEK LİST'!G72</f>
        <v/>
      </c>
      <c r="K72" s="460">
        <f>J72/80</f>
        <v/>
      </c>
      <c r="L72" s="456" t="n">
        <v>1</v>
      </c>
      <c r="M72" s="456" t="n">
        <v>17.5</v>
      </c>
      <c r="N72" s="461">
        <f>J72*M72</f>
        <v/>
      </c>
    </row>
    <row r="73">
      <c r="A73" s="456">
        <f>'PETEK LİST'!A73</f>
        <v/>
      </c>
      <c r="B73" s="457">
        <f>'PETEK LİST'!B73</f>
        <v/>
      </c>
      <c r="C73" s="458">
        <f>'PETEK LİST'!C73</f>
        <v/>
      </c>
      <c r="D73" s="436">
        <f>'PETEK LİST'!D73</f>
        <v/>
      </c>
      <c r="E73" s="459" t="n">
        <v>4.54</v>
      </c>
      <c r="F73" s="460">
        <f>D73/E73</f>
        <v/>
      </c>
      <c r="G73" s="460">
        <f>76.263-0.539*F73</f>
        <v/>
      </c>
      <c r="H73" s="460">
        <f>D73/G73</f>
        <v/>
      </c>
      <c r="I73" s="456" t="n">
        <v>15</v>
      </c>
      <c r="J73" s="433">
        <f>'PETEK LİST'!G73</f>
        <v/>
      </c>
      <c r="K73" s="460">
        <f>J73/80</f>
        <v/>
      </c>
      <c r="L73" s="456" t="n">
        <v>1</v>
      </c>
      <c r="M73" s="456" t="n">
        <v>17.5</v>
      </c>
      <c r="N73" s="461">
        <f>J73*M73</f>
        <v/>
      </c>
    </row>
    <row r="74">
      <c r="A74" s="456">
        <f>'PETEK LİST'!A74</f>
        <v/>
      </c>
      <c r="B74" s="457">
        <f>'PETEK LİST'!B74</f>
        <v/>
      </c>
      <c r="C74" s="458">
        <f>'PETEK LİST'!C74</f>
        <v/>
      </c>
      <c r="D74" s="436">
        <f>'PETEK LİST'!D74</f>
        <v/>
      </c>
      <c r="E74" s="459" t="n">
        <v>65.56999999999999</v>
      </c>
      <c r="F74" s="460">
        <f>D74/E74</f>
        <v/>
      </c>
      <c r="G74" s="460">
        <f>76.263-0.539*F74</f>
        <v/>
      </c>
      <c r="H74" s="460">
        <f>D74/G74</f>
        <v/>
      </c>
      <c r="I74" s="456" t="n">
        <v>15</v>
      </c>
      <c r="J74" s="433">
        <f>'PETEK LİST'!G74</f>
        <v/>
      </c>
      <c r="K74" s="460">
        <f>J74/80</f>
        <v/>
      </c>
      <c r="L74" s="456" t="n">
        <v>3</v>
      </c>
      <c r="M74" s="456" t="n">
        <v>17.5</v>
      </c>
      <c r="N74" s="461">
        <f>J74*M74</f>
        <v/>
      </c>
    </row>
    <row r="75">
      <c r="A75" s="456">
        <f>'PETEK LİST'!A75</f>
        <v/>
      </c>
      <c r="B75" s="457">
        <f>'PETEK LİST'!B75</f>
        <v/>
      </c>
      <c r="C75" s="458">
        <f>'PETEK LİST'!C75</f>
        <v/>
      </c>
      <c r="D75" s="436">
        <f>'PETEK LİST'!D75</f>
        <v/>
      </c>
      <c r="E75" s="459" t="n">
        <v>22.28</v>
      </c>
      <c r="F75" s="460">
        <f>D75/E75</f>
        <v/>
      </c>
      <c r="G75" s="460">
        <f>76.263-0.539*F75</f>
        <v/>
      </c>
      <c r="H75" s="460">
        <f>D75/G75</f>
        <v/>
      </c>
      <c r="I75" s="456" t="n">
        <v>15</v>
      </c>
      <c r="J75" s="433">
        <f>'PETEK LİST'!G75</f>
        <v/>
      </c>
      <c r="K75" s="460">
        <f>J75/80</f>
        <v/>
      </c>
      <c r="L75" s="456" t="n">
        <v>2</v>
      </c>
      <c r="M75" s="456" t="n">
        <v>17.5</v>
      </c>
      <c r="N75" s="461">
        <f>J75*M75</f>
        <v/>
      </c>
    </row>
    <row r="76">
      <c r="A76" s="456">
        <f>'PETEK LİST'!A76</f>
        <v/>
      </c>
      <c r="B76" s="457">
        <f>'PETEK LİST'!B76</f>
        <v/>
      </c>
      <c r="C76" s="458">
        <f>'PETEK LİST'!C76</f>
        <v/>
      </c>
      <c r="D76" s="436">
        <f>'PETEK LİST'!D76</f>
        <v/>
      </c>
      <c r="E76" s="459" t="n">
        <v>34.78</v>
      </c>
      <c r="F76" s="460">
        <f>D76/E76</f>
        <v/>
      </c>
      <c r="G76" s="460">
        <f>76.263-0.539*F76</f>
        <v/>
      </c>
      <c r="H76" s="460">
        <f>D76/G76</f>
        <v/>
      </c>
      <c r="I76" s="456" t="n">
        <v>15</v>
      </c>
      <c r="J76" s="433">
        <f>'PETEK LİST'!G76</f>
        <v/>
      </c>
      <c r="K76" s="460">
        <f>J76/80</f>
        <v/>
      </c>
      <c r="L76" s="456" t="n">
        <v>2</v>
      </c>
      <c r="M76" s="456" t="n">
        <v>17.5</v>
      </c>
      <c r="N76" s="461">
        <f>J76*M76</f>
        <v/>
      </c>
    </row>
    <row r="77">
      <c r="A77" s="456">
        <f>'PETEK LİST'!A77</f>
        <v/>
      </c>
      <c r="B77" s="457">
        <f>'PETEK LİST'!B77</f>
        <v/>
      </c>
      <c r="C77" s="458">
        <f>'PETEK LİST'!C77</f>
        <v/>
      </c>
      <c r="D77" s="436">
        <f>'PETEK LİST'!D77</f>
        <v/>
      </c>
      <c r="E77" s="459" t="n">
        <v>5.24</v>
      </c>
      <c r="F77" s="460">
        <f>D77/E77</f>
        <v/>
      </c>
      <c r="G77" s="460">
        <f>76.263-0.539*F77</f>
        <v/>
      </c>
      <c r="H77" s="460">
        <f>D77/G77</f>
        <v/>
      </c>
      <c r="I77" s="456" t="n">
        <v>15</v>
      </c>
      <c r="J77" s="433">
        <f>'PETEK LİST'!G77</f>
        <v/>
      </c>
      <c r="K77" s="460">
        <f>J77/80</f>
        <v/>
      </c>
      <c r="L77" s="456" t="n">
        <v>1</v>
      </c>
      <c r="M77" s="456" t="n">
        <v>17.5</v>
      </c>
      <c r="N77" s="461">
        <f>J77*M77</f>
        <v/>
      </c>
    </row>
    <row r="78">
      <c r="A78" s="456">
        <f>'PETEK LİST'!A78</f>
        <v/>
      </c>
      <c r="B78" s="457">
        <f>'PETEK LİST'!B78</f>
        <v/>
      </c>
      <c r="C78" s="458">
        <f>'PETEK LİST'!C78</f>
        <v/>
      </c>
      <c r="D78" s="436">
        <f>'PETEK LİST'!D78</f>
        <v/>
      </c>
      <c r="E78" s="459" t="n">
        <v>3.43</v>
      </c>
      <c r="F78" s="460">
        <f>D78/E78</f>
        <v/>
      </c>
      <c r="G78" s="460">
        <f>76.263-0.539*F78</f>
        <v/>
      </c>
      <c r="H78" s="460">
        <f>D78/G78</f>
        <v/>
      </c>
      <c r="I78" s="456" t="n">
        <v>15</v>
      </c>
      <c r="J78" s="433">
        <f>'PETEK LİST'!G78</f>
        <v/>
      </c>
      <c r="K78" s="460">
        <f>J78/80</f>
        <v/>
      </c>
      <c r="L78" s="456" t="n">
        <v>1</v>
      </c>
      <c r="M78" s="456" t="n">
        <v>17.5</v>
      </c>
      <c r="N78" s="461">
        <f>J78*M78</f>
        <v/>
      </c>
    </row>
    <row r="79">
      <c r="A79" s="456">
        <f>'PETEK LİST'!A79</f>
        <v/>
      </c>
      <c r="B79" s="457">
        <f>'PETEK LİST'!B79</f>
        <v/>
      </c>
      <c r="C79" s="458">
        <f>'PETEK LİST'!C79</f>
        <v/>
      </c>
      <c r="D79" s="436">
        <f>'PETEK LİST'!D79</f>
        <v/>
      </c>
      <c r="E79" s="459" t="n">
        <v>66.48</v>
      </c>
      <c r="F79" s="460">
        <f>D79/E79</f>
        <v/>
      </c>
      <c r="G79" s="460">
        <f>76.263-0.539*F79</f>
        <v/>
      </c>
      <c r="H79" s="460">
        <f>D79/G79</f>
        <v/>
      </c>
      <c r="I79" s="456" t="n">
        <v>15</v>
      </c>
      <c r="J79" s="433">
        <f>'PETEK LİST'!G79</f>
        <v/>
      </c>
      <c r="K79" s="460">
        <f>J79/80</f>
        <v/>
      </c>
      <c r="L79" s="456" t="n">
        <v>3</v>
      </c>
      <c r="M79" s="456" t="n">
        <v>17.5</v>
      </c>
      <c r="N79" s="461">
        <f>J79*M79</f>
        <v/>
      </c>
    </row>
    <row r="80">
      <c r="A80" s="456">
        <f>'PETEK LİST'!A80</f>
        <v/>
      </c>
      <c r="B80" s="457">
        <f>'PETEK LİST'!B80</f>
        <v/>
      </c>
      <c r="C80" s="458">
        <f>'PETEK LİST'!C80</f>
        <v/>
      </c>
      <c r="D80" s="436">
        <f>'PETEK LİST'!D80</f>
        <v/>
      </c>
      <c r="E80" s="459" t="n">
        <v>35.48</v>
      </c>
      <c r="F80" s="460">
        <f>D80/E80</f>
        <v/>
      </c>
      <c r="G80" s="460">
        <f>76.263-0.539*F80</f>
        <v/>
      </c>
      <c r="H80" s="460">
        <f>D80/G80</f>
        <v/>
      </c>
      <c r="I80" s="456" t="n">
        <v>15</v>
      </c>
      <c r="J80" s="433">
        <f>'PETEK LİST'!G80</f>
        <v/>
      </c>
      <c r="K80" s="460">
        <f>J80/80</f>
        <v/>
      </c>
      <c r="L80" s="456" t="n">
        <v>2</v>
      </c>
      <c r="M80" s="456" t="n">
        <v>17.5</v>
      </c>
      <c r="N80" s="461">
        <f>J80*M80</f>
        <v/>
      </c>
    </row>
    <row r="81">
      <c r="A81" s="456">
        <f>'PETEK LİST'!A81</f>
        <v/>
      </c>
      <c r="B81" s="457">
        <f>'PETEK LİST'!B81</f>
        <v/>
      </c>
      <c r="C81" s="458">
        <f>'PETEK LİST'!C81</f>
        <v/>
      </c>
      <c r="D81" s="436">
        <f>'PETEK LİST'!D81</f>
        <v/>
      </c>
      <c r="E81" s="459" t="n">
        <v>19.83</v>
      </c>
      <c r="F81" s="460">
        <f>D81/E81</f>
        <v/>
      </c>
      <c r="G81" s="460">
        <f>76.263-0.539*F81</f>
        <v/>
      </c>
      <c r="H81" s="460">
        <f>D81/G81</f>
        <v/>
      </c>
      <c r="I81" s="456" t="n">
        <v>15</v>
      </c>
      <c r="J81" s="433">
        <f>'PETEK LİST'!G81</f>
        <v/>
      </c>
      <c r="K81" s="460">
        <f>J81/80</f>
        <v/>
      </c>
      <c r="L81" s="456" t="n">
        <v>2</v>
      </c>
      <c r="M81" s="456" t="n">
        <v>17.5</v>
      </c>
      <c r="N81" s="461">
        <f>J81*M81</f>
        <v/>
      </c>
    </row>
    <row r="82">
      <c r="A82" s="456">
        <f>'PETEK LİST'!A82</f>
        <v/>
      </c>
      <c r="B82" s="457">
        <f>'PETEK LİST'!B82</f>
        <v/>
      </c>
      <c r="C82" s="458">
        <f>'PETEK LİST'!C82</f>
        <v/>
      </c>
      <c r="D82" s="436">
        <f>'PETEK LİST'!D82</f>
        <v/>
      </c>
      <c r="E82" s="459" t="n">
        <v>2.85</v>
      </c>
      <c r="F82" s="460">
        <f>D82/E82</f>
        <v/>
      </c>
      <c r="G82" s="460">
        <f>76.263-0.539*F82</f>
        <v/>
      </c>
      <c r="H82" s="460">
        <f>D82/G82</f>
        <v/>
      </c>
      <c r="I82" s="456" t="n">
        <v>15</v>
      </c>
      <c r="J82" s="433">
        <f>'PETEK LİST'!G82</f>
        <v/>
      </c>
      <c r="K82" s="460">
        <f>J82/80</f>
        <v/>
      </c>
      <c r="L82" s="456" t="n">
        <v>1</v>
      </c>
      <c r="M82" s="456" t="n">
        <v>17.5</v>
      </c>
      <c r="N82" s="461">
        <f>J82*M82</f>
        <v/>
      </c>
    </row>
    <row r="83">
      <c r="A83" s="456">
        <f>'PETEK LİST'!A83</f>
        <v/>
      </c>
      <c r="B83" s="457">
        <f>'PETEK LİST'!B83</f>
        <v/>
      </c>
      <c r="C83" s="458">
        <f>'PETEK LİST'!C83</f>
        <v/>
      </c>
      <c r="D83" s="436">
        <f>'PETEK LİST'!D83</f>
        <v/>
      </c>
      <c r="E83" s="459" t="n">
        <v>4.55</v>
      </c>
      <c r="F83" s="460">
        <f>D83/E83</f>
        <v/>
      </c>
      <c r="G83" s="460">
        <f>76.263-0.539*F83</f>
        <v/>
      </c>
      <c r="H83" s="460">
        <f>D83/G83</f>
        <v/>
      </c>
      <c r="I83" s="456" t="n">
        <v>15</v>
      </c>
      <c r="J83" s="433">
        <f>'PETEK LİST'!G83</f>
        <v/>
      </c>
      <c r="K83" s="460">
        <f>J83/80</f>
        <v/>
      </c>
      <c r="L83" s="456" t="n">
        <v>1</v>
      </c>
      <c r="M83" s="456" t="n">
        <v>17.5</v>
      </c>
      <c r="N83" s="461">
        <f>J83*M83</f>
        <v/>
      </c>
    </row>
    <row r="84">
      <c r="A84" s="456">
        <f>'PETEK LİST'!A84</f>
        <v/>
      </c>
      <c r="B84" s="457">
        <f>'PETEK LİST'!B84</f>
        <v/>
      </c>
      <c r="C84" s="458">
        <f>'PETEK LİST'!C84</f>
        <v/>
      </c>
      <c r="D84" s="436">
        <f>'PETEK LİST'!D84</f>
        <v/>
      </c>
      <c r="E84" s="459" t="n">
        <v>63.64</v>
      </c>
      <c r="F84" s="460">
        <f>D84/E84</f>
        <v/>
      </c>
      <c r="G84" s="460">
        <f>76.263-0.539*F84</f>
        <v/>
      </c>
      <c r="H84" s="460">
        <f>D84/G84</f>
        <v/>
      </c>
      <c r="I84" s="456" t="n">
        <v>15</v>
      </c>
      <c r="J84" s="433">
        <f>'PETEK LİST'!G84</f>
        <v/>
      </c>
      <c r="K84" s="460">
        <f>J84/80</f>
        <v/>
      </c>
      <c r="L84" s="456" t="n">
        <v>3</v>
      </c>
      <c r="M84" s="456" t="n">
        <v>17.5</v>
      </c>
      <c r="N84" s="461">
        <f>J84*M84</f>
        <v/>
      </c>
    </row>
    <row r="85">
      <c r="A85" s="456">
        <f>'PETEK LİST'!A85</f>
        <v/>
      </c>
      <c r="B85" s="457">
        <f>'PETEK LİST'!B85</f>
        <v/>
      </c>
      <c r="C85" s="458">
        <f>'PETEK LİST'!C85</f>
        <v/>
      </c>
      <c r="D85" s="436">
        <f>'PETEK LİST'!D85</f>
        <v/>
      </c>
      <c r="E85" s="459" t="n">
        <v>24.82</v>
      </c>
      <c r="F85" s="460">
        <f>D85/E85</f>
        <v/>
      </c>
      <c r="G85" s="460">
        <f>76.263-0.539*F85</f>
        <v/>
      </c>
      <c r="H85" s="460">
        <f>D85/G85</f>
        <v/>
      </c>
      <c r="I85" s="456" t="n">
        <v>15</v>
      </c>
      <c r="J85" s="433">
        <f>'PETEK LİST'!G85</f>
        <v/>
      </c>
      <c r="K85" s="460">
        <f>J85/80</f>
        <v/>
      </c>
      <c r="L85" s="456" t="n">
        <v>2</v>
      </c>
      <c r="M85" s="456" t="n">
        <v>17.5</v>
      </c>
      <c r="N85" s="461">
        <f>J85*M85</f>
        <v/>
      </c>
    </row>
    <row r="86">
      <c r="A86" s="456">
        <f>'PETEK LİST'!A86</f>
        <v/>
      </c>
      <c r="B86" s="457">
        <f>'PETEK LİST'!B86</f>
        <v/>
      </c>
      <c r="C86" s="458">
        <f>'PETEK LİST'!C86</f>
        <v/>
      </c>
      <c r="D86" s="436">
        <f>'PETEK LİST'!D86</f>
        <v/>
      </c>
      <c r="E86" s="459" t="n">
        <v>35.03</v>
      </c>
      <c r="F86" s="460">
        <f>D86/E86</f>
        <v/>
      </c>
      <c r="G86" s="460">
        <f>76.263-0.539*F86</f>
        <v/>
      </c>
      <c r="H86" s="460">
        <f>D86/G86</f>
        <v/>
      </c>
      <c r="I86" s="456" t="n">
        <v>15</v>
      </c>
      <c r="J86" s="433">
        <f>'PETEK LİST'!G86</f>
        <v/>
      </c>
      <c r="K86" s="460">
        <f>J86/80</f>
        <v/>
      </c>
      <c r="L86" s="456" t="n">
        <v>2</v>
      </c>
      <c r="M86" s="456" t="n">
        <v>17.5</v>
      </c>
      <c r="N86" s="461">
        <f>J86*M86</f>
        <v/>
      </c>
    </row>
    <row r="87">
      <c r="A87" s="456">
        <f>'PETEK LİST'!A87</f>
        <v/>
      </c>
      <c r="B87" s="457">
        <f>'PETEK LİST'!B87</f>
        <v/>
      </c>
      <c r="C87" s="458">
        <f>'PETEK LİST'!C87</f>
        <v/>
      </c>
      <c r="D87" s="436">
        <f>'PETEK LİST'!D87</f>
        <v/>
      </c>
      <c r="E87" s="459" t="n">
        <v>34.99</v>
      </c>
      <c r="F87" s="460">
        <f>D87/E87</f>
        <v/>
      </c>
      <c r="G87" s="460">
        <f>76.263-0.539*F87</f>
        <v/>
      </c>
      <c r="H87" s="460">
        <f>D87/G87</f>
        <v/>
      </c>
      <c r="I87" s="456" t="n">
        <v>15</v>
      </c>
      <c r="J87" s="433">
        <f>'PETEK LİST'!G87</f>
        <v/>
      </c>
      <c r="K87" s="460">
        <f>J87/80</f>
        <v/>
      </c>
      <c r="L87" s="456" t="n">
        <v>3</v>
      </c>
      <c r="M87" s="456" t="n">
        <v>17.5</v>
      </c>
      <c r="N87" s="461">
        <f>J87*M87</f>
        <v/>
      </c>
    </row>
    <row r="88">
      <c r="A88" s="456">
        <f>'PETEK LİST'!A88</f>
        <v/>
      </c>
      <c r="B88" s="457">
        <f>'PETEK LİST'!B88</f>
        <v/>
      </c>
      <c r="C88" s="458">
        <f>'PETEK LİST'!C88</f>
        <v/>
      </c>
      <c r="D88" s="436">
        <f>'PETEK LİST'!D88</f>
        <v/>
      </c>
      <c r="E88" s="459" t="n">
        <v>27.2</v>
      </c>
      <c r="F88" s="460">
        <f>D88/E88</f>
        <v/>
      </c>
      <c r="G88" s="460">
        <f>76.263-0.539*F88</f>
        <v/>
      </c>
      <c r="H88" s="460">
        <f>D88/G88</f>
        <v/>
      </c>
      <c r="I88" s="456" t="n">
        <v>15</v>
      </c>
      <c r="J88" s="433">
        <f>'PETEK LİST'!G88</f>
        <v/>
      </c>
      <c r="K88" s="460">
        <f>J88/80</f>
        <v/>
      </c>
      <c r="L88" s="456" t="n">
        <v>2</v>
      </c>
      <c r="M88" s="456" t="n">
        <v>17.5</v>
      </c>
      <c r="N88" s="461">
        <f>J88*M88</f>
        <v/>
      </c>
    </row>
    <row r="89">
      <c r="A89" s="456">
        <f>'PETEK LİST'!A89</f>
        <v/>
      </c>
      <c r="B89" s="457">
        <f>'PETEK LİST'!B89</f>
        <v/>
      </c>
      <c r="C89" s="458">
        <f>'PETEK LİST'!C89</f>
        <v/>
      </c>
      <c r="D89" s="436">
        <f>'PETEK LİST'!D89</f>
        <v/>
      </c>
      <c r="E89" s="459" t="n">
        <v>5.8</v>
      </c>
      <c r="F89" s="460">
        <f>D89/E89</f>
        <v/>
      </c>
      <c r="G89" s="460">
        <f>76.263-0.539*F89</f>
        <v/>
      </c>
      <c r="H89" s="460">
        <f>D89/G89</f>
        <v/>
      </c>
      <c r="I89" s="456" t="n">
        <v>15</v>
      </c>
      <c r="J89" s="433">
        <f>'PETEK LİST'!G89</f>
        <v/>
      </c>
      <c r="K89" s="460">
        <f>J89/80</f>
        <v/>
      </c>
      <c r="L89" s="456" t="n">
        <v>0</v>
      </c>
      <c r="M89" s="456" t="n">
        <v>17.5</v>
      </c>
      <c r="N89" s="461">
        <f>J89*M89</f>
        <v/>
      </c>
    </row>
    <row r="90">
      <c r="A90" s="456">
        <f>'PETEK LİST'!A90</f>
        <v/>
      </c>
      <c r="B90" s="457">
        <f>'PETEK LİST'!B90</f>
        <v/>
      </c>
      <c r="C90" s="458">
        <f>'PETEK LİST'!C90</f>
        <v/>
      </c>
      <c r="D90" s="436">
        <f>'PETEK LİST'!D90</f>
        <v/>
      </c>
      <c r="E90" s="459" t="n">
        <v>2.02</v>
      </c>
      <c r="F90" s="460">
        <f>D90/E90</f>
        <v/>
      </c>
      <c r="G90" s="460">
        <f>76.263-0.539*F90</f>
        <v/>
      </c>
      <c r="H90" s="460">
        <f>D90/G90</f>
        <v/>
      </c>
      <c r="I90" s="456" t="n">
        <v>15</v>
      </c>
      <c r="J90" s="433">
        <f>'PETEK LİST'!G90</f>
        <v/>
      </c>
      <c r="K90" s="460">
        <f>J90/80</f>
        <v/>
      </c>
      <c r="L90" s="456" t="n">
        <v>1</v>
      </c>
      <c r="M90" s="456" t="n">
        <v>17.5</v>
      </c>
      <c r="N90" s="461">
        <f>J90*M90</f>
        <v/>
      </c>
    </row>
    <row r="91">
      <c r="A91" s="456">
        <f>'PETEK LİST'!A91</f>
        <v/>
      </c>
      <c r="B91" s="457">
        <f>'PETEK LİST'!B91</f>
        <v/>
      </c>
      <c r="C91" s="458">
        <f>'PETEK LİST'!C91</f>
        <v/>
      </c>
      <c r="D91" s="436">
        <f>'PETEK LİST'!D91</f>
        <v/>
      </c>
      <c r="E91" s="459" t="n">
        <v>35.28</v>
      </c>
      <c r="F91" s="460">
        <f>D91/E91</f>
        <v/>
      </c>
      <c r="G91" s="460">
        <f>76.263-0.539*F91</f>
        <v/>
      </c>
      <c r="H91" s="460">
        <f>D91/G91</f>
        <v/>
      </c>
      <c r="I91" s="456" t="n">
        <v>15</v>
      </c>
      <c r="J91" s="433">
        <f>'PETEK LİST'!G91</f>
        <v/>
      </c>
      <c r="K91" s="460">
        <f>J91/80</f>
        <v/>
      </c>
      <c r="L91" s="456" t="n">
        <v>3</v>
      </c>
      <c r="M91" s="456" t="n">
        <v>17.5</v>
      </c>
      <c r="N91" s="461">
        <f>J91*M91</f>
        <v/>
      </c>
    </row>
    <row r="92">
      <c r="A92" s="456">
        <f>'PETEK LİST'!A92</f>
        <v/>
      </c>
      <c r="B92" s="457">
        <f>'PETEK LİST'!B92</f>
        <v/>
      </c>
      <c r="C92" s="458">
        <f>'PETEK LİST'!C92</f>
        <v/>
      </c>
      <c r="D92" s="436">
        <f>'PETEK LİST'!D92</f>
        <v/>
      </c>
      <c r="E92" s="459" t="n">
        <v>2.4</v>
      </c>
      <c r="F92" s="460">
        <f>D92/E92</f>
        <v/>
      </c>
      <c r="G92" s="460">
        <f>76.263-0.539*F92</f>
        <v/>
      </c>
      <c r="H92" s="460">
        <f>D92/G92</f>
        <v/>
      </c>
      <c r="I92" s="456" t="n">
        <v>15</v>
      </c>
      <c r="J92" s="433">
        <f>'PETEK LİST'!G92</f>
        <v/>
      </c>
      <c r="K92" s="460">
        <f>J92/80</f>
        <v/>
      </c>
      <c r="L92" s="456" t="n">
        <v>0</v>
      </c>
      <c r="M92" s="456" t="n">
        <v>17.5</v>
      </c>
      <c r="N92" s="461">
        <f>J92*M92</f>
        <v/>
      </c>
    </row>
    <row r="93">
      <c r="A93" s="456">
        <f>'PETEK LİST'!A93</f>
        <v/>
      </c>
      <c r="B93" s="457">
        <f>'PETEK LİST'!B93</f>
        <v/>
      </c>
      <c r="C93" s="458">
        <f>'PETEK LİST'!C93</f>
        <v/>
      </c>
      <c r="D93" s="436">
        <f>'PETEK LİST'!D93</f>
        <v/>
      </c>
      <c r="E93" s="459" t="n">
        <v>26.93</v>
      </c>
      <c r="F93" s="460">
        <f>D93/E93</f>
        <v/>
      </c>
      <c r="G93" s="460">
        <f>76.263-0.539*F93</f>
        <v/>
      </c>
      <c r="H93" s="460">
        <f>D93/G93</f>
        <v/>
      </c>
      <c r="I93" s="456" t="n">
        <v>15</v>
      </c>
      <c r="J93" s="433">
        <f>'PETEK LİST'!G93</f>
        <v/>
      </c>
      <c r="K93" s="460">
        <f>J93/80</f>
        <v/>
      </c>
      <c r="L93" s="456" t="n">
        <v>2</v>
      </c>
      <c r="M93" s="456" t="n">
        <v>17.5</v>
      </c>
      <c r="N93" s="461">
        <f>J93*M93</f>
        <v/>
      </c>
    </row>
    <row r="94">
      <c r="A94" s="456">
        <f>'PETEK LİST'!A94</f>
        <v/>
      </c>
      <c r="B94" s="457">
        <f>'PETEK LİST'!B94</f>
        <v/>
      </c>
      <c r="C94" s="458">
        <f>'PETEK LİST'!C94</f>
        <v/>
      </c>
      <c r="D94" s="436">
        <f>'PETEK LİST'!D94</f>
        <v/>
      </c>
      <c r="E94" s="459" t="n">
        <v>2</v>
      </c>
      <c r="F94" s="460">
        <f>D94/E94</f>
        <v/>
      </c>
      <c r="G94" s="460">
        <f>76.263-0.539*F94</f>
        <v/>
      </c>
      <c r="H94" s="460">
        <f>D94/G94</f>
        <v/>
      </c>
      <c r="I94" s="456" t="n">
        <v>15</v>
      </c>
      <c r="J94" s="433">
        <f>'PETEK LİST'!G94</f>
        <v/>
      </c>
      <c r="K94" s="460">
        <f>J94/80</f>
        <v/>
      </c>
      <c r="L94" s="456" t="n">
        <v>1</v>
      </c>
      <c r="M94" s="456" t="n">
        <v>17.5</v>
      </c>
      <c r="N94" s="461">
        <f>J94*M94</f>
        <v/>
      </c>
    </row>
    <row r="95">
      <c r="A95" s="456">
        <f>'PETEK LİST'!A95</f>
        <v/>
      </c>
      <c r="B95" s="457">
        <f>'PETEK LİST'!B95</f>
        <v/>
      </c>
      <c r="C95" s="458">
        <f>'PETEK LİST'!C95</f>
        <v/>
      </c>
      <c r="D95" s="436">
        <f>'PETEK LİST'!D95</f>
        <v/>
      </c>
      <c r="E95" s="459" t="n">
        <v>35.27</v>
      </c>
      <c r="F95" s="460">
        <f>D95/E95</f>
        <v/>
      </c>
      <c r="G95" s="460">
        <f>76.263-0.539*F95</f>
        <v/>
      </c>
      <c r="H95" s="460">
        <f>D95/G95</f>
        <v/>
      </c>
      <c r="I95" s="456" t="n">
        <v>15</v>
      </c>
      <c r="J95" s="433">
        <f>'PETEK LİST'!G95</f>
        <v/>
      </c>
      <c r="K95" s="460">
        <f>J95/80</f>
        <v/>
      </c>
      <c r="L95" s="456" t="n">
        <v>3</v>
      </c>
      <c r="M95" s="456" t="n">
        <v>17.5</v>
      </c>
      <c r="N95" s="461">
        <f>J95*M95</f>
        <v/>
      </c>
    </row>
    <row r="96">
      <c r="A96" s="456">
        <f>'PETEK LİST'!A96</f>
        <v/>
      </c>
      <c r="B96" s="457">
        <f>'PETEK LİST'!B96</f>
        <v/>
      </c>
      <c r="C96" s="458">
        <f>'PETEK LİST'!C96</f>
        <v/>
      </c>
      <c r="D96" s="436">
        <f>'PETEK LİST'!D96</f>
        <v/>
      </c>
      <c r="E96" s="459" t="n">
        <v>26.24</v>
      </c>
      <c r="F96" s="460">
        <f>D96/E96</f>
        <v/>
      </c>
      <c r="G96" s="460">
        <f>76.263-0.539*F96</f>
        <v/>
      </c>
      <c r="H96" s="460">
        <f>D96/G96</f>
        <v/>
      </c>
      <c r="I96" s="456" t="n">
        <v>15</v>
      </c>
      <c r="J96" s="433">
        <f>'PETEK LİST'!G96</f>
        <v/>
      </c>
      <c r="K96" s="460">
        <f>J96/80</f>
        <v/>
      </c>
      <c r="L96" s="456" t="n">
        <v>2</v>
      </c>
      <c r="M96" s="456" t="n">
        <v>17.5</v>
      </c>
      <c r="N96" s="461">
        <f>J96*M96</f>
        <v/>
      </c>
    </row>
    <row r="97">
      <c r="A97" s="456">
        <f>'PETEK LİST'!A97</f>
        <v/>
      </c>
      <c r="B97" s="457">
        <f>'PETEK LİST'!B97</f>
        <v/>
      </c>
      <c r="C97" s="458">
        <f>'PETEK LİST'!C97</f>
        <v/>
      </c>
      <c r="D97" s="436">
        <f>'PETEK LİST'!D97</f>
        <v/>
      </c>
      <c r="E97" s="459" t="n">
        <v>5.8</v>
      </c>
      <c r="F97" s="460">
        <f>D97/E97</f>
        <v/>
      </c>
      <c r="G97" s="460">
        <f>76.263-0.539*F97</f>
        <v/>
      </c>
      <c r="H97" s="460">
        <f>D97/G97</f>
        <v/>
      </c>
      <c r="I97" s="456" t="n">
        <v>15</v>
      </c>
      <c r="J97" s="433">
        <f>'PETEK LİST'!G97</f>
        <v/>
      </c>
      <c r="K97" s="460">
        <f>J97/80</f>
        <v/>
      </c>
      <c r="L97" s="456" t="n">
        <v>0</v>
      </c>
      <c r="M97" s="456" t="n">
        <v>17.5</v>
      </c>
      <c r="N97" s="461">
        <f>J97*M97</f>
        <v/>
      </c>
    </row>
    <row r="98">
      <c r="A98" s="456">
        <f>'PETEK LİST'!A98</f>
        <v/>
      </c>
      <c r="B98" s="457">
        <f>'PETEK LİST'!B98</f>
        <v/>
      </c>
      <c r="C98" s="458">
        <f>'PETEK LİST'!C98</f>
        <v/>
      </c>
      <c r="D98" s="436">
        <f>'PETEK LİST'!D98</f>
        <v/>
      </c>
      <c r="E98" s="459" t="n">
        <v>2.09</v>
      </c>
      <c r="F98" s="460">
        <f>D98/E98</f>
        <v/>
      </c>
      <c r="G98" s="460">
        <f>76.263-0.539*F98</f>
        <v/>
      </c>
      <c r="H98" s="460">
        <f>D98/G98</f>
        <v/>
      </c>
      <c r="I98" s="456" t="n">
        <v>15</v>
      </c>
      <c r="J98" s="433">
        <f>'PETEK LİST'!G98</f>
        <v/>
      </c>
      <c r="K98" s="460">
        <f>J98/80</f>
        <v/>
      </c>
      <c r="L98" s="456" t="n">
        <v>1</v>
      </c>
      <c r="M98" s="456" t="n">
        <v>17.5</v>
      </c>
      <c r="N98" s="461">
        <f>J98*M98</f>
        <v/>
      </c>
    </row>
    <row r="99">
      <c r="A99" s="456">
        <f>'PETEK LİST'!A99</f>
        <v/>
      </c>
      <c r="B99" s="457">
        <f>'PETEK LİST'!B99</f>
        <v/>
      </c>
      <c r="C99" s="458">
        <f>'PETEK LİST'!C99</f>
        <v/>
      </c>
      <c r="D99" s="436">
        <f>'PETEK LİST'!D99</f>
        <v/>
      </c>
      <c r="E99" s="459" t="n">
        <v>25.3</v>
      </c>
      <c r="F99" s="460">
        <f>D99/E99</f>
        <v/>
      </c>
      <c r="G99" s="460">
        <f>76.263-0.539*F99</f>
        <v/>
      </c>
      <c r="H99" s="460">
        <f>D99/G99</f>
        <v/>
      </c>
      <c r="I99" s="456" t="n">
        <v>15</v>
      </c>
      <c r="J99" s="433">
        <f>'PETEK LİST'!G99</f>
        <v/>
      </c>
      <c r="K99" s="460">
        <f>J99/80</f>
        <v/>
      </c>
      <c r="L99" s="456" t="n">
        <v>2</v>
      </c>
      <c r="M99" s="456" t="n">
        <v>17.5</v>
      </c>
      <c r="N99" s="461">
        <f>J99*M99</f>
        <v/>
      </c>
    </row>
    <row r="100">
      <c r="A100" s="456">
        <f>'PETEK LİST'!A100</f>
        <v/>
      </c>
      <c r="B100" s="457">
        <f>'PETEK LİST'!B100</f>
        <v/>
      </c>
      <c r="C100" s="458">
        <f>'PETEK LİST'!C100</f>
        <v/>
      </c>
      <c r="D100" s="436">
        <f>'PETEK LİST'!D100</f>
        <v/>
      </c>
      <c r="E100" s="459" t="n">
        <v>28.37</v>
      </c>
      <c r="F100" s="460">
        <f>D100/E100</f>
        <v/>
      </c>
      <c r="G100" s="460">
        <f>76.263-0.539*F100</f>
        <v/>
      </c>
      <c r="H100" s="460">
        <f>D100/G100</f>
        <v/>
      </c>
      <c r="I100" s="456" t="n">
        <v>15</v>
      </c>
      <c r="J100" s="433">
        <f>'PETEK LİST'!G100</f>
        <v/>
      </c>
      <c r="K100" s="460">
        <f>J100/80</f>
        <v/>
      </c>
      <c r="L100" s="456" t="n">
        <v>2</v>
      </c>
      <c r="M100" s="456" t="n">
        <v>17.5</v>
      </c>
      <c r="N100" s="461">
        <f>J100*M100</f>
        <v/>
      </c>
    </row>
    <row r="101">
      <c r="A101" s="456">
        <f>'PETEK LİST'!A101</f>
        <v/>
      </c>
      <c r="B101" s="457">
        <f>'PETEK LİST'!B101</f>
        <v/>
      </c>
      <c r="C101" s="458">
        <f>'PETEK LİST'!C101</f>
        <v/>
      </c>
      <c r="D101" s="436">
        <f>'PETEK LİST'!D101</f>
        <v/>
      </c>
      <c r="E101" s="459" t="n">
        <v>5</v>
      </c>
      <c r="F101" s="460">
        <f>D101/E101</f>
        <v/>
      </c>
      <c r="G101" s="460">
        <f>76.263-0.539*F101</f>
        <v/>
      </c>
      <c r="H101" s="460">
        <f>D101/G101</f>
        <v/>
      </c>
      <c r="I101" s="456" t="n">
        <v>15</v>
      </c>
      <c r="J101" s="433">
        <f>'PETEK LİST'!G101</f>
        <v/>
      </c>
      <c r="K101" s="460">
        <f>J101/80</f>
        <v/>
      </c>
      <c r="L101" s="456" t="n">
        <v>0</v>
      </c>
      <c r="M101" s="456" t="n">
        <v>17.5</v>
      </c>
      <c r="N101" s="461">
        <f>J101*M101</f>
        <v/>
      </c>
    </row>
    <row r="102">
      <c r="A102" s="456">
        <f>'PETEK LİST'!A102</f>
        <v/>
      </c>
      <c r="B102" s="457">
        <f>'PETEK LİST'!B102</f>
        <v/>
      </c>
      <c r="C102" s="458">
        <f>'PETEK LİST'!C102</f>
        <v/>
      </c>
      <c r="D102" s="436">
        <f>'PETEK LİST'!D102</f>
        <v/>
      </c>
      <c r="E102" s="459" t="n">
        <v>3.21</v>
      </c>
      <c r="F102" s="460">
        <f>D102/E102</f>
        <v/>
      </c>
      <c r="G102" s="460">
        <f>76.263-0.539*F102</f>
        <v/>
      </c>
      <c r="H102" s="460">
        <f>D102/G102</f>
        <v/>
      </c>
      <c r="I102" s="456" t="n">
        <v>15</v>
      </c>
      <c r="J102" s="433">
        <f>'PETEK LİST'!G102</f>
        <v/>
      </c>
      <c r="K102" s="460">
        <f>J102/80</f>
        <v/>
      </c>
      <c r="L102" s="456" t="n">
        <v>2</v>
      </c>
      <c r="M102" s="456" t="n">
        <v>17.5</v>
      </c>
      <c r="N102" s="461">
        <f>J102*M102</f>
        <v/>
      </c>
    </row>
    <row r="103">
      <c r="A103" s="456">
        <f>'PETEK LİST'!A103</f>
        <v/>
      </c>
      <c r="B103" s="457">
        <f>'PETEK LİST'!B103</f>
        <v/>
      </c>
      <c r="C103" s="458">
        <f>'PETEK LİST'!C103</f>
        <v/>
      </c>
      <c r="D103" s="436">
        <f>'PETEK LİST'!D103</f>
        <v/>
      </c>
      <c r="E103" s="459" t="n">
        <v>43.61</v>
      </c>
      <c r="F103" s="460">
        <f>D103/E103</f>
        <v/>
      </c>
      <c r="G103" s="460">
        <f>76.263-0.539*F103</f>
        <v/>
      </c>
      <c r="H103" s="460">
        <f>D103/G103</f>
        <v/>
      </c>
      <c r="I103" s="456" t="n">
        <v>15</v>
      </c>
      <c r="J103" s="433">
        <f>'PETEK LİST'!G103</f>
        <v/>
      </c>
      <c r="K103" s="460">
        <f>J103/80</f>
        <v/>
      </c>
      <c r="L103" s="456" t="n">
        <v>3</v>
      </c>
      <c r="M103" s="456" t="n">
        <v>17.5</v>
      </c>
      <c r="N103" s="461">
        <f>J103*M103</f>
        <v/>
      </c>
    </row>
    <row r="104">
      <c r="A104" s="456">
        <f>'PETEK LİST'!A104</f>
        <v/>
      </c>
      <c r="B104" s="457">
        <f>'PETEK LİST'!B104</f>
        <v/>
      </c>
      <c r="C104" s="458">
        <f>'PETEK LİST'!C104</f>
        <v/>
      </c>
      <c r="D104" s="436">
        <f>'PETEK LİST'!D104</f>
        <v/>
      </c>
      <c r="E104" s="459" t="n">
        <v>33.66</v>
      </c>
      <c r="F104" s="460">
        <f>D104/E104</f>
        <v/>
      </c>
      <c r="G104" s="460">
        <f>76.263-0.539*F104</f>
        <v/>
      </c>
      <c r="H104" s="460">
        <f>D104/G104</f>
        <v/>
      </c>
      <c r="I104" s="456" t="n">
        <v>15</v>
      </c>
      <c r="J104" s="433">
        <f>'PETEK LİST'!G104</f>
        <v/>
      </c>
      <c r="K104" s="460">
        <f>J104/80</f>
        <v/>
      </c>
      <c r="L104" s="456" t="n">
        <v>2</v>
      </c>
      <c r="M104" s="456" t="n">
        <v>17.5</v>
      </c>
      <c r="N104" s="461">
        <f>J104*M104</f>
        <v/>
      </c>
    </row>
    <row r="105">
      <c r="A105" s="456">
        <f>'PETEK LİST'!A105</f>
        <v/>
      </c>
      <c r="B105" s="457">
        <f>'PETEK LİST'!B105</f>
        <v/>
      </c>
      <c r="C105" s="458">
        <f>'PETEK LİST'!C105</f>
        <v/>
      </c>
      <c r="D105" s="436">
        <f>'PETEK LİST'!D105</f>
        <v/>
      </c>
      <c r="E105" s="459" t="n">
        <v>2.11</v>
      </c>
      <c r="F105" s="460">
        <f>D105/E105</f>
        <v/>
      </c>
      <c r="G105" s="460">
        <f>76.263-0.539*F105</f>
        <v/>
      </c>
      <c r="H105" s="460">
        <f>D105/G105</f>
        <v/>
      </c>
      <c r="I105" s="456" t="n">
        <v>15</v>
      </c>
      <c r="J105" s="433">
        <f>'PETEK LİST'!G105</f>
        <v/>
      </c>
      <c r="K105" s="460">
        <f>J105/80</f>
        <v/>
      </c>
      <c r="L105" s="456" t="n">
        <v>1</v>
      </c>
      <c r="M105" s="456" t="n">
        <v>17.5</v>
      </c>
      <c r="N105" s="461">
        <f>J105*M105</f>
        <v/>
      </c>
    </row>
    <row r="106">
      <c r="A106" s="456">
        <f>'PETEK LİST'!A106</f>
        <v/>
      </c>
      <c r="B106" s="457">
        <f>'PETEK LİST'!B106</f>
        <v/>
      </c>
      <c r="C106" s="458">
        <f>'PETEK LİST'!C106</f>
        <v/>
      </c>
      <c r="D106" s="436">
        <f>'PETEK LİST'!D106</f>
        <v/>
      </c>
      <c r="E106" s="459" t="n">
        <v>3.2</v>
      </c>
      <c r="F106" s="460">
        <f>D106/E106</f>
        <v/>
      </c>
      <c r="G106" s="460">
        <f>76.263-0.539*F106</f>
        <v/>
      </c>
      <c r="H106" s="460">
        <f>D106/G106</f>
        <v/>
      </c>
      <c r="I106" s="456" t="n">
        <v>15</v>
      </c>
      <c r="J106" s="433">
        <f>'PETEK LİST'!G106</f>
        <v/>
      </c>
      <c r="K106" s="460">
        <f>J106/80</f>
        <v/>
      </c>
      <c r="L106" s="456" t="n">
        <v>0</v>
      </c>
      <c r="M106" s="456" t="n">
        <v>17.5</v>
      </c>
      <c r="N106" s="461">
        <f>J106*M106</f>
        <v/>
      </c>
    </row>
    <row r="107">
      <c r="A107" s="456">
        <f>'PETEK LİST'!A107</f>
        <v/>
      </c>
      <c r="B107" s="457">
        <f>'PETEK LİST'!B107</f>
        <v/>
      </c>
      <c r="C107" s="458">
        <f>'PETEK LİST'!C107</f>
        <v/>
      </c>
      <c r="D107" s="436">
        <f>'PETEK LİST'!D107</f>
        <v/>
      </c>
      <c r="E107" s="459" t="n">
        <v>21.74</v>
      </c>
      <c r="F107" s="460">
        <f>D107/E107</f>
        <v/>
      </c>
      <c r="G107" s="460">
        <f>76.263-0.539*F107</f>
        <v/>
      </c>
      <c r="H107" s="460">
        <f>D107/G107</f>
        <v/>
      </c>
      <c r="I107" s="456" t="n">
        <v>15</v>
      </c>
      <c r="J107" s="433">
        <f>'PETEK LİST'!G107</f>
        <v/>
      </c>
      <c r="K107" s="460">
        <f>J107/80</f>
        <v/>
      </c>
      <c r="L107" s="456" t="n">
        <v>2</v>
      </c>
      <c r="M107" s="456" t="n">
        <v>17.5</v>
      </c>
      <c r="N107" s="461">
        <f>J107*M107</f>
        <v/>
      </c>
    </row>
    <row r="108">
      <c r="A108" s="456">
        <f>'PETEK LİST'!A108</f>
        <v/>
      </c>
      <c r="B108" s="457">
        <f>'PETEK LİST'!B108</f>
        <v/>
      </c>
      <c r="C108" s="458">
        <f>'PETEK LİST'!C108</f>
        <v/>
      </c>
      <c r="D108" s="436">
        <f>'PETEK LİST'!D108</f>
        <v/>
      </c>
      <c r="E108" s="459" t="n">
        <v>32.57</v>
      </c>
      <c r="F108" s="460">
        <f>D108/E108</f>
        <v/>
      </c>
      <c r="G108" s="460">
        <f>76.263-0.539*F108</f>
        <v/>
      </c>
      <c r="H108" s="460">
        <f>D108/G108</f>
        <v/>
      </c>
      <c r="I108" s="456" t="n">
        <v>15</v>
      </c>
      <c r="J108" s="433">
        <f>'PETEK LİST'!G108</f>
        <v/>
      </c>
      <c r="K108" s="460">
        <f>J108/80</f>
        <v/>
      </c>
      <c r="L108" s="456" t="n">
        <v>2</v>
      </c>
      <c r="M108" s="456" t="n">
        <v>17.5</v>
      </c>
      <c r="N108" s="461">
        <f>J108*M108</f>
        <v/>
      </c>
    </row>
    <row r="109">
      <c r="A109" s="456">
        <f>'PETEK LİST'!A109</f>
        <v/>
      </c>
      <c r="B109" s="457">
        <f>'PETEK LİST'!B109</f>
        <v/>
      </c>
      <c r="C109" s="458">
        <f>'PETEK LİST'!C109</f>
        <v/>
      </c>
      <c r="D109" s="436">
        <f>'PETEK LİST'!D109</f>
        <v/>
      </c>
      <c r="E109" s="459" t="n">
        <v>2.36</v>
      </c>
      <c r="F109" s="460">
        <f>D109/E109</f>
        <v/>
      </c>
      <c r="G109" s="460">
        <f>76.263-0.539*F109</f>
        <v/>
      </c>
      <c r="H109" s="460">
        <f>D109/G109</f>
        <v/>
      </c>
      <c r="I109" s="456" t="n">
        <v>15</v>
      </c>
      <c r="J109" s="433">
        <f>'PETEK LİST'!G109</f>
        <v/>
      </c>
      <c r="K109" s="460">
        <f>J109/80</f>
        <v/>
      </c>
      <c r="L109" s="456" t="n">
        <v>1</v>
      </c>
      <c r="M109" s="456" t="n">
        <v>17.5</v>
      </c>
      <c r="N109" s="461">
        <f>J109*M109</f>
        <v/>
      </c>
    </row>
    <row r="110">
      <c r="A110" s="456">
        <f>'PETEK LİST'!A110</f>
        <v/>
      </c>
      <c r="B110" s="457">
        <f>'PETEK LİST'!B110</f>
        <v/>
      </c>
      <c r="C110" s="458">
        <f>'PETEK LİST'!C110</f>
        <v/>
      </c>
      <c r="D110" s="436">
        <f>'PETEK LİST'!D110</f>
        <v/>
      </c>
      <c r="E110" s="459" t="n">
        <v>1.84</v>
      </c>
      <c r="F110" s="460">
        <f>D110/E110</f>
        <v/>
      </c>
      <c r="G110" s="460">
        <f>76.263-0.539*F110</f>
        <v/>
      </c>
      <c r="H110" s="460">
        <f>D110/G110</f>
        <v/>
      </c>
      <c r="I110" s="456" t="n">
        <v>15</v>
      </c>
      <c r="J110" s="433">
        <f>'PETEK LİST'!G110</f>
        <v/>
      </c>
      <c r="K110" s="460">
        <f>J110/80</f>
        <v/>
      </c>
      <c r="L110" s="456" t="n">
        <v>1</v>
      </c>
      <c r="M110" s="456" t="n">
        <v>17.5</v>
      </c>
      <c r="N110" s="461">
        <f>J110*M110</f>
        <v/>
      </c>
    </row>
    <row r="111">
      <c r="A111" s="456">
        <f>'PETEK LİST'!A111</f>
        <v/>
      </c>
      <c r="B111" s="457">
        <f>'PETEK LİST'!B111</f>
        <v/>
      </c>
      <c r="C111" s="458">
        <f>'PETEK LİST'!C111</f>
        <v/>
      </c>
      <c r="D111" s="436">
        <f>'PETEK LİST'!D111</f>
        <v/>
      </c>
      <c r="E111" s="459" t="n">
        <v>104.71</v>
      </c>
      <c r="F111" s="460">
        <f>D111/E111</f>
        <v/>
      </c>
      <c r="G111" s="460">
        <f>76.263-0.539*F111</f>
        <v/>
      </c>
      <c r="H111" s="460">
        <f>D111/G111</f>
        <v/>
      </c>
      <c r="I111" s="456" t="n">
        <v>15</v>
      </c>
      <c r="J111" s="433">
        <f>'PETEK LİST'!G111</f>
        <v/>
      </c>
      <c r="K111" s="460">
        <f>J111/80</f>
        <v/>
      </c>
      <c r="L111" s="456" t="n">
        <v>4</v>
      </c>
      <c r="M111" s="456" t="n">
        <v>17.5</v>
      </c>
      <c r="N111" s="461">
        <f>J111*M111</f>
        <v/>
      </c>
    </row>
    <row r="112">
      <c r="A112" s="456">
        <f>'PETEK LİST'!A112</f>
        <v/>
      </c>
      <c r="B112" s="457">
        <f>'PETEK LİST'!B112</f>
        <v/>
      </c>
      <c r="C112" s="458">
        <f>'PETEK LİST'!C112</f>
        <v/>
      </c>
      <c r="D112" s="436">
        <f>'PETEK LİST'!D112</f>
        <v/>
      </c>
      <c r="E112" s="459" t="n">
        <v>24.52</v>
      </c>
      <c r="F112" s="460">
        <f>D112/E112</f>
        <v/>
      </c>
      <c r="G112" s="460">
        <f>76.263-0.539*F112</f>
        <v/>
      </c>
      <c r="H112" s="460">
        <f>D112/G112</f>
        <v/>
      </c>
      <c r="I112" s="456" t="n">
        <v>15</v>
      </c>
      <c r="J112" s="433">
        <f>'PETEK LİST'!G112</f>
        <v/>
      </c>
      <c r="K112" s="460">
        <f>J112/80</f>
        <v/>
      </c>
      <c r="L112" s="456" t="n">
        <v>2</v>
      </c>
      <c r="M112" s="456" t="n">
        <v>17.5</v>
      </c>
      <c r="N112" s="461">
        <f>J112*M112</f>
        <v/>
      </c>
    </row>
    <row r="113">
      <c r="A113" s="456">
        <f>'PETEK LİST'!A113</f>
        <v/>
      </c>
      <c r="B113" s="457">
        <f>'PETEK LİST'!B113</f>
        <v/>
      </c>
      <c r="C113" s="458">
        <f>'PETEK LİST'!C113</f>
        <v/>
      </c>
      <c r="D113" s="436">
        <f>'PETEK LİST'!D113</f>
        <v/>
      </c>
      <c r="E113" s="459" t="n">
        <v>2.04</v>
      </c>
      <c r="F113" s="460">
        <f>D113/E113</f>
        <v/>
      </c>
      <c r="G113" s="460">
        <f>76.263-0.539*F113</f>
        <v/>
      </c>
      <c r="H113" s="460">
        <f>D113/G113</f>
        <v/>
      </c>
      <c r="I113" s="456" t="n">
        <v>15</v>
      </c>
      <c r="J113" s="433">
        <f>'PETEK LİST'!G113</f>
        <v/>
      </c>
      <c r="K113" s="460">
        <f>J113/80</f>
        <v/>
      </c>
      <c r="L113" s="456" t="n">
        <v>1</v>
      </c>
      <c r="M113" s="456" t="n">
        <v>17.5</v>
      </c>
      <c r="N113" s="461">
        <f>J113*M113</f>
        <v/>
      </c>
    </row>
    <row r="114">
      <c r="A114" s="456">
        <f>'PETEK LİST'!A114</f>
        <v/>
      </c>
      <c r="B114" s="457">
        <f>'PETEK LİST'!B114</f>
        <v/>
      </c>
      <c r="C114" s="458">
        <f>'PETEK LİST'!C114</f>
        <v/>
      </c>
      <c r="D114" s="436">
        <f>'PETEK LİST'!D114</f>
        <v/>
      </c>
      <c r="E114" s="459" t="n">
        <v>1.63</v>
      </c>
      <c r="F114" s="460">
        <f>D114/E114</f>
        <v/>
      </c>
      <c r="G114" s="460">
        <f>76.263-0.539*F114</f>
        <v/>
      </c>
      <c r="H114" s="460">
        <f>D114/G114</f>
        <v/>
      </c>
      <c r="I114" s="456" t="n">
        <v>15</v>
      </c>
      <c r="J114" s="433">
        <f>'PETEK LİST'!G114</f>
        <v/>
      </c>
      <c r="K114" s="460">
        <f>J114/80</f>
        <v/>
      </c>
      <c r="L114" s="456" t="n">
        <v>1</v>
      </c>
      <c r="M114" s="456" t="n">
        <v>17.5</v>
      </c>
      <c r="N114" s="461">
        <f>J114*M114</f>
        <v/>
      </c>
    </row>
    <row r="115">
      <c r="A115" s="456">
        <f>'PETEK LİST'!A115</f>
        <v/>
      </c>
      <c r="B115" s="457">
        <f>'PETEK LİST'!B115</f>
        <v/>
      </c>
      <c r="C115" s="458">
        <f>'PETEK LİST'!C115</f>
        <v/>
      </c>
      <c r="D115" s="436">
        <f>'PETEK LİST'!D115</f>
        <v/>
      </c>
      <c r="E115" s="459" t="n">
        <v>28.07</v>
      </c>
      <c r="F115" s="460">
        <f>D115/E115</f>
        <v/>
      </c>
      <c r="G115" s="460">
        <f>76.263-0.539*F115</f>
        <v/>
      </c>
      <c r="H115" s="460">
        <f>D115/G115</f>
        <v/>
      </c>
      <c r="I115" s="456" t="n">
        <v>15</v>
      </c>
      <c r="J115" s="433">
        <f>'PETEK LİST'!G115</f>
        <v/>
      </c>
      <c r="K115" s="460">
        <f>J115/80</f>
        <v/>
      </c>
      <c r="L115" s="456" t="n">
        <v>2</v>
      </c>
      <c r="M115" s="456" t="n">
        <v>17.5</v>
      </c>
      <c r="N115" s="461">
        <f>J115*M115</f>
        <v/>
      </c>
    </row>
    <row r="116">
      <c r="A116" s="456">
        <f>'PETEK LİST'!A116</f>
        <v/>
      </c>
      <c r="B116" s="457">
        <f>'PETEK LİST'!B116</f>
        <v/>
      </c>
      <c r="C116" s="458">
        <f>'PETEK LİST'!C116</f>
        <v/>
      </c>
      <c r="D116" s="436">
        <f>'PETEK LİST'!D116</f>
        <v/>
      </c>
      <c r="E116" s="459" t="n">
        <v>39.43</v>
      </c>
      <c r="F116" s="460">
        <f>D116/E116</f>
        <v/>
      </c>
      <c r="G116" s="460">
        <f>76.263-0.539*F116</f>
        <v/>
      </c>
      <c r="H116" s="460">
        <f>D116/G116</f>
        <v/>
      </c>
      <c r="I116" s="456" t="n">
        <v>15</v>
      </c>
      <c r="J116" s="433">
        <f>'PETEK LİST'!G116</f>
        <v/>
      </c>
      <c r="K116" s="460">
        <f>J116/80</f>
        <v/>
      </c>
      <c r="L116" s="456" t="n">
        <v>3</v>
      </c>
      <c r="M116" s="456" t="n">
        <v>17.5</v>
      </c>
      <c r="N116" s="461">
        <f>J116*M116</f>
        <v/>
      </c>
    </row>
    <row r="117">
      <c r="A117" s="456">
        <f>'PETEK LİST'!A117</f>
        <v/>
      </c>
      <c r="B117" s="457">
        <f>'PETEK LİST'!B117</f>
        <v/>
      </c>
      <c r="C117" s="458">
        <f>'PETEK LİST'!C117</f>
        <v/>
      </c>
      <c r="D117" s="436">
        <f>'PETEK LİST'!D117</f>
        <v/>
      </c>
      <c r="E117" s="459" t="n">
        <v>2.04</v>
      </c>
      <c r="F117" s="460">
        <f>D117/E117</f>
        <v/>
      </c>
      <c r="G117" s="460">
        <f>76.263-0.539*F117</f>
        <v/>
      </c>
      <c r="H117" s="460">
        <f>D117/G117</f>
        <v/>
      </c>
      <c r="I117" s="456" t="n">
        <v>15</v>
      </c>
      <c r="J117" s="433">
        <f>'PETEK LİST'!G117</f>
        <v/>
      </c>
      <c r="K117" s="460">
        <f>J117/80</f>
        <v/>
      </c>
      <c r="L117" s="456" t="n">
        <v>1</v>
      </c>
      <c r="M117" s="456" t="n">
        <v>17.5</v>
      </c>
      <c r="N117" s="461">
        <f>J117*M117</f>
        <v/>
      </c>
    </row>
    <row r="118">
      <c r="A118" s="456">
        <f>'PETEK LİST'!A118</f>
        <v/>
      </c>
      <c r="B118" s="457">
        <f>'PETEK LİST'!B118</f>
        <v/>
      </c>
      <c r="C118" s="458">
        <f>'PETEK LİST'!C118</f>
        <v/>
      </c>
      <c r="D118" s="436">
        <f>'PETEK LİST'!D118</f>
        <v/>
      </c>
      <c r="E118" s="459" t="n">
        <v>3.2</v>
      </c>
      <c r="F118" s="460">
        <f>D118/E118</f>
        <v/>
      </c>
      <c r="G118" s="460">
        <f>76.263-0.539*F118</f>
        <v/>
      </c>
      <c r="H118" s="460">
        <f>D118/G118</f>
        <v/>
      </c>
      <c r="I118" s="456" t="n">
        <v>15</v>
      </c>
      <c r="J118" s="433">
        <f>'PETEK LİST'!G118</f>
        <v/>
      </c>
      <c r="K118" s="460">
        <f>J118/80</f>
        <v/>
      </c>
      <c r="L118" s="456" t="n">
        <v>0</v>
      </c>
      <c r="M118" s="456" t="n">
        <v>17.5</v>
      </c>
      <c r="N118" s="461">
        <f>J118*M118</f>
        <v/>
      </c>
    </row>
    <row r="119">
      <c r="A119" s="456">
        <f>'PETEK LİST'!A119</f>
        <v/>
      </c>
      <c r="B119" s="457">
        <f>'PETEK LİST'!B119</f>
        <v/>
      </c>
      <c r="C119" s="458">
        <f>'PETEK LİST'!C119</f>
        <v/>
      </c>
      <c r="D119" s="436">
        <f>'PETEK LİST'!D119</f>
        <v/>
      </c>
      <c r="E119" s="459" t="n">
        <v>26.77</v>
      </c>
      <c r="F119" s="460">
        <f>D119/E119</f>
        <v/>
      </c>
      <c r="G119" s="460">
        <f>76.263-0.539*F119</f>
        <v/>
      </c>
      <c r="H119" s="460">
        <f>D119/G119</f>
        <v/>
      </c>
      <c r="I119" s="456" t="n">
        <v>15</v>
      </c>
      <c r="J119" s="433">
        <f>'PETEK LİST'!G119</f>
        <v/>
      </c>
      <c r="K119" s="460">
        <f>J119/80</f>
        <v/>
      </c>
      <c r="L119" s="456" t="n">
        <v>2</v>
      </c>
      <c r="M119" s="456" t="n">
        <v>17.5</v>
      </c>
      <c r="N119" s="461">
        <f>J119*M119</f>
        <v/>
      </c>
    </row>
    <row r="120">
      <c r="A120" s="456">
        <f>'PETEK LİST'!A120</f>
        <v/>
      </c>
      <c r="B120" s="457">
        <f>'PETEK LİST'!B120</f>
        <v/>
      </c>
      <c r="C120" s="458">
        <f>'PETEK LİST'!C120</f>
        <v/>
      </c>
      <c r="D120" s="436">
        <f>'PETEK LİST'!D120</f>
        <v/>
      </c>
      <c r="E120" s="459" t="n">
        <v>2.09</v>
      </c>
      <c r="F120" s="460">
        <f>D120/E120</f>
        <v/>
      </c>
      <c r="G120" s="460">
        <f>76.263-0.539*F120</f>
        <v/>
      </c>
      <c r="H120" s="460">
        <f>D120/G120</f>
        <v/>
      </c>
      <c r="I120" s="456" t="n">
        <v>15</v>
      </c>
      <c r="J120" s="433">
        <f>'PETEK LİST'!G120</f>
        <v/>
      </c>
      <c r="K120" s="460">
        <f>J120/80</f>
        <v/>
      </c>
      <c r="L120" s="456" t="n">
        <v>1</v>
      </c>
      <c r="M120" s="456" t="n">
        <v>17.5</v>
      </c>
      <c r="N120" s="461">
        <f>J120*M120</f>
        <v/>
      </c>
    </row>
    <row r="121">
      <c r="A121" s="456">
        <f>'PETEK LİST'!A121</f>
        <v/>
      </c>
      <c r="B121" s="457">
        <f>'PETEK LİST'!B121</f>
        <v/>
      </c>
      <c r="C121" s="458">
        <f>'PETEK LİST'!C121</f>
        <v/>
      </c>
      <c r="D121" s="436">
        <f>'PETEK LİST'!D121</f>
        <v/>
      </c>
      <c r="E121" s="459" t="n">
        <v>1.63</v>
      </c>
      <c r="F121" s="460">
        <f>D121/E121</f>
        <v/>
      </c>
      <c r="G121" s="460">
        <f>76.263-0.539*F121</f>
        <v/>
      </c>
      <c r="H121" s="460">
        <f>D121/G121</f>
        <v/>
      </c>
      <c r="I121" s="456" t="n">
        <v>15</v>
      </c>
      <c r="J121" s="433">
        <f>'PETEK LİST'!G121</f>
        <v/>
      </c>
      <c r="K121" s="460">
        <f>J121/80</f>
        <v/>
      </c>
      <c r="L121" s="456" t="n">
        <v>1</v>
      </c>
      <c r="M121" s="456" t="n">
        <v>17.5</v>
      </c>
      <c r="N121" s="461">
        <f>J121*M121</f>
        <v/>
      </c>
    </row>
    <row r="122">
      <c r="A122" s="456">
        <f>'PETEK LİST'!A122</f>
        <v/>
      </c>
      <c r="B122" s="457">
        <f>'PETEK LİST'!B122</f>
        <v/>
      </c>
      <c r="C122" s="458">
        <f>'PETEK LİST'!C122</f>
        <v/>
      </c>
      <c r="D122" s="436">
        <f>'PETEK LİST'!D122</f>
        <v/>
      </c>
      <c r="E122" s="459" t="n">
        <v>50.21</v>
      </c>
      <c r="F122" s="460">
        <f>D122/E122</f>
        <v/>
      </c>
      <c r="G122" s="460">
        <f>76.263-0.539*F122</f>
        <v/>
      </c>
      <c r="H122" s="460">
        <f>D122/G122</f>
        <v/>
      </c>
      <c r="I122" s="456" t="n">
        <v>15</v>
      </c>
      <c r="J122" s="433">
        <f>'PETEK LİST'!G122</f>
        <v/>
      </c>
      <c r="K122" s="460">
        <f>J122/80</f>
        <v/>
      </c>
      <c r="L122" s="456" t="n">
        <v>3</v>
      </c>
      <c r="M122" s="456" t="n">
        <v>17.5</v>
      </c>
      <c r="N122" s="461">
        <f>J122*M122</f>
        <v/>
      </c>
    </row>
    <row r="123">
      <c r="A123" s="456">
        <f>'PETEK LİST'!A123</f>
        <v/>
      </c>
      <c r="B123" s="457">
        <f>'PETEK LİST'!B123</f>
        <v/>
      </c>
      <c r="C123" s="458">
        <f>'PETEK LİST'!C123</f>
        <v/>
      </c>
      <c r="D123" s="436">
        <f>'PETEK LİST'!D123</f>
        <v/>
      </c>
      <c r="E123" s="459" t="n">
        <v>143.54</v>
      </c>
      <c r="F123" s="460">
        <f>D123/E123</f>
        <v/>
      </c>
      <c r="G123" s="460">
        <f>76.263-0.539*F123</f>
        <v/>
      </c>
      <c r="H123" s="460">
        <f>D123/G123</f>
        <v/>
      </c>
      <c r="I123" s="456" t="n">
        <v>15</v>
      </c>
      <c r="J123" s="433">
        <f>'PETEK LİST'!G123</f>
        <v/>
      </c>
      <c r="K123" s="460">
        <f>J123/80</f>
        <v/>
      </c>
      <c r="L123" s="456" t="n">
        <v>4</v>
      </c>
      <c r="M123" s="456" t="n">
        <v>17.5</v>
      </c>
      <c r="N123" s="461">
        <f>J123*M123</f>
        <v/>
      </c>
    </row>
    <row r="124">
      <c r="A124" s="456">
        <f>'PETEK LİST'!A124</f>
        <v/>
      </c>
      <c r="B124" s="457">
        <f>'PETEK LİST'!B124</f>
        <v/>
      </c>
      <c r="C124" s="458">
        <f>'PETEK LİST'!C124</f>
        <v/>
      </c>
      <c r="D124" s="436">
        <f>'PETEK LİST'!D124</f>
        <v/>
      </c>
      <c r="E124" s="459" t="n">
        <v>11.8</v>
      </c>
      <c r="F124" s="460">
        <f>D124/E124</f>
        <v/>
      </c>
      <c r="G124" s="460">
        <f>76.263-0.539*F124</f>
        <v/>
      </c>
      <c r="H124" s="460">
        <f>D124/G124</f>
        <v/>
      </c>
      <c r="I124" s="456" t="n">
        <v>15</v>
      </c>
      <c r="J124" s="433">
        <f>'PETEK LİST'!G124</f>
        <v/>
      </c>
      <c r="K124" s="460">
        <f>J124/80</f>
        <v/>
      </c>
      <c r="L124" s="456" t="n">
        <v>1</v>
      </c>
      <c r="M124" s="456" t="n">
        <v>17.5</v>
      </c>
      <c r="N124" s="461">
        <f>J124*M124</f>
        <v/>
      </c>
    </row>
    <row r="125">
      <c r="A125" s="456">
        <f>'PETEK LİST'!A125</f>
        <v/>
      </c>
      <c r="B125" s="457">
        <f>'PETEK LİST'!B125</f>
        <v/>
      </c>
      <c r="C125" s="458">
        <f>'PETEK LİST'!C125</f>
        <v/>
      </c>
      <c r="D125" s="436">
        <f>'PETEK LİST'!D125</f>
        <v/>
      </c>
      <c r="E125" s="459" t="n">
        <v>7.02</v>
      </c>
      <c r="F125" s="460">
        <f>D125/E125</f>
        <v/>
      </c>
      <c r="G125" s="460">
        <f>76.263-0.539*F125</f>
        <v/>
      </c>
      <c r="H125" s="460">
        <f>D125/G125</f>
        <v/>
      </c>
      <c r="I125" s="456" t="n">
        <v>15</v>
      </c>
      <c r="J125" s="433">
        <f>'PETEK LİST'!G125</f>
        <v/>
      </c>
      <c r="K125" s="460">
        <f>J125/80</f>
        <v/>
      </c>
      <c r="L125" s="456" t="n">
        <v>1</v>
      </c>
      <c r="M125" s="456" t="n">
        <v>17.5</v>
      </c>
      <c r="N125" s="461">
        <f>J125*M125</f>
        <v/>
      </c>
    </row>
    <row r="126">
      <c r="A126" s="456">
        <f>'PETEK LİST'!A126</f>
        <v/>
      </c>
      <c r="B126" s="457">
        <f>'PETEK LİST'!B126</f>
        <v/>
      </c>
      <c r="C126" s="458">
        <f>'PETEK LİST'!C126</f>
        <v/>
      </c>
      <c r="D126" s="436">
        <f>'PETEK LİST'!D126</f>
        <v/>
      </c>
      <c r="E126" s="459" t="n">
        <v>3.32</v>
      </c>
      <c r="F126" s="460">
        <f>D126/E126</f>
        <v/>
      </c>
      <c r="G126" s="460">
        <f>76.263-0.539*F126</f>
        <v/>
      </c>
      <c r="H126" s="460">
        <f>D126/G126</f>
        <v/>
      </c>
      <c r="I126" s="456" t="n">
        <v>15</v>
      </c>
      <c r="J126" s="433">
        <f>'PETEK LİST'!G126</f>
        <v/>
      </c>
      <c r="K126" s="460">
        <f>J126/80</f>
        <v/>
      </c>
      <c r="L126" s="456" t="n">
        <v>1</v>
      </c>
      <c r="M126" s="456" t="n">
        <v>17.5</v>
      </c>
      <c r="N126" s="461">
        <f>J126*M126</f>
        <v/>
      </c>
    </row>
    <row r="127">
      <c r="A127" s="456">
        <f>'PETEK LİST'!A127</f>
        <v/>
      </c>
      <c r="B127" s="457">
        <f>'PETEK LİST'!B127</f>
        <v/>
      </c>
      <c r="C127" s="458">
        <f>'PETEK LİST'!C127</f>
        <v/>
      </c>
      <c r="D127" s="436">
        <f>'PETEK LİST'!D127</f>
        <v/>
      </c>
      <c r="E127" s="459" t="n">
        <v>3.19</v>
      </c>
      <c r="F127" s="460">
        <f>D127/E127</f>
        <v/>
      </c>
      <c r="G127" s="460">
        <f>76.263-0.539*F127</f>
        <v/>
      </c>
      <c r="H127" s="460">
        <f>D127/G127</f>
        <v/>
      </c>
      <c r="I127" s="456" t="n">
        <v>15</v>
      </c>
      <c r="J127" s="433">
        <f>'PETEK LİST'!G127</f>
        <v/>
      </c>
      <c r="K127" s="460">
        <f>J127/80</f>
        <v/>
      </c>
      <c r="L127" s="456" t="n">
        <v>1</v>
      </c>
      <c r="M127" s="456" t="n">
        <v>17.5</v>
      </c>
      <c r="N127" s="461">
        <f>J127*M127</f>
        <v/>
      </c>
    </row>
    <row r="128">
      <c r="A128" s="456">
        <f>'PETEK LİST'!A128</f>
        <v/>
      </c>
      <c r="B128" s="457">
        <f>'PETEK LİST'!B128</f>
        <v/>
      </c>
      <c r="C128" s="458">
        <f>'PETEK LİST'!C128</f>
        <v/>
      </c>
      <c r="D128" s="436">
        <f>'PETEK LİST'!D128</f>
        <v/>
      </c>
      <c r="E128" s="459" t="n">
        <v>162.86</v>
      </c>
      <c r="F128" s="460">
        <f>D128/E128</f>
        <v/>
      </c>
      <c r="G128" s="460">
        <f>76.263-0.539*F128</f>
        <v/>
      </c>
      <c r="H128" s="460">
        <f>D128/G128</f>
        <v/>
      </c>
      <c r="I128" s="456" t="n">
        <v>15</v>
      </c>
      <c r="J128" s="433">
        <f>'PETEK LİST'!G128</f>
        <v/>
      </c>
      <c r="K128" s="460">
        <f>J128/80</f>
        <v/>
      </c>
      <c r="L128" s="456" t="n">
        <v>4</v>
      </c>
      <c r="M128" s="456" t="n">
        <v>17.5</v>
      </c>
      <c r="N128" s="461">
        <f>J128*M128</f>
        <v/>
      </c>
    </row>
    <row r="129">
      <c r="A129" s="456">
        <f>'PETEK LİST'!A129</f>
        <v/>
      </c>
      <c r="B129" s="457">
        <f>'PETEK LİST'!B129</f>
        <v/>
      </c>
      <c r="C129" s="458">
        <f>'PETEK LİST'!C129</f>
        <v/>
      </c>
      <c r="D129" s="436">
        <f>'PETEK LİST'!D129</f>
        <v/>
      </c>
      <c r="E129" s="459" t="n">
        <v>22.25</v>
      </c>
      <c r="F129" s="460">
        <f>D129/E129</f>
        <v/>
      </c>
      <c r="G129" s="460">
        <f>76.263-0.539*F129</f>
        <v/>
      </c>
      <c r="H129" s="460">
        <f>D129/G129</f>
        <v/>
      </c>
      <c r="I129" s="456" t="n">
        <v>15</v>
      </c>
      <c r="J129" s="433">
        <f>'PETEK LİST'!G129</f>
        <v/>
      </c>
      <c r="K129" s="460">
        <f>J129/80</f>
        <v/>
      </c>
      <c r="L129" s="456" t="n">
        <v>2</v>
      </c>
      <c r="M129" s="456" t="n">
        <v>17.5</v>
      </c>
      <c r="N129" s="461">
        <f>J129*M129</f>
        <v/>
      </c>
    </row>
    <row r="130">
      <c r="A130" s="456">
        <f>'PETEK LİST'!A130</f>
        <v/>
      </c>
      <c r="B130" s="457">
        <f>'PETEK LİST'!B130</f>
        <v/>
      </c>
      <c r="C130" s="458">
        <f>'PETEK LİST'!C130</f>
        <v/>
      </c>
      <c r="D130" s="436">
        <f>'PETEK LİST'!D130</f>
        <v/>
      </c>
      <c r="E130" s="459" t="n">
        <v>2.94</v>
      </c>
      <c r="F130" s="460">
        <f>D130/E130</f>
        <v/>
      </c>
      <c r="G130" s="460">
        <f>76.263-0.539*F130</f>
        <v/>
      </c>
      <c r="H130" s="460">
        <f>D130/G130</f>
        <v/>
      </c>
      <c r="I130" s="456" t="n">
        <v>15</v>
      </c>
      <c r="J130" s="433">
        <f>'PETEK LİST'!G130</f>
        <v/>
      </c>
      <c r="K130" s="460">
        <f>J130/80</f>
        <v/>
      </c>
      <c r="L130" s="456" t="n">
        <v>1</v>
      </c>
      <c r="M130" s="456" t="n">
        <v>17.5</v>
      </c>
      <c r="N130" s="461">
        <f>J130*M130</f>
        <v/>
      </c>
    </row>
    <row r="131">
      <c r="A131" s="456">
        <f>'PETEK LİST'!A131</f>
        <v/>
      </c>
      <c r="B131" s="457">
        <f>'PETEK LİST'!B131</f>
        <v/>
      </c>
      <c r="C131" s="458">
        <f>'PETEK LİST'!C131</f>
        <v/>
      </c>
      <c r="D131" s="436">
        <f>'PETEK LİST'!D131</f>
        <v/>
      </c>
      <c r="E131" s="459" t="n">
        <v>17.84</v>
      </c>
      <c r="F131" s="460">
        <f>D131/E131</f>
        <v/>
      </c>
      <c r="G131" s="460">
        <f>76.263-0.539*F131</f>
        <v/>
      </c>
      <c r="H131" s="460">
        <f>D131/G131</f>
        <v/>
      </c>
      <c r="I131" s="456" t="n">
        <v>15</v>
      </c>
      <c r="J131" s="433">
        <f>'PETEK LİST'!G131</f>
        <v/>
      </c>
      <c r="K131" s="460">
        <f>J131/80</f>
        <v/>
      </c>
      <c r="L131" s="456" t="n">
        <v>2</v>
      </c>
      <c r="M131" s="456" t="n">
        <v>17.5</v>
      </c>
      <c r="N131" s="461">
        <f>J131*M131</f>
        <v/>
      </c>
    </row>
    <row r="132">
      <c r="A132" s="456">
        <f>'PETEK LİST'!A132</f>
        <v/>
      </c>
      <c r="B132" s="457">
        <f>'PETEK LİST'!B132</f>
        <v/>
      </c>
      <c r="C132" s="458">
        <f>'PETEK LİST'!C132</f>
        <v/>
      </c>
      <c r="D132" s="436">
        <f>'PETEK LİST'!D132</f>
        <v/>
      </c>
      <c r="E132" s="459" t="n">
        <v>2.32</v>
      </c>
      <c r="F132" s="460">
        <f>D132/E132</f>
        <v/>
      </c>
      <c r="G132" s="460">
        <f>76.263-0.539*F132</f>
        <v/>
      </c>
      <c r="H132" s="460">
        <f>D132/G132</f>
        <v/>
      </c>
      <c r="I132" s="456" t="n">
        <v>15</v>
      </c>
      <c r="J132" s="433">
        <f>'PETEK LİST'!G132</f>
        <v/>
      </c>
      <c r="K132" s="460">
        <f>J132/80</f>
        <v/>
      </c>
      <c r="L132" s="456" t="n">
        <v>1</v>
      </c>
      <c r="M132" s="456" t="n">
        <v>17.5</v>
      </c>
      <c r="N132" s="461">
        <f>J132*M132</f>
        <v/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</sheetData>
  <mergeCells count="10">
    <mergeCell ref="H5:N5"/>
    <mergeCell ref="L1:N2"/>
    <mergeCell ref="A6:G6"/>
    <mergeCell ref="H3:K4"/>
    <mergeCell ref="A1:B4"/>
    <mergeCell ref="C1:G4"/>
    <mergeCell ref="H6:N6"/>
    <mergeCell ref="H1:K2"/>
    <mergeCell ref="L3:N4"/>
    <mergeCell ref="A5:G5"/>
  </mergeCells>
  <conditionalFormatting sqref="J12">
    <cfRule type="cellIs" rank="0" priority="2" equalAverage="0" operator="greaterThan" aboveAverage="0" dxfId="1" text="" percent="0" bottom="0">
      <formula>G12*1.4</formula>
    </cfRule>
  </conditionalFormatting>
  <conditionalFormatting sqref="J13">
    <cfRule type="cellIs" rank="0" priority="3" equalAverage="0" operator="greaterThan" aboveAverage="0" dxfId="1" text="" percent="0" bottom="0">
      <formula>G13*1.4</formula>
    </cfRule>
  </conditionalFormatting>
  <conditionalFormatting sqref="J14:J15">
    <cfRule type="cellIs" rank="0" priority="4" equalAverage="0" operator="greaterThan" aboveAverage="0" dxfId="1" text="" percent="0" bottom="0">
      <formula>G14*1.4</formula>
    </cfRule>
  </conditionalFormatting>
  <conditionalFormatting sqref="J16:J17 J19">
    <cfRule type="cellIs" rank="0" priority="5" equalAverage="0" operator="greaterThan" aboveAverage="0" dxfId="1" text="" percent="0" bottom="0">
      <formula>G16*1.4</formula>
    </cfRule>
  </conditionalFormatting>
  <conditionalFormatting sqref="J20">
    <cfRule type="cellIs" rank="0" priority="6" equalAverage="0" operator="greaterThan" aboveAverage="0" dxfId="1" text="" percent="0" bottom="0">
      <formula>G20*1.4</formula>
    </cfRule>
  </conditionalFormatting>
  <conditionalFormatting sqref="J23">
    <cfRule type="cellIs" rank="0" priority="7" equalAverage="0" operator="greaterThan" aboveAverage="0" dxfId="1" text="" percent="0" bottom="0">
      <formula>G23*1.4</formula>
    </cfRule>
  </conditionalFormatting>
  <conditionalFormatting sqref="J21">
    <cfRule type="cellIs" rank="0" priority="8" equalAverage="0" operator="greaterThan" aboveAverage="0" dxfId="1" text="" percent="0" bottom="0">
      <formula>G21*1.4</formula>
    </cfRule>
  </conditionalFormatting>
  <conditionalFormatting sqref="J18">
    <cfRule type="cellIs" rank="0" priority="9" equalAverage="0" operator="greaterThan" aboveAverage="0" dxfId="1" text="" percent="0" bottom="0">
      <formula>G18*1.4</formula>
    </cfRule>
  </conditionalFormatting>
  <conditionalFormatting sqref="J11">
    <cfRule type="cellIs" rank="0" priority="10" equalAverage="0" operator="greaterThan" aboveAverage="0" dxfId="1" text="" percent="0" bottom="0">
      <formula>G11*1.4</formula>
    </cfRule>
  </conditionalFormatting>
  <conditionalFormatting sqref="J10">
    <cfRule type="cellIs" rank="0" priority="11" equalAverage="0" operator="greaterThan" aboveAverage="0" dxfId="1" text="" percent="0" bottom="0">
      <formula>G10*1.4</formula>
    </cfRule>
  </conditionalFormatting>
  <conditionalFormatting sqref="J22">
    <cfRule type="cellIs" rank="0" priority="12" equalAverage="0" operator="greaterThan" aboveAverage="0" dxfId="1" text="" percent="0" bottom="0">
      <formula>G22*1.4</formula>
    </cfRule>
  </conditionalFormatting>
  <printOptions horizontalCentered="0" verticalCentered="0" headings="0" gridLines="0" gridLinesSet="1"/>
  <pageMargins left="0.25" right="0.25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KM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9" activeCellId="0" sqref="I19"/>
    </sheetView>
  </sheetViews>
  <sheetFormatPr baseColWidth="8" defaultColWidth="9.0546875" defaultRowHeight="12.75" zeroHeight="0" outlineLevelRow="0"/>
  <cols>
    <col width="4.14" customWidth="1" style="243" min="1" max="1"/>
    <col width="9.699999999999999" customWidth="1" style="243" min="2" max="2"/>
    <col width="34.71" customWidth="1" style="243" min="3" max="3"/>
    <col width="25.13" customWidth="1" style="266" min="4" max="4"/>
    <col width="6.41" customWidth="1" style="465" min="5" max="5"/>
    <col width="6.56" customWidth="1" style="465" min="6" max="6"/>
    <col width="6.41" customWidth="1" style="465" min="7" max="7"/>
    <col width="11.13" customWidth="1" style="243" min="8" max="8"/>
    <col width="5.28" customWidth="1" style="243" min="9" max="13"/>
    <col width="8.140000000000001" customWidth="1" style="243" min="14" max="14"/>
    <col width="5.28" customWidth="1" style="243" min="15" max="16"/>
    <col width="6.7" customWidth="1" style="243" min="17" max="21"/>
    <col width="7.99" customWidth="1" style="243" min="22" max="25"/>
    <col width="6.85" customWidth="1" style="243" min="26" max="26"/>
  </cols>
  <sheetData>
    <row r="1" ht="12.75" customHeight="1" s="244">
      <c r="A1" s="466" t="inlineStr">
        <is>
          <t>YERDEN ISITMA HESABI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467" t="n"/>
      <c r="K1" s="467" t="n"/>
      <c r="L1" s="467" t="n"/>
      <c r="M1" s="467" t="n"/>
      <c r="N1" s="467" t="n"/>
      <c r="O1" s="467" t="n"/>
      <c r="P1" s="467" t="n"/>
      <c r="Q1" s="467" t="n"/>
      <c r="R1" s="467" t="n"/>
      <c r="S1" s="467" t="n"/>
      <c r="T1" s="467" t="n"/>
      <c r="U1" s="467" t="n"/>
    </row>
    <row r="2" ht="12.75" customFormat="1" customHeight="1" s="417">
      <c r="A2" s="468" t="inlineStr">
        <is>
          <t>1. KAT OFİSLER (A1 - E2)</t>
        </is>
      </c>
      <c r="B2" s="421" t="n"/>
      <c r="C2" s="469" t="inlineStr">
        <is>
          <t>DÖŞEMEDEN ISITMA HESAP ÖZETİ</t>
        </is>
      </c>
      <c r="D2" s="470" t="inlineStr">
        <is>
          <t>Ts.g  = 50 °C</t>
        </is>
      </c>
      <c r="E2" s="471" t="inlineStr">
        <is>
          <t>TOPLAM ISI KAYBI = 147265 W</t>
        </is>
      </c>
      <c r="F2" s="264" t="n"/>
      <c r="G2" s="264" t="n"/>
      <c r="H2" s="264" t="n"/>
      <c r="I2" s="260" t="n"/>
      <c r="J2" s="472" t="n"/>
      <c r="K2" s="472" t="n"/>
      <c r="L2" s="472" t="n"/>
      <c r="M2" s="472" t="n"/>
      <c r="N2" s="472" t="n"/>
      <c r="O2" s="472" t="n"/>
      <c r="P2" s="472" t="n"/>
      <c r="Q2" s="472" t="n"/>
      <c r="R2" s="472" t="n"/>
      <c r="S2" s="472" t="n"/>
      <c r="T2" s="472" t="n"/>
      <c r="U2" s="472" t="n"/>
    </row>
    <row r="3" ht="8.25" customFormat="1" customHeight="1" s="417">
      <c r="A3" s="420" t="n"/>
      <c r="B3" s="421" t="n"/>
      <c r="C3" s="425" t="n"/>
      <c r="D3" s="473" t="inlineStr">
        <is>
          <t>Isıtma Çevrim Sayısı : 102</t>
        </is>
      </c>
      <c r="E3" s="471" t="inlineStr">
        <is>
          <t>MAX. BASINÇ KAYBI = 29898 Pa</t>
        </is>
      </c>
      <c r="F3" s="250" t="n"/>
      <c r="G3" s="250" t="n"/>
      <c r="H3" s="250" t="n"/>
      <c r="I3" s="275" t="n"/>
      <c r="J3" s="472" t="n"/>
      <c r="K3" s="472" t="n"/>
      <c r="L3" s="472" t="n"/>
      <c r="M3" s="472" t="n"/>
      <c r="N3" s="472" t="n"/>
      <c r="O3" s="472" t="n"/>
      <c r="P3" s="472" t="n"/>
      <c r="Q3" s="472" t="n"/>
      <c r="R3" s="472" t="n"/>
      <c r="S3" s="472" t="n"/>
      <c r="T3" s="472" t="n"/>
      <c r="U3" s="472" t="n"/>
    </row>
    <row r="4" ht="5.25" customFormat="1" customHeight="1" s="417">
      <c r="A4" s="420" t="n"/>
      <c r="B4" s="421" t="n"/>
      <c r="C4" s="425" t="n"/>
      <c r="D4" s="303" t="n"/>
      <c r="E4" s="278" t="n"/>
      <c r="F4" s="256" t="n"/>
      <c r="G4" s="256" t="n"/>
      <c r="H4" s="256" t="n"/>
      <c r="I4" s="277" t="n"/>
      <c r="J4" s="472" t="n"/>
      <c r="K4" s="472" t="n"/>
      <c r="L4" s="472" t="n"/>
      <c r="M4" s="472" t="n"/>
      <c r="N4" s="472" t="n"/>
      <c r="O4" s="472" t="n"/>
      <c r="P4" s="472" t="n"/>
      <c r="Q4" s="472" t="n"/>
      <c r="R4" s="472" t="n"/>
      <c r="S4" s="472" t="n"/>
      <c r="T4" s="472" t="n"/>
      <c r="U4" s="472" t="n"/>
    </row>
    <row r="5" ht="15" customFormat="1" customHeight="1" s="417">
      <c r="A5" s="278" t="n"/>
      <c r="B5" s="277" t="n"/>
      <c r="C5" s="303" t="n"/>
      <c r="D5" s="419" t="inlineStr">
        <is>
          <t>Mak. Müh. Bayram GENÇ</t>
        </is>
      </c>
      <c r="E5" s="264" t="n"/>
      <c r="F5" s="264" t="n"/>
      <c r="G5" s="264" t="n"/>
      <c r="H5" s="264" t="n"/>
      <c r="I5" s="260" t="n"/>
      <c r="J5" s="474" t="n"/>
      <c r="K5" s="474" t="n"/>
      <c r="L5" s="474" t="n"/>
      <c r="M5" s="474" t="n"/>
      <c r="N5" s="474" t="n"/>
      <c r="O5" s="474" t="n"/>
      <c r="P5" s="474" t="n"/>
      <c r="Q5" s="443" t="n"/>
      <c r="R5" s="443" t="n"/>
      <c r="S5" s="443" t="n"/>
      <c r="T5" s="443" t="n"/>
      <c r="U5" s="443" t="n"/>
    </row>
    <row r="6" ht="12" customHeight="1" s="244">
      <c r="A6" s="475" t="n"/>
      <c r="B6" s="475" t="n"/>
      <c r="C6" s="475" t="n"/>
      <c r="D6" s="475" t="n"/>
      <c r="E6" s="476" t="n"/>
      <c r="F6" s="476" t="n"/>
      <c r="G6" s="476" t="n"/>
      <c r="H6" s="243" t="n"/>
      <c r="I6" s="243" t="n"/>
      <c r="J6" s="243" t="n"/>
      <c r="K6" s="243" t="n"/>
      <c r="L6" s="243" t="n"/>
      <c r="M6" s="243" t="n"/>
      <c r="N6" s="243" t="n"/>
      <c r="O6" s="243" t="n"/>
      <c r="P6" s="243" t="n"/>
      <c r="Q6" s="243" t="n"/>
      <c r="R6" s="243" t="n"/>
      <c r="S6" s="243" t="n"/>
      <c r="T6" s="243" t="n"/>
      <c r="U6" s="243" t="n"/>
    </row>
    <row r="7" ht="12" customHeight="1" s="244">
      <c r="A7" s="261" t="n"/>
      <c r="B7" s="477" t="n"/>
      <c r="C7" s="478" t="n"/>
      <c r="D7" s="477" t="n"/>
      <c r="E7" s="479" t="n"/>
      <c r="F7" s="480" t="inlineStr">
        <is>
          <t>P1</t>
        </is>
      </c>
      <c r="G7" s="480" t="inlineStr">
        <is>
          <t>P2</t>
        </is>
      </c>
      <c r="H7" s="480" t="inlineStr">
        <is>
          <t>P3</t>
        </is>
      </c>
      <c r="I7" s="480" t="inlineStr">
        <is>
          <t>P4</t>
        </is>
      </c>
      <c r="J7" s="480" t="inlineStr">
        <is>
          <t>P5</t>
        </is>
      </c>
      <c r="K7" s="480" t="inlineStr">
        <is>
          <t>P6</t>
        </is>
      </c>
      <c r="L7" s="480" t="inlineStr">
        <is>
          <t>P7</t>
        </is>
      </c>
      <c r="M7" s="480" t="inlineStr">
        <is>
          <t>P8</t>
        </is>
      </c>
      <c r="N7" s="480" t="inlineStr">
        <is>
          <t>P9</t>
        </is>
      </c>
      <c r="O7" s="480" t="inlineStr">
        <is>
          <t>P1</t>
        </is>
      </c>
      <c r="P7" s="480" t="inlineStr">
        <is>
          <t>P2</t>
        </is>
      </c>
      <c r="Q7" s="480" t="inlineStr">
        <is>
          <t>P3</t>
        </is>
      </c>
      <c r="R7" s="480" t="inlineStr">
        <is>
          <t>P4</t>
        </is>
      </c>
      <c r="S7" s="480" t="inlineStr">
        <is>
          <t>P5</t>
        </is>
      </c>
      <c r="T7" s="480" t="inlineStr">
        <is>
          <t>P6</t>
        </is>
      </c>
      <c r="U7" s="480" t="inlineStr">
        <is>
          <t>P7</t>
        </is>
      </c>
      <c r="V7" s="480" t="inlineStr">
        <is>
          <t>P8</t>
        </is>
      </c>
      <c r="W7" s="480" t="inlineStr">
        <is>
          <t>P9</t>
        </is>
      </c>
      <c r="X7" s="480" t="inlineStr">
        <is>
          <t>P1</t>
        </is>
      </c>
      <c r="Y7" s="480" t="inlineStr">
        <is>
          <t>P2</t>
        </is>
      </c>
      <c r="Z7" s="480" t="inlineStr">
        <is>
          <t>P3</t>
        </is>
      </c>
      <c r="AA7" s="480" t="inlineStr">
        <is>
          <t>P4</t>
        </is>
      </c>
      <c r="AB7" s="480" t="inlineStr">
        <is>
          <t>P5</t>
        </is>
      </c>
      <c r="AC7" s="480" t="inlineStr">
        <is>
          <t>P6</t>
        </is>
      </c>
      <c r="AD7" s="480" t="inlineStr">
        <is>
          <t>P7</t>
        </is>
      </c>
      <c r="AE7" s="480" t="inlineStr">
        <is>
          <t>P8</t>
        </is>
      </c>
      <c r="AF7" s="480" t="inlineStr">
        <is>
          <t>P9</t>
        </is>
      </c>
      <c r="AG7" s="480" t="inlineStr">
        <is>
          <t>P1</t>
        </is>
      </c>
      <c r="AH7" s="480" t="inlineStr">
        <is>
          <t>P2</t>
        </is>
      </c>
      <c r="AI7" s="480" t="inlineStr">
        <is>
          <t>P3</t>
        </is>
      </c>
      <c r="AJ7" s="480" t="inlineStr">
        <is>
          <t>P4</t>
        </is>
      </c>
      <c r="AK7" s="480" t="inlineStr">
        <is>
          <t>P5</t>
        </is>
      </c>
      <c r="AL7" s="480" t="inlineStr">
        <is>
          <t>P6</t>
        </is>
      </c>
      <c r="AM7" s="480" t="inlineStr">
        <is>
          <t>P1</t>
        </is>
      </c>
      <c r="AN7" s="480" t="inlineStr">
        <is>
          <t>P2</t>
        </is>
      </c>
      <c r="AO7" s="480" t="inlineStr">
        <is>
          <t>P3</t>
        </is>
      </c>
      <c r="AP7" s="480" t="inlineStr">
        <is>
          <t>P4</t>
        </is>
      </c>
      <c r="AQ7" s="480" t="inlineStr">
        <is>
          <t>P5</t>
        </is>
      </c>
      <c r="AR7" s="480" t="inlineStr">
        <is>
          <t>P6</t>
        </is>
      </c>
      <c r="AS7" s="480" t="inlineStr">
        <is>
          <t>P1</t>
        </is>
      </c>
      <c r="AT7" s="480" t="inlineStr">
        <is>
          <t>P2</t>
        </is>
      </c>
      <c r="AU7" s="480" t="inlineStr">
        <is>
          <t>P3</t>
        </is>
      </c>
      <c r="AV7" s="480" t="inlineStr">
        <is>
          <t>P4</t>
        </is>
      </c>
      <c r="AW7" s="480" t="inlineStr">
        <is>
          <t>P5</t>
        </is>
      </c>
      <c r="AX7" s="480" t="inlineStr">
        <is>
          <t>P6</t>
        </is>
      </c>
      <c r="AY7" s="480" t="inlineStr">
        <is>
          <t>P1</t>
        </is>
      </c>
      <c r="AZ7" s="480" t="inlineStr">
        <is>
          <t>P2</t>
        </is>
      </c>
      <c r="BA7" s="480" t="inlineStr">
        <is>
          <t>P3</t>
        </is>
      </c>
      <c r="BB7" s="480" t="inlineStr">
        <is>
          <t>P4</t>
        </is>
      </c>
      <c r="BC7" s="480" t="inlineStr">
        <is>
          <t>P5</t>
        </is>
      </c>
      <c r="BD7" s="480" t="inlineStr">
        <is>
          <t>P6</t>
        </is>
      </c>
      <c r="BE7" s="480" t="inlineStr">
        <is>
          <t>P1</t>
        </is>
      </c>
      <c r="BF7" s="480" t="inlineStr">
        <is>
          <t>P2</t>
        </is>
      </c>
      <c r="BG7" s="480" t="inlineStr">
        <is>
          <t>P3</t>
        </is>
      </c>
      <c r="BH7" s="480" t="inlineStr">
        <is>
          <t>P4</t>
        </is>
      </c>
      <c r="BI7" s="480" t="inlineStr">
        <is>
          <t>P5</t>
        </is>
      </c>
      <c r="BJ7" s="480" t="inlineStr">
        <is>
          <t>P6</t>
        </is>
      </c>
      <c r="BK7" s="480" t="inlineStr">
        <is>
          <t>P1</t>
        </is>
      </c>
      <c r="BL7" s="480" t="inlineStr">
        <is>
          <t>P2</t>
        </is>
      </c>
      <c r="BM7" s="480" t="inlineStr">
        <is>
          <t>P3</t>
        </is>
      </c>
      <c r="BN7" s="480" t="inlineStr">
        <is>
          <t>P4</t>
        </is>
      </c>
      <c r="BO7" s="480" t="inlineStr">
        <is>
          <t>P5</t>
        </is>
      </c>
      <c r="BP7" s="480" t="inlineStr">
        <is>
          <t>P6</t>
        </is>
      </c>
      <c r="BQ7" s="480" t="inlineStr">
        <is>
          <t>P1</t>
        </is>
      </c>
      <c r="BR7" s="480" t="inlineStr">
        <is>
          <t>P2</t>
        </is>
      </c>
      <c r="BS7" s="480" t="inlineStr">
        <is>
          <t>P3</t>
        </is>
      </c>
      <c r="BT7" s="480" t="inlineStr">
        <is>
          <t>P4</t>
        </is>
      </c>
      <c r="BU7" s="480" t="inlineStr">
        <is>
          <t>P5</t>
        </is>
      </c>
      <c r="BV7" s="480" t="inlineStr">
        <is>
          <t>P6</t>
        </is>
      </c>
      <c r="BW7" s="480" t="inlineStr">
        <is>
          <t>P7</t>
        </is>
      </c>
      <c r="BX7" s="480" t="inlineStr">
        <is>
          <t>P8</t>
        </is>
      </c>
      <c r="BY7" s="480" t="inlineStr">
        <is>
          <t>P1</t>
        </is>
      </c>
      <c r="BZ7" s="480" t="inlineStr">
        <is>
          <t>P2</t>
        </is>
      </c>
      <c r="CA7" s="480" t="inlineStr">
        <is>
          <t>P3</t>
        </is>
      </c>
      <c r="CB7" s="480" t="inlineStr">
        <is>
          <t>P4</t>
        </is>
      </c>
      <c r="CC7" s="480" t="inlineStr">
        <is>
          <t>P5</t>
        </is>
      </c>
      <c r="CD7" s="480" t="inlineStr">
        <is>
          <t>P6</t>
        </is>
      </c>
      <c r="CE7" s="480" t="inlineStr">
        <is>
          <t>P1</t>
        </is>
      </c>
      <c r="CF7" s="480" t="inlineStr">
        <is>
          <t>P2</t>
        </is>
      </c>
      <c r="CG7" s="480" t="inlineStr">
        <is>
          <t>P3</t>
        </is>
      </c>
      <c r="CH7" s="480" t="inlineStr">
        <is>
          <t>P4</t>
        </is>
      </c>
      <c r="CI7" s="480" t="inlineStr">
        <is>
          <t>P5</t>
        </is>
      </c>
      <c r="CJ7" s="480" t="inlineStr">
        <is>
          <t>P6</t>
        </is>
      </c>
      <c r="CK7" s="480" t="inlineStr">
        <is>
          <t>P7</t>
        </is>
      </c>
      <c r="CL7" s="480" t="inlineStr">
        <is>
          <t>P1</t>
        </is>
      </c>
      <c r="CM7" s="480" t="inlineStr">
        <is>
          <t>P2</t>
        </is>
      </c>
      <c r="CN7" s="480" t="inlineStr">
        <is>
          <t>P3</t>
        </is>
      </c>
      <c r="CO7" s="480" t="inlineStr">
        <is>
          <t>P4</t>
        </is>
      </c>
      <c r="CP7" s="480" t="inlineStr">
        <is>
          <t>P5</t>
        </is>
      </c>
      <c r="CQ7" s="480" t="inlineStr">
        <is>
          <t>P6</t>
        </is>
      </c>
      <c r="CR7" s="480" t="inlineStr">
        <is>
          <t>P7</t>
        </is>
      </c>
      <c r="CS7" s="480" t="inlineStr">
        <is>
          <t>P8</t>
        </is>
      </c>
      <c r="CT7" s="480" t="inlineStr">
        <is>
          <t>P1</t>
        </is>
      </c>
      <c r="CU7" s="480" t="inlineStr">
        <is>
          <t>P2</t>
        </is>
      </c>
      <c r="CV7" s="480" t="inlineStr">
        <is>
          <t>P3</t>
        </is>
      </c>
      <c r="CW7" s="480" t="inlineStr">
        <is>
          <t>P4</t>
        </is>
      </c>
      <c r="CX7" s="480" t="inlineStr">
        <is>
          <t>P5</t>
        </is>
      </c>
      <c r="CY7" s="480" t="inlineStr">
        <is>
          <t>P6</t>
        </is>
      </c>
      <c r="CZ7" s="480" t="inlineStr">
        <is>
          <t>P7</t>
        </is>
      </c>
      <c r="DA7" s="480" t="inlineStr">
        <is>
          <t>P8</t>
        </is>
      </c>
      <c r="DB7" s="480" t="inlineStr">
        <is>
          <t>P9</t>
        </is>
      </c>
      <c r="DC7" s="480" t="inlineStr">
        <is>
          <t>P10</t>
        </is>
      </c>
    </row>
    <row r="8" ht="12" customHeight="1" s="244">
      <c r="A8" s="261" t="n"/>
      <c r="B8" s="477" t="n"/>
      <c r="C8" s="478" t="n"/>
      <c r="D8" s="477" t="n"/>
      <c r="E8" s="479" t="n"/>
      <c r="F8" s="481" t="inlineStr">
        <is>
          <t>Z1A1-03</t>
        </is>
      </c>
      <c r="G8" s="481" t="inlineStr">
        <is>
          <t>Z1A1-05</t>
        </is>
      </c>
      <c r="H8" s="481" t="inlineStr">
        <is>
          <t>Z1A1-03</t>
        </is>
      </c>
      <c r="I8" s="481" t="inlineStr">
        <is>
          <t>Z1A1-05</t>
        </is>
      </c>
      <c r="J8" s="481" t="inlineStr">
        <is>
          <t>Z1A1-03</t>
        </is>
      </c>
      <c r="K8" s="481" t="inlineStr">
        <is>
          <t>Z1A1-04</t>
        </is>
      </c>
      <c r="L8" s="481" t="inlineStr">
        <is>
          <t>Z1A1-02</t>
        </is>
      </c>
      <c r="M8" s="481" t="inlineStr">
        <is>
          <t>Z1A1-04</t>
        </is>
      </c>
      <c r="N8" s="481" t="inlineStr">
        <is>
          <t>Z1A1-01</t>
        </is>
      </c>
      <c r="O8" s="481" t="inlineStr">
        <is>
          <t>Z1A2-03</t>
        </is>
      </c>
      <c r="P8" s="481" t="inlineStr">
        <is>
          <t>Z1A2-04</t>
        </is>
      </c>
      <c r="Q8" s="481" t="inlineStr">
        <is>
          <t>Z1A2-03</t>
        </is>
      </c>
      <c r="R8" s="481" t="inlineStr">
        <is>
          <t>Z1A2-04</t>
        </is>
      </c>
      <c r="S8" s="481" t="inlineStr">
        <is>
          <t>Z1A2-03</t>
        </is>
      </c>
      <c r="T8" s="481" t="inlineStr">
        <is>
          <t>Z1A2-05</t>
        </is>
      </c>
      <c r="U8" s="481" t="inlineStr">
        <is>
          <t>Z1A2-01</t>
        </is>
      </c>
      <c r="V8" s="481" t="inlineStr">
        <is>
          <t>Z1A2-05</t>
        </is>
      </c>
      <c r="W8" s="481" t="inlineStr">
        <is>
          <t>Z1A2-02</t>
        </is>
      </c>
      <c r="X8" s="481" t="inlineStr">
        <is>
          <t>Z1A3-03</t>
        </is>
      </c>
      <c r="Y8" s="481" t="inlineStr">
        <is>
          <t>Z1A3-05</t>
        </is>
      </c>
      <c r="Z8" s="481" t="inlineStr">
        <is>
          <t>Z1A3-03</t>
        </is>
      </c>
      <c r="AA8" s="481" t="inlineStr">
        <is>
          <t>Z1A3-05</t>
        </is>
      </c>
      <c r="AB8" s="481" t="inlineStr">
        <is>
          <t>Z1A3-03</t>
        </is>
      </c>
      <c r="AC8" s="481" t="inlineStr">
        <is>
          <t>Z1A3-04</t>
        </is>
      </c>
      <c r="AD8" s="481" t="inlineStr">
        <is>
          <t>Z1A3-02</t>
        </is>
      </c>
      <c r="AE8" s="481" t="inlineStr">
        <is>
          <t>Z1A3-01</t>
        </is>
      </c>
      <c r="AF8" s="481" t="inlineStr">
        <is>
          <t>Z1A3-04</t>
        </is>
      </c>
      <c r="AG8" s="481" t="inlineStr">
        <is>
          <t>Z1B1-02</t>
        </is>
      </c>
      <c r="AH8" s="481" t="inlineStr">
        <is>
          <t>Z1B1-04</t>
        </is>
      </c>
      <c r="AI8" s="481" t="inlineStr">
        <is>
          <t>Z1B1-02</t>
        </is>
      </c>
      <c r="AJ8" s="481" t="inlineStr">
        <is>
          <t>Z1B1-01</t>
        </is>
      </c>
      <c r="AK8" s="481" t="inlineStr">
        <is>
          <t>Z1B1-01</t>
        </is>
      </c>
      <c r="AL8" s="481" t="inlineStr">
        <is>
          <t>Z1B1-01</t>
        </is>
      </c>
      <c r="AM8" s="481" t="inlineStr">
        <is>
          <t>Z1B2-03</t>
        </is>
      </c>
      <c r="AN8" s="481" t="inlineStr">
        <is>
          <t>Z1B2-04</t>
        </is>
      </c>
      <c r="AO8" s="481" t="inlineStr">
        <is>
          <t>Z1B2-03</t>
        </is>
      </c>
      <c r="AP8" s="481" t="inlineStr">
        <is>
          <t>Z1B2-01</t>
        </is>
      </c>
      <c r="AQ8" s="481" t="inlineStr">
        <is>
          <t>Z1B2-01</t>
        </is>
      </c>
      <c r="AR8" s="481" t="inlineStr">
        <is>
          <t>Z1B2-01</t>
        </is>
      </c>
      <c r="AS8" s="481" t="inlineStr">
        <is>
          <t>Z1B3-02</t>
        </is>
      </c>
      <c r="AT8" s="481" t="inlineStr">
        <is>
          <t>Z1B3-04</t>
        </is>
      </c>
      <c r="AU8" s="481" t="inlineStr">
        <is>
          <t>Z1B3-02</t>
        </is>
      </c>
      <c r="AV8" s="481" t="inlineStr">
        <is>
          <t>Z1B3-01</t>
        </is>
      </c>
      <c r="AW8" s="481" t="inlineStr">
        <is>
          <t>Z1B3-01</t>
        </is>
      </c>
      <c r="AX8" s="481" t="inlineStr">
        <is>
          <t>Z1B3-01</t>
        </is>
      </c>
      <c r="AY8" s="481" t="inlineStr">
        <is>
          <t>Z1C1-02</t>
        </is>
      </c>
      <c r="AZ8" s="481" t="inlineStr">
        <is>
          <t>Z1C1-02</t>
        </is>
      </c>
      <c r="BA8" s="481" t="inlineStr">
        <is>
          <t>Z1C1-04</t>
        </is>
      </c>
      <c r="BB8" s="481" t="inlineStr">
        <is>
          <t>Z1C1-01</t>
        </is>
      </c>
      <c r="BC8" s="481" t="inlineStr">
        <is>
          <t>Z1C1-04</t>
        </is>
      </c>
      <c r="BD8" s="481" t="inlineStr">
        <is>
          <t>Z1C1-01</t>
        </is>
      </c>
      <c r="BE8" s="481" t="inlineStr">
        <is>
          <t>Z1C2-02</t>
        </is>
      </c>
      <c r="BF8" s="481" t="inlineStr">
        <is>
          <t>Z1C2-02</t>
        </is>
      </c>
      <c r="BG8" s="481" t="inlineStr">
        <is>
          <t>Z1C2-01</t>
        </is>
      </c>
      <c r="BH8" s="481" t="inlineStr">
        <is>
          <t>Z1C2-03</t>
        </is>
      </c>
      <c r="BI8" s="481" t="inlineStr">
        <is>
          <t>Z1C2-01</t>
        </is>
      </c>
      <c r="BJ8" s="481" t="inlineStr">
        <is>
          <t>Z1C2-01</t>
        </is>
      </c>
      <c r="BK8" s="481" t="inlineStr">
        <is>
          <t>Z1C3-02</t>
        </is>
      </c>
      <c r="BL8" s="481" t="inlineStr">
        <is>
          <t>Z1C3-02</t>
        </is>
      </c>
      <c r="BM8" s="481" t="inlineStr">
        <is>
          <t>Z1C3-03</t>
        </is>
      </c>
      <c r="BN8" s="481" t="inlineStr">
        <is>
          <t>Z1C3-01</t>
        </is>
      </c>
      <c r="BO8" s="481" t="inlineStr">
        <is>
          <t>Z1C3-04</t>
        </is>
      </c>
      <c r="BP8" s="481" t="inlineStr">
        <is>
          <t>Z1C3-01</t>
        </is>
      </c>
      <c r="BQ8" s="481" t="inlineStr">
        <is>
          <t>Z1D1-02</t>
        </is>
      </c>
      <c r="BR8" s="481" t="inlineStr">
        <is>
          <t>Z1D1-04</t>
        </is>
      </c>
      <c r="BS8" s="481" t="inlineStr">
        <is>
          <t>Z1D1-02</t>
        </is>
      </c>
      <c r="BT8" s="481" t="inlineStr">
        <is>
          <t>Z1D1-03</t>
        </is>
      </c>
      <c r="BU8" s="481" t="inlineStr">
        <is>
          <t>Z1D1-01</t>
        </is>
      </c>
      <c r="BV8" s="481" t="inlineStr">
        <is>
          <t>Z1D1-01</t>
        </is>
      </c>
      <c r="BW8" s="481" t="inlineStr">
        <is>
          <t>Z1D1-01</t>
        </is>
      </c>
      <c r="BX8" s="481" t="inlineStr">
        <is>
          <t>Z1D1-01</t>
        </is>
      </c>
      <c r="BY8" s="481" t="inlineStr">
        <is>
          <t>Z1D2-02</t>
        </is>
      </c>
      <c r="BZ8" s="481" t="inlineStr">
        <is>
          <t>Z1D2-02</t>
        </is>
      </c>
      <c r="CA8" s="481" t="inlineStr">
        <is>
          <t>Z1D2-03</t>
        </is>
      </c>
      <c r="CB8" s="481" t="inlineStr">
        <is>
          <t>Z1D2-02</t>
        </is>
      </c>
      <c r="CC8" s="481" t="inlineStr">
        <is>
          <t>Z1D2-01</t>
        </is>
      </c>
      <c r="CD8" s="481" t="inlineStr">
        <is>
          <t>Z1D2-01</t>
        </is>
      </c>
      <c r="CE8" s="481" t="inlineStr">
        <is>
          <t>Z1D3-04</t>
        </is>
      </c>
      <c r="CF8" s="481" t="inlineStr">
        <is>
          <t>Z1D3-04</t>
        </is>
      </c>
      <c r="CG8" s="481" t="inlineStr">
        <is>
          <t>Z1D3-04</t>
        </is>
      </c>
      <c r="CH8" s="481" t="inlineStr">
        <is>
          <t>Z1D3-03</t>
        </is>
      </c>
      <c r="CI8" s="481" t="inlineStr">
        <is>
          <t>Z1D3-02</t>
        </is>
      </c>
      <c r="CJ8" s="481" t="inlineStr">
        <is>
          <t>Z1D3-01</t>
        </is>
      </c>
      <c r="CK8" s="481" t="inlineStr">
        <is>
          <t>Z1D3-01</t>
        </is>
      </c>
      <c r="CL8" s="481" t="inlineStr">
        <is>
          <t>Z1E1-05</t>
        </is>
      </c>
      <c r="CM8" s="481" t="inlineStr">
        <is>
          <t>Z1E1-04</t>
        </is>
      </c>
      <c r="CN8" s="481" t="inlineStr">
        <is>
          <t>Z1E1-02</t>
        </is>
      </c>
      <c r="CO8" s="481" t="inlineStr">
        <is>
          <t>Z1E1-03</t>
        </is>
      </c>
      <c r="CP8" s="481" t="inlineStr">
        <is>
          <t>Z1E1-01</t>
        </is>
      </c>
      <c r="CQ8" s="481" t="inlineStr">
        <is>
          <t>Z1E1-01</t>
        </is>
      </c>
      <c r="CR8" s="481" t="inlineStr">
        <is>
          <t>Z1E1-01</t>
        </is>
      </c>
      <c r="CS8" s="481" t="inlineStr">
        <is>
          <t>Z1E1-01</t>
        </is>
      </c>
      <c r="CT8" s="481" t="inlineStr">
        <is>
          <t>Z1E2-02</t>
        </is>
      </c>
      <c r="CU8" s="481" t="inlineStr">
        <is>
          <t>Z1E2-04</t>
        </is>
      </c>
      <c r="CV8" s="481" t="inlineStr">
        <is>
          <t>Z1E2-04</t>
        </is>
      </c>
      <c r="CW8" s="481" t="inlineStr">
        <is>
          <t>Z1E2-05</t>
        </is>
      </c>
      <c r="CX8" s="481" t="inlineStr">
        <is>
          <t>Z1E2-02</t>
        </is>
      </c>
      <c r="CY8" s="481" t="inlineStr">
        <is>
          <t>Z1E2-03</t>
        </is>
      </c>
      <c r="CZ8" s="481" t="inlineStr">
        <is>
          <t>Z1E2-01</t>
        </is>
      </c>
      <c r="DA8" s="481" t="inlineStr">
        <is>
          <t>Z1E2-01</t>
        </is>
      </c>
      <c r="DB8" s="481" t="inlineStr">
        <is>
          <t>Z1E2-01</t>
        </is>
      </c>
      <c r="DC8" s="481" t="inlineStr">
        <is>
          <t>Z1E2-01</t>
        </is>
      </c>
    </row>
    <row r="9" ht="30" customHeight="1" s="244">
      <c r="A9" s="261" t="n"/>
      <c r="B9" s="282" t="n"/>
      <c r="C9" s="482" t="n"/>
      <c r="D9" s="261" t="n"/>
      <c r="E9" s="259" t="n"/>
      <c r="F9" s="483" t="inlineStr">
        <is>
          <t>A1 ODA 1</t>
        </is>
      </c>
      <c r="G9" s="483" t="inlineStr">
        <is>
          <t>A1 ODA 2</t>
        </is>
      </c>
      <c r="H9" s="483" t="inlineStr">
        <is>
          <t>A1 ODA 1</t>
        </is>
      </c>
      <c r="I9" s="483" t="inlineStr">
        <is>
          <t>A1 ODA 2</t>
        </is>
      </c>
      <c r="J9" s="483" t="inlineStr">
        <is>
          <t>A1 ODA 1</t>
        </is>
      </c>
      <c r="K9" s="483" t="inlineStr">
        <is>
          <t>A1 HOL</t>
        </is>
      </c>
      <c r="L9" s="483" t="inlineStr">
        <is>
          <t>A1 MUTFAK</t>
        </is>
      </c>
      <c r="M9" s="483" t="inlineStr">
        <is>
          <t>A1 HOL</t>
        </is>
      </c>
      <c r="N9" s="483" t="inlineStr">
        <is>
          <t>A1 BANYO</t>
        </is>
      </c>
      <c r="O9" s="483" t="inlineStr">
        <is>
          <t>A2 ODA 1</t>
        </is>
      </c>
      <c r="P9" s="483" t="inlineStr">
        <is>
          <t>A2 ODA 2</t>
        </is>
      </c>
      <c r="Q9" s="483" t="inlineStr">
        <is>
          <t>A2 ODA 1</t>
        </is>
      </c>
      <c r="R9" s="483" t="inlineStr">
        <is>
          <t>A2 ODA 2</t>
        </is>
      </c>
      <c r="S9" s="483" t="inlineStr">
        <is>
          <t>A2 ODA 1</t>
        </is>
      </c>
      <c r="T9" s="483" t="inlineStr">
        <is>
          <t>A2 HOL</t>
        </is>
      </c>
      <c r="U9" s="483" t="inlineStr">
        <is>
          <t>A2 MUTFAK</t>
        </is>
      </c>
      <c r="V9" s="483" t="inlineStr">
        <is>
          <t>A2 HOL</t>
        </is>
      </c>
      <c r="W9" s="483" t="inlineStr">
        <is>
          <t>A2 BANYO</t>
        </is>
      </c>
      <c r="X9" s="483" t="inlineStr">
        <is>
          <t>A3 ODA 1</t>
        </is>
      </c>
      <c r="Y9" s="483" t="inlineStr">
        <is>
          <t>A3 ODA 2</t>
        </is>
      </c>
      <c r="Z9" s="483" t="inlineStr">
        <is>
          <t>A3 ODA 1</t>
        </is>
      </c>
      <c r="AA9" s="483" t="inlineStr">
        <is>
          <t>A3 ODA 2</t>
        </is>
      </c>
      <c r="AB9" s="483" t="inlineStr">
        <is>
          <t>A3 ODA 1</t>
        </is>
      </c>
      <c r="AC9" s="483" t="inlineStr">
        <is>
          <t>A3 HOL</t>
        </is>
      </c>
      <c r="AD9" s="483" t="inlineStr">
        <is>
          <t>A3 MUTFAK</t>
        </is>
      </c>
      <c r="AE9" s="483" t="inlineStr">
        <is>
          <t>A3 BANYO</t>
        </is>
      </c>
      <c r="AF9" s="483" t="inlineStr">
        <is>
          <t>A3 HOL</t>
        </is>
      </c>
      <c r="AG9" s="483" t="inlineStr">
        <is>
          <t>B1 GİRİŞ KARŞ</t>
        </is>
      </c>
      <c r="AH9" s="483" t="inlineStr">
        <is>
          <t>B1 BANYO</t>
        </is>
      </c>
      <c r="AI9" s="483" t="inlineStr">
        <is>
          <t>B1 GİRİŞ KARŞ</t>
        </is>
      </c>
      <c r="AJ9" s="483" t="inlineStr">
        <is>
          <t>B1 ODA</t>
        </is>
      </c>
      <c r="AK9" s="483" t="inlineStr">
        <is>
          <t>B1 ODA</t>
        </is>
      </c>
      <c r="AL9" s="483" t="inlineStr">
        <is>
          <t>B1 ODA</t>
        </is>
      </c>
      <c r="AM9" s="483" t="inlineStr">
        <is>
          <t>B2 GİRİŞ KARŞ</t>
        </is>
      </c>
      <c r="AN9" s="483" t="inlineStr">
        <is>
          <t>B2 BANYO</t>
        </is>
      </c>
      <c r="AO9" s="483" t="inlineStr">
        <is>
          <t>B2 GİRİŞ KARŞ</t>
        </is>
      </c>
      <c r="AP9" s="483" t="inlineStr">
        <is>
          <t>B2 ODA</t>
        </is>
      </c>
      <c r="AQ9" s="483" t="inlineStr">
        <is>
          <t>B2 ODA</t>
        </is>
      </c>
      <c r="AR9" s="483" t="inlineStr">
        <is>
          <t>B2 ODA</t>
        </is>
      </c>
      <c r="AS9" s="483" t="inlineStr">
        <is>
          <t>B3 GİRİŞ KARŞ</t>
        </is>
      </c>
      <c r="AT9" s="483" t="inlineStr">
        <is>
          <t>B3 BANYO</t>
        </is>
      </c>
      <c r="AU9" s="483" t="inlineStr">
        <is>
          <t>B3 GİRİŞ KARŞ</t>
        </is>
      </c>
      <c r="AV9" s="483" t="inlineStr">
        <is>
          <t>B3 ODA</t>
        </is>
      </c>
      <c r="AW9" s="483" t="inlineStr">
        <is>
          <t>B3 ODA</t>
        </is>
      </c>
      <c r="AX9" s="483" t="inlineStr">
        <is>
          <t>B3 ODA</t>
        </is>
      </c>
      <c r="AY9" s="483" t="inlineStr">
        <is>
          <t>C1 ODA</t>
        </is>
      </c>
      <c r="AZ9" s="483" t="inlineStr">
        <is>
          <t>C1 ODA</t>
        </is>
      </c>
      <c r="BA9" s="483" t="inlineStr">
        <is>
          <t>C1 BANYO</t>
        </is>
      </c>
      <c r="BB9" s="483" t="inlineStr">
        <is>
          <t>C1 GİRİŞ HOLÜ</t>
        </is>
      </c>
      <c r="BC9" s="483" t="inlineStr">
        <is>
          <t>C1 BANYO</t>
        </is>
      </c>
      <c r="BD9" s="483" t="inlineStr">
        <is>
          <t>C1 GİRİŞ HOLÜ</t>
        </is>
      </c>
      <c r="BE9" s="483" t="inlineStr">
        <is>
          <t>C2 GİRİŞ HOLÜ</t>
        </is>
      </c>
      <c r="BF9" s="483" t="inlineStr">
        <is>
          <t>C2 GİRİŞ HOLÜ</t>
        </is>
      </c>
      <c r="BG9" s="483" t="inlineStr">
        <is>
          <t>C2 GİRİŞ HOLÜ</t>
        </is>
      </c>
      <c r="BH9" s="483" t="inlineStr">
        <is>
          <t>C2 MUTFAK</t>
        </is>
      </c>
      <c r="BI9" s="483" t="inlineStr">
        <is>
          <t>C2 GİRİŞ HOLÜ</t>
        </is>
      </c>
      <c r="BJ9" s="483" t="inlineStr">
        <is>
          <t>C2 GİRİŞ HOLÜ</t>
        </is>
      </c>
      <c r="BK9" s="483" t="inlineStr">
        <is>
          <t>C3 GİRİŞ HOLÜ</t>
        </is>
      </c>
      <c r="BL9" s="483" t="inlineStr">
        <is>
          <t>C3 GİRİŞ HOLÜ</t>
        </is>
      </c>
      <c r="BM9" s="483" t="inlineStr">
        <is>
          <t>C3 MUTFAK</t>
        </is>
      </c>
      <c r="BN9" s="483" t="inlineStr">
        <is>
          <t>C3 GİRİŞ HOLÜ</t>
        </is>
      </c>
      <c r="BO9" s="483" t="inlineStr">
        <is>
          <t>C3 BANYO</t>
        </is>
      </c>
      <c r="BP9" s="483" t="inlineStr">
        <is>
          <t>C3 GİRİŞ HOLÜ</t>
        </is>
      </c>
      <c r="BQ9" s="483" t="inlineStr">
        <is>
          <t>D1 GİRİŞ HOLÜ</t>
        </is>
      </c>
      <c r="BR9" s="483" t="inlineStr">
        <is>
          <t>D1 BANYO</t>
        </is>
      </c>
      <c r="BS9" s="483" t="inlineStr">
        <is>
          <t>D1 GİRİŞ HOLÜ</t>
        </is>
      </c>
      <c r="BT9" s="483" t="inlineStr">
        <is>
          <t>D1 MUTFAK</t>
        </is>
      </c>
      <c r="BU9" s="483" t="inlineStr">
        <is>
          <t>D1 ODA</t>
        </is>
      </c>
      <c r="BV9" s="483" t="inlineStr">
        <is>
          <t>D1 ODA</t>
        </is>
      </c>
      <c r="BW9" s="483" t="inlineStr">
        <is>
          <t>D1 ODA</t>
        </is>
      </c>
      <c r="BX9" s="483" t="inlineStr">
        <is>
          <t>D1 ODA</t>
        </is>
      </c>
      <c r="BY9" s="483" t="inlineStr">
        <is>
          <t>D2 GİRİŞ HOLÜ</t>
        </is>
      </c>
      <c r="BZ9" s="483" t="inlineStr">
        <is>
          <t>D2 GİRİŞ HOLÜ</t>
        </is>
      </c>
      <c r="CA9" s="483" t="inlineStr">
        <is>
          <t>D2 MUTFAK</t>
        </is>
      </c>
      <c r="CB9" s="483" t="inlineStr">
        <is>
          <t>D2 GİRİŞ HOLÜ</t>
        </is>
      </c>
      <c r="CC9" s="483" t="inlineStr">
        <is>
          <t>D2 ODA</t>
        </is>
      </c>
      <c r="CD9" s="483" t="inlineStr">
        <is>
          <t>D2 ODA</t>
        </is>
      </c>
      <c r="CE9" s="483" t="inlineStr">
        <is>
          <t>D3 GİRİŞ HOLÜ</t>
        </is>
      </c>
      <c r="CF9" s="483" t="inlineStr">
        <is>
          <t>D3 GİRİŞ HOLÜ</t>
        </is>
      </c>
      <c r="CG9" s="483" t="inlineStr">
        <is>
          <t>D3 GİRİŞ HOLÜ</t>
        </is>
      </c>
      <c r="CH9" s="483" t="inlineStr">
        <is>
          <t>D3 BANYO</t>
        </is>
      </c>
      <c r="CI9" s="483" t="inlineStr">
        <is>
          <t>D3 MUTFAK</t>
        </is>
      </c>
      <c r="CJ9" s="483" t="inlineStr">
        <is>
          <t>D3 ODA</t>
        </is>
      </c>
      <c r="CK9" s="483" t="inlineStr">
        <is>
          <t>D3 ODA</t>
        </is>
      </c>
      <c r="CL9" s="483" t="inlineStr">
        <is>
          <t>E1 BANYO</t>
        </is>
      </c>
      <c r="CM9" s="483" t="inlineStr">
        <is>
          <t>E1 MUTFAK</t>
        </is>
      </c>
      <c r="CN9" s="483" t="inlineStr">
        <is>
          <t>E1 GİRİŞ HOLÜ</t>
        </is>
      </c>
      <c r="CO9" s="483" t="inlineStr">
        <is>
          <t>E1 ODA</t>
        </is>
      </c>
      <c r="CP9" s="483" t="inlineStr">
        <is>
          <t>E1 ODA</t>
        </is>
      </c>
      <c r="CQ9" s="483" t="inlineStr">
        <is>
          <t>E1 ODA</t>
        </is>
      </c>
      <c r="CR9" s="483" t="inlineStr">
        <is>
          <t>E1 ODA</t>
        </is>
      </c>
      <c r="CS9" s="483" t="inlineStr">
        <is>
          <t>E1 ODA</t>
        </is>
      </c>
      <c r="CT9" s="483" t="inlineStr">
        <is>
          <t>E2 GİRİŞ HOLÜ</t>
        </is>
      </c>
      <c r="CU9" s="483" t="inlineStr">
        <is>
          <t>E2 ODA</t>
        </is>
      </c>
      <c r="CV9" s="483" t="inlineStr">
        <is>
          <t>E2 ODA</t>
        </is>
      </c>
      <c r="CW9" s="483" t="inlineStr">
        <is>
          <t>E2 BANYO</t>
        </is>
      </c>
      <c r="CX9" s="483" t="inlineStr">
        <is>
          <t>E2 GİRİŞ HOLÜ</t>
        </is>
      </c>
      <c r="CY9" s="483" t="inlineStr">
        <is>
          <t>E2 MUTFAK</t>
        </is>
      </c>
      <c r="CZ9" s="483" t="inlineStr">
        <is>
          <t>E2 ODA</t>
        </is>
      </c>
      <c r="DA9" s="483" t="inlineStr">
        <is>
          <t>E2 ODA</t>
        </is>
      </c>
      <c r="DB9" s="483" t="inlineStr">
        <is>
          <t>E2 ODA</t>
        </is>
      </c>
      <c r="DC9" s="483" t="inlineStr">
        <is>
          <t>E2 ODA</t>
        </is>
      </c>
    </row>
    <row r="10" ht="12" customHeight="1" s="244">
      <c r="A10" s="261" t="n"/>
      <c r="B10" s="282" t="n"/>
      <c r="C10" s="482" t="n"/>
      <c r="D10" s="261" t="n"/>
      <c r="E10" s="259" t="n"/>
      <c r="F10" s="484" t="n">
        <v>20</v>
      </c>
      <c r="G10" s="484" t="n">
        <v>20</v>
      </c>
      <c r="H10" s="484" t="n">
        <v>20</v>
      </c>
      <c r="I10" s="484" t="n">
        <v>20</v>
      </c>
      <c r="J10" s="484" t="n">
        <v>20</v>
      </c>
      <c r="K10" s="484" t="n">
        <v>20</v>
      </c>
      <c r="L10" s="484" t="n">
        <v>20</v>
      </c>
      <c r="M10" s="484" t="n">
        <v>20</v>
      </c>
      <c r="N10" s="484" t="n">
        <v>24</v>
      </c>
      <c r="O10" s="484" t="n">
        <v>20</v>
      </c>
      <c r="P10" s="484" t="n">
        <v>20</v>
      </c>
      <c r="Q10" s="484" t="n">
        <v>20</v>
      </c>
      <c r="R10" s="484" t="n">
        <v>20</v>
      </c>
      <c r="S10" s="484" t="n">
        <v>20</v>
      </c>
      <c r="T10" s="484" t="n">
        <v>20</v>
      </c>
      <c r="U10" s="484" t="n">
        <v>20</v>
      </c>
      <c r="V10" s="484" t="n">
        <v>20</v>
      </c>
      <c r="W10" s="484" t="n">
        <v>24</v>
      </c>
      <c r="X10" s="484" t="n">
        <v>20</v>
      </c>
      <c r="Y10" s="484" t="n">
        <v>20</v>
      </c>
      <c r="Z10" s="484" t="n">
        <v>20</v>
      </c>
      <c r="AA10" s="484" t="n">
        <v>20</v>
      </c>
      <c r="AB10" s="484" t="n">
        <v>20</v>
      </c>
      <c r="AC10" s="484" t="n">
        <v>20</v>
      </c>
      <c r="AD10" s="484" t="n">
        <v>20</v>
      </c>
      <c r="AE10" s="484" t="n">
        <v>24</v>
      </c>
      <c r="AF10" s="484" t="n">
        <v>20</v>
      </c>
      <c r="AG10" s="484" t="n">
        <v>20</v>
      </c>
      <c r="AH10" s="484" t="n">
        <v>24</v>
      </c>
      <c r="AI10" s="484" t="n">
        <v>20</v>
      </c>
      <c r="AJ10" s="484" t="n">
        <v>20</v>
      </c>
      <c r="AK10" s="484" t="n">
        <v>20</v>
      </c>
      <c r="AL10" s="484" t="n">
        <v>20</v>
      </c>
      <c r="AM10" s="484" t="n">
        <v>20</v>
      </c>
      <c r="AN10" s="484" t="n">
        <v>24</v>
      </c>
      <c r="AO10" s="484" t="n">
        <v>20</v>
      </c>
      <c r="AP10" s="484" t="n">
        <v>20</v>
      </c>
      <c r="AQ10" s="484" t="n">
        <v>20</v>
      </c>
      <c r="AR10" s="484" t="n">
        <v>20</v>
      </c>
      <c r="AS10" s="484" t="n">
        <v>20</v>
      </c>
      <c r="AT10" s="484" t="n">
        <v>24</v>
      </c>
      <c r="AU10" s="484" t="n">
        <v>20</v>
      </c>
      <c r="AV10" s="484" t="n">
        <v>20</v>
      </c>
      <c r="AW10" s="484" t="n">
        <v>20</v>
      </c>
      <c r="AX10" s="484" t="n">
        <v>20</v>
      </c>
      <c r="AY10" s="484" t="n">
        <v>20</v>
      </c>
      <c r="AZ10" s="484" t="n">
        <v>20</v>
      </c>
      <c r="BA10" s="484" t="n">
        <v>24</v>
      </c>
      <c r="BB10" s="484" t="n">
        <v>20</v>
      </c>
      <c r="BC10" s="484" t="n">
        <v>24</v>
      </c>
      <c r="BD10" s="484" t="n">
        <v>20</v>
      </c>
      <c r="BE10" s="484" t="n">
        <v>20</v>
      </c>
      <c r="BF10" s="484" t="n">
        <v>20</v>
      </c>
      <c r="BG10" s="484" t="n">
        <v>20</v>
      </c>
      <c r="BH10" s="484" t="n">
        <v>20</v>
      </c>
      <c r="BI10" s="484" t="n">
        <v>20</v>
      </c>
      <c r="BJ10" s="484" t="n">
        <v>20</v>
      </c>
      <c r="BK10" s="484" t="n">
        <v>20</v>
      </c>
      <c r="BL10" s="484" t="n">
        <v>20</v>
      </c>
      <c r="BM10" s="484" t="n">
        <v>20</v>
      </c>
      <c r="BN10" s="484" t="n">
        <v>20</v>
      </c>
      <c r="BO10" s="484" t="n">
        <v>24</v>
      </c>
      <c r="BP10" s="484" t="n">
        <v>20</v>
      </c>
      <c r="BQ10" s="484" t="n">
        <v>20</v>
      </c>
      <c r="BR10" s="484" t="n">
        <v>24</v>
      </c>
      <c r="BS10" s="484" t="n">
        <v>20</v>
      </c>
      <c r="BT10" s="484" t="n">
        <v>20</v>
      </c>
      <c r="BU10" s="484" t="n">
        <v>20</v>
      </c>
      <c r="BV10" s="484" t="n">
        <v>20</v>
      </c>
      <c r="BW10" s="484" t="n">
        <v>20</v>
      </c>
      <c r="BX10" s="484" t="n">
        <v>20</v>
      </c>
      <c r="BY10" s="484" t="n">
        <v>20</v>
      </c>
      <c r="BZ10" s="484" t="n">
        <v>20</v>
      </c>
      <c r="CA10" s="484" t="n">
        <v>20</v>
      </c>
      <c r="CB10" s="484" t="n">
        <v>20</v>
      </c>
      <c r="CC10" s="484" t="n">
        <v>20</v>
      </c>
      <c r="CD10" s="484" t="n">
        <v>20</v>
      </c>
      <c r="CE10" s="484" t="n">
        <v>20</v>
      </c>
      <c r="CF10" s="484" t="n">
        <v>20</v>
      </c>
      <c r="CG10" s="484" t="n">
        <v>20</v>
      </c>
      <c r="CH10" s="484" t="n">
        <v>24</v>
      </c>
      <c r="CI10" s="484" t="n">
        <v>20</v>
      </c>
      <c r="CJ10" s="484" t="n">
        <v>20</v>
      </c>
      <c r="CK10" s="484" t="n">
        <v>20</v>
      </c>
      <c r="CL10" s="484" t="n">
        <v>24</v>
      </c>
      <c r="CM10" s="484" t="n">
        <v>20</v>
      </c>
      <c r="CN10" s="484" t="n">
        <v>20</v>
      </c>
      <c r="CO10" s="484" t="n">
        <v>20</v>
      </c>
      <c r="CP10" s="484" t="n">
        <v>20</v>
      </c>
      <c r="CQ10" s="484" t="n">
        <v>20</v>
      </c>
      <c r="CR10" s="484" t="n">
        <v>20</v>
      </c>
      <c r="CS10" s="484" t="n">
        <v>20</v>
      </c>
      <c r="CT10" s="484" t="n">
        <v>20</v>
      </c>
      <c r="CU10" s="484" t="n">
        <v>20</v>
      </c>
      <c r="CV10" s="484" t="n">
        <v>20</v>
      </c>
      <c r="CW10" s="484" t="n">
        <v>24</v>
      </c>
      <c r="CX10" s="484" t="n">
        <v>20</v>
      </c>
      <c r="CY10" s="484" t="n">
        <v>20</v>
      </c>
      <c r="CZ10" s="484" t="n">
        <v>20</v>
      </c>
      <c r="DA10" s="484" t="n">
        <v>20</v>
      </c>
      <c r="DB10" s="484" t="n">
        <v>20</v>
      </c>
      <c r="DC10" s="484" t="n">
        <v>20</v>
      </c>
    </row>
    <row r="11" ht="12" customHeight="1" s="244">
      <c r="A11" s="261" t="n"/>
      <c r="B11" s="282" t="n"/>
      <c r="C11" s="482" t="n"/>
      <c r="D11" s="261" t="n"/>
      <c r="E11" s="259" t="n"/>
      <c r="F11" s="484" t="n">
        <v>20</v>
      </c>
      <c r="G11" s="484" t="n">
        <v>20</v>
      </c>
      <c r="H11" s="484" t="n">
        <v>20</v>
      </c>
      <c r="I11" s="484" t="n">
        <v>20</v>
      </c>
      <c r="J11" s="484" t="n">
        <v>20</v>
      </c>
      <c r="K11" s="484" t="n">
        <v>20</v>
      </c>
      <c r="L11" s="484" t="n">
        <v>20</v>
      </c>
      <c r="M11" s="484" t="n">
        <v>20</v>
      </c>
      <c r="N11" s="484" t="n">
        <v>20</v>
      </c>
      <c r="O11" s="484" t="n">
        <v>20</v>
      </c>
      <c r="P11" s="484" t="n">
        <v>20</v>
      </c>
      <c r="Q11" s="484" t="n">
        <v>20</v>
      </c>
      <c r="R11" s="484" t="n">
        <v>20</v>
      </c>
      <c r="S11" s="484" t="n">
        <v>20</v>
      </c>
      <c r="T11" s="484" t="n">
        <v>20</v>
      </c>
      <c r="U11" s="484" t="n">
        <v>20</v>
      </c>
      <c r="V11" s="484" t="n">
        <v>20</v>
      </c>
      <c r="W11" s="484" t="n">
        <v>20</v>
      </c>
      <c r="X11" s="484" t="n">
        <v>20</v>
      </c>
      <c r="Y11" s="484" t="n">
        <v>20</v>
      </c>
      <c r="Z11" s="484" t="n">
        <v>20</v>
      </c>
      <c r="AA11" s="484" t="n">
        <v>20</v>
      </c>
      <c r="AB11" s="484" t="n">
        <v>20</v>
      </c>
      <c r="AC11" s="484" t="n">
        <v>20</v>
      </c>
      <c r="AD11" s="484" t="n">
        <v>20</v>
      </c>
      <c r="AE11" s="484" t="n">
        <v>20</v>
      </c>
      <c r="AF11" s="484" t="n">
        <v>20</v>
      </c>
      <c r="AG11" s="484" t="n">
        <v>20</v>
      </c>
      <c r="AH11" s="484" t="n">
        <v>20</v>
      </c>
      <c r="AI11" s="484" t="n">
        <v>20</v>
      </c>
      <c r="AJ11" s="484" t="n">
        <v>20</v>
      </c>
      <c r="AK11" s="484" t="n">
        <v>20</v>
      </c>
      <c r="AL11" s="484" t="n">
        <v>20</v>
      </c>
      <c r="AM11" s="484" t="n">
        <v>20</v>
      </c>
      <c r="AN11" s="484" t="n">
        <v>20</v>
      </c>
      <c r="AO11" s="484" t="n">
        <v>20</v>
      </c>
      <c r="AP11" s="484" t="n">
        <v>20</v>
      </c>
      <c r="AQ11" s="484" t="n">
        <v>20</v>
      </c>
      <c r="AR11" s="484" t="n">
        <v>20</v>
      </c>
      <c r="AS11" s="484" t="n">
        <v>20</v>
      </c>
      <c r="AT11" s="484" t="n">
        <v>20</v>
      </c>
      <c r="AU11" s="484" t="n">
        <v>20</v>
      </c>
      <c r="AV11" s="484" t="n">
        <v>20</v>
      </c>
      <c r="AW11" s="484" t="n">
        <v>20</v>
      </c>
      <c r="AX11" s="484" t="n">
        <v>20</v>
      </c>
      <c r="AY11" s="484" t="n">
        <v>20</v>
      </c>
      <c r="AZ11" s="484" t="n">
        <v>20</v>
      </c>
      <c r="BA11" s="484" t="n">
        <v>20</v>
      </c>
      <c r="BB11" s="484" t="n">
        <v>20</v>
      </c>
      <c r="BC11" s="484" t="n">
        <v>20</v>
      </c>
      <c r="BD11" s="484" t="n">
        <v>20</v>
      </c>
      <c r="BE11" s="484" t="n">
        <v>20</v>
      </c>
      <c r="BF11" s="484" t="n">
        <v>20</v>
      </c>
      <c r="BG11" s="484" t="n">
        <v>20</v>
      </c>
      <c r="BH11" s="484" t="n">
        <v>20</v>
      </c>
      <c r="BI11" s="484" t="n">
        <v>20</v>
      </c>
      <c r="BJ11" s="484" t="n">
        <v>20</v>
      </c>
      <c r="BK11" s="484" t="n">
        <v>20</v>
      </c>
      <c r="BL11" s="484" t="n">
        <v>20</v>
      </c>
      <c r="BM11" s="484" t="n">
        <v>20</v>
      </c>
      <c r="BN11" s="484" t="n">
        <v>20</v>
      </c>
      <c r="BO11" s="484" t="n">
        <v>20</v>
      </c>
      <c r="BP11" s="484" t="n">
        <v>20</v>
      </c>
      <c r="BQ11" s="484" t="n">
        <v>20</v>
      </c>
      <c r="BR11" s="484" t="n">
        <v>20</v>
      </c>
      <c r="BS11" s="484" t="n">
        <v>20</v>
      </c>
      <c r="BT11" s="484" t="n">
        <v>20</v>
      </c>
      <c r="BU11" s="484" t="n">
        <v>20</v>
      </c>
      <c r="BV11" s="484" t="n">
        <v>20</v>
      </c>
      <c r="BW11" s="484" t="n">
        <v>20</v>
      </c>
      <c r="BX11" s="484" t="n">
        <v>20</v>
      </c>
      <c r="BY11" s="484" t="n">
        <v>20</v>
      </c>
      <c r="BZ11" s="484" t="n">
        <v>20</v>
      </c>
      <c r="CA11" s="484" t="n">
        <v>20</v>
      </c>
      <c r="CB11" s="484" t="n">
        <v>20</v>
      </c>
      <c r="CC11" s="484" t="n">
        <v>20</v>
      </c>
      <c r="CD11" s="484" t="n">
        <v>20</v>
      </c>
      <c r="CE11" s="484" t="n">
        <v>20</v>
      </c>
      <c r="CF11" s="484" t="n">
        <v>20</v>
      </c>
      <c r="CG11" s="484" t="n">
        <v>20</v>
      </c>
      <c r="CH11" s="484" t="n">
        <v>20</v>
      </c>
      <c r="CI11" s="484" t="n">
        <v>20</v>
      </c>
      <c r="CJ11" s="484" t="n">
        <v>20</v>
      </c>
      <c r="CK11" s="484" t="n">
        <v>20</v>
      </c>
      <c r="CL11" s="484" t="n">
        <v>20</v>
      </c>
      <c r="CM11" s="484" t="n">
        <v>20</v>
      </c>
      <c r="CN11" s="484" t="n">
        <v>20</v>
      </c>
      <c r="CO11" s="484" t="n">
        <v>20</v>
      </c>
      <c r="CP11" s="484" t="n">
        <v>20</v>
      </c>
      <c r="CQ11" s="484" t="n">
        <v>20</v>
      </c>
      <c r="CR11" s="484" t="n">
        <v>20</v>
      </c>
      <c r="CS11" s="484" t="n">
        <v>20</v>
      </c>
      <c r="CT11" s="484" t="n">
        <v>20</v>
      </c>
      <c r="CU11" s="484" t="n">
        <v>20</v>
      </c>
      <c r="CV11" s="484" t="n">
        <v>20</v>
      </c>
      <c r="CW11" s="484" t="n">
        <v>20</v>
      </c>
      <c r="CX11" s="484" t="n">
        <v>20</v>
      </c>
      <c r="CY11" s="484" t="n">
        <v>20</v>
      </c>
      <c r="CZ11" s="484" t="n">
        <v>20</v>
      </c>
      <c r="DA11" s="484" t="n">
        <v>20</v>
      </c>
      <c r="DB11" s="484" t="n">
        <v>20</v>
      </c>
      <c r="DC11" s="484" t="n">
        <v>20</v>
      </c>
    </row>
    <row r="12" ht="12" customHeight="1" s="244">
      <c r="A12" s="261" t="n"/>
      <c r="B12" s="282" t="n"/>
      <c r="C12" s="482" t="n"/>
      <c r="D12" s="261" t="n"/>
      <c r="E12" s="259" t="n"/>
      <c r="F12" s="485" t="n">
        <v>21.86</v>
      </c>
      <c r="G12" s="485" t="n">
        <v>17.39</v>
      </c>
      <c r="H12" s="485" t="n">
        <v>21.86</v>
      </c>
      <c r="I12" s="485" t="n">
        <v>17.39</v>
      </c>
      <c r="J12" s="485" t="n">
        <v>21.86</v>
      </c>
      <c r="K12" s="485" t="n">
        <v>11.14</v>
      </c>
      <c r="L12" s="485" t="n">
        <v>4.54</v>
      </c>
      <c r="M12" s="485" t="n">
        <v>11.14</v>
      </c>
      <c r="N12" s="485" t="n">
        <v>2.85</v>
      </c>
      <c r="O12" s="485" t="n">
        <v>22.16</v>
      </c>
      <c r="P12" s="485" t="n">
        <v>17.74</v>
      </c>
      <c r="Q12" s="485" t="n">
        <v>22.16</v>
      </c>
      <c r="R12" s="485" t="n">
        <v>17.74</v>
      </c>
      <c r="S12" s="485" t="n">
        <v>22.16</v>
      </c>
      <c r="T12" s="485" t="n">
        <v>9.92</v>
      </c>
      <c r="U12" s="485" t="n">
        <v>5.24</v>
      </c>
      <c r="V12" s="485" t="n">
        <v>9.92</v>
      </c>
      <c r="W12" s="485" t="n">
        <v>3.43</v>
      </c>
      <c r="X12" s="485" t="n">
        <v>21.21</v>
      </c>
      <c r="Y12" s="485" t="n">
        <v>17.52</v>
      </c>
      <c r="Z12" s="485" t="n">
        <v>21.21</v>
      </c>
      <c r="AA12" s="485" t="n">
        <v>17.52</v>
      </c>
      <c r="AB12" s="485" t="n">
        <v>21.21</v>
      </c>
      <c r="AC12" s="485" t="n">
        <v>12.41</v>
      </c>
      <c r="AD12" s="485" t="n">
        <v>4.55</v>
      </c>
      <c r="AE12" s="485" t="n">
        <v>2.85</v>
      </c>
      <c r="AF12" s="485" t="n">
        <v>12.41</v>
      </c>
      <c r="AG12" s="485" t="n">
        <v>13.6</v>
      </c>
      <c r="AH12" s="485" t="n">
        <v>2.02</v>
      </c>
      <c r="AI12" s="485" t="n">
        <v>13.6</v>
      </c>
      <c r="AJ12" s="485" t="n">
        <v>11.66</v>
      </c>
      <c r="AK12" s="485" t="n">
        <v>11.66</v>
      </c>
      <c r="AL12" s="485" t="n">
        <v>11.66</v>
      </c>
      <c r="AM12" s="485" t="n">
        <v>13.46</v>
      </c>
      <c r="AN12" s="485" t="n">
        <v>2</v>
      </c>
      <c r="AO12" s="485" t="n">
        <v>13.46</v>
      </c>
      <c r="AP12" s="485" t="n">
        <v>11.76</v>
      </c>
      <c r="AQ12" s="485" t="n">
        <v>11.76</v>
      </c>
      <c r="AR12" s="485" t="n">
        <v>11.76</v>
      </c>
      <c r="AS12" s="485" t="n">
        <v>13.12</v>
      </c>
      <c r="AT12" s="485" t="n">
        <v>2.09</v>
      </c>
      <c r="AU12" s="485" t="n">
        <v>13.12</v>
      </c>
      <c r="AV12" s="485" t="n">
        <v>11.76</v>
      </c>
      <c r="AW12" s="485" t="n">
        <v>11.76</v>
      </c>
      <c r="AX12" s="485" t="n">
        <v>11.76</v>
      </c>
      <c r="AY12" s="485" t="n">
        <v>14.18</v>
      </c>
      <c r="AZ12" s="485" t="n">
        <v>14.18</v>
      </c>
      <c r="BA12" s="485" t="n">
        <v>1.61</v>
      </c>
      <c r="BB12" s="485" t="n">
        <v>12.65</v>
      </c>
      <c r="BC12" s="485" t="n">
        <v>1.61</v>
      </c>
      <c r="BD12" s="485" t="n">
        <v>12.65</v>
      </c>
      <c r="BE12" s="485" t="n">
        <v>16.83</v>
      </c>
      <c r="BF12" s="485" t="n">
        <v>16.83</v>
      </c>
      <c r="BG12" s="485" t="n">
        <v>14.54</v>
      </c>
      <c r="BH12" s="485" t="n">
        <v>2.11</v>
      </c>
      <c r="BI12" s="485" t="n">
        <v>14.54</v>
      </c>
      <c r="BJ12" s="485" t="n">
        <v>14.54</v>
      </c>
      <c r="BK12" s="485" t="n">
        <v>16.28</v>
      </c>
      <c r="BL12" s="485" t="n">
        <v>16.28</v>
      </c>
      <c r="BM12" s="485" t="n">
        <v>2.36</v>
      </c>
      <c r="BN12" s="485" t="n">
        <v>10.87</v>
      </c>
      <c r="BO12" s="485" t="n">
        <v>1.84</v>
      </c>
      <c r="BP12" s="485" t="n">
        <v>10.87</v>
      </c>
      <c r="BQ12" s="485" t="n">
        <v>12.26</v>
      </c>
      <c r="BR12" s="485" t="n">
        <v>1.63</v>
      </c>
      <c r="BS12" s="485" t="n">
        <v>12.26</v>
      </c>
      <c r="BT12" s="485" t="n">
        <v>2.04</v>
      </c>
      <c r="BU12" s="485" t="n">
        <v>26.18</v>
      </c>
      <c r="BV12" s="485" t="n">
        <v>26.18</v>
      </c>
      <c r="BW12" s="485" t="n">
        <v>26.18</v>
      </c>
      <c r="BX12" s="485" t="n">
        <v>26.18</v>
      </c>
      <c r="BY12" s="485" t="n">
        <v>13.14</v>
      </c>
      <c r="BZ12" s="485" t="n">
        <v>13.14</v>
      </c>
      <c r="CA12" s="485" t="n">
        <v>2.04</v>
      </c>
      <c r="CB12" s="485" t="n">
        <v>13.14</v>
      </c>
      <c r="CC12" s="485" t="n">
        <v>14.04</v>
      </c>
      <c r="CD12" s="485" t="n">
        <v>14.04</v>
      </c>
      <c r="CE12" s="485" t="n">
        <v>16.74</v>
      </c>
      <c r="CF12" s="485" t="n">
        <v>16.74</v>
      </c>
      <c r="CG12" s="485" t="n">
        <v>16.74</v>
      </c>
      <c r="CH12" s="485" t="n">
        <v>1.63</v>
      </c>
      <c r="CI12" s="485" t="n">
        <v>2.09</v>
      </c>
      <c r="CJ12" s="485" t="n">
        <v>13.38</v>
      </c>
      <c r="CK12" s="485" t="n">
        <v>13.38</v>
      </c>
      <c r="CL12" s="485" t="n">
        <v>3.19</v>
      </c>
      <c r="CM12" s="485" t="n">
        <v>3.32</v>
      </c>
      <c r="CN12" s="485" t="n">
        <v>11.8</v>
      </c>
      <c r="CO12" s="485" t="n">
        <v>7.02</v>
      </c>
      <c r="CP12" s="485" t="n">
        <v>35.89</v>
      </c>
      <c r="CQ12" s="485" t="n">
        <v>35.89</v>
      </c>
      <c r="CR12" s="485" t="n">
        <v>35.89</v>
      </c>
      <c r="CS12" s="485" t="n">
        <v>35.89</v>
      </c>
      <c r="CT12" s="485" t="n">
        <v>11.12</v>
      </c>
      <c r="CU12" s="485" t="n">
        <v>8.92</v>
      </c>
      <c r="CV12" s="485" t="n">
        <v>8.92</v>
      </c>
      <c r="CW12" s="485" t="n">
        <v>2.32</v>
      </c>
      <c r="CX12" s="485" t="n">
        <v>11.12</v>
      </c>
      <c r="CY12" s="485" t="n">
        <v>2.94</v>
      </c>
      <c r="CZ12" s="485" t="n">
        <v>40.72</v>
      </c>
      <c r="DA12" s="485" t="n">
        <v>40.72</v>
      </c>
      <c r="DB12" s="485" t="n">
        <v>40.72</v>
      </c>
      <c r="DC12" s="485" t="n">
        <v>40.72</v>
      </c>
    </row>
    <row r="13" ht="12" customHeight="1" s="244">
      <c r="A13" s="261" t="n"/>
      <c r="B13" s="282" t="n"/>
      <c r="C13" s="482" t="n"/>
      <c r="D13" s="261" t="n"/>
      <c r="E13" s="259" t="n"/>
      <c r="F13" s="486" t="n">
        <v>1995.8</v>
      </c>
      <c r="G13" s="486" t="n">
        <v>2411.5</v>
      </c>
      <c r="H13" s="486" t="n">
        <v>1616.7</v>
      </c>
      <c r="I13" s="486" t="n">
        <v>1940.8</v>
      </c>
      <c r="J13" s="486" t="n">
        <v>1431.2</v>
      </c>
      <c r="K13" s="486" t="n">
        <v>1383.6</v>
      </c>
      <c r="L13" s="486" t="n">
        <v>1223.3</v>
      </c>
      <c r="M13" s="486" t="n">
        <v>1038.4</v>
      </c>
      <c r="N13" s="486" t="n">
        <v>636.3</v>
      </c>
      <c r="O13" s="486" t="n">
        <v>1995.8</v>
      </c>
      <c r="P13" s="486" t="n">
        <v>2184</v>
      </c>
      <c r="Q13" s="486" t="n">
        <v>1616.7</v>
      </c>
      <c r="R13" s="486" t="n">
        <v>1940.8</v>
      </c>
      <c r="S13" s="486" t="n">
        <v>1431.2</v>
      </c>
      <c r="T13" s="486" t="n">
        <v>1237.1</v>
      </c>
      <c r="U13" s="486" t="n">
        <v>1223.3</v>
      </c>
      <c r="V13" s="486" t="n">
        <v>1038.4</v>
      </c>
      <c r="W13" s="486" t="n">
        <v>636.3</v>
      </c>
      <c r="X13" s="486" t="n">
        <v>1995.8</v>
      </c>
      <c r="Y13" s="486" t="n">
        <v>2184</v>
      </c>
      <c r="Z13" s="486" t="n">
        <v>1616.7</v>
      </c>
      <c r="AA13" s="486" t="n">
        <v>1940.8</v>
      </c>
      <c r="AB13" s="486" t="n">
        <v>1431.2</v>
      </c>
      <c r="AC13" s="486" t="n">
        <v>1815.1</v>
      </c>
      <c r="AD13" s="486" t="n">
        <v>1223.3</v>
      </c>
      <c r="AE13" s="486" t="n">
        <v>636.3</v>
      </c>
      <c r="AF13" s="486" t="n">
        <v>1349.3</v>
      </c>
      <c r="AG13" s="486" t="n">
        <v>2344.6</v>
      </c>
      <c r="AH13" s="486" t="n">
        <v>554.7</v>
      </c>
      <c r="AI13" s="486" t="n">
        <v>1107.6</v>
      </c>
      <c r="AJ13" s="486" t="n">
        <v>886.8</v>
      </c>
      <c r="AK13" s="486" t="n">
        <v>1550.9</v>
      </c>
      <c r="AL13" s="486" t="n">
        <v>1751.5</v>
      </c>
      <c r="AM13" s="486" t="n">
        <v>2344.6</v>
      </c>
      <c r="AN13" s="486" t="n">
        <v>554.7</v>
      </c>
      <c r="AO13" s="486" t="n">
        <v>1107.6</v>
      </c>
      <c r="AP13" s="486" t="n">
        <v>886.8</v>
      </c>
      <c r="AQ13" s="486" t="n">
        <v>1550.9</v>
      </c>
      <c r="AR13" s="486" t="n">
        <v>1751.5</v>
      </c>
      <c r="AS13" s="486" t="n">
        <v>2344.6</v>
      </c>
      <c r="AT13" s="486" t="n">
        <v>554.7</v>
      </c>
      <c r="AU13" s="486" t="n">
        <v>1107.6</v>
      </c>
      <c r="AV13" s="486" t="n">
        <v>886.8</v>
      </c>
      <c r="AW13" s="486" t="n">
        <v>1550.9</v>
      </c>
      <c r="AX13" s="486" t="n">
        <v>1751.5</v>
      </c>
      <c r="AY13" s="486" t="n">
        <v>1881</v>
      </c>
      <c r="AZ13" s="486" t="n">
        <v>1728.1</v>
      </c>
      <c r="BA13" s="486" t="n">
        <v>739.2</v>
      </c>
      <c r="BB13" s="486" t="n">
        <v>994.6</v>
      </c>
      <c r="BC13" s="486" t="n">
        <v>442.2</v>
      </c>
      <c r="BD13" s="486" t="n">
        <v>1936.4</v>
      </c>
      <c r="BE13" s="486" t="n">
        <v>2246.4</v>
      </c>
      <c r="BF13" s="486" t="n">
        <v>1957.3</v>
      </c>
      <c r="BG13" s="486" t="n">
        <v>1314.9</v>
      </c>
      <c r="BH13" s="486" t="n">
        <v>739.2</v>
      </c>
      <c r="BI13" s="486" t="n">
        <v>442.2</v>
      </c>
      <c r="BJ13" s="486" t="n">
        <v>1813.6</v>
      </c>
      <c r="BK13" s="486" t="n">
        <v>2165.1</v>
      </c>
      <c r="BL13" s="486" t="n">
        <v>1959.1</v>
      </c>
      <c r="BM13" s="486" t="n">
        <v>796</v>
      </c>
      <c r="BN13" s="486" t="n">
        <v>842.8</v>
      </c>
      <c r="BO13" s="486" t="n">
        <v>462.6</v>
      </c>
      <c r="BP13" s="486" t="n">
        <v>1837.1</v>
      </c>
      <c r="BQ13" s="486" t="n">
        <v>1908.6</v>
      </c>
      <c r="BR13" s="486" t="n">
        <v>443.2</v>
      </c>
      <c r="BS13" s="486" t="n">
        <v>837.1</v>
      </c>
      <c r="BT13" s="486" t="n">
        <v>739.2</v>
      </c>
      <c r="BU13" s="486" t="n">
        <v>1449.7</v>
      </c>
      <c r="BV13" s="486" t="n">
        <v>1697.5</v>
      </c>
      <c r="BW13" s="486" t="n">
        <v>1946.3</v>
      </c>
      <c r="BX13" s="486" t="n">
        <v>1085.8</v>
      </c>
      <c r="BY13" s="486" t="n">
        <v>2056.6</v>
      </c>
      <c r="BZ13" s="486" t="n">
        <v>1069.5</v>
      </c>
      <c r="CA13" s="486" t="n">
        <v>650.1</v>
      </c>
      <c r="CB13" s="486" t="n">
        <v>738.6</v>
      </c>
      <c r="CC13" s="486" t="n">
        <v>1242</v>
      </c>
      <c r="CD13" s="486" t="n">
        <v>1899.3</v>
      </c>
      <c r="CE13" s="486" t="n">
        <v>1731.9</v>
      </c>
      <c r="CF13" s="486" t="n">
        <v>1346.1</v>
      </c>
      <c r="CG13" s="486" t="n">
        <v>963.9</v>
      </c>
      <c r="CH13" s="486" t="n">
        <v>448.2</v>
      </c>
      <c r="CI13" s="486" t="n">
        <v>739.2</v>
      </c>
      <c r="CJ13" s="486" t="n">
        <v>1399.4</v>
      </c>
      <c r="CK13" s="486" t="n">
        <v>1698.4</v>
      </c>
      <c r="CL13" s="486" t="n">
        <v>809.1</v>
      </c>
      <c r="CM13" s="486" t="n">
        <v>973.8</v>
      </c>
      <c r="CN13" s="486" t="n">
        <v>2297.8</v>
      </c>
      <c r="CO13" s="486" t="n">
        <v>1893.6</v>
      </c>
      <c r="CP13" s="486" t="n">
        <v>1641.3</v>
      </c>
      <c r="CQ13" s="486" t="n">
        <v>1893.5</v>
      </c>
      <c r="CR13" s="486" t="n">
        <v>2430.8</v>
      </c>
      <c r="CS13" s="486" t="n">
        <v>2158.4</v>
      </c>
      <c r="CT13" s="486" t="n">
        <v>1043.3</v>
      </c>
      <c r="CU13" s="486" t="n">
        <v>1460.9</v>
      </c>
      <c r="CV13" s="486" t="n">
        <v>1730</v>
      </c>
      <c r="CW13" s="486" t="n">
        <v>598.9</v>
      </c>
      <c r="CX13" s="486" t="n">
        <v>1580.2</v>
      </c>
      <c r="CY13" s="486" t="n">
        <v>895.2</v>
      </c>
      <c r="CZ13" s="486" t="n">
        <v>2377.5</v>
      </c>
      <c r="DA13" s="486" t="n">
        <v>2582</v>
      </c>
      <c r="DB13" s="486" t="n">
        <v>2476.1</v>
      </c>
      <c r="DC13" s="486" t="n">
        <v>2272.6</v>
      </c>
    </row>
    <row r="14" ht="12" customHeight="1" s="244">
      <c r="A14" s="261" t="n"/>
      <c r="B14" s="282" t="n"/>
      <c r="C14" s="482" t="n"/>
      <c r="D14" s="261" t="n"/>
      <c r="E14" s="259" t="n"/>
      <c r="F14" s="487">
        <f>F13/F12</f>
        <v/>
      </c>
      <c r="G14" s="487">
        <f>G13/G12</f>
        <v/>
      </c>
      <c r="H14" s="487">
        <f>H13/H12</f>
        <v/>
      </c>
      <c r="I14" s="487">
        <f>I13/I12</f>
        <v/>
      </c>
      <c r="J14" s="487">
        <f>J13/J12</f>
        <v/>
      </c>
      <c r="K14" s="487">
        <f>K13/K12</f>
        <v/>
      </c>
      <c r="L14" s="487">
        <f>L13/L12</f>
        <v/>
      </c>
      <c r="M14" s="487">
        <f>M13/M12</f>
        <v/>
      </c>
      <c r="N14" s="487">
        <f>N13/N12</f>
        <v/>
      </c>
      <c r="O14" s="487">
        <f>O13/O12</f>
        <v/>
      </c>
      <c r="P14" s="487">
        <f>P13/P12</f>
        <v/>
      </c>
      <c r="Q14" s="487">
        <f>Q13/Q12</f>
        <v/>
      </c>
      <c r="R14" s="487">
        <f>R13/R12</f>
        <v/>
      </c>
      <c r="S14" s="487">
        <f>S13/S12</f>
        <v/>
      </c>
      <c r="T14" s="487">
        <f>T13/T12</f>
        <v/>
      </c>
      <c r="U14" s="487">
        <f>U13/U12</f>
        <v/>
      </c>
      <c r="V14" s="487">
        <f>V13/V12</f>
        <v/>
      </c>
      <c r="W14" s="487">
        <f>W13/W12</f>
        <v/>
      </c>
      <c r="X14" s="487">
        <f>X13/X12</f>
        <v/>
      </c>
      <c r="Y14" s="487">
        <f>Y13/Y12</f>
        <v/>
      </c>
      <c r="Z14" s="487">
        <f>Z13/Z12</f>
        <v/>
      </c>
      <c r="AA14" s="487">
        <f>AA13/AA12</f>
        <v/>
      </c>
      <c r="AB14" s="487">
        <f>AB13/AB12</f>
        <v/>
      </c>
      <c r="AC14" s="487">
        <f>AC13/AC12</f>
        <v/>
      </c>
      <c r="AD14" s="487">
        <f>AD13/AD12</f>
        <v/>
      </c>
      <c r="AE14" s="487">
        <f>AE13/AE12</f>
        <v/>
      </c>
      <c r="AF14" s="487">
        <f>AF13/AF12</f>
        <v/>
      </c>
      <c r="AG14" s="487">
        <f>AG13/AG12</f>
        <v/>
      </c>
      <c r="AH14" s="487">
        <f>AH13/AH12</f>
        <v/>
      </c>
      <c r="AI14" s="487">
        <f>AI13/AI12</f>
        <v/>
      </c>
      <c r="AJ14" s="487">
        <f>AJ13/AJ12</f>
        <v/>
      </c>
      <c r="AK14" s="487">
        <f>AK13/AK12</f>
        <v/>
      </c>
      <c r="AL14" s="487">
        <f>AL13/AL12</f>
        <v/>
      </c>
      <c r="AM14" s="487">
        <f>AM13/AM12</f>
        <v/>
      </c>
      <c r="AN14" s="487">
        <f>AN13/AN12</f>
        <v/>
      </c>
      <c r="AO14" s="487">
        <f>AO13/AO12</f>
        <v/>
      </c>
      <c r="AP14" s="487">
        <f>AP13/AP12</f>
        <v/>
      </c>
      <c r="AQ14" s="487">
        <f>AQ13/AQ12</f>
        <v/>
      </c>
      <c r="AR14" s="487">
        <f>AR13/AR12</f>
        <v/>
      </c>
      <c r="AS14" s="487">
        <f>AS13/AS12</f>
        <v/>
      </c>
      <c r="AT14" s="487">
        <f>AT13/AT12</f>
        <v/>
      </c>
      <c r="AU14" s="487">
        <f>AU13/AU12</f>
        <v/>
      </c>
      <c r="AV14" s="487">
        <f>AV13/AV12</f>
        <v/>
      </c>
      <c r="AW14" s="487">
        <f>AW13/AW12</f>
        <v/>
      </c>
      <c r="AX14" s="487">
        <f>AX13/AX12</f>
        <v/>
      </c>
      <c r="AY14" s="487">
        <f>AY13/AY12</f>
        <v/>
      </c>
      <c r="AZ14" s="487">
        <f>AZ13/AZ12</f>
        <v/>
      </c>
      <c r="BA14" s="487">
        <f>BA13/BA12</f>
        <v/>
      </c>
      <c r="BB14" s="487">
        <f>BB13/BB12</f>
        <v/>
      </c>
      <c r="BC14" s="487">
        <f>BC13/BC12</f>
        <v/>
      </c>
      <c r="BD14" s="487">
        <f>BD13/BD12</f>
        <v/>
      </c>
      <c r="BE14" s="487">
        <f>BE13/BE12</f>
        <v/>
      </c>
      <c r="BF14" s="487">
        <f>BF13/BF12</f>
        <v/>
      </c>
      <c r="BG14" s="487">
        <f>BG13/BG12</f>
        <v/>
      </c>
      <c r="BH14" s="487">
        <f>BH13/BH12</f>
        <v/>
      </c>
      <c r="BI14" s="487">
        <f>BI13/BI12</f>
        <v/>
      </c>
      <c r="BJ14" s="487">
        <f>BJ13/BJ12</f>
        <v/>
      </c>
      <c r="BK14" s="487">
        <f>BK13/BK12</f>
        <v/>
      </c>
      <c r="BL14" s="487">
        <f>BL13/BL12</f>
        <v/>
      </c>
      <c r="BM14" s="487">
        <f>BM13/BM12</f>
        <v/>
      </c>
      <c r="BN14" s="487">
        <f>BN13/BN12</f>
        <v/>
      </c>
      <c r="BO14" s="487">
        <f>BO13/BO12</f>
        <v/>
      </c>
      <c r="BP14" s="487">
        <f>BP13/BP12</f>
        <v/>
      </c>
      <c r="BQ14" s="487">
        <f>BQ13/BQ12</f>
        <v/>
      </c>
      <c r="BR14" s="487">
        <f>BR13/BR12</f>
        <v/>
      </c>
      <c r="BS14" s="487">
        <f>BS13/BS12</f>
        <v/>
      </c>
      <c r="BT14" s="487">
        <f>BT13/BT12</f>
        <v/>
      </c>
      <c r="BU14" s="487">
        <f>BU13/BU12</f>
        <v/>
      </c>
      <c r="BV14" s="487">
        <f>BV13/BV12</f>
        <v/>
      </c>
      <c r="BW14" s="487">
        <f>BW13/BW12</f>
        <v/>
      </c>
      <c r="BX14" s="487">
        <f>BX13/BX12</f>
        <v/>
      </c>
      <c r="BY14" s="487">
        <f>BY13/BY12</f>
        <v/>
      </c>
      <c r="BZ14" s="487">
        <f>BZ13/BZ12</f>
        <v/>
      </c>
      <c r="CA14" s="487">
        <f>CA13/CA12</f>
        <v/>
      </c>
      <c r="CB14" s="487">
        <f>CB13/CB12</f>
        <v/>
      </c>
      <c r="CC14" s="487">
        <f>CC13/CC12</f>
        <v/>
      </c>
      <c r="CD14" s="487">
        <f>CD13/CD12</f>
        <v/>
      </c>
      <c r="CE14" s="487">
        <f>CE13/CE12</f>
        <v/>
      </c>
      <c r="CF14" s="487">
        <f>CF13/CF12</f>
        <v/>
      </c>
      <c r="CG14" s="487">
        <f>CG13/CG12</f>
        <v/>
      </c>
      <c r="CH14" s="487">
        <f>CH13/CH12</f>
        <v/>
      </c>
      <c r="CI14" s="487">
        <f>CI13/CI12</f>
        <v/>
      </c>
      <c r="CJ14" s="487">
        <f>CJ13/CJ12</f>
        <v/>
      </c>
      <c r="CK14" s="487">
        <f>CK13/CK12</f>
        <v/>
      </c>
      <c r="CL14" s="487">
        <f>CL13/CL12</f>
        <v/>
      </c>
      <c r="CM14" s="487">
        <f>CM13/CM12</f>
        <v/>
      </c>
      <c r="CN14" s="487">
        <f>CN13/CN12</f>
        <v/>
      </c>
      <c r="CO14" s="487">
        <f>CO13/CO12</f>
        <v/>
      </c>
      <c r="CP14" s="487">
        <f>CP13/CP12</f>
        <v/>
      </c>
      <c r="CQ14" s="487">
        <f>CQ13/CQ12</f>
        <v/>
      </c>
      <c r="CR14" s="487">
        <f>CR13/CR12</f>
        <v/>
      </c>
      <c r="CS14" s="487">
        <f>CS13/CS12</f>
        <v/>
      </c>
      <c r="CT14" s="487">
        <f>CT13/CT12</f>
        <v/>
      </c>
      <c r="CU14" s="487">
        <f>CU13/CU12</f>
        <v/>
      </c>
      <c r="CV14" s="487">
        <f>CV13/CV12</f>
        <v/>
      </c>
      <c r="CW14" s="487">
        <f>CW13/CW12</f>
        <v/>
      </c>
      <c r="CX14" s="487">
        <f>CX13/CX12</f>
        <v/>
      </c>
      <c r="CY14" s="487">
        <f>CY13/CY12</f>
        <v/>
      </c>
      <c r="CZ14" s="487">
        <f>CZ13/CZ12</f>
        <v/>
      </c>
      <c r="DA14" s="487">
        <f>DA13/DA12</f>
        <v/>
      </c>
      <c r="DB14" s="487">
        <f>DB13/DB12</f>
        <v/>
      </c>
      <c r="DC14" s="487">
        <f>DC13/DC12</f>
        <v/>
      </c>
    </row>
    <row r="15" ht="12" customHeight="1" s="244">
      <c r="A15" s="261" t="n"/>
      <c r="B15" s="282" t="n"/>
      <c r="C15" s="482" t="n"/>
      <c r="D15" s="261" t="n"/>
      <c r="E15" s="259" t="n"/>
      <c r="F15" s="484" t="n">
        <v>0.012</v>
      </c>
      <c r="G15" s="484" t="n">
        <v>0.012</v>
      </c>
      <c r="H15" s="484" t="n">
        <v>0.012</v>
      </c>
      <c r="I15" s="484" t="n">
        <v>0.012</v>
      </c>
      <c r="J15" s="484" t="n">
        <v>0.012</v>
      </c>
      <c r="K15" s="484" t="n">
        <v>0.012</v>
      </c>
      <c r="L15" s="484" t="n">
        <v>0.012</v>
      </c>
      <c r="M15" s="484" t="n">
        <v>0.012</v>
      </c>
      <c r="N15" s="484" t="n">
        <v>0.012</v>
      </c>
      <c r="O15" s="484" t="n">
        <v>0.012</v>
      </c>
      <c r="P15" s="484" t="n">
        <v>0.012</v>
      </c>
      <c r="Q15" s="484" t="n">
        <v>0.012</v>
      </c>
      <c r="R15" s="484" t="n">
        <v>0.012</v>
      </c>
      <c r="S15" s="484" t="n">
        <v>0.012</v>
      </c>
      <c r="T15" s="484" t="n">
        <v>0.012</v>
      </c>
      <c r="U15" s="484" t="n">
        <v>0.012</v>
      </c>
      <c r="V15" s="484" t="n">
        <v>0.012</v>
      </c>
      <c r="W15" s="484" t="n">
        <v>0.012</v>
      </c>
      <c r="X15" s="484" t="n">
        <v>0.012</v>
      </c>
      <c r="Y15" s="484" t="n">
        <v>0.012</v>
      </c>
      <c r="Z15" s="484" t="n">
        <v>0.012</v>
      </c>
      <c r="AA15" s="484" t="n">
        <v>0.012</v>
      </c>
      <c r="AB15" s="484" t="n">
        <v>0.012</v>
      </c>
      <c r="AC15" s="484" t="n">
        <v>0.012</v>
      </c>
      <c r="AD15" s="484" t="n">
        <v>0.012</v>
      </c>
      <c r="AE15" s="484" t="n">
        <v>0.012</v>
      </c>
      <c r="AF15" s="484" t="n">
        <v>0.012</v>
      </c>
      <c r="AG15" s="484" t="n">
        <v>0.012</v>
      </c>
      <c r="AH15" s="484" t="n">
        <v>0.012</v>
      </c>
      <c r="AI15" s="484" t="n">
        <v>0.012</v>
      </c>
      <c r="AJ15" s="484" t="n">
        <v>0.012</v>
      </c>
      <c r="AK15" s="484" t="n">
        <v>0.012</v>
      </c>
      <c r="AL15" s="484" t="n">
        <v>0.012</v>
      </c>
      <c r="AM15" s="484" t="n">
        <v>0.012</v>
      </c>
      <c r="AN15" s="484" t="n">
        <v>0.012</v>
      </c>
      <c r="AO15" s="484" t="n">
        <v>0.012</v>
      </c>
      <c r="AP15" s="484" t="n">
        <v>0.012</v>
      </c>
      <c r="AQ15" s="484" t="n">
        <v>0.012</v>
      </c>
      <c r="AR15" s="484" t="n">
        <v>0.012</v>
      </c>
      <c r="AS15" s="484" t="n">
        <v>0.012</v>
      </c>
      <c r="AT15" s="484" t="n">
        <v>0.012</v>
      </c>
      <c r="AU15" s="484" t="n">
        <v>0.012</v>
      </c>
      <c r="AV15" s="484" t="n">
        <v>0.012</v>
      </c>
      <c r="AW15" s="484" t="n">
        <v>0.012</v>
      </c>
      <c r="AX15" s="484" t="n">
        <v>0.012</v>
      </c>
      <c r="AY15" s="484" t="n">
        <v>0.012</v>
      </c>
      <c r="AZ15" s="484" t="n">
        <v>0.012</v>
      </c>
      <c r="BA15" s="484" t="n">
        <v>0.012</v>
      </c>
      <c r="BB15" s="484" t="n">
        <v>0.012</v>
      </c>
      <c r="BC15" s="484" t="n">
        <v>0.012</v>
      </c>
      <c r="BD15" s="484" t="n">
        <v>0.012</v>
      </c>
      <c r="BE15" s="484" t="n">
        <v>0.012</v>
      </c>
      <c r="BF15" s="484" t="n">
        <v>0.012</v>
      </c>
      <c r="BG15" s="484" t="n">
        <v>0.012</v>
      </c>
      <c r="BH15" s="484" t="n">
        <v>0.012</v>
      </c>
      <c r="BI15" s="484" t="n">
        <v>0.012</v>
      </c>
      <c r="BJ15" s="484" t="n">
        <v>0.012</v>
      </c>
      <c r="BK15" s="484" t="n">
        <v>0.012</v>
      </c>
      <c r="BL15" s="484" t="n">
        <v>0.012</v>
      </c>
      <c r="BM15" s="484" t="n">
        <v>0.012</v>
      </c>
      <c r="BN15" s="484" t="n">
        <v>0.012</v>
      </c>
      <c r="BO15" s="484" t="n">
        <v>0.012</v>
      </c>
      <c r="BP15" s="484" t="n">
        <v>0.012</v>
      </c>
      <c r="BQ15" s="484" t="n">
        <v>0.012</v>
      </c>
      <c r="BR15" s="484" t="n">
        <v>0.012</v>
      </c>
      <c r="BS15" s="484" t="n">
        <v>0.012</v>
      </c>
      <c r="BT15" s="484" t="n">
        <v>0.012</v>
      </c>
      <c r="BU15" s="484" t="n">
        <v>0.012</v>
      </c>
      <c r="BV15" s="484" t="n">
        <v>0.012</v>
      </c>
      <c r="BW15" s="484" t="n">
        <v>0.012</v>
      </c>
      <c r="BX15" s="484" t="n">
        <v>0.012</v>
      </c>
      <c r="BY15" s="484" t="n">
        <v>0.012</v>
      </c>
      <c r="BZ15" s="484" t="n">
        <v>0.012</v>
      </c>
      <c r="CA15" s="484" t="n">
        <v>0.012</v>
      </c>
      <c r="CB15" s="484" t="n">
        <v>0.012</v>
      </c>
      <c r="CC15" s="484" t="n">
        <v>0.012</v>
      </c>
      <c r="CD15" s="484" t="n">
        <v>0.012</v>
      </c>
      <c r="CE15" s="484" t="n">
        <v>0.012</v>
      </c>
      <c r="CF15" s="484" t="n">
        <v>0.012</v>
      </c>
      <c r="CG15" s="484" t="n">
        <v>0.012</v>
      </c>
      <c r="CH15" s="484" t="n">
        <v>0.012</v>
      </c>
      <c r="CI15" s="484" t="n">
        <v>0.012</v>
      </c>
      <c r="CJ15" s="484" t="n">
        <v>0.012</v>
      </c>
      <c r="CK15" s="484" t="n">
        <v>0.012</v>
      </c>
      <c r="CL15" s="484" t="n">
        <v>0.012</v>
      </c>
      <c r="CM15" s="484" t="n">
        <v>0.012</v>
      </c>
      <c r="CN15" s="484" t="n">
        <v>0.012</v>
      </c>
      <c r="CO15" s="484" t="n">
        <v>0.012</v>
      </c>
      <c r="CP15" s="484" t="n">
        <v>0.012</v>
      </c>
      <c r="CQ15" s="484" t="n">
        <v>0.012</v>
      </c>
      <c r="CR15" s="484" t="n">
        <v>0.012</v>
      </c>
      <c r="CS15" s="484" t="n">
        <v>0.012</v>
      </c>
      <c r="CT15" s="484" t="n">
        <v>0.012</v>
      </c>
      <c r="CU15" s="484" t="n">
        <v>0.012</v>
      </c>
      <c r="CV15" s="484" t="n">
        <v>0.012</v>
      </c>
      <c r="CW15" s="484" t="n">
        <v>0.012</v>
      </c>
      <c r="CX15" s="484" t="n">
        <v>0.012</v>
      </c>
      <c r="CY15" s="484" t="n">
        <v>0.012</v>
      </c>
      <c r="CZ15" s="484" t="n">
        <v>0.012</v>
      </c>
      <c r="DA15" s="484" t="n">
        <v>0.012</v>
      </c>
      <c r="DB15" s="484" t="n">
        <v>0.012</v>
      </c>
      <c r="DC15" s="484" t="n">
        <v>0.012</v>
      </c>
    </row>
    <row r="16" ht="12" customHeight="1" s="244">
      <c r="A16" s="261" t="n"/>
      <c r="B16" s="282" t="n"/>
      <c r="C16" s="482" t="n"/>
      <c r="D16" s="261" t="n"/>
      <c r="E16" s="259" t="n"/>
      <c r="F16" s="485" t="n">
        <v>1</v>
      </c>
      <c r="G16" s="485" t="n">
        <v>1</v>
      </c>
      <c r="H16" s="485" t="n">
        <v>1</v>
      </c>
      <c r="I16" s="485" t="n">
        <v>1</v>
      </c>
      <c r="J16" s="485" t="n">
        <v>1</v>
      </c>
      <c r="K16" s="485" t="n">
        <v>1</v>
      </c>
      <c r="L16" s="485" t="n">
        <v>1</v>
      </c>
      <c r="M16" s="485" t="n">
        <v>1</v>
      </c>
      <c r="N16" s="485" t="n">
        <v>1</v>
      </c>
      <c r="O16" s="485" t="n">
        <v>1</v>
      </c>
      <c r="P16" s="485" t="n">
        <v>1</v>
      </c>
      <c r="Q16" s="485" t="n">
        <v>1</v>
      </c>
      <c r="R16" s="485" t="n">
        <v>1</v>
      </c>
      <c r="S16" s="485" t="n">
        <v>1</v>
      </c>
      <c r="T16" s="485" t="n">
        <v>1</v>
      </c>
      <c r="U16" s="485" t="n">
        <v>1</v>
      </c>
      <c r="V16" s="485" t="n">
        <v>1</v>
      </c>
      <c r="W16" s="485" t="n">
        <v>1</v>
      </c>
      <c r="X16" s="485" t="n">
        <v>1</v>
      </c>
      <c r="Y16" s="485" t="n">
        <v>1</v>
      </c>
      <c r="Z16" s="485" t="n">
        <v>1</v>
      </c>
      <c r="AA16" s="485" t="n">
        <v>1</v>
      </c>
      <c r="AB16" s="485" t="n">
        <v>1</v>
      </c>
      <c r="AC16" s="485" t="n">
        <v>1</v>
      </c>
      <c r="AD16" s="485" t="n">
        <v>1</v>
      </c>
      <c r="AE16" s="485" t="n">
        <v>1</v>
      </c>
      <c r="AF16" s="485" t="n">
        <v>1</v>
      </c>
      <c r="AG16" s="485" t="n">
        <v>1</v>
      </c>
      <c r="AH16" s="485" t="n">
        <v>1</v>
      </c>
      <c r="AI16" s="485" t="n">
        <v>1</v>
      </c>
      <c r="AJ16" s="485" t="n">
        <v>1</v>
      </c>
      <c r="AK16" s="485" t="n">
        <v>1</v>
      </c>
      <c r="AL16" s="485" t="n">
        <v>1</v>
      </c>
      <c r="AM16" s="485" t="n">
        <v>1</v>
      </c>
      <c r="AN16" s="485" t="n">
        <v>1</v>
      </c>
      <c r="AO16" s="485" t="n">
        <v>1</v>
      </c>
      <c r="AP16" s="485" t="n">
        <v>1</v>
      </c>
      <c r="AQ16" s="485" t="n">
        <v>1</v>
      </c>
      <c r="AR16" s="485" t="n">
        <v>1</v>
      </c>
      <c r="AS16" s="485" t="n">
        <v>1</v>
      </c>
      <c r="AT16" s="485" t="n">
        <v>1</v>
      </c>
      <c r="AU16" s="485" t="n">
        <v>1</v>
      </c>
      <c r="AV16" s="485" t="n">
        <v>1</v>
      </c>
      <c r="AW16" s="485" t="n">
        <v>1</v>
      </c>
      <c r="AX16" s="485" t="n">
        <v>1</v>
      </c>
      <c r="AY16" s="485" t="n">
        <v>1</v>
      </c>
      <c r="AZ16" s="485" t="n">
        <v>1</v>
      </c>
      <c r="BA16" s="485" t="n">
        <v>1</v>
      </c>
      <c r="BB16" s="485" t="n">
        <v>1</v>
      </c>
      <c r="BC16" s="485" t="n">
        <v>1</v>
      </c>
      <c r="BD16" s="485" t="n">
        <v>1</v>
      </c>
      <c r="BE16" s="485" t="n">
        <v>1</v>
      </c>
      <c r="BF16" s="485" t="n">
        <v>1</v>
      </c>
      <c r="BG16" s="485" t="n">
        <v>1</v>
      </c>
      <c r="BH16" s="485" t="n">
        <v>1</v>
      </c>
      <c r="BI16" s="485" t="n">
        <v>1</v>
      </c>
      <c r="BJ16" s="485" t="n">
        <v>1</v>
      </c>
      <c r="BK16" s="485" t="n">
        <v>1</v>
      </c>
      <c r="BL16" s="485" t="n">
        <v>1</v>
      </c>
      <c r="BM16" s="485" t="n">
        <v>1</v>
      </c>
      <c r="BN16" s="485" t="n">
        <v>1</v>
      </c>
      <c r="BO16" s="485" t="n">
        <v>1</v>
      </c>
      <c r="BP16" s="485" t="n">
        <v>1</v>
      </c>
      <c r="BQ16" s="485" t="n">
        <v>1</v>
      </c>
      <c r="BR16" s="485" t="n">
        <v>1</v>
      </c>
      <c r="BS16" s="485" t="n">
        <v>1</v>
      </c>
      <c r="BT16" s="485" t="n">
        <v>1</v>
      </c>
      <c r="BU16" s="485" t="n">
        <v>1</v>
      </c>
      <c r="BV16" s="485" t="n">
        <v>1</v>
      </c>
      <c r="BW16" s="485" t="n">
        <v>1</v>
      </c>
      <c r="BX16" s="485" t="n">
        <v>1</v>
      </c>
      <c r="BY16" s="485" t="n">
        <v>1</v>
      </c>
      <c r="BZ16" s="485" t="n">
        <v>1</v>
      </c>
      <c r="CA16" s="485" t="n">
        <v>1</v>
      </c>
      <c r="CB16" s="485" t="n">
        <v>1</v>
      </c>
      <c r="CC16" s="485" t="n">
        <v>1</v>
      </c>
      <c r="CD16" s="485" t="n">
        <v>1</v>
      </c>
      <c r="CE16" s="485" t="n">
        <v>1</v>
      </c>
      <c r="CF16" s="485" t="n">
        <v>1</v>
      </c>
      <c r="CG16" s="485" t="n">
        <v>1</v>
      </c>
      <c r="CH16" s="485" t="n">
        <v>1</v>
      </c>
      <c r="CI16" s="485" t="n">
        <v>1</v>
      </c>
      <c r="CJ16" s="485" t="n">
        <v>1</v>
      </c>
      <c r="CK16" s="485" t="n">
        <v>1</v>
      </c>
      <c r="CL16" s="485" t="n">
        <v>1</v>
      </c>
      <c r="CM16" s="485" t="n">
        <v>1</v>
      </c>
      <c r="CN16" s="485" t="n">
        <v>1</v>
      </c>
      <c r="CO16" s="485" t="n">
        <v>1</v>
      </c>
      <c r="CP16" s="485" t="n">
        <v>1</v>
      </c>
      <c r="CQ16" s="485" t="n">
        <v>1</v>
      </c>
      <c r="CR16" s="485" t="n">
        <v>1</v>
      </c>
      <c r="CS16" s="485" t="n">
        <v>1</v>
      </c>
      <c r="CT16" s="485" t="n">
        <v>1</v>
      </c>
      <c r="CU16" s="485" t="n">
        <v>1</v>
      </c>
      <c r="CV16" s="485" t="n">
        <v>1</v>
      </c>
      <c r="CW16" s="485" t="n">
        <v>1</v>
      </c>
      <c r="CX16" s="485" t="n">
        <v>1</v>
      </c>
      <c r="CY16" s="485" t="n">
        <v>1</v>
      </c>
      <c r="CZ16" s="485" t="n">
        <v>1</v>
      </c>
      <c r="DA16" s="485" t="n">
        <v>1</v>
      </c>
      <c r="DB16" s="485" t="n">
        <v>1</v>
      </c>
      <c r="DC16" s="485" t="n">
        <v>1</v>
      </c>
    </row>
    <row r="17" ht="12" customHeight="1" s="244">
      <c r="A17" s="261" t="n"/>
      <c r="B17" s="282" t="n"/>
      <c r="C17" s="482" t="n"/>
      <c r="D17" s="261" t="n"/>
      <c r="E17" s="259" t="n"/>
      <c r="F17" s="484">
        <f>F12</f>
        <v/>
      </c>
      <c r="G17" s="484">
        <f>G12</f>
        <v/>
      </c>
      <c r="H17" s="484">
        <f>H12</f>
        <v/>
      </c>
      <c r="I17" s="484">
        <f>I12</f>
        <v/>
      </c>
      <c r="J17" s="484">
        <f>J12</f>
        <v/>
      </c>
      <c r="K17" s="484">
        <f>K12</f>
        <v/>
      </c>
      <c r="L17" s="484">
        <f>L12</f>
        <v/>
      </c>
      <c r="M17" s="484">
        <f>M12</f>
        <v/>
      </c>
      <c r="N17" s="484">
        <f>N12</f>
        <v/>
      </c>
      <c r="O17" s="484">
        <f>O12</f>
        <v/>
      </c>
      <c r="P17" s="484">
        <f>P12</f>
        <v/>
      </c>
      <c r="Q17" s="484">
        <f>Q12</f>
        <v/>
      </c>
      <c r="R17" s="484">
        <f>R12</f>
        <v/>
      </c>
      <c r="S17" s="484">
        <f>S12</f>
        <v/>
      </c>
      <c r="T17" s="484">
        <f>T12</f>
        <v/>
      </c>
      <c r="U17" s="484">
        <f>U12</f>
        <v/>
      </c>
      <c r="V17" s="484">
        <f>V12</f>
        <v/>
      </c>
      <c r="W17" s="484">
        <f>W12</f>
        <v/>
      </c>
      <c r="X17" s="484">
        <f>X12</f>
        <v/>
      </c>
      <c r="Y17" s="484">
        <f>Y12</f>
        <v/>
      </c>
      <c r="Z17" s="484">
        <f>Z12</f>
        <v/>
      </c>
      <c r="AA17" s="484">
        <f>AA12</f>
        <v/>
      </c>
      <c r="AB17" s="484">
        <f>AB12</f>
        <v/>
      </c>
      <c r="AC17" s="484">
        <f>AC12</f>
        <v/>
      </c>
      <c r="AD17" s="484">
        <f>AD12</f>
        <v/>
      </c>
      <c r="AE17" s="484">
        <f>AE12</f>
        <v/>
      </c>
      <c r="AF17" s="484">
        <f>AF12</f>
        <v/>
      </c>
      <c r="AG17" s="484">
        <f>AG12</f>
        <v/>
      </c>
      <c r="AH17" s="484">
        <f>AH12</f>
        <v/>
      </c>
      <c r="AI17" s="484">
        <f>AI12</f>
        <v/>
      </c>
      <c r="AJ17" s="484">
        <f>AJ12</f>
        <v/>
      </c>
      <c r="AK17" s="484">
        <f>AK12</f>
        <v/>
      </c>
      <c r="AL17" s="484">
        <f>AL12</f>
        <v/>
      </c>
      <c r="AM17" s="484">
        <f>AM12</f>
        <v/>
      </c>
      <c r="AN17" s="484">
        <f>AN12</f>
        <v/>
      </c>
      <c r="AO17" s="484">
        <f>AO12</f>
        <v/>
      </c>
      <c r="AP17" s="484">
        <f>AP12</f>
        <v/>
      </c>
      <c r="AQ17" s="484">
        <f>AQ12</f>
        <v/>
      </c>
      <c r="AR17" s="484">
        <f>AR12</f>
        <v/>
      </c>
      <c r="AS17" s="484">
        <f>AS12</f>
        <v/>
      </c>
      <c r="AT17" s="484">
        <f>AT12</f>
        <v/>
      </c>
      <c r="AU17" s="484">
        <f>AU12</f>
        <v/>
      </c>
      <c r="AV17" s="484">
        <f>AV12</f>
        <v/>
      </c>
      <c r="AW17" s="484">
        <f>AW12</f>
        <v/>
      </c>
      <c r="AX17" s="484">
        <f>AX12</f>
        <v/>
      </c>
      <c r="AY17" s="484">
        <f>AY12</f>
        <v/>
      </c>
      <c r="AZ17" s="484">
        <f>AZ12</f>
        <v/>
      </c>
      <c r="BA17" s="484">
        <f>BA12</f>
        <v/>
      </c>
      <c r="BB17" s="484">
        <f>BB12</f>
        <v/>
      </c>
      <c r="BC17" s="484">
        <f>BC12</f>
        <v/>
      </c>
      <c r="BD17" s="484">
        <f>BD12</f>
        <v/>
      </c>
      <c r="BE17" s="484">
        <f>BE12</f>
        <v/>
      </c>
      <c r="BF17" s="484">
        <f>BF12</f>
        <v/>
      </c>
      <c r="BG17" s="484">
        <f>BG12</f>
        <v/>
      </c>
      <c r="BH17" s="484">
        <f>BH12</f>
        <v/>
      </c>
      <c r="BI17" s="484">
        <f>BI12</f>
        <v/>
      </c>
      <c r="BJ17" s="484">
        <f>BJ12</f>
        <v/>
      </c>
      <c r="BK17" s="484">
        <f>BK12</f>
        <v/>
      </c>
      <c r="BL17" s="484">
        <f>BL12</f>
        <v/>
      </c>
      <c r="BM17" s="484">
        <f>BM12</f>
        <v/>
      </c>
      <c r="BN17" s="484">
        <f>BN12</f>
        <v/>
      </c>
      <c r="BO17" s="484">
        <f>BO12</f>
        <v/>
      </c>
      <c r="BP17" s="484">
        <f>BP12</f>
        <v/>
      </c>
      <c r="BQ17" s="484">
        <f>BQ12</f>
        <v/>
      </c>
      <c r="BR17" s="484">
        <f>BR12</f>
        <v/>
      </c>
      <c r="BS17" s="484">
        <f>BS12</f>
        <v/>
      </c>
      <c r="BT17" s="484">
        <f>BT12</f>
        <v/>
      </c>
      <c r="BU17" s="484">
        <f>BU12</f>
        <v/>
      </c>
      <c r="BV17" s="484">
        <f>BV12</f>
        <v/>
      </c>
      <c r="BW17" s="484">
        <f>BW12</f>
        <v/>
      </c>
      <c r="BX17" s="484">
        <f>BX12</f>
        <v/>
      </c>
      <c r="BY17" s="484">
        <f>BY12</f>
        <v/>
      </c>
      <c r="BZ17" s="484">
        <f>BZ12</f>
        <v/>
      </c>
      <c r="CA17" s="484">
        <f>CA12</f>
        <v/>
      </c>
      <c r="CB17" s="484">
        <f>CB12</f>
        <v/>
      </c>
      <c r="CC17" s="484">
        <f>CC12</f>
        <v/>
      </c>
      <c r="CD17" s="484">
        <f>CD12</f>
        <v/>
      </c>
      <c r="CE17" s="484">
        <f>CE12</f>
        <v/>
      </c>
      <c r="CF17" s="484">
        <f>CF12</f>
        <v/>
      </c>
      <c r="CG17" s="484">
        <f>CG12</f>
        <v/>
      </c>
      <c r="CH17" s="484">
        <f>CH12</f>
        <v/>
      </c>
      <c r="CI17" s="484">
        <f>CI12</f>
        <v/>
      </c>
      <c r="CJ17" s="484">
        <f>CJ12</f>
        <v/>
      </c>
      <c r="CK17" s="484">
        <f>CK12</f>
        <v/>
      </c>
      <c r="CL17" s="484">
        <f>CL12</f>
        <v/>
      </c>
      <c r="CM17" s="484">
        <f>CM12</f>
        <v/>
      </c>
      <c r="CN17" s="484">
        <f>CN12</f>
        <v/>
      </c>
      <c r="CO17" s="484">
        <f>CO12</f>
        <v/>
      </c>
      <c r="CP17" s="484">
        <f>CP12</f>
        <v/>
      </c>
      <c r="CQ17" s="484">
        <f>CQ12</f>
        <v/>
      </c>
      <c r="CR17" s="484">
        <f>CR12</f>
        <v/>
      </c>
      <c r="CS17" s="484">
        <f>CS12</f>
        <v/>
      </c>
      <c r="CT17" s="484">
        <f>CT12</f>
        <v/>
      </c>
      <c r="CU17" s="484">
        <f>CU12</f>
        <v/>
      </c>
      <c r="CV17" s="484">
        <f>CV12</f>
        <v/>
      </c>
      <c r="CW17" s="484">
        <f>CW12</f>
        <v/>
      </c>
      <c r="CX17" s="484">
        <f>CX12</f>
        <v/>
      </c>
      <c r="CY17" s="484">
        <f>CY12</f>
        <v/>
      </c>
      <c r="CZ17" s="484">
        <f>CZ12</f>
        <v/>
      </c>
      <c r="DA17" s="484">
        <f>DA12</f>
        <v/>
      </c>
      <c r="DB17" s="484">
        <f>DB12</f>
        <v/>
      </c>
      <c r="DC17" s="484">
        <f>DC12</f>
        <v/>
      </c>
    </row>
    <row r="18" ht="16.5" customHeight="1" s="244">
      <c r="A18" s="261" t="n"/>
      <c r="B18" s="282" t="n"/>
      <c r="C18" s="482" t="n"/>
      <c r="D18" s="261" t="n"/>
      <c r="E18" s="259" t="n"/>
      <c r="F18" s="488">
        <f>F13/F17</f>
        <v/>
      </c>
      <c r="G18" s="488">
        <f>G13/G17</f>
        <v/>
      </c>
      <c r="H18" s="488">
        <f>H13/H17</f>
        <v/>
      </c>
      <c r="I18" s="488">
        <f>I13/I17</f>
        <v/>
      </c>
      <c r="J18" s="488">
        <f>J13/J17</f>
        <v/>
      </c>
      <c r="K18" s="488">
        <f>K13/K17</f>
        <v/>
      </c>
      <c r="L18" s="488">
        <f>L13/L17</f>
        <v/>
      </c>
      <c r="M18" s="488">
        <f>M13/M17</f>
        <v/>
      </c>
      <c r="N18" s="488">
        <f>N13/N17</f>
        <v/>
      </c>
      <c r="O18" s="488">
        <f>O13/O17</f>
        <v/>
      </c>
      <c r="P18" s="488">
        <f>P13/P17</f>
        <v/>
      </c>
      <c r="Q18" s="488">
        <f>Q13/Q17</f>
        <v/>
      </c>
      <c r="R18" s="488">
        <f>R13/R17</f>
        <v/>
      </c>
      <c r="S18" s="488">
        <f>S13/S17</f>
        <v/>
      </c>
      <c r="T18" s="488">
        <f>T13/T17</f>
        <v/>
      </c>
      <c r="U18" s="488">
        <f>U13/U17</f>
        <v/>
      </c>
      <c r="V18" s="488">
        <f>V13/V17</f>
        <v/>
      </c>
      <c r="W18" s="488">
        <f>W13/W17</f>
        <v/>
      </c>
      <c r="X18" s="488">
        <f>X13/X17</f>
        <v/>
      </c>
      <c r="Y18" s="488">
        <f>Y13/Y17</f>
        <v/>
      </c>
      <c r="Z18" s="488">
        <f>Z13/Z17</f>
        <v/>
      </c>
      <c r="AA18" s="488">
        <f>AA13/AA17</f>
        <v/>
      </c>
      <c r="AB18" s="488">
        <f>AB13/AB17</f>
        <v/>
      </c>
      <c r="AC18" s="488">
        <f>AC13/AC17</f>
        <v/>
      </c>
      <c r="AD18" s="488">
        <f>AD13/AD17</f>
        <v/>
      </c>
      <c r="AE18" s="488">
        <f>AE13/AE17</f>
        <v/>
      </c>
      <c r="AF18" s="488">
        <f>AF13/AF17</f>
        <v/>
      </c>
      <c r="AG18" s="488">
        <f>AG13/AG17</f>
        <v/>
      </c>
      <c r="AH18" s="488">
        <f>AH13/AH17</f>
        <v/>
      </c>
      <c r="AI18" s="488">
        <f>AI13/AI17</f>
        <v/>
      </c>
      <c r="AJ18" s="488">
        <f>AJ13/AJ17</f>
        <v/>
      </c>
      <c r="AK18" s="488">
        <f>AK13/AK17</f>
        <v/>
      </c>
      <c r="AL18" s="488">
        <f>AL13/AL17</f>
        <v/>
      </c>
      <c r="AM18" s="488">
        <f>AM13/AM17</f>
        <v/>
      </c>
      <c r="AN18" s="488">
        <f>AN13/AN17</f>
        <v/>
      </c>
      <c r="AO18" s="488">
        <f>AO13/AO17</f>
        <v/>
      </c>
      <c r="AP18" s="488">
        <f>AP13/AP17</f>
        <v/>
      </c>
      <c r="AQ18" s="488">
        <f>AQ13/AQ17</f>
        <v/>
      </c>
      <c r="AR18" s="488">
        <f>AR13/AR17</f>
        <v/>
      </c>
      <c r="AS18" s="488">
        <f>AS13/AS17</f>
        <v/>
      </c>
      <c r="AT18" s="488">
        <f>AT13/AT17</f>
        <v/>
      </c>
      <c r="AU18" s="488">
        <f>AU13/AU17</f>
        <v/>
      </c>
      <c r="AV18" s="488">
        <f>AV13/AV17</f>
        <v/>
      </c>
      <c r="AW18" s="488">
        <f>AW13/AW17</f>
        <v/>
      </c>
      <c r="AX18" s="488">
        <f>AX13/AX17</f>
        <v/>
      </c>
      <c r="AY18" s="488">
        <f>AY13/AY17</f>
        <v/>
      </c>
      <c r="AZ18" s="488">
        <f>AZ13/AZ17</f>
        <v/>
      </c>
      <c r="BA18" s="488">
        <f>BA13/BA17</f>
        <v/>
      </c>
      <c r="BB18" s="488">
        <f>BB13/BB17</f>
        <v/>
      </c>
      <c r="BC18" s="488">
        <f>BC13/BC17</f>
        <v/>
      </c>
      <c r="BD18" s="488">
        <f>BD13/BD17</f>
        <v/>
      </c>
      <c r="BE18" s="488">
        <f>BE13/BE17</f>
        <v/>
      </c>
      <c r="BF18" s="488">
        <f>BF13/BF17</f>
        <v/>
      </c>
      <c r="BG18" s="488">
        <f>BG13/BG17</f>
        <v/>
      </c>
      <c r="BH18" s="488">
        <f>BH13/BH17</f>
        <v/>
      </c>
      <c r="BI18" s="488">
        <f>BI13/BI17</f>
        <v/>
      </c>
      <c r="BJ18" s="488">
        <f>BJ13/BJ17</f>
        <v/>
      </c>
      <c r="BK18" s="488">
        <f>BK13/BK17</f>
        <v/>
      </c>
      <c r="BL18" s="488">
        <f>BL13/BL17</f>
        <v/>
      </c>
      <c r="BM18" s="488">
        <f>BM13/BM17</f>
        <v/>
      </c>
      <c r="BN18" s="488">
        <f>BN13/BN17</f>
        <v/>
      </c>
      <c r="BO18" s="488">
        <f>BO13/BO17</f>
        <v/>
      </c>
      <c r="BP18" s="488">
        <f>BP13/BP17</f>
        <v/>
      </c>
      <c r="BQ18" s="488">
        <f>BQ13/BQ17</f>
        <v/>
      </c>
      <c r="BR18" s="488">
        <f>BR13/BR17</f>
        <v/>
      </c>
      <c r="BS18" s="488">
        <f>BS13/BS17</f>
        <v/>
      </c>
      <c r="BT18" s="488">
        <f>BT13/BT17</f>
        <v/>
      </c>
      <c r="BU18" s="488">
        <f>BU13/BU17</f>
        <v/>
      </c>
      <c r="BV18" s="488">
        <f>BV13/BV17</f>
        <v/>
      </c>
      <c r="BW18" s="488">
        <f>BW13/BW17</f>
        <v/>
      </c>
      <c r="BX18" s="488">
        <f>BX13/BX17</f>
        <v/>
      </c>
      <c r="BY18" s="488">
        <f>BY13/BY17</f>
        <v/>
      </c>
      <c r="BZ18" s="488">
        <f>BZ13/BZ17</f>
        <v/>
      </c>
      <c r="CA18" s="488">
        <f>CA13/CA17</f>
        <v/>
      </c>
      <c r="CB18" s="488">
        <f>CB13/CB17</f>
        <v/>
      </c>
      <c r="CC18" s="488">
        <f>CC13/CC17</f>
        <v/>
      </c>
      <c r="CD18" s="488">
        <f>CD13/CD17</f>
        <v/>
      </c>
      <c r="CE18" s="488">
        <f>CE13/CE17</f>
        <v/>
      </c>
      <c r="CF18" s="488">
        <f>CF13/CF17</f>
        <v/>
      </c>
      <c r="CG18" s="488">
        <f>CG13/CG17</f>
        <v/>
      </c>
      <c r="CH18" s="488">
        <f>CH13/CH17</f>
        <v/>
      </c>
      <c r="CI18" s="488">
        <f>CI13/CI17</f>
        <v/>
      </c>
      <c r="CJ18" s="488">
        <f>CJ13/CJ17</f>
        <v/>
      </c>
      <c r="CK18" s="488">
        <f>CK13/CK17</f>
        <v/>
      </c>
      <c r="CL18" s="488">
        <f>CL13/CL17</f>
        <v/>
      </c>
      <c r="CM18" s="488">
        <f>CM13/CM17</f>
        <v/>
      </c>
      <c r="CN18" s="488">
        <f>CN13/CN17</f>
        <v/>
      </c>
      <c r="CO18" s="488">
        <f>CO13/CO17</f>
        <v/>
      </c>
      <c r="CP18" s="488">
        <f>CP13/CP17</f>
        <v/>
      </c>
      <c r="CQ18" s="488">
        <f>CQ13/CQ17</f>
        <v/>
      </c>
      <c r="CR18" s="488">
        <f>CR13/CR17</f>
        <v/>
      </c>
      <c r="CS18" s="488">
        <f>CS13/CS17</f>
        <v/>
      </c>
      <c r="CT18" s="488">
        <f>CT13/CT17</f>
        <v/>
      </c>
      <c r="CU18" s="488">
        <f>CU13/CU17</f>
        <v/>
      </c>
      <c r="CV18" s="488">
        <f>CV13/CV17</f>
        <v/>
      </c>
      <c r="CW18" s="488">
        <f>CW13/CW17</f>
        <v/>
      </c>
      <c r="CX18" s="488">
        <f>CX13/CX17</f>
        <v/>
      </c>
      <c r="CY18" s="488">
        <f>CY13/CY17</f>
        <v/>
      </c>
      <c r="CZ18" s="488">
        <f>CZ13/CZ17</f>
        <v/>
      </c>
      <c r="DA18" s="488">
        <f>DA13/DA17</f>
        <v/>
      </c>
      <c r="DB18" s="488">
        <f>DB13/DB17</f>
        <v/>
      </c>
      <c r="DC18" s="488">
        <f>DC13/DC17</f>
        <v/>
      </c>
    </row>
    <row r="19" ht="19.5" customHeight="1" s="244">
      <c r="A19" s="261" t="n"/>
      <c r="B19" s="282" t="n"/>
      <c r="C19" s="482" t="n"/>
      <c r="D19" s="261" t="n"/>
      <c r="E19" s="259" t="n"/>
      <c r="F19" s="488">
        <f>F10+(F14/8.92)^0.91</f>
        <v/>
      </c>
      <c r="G19" s="488">
        <f>G10+(G14/8.92)^0.91</f>
        <v/>
      </c>
      <c r="H19" s="488">
        <f>H10+(H14/8.92)^0.91</f>
        <v/>
      </c>
      <c r="I19" s="488">
        <f>I10+(I14/8.92)^0.91</f>
        <v/>
      </c>
      <c r="J19" s="488">
        <f>J10+(J14/8.92)^0.91</f>
        <v/>
      </c>
      <c r="K19" s="488">
        <f>K10+(K14/8.92)^0.91</f>
        <v/>
      </c>
      <c r="L19" s="488">
        <f>L10+(L14/8.92)^0.91</f>
        <v/>
      </c>
      <c r="M19" s="488">
        <f>M10+(M14/8.92)^0.91</f>
        <v/>
      </c>
      <c r="N19" s="488">
        <f>N10+(N14/8.92)^0.91</f>
        <v/>
      </c>
      <c r="O19" s="488">
        <f>O10+(O14/8.92)^0.91</f>
        <v/>
      </c>
      <c r="P19" s="488">
        <f>P10+(P14/8.92)^0.91</f>
        <v/>
      </c>
      <c r="Q19" s="488">
        <f>Q10+(Q14/8.92)^0.91</f>
        <v/>
      </c>
      <c r="R19" s="488">
        <f>R10+(R14/8.92)^0.91</f>
        <v/>
      </c>
      <c r="S19" s="488">
        <f>S10+(S14/8.92)^0.91</f>
        <v/>
      </c>
      <c r="T19" s="488">
        <f>T10+(T14/8.92)^0.91</f>
        <v/>
      </c>
      <c r="U19" s="488">
        <f>U10+(U14/8.92)^0.91</f>
        <v/>
      </c>
      <c r="V19" s="488">
        <f>V10+(V14/8.92)^0.91</f>
        <v/>
      </c>
      <c r="W19" s="488">
        <f>W10+(W14/8.92)^0.91</f>
        <v/>
      </c>
      <c r="X19" s="488">
        <f>X10+(X14/8.92)^0.91</f>
        <v/>
      </c>
      <c r="Y19" s="488">
        <f>Y10+(Y14/8.92)^0.91</f>
        <v/>
      </c>
      <c r="Z19" s="488">
        <f>Z10+(Z14/8.92)^0.91</f>
        <v/>
      </c>
      <c r="AA19" s="488">
        <f>AA10+(AA14/8.92)^0.91</f>
        <v/>
      </c>
      <c r="AB19" s="488">
        <f>AB10+(AB14/8.92)^0.91</f>
        <v/>
      </c>
      <c r="AC19" s="488">
        <f>AC10+(AC14/8.92)^0.91</f>
        <v/>
      </c>
      <c r="AD19" s="488">
        <f>AD10+(AD14/8.92)^0.91</f>
        <v/>
      </c>
      <c r="AE19" s="488">
        <f>AE10+(AE14/8.92)^0.91</f>
        <v/>
      </c>
      <c r="AF19" s="488">
        <f>AF10+(AF14/8.92)^0.91</f>
        <v/>
      </c>
      <c r="AG19" s="488">
        <f>AG10+(AG14/8.92)^0.91</f>
        <v/>
      </c>
      <c r="AH19" s="488">
        <f>AH10+(AH14/8.92)^0.91</f>
        <v/>
      </c>
      <c r="AI19" s="488">
        <f>AI10+(AI14/8.92)^0.91</f>
        <v/>
      </c>
      <c r="AJ19" s="488">
        <f>AJ10+(AJ14/8.92)^0.91</f>
        <v/>
      </c>
      <c r="AK19" s="488">
        <f>AK10+(AK14/8.92)^0.91</f>
        <v/>
      </c>
      <c r="AL19" s="488">
        <f>AL10+(AL14/8.92)^0.91</f>
        <v/>
      </c>
      <c r="AM19" s="488">
        <f>AM10+(AM14/8.92)^0.91</f>
        <v/>
      </c>
      <c r="AN19" s="488">
        <f>AN10+(AN14/8.92)^0.91</f>
        <v/>
      </c>
      <c r="AO19" s="488">
        <f>AO10+(AO14/8.92)^0.91</f>
        <v/>
      </c>
      <c r="AP19" s="488">
        <f>AP10+(AP14/8.92)^0.91</f>
        <v/>
      </c>
      <c r="AQ19" s="488">
        <f>AQ10+(AQ14/8.92)^0.91</f>
        <v/>
      </c>
      <c r="AR19" s="488">
        <f>AR10+(AR14/8.92)^0.91</f>
        <v/>
      </c>
      <c r="AS19" s="488">
        <f>AS10+(AS14/8.92)^0.91</f>
        <v/>
      </c>
      <c r="AT19" s="488">
        <f>AT10+(AT14/8.92)^0.91</f>
        <v/>
      </c>
      <c r="AU19" s="488">
        <f>AU10+(AU14/8.92)^0.91</f>
        <v/>
      </c>
      <c r="AV19" s="488">
        <f>AV10+(AV14/8.92)^0.91</f>
        <v/>
      </c>
      <c r="AW19" s="488">
        <f>AW10+(AW14/8.92)^0.91</f>
        <v/>
      </c>
      <c r="AX19" s="488">
        <f>AX10+(AX14/8.92)^0.91</f>
        <v/>
      </c>
      <c r="AY19" s="488">
        <f>AY10+(AY14/8.92)^0.91</f>
        <v/>
      </c>
      <c r="AZ19" s="488">
        <f>AZ10+(AZ14/8.92)^0.91</f>
        <v/>
      </c>
      <c r="BA19" s="488">
        <f>BA10+(BA14/8.92)^0.91</f>
        <v/>
      </c>
      <c r="BB19" s="488">
        <f>BB10+(BB14/8.92)^0.91</f>
        <v/>
      </c>
      <c r="BC19" s="488">
        <f>BC10+(BC14/8.92)^0.91</f>
        <v/>
      </c>
      <c r="BD19" s="488">
        <f>BD10+(BD14/8.92)^0.91</f>
        <v/>
      </c>
      <c r="BE19" s="488">
        <f>BE10+(BE14/8.92)^0.91</f>
        <v/>
      </c>
      <c r="BF19" s="488">
        <f>BF10+(BF14/8.92)^0.91</f>
        <v/>
      </c>
      <c r="BG19" s="488">
        <f>BG10+(BG14/8.92)^0.91</f>
        <v/>
      </c>
      <c r="BH19" s="488">
        <f>BH10+(BH14/8.92)^0.91</f>
        <v/>
      </c>
      <c r="BI19" s="488">
        <f>BI10+(BI14/8.92)^0.91</f>
        <v/>
      </c>
      <c r="BJ19" s="488">
        <f>BJ10+(BJ14/8.92)^0.91</f>
        <v/>
      </c>
      <c r="BK19" s="488">
        <f>BK10+(BK14/8.92)^0.91</f>
        <v/>
      </c>
      <c r="BL19" s="488">
        <f>BL10+(BL14/8.92)^0.91</f>
        <v/>
      </c>
      <c r="BM19" s="488">
        <f>BM10+(BM14/8.92)^0.91</f>
        <v/>
      </c>
      <c r="BN19" s="488">
        <f>BN10+(BN14/8.92)^0.91</f>
        <v/>
      </c>
      <c r="BO19" s="488">
        <f>BO10+(BO14/8.92)^0.91</f>
        <v/>
      </c>
      <c r="BP19" s="488">
        <f>BP10+(BP14/8.92)^0.91</f>
        <v/>
      </c>
      <c r="BQ19" s="488">
        <f>BQ10+(BQ14/8.92)^0.91</f>
        <v/>
      </c>
      <c r="BR19" s="488">
        <f>BR10+(BR14/8.92)^0.91</f>
        <v/>
      </c>
      <c r="BS19" s="488">
        <f>BS10+(BS14/8.92)^0.91</f>
        <v/>
      </c>
      <c r="BT19" s="488">
        <f>BT10+(BT14/8.92)^0.91</f>
        <v/>
      </c>
      <c r="BU19" s="488">
        <f>BU10+(BU14/8.92)^0.91</f>
        <v/>
      </c>
      <c r="BV19" s="488">
        <f>BV10+(BV14/8.92)^0.91</f>
        <v/>
      </c>
      <c r="BW19" s="488">
        <f>BW10+(BW14/8.92)^0.91</f>
        <v/>
      </c>
      <c r="BX19" s="488">
        <f>BX10+(BX14/8.92)^0.91</f>
        <v/>
      </c>
      <c r="BY19" s="488">
        <f>BY10+(BY14/8.92)^0.91</f>
        <v/>
      </c>
      <c r="BZ19" s="488">
        <f>BZ10+(BZ14/8.92)^0.91</f>
        <v/>
      </c>
      <c r="CA19" s="488">
        <f>CA10+(CA14/8.92)^0.91</f>
        <v/>
      </c>
      <c r="CB19" s="488">
        <f>CB10+(CB14/8.92)^0.91</f>
        <v/>
      </c>
      <c r="CC19" s="488">
        <f>CC10+(CC14/8.92)^0.91</f>
        <v/>
      </c>
      <c r="CD19" s="488">
        <f>CD10+(CD14/8.92)^0.91</f>
        <v/>
      </c>
      <c r="CE19" s="488">
        <f>CE10+(CE14/8.92)^0.91</f>
        <v/>
      </c>
      <c r="CF19" s="488">
        <f>CF10+(CF14/8.92)^0.91</f>
        <v/>
      </c>
      <c r="CG19" s="488">
        <f>CG10+(CG14/8.92)^0.91</f>
        <v/>
      </c>
      <c r="CH19" s="488">
        <f>CH10+(CH14/8.92)^0.91</f>
        <v/>
      </c>
      <c r="CI19" s="488">
        <f>CI10+(CI14/8.92)^0.91</f>
        <v/>
      </c>
      <c r="CJ19" s="488">
        <f>CJ10+(CJ14/8.92)^0.91</f>
        <v/>
      </c>
      <c r="CK19" s="488">
        <f>CK10+(CK14/8.92)^0.91</f>
        <v/>
      </c>
      <c r="CL19" s="488">
        <f>CL10+(CL14/8.92)^0.91</f>
        <v/>
      </c>
      <c r="CM19" s="488">
        <f>CM10+(CM14/8.92)^0.91</f>
        <v/>
      </c>
      <c r="CN19" s="488">
        <f>CN10+(CN14/8.92)^0.91</f>
        <v/>
      </c>
      <c r="CO19" s="488">
        <f>CO10+(CO14/8.92)^0.91</f>
        <v/>
      </c>
      <c r="CP19" s="488">
        <f>CP10+(CP14/8.92)^0.91</f>
        <v/>
      </c>
      <c r="CQ19" s="488">
        <f>CQ10+(CQ14/8.92)^0.91</f>
        <v/>
      </c>
      <c r="CR19" s="488">
        <f>CR10+(CR14/8.92)^0.91</f>
        <v/>
      </c>
      <c r="CS19" s="488">
        <f>CS10+(CS14/8.92)^0.91</f>
        <v/>
      </c>
      <c r="CT19" s="488">
        <f>CT10+(CT14/8.92)^0.91</f>
        <v/>
      </c>
      <c r="CU19" s="488">
        <f>CU10+(CU14/8.92)^0.91</f>
        <v/>
      </c>
      <c r="CV19" s="488">
        <f>CV10+(CV14/8.92)^0.91</f>
        <v/>
      </c>
      <c r="CW19" s="488">
        <f>CW10+(CW14/8.92)^0.91</f>
        <v/>
      </c>
      <c r="CX19" s="488">
        <f>CX10+(CX14/8.92)^0.91</f>
        <v/>
      </c>
      <c r="CY19" s="488">
        <f>CY10+(CY14/8.92)^0.91</f>
        <v/>
      </c>
      <c r="CZ19" s="488">
        <f>CZ10+(CZ14/8.92)^0.91</f>
        <v/>
      </c>
      <c r="DA19" s="488">
        <f>DA10+(DA14/8.92)^0.91</f>
        <v/>
      </c>
      <c r="DB19" s="488">
        <f>DB10+(DB14/8.92)^0.91</f>
        <v/>
      </c>
      <c r="DC19" s="488">
        <f>DC10+(DC14/8.92)^0.91</f>
        <v/>
      </c>
    </row>
    <row r="20" ht="12" customHeight="1" s="244">
      <c r="A20" s="261" t="n"/>
      <c r="B20" s="282" t="n"/>
      <c r="C20" s="482" t="n"/>
      <c r="D20" s="261" t="n"/>
      <c r="E20" s="259" t="n"/>
      <c r="F20" s="484" t="n">
        <v>45</v>
      </c>
      <c r="G20" s="484" t="n">
        <v>45</v>
      </c>
      <c r="H20" s="484" t="n">
        <v>45</v>
      </c>
      <c r="I20" s="484" t="n">
        <v>45</v>
      </c>
      <c r="J20" s="484" t="n">
        <v>45</v>
      </c>
      <c r="K20" s="484" t="n">
        <v>45</v>
      </c>
      <c r="L20" s="484" t="n">
        <v>45</v>
      </c>
      <c r="M20" s="484" t="n">
        <v>45</v>
      </c>
      <c r="N20" s="484" t="n">
        <v>45</v>
      </c>
      <c r="O20" s="484" t="n">
        <v>45</v>
      </c>
      <c r="P20" s="484" t="n">
        <v>45</v>
      </c>
      <c r="Q20" s="484" t="n">
        <v>45</v>
      </c>
      <c r="R20" s="484" t="n">
        <v>45</v>
      </c>
      <c r="S20" s="484" t="n">
        <v>45</v>
      </c>
      <c r="T20" s="484" t="n">
        <v>45</v>
      </c>
      <c r="U20" s="484" t="n">
        <v>45</v>
      </c>
      <c r="V20" s="484" t="n">
        <v>45</v>
      </c>
      <c r="W20" s="484" t="n">
        <v>45</v>
      </c>
      <c r="X20" s="484" t="n">
        <v>45</v>
      </c>
      <c r="Y20" s="484" t="n">
        <v>45</v>
      </c>
      <c r="Z20" s="484" t="n">
        <v>45</v>
      </c>
      <c r="AA20" s="484" t="n">
        <v>45</v>
      </c>
      <c r="AB20" s="484" t="n">
        <v>45</v>
      </c>
      <c r="AC20" s="484" t="n">
        <v>45</v>
      </c>
      <c r="AD20" s="484" t="n">
        <v>45</v>
      </c>
      <c r="AE20" s="484" t="n">
        <v>45</v>
      </c>
      <c r="AF20" s="484" t="n">
        <v>45</v>
      </c>
      <c r="AG20" s="484" t="n">
        <v>45</v>
      </c>
      <c r="AH20" s="484" t="n">
        <v>45</v>
      </c>
      <c r="AI20" s="484" t="n">
        <v>45</v>
      </c>
      <c r="AJ20" s="484" t="n">
        <v>45</v>
      </c>
      <c r="AK20" s="484" t="n">
        <v>45</v>
      </c>
      <c r="AL20" s="484" t="n">
        <v>45</v>
      </c>
      <c r="AM20" s="484" t="n">
        <v>45</v>
      </c>
      <c r="AN20" s="484" t="n">
        <v>45</v>
      </c>
      <c r="AO20" s="484" t="n">
        <v>45</v>
      </c>
      <c r="AP20" s="484" t="n">
        <v>45</v>
      </c>
      <c r="AQ20" s="484" t="n">
        <v>45</v>
      </c>
      <c r="AR20" s="484" t="n">
        <v>45</v>
      </c>
      <c r="AS20" s="484" t="n">
        <v>45</v>
      </c>
      <c r="AT20" s="484" t="n">
        <v>45</v>
      </c>
      <c r="AU20" s="484" t="n">
        <v>45</v>
      </c>
      <c r="AV20" s="484" t="n">
        <v>45</v>
      </c>
      <c r="AW20" s="484" t="n">
        <v>45</v>
      </c>
      <c r="AX20" s="484" t="n">
        <v>45</v>
      </c>
      <c r="AY20" s="484" t="n">
        <v>45</v>
      </c>
      <c r="AZ20" s="484" t="n">
        <v>45</v>
      </c>
      <c r="BA20" s="484" t="n">
        <v>45</v>
      </c>
      <c r="BB20" s="484" t="n">
        <v>45</v>
      </c>
      <c r="BC20" s="484" t="n">
        <v>45</v>
      </c>
      <c r="BD20" s="484" t="n">
        <v>45</v>
      </c>
      <c r="BE20" s="484" t="n">
        <v>45</v>
      </c>
      <c r="BF20" s="484" t="n">
        <v>45</v>
      </c>
      <c r="BG20" s="484" t="n">
        <v>45</v>
      </c>
      <c r="BH20" s="484" t="n">
        <v>45</v>
      </c>
      <c r="BI20" s="484" t="n">
        <v>45</v>
      </c>
      <c r="BJ20" s="484" t="n">
        <v>45</v>
      </c>
      <c r="BK20" s="484" t="n">
        <v>45</v>
      </c>
      <c r="BL20" s="484" t="n">
        <v>45</v>
      </c>
      <c r="BM20" s="484" t="n">
        <v>45</v>
      </c>
      <c r="BN20" s="484" t="n">
        <v>45</v>
      </c>
      <c r="BO20" s="484" t="n">
        <v>45</v>
      </c>
      <c r="BP20" s="484" t="n">
        <v>45</v>
      </c>
      <c r="BQ20" s="484" t="n">
        <v>45</v>
      </c>
      <c r="BR20" s="484" t="n">
        <v>45</v>
      </c>
      <c r="BS20" s="484" t="n">
        <v>45</v>
      </c>
      <c r="BT20" s="484" t="n">
        <v>45</v>
      </c>
      <c r="BU20" s="484" t="n">
        <v>45</v>
      </c>
      <c r="BV20" s="484" t="n">
        <v>45</v>
      </c>
      <c r="BW20" s="484" t="n">
        <v>45</v>
      </c>
      <c r="BX20" s="484" t="n">
        <v>45</v>
      </c>
      <c r="BY20" s="484" t="n">
        <v>45</v>
      </c>
      <c r="BZ20" s="484" t="n">
        <v>45</v>
      </c>
      <c r="CA20" s="484" t="n">
        <v>45</v>
      </c>
      <c r="CB20" s="484" t="n">
        <v>45</v>
      </c>
      <c r="CC20" s="484" t="n">
        <v>45</v>
      </c>
      <c r="CD20" s="484" t="n">
        <v>45</v>
      </c>
      <c r="CE20" s="484" t="n">
        <v>45</v>
      </c>
      <c r="CF20" s="484" t="n">
        <v>45</v>
      </c>
      <c r="CG20" s="484" t="n">
        <v>45</v>
      </c>
      <c r="CH20" s="484" t="n">
        <v>45</v>
      </c>
      <c r="CI20" s="484" t="n">
        <v>45</v>
      </c>
      <c r="CJ20" s="484" t="n">
        <v>45</v>
      </c>
      <c r="CK20" s="484" t="n">
        <v>45</v>
      </c>
      <c r="CL20" s="484" t="n">
        <v>45</v>
      </c>
      <c r="CM20" s="484" t="n">
        <v>45</v>
      </c>
      <c r="CN20" s="484" t="n">
        <v>45</v>
      </c>
      <c r="CO20" s="484" t="n">
        <v>45</v>
      </c>
      <c r="CP20" s="484" t="n">
        <v>45</v>
      </c>
      <c r="CQ20" s="484" t="n">
        <v>45</v>
      </c>
      <c r="CR20" s="484" t="n">
        <v>45</v>
      </c>
      <c r="CS20" s="484" t="n">
        <v>45</v>
      </c>
      <c r="CT20" s="484" t="n">
        <v>45</v>
      </c>
      <c r="CU20" s="484" t="n">
        <v>45</v>
      </c>
      <c r="CV20" s="484" t="n">
        <v>45</v>
      </c>
      <c r="CW20" s="484" t="n">
        <v>45</v>
      </c>
      <c r="CX20" s="484" t="n">
        <v>45</v>
      </c>
      <c r="CY20" s="484" t="n">
        <v>45</v>
      </c>
      <c r="CZ20" s="484" t="n">
        <v>45</v>
      </c>
      <c r="DA20" s="484" t="n">
        <v>45</v>
      </c>
      <c r="DB20" s="484" t="n">
        <v>45</v>
      </c>
      <c r="DC20" s="484" t="n">
        <v>45</v>
      </c>
    </row>
    <row r="21" ht="12" customHeight="1" s="244">
      <c r="A21" s="261" t="n"/>
      <c r="B21" s="489" t="n"/>
      <c r="C21" s="482" t="n"/>
      <c r="D21" s="261" t="n"/>
      <c r="E21" s="259" t="n"/>
      <c r="F21" s="484">
        <f>F20-F10</f>
        <v/>
      </c>
      <c r="G21" s="484">
        <f>G20-G10</f>
        <v/>
      </c>
      <c r="H21" s="484">
        <f>H20-H10</f>
        <v/>
      </c>
      <c r="I21" s="484">
        <f>I20-I10</f>
        <v/>
      </c>
      <c r="J21" s="484">
        <f>J20-J10</f>
        <v/>
      </c>
      <c r="K21" s="484">
        <f>K20-K10</f>
        <v/>
      </c>
      <c r="L21" s="484">
        <f>L20-L10</f>
        <v/>
      </c>
      <c r="M21" s="484">
        <f>M20-M10</f>
        <v/>
      </c>
      <c r="N21" s="484">
        <f>N20-N10</f>
        <v/>
      </c>
      <c r="O21" s="484">
        <f>O20-O10</f>
        <v/>
      </c>
      <c r="P21" s="484">
        <f>P20-P10</f>
        <v/>
      </c>
      <c r="Q21" s="484">
        <f>Q20-Q10</f>
        <v/>
      </c>
      <c r="R21" s="484">
        <f>R20-R10</f>
        <v/>
      </c>
      <c r="S21" s="484">
        <f>S20-S10</f>
        <v/>
      </c>
      <c r="T21" s="484">
        <f>T20-T10</f>
        <v/>
      </c>
      <c r="U21" s="484">
        <f>U20-U10</f>
        <v/>
      </c>
      <c r="V21" s="484">
        <f>V20-V10</f>
        <v/>
      </c>
      <c r="W21" s="484">
        <f>W20-W10</f>
        <v/>
      </c>
      <c r="X21" s="484">
        <f>X20-X10</f>
        <v/>
      </c>
      <c r="Y21" s="484">
        <f>Y20-Y10</f>
        <v/>
      </c>
      <c r="Z21" s="484">
        <f>Z20-Z10</f>
        <v/>
      </c>
      <c r="AA21" s="484">
        <f>AA20-AA10</f>
        <v/>
      </c>
      <c r="AB21" s="484">
        <f>AB20-AB10</f>
        <v/>
      </c>
      <c r="AC21" s="484">
        <f>AC20-AC10</f>
        <v/>
      </c>
      <c r="AD21" s="484">
        <f>AD20-AD10</f>
        <v/>
      </c>
      <c r="AE21" s="484">
        <f>AE20-AE10</f>
        <v/>
      </c>
      <c r="AF21" s="484">
        <f>AF20-AF10</f>
        <v/>
      </c>
      <c r="AG21" s="484">
        <f>AG20-AG10</f>
        <v/>
      </c>
      <c r="AH21" s="484">
        <f>AH20-AH10</f>
        <v/>
      </c>
      <c r="AI21" s="484">
        <f>AI20-AI10</f>
        <v/>
      </c>
      <c r="AJ21" s="484">
        <f>AJ20-AJ10</f>
        <v/>
      </c>
      <c r="AK21" s="484">
        <f>AK20-AK10</f>
        <v/>
      </c>
      <c r="AL21" s="484">
        <f>AL20-AL10</f>
        <v/>
      </c>
      <c r="AM21" s="484">
        <f>AM20-AM10</f>
        <v/>
      </c>
      <c r="AN21" s="484">
        <f>AN20-AN10</f>
        <v/>
      </c>
      <c r="AO21" s="484">
        <f>AO20-AO10</f>
        <v/>
      </c>
      <c r="AP21" s="484">
        <f>AP20-AP10</f>
        <v/>
      </c>
      <c r="AQ21" s="484">
        <f>AQ20-AQ10</f>
        <v/>
      </c>
      <c r="AR21" s="484">
        <f>AR20-AR10</f>
        <v/>
      </c>
      <c r="AS21" s="484">
        <f>AS20-AS10</f>
        <v/>
      </c>
      <c r="AT21" s="484">
        <f>AT20-AT10</f>
        <v/>
      </c>
      <c r="AU21" s="484">
        <f>AU20-AU10</f>
        <v/>
      </c>
      <c r="AV21" s="484">
        <f>AV20-AV10</f>
        <v/>
      </c>
      <c r="AW21" s="484">
        <f>AW20-AW10</f>
        <v/>
      </c>
      <c r="AX21" s="484">
        <f>AX20-AX10</f>
        <v/>
      </c>
      <c r="AY21" s="484">
        <f>AY20-AY10</f>
        <v/>
      </c>
      <c r="AZ21" s="484">
        <f>AZ20-AZ10</f>
        <v/>
      </c>
      <c r="BA21" s="484">
        <f>BA20-BA10</f>
        <v/>
      </c>
      <c r="BB21" s="484">
        <f>BB20-BB10</f>
        <v/>
      </c>
      <c r="BC21" s="484">
        <f>BC20-BC10</f>
        <v/>
      </c>
      <c r="BD21" s="484">
        <f>BD20-BD10</f>
        <v/>
      </c>
      <c r="BE21" s="484">
        <f>BE20-BE10</f>
        <v/>
      </c>
      <c r="BF21" s="484">
        <f>BF20-BF10</f>
        <v/>
      </c>
      <c r="BG21" s="484">
        <f>BG20-BG10</f>
        <v/>
      </c>
      <c r="BH21" s="484">
        <f>BH20-BH10</f>
        <v/>
      </c>
      <c r="BI21" s="484">
        <f>BI20-BI10</f>
        <v/>
      </c>
      <c r="BJ21" s="484">
        <f>BJ20-BJ10</f>
        <v/>
      </c>
      <c r="BK21" s="484">
        <f>BK20-BK10</f>
        <v/>
      </c>
      <c r="BL21" s="484">
        <f>BL20-BL10</f>
        <v/>
      </c>
      <c r="BM21" s="484">
        <f>BM20-BM10</f>
        <v/>
      </c>
      <c r="BN21" s="484">
        <f>BN20-BN10</f>
        <v/>
      </c>
      <c r="BO21" s="484">
        <f>BO20-BO10</f>
        <v/>
      </c>
      <c r="BP21" s="484">
        <f>BP20-BP10</f>
        <v/>
      </c>
      <c r="BQ21" s="484">
        <f>BQ20-BQ10</f>
        <v/>
      </c>
      <c r="BR21" s="484">
        <f>BR20-BR10</f>
        <v/>
      </c>
      <c r="BS21" s="484">
        <f>BS20-BS10</f>
        <v/>
      </c>
      <c r="BT21" s="484">
        <f>BT20-BT10</f>
        <v/>
      </c>
      <c r="BU21" s="484">
        <f>BU20-BU10</f>
        <v/>
      </c>
      <c r="BV21" s="484">
        <f>BV20-BV10</f>
        <v/>
      </c>
      <c r="BW21" s="484">
        <f>BW20-BW10</f>
        <v/>
      </c>
      <c r="BX21" s="484">
        <f>BX20-BX10</f>
        <v/>
      </c>
      <c r="BY21" s="484">
        <f>BY20-BY10</f>
        <v/>
      </c>
      <c r="BZ21" s="484">
        <f>BZ20-BZ10</f>
        <v/>
      </c>
      <c r="CA21" s="484">
        <f>CA20-CA10</f>
        <v/>
      </c>
      <c r="CB21" s="484">
        <f>CB20-CB10</f>
        <v/>
      </c>
      <c r="CC21" s="484">
        <f>CC20-CC10</f>
        <v/>
      </c>
      <c r="CD21" s="484">
        <f>CD20-CD10</f>
        <v/>
      </c>
      <c r="CE21" s="484">
        <f>CE20-CE10</f>
        <v/>
      </c>
      <c r="CF21" s="484">
        <f>CF20-CF10</f>
        <v/>
      </c>
      <c r="CG21" s="484">
        <f>CG20-CG10</f>
        <v/>
      </c>
      <c r="CH21" s="484">
        <f>CH20-CH10</f>
        <v/>
      </c>
      <c r="CI21" s="484">
        <f>CI20-CI10</f>
        <v/>
      </c>
      <c r="CJ21" s="484">
        <f>CJ20-CJ10</f>
        <v/>
      </c>
      <c r="CK21" s="484">
        <f>CK20-CK10</f>
        <v/>
      </c>
      <c r="CL21" s="484">
        <f>CL20-CL10</f>
        <v/>
      </c>
      <c r="CM21" s="484">
        <f>CM20-CM10</f>
        <v/>
      </c>
      <c r="CN21" s="484">
        <f>CN20-CN10</f>
        <v/>
      </c>
      <c r="CO21" s="484">
        <f>CO20-CO10</f>
        <v/>
      </c>
      <c r="CP21" s="484">
        <f>CP20-CP10</f>
        <v/>
      </c>
      <c r="CQ21" s="484">
        <f>CQ20-CQ10</f>
        <v/>
      </c>
      <c r="CR21" s="484">
        <f>CR20-CR10</f>
        <v/>
      </c>
      <c r="CS21" s="484">
        <f>CS20-CS10</f>
        <v/>
      </c>
      <c r="CT21" s="484">
        <f>CT20-CT10</f>
        <v/>
      </c>
      <c r="CU21" s="484">
        <f>CU20-CU10</f>
        <v/>
      </c>
      <c r="CV21" s="484">
        <f>CV20-CV10</f>
        <v/>
      </c>
      <c r="CW21" s="484">
        <f>CW20-CW10</f>
        <v/>
      </c>
      <c r="CX21" s="484">
        <f>CX20-CX10</f>
        <v/>
      </c>
      <c r="CY21" s="484">
        <f>CY20-CY10</f>
        <v/>
      </c>
      <c r="CZ21" s="484">
        <f>CZ20-CZ10</f>
        <v/>
      </c>
      <c r="DA21" s="484">
        <f>DA20-DA10</f>
        <v/>
      </c>
      <c r="DB21" s="484">
        <f>DB20-DB10</f>
        <v/>
      </c>
      <c r="DC21" s="484">
        <f>DC20-DC10</f>
        <v/>
      </c>
    </row>
    <row r="22" ht="12" customHeight="1" s="244">
      <c r="A22" s="261" t="n"/>
      <c r="B22" s="490" t="n"/>
      <c r="C22" s="482" t="n"/>
      <c r="D22" s="261" t="n"/>
      <c r="E22" s="259" t="n"/>
      <c r="F22" s="484" t="n">
        <v>15</v>
      </c>
      <c r="G22" s="484" t="n">
        <v>15</v>
      </c>
      <c r="H22" s="484" t="n">
        <v>15</v>
      </c>
      <c r="I22" s="484" t="n">
        <v>15</v>
      </c>
      <c r="J22" s="484" t="n">
        <v>15</v>
      </c>
      <c r="K22" s="484" t="n">
        <v>15</v>
      </c>
      <c r="L22" s="484" t="n">
        <v>15</v>
      </c>
      <c r="M22" s="484" t="n">
        <v>15</v>
      </c>
      <c r="N22" s="484" t="n">
        <v>15</v>
      </c>
      <c r="O22" s="484" t="n">
        <v>15</v>
      </c>
      <c r="P22" s="484" t="n">
        <v>15</v>
      </c>
      <c r="Q22" s="484" t="n">
        <v>15</v>
      </c>
      <c r="R22" s="484" t="n">
        <v>15</v>
      </c>
      <c r="S22" s="484" t="n">
        <v>15</v>
      </c>
      <c r="T22" s="484" t="n">
        <v>15</v>
      </c>
      <c r="U22" s="484" t="n">
        <v>15</v>
      </c>
      <c r="V22" s="484" t="n">
        <v>15</v>
      </c>
      <c r="W22" s="484" t="n">
        <v>15</v>
      </c>
      <c r="X22" s="484" t="n">
        <v>15</v>
      </c>
      <c r="Y22" s="484" t="n">
        <v>15</v>
      </c>
      <c r="Z22" s="484" t="n">
        <v>15</v>
      </c>
      <c r="AA22" s="484" t="n">
        <v>15</v>
      </c>
      <c r="AB22" s="484" t="n">
        <v>15</v>
      </c>
      <c r="AC22" s="484" t="n">
        <v>15</v>
      </c>
      <c r="AD22" s="484" t="n">
        <v>15</v>
      </c>
      <c r="AE22" s="484" t="n">
        <v>15</v>
      </c>
      <c r="AF22" s="484" t="n">
        <v>15</v>
      </c>
      <c r="AG22" s="484" t="n">
        <v>15</v>
      </c>
      <c r="AH22" s="484" t="n">
        <v>15</v>
      </c>
      <c r="AI22" s="484" t="n">
        <v>15</v>
      </c>
      <c r="AJ22" s="484" t="n">
        <v>15</v>
      </c>
      <c r="AK22" s="484" t="n">
        <v>15</v>
      </c>
      <c r="AL22" s="484" t="n">
        <v>15</v>
      </c>
      <c r="AM22" s="484" t="n">
        <v>15</v>
      </c>
      <c r="AN22" s="484" t="n">
        <v>15</v>
      </c>
      <c r="AO22" s="484" t="n">
        <v>15</v>
      </c>
      <c r="AP22" s="484" t="n">
        <v>15</v>
      </c>
      <c r="AQ22" s="484" t="n">
        <v>15</v>
      </c>
      <c r="AR22" s="484" t="n">
        <v>15</v>
      </c>
      <c r="AS22" s="484" t="n">
        <v>15</v>
      </c>
      <c r="AT22" s="484" t="n">
        <v>15</v>
      </c>
      <c r="AU22" s="484" t="n">
        <v>15</v>
      </c>
      <c r="AV22" s="484" t="n">
        <v>15</v>
      </c>
      <c r="AW22" s="484" t="n">
        <v>15</v>
      </c>
      <c r="AX22" s="484" t="n">
        <v>15</v>
      </c>
      <c r="AY22" s="484" t="n">
        <v>15</v>
      </c>
      <c r="AZ22" s="484" t="n">
        <v>15</v>
      </c>
      <c r="BA22" s="484" t="n">
        <v>15</v>
      </c>
      <c r="BB22" s="484" t="n">
        <v>15</v>
      </c>
      <c r="BC22" s="484" t="n">
        <v>15</v>
      </c>
      <c r="BD22" s="484" t="n">
        <v>15</v>
      </c>
      <c r="BE22" s="484" t="n">
        <v>15</v>
      </c>
      <c r="BF22" s="484" t="n">
        <v>15</v>
      </c>
      <c r="BG22" s="484" t="n">
        <v>15</v>
      </c>
      <c r="BH22" s="484" t="n">
        <v>15</v>
      </c>
      <c r="BI22" s="484" t="n">
        <v>15</v>
      </c>
      <c r="BJ22" s="484" t="n">
        <v>15</v>
      </c>
      <c r="BK22" s="484" t="n">
        <v>15</v>
      </c>
      <c r="BL22" s="484" t="n">
        <v>15</v>
      </c>
      <c r="BM22" s="484" t="n">
        <v>15</v>
      </c>
      <c r="BN22" s="484" t="n">
        <v>15</v>
      </c>
      <c r="BO22" s="484" t="n">
        <v>15</v>
      </c>
      <c r="BP22" s="484" t="n">
        <v>15</v>
      </c>
      <c r="BQ22" s="484" t="n">
        <v>15</v>
      </c>
      <c r="BR22" s="484" t="n">
        <v>15</v>
      </c>
      <c r="BS22" s="484" t="n">
        <v>15</v>
      </c>
      <c r="BT22" s="484" t="n">
        <v>15</v>
      </c>
      <c r="BU22" s="484" t="n">
        <v>15</v>
      </c>
      <c r="BV22" s="484" t="n">
        <v>15</v>
      </c>
      <c r="BW22" s="484" t="n">
        <v>15</v>
      </c>
      <c r="BX22" s="484" t="n">
        <v>15</v>
      </c>
      <c r="BY22" s="484" t="n">
        <v>15</v>
      </c>
      <c r="BZ22" s="484" t="n">
        <v>15</v>
      </c>
      <c r="CA22" s="484" t="n">
        <v>15</v>
      </c>
      <c r="CB22" s="484" t="n">
        <v>15</v>
      </c>
      <c r="CC22" s="484" t="n">
        <v>15</v>
      </c>
      <c r="CD22" s="484" t="n">
        <v>15</v>
      </c>
      <c r="CE22" s="484" t="n">
        <v>15</v>
      </c>
      <c r="CF22" s="484" t="n">
        <v>15</v>
      </c>
      <c r="CG22" s="484" t="n">
        <v>15</v>
      </c>
      <c r="CH22" s="484" t="n">
        <v>15</v>
      </c>
      <c r="CI22" s="484" t="n">
        <v>15</v>
      </c>
      <c r="CJ22" s="484" t="n">
        <v>15</v>
      </c>
      <c r="CK22" s="484" t="n">
        <v>15</v>
      </c>
      <c r="CL22" s="484" t="n">
        <v>15</v>
      </c>
      <c r="CM22" s="484" t="n">
        <v>15</v>
      </c>
      <c r="CN22" s="484" t="n">
        <v>15</v>
      </c>
      <c r="CO22" s="484" t="n">
        <v>15</v>
      </c>
      <c r="CP22" s="484" t="n">
        <v>15</v>
      </c>
      <c r="CQ22" s="484" t="n">
        <v>15</v>
      </c>
      <c r="CR22" s="484" t="n">
        <v>15</v>
      </c>
      <c r="CS22" s="484" t="n">
        <v>15</v>
      </c>
      <c r="CT22" s="484" t="n">
        <v>15</v>
      </c>
      <c r="CU22" s="484" t="n">
        <v>15</v>
      </c>
      <c r="CV22" s="484" t="n">
        <v>15</v>
      </c>
      <c r="CW22" s="484" t="n">
        <v>15</v>
      </c>
      <c r="CX22" s="484" t="n">
        <v>15</v>
      </c>
      <c r="CY22" s="484" t="n">
        <v>15</v>
      </c>
      <c r="CZ22" s="484" t="n">
        <v>15</v>
      </c>
      <c r="DA22" s="484" t="n">
        <v>15</v>
      </c>
      <c r="DB22" s="484" t="n">
        <v>15</v>
      </c>
      <c r="DC22" s="484" t="n">
        <v>15</v>
      </c>
    </row>
    <row r="23" ht="12" customHeight="1" s="244">
      <c r="A23" s="261" t="n"/>
      <c r="B23" s="490" t="n"/>
      <c r="C23" s="482" t="n"/>
      <c r="D23" s="261" t="n"/>
      <c r="E23" s="259" t="n"/>
      <c r="F23" s="491" t="n">
        <v>40</v>
      </c>
      <c r="G23" s="491" t="n">
        <v>40</v>
      </c>
      <c r="H23" s="491" t="n">
        <v>40</v>
      </c>
      <c r="I23" s="491" t="n">
        <v>40</v>
      </c>
      <c r="J23" s="491" t="n">
        <v>40</v>
      </c>
      <c r="K23" s="491" t="n">
        <v>40</v>
      </c>
      <c r="L23" s="491" t="n">
        <v>40</v>
      </c>
      <c r="M23" s="491" t="n">
        <v>40</v>
      </c>
      <c r="N23" s="491" t="n">
        <v>40</v>
      </c>
      <c r="O23" s="491" t="n">
        <v>40</v>
      </c>
      <c r="P23" s="491" t="n">
        <v>40</v>
      </c>
      <c r="Q23" s="491" t="n">
        <v>40</v>
      </c>
      <c r="R23" s="491" t="n">
        <v>40</v>
      </c>
      <c r="S23" s="491" t="n">
        <v>40</v>
      </c>
      <c r="T23" s="491" t="n">
        <v>40</v>
      </c>
      <c r="U23" s="491" t="n">
        <v>40</v>
      </c>
      <c r="V23" s="491" t="n">
        <v>40</v>
      </c>
      <c r="W23" s="491" t="n">
        <v>40</v>
      </c>
      <c r="X23" s="491" t="n">
        <v>40</v>
      </c>
      <c r="Y23" s="491" t="n">
        <v>40</v>
      </c>
      <c r="Z23" s="491" t="n">
        <v>40</v>
      </c>
      <c r="AA23" s="491" t="n">
        <v>40</v>
      </c>
      <c r="AB23" s="491" t="n">
        <v>40</v>
      </c>
      <c r="AC23" s="491" t="n">
        <v>40</v>
      </c>
      <c r="AD23" s="491" t="n">
        <v>40</v>
      </c>
      <c r="AE23" s="491" t="n">
        <v>40</v>
      </c>
      <c r="AF23" s="491" t="n">
        <v>40</v>
      </c>
      <c r="AG23" s="491" t="n">
        <v>40</v>
      </c>
      <c r="AH23" s="491" t="n">
        <v>40</v>
      </c>
      <c r="AI23" s="491" t="n">
        <v>40</v>
      </c>
      <c r="AJ23" s="491" t="n">
        <v>40</v>
      </c>
      <c r="AK23" s="491" t="n">
        <v>40</v>
      </c>
      <c r="AL23" s="491" t="n">
        <v>40</v>
      </c>
      <c r="AM23" s="491" t="n">
        <v>40</v>
      </c>
      <c r="AN23" s="491" t="n">
        <v>40</v>
      </c>
      <c r="AO23" s="491" t="n">
        <v>40</v>
      </c>
      <c r="AP23" s="491" t="n">
        <v>40</v>
      </c>
      <c r="AQ23" s="491" t="n">
        <v>40</v>
      </c>
      <c r="AR23" s="491" t="n">
        <v>40</v>
      </c>
      <c r="AS23" s="491" t="n">
        <v>40</v>
      </c>
      <c r="AT23" s="491" t="n">
        <v>40</v>
      </c>
      <c r="AU23" s="491" t="n">
        <v>40</v>
      </c>
      <c r="AV23" s="491" t="n">
        <v>40</v>
      </c>
      <c r="AW23" s="491" t="n">
        <v>40</v>
      </c>
      <c r="AX23" s="491" t="n">
        <v>40</v>
      </c>
      <c r="AY23" s="491" t="n">
        <v>40</v>
      </c>
      <c r="AZ23" s="491" t="n">
        <v>40</v>
      </c>
      <c r="BA23" s="491" t="n">
        <v>40</v>
      </c>
      <c r="BB23" s="491" t="n">
        <v>40</v>
      </c>
      <c r="BC23" s="491" t="n">
        <v>40</v>
      </c>
      <c r="BD23" s="491" t="n">
        <v>40</v>
      </c>
      <c r="BE23" s="491" t="n">
        <v>40</v>
      </c>
      <c r="BF23" s="491" t="n">
        <v>40</v>
      </c>
      <c r="BG23" s="491" t="n">
        <v>40</v>
      </c>
      <c r="BH23" s="491" t="n">
        <v>40</v>
      </c>
      <c r="BI23" s="491" t="n">
        <v>40</v>
      </c>
      <c r="BJ23" s="491" t="n">
        <v>40</v>
      </c>
      <c r="BK23" s="491" t="n">
        <v>40</v>
      </c>
      <c r="BL23" s="491" t="n">
        <v>40</v>
      </c>
      <c r="BM23" s="491" t="n">
        <v>40</v>
      </c>
      <c r="BN23" s="491" t="n">
        <v>40</v>
      </c>
      <c r="BO23" s="491" t="n">
        <v>40</v>
      </c>
      <c r="BP23" s="491" t="n">
        <v>40</v>
      </c>
      <c r="BQ23" s="491" t="n">
        <v>40</v>
      </c>
      <c r="BR23" s="491" t="n">
        <v>40</v>
      </c>
      <c r="BS23" s="491" t="n">
        <v>40</v>
      </c>
      <c r="BT23" s="491" t="n">
        <v>40</v>
      </c>
      <c r="BU23" s="491" t="n">
        <v>40</v>
      </c>
      <c r="BV23" s="491" t="n">
        <v>40</v>
      </c>
      <c r="BW23" s="491" t="n">
        <v>40</v>
      </c>
      <c r="BX23" s="491" t="n">
        <v>40</v>
      </c>
      <c r="BY23" s="491" t="n">
        <v>40</v>
      </c>
      <c r="BZ23" s="491" t="n">
        <v>40</v>
      </c>
      <c r="CA23" s="491" t="n">
        <v>40</v>
      </c>
      <c r="CB23" s="491" t="n">
        <v>40</v>
      </c>
      <c r="CC23" s="491" t="n">
        <v>40</v>
      </c>
      <c r="CD23" s="491" t="n">
        <v>40</v>
      </c>
      <c r="CE23" s="491" t="n">
        <v>40</v>
      </c>
      <c r="CF23" s="491" t="n">
        <v>40</v>
      </c>
      <c r="CG23" s="491" t="n">
        <v>40</v>
      </c>
      <c r="CH23" s="491" t="n">
        <v>40</v>
      </c>
      <c r="CI23" s="491" t="n">
        <v>40</v>
      </c>
      <c r="CJ23" s="491" t="n">
        <v>40</v>
      </c>
      <c r="CK23" s="491" t="n">
        <v>40</v>
      </c>
      <c r="CL23" s="491" t="n">
        <v>40</v>
      </c>
      <c r="CM23" s="491" t="n">
        <v>40</v>
      </c>
      <c r="CN23" s="491" t="n">
        <v>40</v>
      </c>
      <c r="CO23" s="491" t="n">
        <v>40</v>
      </c>
      <c r="CP23" s="491" t="n">
        <v>40</v>
      </c>
      <c r="CQ23" s="491" t="n">
        <v>40</v>
      </c>
      <c r="CR23" s="491" t="n">
        <v>40</v>
      </c>
      <c r="CS23" s="491" t="n">
        <v>40</v>
      </c>
      <c r="CT23" s="491" t="n">
        <v>40</v>
      </c>
      <c r="CU23" s="491" t="n">
        <v>40</v>
      </c>
      <c r="CV23" s="491" t="n">
        <v>40</v>
      </c>
      <c r="CW23" s="491" t="n">
        <v>40</v>
      </c>
      <c r="CX23" s="491" t="n">
        <v>40</v>
      </c>
      <c r="CY23" s="491" t="n">
        <v>40</v>
      </c>
      <c r="CZ23" s="491" t="n">
        <v>40</v>
      </c>
      <c r="DA23" s="491" t="n">
        <v>40</v>
      </c>
      <c r="DB23" s="491" t="n">
        <v>40</v>
      </c>
      <c r="DC23" s="491" t="n">
        <v>40</v>
      </c>
    </row>
    <row r="24" ht="12" customHeight="1" s="244">
      <c r="A24" s="261" t="n"/>
      <c r="B24" s="489" t="n"/>
      <c r="C24" s="482" t="n"/>
      <c r="D24" s="261" t="n"/>
      <c r="E24" s="259" t="n"/>
      <c r="F24" s="484">
        <f>F23-F10</f>
        <v/>
      </c>
      <c r="G24" s="484">
        <f>G23-G10</f>
        <v/>
      </c>
      <c r="H24" s="484">
        <f>H23-H10</f>
        <v/>
      </c>
      <c r="I24" s="484">
        <f>I23-I10</f>
        <v/>
      </c>
      <c r="J24" s="484">
        <f>J23-J10</f>
        <v/>
      </c>
      <c r="K24" s="484">
        <f>K23-K10</f>
        <v/>
      </c>
      <c r="L24" s="484">
        <f>L23-L10</f>
        <v/>
      </c>
      <c r="M24" s="484">
        <f>M23-M10</f>
        <v/>
      </c>
      <c r="N24" s="484">
        <f>N23-N10</f>
        <v/>
      </c>
      <c r="O24" s="484">
        <f>O23-O10</f>
        <v/>
      </c>
      <c r="P24" s="484">
        <f>P23-P10</f>
        <v/>
      </c>
      <c r="Q24" s="484">
        <f>Q23-Q10</f>
        <v/>
      </c>
      <c r="R24" s="484">
        <f>R23-R10</f>
        <v/>
      </c>
      <c r="S24" s="484">
        <f>S23-S10</f>
        <v/>
      </c>
      <c r="T24" s="484">
        <f>T23-T10</f>
        <v/>
      </c>
      <c r="U24" s="484">
        <f>U23-U10</f>
        <v/>
      </c>
      <c r="V24" s="484">
        <f>V23-V10</f>
        <v/>
      </c>
      <c r="W24" s="484">
        <f>W23-W10</f>
        <v/>
      </c>
      <c r="X24" s="484">
        <f>X23-X10</f>
        <v/>
      </c>
      <c r="Y24" s="484">
        <f>Y23-Y10</f>
        <v/>
      </c>
      <c r="Z24" s="484">
        <f>Z23-Z10</f>
        <v/>
      </c>
      <c r="AA24" s="484">
        <f>AA23-AA10</f>
        <v/>
      </c>
      <c r="AB24" s="484">
        <f>AB23-AB10</f>
        <v/>
      </c>
      <c r="AC24" s="484">
        <f>AC23-AC10</f>
        <v/>
      </c>
      <c r="AD24" s="484">
        <f>AD23-AD10</f>
        <v/>
      </c>
      <c r="AE24" s="484">
        <f>AE23-AE10</f>
        <v/>
      </c>
      <c r="AF24" s="484">
        <f>AF23-AF10</f>
        <v/>
      </c>
      <c r="AG24" s="484">
        <f>AG23-AG10</f>
        <v/>
      </c>
      <c r="AH24" s="484">
        <f>AH23-AH10</f>
        <v/>
      </c>
      <c r="AI24" s="484">
        <f>AI23-AI10</f>
        <v/>
      </c>
      <c r="AJ24" s="484">
        <f>AJ23-AJ10</f>
        <v/>
      </c>
      <c r="AK24" s="484">
        <f>AK23-AK10</f>
        <v/>
      </c>
      <c r="AL24" s="484">
        <f>AL23-AL10</f>
        <v/>
      </c>
      <c r="AM24" s="484">
        <f>AM23-AM10</f>
        <v/>
      </c>
      <c r="AN24" s="484">
        <f>AN23-AN10</f>
        <v/>
      </c>
      <c r="AO24" s="484">
        <f>AO23-AO10</f>
        <v/>
      </c>
      <c r="AP24" s="484">
        <f>AP23-AP10</f>
        <v/>
      </c>
      <c r="AQ24" s="484">
        <f>AQ23-AQ10</f>
        <v/>
      </c>
      <c r="AR24" s="484">
        <f>AR23-AR10</f>
        <v/>
      </c>
      <c r="AS24" s="484">
        <f>AS23-AS10</f>
        <v/>
      </c>
      <c r="AT24" s="484">
        <f>AT23-AT10</f>
        <v/>
      </c>
      <c r="AU24" s="484">
        <f>AU23-AU10</f>
        <v/>
      </c>
      <c r="AV24" s="484">
        <f>AV23-AV10</f>
        <v/>
      </c>
      <c r="AW24" s="484">
        <f>AW23-AW10</f>
        <v/>
      </c>
      <c r="AX24" s="484">
        <f>AX23-AX10</f>
        <v/>
      </c>
      <c r="AY24" s="484">
        <f>AY23-AY10</f>
        <v/>
      </c>
      <c r="AZ24" s="484">
        <f>AZ23-AZ10</f>
        <v/>
      </c>
      <c r="BA24" s="484">
        <f>BA23-BA10</f>
        <v/>
      </c>
      <c r="BB24" s="484">
        <f>BB23-BB10</f>
        <v/>
      </c>
      <c r="BC24" s="484">
        <f>BC23-BC10</f>
        <v/>
      </c>
      <c r="BD24" s="484">
        <f>BD23-BD10</f>
        <v/>
      </c>
      <c r="BE24" s="484">
        <f>BE23-BE10</f>
        <v/>
      </c>
      <c r="BF24" s="484">
        <f>BF23-BF10</f>
        <v/>
      </c>
      <c r="BG24" s="484">
        <f>BG23-BG10</f>
        <v/>
      </c>
      <c r="BH24" s="484">
        <f>BH23-BH10</f>
        <v/>
      </c>
      <c r="BI24" s="484">
        <f>BI23-BI10</f>
        <v/>
      </c>
      <c r="BJ24" s="484">
        <f>BJ23-BJ10</f>
        <v/>
      </c>
      <c r="BK24" s="484">
        <f>BK23-BK10</f>
        <v/>
      </c>
      <c r="BL24" s="484">
        <f>BL23-BL10</f>
        <v/>
      </c>
      <c r="BM24" s="484">
        <f>BM23-BM10</f>
        <v/>
      </c>
      <c r="BN24" s="484">
        <f>BN23-BN10</f>
        <v/>
      </c>
      <c r="BO24" s="484">
        <f>BO23-BO10</f>
        <v/>
      </c>
      <c r="BP24" s="484">
        <f>BP23-BP10</f>
        <v/>
      </c>
      <c r="BQ24" s="484">
        <f>BQ23-BQ10</f>
        <v/>
      </c>
      <c r="BR24" s="484">
        <f>BR23-BR10</f>
        <v/>
      </c>
      <c r="BS24" s="484">
        <f>BS23-BS10</f>
        <v/>
      </c>
      <c r="BT24" s="484">
        <f>BT23-BT10</f>
        <v/>
      </c>
      <c r="BU24" s="484">
        <f>BU23-BU10</f>
        <v/>
      </c>
      <c r="BV24" s="484">
        <f>BV23-BV10</f>
        <v/>
      </c>
      <c r="BW24" s="484">
        <f>BW23-BW10</f>
        <v/>
      </c>
      <c r="BX24" s="484">
        <f>BX23-BX10</f>
        <v/>
      </c>
      <c r="BY24" s="484">
        <f>BY23-BY10</f>
        <v/>
      </c>
      <c r="BZ24" s="484">
        <f>BZ23-BZ10</f>
        <v/>
      </c>
      <c r="CA24" s="484">
        <f>CA23-CA10</f>
        <v/>
      </c>
      <c r="CB24" s="484">
        <f>CB23-CB10</f>
        <v/>
      </c>
      <c r="CC24" s="484">
        <f>CC23-CC10</f>
        <v/>
      </c>
      <c r="CD24" s="484">
        <f>CD23-CD10</f>
        <v/>
      </c>
      <c r="CE24" s="484">
        <f>CE23-CE10</f>
        <v/>
      </c>
      <c r="CF24" s="484">
        <f>CF23-CF10</f>
        <v/>
      </c>
      <c r="CG24" s="484">
        <f>CG23-CG10</f>
        <v/>
      </c>
      <c r="CH24" s="484">
        <f>CH23-CH10</f>
        <v/>
      </c>
      <c r="CI24" s="484">
        <f>CI23-CI10</f>
        <v/>
      </c>
      <c r="CJ24" s="484">
        <f>CJ23-CJ10</f>
        <v/>
      </c>
      <c r="CK24" s="484">
        <f>CK23-CK10</f>
        <v/>
      </c>
      <c r="CL24" s="484">
        <f>CL23-CL10</f>
        <v/>
      </c>
      <c r="CM24" s="484">
        <f>CM23-CM10</f>
        <v/>
      </c>
      <c r="CN24" s="484">
        <f>CN23-CN10</f>
        <v/>
      </c>
      <c r="CO24" s="484">
        <f>CO23-CO10</f>
        <v/>
      </c>
      <c r="CP24" s="484">
        <f>CP23-CP10</f>
        <v/>
      </c>
      <c r="CQ24" s="484">
        <f>CQ23-CQ10</f>
        <v/>
      </c>
      <c r="CR24" s="484">
        <f>CR23-CR10</f>
        <v/>
      </c>
      <c r="CS24" s="484">
        <f>CS23-CS10</f>
        <v/>
      </c>
      <c r="CT24" s="484">
        <f>CT23-CT10</f>
        <v/>
      </c>
      <c r="CU24" s="484">
        <f>CU23-CU10</f>
        <v/>
      </c>
      <c r="CV24" s="484">
        <f>CV23-CV10</f>
        <v/>
      </c>
      <c r="CW24" s="484">
        <f>CW23-CW10</f>
        <v/>
      </c>
      <c r="CX24" s="484">
        <f>CX23-CX10</f>
        <v/>
      </c>
      <c r="CY24" s="484">
        <f>CY23-CY10</f>
        <v/>
      </c>
      <c r="CZ24" s="484">
        <f>CZ23-CZ10</f>
        <v/>
      </c>
      <c r="DA24" s="484">
        <f>DA23-DA10</f>
        <v/>
      </c>
      <c r="DB24" s="484">
        <f>DB23-DB10</f>
        <v/>
      </c>
      <c r="DC24" s="484">
        <f>DC23-DC10</f>
        <v/>
      </c>
    </row>
    <row r="25" ht="12" customHeight="1" s="244">
      <c r="A25" s="261" t="n"/>
      <c r="B25" s="489" t="n"/>
      <c r="C25" s="482" t="n"/>
      <c r="D25" s="261" t="n"/>
      <c r="E25" s="259" t="n"/>
      <c r="F25" s="484">
        <f>2*(F21-F24)</f>
        <v/>
      </c>
      <c r="G25" s="484">
        <f>2*(G21-G24)</f>
        <v/>
      </c>
      <c r="H25" s="484">
        <f>2*(H21-H24)</f>
        <v/>
      </c>
      <c r="I25" s="484">
        <f>2*(I21-I24)</f>
        <v/>
      </c>
      <c r="J25" s="484">
        <f>2*(J21-J24)</f>
        <v/>
      </c>
      <c r="K25" s="484">
        <f>2*(K21-K24)</f>
        <v/>
      </c>
      <c r="L25" s="484">
        <f>2*(L21-L24)</f>
        <v/>
      </c>
      <c r="M25" s="484">
        <f>2*(M21-M24)</f>
        <v/>
      </c>
      <c r="N25" s="484">
        <f>2*(N21-N24)</f>
        <v/>
      </c>
      <c r="O25" s="484">
        <f>2*(O21-O24)</f>
        <v/>
      </c>
      <c r="P25" s="484">
        <f>2*(P21-P24)</f>
        <v/>
      </c>
      <c r="Q25" s="484">
        <f>2*(Q21-Q24)</f>
        <v/>
      </c>
      <c r="R25" s="484">
        <f>2*(R21-R24)</f>
        <v/>
      </c>
      <c r="S25" s="484">
        <f>2*(S21-S24)</f>
        <v/>
      </c>
      <c r="T25" s="484">
        <f>2*(T21-T24)</f>
        <v/>
      </c>
      <c r="U25" s="484">
        <f>2*(U21-U24)</f>
        <v/>
      </c>
      <c r="V25" s="484">
        <f>2*(V21-V24)</f>
        <v/>
      </c>
      <c r="W25" s="484">
        <f>2*(W21-W24)</f>
        <v/>
      </c>
      <c r="X25" s="484">
        <f>2*(X21-X24)</f>
        <v/>
      </c>
      <c r="Y25" s="484">
        <f>2*(Y21-Y24)</f>
        <v/>
      </c>
      <c r="Z25" s="484">
        <f>2*(Z21-Z24)</f>
        <v/>
      </c>
      <c r="AA25" s="484">
        <f>2*(AA21-AA24)</f>
        <v/>
      </c>
      <c r="AB25" s="484">
        <f>2*(AB21-AB24)</f>
        <v/>
      </c>
      <c r="AC25" s="484">
        <f>2*(AC21-AC24)</f>
        <v/>
      </c>
      <c r="AD25" s="484">
        <f>2*(AD21-AD24)</f>
        <v/>
      </c>
      <c r="AE25" s="484">
        <f>2*(AE21-AE24)</f>
        <v/>
      </c>
      <c r="AF25" s="484">
        <f>2*(AF21-AF24)</f>
        <v/>
      </c>
      <c r="AG25" s="484">
        <f>2*(AG21-AG24)</f>
        <v/>
      </c>
      <c r="AH25" s="484">
        <f>2*(AH21-AH24)</f>
        <v/>
      </c>
      <c r="AI25" s="484">
        <f>2*(AI21-AI24)</f>
        <v/>
      </c>
      <c r="AJ25" s="484">
        <f>2*(AJ21-AJ24)</f>
        <v/>
      </c>
      <c r="AK25" s="484">
        <f>2*(AK21-AK24)</f>
        <v/>
      </c>
      <c r="AL25" s="484">
        <f>2*(AL21-AL24)</f>
        <v/>
      </c>
      <c r="AM25" s="484">
        <f>2*(AM21-AM24)</f>
        <v/>
      </c>
      <c r="AN25" s="484">
        <f>2*(AN21-AN24)</f>
        <v/>
      </c>
      <c r="AO25" s="484">
        <f>2*(AO21-AO24)</f>
        <v/>
      </c>
      <c r="AP25" s="484">
        <f>2*(AP21-AP24)</f>
        <v/>
      </c>
      <c r="AQ25" s="484">
        <f>2*(AQ21-AQ24)</f>
        <v/>
      </c>
      <c r="AR25" s="484">
        <f>2*(AR21-AR24)</f>
        <v/>
      </c>
      <c r="AS25" s="484">
        <f>2*(AS21-AS24)</f>
        <v/>
      </c>
      <c r="AT25" s="484">
        <f>2*(AT21-AT24)</f>
        <v/>
      </c>
      <c r="AU25" s="484">
        <f>2*(AU21-AU24)</f>
        <v/>
      </c>
      <c r="AV25" s="484">
        <f>2*(AV21-AV24)</f>
        <v/>
      </c>
      <c r="AW25" s="484">
        <f>2*(AW21-AW24)</f>
        <v/>
      </c>
      <c r="AX25" s="484">
        <f>2*(AX21-AX24)</f>
        <v/>
      </c>
      <c r="AY25" s="484">
        <f>2*(AY21-AY24)</f>
        <v/>
      </c>
      <c r="AZ25" s="484">
        <f>2*(AZ21-AZ24)</f>
        <v/>
      </c>
      <c r="BA25" s="484">
        <f>2*(BA21-BA24)</f>
        <v/>
      </c>
      <c r="BB25" s="484">
        <f>2*(BB21-BB24)</f>
        <v/>
      </c>
      <c r="BC25" s="484">
        <f>2*(BC21-BC24)</f>
        <v/>
      </c>
      <c r="BD25" s="484">
        <f>2*(BD21-BD24)</f>
        <v/>
      </c>
      <c r="BE25" s="484">
        <f>2*(BE21-BE24)</f>
        <v/>
      </c>
      <c r="BF25" s="484">
        <f>2*(BF21-BF24)</f>
        <v/>
      </c>
      <c r="BG25" s="484">
        <f>2*(BG21-BG24)</f>
        <v/>
      </c>
      <c r="BH25" s="484">
        <f>2*(BH21-BH24)</f>
        <v/>
      </c>
      <c r="BI25" s="484">
        <f>2*(BI21-BI24)</f>
        <v/>
      </c>
      <c r="BJ25" s="484">
        <f>2*(BJ21-BJ24)</f>
        <v/>
      </c>
      <c r="BK25" s="484">
        <f>2*(BK21-BK24)</f>
        <v/>
      </c>
      <c r="BL25" s="484">
        <f>2*(BL21-BL24)</f>
        <v/>
      </c>
      <c r="BM25" s="484">
        <f>2*(BM21-BM24)</f>
        <v/>
      </c>
      <c r="BN25" s="484">
        <f>2*(BN21-BN24)</f>
        <v/>
      </c>
      <c r="BO25" s="484">
        <f>2*(BO21-BO24)</f>
        <v/>
      </c>
      <c r="BP25" s="484">
        <f>2*(BP21-BP24)</f>
        <v/>
      </c>
      <c r="BQ25" s="484">
        <f>2*(BQ21-BQ24)</f>
        <v/>
      </c>
      <c r="BR25" s="484">
        <f>2*(BR21-BR24)</f>
        <v/>
      </c>
      <c r="BS25" s="484">
        <f>2*(BS21-BS24)</f>
        <v/>
      </c>
      <c r="BT25" s="484">
        <f>2*(BT21-BT24)</f>
        <v/>
      </c>
      <c r="BU25" s="484">
        <f>2*(BU21-BU24)</f>
        <v/>
      </c>
      <c r="BV25" s="484">
        <f>2*(BV21-BV24)</f>
        <v/>
      </c>
      <c r="BW25" s="484">
        <f>2*(BW21-BW24)</f>
        <v/>
      </c>
      <c r="BX25" s="484">
        <f>2*(BX21-BX24)</f>
        <v/>
      </c>
      <c r="BY25" s="484">
        <f>2*(BY21-BY24)</f>
        <v/>
      </c>
      <c r="BZ25" s="484">
        <f>2*(BZ21-BZ24)</f>
        <v/>
      </c>
      <c r="CA25" s="484">
        <f>2*(CA21-CA24)</f>
        <v/>
      </c>
      <c r="CB25" s="484">
        <f>2*(CB21-CB24)</f>
        <v/>
      </c>
      <c r="CC25" s="484">
        <f>2*(CC21-CC24)</f>
        <v/>
      </c>
      <c r="CD25" s="484">
        <f>2*(CD21-CD24)</f>
        <v/>
      </c>
      <c r="CE25" s="484">
        <f>2*(CE21-CE24)</f>
        <v/>
      </c>
      <c r="CF25" s="484">
        <f>2*(CF21-CF24)</f>
        <v/>
      </c>
      <c r="CG25" s="484">
        <f>2*(CG21-CG24)</f>
        <v/>
      </c>
      <c r="CH25" s="484">
        <f>2*(CH21-CH24)</f>
        <v/>
      </c>
      <c r="CI25" s="484">
        <f>2*(CI21-CI24)</f>
        <v/>
      </c>
      <c r="CJ25" s="484">
        <f>2*(CJ21-CJ24)</f>
        <v/>
      </c>
      <c r="CK25" s="484">
        <f>2*(CK21-CK24)</f>
        <v/>
      </c>
      <c r="CL25" s="484">
        <f>2*(CL21-CL24)</f>
        <v/>
      </c>
      <c r="CM25" s="484">
        <f>2*(CM21-CM24)</f>
        <v/>
      </c>
      <c r="CN25" s="484">
        <f>2*(CN21-CN24)</f>
        <v/>
      </c>
      <c r="CO25" s="484">
        <f>2*(CO21-CO24)</f>
        <v/>
      </c>
      <c r="CP25" s="484">
        <f>2*(CP21-CP24)</f>
        <v/>
      </c>
      <c r="CQ25" s="484">
        <f>2*(CQ21-CQ24)</f>
        <v/>
      </c>
      <c r="CR25" s="484">
        <f>2*(CR21-CR24)</f>
        <v/>
      </c>
      <c r="CS25" s="484">
        <f>2*(CS21-CS24)</f>
        <v/>
      </c>
      <c r="CT25" s="484">
        <f>2*(CT21-CT24)</f>
        <v/>
      </c>
      <c r="CU25" s="484">
        <f>2*(CU21-CU24)</f>
        <v/>
      </c>
      <c r="CV25" s="484">
        <f>2*(CV21-CV24)</f>
        <v/>
      </c>
      <c r="CW25" s="484">
        <f>2*(CW21-CW24)</f>
        <v/>
      </c>
      <c r="CX25" s="484">
        <f>2*(CX21-CX24)</f>
        <v/>
      </c>
      <c r="CY25" s="484">
        <f>2*(CY21-CY24)</f>
        <v/>
      </c>
      <c r="CZ25" s="484">
        <f>2*(CZ21-CZ24)</f>
        <v/>
      </c>
      <c r="DA25" s="484">
        <f>2*(DA21-DA24)</f>
        <v/>
      </c>
      <c r="DB25" s="484">
        <f>2*(DB21-DB24)</f>
        <v/>
      </c>
      <c r="DC25" s="484">
        <f>2*(DC21-DC24)</f>
        <v/>
      </c>
    </row>
    <row r="26" ht="12" customHeight="1" s="244">
      <c r="A26" s="261" t="n"/>
      <c r="B26" s="490" t="n"/>
      <c r="C26" s="482" t="n"/>
      <c r="D26" s="492" t="n"/>
      <c r="E26" s="259" t="n"/>
      <c r="F26" s="488">
        <f>0.2*F14</f>
        <v/>
      </c>
      <c r="G26" s="488">
        <f>0.2*G14</f>
        <v/>
      </c>
      <c r="H26" s="488">
        <f>0.2*H14</f>
        <v/>
      </c>
      <c r="I26" s="488">
        <f>0.2*I14</f>
        <v/>
      </c>
      <c r="J26" s="488">
        <f>0.2*J14</f>
        <v/>
      </c>
      <c r="K26" s="488">
        <f>0.2*K14</f>
        <v/>
      </c>
      <c r="L26" s="488">
        <f>0.2*L14</f>
        <v/>
      </c>
      <c r="M26" s="488">
        <f>0.2*M14</f>
        <v/>
      </c>
      <c r="N26" s="488">
        <f>0.2*N14</f>
        <v/>
      </c>
      <c r="O26" s="488">
        <f>0.2*O14</f>
        <v/>
      </c>
      <c r="P26" s="488">
        <f>0.2*P14</f>
        <v/>
      </c>
      <c r="Q26" s="488">
        <f>0.2*Q14</f>
        <v/>
      </c>
      <c r="R26" s="488">
        <f>0.2*R14</f>
        <v/>
      </c>
      <c r="S26" s="488">
        <f>0.2*S14</f>
        <v/>
      </c>
      <c r="T26" s="488">
        <f>0.2*T14</f>
        <v/>
      </c>
      <c r="U26" s="488">
        <f>0.2*U14</f>
        <v/>
      </c>
      <c r="V26" s="488">
        <f>0.2*V14</f>
        <v/>
      </c>
      <c r="W26" s="488">
        <f>0.2*W14</f>
        <v/>
      </c>
      <c r="X26" s="488">
        <f>0.2*X14</f>
        <v/>
      </c>
      <c r="Y26" s="488">
        <f>0.2*Y14</f>
        <v/>
      </c>
      <c r="Z26" s="488">
        <f>0.2*Z14</f>
        <v/>
      </c>
      <c r="AA26" s="488">
        <f>0.2*AA14</f>
        <v/>
      </c>
      <c r="AB26" s="488">
        <f>0.2*AB14</f>
        <v/>
      </c>
      <c r="AC26" s="488">
        <f>0.2*AC14</f>
        <v/>
      </c>
      <c r="AD26" s="488">
        <f>0.2*AD14</f>
        <v/>
      </c>
      <c r="AE26" s="488">
        <f>0.2*AE14</f>
        <v/>
      </c>
      <c r="AF26" s="488">
        <f>0.2*AF14</f>
        <v/>
      </c>
      <c r="AG26" s="488">
        <f>0.2*AG14</f>
        <v/>
      </c>
      <c r="AH26" s="488">
        <f>0.2*AH14</f>
        <v/>
      </c>
      <c r="AI26" s="488">
        <f>0.2*AI14</f>
        <v/>
      </c>
      <c r="AJ26" s="488">
        <f>0.2*AJ14</f>
        <v/>
      </c>
      <c r="AK26" s="488">
        <f>0.2*AK14</f>
        <v/>
      </c>
      <c r="AL26" s="488">
        <f>0.2*AL14</f>
        <v/>
      </c>
      <c r="AM26" s="488">
        <f>0.2*AM14</f>
        <v/>
      </c>
      <c r="AN26" s="488">
        <f>0.2*AN14</f>
        <v/>
      </c>
      <c r="AO26" s="488">
        <f>0.2*AO14</f>
        <v/>
      </c>
      <c r="AP26" s="488">
        <f>0.2*AP14</f>
        <v/>
      </c>
      <c r="AQ26" s="488">
        <f>0.2*AQ14</f>
        <v/>
      </c>
      <c r="AR26" s="488">
        <f>0.2*AR14</f>
        <v/>
      </c>
      <c r="AS26" s="488">
        <f>0.2*AS14</f>
        <v/>
      </c>
      <c r="AT26" s="488">
        <f>0.2*AT14</f>
        <v/>
      </c>
      <c r="AU26" s="488">
        <f>0.2*AU14</f>
        <v/>
      </c>
      <c r="AV26" s="488">
        <f>0.2*AV14</f>
        <v/>
      </c>
      <c r="AW26" s="488">
        <f>0.2*AW14</f>
        <v/>
      </c>
      <c r="AX26" s="488">
        <f>0.2*AX14</f>
        <v/>
      </c>
      <c r="AY26" s="488">
        <f>0.2*AY14</f>
        <v/>
      </c>
      <c r="AZ26" s="488">
        <f>0.2*AZ14</f>
        <v/>
      </c>
      <c r="BA26" s="488">
        <f>0.2*BA14</f>
        <v/>
      </c>
      <c r="BB26" s="488">
        <f>0.2*BB14</f>
        <v/>
      </c>
      <c r="BC26" s="488">
        <f>0.2*BC14</f>
        <v/>
      </c>
      <c r="BD26" s="488">
        <f>0.2*BD14</f>
        <v/>
      </c>
      <c r="BE26" s="488">
        <f>0.2*BE14</f>
        <v/>
      </c>
      <c r="BF26" s="488">
        <f>0.2*BF14</f>
        <v/>
      </c>
      <c r="BG26" s="488">
        <f>0.2*BG14</f>
        <v/>
      </c>
      <c r="BH26" s="488">
        <f>0.2*BH14</f>
        <v/>
      </c>
      <c r="BI26" s="488">
        <f>0.2*BI14</f>
        <v/>
      </c>
      <c r="BJ26" s="488">
        <f>0.2*BJ14</f>
        <v/>
      </c>
      <c r="BK26" s="488">
        <f>0.2*BK14</f>
        <v/>
      </c>
      <c r="BL26" s="488">
        <f>0.2*BL14</f>
        <v/>
      </c>
      <c r="BM26" s="488">
        <f>0.2*BM14</f>
        <v/>
      </c>
      <c r="BN26" s="488">
        <f>0.2*BN14</f>
        <v/>
      </c>
      <c r="BO26" s="488">
        <f>0.2*BO14</f>
        <v/>
      </c>
      <c r="BP26" s="488">
        <f>0.2*BP14</f>
        <v/>
      </c>
      <c r="BQ26" s="488">
        <f>0.2*BQ14</f>
        <v/>
      </c>
      <c r="BR26" s="488">
        <f>0.2*BR14</f>
        <v/>
      </c>
      <c r="BS26" s="488">
        <f>0.2*BS14</f>
        <v/>
      </c>
      <c r="BT26" s="488">
        <f>0.2*BT14</f>
        <v/>
      </c>
      <c r="BU26" s="488">
        <f>0.2*BU14</f>
        <v/>
      </c>
      <c r="BV26" s="488">
        <f>0.2*BV14</f>
        <v/>
      </c>
      <c r="BW26" s="488">
        <f>0.2*BW14</f>
        <v/>
      </c>
      <c r="BX26" s="488">
        <f>0.2*BX14</f>
        <v/>
      </c>
      <c r="BY26" s="488">
        <f>0.2*BY14</f>
        <v/>
      </c>
      <c r="BZ26" s="488">
        <f>0.2*BZ14</f>
        <v/>
      </c>
      <c r="CA26" s="488">
        <f>0.2*CA14</f>
        <v/>
      </c>
      <c r="CB26" s="488">
        <f>0.2*CB14</f>
        <v/>
      </c>
      <c r="CC26" s="488">
        <f>0.2*CC14</f>
        <v/>
      </c>
      <c r="CD26" s="488">
        <f>0.2*CD14</f>
        <v/>
      </c>
      <c r="CE26" s="488">
        <f>0.2*CE14</f>
        <v/>
      </c>
      <c r="CF26" s="488">
        <f>0.2*CF14</f>
        <v/>
      </c>
      <c r="CG26" s="488">
        <f>0.2*CG14</f>
        <v/>
      </c>
      <c r="CH26" s="488">
        <f>0.2*CH14</f>
        <v/>
      </c>
      <c r="CI26" s="488">
        <f>0.2*CI14</f>
        <v/>
      </c>
      <c r="CJ26" s="488">
        <f>0.2*CJ14</f>
        <v/>
      </c>
      <c r="CK26" s="488">
        <f>0.2*CK14</f>
        <v/>
      </c>
      <c r="CL26" s="488">
        <f>0.2*CL14</f>
        <v/>
      </c>
      <c r="CM26" s="488">
        <f>0.2*CM14</f>
        <v/>
      </c>
      <c r="CN26" s="488">
        <f>0.2*CN14</f>
        <v/>
      </c>
      <c r="CO26" s="488">
        <f>0.2*CO14</f>
        <v/>
      </c>
      <c r="CP26" s="488">
        <f>0.2*CP14</f>
        <v/>
      </c>
      <c r="CQ26" s="488">
        <f>0.2*CQ14</f>
        <v/>
      </c>
      <c r="CR26" s="488">
        <f>0.2*CR14</f>
        <v/>
      </c>
      <c r="CS26" s="488">
        <f>0.2*CS14</f>
        <v/>
      </c>
      <c r="CT26" s="488">
        <f>0.2*CT14</f>
        <v/>
      </c>
      <c r="CU26" s="488">
        <f>0.2*CU14</f>
        <v/>
      </c>
      <c r="CV26" s="488">
        <f>0.2*CV14</f>
        <v/>
      </c>
      <c r="CW26" s="488">
        <f>0.2*CW14</f>
        <v/>
      </c>
      <c r="CX26" s="488">
        <f>0.2*CX14</f>
        <v/>
      </c>
      <c r="CY26" s="488">
        <f>0.2*CY14</f>
        <v/>
      </c>
      <c r="CZ26" s="488">
        <f>0.2*CZ14</f>
        <v/>
      </c>
      <c r="DA26" s="488">
        <f>0.2*DA14</f>
        <v/>
      </c>
      <c r="DB26" s="488">
        <f>0.2*DB14</f>
        <v/>
      </c>
      <c r="DC26" s="488">
        <f>0.2*DC14</f>
        <v/>
      </c>
    </row>
    <row r="27" ht="12" customHeight="1" s="244">
      <c r="A27" s="261" t="n"/>
      <c r="B27" s="490" t="n"/>
      <c r="C27" s="482" t="n"/>
      <c r="D27" s="261" t="n"/>
      <c r="E27" s="259" t="n"/>
      <c r="F27" s="493">
        <f>F17*(F14+F26)</f>
        <v/>
      </c>
      <c r="G27" s="493">
        <f>G17*(G14+G26)</f>
        <v/>
      </c>
      <c r="H27" s="493">
        <f>H17*(H14+H26)</f>
        <v/>
      </c>
      <c r="I27" s="493">
        <f>I17*(I14+I26)</f>
        <v/>
      </c>
      <c r="J27" s="493">
        <f>J17*(J14+J26)</f>
        <v/>
      </c>
      <c r="K27" s="493">
        <f>K17*(K14+K26)</f>
        <v/>
      </c>
      <c r="L27" s="493">
        <f>L17*(L14+L26)</f>
        <v/>
      </c>
      <c r="M27" s="493">
        <f>M17*(M14+M26)</f>
        <v/>
      </c>
      <c r="N27" s="493">
        <f>N17*(N14+N26)</f>
        <v/>
      </c>
      <c r="O27" s="493">
        <f>O17*(O14+O26)</f>
        <v/>
      </c>
      <c r="P27" s="493">
        <f>P17*(P14+P26)</f>
        <v/>
      </c>
      <c r="Q27" s="493">
        <f>Q17*(Q14+Q26)</f>
        <v/>
      </c>
      <c r="R27" s="493">
        <f>R17*(R14+R26)</f>
        <v/>
      </c>
      <c r="S27" s="493">
        <f>S17*(S14+S26)</f>
        <v/>
      </c>
      <c r="T27" s="493">
        <f>T17*(T14+T26)</f>
        <v/>
      </c>
      <c r="U27" s="493">
        <f>U17*(U14+U26)</f>
        <v/>
      </c>
      <c r="V27" s="493">
        <f>V17*(V14+V26)</f>
        <v/>
      </c>
      <c r="W27" s="493">
        <f>W17*(W14+W26)</f>
        <v/>
      </c>
      <c r="X27" s="493">
        <f>X17*(X14+X26)</f>
        <v/>
      </c>
      <c r="Y27" s="493">
        <f>Y17*(Y14+Y26)</f>
        <v/>
      </c>
      <c r="Z27" s="493">
        <f>Z17*(Z14+Z26)</f>
        <v/>
      </c>
      <c r="AA27" s="493">
        <f>AA17*(AA14+AA26)</f>
        <v/>
      </c>
      <c r="AB27" s="493">
        <f>AB17*(AB14+AB26)</f>
        <v/>
      </c>
      <c r="AC27" s="493">
        <f>AC17*(AC14+AC26)</f>
        <v/>
      </c>
      <c r="AD27" s="493">
        <f>AD17*(AD14+AD26)</f>
        <v/>
      </c>
      <c r="AE27" s="493">
        <f>AE17*(AE14+AE26)</f>
        <v/>
      </c>
      <c r="AF27" s="493">
        <f>AF17*(AF14+AF26)</f>
        <v/>
      </c>
      <c r="AG27" s="493">
        <f>AG17*(AG14+AG26)</f>
        <v/>
      </c>
      <c r="AH27" s="493">
        <f>AH17*(AH14+AH26)</f>
        <v/>
      </c>
      <c r="AI27" s="493">
        <f>AI17*(AI14+AI26)</f>
        <v/>
      </c>
      <c r="AJ27" s="493">
        <f>AJ17*(AJ14+AJ26)</f>
        <v/>
      </c>
      <c r="AK27" s="493">
        <f>AK17*(AK14+AK26)</f>
        <v/>
      </c>
      <c r="AL27" s="493">
        <f>AL17*(AL14+AL26)</f>
        <v/>
      </c>
      <c r="AM27" s="493">
        <f>AM17*(AM14+AM26)</f>
        <v/>
      </c>
      <c r="AN27" s="493">
        <f>AN17*(AN14+AN26)</f>
        <v/>
      </c>
      <c r="AO27" s="493">
        <f>AO17*(AO14+AO26)</f>
        <v/>
      </c>
      <c r="AP27" s="493">
        <f>AP17*(AP14+AP26)</f>
        <v/>
      </c>
      <c r="AQ27" s="493">
        <f>AQ17*(AQ14+AQ26)</f>
        <v/>
      </c>
      <c r="AR27" s="493">
        <f>AR17*(AR14+AR26)</f>
        <v/>
      </c>
      <c r="AS27" s="493">
        <f>AS17*(AS14+AS26)</f>
        <v/>
      </c>
      <c r="AT27" s="493">
        <f>AT17*(AT14+AT26)</f>
        <v/>
      </c>
      <c r="AU27" s="493">
        <f>AU17*(AU14+AU26)</f>
        <v/>
      </c>
      <c r="AV27" s="493">
        <f>AV17*(AV14+AV26)</f>
        <v/>
      </c>
      <c r="AW27" s="493">
        <f>AW17*(AW14+AW26)</f>
        <v/>
      </c>
      <c r="AX27" s="493">
        <f>AX17*(AX14+AX26)</f>
        <v/>
      </c>
      <c r="AY27" s="493">
        <f>AY17*(AY14+AY26)</f>
        <v/>
      </c>
      <c r="AZ27" s="493">
        <f>AZ17*(AZ14+AZ26)</f>
        <v/>
      </c>
      <c r="BA27" s="493">
        <f>BA17*(BA14+BA26)</f>
        <v/>
      </c>
      <c r="BB27" s="493">
        <f>BB17*(BB14+BB26)</f>
        <v/>
      </c>
      <c r="BC27" s="493">
        <f>BC17*(BC14+BC26)</f>
        <v/>
      </c>
      <c r="BD27" s="493">
        <f>BD17*(BD14+BD26)</f>
        <v/>
      </c>
      <c r="BE27" s="493">
        <f>BE17*(BE14+BE26)</f>
        <v/>
      </c>
      <c r="BF27" s="493">
        <f>BF17*(BF14+BF26)</f>
        <v/>
      </c>
      <c r="BG27" s="493">
        <f>BG17*(BG14+BG26)</f>
        <v/>
      </c>
      <c r="BH27" s="493">
        <f>BH17*(BH14+BH26)</f>
        <v/>
      </c>
      <c r="BI27" s="493">
        <f>BI17*(BI14+BI26)</f>
        <v/>
      </c>
      <c r="BJ27" s="493">
        <f>BJ17*(BJ14+BJ26)</f>
        <v/>
      </c>
      <c r="BK27" s="493">
        <f>BK17*(BK14+BK26)</f>
        <v/>
      </c>
      <c r="BL27" s="493">
        <f>BL17*(BL14+BL26)</f>
        <v/>
      </c>
      <c r="BM27" s="493">
        <f>BM17*(BM14+BM26)</f>
        <v/>
      </c>
      <c r="BN27" s="493">
        <f>BN17*(BN14+BN26)</f>
        <v/>
      </c>
      <c r="BO27" s="493">
        <f>BO17*(BO14+BO26)</f>
        <v/>
      </c>
      <c r="BP27" s="493">
        <f>BP17*(BP14+BP26)</f>
        <v/>
      </c>
      <c r="BQ27" s="493">
        <f>BQ17*(BQ14+BQ26)</f>
        <v/>
      </c>
      <c r="BR27" s="493">
        <f>BR17*(BR14+BR26)</f>
        <v/>
      </c>
      <c r="BS27" s="493">
        <f>BS17*(BS14+BS26)</f>
        <v/>
      </c>
      <c r="BT27" s="493">
        <f>BT17*(BT14+BT26)</f>
        <v/>
      </c>
      <c r="BU27" s="493">
        <f>BU17*(BU14+BU26)</f>
        <v/>
      </c>
      <c r="BV27" s="493">
        <f>BV17*(BV14+BV26)</f>
        <v/>
      </c>
      <c r="BW27" s="493">
        <f>BW17*(BW14+BW26)</f>
        <v/>
      </c>
      <c r="BX27" s="493">
        <f>BX17*(BX14+BX26)</f>
        <v/>
      </c>
      <c r="BY27" s="493">
        <f>BY17*(BY14+BY26)</f>
        <v/>
      </c>
      <c r="BZ27" s="493">
        <f>BZ17*(BZ14+BZ26)</f>
        <v/>
      </c>
      <c r="CA27" s="493">
        <f>CA17*(CA14+CA26)</f>
        <v/>
      </c>
      <c r="CB27" s="493">
        <f>CB17*(CB14+CB26)</f>
        <v/>
      </c>
      <c r="CC27" s="493">
        <f>CC17*(CC14+CC26)</f>
        <v/>
      </c>
      <c r="CD27" s="493">
        <f>CD17*(CD14+CD26)</f>
        <v/>
      </c>
      <c r="CE27" s="493">
        <f>CE17*(CE14+CE26)</f>
        <v/>
      </c>
      <c r="CF27" s="493">
        <f>CF17*(CF14+CF26)</f>
        <v/>
      </c>
      <c r="CG27" s="493">
        <f>CG17*(CG14+CG26)</f>
        <v/>
      </c>
      <c r="CH27" s="493">
        <f>CH17*(CH14+CH26)</f>
        <v/>
      </c>
      <c r="CI27" s="493">
        <f>CI17*(CI14+CI26)</f>
        <v/>
      </c>
      <c r="CJ27" s="493">
        <f>CJ17*(CJ14+CJ26)</f>
        <v/>
      </c>
      <c r="CK27" s="493">
        <f>CK17*(CK14+CK26)</f>
        <v/>
      </c>
      <c r="CL27" s="493">
        <f>CL17*(CL14+CL26)</f>
        <v/>
      </c>
      <c r="CM27" s="493">
        <f>CM17*(CM14+CM26)</f>
        <v/>
      </c>
      <c r="CN27" s="493">
        <f>CN17*(CN14+CN26)</f>
        <v/>
      </c>
      <c r="CO27" s="493">
        <f>CO17*(CO14+CO26)</f>
        <v/>
      </c>
      <c r="CP27" s="493">
        <f>CP17*(CP14+CP26)</f>
        <v/>
      </c>
      <c r="CQ27" s="493">
        <f>CQ17*(CQ14+CQ26)</f>
        <v/>
      </c>
      <c r="CR27" s="493">
        <f>CR17*(CR14+CR26)</f>
        <v/>
      </c>
      <c r="CS27" s="493">
        <f>CS17*(CS14+CS26)</f>
        <v/>
      </c>
      <c r="CT27" s="493">
        <f>CT17*(CT14+CT26)</f>
        <v/>
      </c>
      <c r="CU27" s="493">
        <f>CU17*(CU14+CU26)</f>
        <v/>
      </c>
      <c r="CV27" s="493">
        <f>CV17*(CV14+CV26)</f>
        <v/>
      </c>
      <c r="CW27" s="493">
        <f>CW17*(CW14+CW26)</f>
        <v/>
      </c>
      <c r="CX27" s="493">
        <f>CX17*(CX14+CX26)</f>
        <v/>
      </c>
      <c r="CY27" s="493">
        <f>CY17*(CY14+CY26)</f>
        <v/>
      </c>
      <c r="CZ27" s="493">
        <f>CZ17*(CZ14+CZ26)</f>
        <v/>
      </c>
      <c r="DA27" s="493">
        <f>DA17*(DA14+DA26)</f>
        <v/>
      </c>
      <c r="DB27" s="493">
        <f>DB17*(DB14+DB26)</f>
        <v/>
      </c>
      <c r="DC27" s="493">
        <f>DC17*(DC14+DC26)</f>
        <v/>
      </c>
    </row>
    <row r="28" ht="12" customHeight="1" s="244">
      <c r="A28" s="261" t="n"/>
      <c r="B28" s="490" t="n"/>
      <c r="C28" s="482" t="n"/>
      <c r="D28" s="261" t="n"/>
      <c r="E28" s="259" t="n"/>
      <c r="F28" s="494">
        <f>F27/(1.163*F25)</f>
        <v/>
      </c>
      <c r="G28" s="494">
        <f>G27/(1.163*G25)</f>
        <v/>
      </c>
      <c r="H28" s="494">
        <f>H27/(1.163*H25)</f>
        <v/>
      </c>
      <c r="I28" s="494">
        <f>I27/(1.163*I25)</f>
        <v/>
      </c>
      <c r="J28" s="494">
        <f>J27/(1.163*J25)</f>
        <v/>
      </c>
      <c r="K28" s="494">
        <f>K27/(1.163*K25)</f>
        <v/>
      </c>
      <c r="L28" s="494">
        <f>L27/(1.163*L25)</f>
        <v/>
      </c>
      <c r="M28" s="494">
        <f>M27/(1.163*M25)</f>
        <v/>
      </c>
      <c r="N28" s="494">
        <f>N27/(1.163*N25)</f>
        <v/>
      </c>
      <c r="O28" s="494">
        <f>O27/(1.163*O25)</f>
        <v/>
      </c>
      <c r="P28" s="494">
        <f>P27/(1.163*P25)</f>
        <v/>
      </c>
      <c r="Q28" s="494">
        <f>Q27/(1.163*Q25)</f>
        <v/>
      </c>
      <c r="R28" s="494">
        <f>R27/(1.163*R25)</f>
        <v/>
      </c>
      <c r="S28" s="494">
        <f>S27/(1.163*S25)</f>
        <v/>
      </c>
      <c r="T28" s="494">
        <f>T27/(1.163*T25)</f>
        <v/>
      </c>
      <c r="U28" s="494">
        <f>U27/(1.163*U25)</f>
        <v/>
      </c>
      <c r="V28" s="494">
        <f>V27/(1.163*V25)</f>
        <v/>
      </c>
      <c r="W28" s="494">
        <f>W27/(1.163*W25)</f>
        <v/>
      </c>
      <c r="X28" s="494">
        <f>X27/(1.163*X25)</f>
        <v/>
      </c>
      <c r="Y28" s="494">
        <f>Y27/(1.163*Y25)</f>
        <v/>
      </c>
      <c r="Z28" s="494">
        <f>Z27/(1.163*Z25)</f>
        <v/>
      </c>
      <c r="AA28" s="494">
        <f>AA27/(1.163*AA25)</f>
        <v/>
      </c>
      <c r="AB28" s="494">
        <f>AB27/(1.163*AB25)</f>
        <v/>
      </c>
      <c r="AC28" s="494">
        <f>AC27/(1.163*AC25)</f>
        <v/>
      </c>
      <c r="AD28" s="494">
        <f>AD27/(1.163*AD25)</f>
        <v/>
      </c>
      <c r="AE28" s="494">
        <f>AE27/(1.163*AE25)</f>
        <v/>
      </c>
      <c r="AF28" s="494">
        <f>AF27/(1.163*AF25)</f>
        <v/>
      </c>
      <c r="AG28" s="494">
        <f>AG27/(1.163*AG25)</f>
        <v/>
      </c>
      <c r="AH28" s="494">
        <f>AH27/(1.163*AH25)</f>
        <v/>
      </c>
      <c r="AI28" s="494">
        <f>AI27/(1.163*AI25)</f>
        <v/>
      </c>
      <c r="AJ28" s="494">
        <f>AJ27/(1.163*AJ25)</f>
        <v/>
      </c>
      <c r="AK28" s="494">
        <f>AK27/(1.163*AK25)</f>
        <v/>
      </c>
      <c r="AL28" s="494">
        <f>AL27/(1.163*AL25)</f>
        <v/>
      </c>
      <c r="AM28" s="494">
        <f>AM27/(1.163*AM25)</f>
        <v/>
      </c>
      <c r="AN28" s="494">
        <f>AN27/(1.163*AN25)</f>
        <v/>
      </c>
      <c r="AO28" s="494">
        <f>AO27/(1.163*AO25)</f>
        <v/>
      </c>
      <c r="AP28" s="494">
        <f>AP27/(1.163*AP25)</f>
        <v/>
      </c>
      <c r="AQ28" s="494">
        <f>AQ27/(1.163*AQ25)</f>
        <v/>
      </c>
      <c r="AR28" s="494">
        <f>AR27/(1.163*AR25)</f>
        <v/>
      </c>
      <c r="AS28" s="494">
        <f>AS27/(1.163*AS25)</f>
        <v/>
      </c>
      <c r="AT28" s="494">
        <f>AT27/(1.163*AT25)</f>
        <v/>
      </c>
      <c r="AU28" s="494">
        <f>AU27/(1.163*AU25)</f>
        <v/>
      </c>
      <c r="AV28" s="494">
        <f>AV27/(1.163*AV25)</f>
        <v/>
      </c>
      <c r="AW28" s="494">
        <f>AW27/(1.163*AW25)</f>
        <v/>
      </c>
      <c r="AX28" s="494">
        <f>AX27/(1.163*AX25)</f>
        <v/>
      </c>
      <c r="AY28" s="494">
        <f>AY27/(1.163*AY25)</f>
        <v/>
      </c>
      <c r="AZ28" s="494">
        <f>AZ27/(1.163*AZ25)</f>
        <v/>
      </c>
      <c r="BA28" s="494">
        <f>BA27/(1.163*BA25)</f>
        <v/>
      </c>
      <c r="BB28" s="494">
        <f>BB27/(1.163*BB25)</f>
        <v/>
      </c>
      <c r="BC28" s="494">
        <f>BC27/(1.163*BC25)</f>
        <v/>
      </c>
      <c r="BD28" s="494">
        <f>BD27/(1.163*BD25)</f>
        <v/>
      </c>
      <c r="BE28" s="494">
        <f>BE27/(1.163*BE25)</f>
        <v/>
      </c>
      <c r="BF28" s="494">
        <f>BF27/(1.163*BF25)</f>
        <v/>
      </c>
      <c r="BG28" s="494">
        <f>BG27/(1.163*BG25)</f>
        <v/>
      </c>
      <c r="BH28" s="494">
        <f>BH27/(1.163*BH25)</f>
        <v/>
      </c>
      <c r="BI28" s="494">
        <f>BI27/(1.163*BI25)</f>
        <v/>
      </c>
      <c r="BJ28" s="494">
        <f>BJ27/(1.163*BJ25)</f>
        <v/>
      </c>
      <c r="BK28" s="494">
        <f>BK27/(1.163*BK25)</f>
        <v/>
      </c>
      <c r="BL28" s="494">
        <f>BL27/(1.163*BL25)</f>
        <v/>
      </c>
      <c r="BM28" s="494">
        <f>BM27/(1.163*BM25)</f>
        <v/>
      </c>
      <c r="BN28" s="494">
        <f>BN27/(1.163*BN25)</f>
        <v/>
      </c>
      <c r="BO28" s="494">
        <f>BO27/(1.163*BO25)</f>
        <v/>
      </c>
      <c r="BP28" s="494">
        <f>BP27/(1.163*BP25)</f>
        <v/>
      </c>
      <c r="BQ28" s="494">
        <f>BQ27/(1.163*BQ25)</f>
        <v/>
      </c>
      <c r="BR28" s="494">
        <f>BR27/(1.163*BR25)</f>
        <v/>
      </c>
      <c r="BS28" s="494">
        <f>BS27/(1.163*BS25)</f>
        <v/>
      </c>
      <c r="BT28" s="494">
        <f>BT27/(1.163*BT25)</f>
        <v/>
      </c>
      <c r="BU28" s="494">
        <f>BU27/(1.163*BU25)</f>
        <v/>
      </c>
      <c r="BV28" s="494">
        <f>BV27/(1.163*BV25)</f>
        <v/>
      </c>
      <c r="BW28" s="494">
        <f>BW27/(1.163*BW25)</f>
        <v/>
      </c>
      <c r="BX28" s="494">
        <f>BX27/(1.163*BX25)</f>
        <v/>
      </c>
      <c r="BY28" s="494">
        <f>BY27/(1.163*BY25)</f>
        <v/>
      </c>
      <c r="BZ28" s="494">
        <f>BZ27/(1.163*BZ25)</f>
        <v/>
      </c>
      <c r="CA28" s="494">
        <f>CA27/(1.163*CA25)</f>
        <v/>
      </c>
      <c r="CB28" s="494">
        <f>CB27/(1.163*CB25)</f>
        <v/>
      </c>
      <c r="CC28" s="494">
        <f>CC27/(1.163*CC25)</f>
        <v/>
      </c>
      <c r="CD28" s="494">
        <f>CD27/(1.163*CD25)</f>
        <v/>
      </c>
      <c r="CE28" s="494">
        <f>CE27/(1.163*CE25)</f>
        <v/>
      </c>
      <c r="CF28" s="494">
        <f>CF27/(1.163*CF25)</f>
        <v/>
      </c>
      <c r="CG28" s="494">
        <f>CG27/(1.163*CG25)</f>
        <v/>
      </c>
      <c r="CH28" s="494">
        <f>CH27/(1.163*CH25)</f>
        <v/>
      </c>
      <c r="CI28" s="494">
        <f>CI27/(1.163*CI25)</f>
        <v/>
      </c>
      <c r="CJ28" s="494">
        <f>CJ27/(1.163*CJ25)</f>
        <v/>
      </c>
      <c r="CK28" s="494">
        <f>CK27/(1.163*CK25)</f>
        <v/>
      </c>
      <c r="CL28" s="494">
        <f>CL27/(1.163*CL25)</f>
        <v/>
      </c>
      <c r="CM28" s="494">
        <f>CM27/(1.163*CM25)</f>
        <v/>
      </c>
      <c r="CN28" s="494">
        <f>CN27/(1.163*CN25)</f>
        <v/>
      </c>
      <c r="CO28" s="494">
        <f>CO27/(1.163*CO25)</f>
        <v/>
      </c>
      <c r="CP28" s="494">
        <f>CP27/(1.163*CP25)</f>
        <v/>
      </c>
      <c r="CQ28" s="494">
        <f>CQ27/(1.163*CQ25)</f>
        <v/>
      </c>
      <c r="CR28" s="494">
        <f>CR27/(1.163*CR25)</f>
        <v/>
      </c>
      <c r="CS28" s="494">
        <f>CS27/(1.163*CS25)</f>
        <v/>
      </c>
      <c r="CT28" s="494">
        <f>CT27/(1.163*CT25)</f>
        <v/>
      </c>
      <c r="CU28" s="494">
        <f>CU27/(1.163*CU25)</f>
        <v/>
      </c>
      <c r="CV28" s="494">
        <f>CV27/(1.163*CV25)</f>
        <v/>
      </c>
      <c r="CW28" s="494">
        <f>CW27/(1.163*CW25)</f>
        <v/>
      </c>
      <c r="CX28" s="494">
        <f>CX27/(1.163*CX25)</f>
        <v/>
      </c>
      <c r="CY28" s="494">
        <f>CY27/(1.163*CY25)</f>
        <v/>
      </c>
      <c r="CZ28" s="494">
        <f>CZ27/(1.163*CZ25)</f>
        <v/>
      </c>
      <c r="DA28" s="494">
        <f>DA27/(1.163*DA25)</f>
        <v/>
      </c>
      <c r="DB28" s="494">
        <f>DB27/(1.163*DB25)</f>
        <v/>
      </c>
      <c r="DC28" s="494">
        <f>DC27/(1.163*DC25)</f>
        <v/>
      </c>
    </row>
    <row r="29" ht="12" customHeight="1" s="244">
      <c r="A29" s="261" t="n"/>
      <c r="B29" s="490" t="n"/>
      <c r="C29" s="482" t="n"/>
      <c r="D29" s="261" t="n"/>
      <c r="E29" s="259" t="n"/>
      <c r="F29" s="495">
        <f>F17/(F22*0.01)</f>
        <v/>
      </c>
      <c r="G29" s="495">
        <f>G17/(G22*0.01)</f>
        <v/>
      </c>
      <c r="H29" s="495">
        <f>H17/(H22*0.01)</f>
        <v/>
      </c>
      <c r="I29" s="495">
        <f>I17/(I22*0.01)</f>
        <v/>
      </c>
      <c r="J29" s="495">
        <f>J17/(J22*0.01)</f>
        <v/>
      </c>
      <c r="K29" s="495">
        <f>K17/(K22*0.01)</f>
        <v/>
      </c>
      <c r="L29" s="495">
        <f>L17/(L22*0.01)</f>
        <v/>
      </c>
      <c r="M29" s="495">
        <f>M17/(M22*0.01)</f>
        <v/>
      </c>
      <c r="N29" s="495">
        <f>N17/(N22*0.01)</f>
        <v/>
      </c>
      <c r="O29" s="495">
        <f>O17/(O22*0.01)</f>
        <v/>
      </c>
      <c r="P29" s="495">
        <f>P17/(P22*0.01)</f>
        <v/>
      </c>
      <c r="Q29" s="495">
        <f>Q17/(Q22*0.01)</f>
        <v/>
      </c>
      <c r="R29" s="495">
        <f>R17/(R22*0.01)</f>
        <v/>
      </c>
      <c r="S29" s="495">
        <f>S17/(S22*0.01)</f>
        <v/>
      </c>
      <c r="T29" s="495">
        <f>T17/(T22*0.01)</f>
        <v/>
      </c>
      <c r="U29" s="495">
        <f>U17/(U22*0.01)</f>
        <v/>
      </c>
      <c r="V29" s="495">
        <f>V17/(V22*0.01)</f>
        <v/>
      </c>
      <c r="W29" s="495">
        <f>W17/(W22*0.01)</f>
        <v/>
      </c>
      <c r="X29" s="495">
        <f>X17/(X22*0.01)</f>
        <v/>
      </c>
      <c r="Y29" s="495">
        <f>Y17/(Y22*0.01)</f>
        <v/>
      </c>
      <c r="Z29" s="495">
        <f>Z17/(Z22*0.01)</f>
        <v/>
      </c>
      <c r="AA29" s="495">
        <f>AA17/(AA22*0.01)</f>
        <v/>
      </c>
      <c r="AB29" s="495">
        <f>AB17/(AB22*0.01)</f>
        <v/>
      </c>
      <c r="AC29" s="495">
        <f>AC17/(AC22*0.01)</f>
        <v/>
      </c>
      <c r="AD29" s="495">
        <f>AD17/(AD22*0.01)</f>
        <v/>
      </c>
      <c r="AE29" s="495">
        <f>AE17/(AE22*0.01)</f>
        <v/>
      </c>
      <c r="AF29" s="495">
        <f>AF17/(AF22*0.01)</f>
        <v/>
      </c>
      <c r="AG29" s="495">
        <f>AG17/(AG22*0.01)</f>
        <v/>
      </c>
      <c r="AH29" s="495">
        <f>AH17/(AH22*0.01)</f>
        <v/>
      </c>
      <c r="AI29" s="495">
        <f>AI17/(AI22*0.01)</f>
        <v/>
      </c>
      <c r="AJ29" s="495">
        <f>AJ17/(AJ22*0.01)</f>
        <v/>
      </c>
      <c r="AK29" s="495">
        <f>AK17/(AK22*0.01)</f>
        <v/>
      </c>
      <c r="AL29" s="495">
        <f>AL17/(AL22*0.01)</f>
        <v/>
      </c>
      <c r="AM29" s="495">
        <f>AM17/(AM22*0.01)</f>
        <v/>
      </c>
      <c r="AN29" s="495">
        <f>AN17/(AN22*0.01)</f>
        <v/>
      </c>
      <c r="AO29" s="495">
        <f>AO17/(AO22*0.01)</f>
        <v/>
      </c>
      <c r="AP29" s="495">
        <f>AP17/(AP22*0.01)</f>
        <v/>
      </c>
      <c r="AQ29" s="495">
        <f>AQ17/(AQ22*0.01)</f>
        <v/>
      </c>
      <c r="AR29" s="495">
        <f>AR17/(AR22*0.01)</f>
        <v/>
      </c>
      <c r="AS29" s="495">
        <f>AS17/(AS22*0.01)</f>
        <v/>
      </c>
      <c r="AT29" s="495">
        <f>AT17/(AT22*0.01)</f>
        <v/>
      </c>
      <c r="AU29" s="495">
        <f>AU17/(AU22*0.01)</f>
        <v/>
      </c>
      <c r="AV29" s="495">
        <f>AV17/(AV22*0.01)</f>
        <v/>
      </c>
      <c r="AW29" s="495">
        <f>AW17/(AW22*0.01)</f>
        <v/>
      </c>
      <c r="AX29" s="495">
        <f>AX17/(AX22*0.01)</f>
        <v/>
      </c>
      <c r="AY29" s="495">
        <f>AY17/(AY22*0.01)</f>
        <v/>
      </c>
      <c r="AZ29" s="495">
        <f>AZ17/(AZ22*0.01)</f>
        <v/>
      </c>
      <c r="BA29" s="495">
        <f>BA17/(BA22*0.01)</f>
        <v/>
      </c>
      <c r="BB29" s="495">
        <f>BB17/(BB22*0.01)</f>
        <v/>
      </c>
      <c r="BC29" s="495">
        <f>BC17/(BC22*0.01)</f>
        <v/>
      </c>
      <c r="BD29" s="495">
        <f>BD17/(BD22*0.01)</f>
        <v/>
      </c>
      <c r="BE29" s="495">
        <f>BE17/(BE22*0.01)</f>
        <v/>
      </c>
      <c r="BF29" s="495">
        <f>BF17/(BF22*0.01)</f>
        <v/>
      </c>
      <c r="BG29" s="495">
        <f>BG17/(BG22*0.01)</f>
        <v/>
      </c>
      <c r="BH29" s="495">
        <f>BH17/(BH22*0.01)</f>
        <v/>
      </c>
      <c r="BI29" s="495">
        <f>BI17/(BI22*0.01)</f>
        <v/>
      </c>
      <c r="BJ29" s="495">
        <f>BJ17/(BJ22*0.01)</f>
        <v/>
      </c>
      <c r="BK29" s="495">
        <f>BK17/(BK22*0.01)</f>
        <v/>
      </c>
      <c r="BL29" s="495">
        <f>BL17/(BL22*0.01)</f>
        <v/>
      </c>
      <c r="BM29" s="495">
        <f>BM17/(BM22*0.01)</f>
        <v/>
      </c>
      <c r="BN29" s="495">
        <f>BN17/(BN22*0.01)</f>
        <v/>
      </c>
      <c r="BO29" s="495">
        <f>BO17/(BO22*0.01)</f>
        <v/>
      </c>
      <c r="BP29" s="495">
        <f>BP17/(BP22*0.01)</f>
        <v/>
      </c>
      <c r="BQ29" s="495">
        <f>BQ17/(BQ22*0.01)</f>
        <v/>
      </c>
      <c r="BR29" s="495">
        <f>BR17/(BR22*0.01)</f>
        <v/>
      </c>
      <c r="BS29" s="495">
        <f>BS17/(BS22*0.01)</f>
        <v/>
      </c>
      <c r="BT29" s="495">
        <f>BT17/(BT22*0.01)</f>
        <v/>
      </c>
      <c r="BU29" s="495">
        <f>BU17/(BU22*0.01)</f>
        <v/>
      </c>
      <c r="BV29" s="495">
        <f>BV17/(BV22*0.01)</f>
        <v/>
      </c>
      <c r="BW29" s="495">
        <f>BW17/(BW22*0.01)</f>
        <v/>
      </c>
      <c r="BX29" s="495">
        <f>BX17/(BX22*0.01)</f>
        <v/>
      </c>
      <c r="BY29" s="495">
        <f>BY17/(BY22*0.01)</f>
        <v/>
      </c>
      <c r="BZ29" s="495">
        <f>BZ17/(BZ22*0.01)</f>
        <v/>
      </c>
      <c r="CA29" s="495">
        <f>CA17/(CA22*0.01)</f>
        <v/>
      </c>
      <c r="CB29" s="495">
        <f>CB17/(CB22*0.01)</f>
        <v/>
      </c>
      <c r="CC29" s="495">
        <f>CC17/(CC22*0.01)</f>
        <v/>
      </c>
      <c r="CD29" s="495">
        <f>CD17/(CD22*0.01)</f>
        <v/>
      </c>
      <c r="CE29" s="495">
        <f>CE17/(CE22*0.01)</f>
        <v/>
      </c>
      <c r="CF29" s="495">
        <f>CF17/(CF22*0.01)</f>
        <v/>
      </c>
      <c r="CG29" s="495">
        <f>CG17/(CG22*0.01)</f>
        <v/>
      </c>
      <c r="CH29" s="495">
        <f>CH17/(CH22*0.01)</f>
        <v/>
      </c>
      <c r="CI29" s="495">
        <f>CI17/(CI22*0.01)</f>
        <v/>
      </c>
      <c r="CJ29" s="495">
        <f>CJ17/(CJ22*0.01)</f>
        <v/>
      </c>
      <c r="CK29" s="495">
        <f>CK17/(CK22*0.01)</f>
        <v/>
      </c>
      <c r="CL29" s="495">
        <f>CL17/(CL22*0.01)</f>
        <v/>
      </c>
      <c r="CM29" s="495">
        <f>CM17/(CM22*0.01)</f>
        <v/>
      </c>
      <c r="CN29" s="495">
        <f>CN17/(CN22*0.01)</f>
        <v/>
      </c>
      <c r="CO29" s="495">
        <f>CO17/(CO22*0.01)</f>
        <v/>
      </c>
      <c r="CP29" s="495">
        <f>CP17/(CP22*0.01)</f>
        <v/>
      </c>
      <c r="CQ29" s="495">
        <f>CQ17/(CQ22*0.01)</f>
        <v/>
      </c>
      <c r="CR29" s="495">
        <f>CR17/(CR22*0.01)</f>
        <v/>
      </c>
      <c r="CS29" s="495">
        <f>CS17/(CS22*0.01)</f>
        <v/>
      </c>
      <c r="CT29" s="495">
        <f>CT17/(CT22*0.01)</f>
        <v/>
      </c>
      <c r="CU29" s="495">
        <f>CU17/(CU22*0.01)</f>
        <v/>
      </c>
      <c r="CV29" s="495">
        <f>CV17/(CV22*0.01)</f>
        <v/>
      </c>
      <c r="CW29" s="495">
        <f>CW17/(CW22*0.01)</f>
        <v/>
      </c>
      <c r="CX29" s="495">
        <f>CX17/(CX22*0.01)</f>
        <v/>
      </c>
      <c r="CY29" s="495">
        <f>CY17/(CY22*0.01)</f>
        <v/>
      </c>
      <c r="CZ29" s="495">
        <f>CZ17/(CZ22*0.01)</f>
        <v/>
      </c>
      <c r="DA29" s="495">
        <f>DA17/(DA22*0.01)</f>
        <v/>
      </c>
      <c r="DB29" s="495">
        <f>DB17/(DB22*0.01)</f>
        <v/>
      </c>
      <c r="DC29" s="495">
        <f>DC17/(DC22*0.01)</f>
        <v/>
      </c>
    </row>
    <row r="30" ht="12" customHeight="1" s="244">
      <c r="A30" s="261" t="n"/>
      <c r="B30" s="490" t="n"/>
      <c r="C30" s="482" t="inlineStr">
        <is>
          <t>BAĞLANTI BORULARI</t>
        </is>
      </c>
      <c r="D30" s="261" t="inlineStr">
        <is>
          <t>Kat Planından (çizimden ölçülen)</t>
        </is>
      </c>
      <c r="E30" s="259" t="n"/>
      <c r="F30" s="496" t="n">
        <v>0</v>
      </c>
      <c r="G30" s="496" t="n">
        <v>0</v>
      </c>
      <c r="H30" s="496" t="n">
        <v>0</v>
      </c>
      <c r="I30" s="496" t="n">
        <v>0</v>
      </c>
      <c r="J30" s="496" t="n">
        <v>0</v>
      </c>
      <c r="K30" s="496" t="n">
        <v>0</v>
      </c>
      <c r="L30" s="496" t="n">
        <v>4.65</v>
      </c>
      <c r="M30" s="496" t="n">
        <v>0</v>
      </c>
      <c r="N30" s="496" t="n">
        <v>0</v>
      </c>
      <c r="O30" s="496" t="n">
        <v>0</v>
      </c>
      <c r="P30" s="496" t="n">
        <v>0</v>
      </c>
      <c r="Q30" s="496" t="n">
        <v>0</v>
      </c>
      <c r="R30" s="496" t="n">
        <v>0</v>
      </c>
      <c r="S30" s="496" t="n">
        <v>0</v>
      </c>
      <c r="T30" s="496" t="n">
        <v>0</v>
      </c>
      <c r="U30" s="496" t="n">
        <v>0</v>
      </c>
      <c r="V30" s="496" t="n">
        <v>0</v>
      </c>
      <c r="W30" s="496" t="n">
        <v>0</v>
      </c>
      <c r="X30" s="496" t="n">
        <v>0</v>
      </c>
      <c r="Y30" s="496" t="n">
        <v>0</v>
      </c>
      <c r="Z30" s="496" t="n">
        <v>0</v>
      </c>
      <c r="AA30" s="496" t="n">
        <v>0</v>
      </c>
      <c r="AB30" s="496" t="n">
        <v>0</v>
      </c>
      <c r="AC30" s="496" t="n">
        <v>0</v>
      </c>
      <c r="AD30" s="496" t="n">
        <v>4.6</v>
      </c>
      <c r="AE30" s="496" t="n">
        <v>0</v>
      </c>
      <c r="AF30" s="496" t="n">
        <v>0</v>
      </c>
      <c r="AG30" s="496" t="n">
        <v>0</v>
      </c>
      <c r="AH30" s="496" t="n">
        <v>2.39</v>
      </c>
      <c r="AI30" s="496" t="n">
        <v>0</v>
      </c>
      <c r="AJ30" s="496" t="n">
        <v>0</v>
      </c>
      <c r="AK30" s="496" t="n">
        <v>0</v>
      </c>
      <c r="AL30" s="496" t="n">
        <v>0</v>
      </c>
      <c r="AM30" s="496" t="n">
        <v>0</v>
      </c>
      <c r="AN30" s="496" t="n">
        <v>2.54</v>
      </c>
      <c r="AO30" s="496" t="n">
        <v>0</v>
      </c>
      <c r="AP30" s="496" t="n">
        <v>0</v>
      </c>
      <c r="AQ30" s="496" t="n">
        <v>0</v>
      </c>
      <c r="AR30" s="496" t="n">
        <v>0</v>
      </c>
      <c r="AS30" s="496" t="n">
        <v>0</v>
      </c>
      <c r="AT30" s="496" t="n">
        <v>1.91</v>
      </c>
      <c r="AU30" s="496" t="n">
        <v>0</v>
      </c>
      <c r="AV30" s="496" t="n">
        <v>0</v>
      </c>
      <c r="AW30" s="496" t="n">
        <v>0</v>
      </c>
      <c r="AX30" s="496" t="n">
        <v>0</v>
      </c>
      <c r="AY30" s="496" t="n">
        <v>0</v>
      </c>
      <c r="AZ30" s="496" t="n">
        <v>0</v>
      </c>
      <c r="BA30" s="496" t="n">
        <v>10.41</v>
      </c>
      <c r="BB30" s="496" t="n">
        <v>0</v>
      </c>
      <c r="BC30" s="496" t="n">
        <v>1.92</v>
      </c>
      <c r="BD30" s="496" t="n">
        <v>0</v>
      </c>
      <c r="BE30" s="496" t="n">
        <v>0</v>
      </c>
      <c r="BF30" s="496" t="n">
        <v>0</v>
      </c>
      <c r="BG30" s="496" t="n">
        <v>0</v>
      </c>
      <c r="BH30" s="496" t="n">
        <v>7.03</v>
      </c>
      <c r="BI30" s="496" t="n">
        <v>0</v>
      </c>
      <c r="BJ30" s="496" t="n">
        <v>0</v>
      </c>
      <c r="BK30" s="496" t="n">
        <v>0</v>
      </c>
      <c r="BL30" s="496" t="n">
        <v>0</v>
      </c>
      <c r="BM30" s="496" t="n">
        <v>6.98</v>
      </c>
      <c r="BN30" s="496" t="n">
        <v>0</v>
      </c>
      <c r="BO30" s="496" t="n">
        <v>0.98</v>
      </c>
      <c r="BP30" s="496" t="n">
        <v>0</v>
      </c>
      <c r="BQ30" s="496" t="n">
        <v>0</v>
      </c>
      <c r="BR30" s="496" t="n">
        <v>1.78</v>
      </c>
      <c r="BS30" s="496" t="n">
        <v>0</v>
      </c>
      <c r="BT30" s="496" t="n">
        <v>7.52</v>
      </c>
      <c r="BU30" s="496" t="n">
        <v>0</v>
      </c>
      <c r="BV30" s="496" t="n">
        <v>0</v>
      </c>
      <c r="BW30" s="496" t="n">
        <v>0</v>
      </c>
      <c r="BX30" s="496" t="n">
        <v>0</v>
      </c>
      <c r="BY30" s="496" t="n">
        <v>0</v>
      </c>
      <c r="BZ30" s="496" t="n">
        <v>0</v>
      </c>
      <c r="CA30" s="496" t="n">
        <v>4.97</v>
      </c>
      <c r="CB30" s="496" t="n">
        <v>0</v>
      </c>
      <c r="CC30" s="496" t="n">
        <v>0</v>
      </c>
      <c r="CD30" s="496" t="n">
        <v>0</v>
      </c>
      <c r="CE30" s="496" t="n">
        <v>0</v>
      </c>
      <c r="CF30" s="496" t="n">
        <v>0</v>
      </c>
      <c r="CG30" s="496" t="n">
        <v>0</v>
      </c>
      <c r="CH30" s="496" t="n">
        <v>1.95</v>
      </c>
      <c r="CI30" s="496" t="n">
        <v>7.17</v>
      </c>
      <c r="CJ30" s="496" t="n">
        <v>0</v>
      </c>
      <c r="CK30" s="496" t="n">
        <v>0</v>
      </c>
      <c r="CL30" s="496" t="n">
        <v>1.84</v>
      </c>
      <c r="CM30" s="496" t="n">
        <v>5.66</v>
      </c>
      <c r="CN30" s="496" t="n">
        <v>0</v>
      </c>
      <c r="CO30" s="496" t="n">
        <v>7.3</v>
      </c>
      <c r="CP30" s="496" t="n">
        <v>0</v>
      </c>
      <c r="CQ30" s="496" t="n">
        <v>0</v>
      </c>
      <c r="CR30" s="496" t="n">
        <v>0</v>
      </c>
      <c r="CS30" s="496" t="n">
        <v>0</v>
      </c>
      <c r="CT30" s="496" t="n">
        <v>0</v>
      </c>
      <c r="CU30" s="496" t="n">
        <v>0</v>
      </c>
      <c r="CV30" s="496" t="n">
        <v>0</v>
      </c>
      <c r="CW30" s="496" t="n">
        <v>1.61</v>
      </c>
      <c r="CX30" s="496" t="n">
        <v>0</v>
      </c>
      <c r="CY30" s="496" t="n">
        <v>5.97</v>
      </c>
      <c r="CZ30" s="496" t="n">
        <v>0</v>
      </c>
      <c r="DA30" s="496" t="n">
        <v>0</v>
      </c>
      <c r="DB30" s="496" t="n">
        <v>0</v>
      </c>
      <c r="DC30" s="496" t="n">
        <v>0</v>
      </c>
    </row>
    <row r="31" ht="12" customHeight="1" s="244">
      <c r="A31" s="261" t="n"/>
      <c r="B31" s="490" t="n"/>
      <c r="C31" s="482" t="inlineStr">
        <is>
          <t>TOPLAM BORU UZUNLUĞU</t>
        </is>
      </c>
      <c r="D31" s="261" t="inlineStr">
        <is>
          <t>Lç + Lb (çizimden ölçülen toplam)</t>
        </is>
      </c>
      <c r="E31" s="259" t="n"/>
      <c r="F31" s="484">
        <f>F29+F30</f>
        <v/>
      </c>
      <c r="G31" s="484">
        <f>G29+G30</f>
        <v/>
      </c>
      <c r="H31" s="484">
        <f>H29+H30</f>
        <v/>
      </c>
      <c r="I31" s="484">
        <f>I29+I30</f>
        <v/>
      </c>
      <c r="J31" s="484">
        <f>J29+J30</f>
        <v/>
      </c>
      <c r="K31" s="484">
        <f>K29+K30</f>
        <v/>
      </c>
      <c r="L31" s="484">
        <f>L29+L30</f>
        <v/>
      </c>
      <c r="M31" s="484">
        <f>M29+M30</f>
        <v/>
      </c>
      <c r="N31" s="484">
        <f>N29+N30</f>
        <v/>
      </c>
      <c r="O31" s="484">
        <f>O29+O30</f>
        <v/>
      </c>
      <c r="P31" s="484">
        <f>P29+P30</f>
        <v/>
      </c>
      <c r="Q31" s="484">
        <f>Q29+Q30</f>
        <v/>
      </c>
      <c r="R31" s="484">
        <f>R29+R30</f>
        <v/>
      </c>
      <c r="S31" s="484">
        <f>S29+S30</f>
        <v/>
      </c>
      <c r="T31" s="484">
        <f>T29+T30</f>
        <v/>
      </c>
      <c r="U31" s="484">
        <f>U29+U30</f>
        <v/>
      </c>
      <c r="V31" s="484">
        <f>V29+V30</f>
        <v/>
      </c>
      <c r="W31" s="484">
        <f>W29+W30</f>
        <v/>
      </c>
      <c r="X31" s="484">
        <f>X29+X30</f>
        <v/>
      </c>
      <c r="Y31" s="484">
        <f>Y29+Y30</f>
        <v/>
      </c>
      <c r="Z31" s="484">
        <f>Z29+Z30</f>
        <v/>
      </c>
      <c r="AA31" s="484">
        <f>AA29+AA30</f>
        <v/>
      </c>
      <c r="AB31" s="484">
        <f>AB29+AB30</f>
        <v/>
      </c>
      <c r="AC31" s="484">
        <f>AC29+AC30</f>
        <v/>
      </c>
      <c r="AD31" s="484">
        <f>AD29+AD30</f>
        <v/>
      </c>
      <c r="AE31" s="484">
        <f>AE29+AE30</f>
        <v/>
      </c>
      <c r="AF31" s="484">
        <f>AF29+AF30</f>
        <v/>
      </c>
      <c r="AG31" s="484">
        <f>AG29+AG30</f>
        <v/>
      </c>
      <c r="AH31" s="484">
        <f>AH29+AH30</f>
        <v/>
      </c>
      <c r="AI31" s="484">
        <f>AI29+AI30</f>
        <v/>
      </c>
      <c r="AJ31" s="484">
        <f>AJ29+AJ30</f>
        <v/>
      </c>
      <c r="AK31" s="484">
        <f>AK29+AK30</f>
        <v/>
      </c>
      <c r="AL31" s="484">
        <f>AL29+AL30</f>
        <v/>
      </c>
      <c r="AM31" s="484">
        <f>AM29+AM30</f>
        <v/>
      </c>
      <c r="AN31" s="484">
        <f>AN29+AN30</f>
        <v/>
      </c>
      <c r="AO31" s="484">
        <f>AO29+AO30</f>
        <v/>
      </c>
      <c r="AP31" s="484">
        <f>AP29+AP30</f>
        <v/>
      </c>
      <c r="AQ31" s="484">
        <f>AQ29+AQ30</f>
        <v/>
      </c>
      <c r="AR31" s="484">
        <f>AR29+AR30</f>
        <v/>
      </c>
      <c r="AS31" s="484">
        <f>AS29+AS30</f>
        <v/>
      </c>
      <c r="AT31" s="484">
        <f>AT29+AT30</f>
        <v/>
      </c>
      <c r="AU31" s="484">
        <f>AU29+AU30</f>
        <v/>
      </c>
      <c r="AV31" s="484">
        <f>AV29+AV30</f>
        <v/>
      </c>
      <c r="AW31" s="484">
        <f>AW29+AW30</f>
        <v/>
      </c>
      <c r="AX31" s="484">
        <f>AX29+AX30</f>
        <v/>
      </c>
      <c r="AY31" s="484">
        <f>AY29+AY30</f>
        <v/>
      </c>
      <c r="AZ31" s="484">
        <f>AZ29+AZ30</f>
        <v/>
      </c>
      <c r="BA31" s="484">
        <f>BA29+BA30</f>
        <v/>
      </c>
      <c r="BB31" s="484">
        <f>BB29+BB30</f>
        <v/>
      </c>
      <c r="BC31" s="484">
        <f>BC29+BC30</f>
        <v/>
      </c>
      <c r="BD31" s="484">
        <f>BD29+BD30</f>
        <v/>
      </c>
      <c r="BE31" s="484">
        <f>BE29+BE30</f>
        <v/>
      </c>
      <c r="BF31" s="484">
        <f>BF29+BF30</f>
        <v/>
      </c>
      <c r="BG31" s="484">
        <f>BG29+BG30</f>
        <v/>
      </c>
      <c r="BH31" s="484">
        <f>BH29+BH30</f>
        <v/>
      </c>
      <c r="BI31" s="484">
        <f>BI29+BI30</f>
        <v/>
      </c>
      <c r="BJ31" s="484">
        <f>BJ29+BJ30</f>
        <v/>
      </c>
      <c r="BK31" s="484">
        <f>BK29+BK30</f>
        <v/>
      </c>
      <c r="BL31" s="484">
        <f>BL29+BL30</f>
        <v/>
      </c>
      <c r="BM31" s="484">
        <f>BM29+BM30</f>
        <v/>
      </c>
      <c r="BN31" s="484">
        <f>BN29+BN30</f>
        <v/>
      </c>
      <c r="BO31" s="484">
        <f>BO29+BO30</f>
        <v/>
      </c>
      <c r="BP31" s="484">
        <f>BP29+BP30</f>
        <v/>
      </c>
      <c r="BQ31" s="484">
        <f>BQ29+BQ30</f>
        <v/>
      </c>
      <c r="BR31" s="484">
        <f>BR29+BR30</f>
        <v/>
      </c>
      <c r="BS31" s="484">
        <f>BS29+BS30</f>
        <v/>
      </c>
      <c r="BT31" s="484">
        <f>BT29+BT30</f>
        <v/>
      </c>
      <c r="BU31" s="484">
        <f>BU29+BU30</f>
        <v/>
      </c>
      <c r="BV31" s="484">
        <f>BV29+BV30</f>
        <v/>
      </c>
      <c r="BW31" s="484">
        <f>BW29+BW30</f>
        <v/>
      </c>
      <c r="BX31" s="484">
        <f>BX29+BX30</f>
        <v/>
      </c>
      <c r="BY31" s="484">
        <f>BY29+BY30</f>
        <v/>
      </c>
      <c r="BZ31" s="484">
        <f>BZ29+BZ30</f>
        <v/>
      </c>
      <c r="CA31" s="484">
        <f>CA29+CA30</f>
        <v/>
      </c>
      <c r="CB31" s="484">
        <f>CB29+CB30</f>
        <v/>
      </c>
      <c r="CC31" s="484">
        <f>CC29+CC30</f>
        <v/>
      </c>
      <c r="CD31" s="484">
        <f>CD29+CD30</f>
        <v/>
      </c>
      <c r="CE31" s="484">
        <f>CE29+CE30</f>
        <v/>
      </c>
      <c r="CF31" s="484">
        <f>CF29+CF30</f>
        <v/>
      </c>
      <c r="CG31" s="484">
        <f>CG29+CG30</f>
        <v/>
      </c>
      <c r="CH31" s="484">
        <f>CH29+CH30</f>
        <v/>
      </c>
      <c r="CI31" s="484">
        <f>CI29+CI30</f>
        <v/>
      </c>
      <c r="CJ31" s="484">
        <f>CJ29+CJ30</f>
        <v/>
      </c>
      <c r="CK31" s="484">
        <f>CK29+CK30</f>
        <v/>
      </c>
      <c r="CL31" s="484">
        <f>CL29+CL30</f>
        <v/>
      </c>
      <c r="CM31" s="484">
        <f>CM29+CM30</f>
        <v/>
      </c>
      <c r="CN31" s="484">
        <f>CN29+CN30</f>
        <v/>
      </c>
      <c r="CO31" s="484">
        <f>CO29+CO30</f>
        <v/>
      </c>
      <c r="CP31" s="484">
        <f>CP29+CP30</f>
        <v/>
      </c>
      <c r="CQ31" s="484">
        <f>CQ29+CQ30</f>
        <v/>
      </c>
      <c r="CR31" s="484">
        <f>CR29+CR30</f>
        <v/>
      </c>
      <c r="CS31" s="484">
        <f>CS29+CS30</f>
        <v/>
      </c>
      <c r="CT31" s="484">
        <f>CT29+CT30</f>
        <v/>
      </c>
      <c r="CU31" s="484">
        <f>CU29+CU30</f>
        <v/>
      </c>
      <c r="CV31" s="484">
        <f>CV29+CV30</f>
        <v/>
      </c>
      <c r="CW31" s="484">
        <f>CW29+CW30</f>
        <v/>
      </c>
      <c r="CX31" s="484">
        <f>CX29+CX30</f>
        <v/>
      </c>
      <c r="CY31" s="484">
        <f>CY29+CY30</f>
        <v/>
      </c>
      <c r="CZ31" s="484">
        <f>CZ29+CZ30</f>
        <v/>
      </c>
      <c r="DA31" s="484">
        <f>DA29+DA30</f>
        <v/>
      </c>
      <c r="DB31" s="484">
        <f>DB29+DB30</f>
        <v/>
      </c>
      <c r="DC31" s="484">
        <f>DC29+DC30</f>
        <v/>
      </c>
    </row>
    <row r="32" ht="12" customHeight="1" s="244">
      <c r="A32" s="261" t="n"/>
      <c r="B32" s="489" t="n"/>
      <c r="C32" s="482" t="n"/>
      <c r="D32" s="261" t="n"/>
      <c r="E32" s="259" t="n"/>
      <c r="F32" s="495" t="n">
        <v>14025</v>
      </c>
      <c r="G32" s="495" t="n">
        <v>23598</v>
      </c>
      <c r="H32" s="495" t="n">
        <v>7858</v>
      </c>
      <c r="I32" s="495" t="n">
        <v>12987</v>
      </c>
      <c r="J32" s="495" t="n">
        <v>5620</v>
      </c>
      <c r="K32" s="495" t="n">
        <v>5121</v>
      </c>
      <c r="L32" s="495" t="n">
        <v>3650</v>
      </c>
      <c r="M32" s="495" t="n">
        <v>2326</v>
      </c>
      <c r="N32" s="495" t="n">
        <v>605</v>
      </c>
      <c r="O32" s="495" t="n">
        <v>14025</v>
      </c>
      <c r="P32" s="495" t="n">
        <v>17969</v>
      </c>
      <c r="Q32" s="495" t="n">
        <v>7858</v>
      </c>
      <c r="R32" s="495" t="n">
        <v>12987</v>
      </c>
      <c r="S32" s="495" t="n">
        <v>5620</v>
      </c>
      <c r="T32" s="495" t="n">
        <v>3765</v>
      </c>
      <c r="U32" s="495" t="n">
        <v>3650</v>
      </c>
      <c r="V32" s="495" t="n">
        <v>2326</v>
      </c>
      <c r="W32" s="495" t="n">
        <v>605</v>
      </c>
      <c r="X32" s="495" t="n">
        <v>14025</v>
      </c>
      <c r="Y32" s="495" t="n">
        <v>17969</v>
      </c>
      <c r="Z32" s="495" t="n">
        <v>7858</v>
      </c>
      <c r="AA32" s="495" t="n">
        <v>12987</v>
      </c>
      <c r="AB32" s="495" t="n">
        <v>5620</v>
      </c>
      <c r="AC32" s="495" t="n">
        <v>10804</v>
      </c>
      <c r="AD32" s="495" t="n">
        <v>3650</v>
      </c>
      <c r="AE32" s="495" t="n">
        <v>605</v>
      </c>
      <c r="AF32" s="495" t="n">
        <v>4779</v>
      </c>
      <c r="AG32" s="495" t="n">
        <v>21842</v>
      </c>
      <c r="AH32" s="495" t="n">
        <v>415</v>
      </c>
      <c r="AI32" s="495" t="n">
        <v>2778</v>
      </c>
      <c r="AJ32" s="495" t="n">
        <v>1507</v>
      </c>
      <c r="AK32" s="495" t="n">
        <v>7009</v>
      </c>
      <c r="AL32" s="495" t="n">
        <v>9794</v>
      </c>
      <c r="AM32" s="495" t="n">
        <v>21842</v>
      </c>
      <c r="AN32" s="495" t="n">
        <v>415</v>
      </c>
      <c r="AO32" s="495" t="n">
        <v>2778</v>
      </c>
      <c r="AP32" s="495" t="n">
        <v>1507</v>
      </c>
      <c r="AQ32" s="495" t="n">
        <v>7009</v>
      </c>
      <c r="AR32" s="495" t="n">
        <v>9794</v>
      </c>
      <c r="AS32" s="495" t="n">
        <v>21842</v>
      </c>
      <c r="AT32" s="495" t="n">
        <v>415</v>
      </c>
      <c r="AU32" s="495" t="n">
        <v>2778</v>
      </c>
      <c r="AV32" s="495" t="n">
        <v>1507</v>
      </c>
      <c r="AW32" s="495" t="n">
        <v>7009</v>
      </c>
      <c r="AX32" s="495" t="n">
        <v>9794</v>
      </c>
      <c r="AY32" s="495" t="n">
        <v>11916</v>
      </c>
      <c r="AZ32" s="495" t="n">
        <v>9438</v>
      </c>
      <c r="BA32" s="495" t="n">
        <v>913</v>
      </c>
      <c r="BB32" s="495" t="n">
        <v>2066</v>
      </c>
      <c r="BC32" s="495" t="n">
        <v>157</v>
      </c>
      <c r="BD32" s="495" t="n">
        <v>12906</v>
      </c>
      <c r="BE32" s="495" t="n">
        <v>19416</v>
      </c>
      <c r="BF32" s="495" t="n">
        <v>13293</v>
      </c>
      <c r="BG32" s="495" t="n">
        <v>4452</v>
      </c>
      <c r="BH32" s="495" t="n">
        <v>913</v>
      </c>
      <c r="BI32" s="495" t="n">
        <v>157</v>
      </c>
      <c r="BJ32" s="495" t="n">
        <v>10780</v>
      </c>
      <c r="BK32" s="495" t="n">
        <v>17545</v>
      </c>
      <c r="BL32" s="495" t="n">
        <v>13326</v>
      </c>
      <c r="BM32" s="495" t="n">
        <v>1120</v>
      </c>
      <c r="BN32" s="495" t="n">
        <v>1310</v>
      </c>
      <c r="BO32" s="495" t="n">
        <v>172</v>
      </c>
      <c r="BP32" s="495" t="n">
        <v>11168</v>
      </c>
      <c r="BQ32" s="495" t="n">
        <v>12403</v>
      </c>
      <c r="BR32" s="495" t="n">
        <v>158</v>
      </c>
      <c r="BS32" s="495" t="n">
        <v>1286</v>
      </c>
      <c r="BT32" s="495" t="n">
        <v>913</v>
      </c>
      <c r="BU32" s="495" t="n">
        <v>5822</v>
      </c>
      <c r="BV32" s="495" t="n">
        <v>8986</v>
      </c>
      <c r="BW32" s="495" t="n">
        <v>13090</v>
      </c>
      <c r="BX32" s="495" t="n">
        <v>2629</v>
      </c>
      <c r="BY32" s="495" t="n">
        <v>15232</v>
      </c>
      <c r="BZ32" s="495" t="n">
        <v>2523</v>
      </c>
      <c r="CA32" s="495" t="n">
        <v>641</v>
      </c>
      <c r="CB32" s="495" t="n">
        <v>911</v>
      </c>
      <c r="CC32" s="495" t="n">
        <v>3806</v>
      </c>
      <c r="CD32" s="495" t="n">
        <v>12237</v>
      </c>
      <c r="CE32" s="495" t="n">
        <v>9495</v>
      </c>
      <c r="CF32" s="495" t="n">
        <v>4748</v>
      </c>
      <c r="CG32" s="495" t="n">
        <v>1895</v>
      </c>
      <c r="CH32" s="495" t="n">
        <v>162</v>
      </c>
      <c r="CI32" s="495" t="n">
        <v>913</v>
      </c>
      <c r="CJ32" s="495" t="n">
        <v>5283</v>
      </c>
      <c r="CK32" s="495" t="n">
        <v>9000</v>
      </c>
      <c r="CL32" s="495" t="n">
        <v>1171</v>
      </c>
      <c r="CM32" s="495" t="n">
        <v>1949</v>
      </c>
      <c r="CN32" s="495" t="n">
        <v>20663</v>
      </c>
      <c r="CO32" s="495" t="n">
        <v>12137</v>
      </c>
      <c r="CP32" s="495" t="n">
        <v>8191</v>
      </c>
      <c r="CQ32" s="495" t="n">
        <v>12136</v>
      </c>
      <c r="CR32" s="495" t="n">
        <v>24121</v>
      </c>
      <c r="CS32" s="495" t="n">
        <v>17396</v>
      </c>
      <c r="CT32" s="495" t="n">
        <v>2356</v>
      </c>
      <c r="CU32" s="495" t="n">
        <v>5947</v>
      </c>
      <c r="CV32" s="495" t="n">
        <v>9467</v>
      </c>
      <c r="CW32" s="495" t="n">
        <v>512</v>
      </c>
      <c r="CX32" s="495" t="n">
        <v>7380</v>
      </c>
      <c r="CY32" s="495" t="n">
        <v>1547</v>
      </c>
      <c r="CZ32" s="495" t="n">
        <v>22695</v>
      </c>
      <c r="DA32" s="495" t="n">
        <v>28475</v>
      </c>
      <c r="DB32" s="495" t="n">
        <v>25379</v>
      </c>
      <c r="DC32" s="495" t="n">
        <v>20046</v>
      </c>
    </row>
    <row r="33" ht="12" customHeight="1" s="244">
      <c r="A33" s="261" t="n"/>
      <c r="B33" s="489" t="n"/>
      <c r="C33" s="482" t="n"/>
      <c r="D33" s="261" t="n"/>
      <c r="E33" s="259" t="n"/>
      <c r="F33" s="484">
        <f>F32*0.05</f>
        <v/>
      </c>
      <c r="G33" s="484">
        <f>G32*0.05</f>
        <v/>
      </c>
      <c r="H33" s="484">
        <f>H32*0.05</f>
        <v/>
      </c>
      <c r="I33" s="484">
        <f>I32*0.05</f>
        <v/>
      </c>
      <c r="J33" s="484">
        <f>J32*0.05</f>
        <v/>
      </c>
      <c r="K33" s="484">
        <f>K32*0.05</f>
        <v/>
      </c>
      <c r="L33" s="484">
        <f>L32*0.05</f>
        <v/>
      </c>
      <c r="M33" s="484">
        <f>M32*0.05</f>
        <v/>
      </c>
      <c r="N33" s="484">
        <f>N32*0.05</f>
        <v/>
      </c>
      <c r="O33" s="484">
        <f>O32*0.05</f>
        <v/>
      </c>
      <c r="P33" s="484">
        <f>P32*0.05</f>
        <v/>
      </c>
      <c r="Q33" s="484">
        <f>Q32*0.05</f>
        <v/>
      </c>
      <c r="R33" s="484">
        <f>R32*0.05</f>
        <v/>
      </c>
      <c r="S33" s="484">
        <f>S32*0.05</f>
        <v/>
      </c>
      <c r="T33" s="484">
        <f>T32*0.05</f>
        <v/>
      </c>
      <c r="U33" s="484">
        <f>U32*0.05</f>
        <v/>
      </c>
      <c r="V33" s="484">
        <f>V32*0.05</f>
        <v/>
      </c>
      <c r="W33" s="484">
        <f>W32*0.05</f>
        <v/>
      </c>
      <c r="X33" s="484">
        <f>X32*0.05</f>
        <v/>
      </c>
      <c r="Y33" s="484">
        <f>Y32*0.05</f>
        <v/>
      </c>
      <c r="Z33" s="484">
        <f>Z32*0.05</f>
        <v/>
      </c>
      <c r="AA33" s="484">
        <f>AA32*0.05</f>
        <v/>
      </c>
      <c r="AB33" s="484">
        <f>AB32*0.05</f>
        <v/>
      </c>
      <c r="AC33" s="484">
        <f>AC32*0.05</f>
        <v/>
      </c>
      <c r="AD33" s="484">
        <f>AD32*0.05</f>
        <v/>
      </c>
      <c r="AE33" s="484">
        <f>AE32*0.05</f>
        <v/>
      </c>
      <c r="AF33" s="484">
        <f>AF32*0.05</f>
        <v/>
      </c>
      <c r="AG33" s="484">
        <f>AG32*0.05</f>
        <v/>
      </c>
      <c r="AH33" s="484">
        <f>AH32*0.05</f>
        <v/>
      </c>
      <c r="AI33" s="484">
        <f>AI32*0.05</f>
        <v/>
      </c>
      <c r="AJ33" s="484">
        <f>AJ32*0.05</f>
        <v/>
      </c>
      <c r="AK33" s="484">
        <f>AK32*0.05</f>
        <v/>
      </c>
      <c r="AL33" s="484">
        <f>AL32*0.05</f>
        <v/>
      </c>
      <c r="AM33" s="484">
        <f>AM32*0.05</f>
        <v/>
      </c>
      <c r="AN33" s="484">
        <f>AN32*0.05</f>
        <v/>
      </c>
      <c r="AO33" s="484">
        <f>AO32*0.05</f>
        <v/>
      </c>
      <c r="AP33" s="484">
        <f>AP32*0.05</f>
        <v/>
      </c>
      <c r="AQ33" s="484">
        <f>AQ32*0.05</f>
        <v/>
      </c>
      <c r="AR33" s="484">
        <f>AR32*0.05</f>
        <v/>
      </c>
      <c r="AS33" s="484">
        <f>AS32*0.05</f>
        <v/>
      </c>
      <c r="AT33" s="484">
        <f>AT32*0.05</f>
        <v/>
      </c>
      <c r="AU33" s="484">
        <f>AU32*0.05</f>
        <v/>
      </c>
      <c r="AV33" s="484">
        <f>AV32*0.05</f>
        <v/>
      </c>
      <c r="AW33" s="484">
        <f>AW32*0.05</f>
        <v/>
      </c>
      <c r="AX33" s="484">
        <f>AX32*0.05</f>
        <v/>
      </c>
      <c r="AY33" s="484">
        <f>AY32*0.05</f>
        <v/>
      </c>
      <c r="AZ33" s="484">
        <f>AZ32*0.05</f>
        <v/>
      </c>
      <c r="BA33" s="484">
        <f>BA32*0.05</f>
        <v/>
      </c>
      <c r="BB33" s="484">
        <f>BB32*0.05</f>
        <v/>
      </c>
      <c r="BC33" s="484">
        <f>BC32*0.05</f>
        <v/>
      </c>
      <c r="BD33" s="484">
        <f>BD32*0.05</f>
        <v/>
      </c>
      <c r="BE33" s="484">
        <f>BE32*0.05</f>
        <v/>
      </c>
      <c r="BF33" s="484">
        <f>BF32*0.05</f>
        <v/>
      </c>
      <c r="BG33" s="484">
        <f>BG32*0.05</f>
        <v/>
      </c>
      <c r="BH33" s="484">
        <f>BH32*0.05</f>
        <v/>
      </c>
      <c r="BI33" s="484">
        <f>BI32*0.05</f>
        <v/>
      </c>
      <c r="BJ33" s="484">
        <f>BJ32*0.05</f>
        <v/>
      </c>
      <c r="BK33" s="484">
        <f>BK32*0.05</f>
        <v/>
      </c>
      <c r="BL33" s="484">
        <f>BL32*0.05</f>
        <v/>
      </c>
      <c r="BM33" s="484">
        <f>BM32*0.05</f>
        <v/>
      </c>
      <c r="BN33" s="484">
        <f>BN32*0.05</f>
        <v/>
      </c>
      <c r="BO33" s="484">
        <f>BO32*0.05</f>
        <v/>
      </c>
      <c r="BP33" s="484">
        <f>BP32*0.05</f>
        <v/>
      </c>
      <c r="BQ33" s="484">
        <f>BQ32*0.05</f>
        <v/>
      </c>
      <c r="BR33" s="484">
        <f>BR32*0.05</f>
        <v/>
      </c>
      <c r="BS33" s="484">
        <f>BS32*0.05</f>
        <v/>
      </c>
      <c r="BT33" s="484">
        <f>BT32*0.05</f>
        <v/>
      </c>
      <c r="BU33" s="484">
        <f>BU32*0.05</f>
        <v/>
      </c>
      <c r="BV33" s="484">
        <f>BV32*0.05</f>
        <v/>
      </c>
      <c r="BW33" s="484">
        <f>BW32*0.05</f>
        <v/>
      </c>
      <c r="BX33" s="484">
        <f>BX32*0.05</f>
        <v/>
      </c>
      <c r="BY33" s="484">
        <f>BY32*0.05</f>
        <v/>
      </c>
      <c r="BZ33" s="484">
        <f>BZ32*0.05</f>
        <v/>
      </c>
      <c r="CA33" s="484">
        <f>CA32*0.05</f>
        <v/>
      </c>
      <c r="CB33" s="484">
        <f>CB32*0.05</f>
        <v/>
      </c>
      <c r="CC33" s="484">
        <f>CC32*0.05</f>
        <v/>
      </c>
      <c r="CD33" s="484">
        <f>CD32*0.05</f>
        <v/>
      </c>
      <c r="CE33" s="484">
        <f>CE32*0.05</f>
        <v/>
      </c>
      <c r="CF33" s="484">
        <f>CF32*0.05</f>
        <v/>
      </c>
      <c r="CG33" s="484">
        <f>CG32*0.05</f>
        <v/>
      </c>
      <c r="CH33" s="484">
        <f>CH32*0.05</f>
        <v/>
      </c>
      <c r="CI33" s="484">
        <f>CI32*0.05</f>
        <v/>
      </c>
      <c r="CJ33" s="484">
        <f>CJ32*0.05</f>
        <v/>
      </c>
      <c r="CK33" s="484">
        <f>CK32*0.05</f>
        <v/>
      </c>
      <c r="CL33" s="484">
        <f>CL32*0.05</f>
        <v/>
      </c>
      <c r="CM33" s="484">
        <f>CM32*0.05</f>
        <v/>
      </c>
      <c r="CN33" s="484">
        <f>CN32*0.05</f>
        <v/>
      </c>
      <c r="CO33" s="484">
        <f>CO32*0.05</f>
        <v/>
      </c>
      <c r="CP33" s="484">
        <f>CP32*0.05</f>
        <v/>
      </c>
      <c r="CQ33" s="484">
        <f>CQ32*0.05</f>
        <v/>
      </c>
      <c r="CR33" s="484">
        <f>CR32*0.05</f>
        <v/>
      </c>
      <c r="CS33" s="484">
        <f>CS32*0.05</f>
        <v/>
      </c>
      <c r="CT33" s="484">
        <f>CT32*0.05</f>
        <v/>
      </c>
      <c r="CU33" s="484">
        <f>CU32*0.05</f>
        <v/>
      </c>
      <c r="CV33" s="484">
        <f>CV32*0.05</f>
        <v/>
      </c>
      <c r="CW33" s="484">
        <f>CW32*0.05</f>
        <v/>
      </c>
      <c r="CX33" s="484">
        <f>CX32*0.05</f>
        <v/>
      </c>
      <c r="CY33" s="484">
        <f>CY32*0.05</f>
        <v/>
      </c>
      <c r="CZ33" s="484">
        <f>CZ32*0.05</f>
        <v/>
      </c>
      <c r="DA33" s="484">
        <f>DA32*0.05</f>
        <v/>
      </c>
      <c r="DB33" s="484">
        <f>DB32*0.05</f>
        <v/>
      </c>
      <c r="DC33" s="484">
        <f>DC32*0.05</f>
        <v/>
      </c>
    </row>
    <row r="34" ht="12" customHeight="1" s="244">
      <c r="A34" s="261" t="n"/>
      <c r="B34" s="489" t="n"/>
      <c r="C34" s="482" t="n"/>
      <c r="D34" s="261" t="n"/>
      <c r="E34" s="259" t="n"/>
      <c r="F34" s="484">
        <f>F32+F33</f>
        <v/>
      </c>
      <c r="G34" s="484">
        <f>G32+G33</f>
        <v/>
      </c>
      <c r="H34" s="484">
        <f>H32+H33</f>
        <v/>
      </c>
      <c r="I34" s="484">
        <f>I32+I33</f>
        <v/>
      </c>
      <c r="J34" s="484">
        <f>J32+J33</f>
        <v/>
      </c>
      <c r="K34" s="484">
        <f>K32+K33</f>
        <v/>
      </c>
      <c r="L34" s="484">
        <f>L32+L33</f>
        <v/>
      </c>
      <c r="M34" s="484">
        <f>M32+M33</f>
        <v/>
      </c>
      <c r="N34" s="484">
        <f>N32+N33</f>
        <v/>
      </c>
      <c r="O34" s="484">
        <f>O32+O33</f>
        <v/>
      </c>
      <c r="P34" s="484">
        <f>P32+P33</f>
        <v/>
      </c>
      <c r="Q34" s="484">
        <f>Q32+Q33</f>
        <v/>
      </c>
      <c r="R34" s="484">
        <f>R32+R33</f>
        <v/>
      </c>
      <c r="S34" s="484">
        <f>S32+S33</f>
        <v/>
      </c>
      <c r="T34" s="484">
        <f>T32+T33</f>
        <v/>
      </c>
      <c r="U34" s="484">
        <f>U32+U33</f>
        <v/>
      </c>
      <c r="V34" s="484">
        <f>V32+V33</f>
        <v/>
      </c>
      <c r="W34" s="484">
        <f>W32+W33</f>
        <v/>
      </c>
      <c r="X34" s="484">
        <f>X32+X33</f>
        <v/>
      </c>
      <c r="Y34" s="484">
        <f>Y32+Y33</f>
        <v/>
      </c>
      <c r="Z34" s="484">
        <f>Z32+Z33</f>
        <v/>
      </c>
      <c r="AA34" s="484">
        <f>AA32+AA33</f>
        <v/>
      </c>
      <c r="AB34" s="484">
        <f>AB32+AB33</f>
        <v/>
      </c>
      <c r="AC34" s="484">
        <f>AC32+AC33</f>
        <v/>
      </c>
      <c r="AD34" s="484">
        <f>AD32+AD33</f>
        <v/>
      </c>
      <c r="AE34" s="484">
        <f>AE32+AE33</f>
        <v/>
      </c>
      <c r="AF34" s="484">
        <f>AF32+AF33</f>
        <v/>
      </c>
      <c r="AG34" s="484">
        <f>AG32+AG33</f>
        <v/>
      </c>
      <c r="AH34" s="484">
        <f>AH32+AH33</f>
        <v/>
      </c>
      <c r="AI34" s="484">
        <f>AI32+AI33</f>
        <v/>
      </c>
      <c r="AJ34" s="484">
        <f>AJ32+AJ33</f>
        <v/>
      </c>
      <c r="AK34" s="484">
        <f>AK32+AK33</f>
        <v/>
      </c>
      <c r="AL34" s="484">
        <f>AL32+AL33</f>
        <v/>
      </c>
      <c r="AM34" s="484">
        <f>AM32+AM33</f>
        <v/>
      </c>
      <c r="AN34" s="484">
        <f>AN32+AN33</f>
        <v/>
      </c>
      <c r="AO34" s="484">
        <f>AO32+AO33</f>
        <v/>
      </c>
      <c r="AP34" s="484">
        <f>AP32+AP33</f>
        <v/>
      </c>
      <c r="AQ34" s="484">
        <f>AQ32+AQ33</f>
        <v/>
      </c>
      <c r="AR34" s="484">
        <f>AR32+AR33</f>
        <v/>
      </c>
      <c r="AS34" s="484">
        <f>AS32+AS33</f>
        <v/>
      </c>
      <c r="AT34" s="484">
        <f>AT32+AT33</f>
        <v/>
      </c>
      <c r="AU34" s="484">
        <f>AU32+AU33</f>
        <v/>
      </c>
      <c r="AV34" s="484">
        <f>AV32+AV33</f>
        <v/>
      </c>
      <c r="AW34" s="484">
        <f>AW32+AW33</f>
        <v/>
      </c>
      <c r="AX34" s="484">
        <f>AX32+AX33</f>
        <v/>
      </c>
      <c r="AY34" s="484">
        <f>AY32+AY33</f>
        <v/>
      </c>
      <c r="AZ34" s="484">
        <f>AZ32+AZ33</f>
        <v/>
      </c>
      <c r="BA34" s="484">
        <f>BA32+BA33</f>
        <v/>
      </c>
      <c r="BB34" s="484">
        <f>BB32+BB33</f>
        <v/>
      </c>
      <c r="BC34" s="484">
        <f>BC32+BC33</f>
        <v/>
      </c>
      <c r="BD34" s="484">
        <f>BD32+BD33</f>
        <v/>
      </c>
      <c r="BE34" s="484">
        <f>BE32+BE33</f>
        <v/>
      </c>
      <c r="BF34" s="484">
        <f>BF32+BF33</f>
        <v/>
      </c>
      <c r="BG34" s="484">
        <f>BG32+BG33</f>
        <v/>
      </c>
      <c r="BH34" s="484">
        <f>BH32+BH33</f>
        <v/>
      </c>
      <c r="BI34" s="484">
        <f>BI32+BI33</f>
        <v/>
      </c>
      <c r="BJ34" s="484">
        <f>BJ32+BJ33</f>
        <v/>
      </c>
      <c r="BK34" s="484">
        <f>BK32+BK33</f>
        <v/>
      </c>
      <c r="BL34" s="484">
        <f>BL32+BL33</f>
        <v/>
      </c>
      <c r="BM34" s="484">
        <f>BM32+BM33</f>
        <v/>
      </c>
      <c r="BN34" s="484">
        <f>BN32+BN33</f>
        <v/>
      </c>
      <c r="BO34" s="484">
        <f>BO32+BO33</f>
        <v/>
      </c>
      <c r="BP34" s="484">
        <f>BP32+BP33</f>
        <v/>
      </c>
      <c r="BQ34" s="484">
        <f>BQ32+BQ33</f>
        <v/>
      </c>
      <c r="BR34" s="484">
        <f>BR32+BR33</f>
        <v/>
      </c>
      <c r="BS34" s="484">
        <f>BS32+BS33</f>
        <v/>
      </c>
      <c r="BT34" s="484">
        <f>BT32+BT33</f>
        <v/>
      </c>
      <c r="BU34" s="484">
        <f>BU32+BU33</f>
        <v/>
      </c>
      <c r="BV34" s="484">
        <f>BV32+BV33</f>
        <v/>
      </c>
      <c r="BW34" s="484">
        <f>BW32+BW33</f>
        <v/>
      </c>
      <c r="BX34" s="484">
        <f>BX32+BX33</f>
        <v/>
      </c>
      <c r="BY34" s="484">
        <f>BY32+BY33</f>
        <v/>
      </c>
      <c r="BZ34" s="484">
        <f>BZ32+BZ33</f>
        <v/>
      </c>
      <c r="CA34" s="484">
        <f>CA32+CA33</f>
        <v/>
      </c>
      <c r="CB34" s="484">
        <f>CB32+CB33</f>
        <v/>
      </c>
      <c r="CC34" s="484">
        <f>CC32+CC33</f>
        <v/>
      </c>
      <c r="CD34" s="484">
        <f>CD32+CD33</f>
        <v/>
      </c>
      <c r="CE34" s="484">
        <f>CE32+CE33</f>
        <v/>
      </c>
      <c r="CF34" s="484">
        <f>CF32+CF33</f>
        <v/>
      </c>
      <c r="CG34" s="484">
        <f>CG32+CG33</f>
        <v/>
      </c>
      <c r="CH34" s="484">
        <f>CH32+CH33</f>
        <v/>
      </c>
      <c r="CI34" s="484">
        <f>CI32+CI33</f>
        <v/>
      </c>
      <c r="CJ34" s="484">
        <f>CJ32+CJ33</f>
        <v/>
      </c>
      <c r="CK34" s="484">
        <f>CK32+CK33</f>
        <v/>
      </c>
      <c r="CL34" s="484">
        <f>CL32+CL33</f>
        <v/>
      </c>
      <c r="CM34" s="484">
        <f>CM32+CM33</f>
        <v/>
      </c>
      <c r="CN34" s="484">
        <f>CN32+CN33</f>
        <v/>
      </c>
      <c r="CO34" s="484">
        <f>CO32+CO33</f>
        <v/>
      </c>
      <c r="CP34" s="484">
        <f>CP32+CP33</f>
        <v/>
      </c>
      <c r="CQ34" s="484">
        <f>CQ32+CQ33</f>
        <v/>
      </c>
      <c r="CR34" s="484">
        <f>CR32+CR33</f>
        <v/>
      </c>
      <c r="CS34" s="484">
        <f>CS32+CS33</f>
        <v/>
      </c>
      <c r="CT34" s="484">
        <f>CT32+CT33</f>
        <v/>
      </c>
      <c r="CU34" s="484">
        <f>CU32+CU33</f>
        <v/>
      </c>
      <c r="CV34" s="484">
        <f>CV32+CV33</f>
        <v/>
      </c>
      <c r="CW34" s="484">
        <f>CW32+CW33</f>
        <v/>
      </c>
      <c r="CX34" s="484">
        <f>CX32+CX33</f>
        <v/>
      </c>
      <c r="CY34" s="484">
        <f>CY32+CY33</f>
        <v/>
      </c>
      <c r="CZ34" s="484">
        <f>CZ32+CZ33</f>
        <v/>
      </c>
      <c r="DA34" s="484">
        <f>DA32+DA33</f>
        <v/>
      </c>
      <c r="DB34" s="484">
        <f>DB32+DB33</f>
        <v/>
      </c>
      <c r="DC34" s="484">
        <f>DC32+DC33</f>
        <v/>
      </c>
    </row>
    <row r="35" ht="12" customHeight="1" s="244">
      <c r="A35" s="261" t="n"/>
      <c r="B35" s="489" t="n"/>
      <c r="C35" s="282" t="n"/>
      <c r="D35" s="261" t="n"/>
      <c r="E35" s="259" t="n"/>
      <c r="F35" s="497">
        <f>MAX(F34:DC34)-F34</f>
        <v/>
      </c>
      <c r="G35" s="497">
        <f>MAX(F34:DC34)-G34</f>
        <v/>
      </c>
      <c r="H35" s="497">
        <f>MAX(F34:DC34)-H34</f>
        <v/>
      </c>
      <c r="I35" s="497">
        <f>MAX(F34:DC34)-I34</f>
        <v/>
      </c>
      <c r="J35" s="497">
        <f>MAX(F34:DC34)-J34</f>
        <v/>
      </c>
      <c r="K35" s="497">
        <f>MAX(F34:DC34)-K34</f>
        <v/>
      </c>
      <c r="L35" s="497">
        <f>MAX(F34:DC34)-L34</f>
        <v/>
      </c>
      <c r="M35" s="497">
        <f>MAX(F34:DC34)-M34</f>
        <v/>
      </c>
      <c r="N35" s="497">
        <f>MAX(F34:DC34)-N34</f>
        <v/>
      </c>
      <c r="O35" s="497">
        <f>MAX(F34:DC34)-O34</f>
        <v/>
      </c>
      <c r="P35" s="497">
        <f>MAX(F34:DC34)-P34</f>
        <v/>
      </c>
      <c r="Q35" s="497">
        <f>MAX(F34:DC34)-Q34</f>
        <v/>
      </c>
      <c r="R35" s="497">
        <f>MAX(F34:DC34)-R34</f>
        <v/>
      </c>
      <c r="S35" s="497">
        <f>MAX(F34:DC34)-S34</f>
        <v/>
      </c>
      <c r="T35" s="497">
        <f>MAX(F34:DC34)-T34</f>
        <v/>
      </c>
      <c r="U35" s="497">
        <f>MAX(F34:DC34)-U34</f>
        <v/>
      </c>
      <c r="V35" s="497">
        <f>MAX(F34:DC34)-V34</f>
        <v/>
      </c>
      <c r="W35" s="497">
        <f>MAX(F34:DC34)-W34</f>
        <v/>
      </c>
      <c r="X35" s="497">
        <f>MAX(F34:DC34)-X34</f>
        <v/>
      </c>
      <c r="Y35" s="497">
        <f>MAX(F34:DC34)-Y34</f>
        <v/>
      </c>
      <c r="Z35" s="497">
        <f>MAX(F34:DC34)-Z34</f>
        <v/>
      </c>
      <c r="AA35" s="497">
        <f>MAX(F34:DC34)-AA34</f>
        <v/>
      </c>
      <c r="AB35" s="497">
        <f>MAX(F34:DC34)-AB34</f>
        <v/>
      </c>
      <c r="AC35" s="497">
        <f>MAX(F34:DC34)-AC34</f>
        <v/>
      </c>
      <c r="AD35" s="497">
        <f>MAX(F34:DC34)-AD34</f>
        <v/>
      </c>
      <c r="AE35" s="497">
        <f>MAX(F34:DC34)-AE34</f>
        <v/>
      </c>
      <c r="AF35" s="497">
        <f>MAX(F34:DC34)-AF34</f>
        <v/>
      </c>
      <c r="AG35" s="497">
        <f>MAX(F34:DC34)-AG34</f>
        <v/>
      </c>
      <c r="AH35" s="497">
        <f>MAX(F34:DC34)-AH34</f>
        <v/>
      </c>
      <c r="AI35" s="497">
        <f>MAX(F34:DC34)-AI34</f>
        <v/>
      </c>
      <c r="AJ35" s="497">
        <f>MAX(F34:DC34)-AJ34</f>
        <v/>
      </c>
      <c r="AK35" s="497">
        <f>MAX(F34:DC34)-AK34</f>
        <v/>
      </c>
      <c r="AL35" s="497">
        <f>MAX(F34:DC34)-AL34</f>
        <v/>
      </c>
      <c r="AM35" s="497">
        <f>MAX(F34:DC34)-AM34</f>
        <v/>
      </c>
      <c r="AN35" s="497">
        <f>MAX(F34:DC34)-AN34</f>
        <v/>
      </c>
      <c r="AO35" s="497">
        <f>MAX(F34:DC34)-AO34</f>
        <v/>
      </c>
      <c r="AP35" s="497">
        <f>MAX(F34:DC34)-AP34</f>
        <v/>
      </c>
      <c r="AQ35" s="497">
        <f>MAX(F34:DC34)-AQ34</f>
        <v/>
      </c>
      <c r="AR35" s="497">
        <f>MAX(F34:DC34)-AR34</f>
        <v/>
      </c>
      <c r="AS35" s="497">
        <f>MAX(F34:DC34)-AS34</f>
        <v/>
      </c>
      <c r="AT35" s="497">
        <f>MAX(F34:DC34)-AT34</f>
        <v/>
      </c>
      <c r="AU35" s="497">
        <f>MAX(F34:DC34)-AU34</f>
        <v/>
      </c>
      <c r="AV35" s="497">
        <f>MAX(F34:DC34)-AV34</f>
        <v/>
      </c>
      <c r="AW35" s="497">
        <f>MAX(F34:DC34)-AW34</f>
        <v/>
      </c>
      <c r="AX35" s="497">
        <f>MAX(F34:DC34)-AX34</f>
        <v/>
      </c>
      <c r="AY35" s="497">
        <f>MAX(F34:DC34)-AY34</f>
        <v/>
      </c>
      <c r="AZ35" s="497">
        <f>MAX(F34:DC34)-AZ34</f>
        <v/>
      </c>
      <c r="BA35" s="497">
        <f>MAX(F34:DC34)-BA34</f>
        <v/>
      </c>
      <c r="BB35" s="497">
        <f>MAX(F34:DC34)-BB34</f>
        <v/>
      </c>
      <c r="BC35" s="497">
        <f>MAX(F34:DC34)-BC34</f>
        <v/>
      </c>
      <c r="BD35" s="497">
        <f>MAX(F34:DC34)-BD34</f>
        <v/>
      </c>
      <c r="BE35" s="497">
        <f>MAX(F34:DC34)-BE34</f>
        <v/>
      </c>
      <c r="BF35" s="497">
        <f>MAX(F34:DC34)-BF34</f>
        <v/>
      </c>
      <c r="BG35" s="497">
        <f>MAX(F34:DC34)-BG34</f>
        <v/>
      </c>
      <c r="BH35" s="497">
        <f>MAX(F34:DC34)-BH34</f>
        <v/>
      </c>
      <c r="BI35" s="497">
        <f>MAX(F34:DC34)-BI34</f>
        <v/>
      </c>
      <c r="BJ35" s="497">
        <f>MAX(F34:DC34)-BJ34</f>
        <v/>
      </c>
      <c r="BK35" s="497">
        <f>MAX(F34:DC34)-BK34</f>
        <v/>
      </c>
      <c r="BL35" s="497">
        <f>MAX(F34:DC34)-BL34</f>
        <v/>
      </c>
      <c r="BM35" s="497">
        <f>MAX(F34:DC34)-BM34</f>
        <v/>
      </c>
      <c r="BN35" s="497">
        <f>MAX(F34:DC34)-BN34</f>
        <v/>
      </c>
      <c r="BO35" s="497">
        <f>MAX(F34:DC34)-BO34</f>
        <v/>
      </c>
      <c r="BP35" s="497">
        <f>MAX(F34:DC34)-BP34</f>
        <v/>
      </c>
      <c r="BQ35" s="497">
        <f>MAX(F34:DC34)-BQ34</f>
        <v/>
      </c>
      <c r="BR35" s="497">
        <f>MAX(F34:DC34)-BR34</f>
        <v/>
      </c>
      <c r="BS35" s="497">
        <f>MAX(F34:DC34)-BS34</f>
        <v/>
      </c>
      <c r="BT35" s="497">
        <f>MAX(F34:DC34)-BT34</f>
        <v/>
      </c>
      <c r="BU35" s="497">
        <f>MAX(F34:DC34)-BU34</f>
        <v/>
      </c>
      <c r="BV35" s="497">
        <f>MAX(F34:DC34)-BV34</f>
        <v/>
      </c>
      <c r="BW35" s="497">
        <f>MAX(F34:DC34)-BW34</f>
        <v/>
      </c>
      <c r="BX35" s="497">
        <f>MAX(F34:DC34)-BX34</f>
        <v/>
      </c>
      <c r="BY35" s="497">
        <f>MAX(F34:DC34)-BY34</f>
        <v/>
      </c>
      <c r="BZ35" s="497">
        <f>MAX(F34:DC34)-BZ34</f>
        <v/>
      </c>
      <c r="CA35" s="497">
        <f>MAX(F34:DC34)-CA34</f>
        <v/>
      </c>
      <c r="CB35" s="497">
        <f>MAX(F34:DC34)-CB34</f>
        <v/>
      </c>
      <c r="CC35" s="497">
        <f>MAX(F34:DC34)-CC34</f>
        <v/>
      </c>
      <c r="CD35" s="497">
        <f>MAX(F34:DC34)-CD34</f>
        <v/>
      </c>
      <c r="CE35" s="497">
        <f>MAX(F34:DC34)-CE34</f>
        <v/>
      </c>
      <c r="CF35" s="497">
        <f>MAX(F34:DC34)-CF34</f>
        <v/>
      </c>
      <c r="CG35" s="497">
        <f>MAX(F34:DC34)-CG34</f>
        <v/>
      </c>
      <c r="CH35" s="497">
        <f>MAX(F34:DC34)-CH34</f>
        <v/>
      </c>
      <c r="CI35" s="497">
        <f>MAX(F34:DC34)-CI34</f>
        <v/>
      </c>
      <c r="CJ35" s="497">
        <f>MAX(F34:DC34)-CJ34</f>
        <v/>
      </c>
      <c r="CK35" s="497">
        <f>MAX(F34:DC34)-CK34</f>
        <v/>
      </c>
      <c r="CL35" s="497">
        <f>MAX(F34:DC34)-CL34</f>
        <v/>
      </c>
      <c r="CM35" s="497">
        <f>MAX(F34:DC34)-CM34</f>
        <v/>
      </c>
      <c r="CN35" s="497">
        <f>MAX(F34:DC34)-CN34</f>
        <v/>
      </c>
      <c r="CO35" s="497">
        <f>MAX(F34:DC34)-CO34</f>
        <v/>
      </c>
      <c r="CP35" s="497">
        <f>MAX(F34:DC34)-CP34</f>
        <v/>
      </c>
      <c r="CQ35" s="497">
        <f>MAX(F34:DC34)-CQ34</f>
        <v/>
      </c>
      <c r="CR35" s="497">
        <f>MAX(F34:DC34)-CR34</f>
        <v/>
      </c>
      <c r="CS35" s="497">
        <f>MAX(F34:DC34)-CS34</f>
        <v/>
      </c>
      <c r="CT35" s="497">
        <f>MAX(F34:DC34)-CT34</f>
        <v/>
      </c>
      <c r="CU35" s="497">
        <f>MAX(F34:DC34)-CU34</f>
        <v/>
      </c>
      <c r="CV35" s="497">
        <f>MAX(F34:DC34)-CV34</f>
        <v/>
      </c>
      <c r="CW35" s="497">
        <f>MAX(F34:DC34)-CW34</f>
        <v/>
      </c>
      <c r="CX35" s="497">
        <f>MAX(F34:DC34)-CX34</f>
        <v/>
      </c>
      <c r="CY35" s="497">
        <f>MAX(F34:DC34)-CY34</f>
        <v/>
      </c>
      <c r="CZ35" s="497">
        <f>MAX(F34:DC34)-CZ34</f>
        <v/>
      </c>
      <c r="DA35" s="497">
        <f>MAX(F34:DC34)-DA34</f>
        <v/>
      </c>
      <c r="DB35" s="497">
        <f>MAX(F34:DC34)-DB34</f>
        <v/>
      </c>
      <c r="DC35" s="497">
        <f>MAX(F34:DC34)-DC34</f>
        <v/>
      </c>
    </row>
    <row r="36" ht="18" customHeight="1" s="244">
      <c r="D36" s="266" t="inlineStr">
        <is>
          <t>Δpmax = 9828 Pa</t>
        </is>
      </c>
      <c r="H36" s="243" t="n"/>
    </row>
    <row r="37" ht="18" customHeight="1" s="244">
      <c r="H37" s="243" t="n"/>
    </row>
    <row r="38" ht="12.75" customHeight="1" s="244">
      <c r="H38" s="243" t="n"/>
    </row>
    <row r="39" ht="12.75" customHeight="1" s="244">
      <c r="H39" s="498" t="n"/>
      <c r="I39" s="498" t="n"/>
      <c r="J39" s="498" t="n"/>
      <c r="K39" s="498" t="n"/>
      <c r="L39" s="498" t="n"/>
      <c r="M39" s="498" t="n"/>
      <c r="N39" s="498" t="n"/>
      <c r="O39" s="498" t="n"/>
      <c r="P39" s="498" t="n"/>
    </row>
    <row r="40" ht="12.75" customHeight="1" s="244">
      <c r="A40" s="499" t="inlineStr">
        <is>
          <t xml:space="preserve"> (1)</t>
        </is>
      </c>
      <c r="B40" s="243" t="inlineStr">
        <is>
          <t>Şek. 19.7.1 den seçilmiştir.</t>
        </is>
      </c>
      <c r="H40" s="498" t="n"/>
      <c r="I40" s="498" t="n"/>
      <c r="J40" s="498" t="n"/>
      <c r="K40" s="498" t="n"/>
      <c r="L40" s="498" t="n"/>
      <c r="M40" s="498" t="n"/>
      <c r="N40" s="498" t="n"/>
      <c r="O40" s="498" t="n"/>
      <c r="P40" s="498" t="n"/>
    </row>
    <row r="41" ht="12.75" customHeight="1" s="244">
      <c r="A41" s="499" t="inlineStr">
        <is>
          <t xml:space="preserve"> (2)</t>
        </is>
      </c>
      <c r="B41" s="243" t="inlineStr">
        <is>
          <t>Kazan dairesinden 3 yollu karışım vanası ile gidiş 45 °C, dönüş 35 °C (ortalama 40 °C) seçilmiştir.</t>
        </is>
      </c>
      <c r="H41" s="498" t="n"/>
      <c r="I41" s="498" t="n"/>
      <c r="J41" s="498" t="n"/>
      <c r="K41" s="498" t="n"/>
      <c r="L41" s="498" t="n"/>
      <c r="M41" s="498" t="n"/>
      <c r="N41" s="498" t="n"/>
      <c r="O41" s="498" t="n"/>
      <c r="P41" s="498" t="n"/>
    </row>
    <row r="42" ht="12.75" customHeight="1" s="244">
      <c r="A42" s="499" t="inlineStr">
        <is>
          <t xml:space="preserve"> (3)</t>
        </is>
      </c>
      <c r="B42" s="243" t="inlineStr">
        <is>
          <t>Şek. 19.7.1 den bulunmuştur..</t>
        </is>
      </c>
    </row>
    <row r="43" ht="12.75" customHeight="1" s="244">
      <c r="A43" s="499" t="inlineStr">
        <is>
          <t xml:space="preserve"> (4)</t>
        </is>
      </c>
      <c r="B43" s="243" t="inlineStr">
        <is>
          <t>Alta geçen ısı 0,2 q" olarak alınmıştır.</t>
        </is>
      </c>
    </row>
    <row r="44" ht="12.75" customHeight="1" s="244">
      <c r="A44" s="499" t="inlineStr">
        <is>
          <t xml:space="preserve"> (5)</t>
        </is>
      </c>
      <c r="B44" s="243" t="inlineStr">
        <is>
          <t>R (Pa/m): PEX 16x2,0 (iç çap 12 mm), Blasius bağıntısı ile hesaplanmıştır.</t>
        </is>
      </c>
    </row>
    <row r="45" ht="12.75" customHeight="1" s="244">
      <c r="A45" s="499" t="inlineStr">
        <is>
          <t xml:space="preserve"> (6)</t>
        </is>
      </c>
      <c r="B45" s="243" t="inlineStr">
        <is>
          <t>kollektörden sonraki özel basınç kayıpları, düz boru kayıpları yanında çok küçük olduğundan düz boru basınç kaybının % 5 i kabul edilmiştir.</t>
        </is>
      </c>
    </row>
    <row r="46" ht="12.75" customHeight="1" s="244">
      <c r="A46" s="499" t="inlineStr">
        <is>
          <t xml:space="preserve"> (7)</t>
        </is>
      </c>
      <c r="B46" s="243" t="inlineStr">
        <is>
          <t>Isıtma devrelerinin basıncı kollektördeki debimetreli reglaj vanası ile ayarlanmalıdır.</t>
        </is>
      </c>
    </row>
    <row r="47" ht="12.75" customHeight="1" s="244">
      <c r="A47" s="500" t="n"/>
    </row>
  </sheetData>
  <mergeCells count="7">
    <mergeCell ref="E3:I4"/>
    <mergeCell ref="A2:B5"/>
    <mergeCell ref="D5:I5"/>
    <mergeCell ref="E2:I2"/>
    <mergeCell ref="C2:C5"/>
    <mergeCell ref="A1:I1"/>
    <mergeCell ref="D3:D4"/>
  </mergeCells>
  <printOptions horizontalCentered="0" verticalCentered="0" headings="0" gridLines="0" gridLinesSet="1"/>
  <pageMargins left="0" right="0" top="0" bottom="0" header="0.511811023622047" footer="0.511811023622047"/>
  <pageSetup orientation="landscape" paperSize="9" scale="100" fitToHeight="1" fitToWidth="0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KM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5" activeCellId="0" sqref="D5:J5"/>
    </sheetView>
  </sheetViews>
  <sheetFormatPr baseColWidth="8" defaultColWidth="9.0546875" defaultRowHeight="12.75" zeroHeight="0" outlineLevelRow="0"/>
  <cols>
    <col width="4.14" customWidth="1" style="243" min="1" max="1"/>
    <col width="9.699999999999999" customWidth="1" style="243" min="2" max="2"/>
    <col width="34.71" customWidth="1" style="243" min="3" max="3"/>
    <col width="25.13" customWidth="1" style="266" min="4" max="4"/>
    <col width="6.41" customWidth="1" style="465" min="5" max="5"/>
    <col hidden="1" width="7.56" customWidth="1" style="243" min="6" max="6"/>
    <col hidden="1" width="7.7" customWidth="1" style="243" min="7" max="8"/>
    <col hidden="1" width="6.28" customWidth="1" style="243" min="9" max="14"/>
    <col width="6.99" customWidth="1" style="243" min="15" max="15"/>
    <col width="6.28" customWidth="1" style="243" min="16" max="16"/>
    <col width="6.85" customWidth="1" style="243" min="17" max="24"/>
    <col hidden="1" width="9.06" customWidth="1" style="243" min="25" max="25"/>
    <col hidden="1" width="7.56" customWidth="1" style="243" min="26" max="27"/>
    <col hidden="1" width="8.85" customWidth="1" style="243" min="28" max="28"/>
    <col hidden="1" width="9.140000000000001" customWidth="1" style="243" min="29" max="30"/>
    <col hidden="1" width="9.06" customWidth="1" style="243" min="31" max="40"/>
  </cols>
  <sheetData>
    <row r="1" ht="12.75" customHeight="1" s="244">
      <c r="A1" s="466" t="inlineStr">
        <is>
          <t>YERDEN ISITMA HESABI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264" t="n"/>
      <c r="K1" s="264" t="n"/>
      <c r="L1" s="264" t="n"/>
      <c r="M1" s="264" t="n"/>
      <c r="N1" s="264" t="n"/>
      <c r="O1" s="264" t="n"/>
      <c r="P1" s="501" t="n"/>
      <c r="Q1" s="502" t="n"/>
      <c r="R1" s="502" t="n"/>
      <c r="S1" s="502" t="n"/>
      <c r="T1" s="502" t="n"/>
      <c r="U1" s="502" t="n"/>
      <c r="V1" s="502" t="n"/>
      <c r="W1" s="502" t="n"/>
      <c r="X1" s="503" t="n"/>
      <c r="Y1" s="503" t="n"/>
    </row>
    <row r="2" ht="12.75" customFormat="1" customHeight="1" s="417">
      <c r="A2" s="468" t="inlineStr">
        <is>
          <t>2. KAT OFİSLER (A1 - E2)</t>
        </is>
      </c>
      <c r="B2" s="421" t="n"/>
      <c r="C2" s="469" t="inlineStr">
        <is>
          <t>DÖŞEMEDEN ISITMA HESAP ÖZETİ</t>
        </is>
      </c>
      <c r="D2" s="470" t="inlineStr">
        <is>
          <t>Ts.g  = 50 °C</t>
        </is>
      </c>
      <c r="E2" s="471" t="inlineStr">
        <is>
          <t>TOPLAM ISI KAYBI = 147265 W</t>
        </is>
      </c>
      <c r="F2" s="264" t="n"/>
      <c r="G2" s="264" t="n"/>
      <c r="H2" s="264" t="n"/>
      <c r="I2" s="264" t="n"/>
      <c r="J2" s="264" t="n"/>
      <c r="K2" s="264" t="n"/>
      <c r="L2" s="264" t="n"/>
      <c r="M2" s="264" t="n"/>
      <c r="N2" s="264" t="n"/>
      <c r="O2" s="264" t="n"/>
      <c r="P2" s="264" t="n"/>
      <c r="Q2" s="264" t="n"/>
      <c r="R2" s="264" t="n"/>
      <c r="S2" s="264" t="n"/>
      <c r="T2" s="264" t="n"/>
      <c r="U2" s="264" t="n"/>
      <c r="V2" s="264" t="n"/>
      <c r="W2" s="264" t="n"/>
      <c r="X2" s="264" t="n"/>
      <c r="Y2" s="260" t="n"/>
      <c r="Z2" s="443" t="n"/>
      <c r="AA2" s="443" t="n"/>
      <c r="AB2" s="443" t="n"/>
      <c r="AC2" s="443" t="n"/>
    </row>
    <row r="3" ht="8.25" customFormat="1" customHeight="1" s="417">
      <c r="A3" s="420" t="n"/>
      <c r="B3" s="421" t="n"/>
      <c r="C3" s="425" t="n"/>
      <c r="D3" s="473" t="inlineStr">
        <is>
          <t>Isıtma Çevrim Sayısı : 102</t>
        </is>
      </c>
      <c r="E3" s="471" t="inlineStr">
        <is>
          <t>MAX. BASINÇ KAYBI = 29898 Pa</t>
        </is>
      </c>
      <c r="F3" s="250" t="n"/>
      <c r="G3" s="250" t="n"/>
      <c r="H3" s="250" t="n"/>
      <c r="I3" s="250" t="n"/>
      <c r="J3" s="250" t="n"/>
      <c r="K3" s="250" t="n"/>
      <c r="L3" s="250" t="n"/>
      <c r="M3" s="250" t="n"/>
      <c r="N3" s="250" t="n"/>
      <c r="O3" s="250" t="n"/>
      <c r="P3" s="250" t="n"/>
      <c r="Q3" s="250" t="n"/>
      <c r="R3" s="250" t="n"/>
      <c r="S3" s="250" t="n"/>
      <c r="T3" s="250" t="n"/>
      <c r="U3" s="250" t="n"/>
      <c r="V3" s="250" t="n"/>
      <c r="W3" s="250" t="n"/>
      <c r="X3" s="250" t="n"/>
      <c r="Y3" s="275" t="n"/>
      <c r="Z3" s="443" t="n"/>
      <c r="AA3" s="443" t="n"/>
      <c r="AB3" s="443" t="n"/>
      <c r="AC3" s="443" t="n"/>
    </row>
    <row r="4" ht="5.25" customFormat="1" customHeight="1" s="417">
      <c r="A4" s="420" t="n"/>
      <c r="B4" s="421" t="n"/>
      <c r="C4" s="425" t="n"/>
      <c r="D4" s="303" t="n"/>
      <c r="E4" s="278" t="n"/>
      <c r="F4" s="256" t="n"/>
      <c r="G4" s="256" t="n"/>
      <c r="H4" s="256" t="n"/>
      <c r="I4" s="256" t="n"/>
      <c r="J4" s="256" t="n"/>
      <c r="K4" s="256" t="n"/>
      <c r="L4" s="256" t="n"/>
      <c r="M4" s="256" t="n"/>
      <c r="N4" s="256" t="n"/>
      <c r="O4" s="256" t="n"/>
      <c r="P4" s="256" t="n"/>
      <c r="Q4" s="256" t="n"/>
      <c r="R4" s="256" t="n"/>
      <c r="S4" s="256" t="n"/>
      <c r="T4" s="256" t="n"/>
      <c r="U4" s="256" t="n"/>
      <c r="V4" s="256" t="n"/>
      <c r="W4" s="256" t="n"/>
      <c r="X4" s="256" t="n"/>
      <c r="Y4" s="277" t="n"/>
      <c r="Z4" s="443" t="n"/>
      <c r="AA4" s="443" t="n"/>
      <c r="AB4" s="443" t="n"/>
      <c r="AC4" s="443" t="n"/>
    </row>
    <row r="5" ht="15" customFormat="1" customHeight="1" s="417">
      <c r="A5" s="278" t="n"/>
      <c r="B5" s="277" t="n"/>
      <c r="C5" s="303" t="n"/>
      <c r="D5" s="419" t="inlineStr">
        <is>
          <t>Mak. Müh. Bayram GENÇ</t>
        </is>
      </c>
      <c r="E5" s="264" t="n"/>
      <c r="F5" s="264" t="n"/>
      <c r="G5" s="264" t="n"/>
      <c r="H5" s="264" t="n"/>
      <c r="I5" s="264" t="n"/>
      <c r="J5" s="260" t="n"/>
      <c r="K5" s="419" t="n"/>
      <c r="L5" s="419" t="n"/>
      <c r="M5" s="504" t="n"/>
      <c r="N5" s="504" t="n"/>
      <c r="O5" s="505" t="n"/>
      <c r="P5" s="505" t="n"/>
      <c r="Q5" s="505" t="n"/>
      <c r="R5" s="505" t="n"/>
      <c r="S5" s="505" t="n"/>
      <c r="T5" s="505" t="n"/>
      <c r="U5" s="505" t="n"/>
      <c r="V5" s="505" t="n"/>
      <c r="W5" s="505" t="n"/>
      <c r="X5" s="506" t="n"/>
      <c r="Y5" s="506" t="n"/>
      <c r="Z5" s="443" t="n"/>
      <c r="AA5" s="443" t="n"/>
      <c r="AB5" s="443" t="n"/>
      <c r="AC5" s="443" t="n"/>
    </row>
    <row r="6" ht="12" customHeight="1" s="244">
      <c r="A6" s="475" t="n"/>
      <c r="B6" s="475" t="n"/>
      <c r="C6" s="475" t="n"/>
      <c r="D6" s="475" t="n"/>
      <c r="E6" s="476" t="n"/>
      <c r="F6" s="243" t="n"/>
      <c r="G6" s="243" t="n"/>
      <c r="H6" s="243" t="n"/>
      <c r="I6" s="243" t="n"/>
      <c r="J6" s="243" t="n"/>
      <c r="K6" s="243" t="n"/>
      <c r="L6" s="243" t="n"/>
      <c r="M6" s="243" t="n"/>
      <c r="N6" s="243" t="n"/>
      <c r="O6" s="243" t="n"/>
      <c r="P6" s="243" t="n"/>
    </row>
    <row r="7" ht="12" customHeight="1" s="244">
      <c r="A7" s="261" t="n"/>
      <c r="B7" s="477" t="n"/>
      <c r="C7" s="478" t="n"/>
      <c r="D7" s="477" t="n"/>
      <c r="E7" s="479" t="n"/>
      <c r="F7" s="480" t="inlineStr">
        <is>
          <t>P1</t>
        </is>
      </c>
      <c r="G7" s="480" t="inlineStr">
        <is>
          <t>P2</t>
        </is>
      </c>
      <c r="H7" s="480" t="inlineStr">
        <is>
          <t>P3</t>
        </is>
      </c>
      <c r="I7" s="480" t="inlineStr">
        <is>
          <t>P4</t>
        </is>
      </c>
      <c r="J7" s="480" t="inlineStr">
        <is>
          <t>P5</t>
        </is>
      </c>
      <c r="K7" s="480" t="inlineStr">
        <is>
          <t>P6</t>
        </is>
      </c>
      <c r="L7" s="480" t="inlineStr">
        <is>
          <t>P7</t>
        </is>
      </c>
      <c r="M7" s="480" t="inlineStr">
        <is>
          <t>P8</t>
        </is>
      </c>
      <c r="N7" s="480" t="inlineStr">
        <is>
          <t>P9</t>
        </is>
      </c>
      <c r="O7" s="480" t="inlineStr">
        <is>
          <t>P1</t>
        </is>
      </c>
      <c r="P7" s="480" t="inlineStr">
        <is>
          <t>P2</t>
        </is>
      </c>
      <c r="Q7" s="480" t="inlineStr">
        <is>
          <t>P3</t>
        </is>
      </c>
      <c r="R7" s="480" t="inlineStr">
        <is>
          <t>P4</t>
        </is>
      </c>
      <c r="S7" s="480" t="inlineStr">
        <is>
          <t>P5</t>
        </is>
      </c>
      <c r="T7" s="480" t="inlineStr">
        <is>
          <t>P6</t>
        </is>
      </c>
      <c r="U7" s="480" t="inlineStr">
        <is>
          <t>P7</t>
        </is>
      </c>
      <c r="V7" s="480" t="inlineStr">
        <is>
          <t>P8</t>
        </is>
      </c>
      <c r="W7" s="480" t="inlineStr">
        <is>
          <t>P9</t>
        </is>
      </c>
      <c r="X7" s="480" t="inlineStr">
        <is>
          <t>P1</t>
        </is>
      </c>
      <c r="Y7" s="480" t="inlineStr">
        <is>
          <t>P2</t>
        </is>
      </c>
      <c r="Z7" s="480" t="inlineStr">
        <is>
          <t>P3</t>
        </is>
      </c>
      <c r="AA7" s="480" t="inlineStr">
        <is>
          <t>P4</t>
        </is>
      </c>
      <c r="AB7" s="480" t="inlineStr">
        <is>
          <t>P5</t>
        </is>
      </c>
      <c r="AC7" s="480" t="inlineStr">
        <is>
          <t>P6</t>
        </is>
      </c>
      <c r="AD7" s="480" t="inlineStr">
        <is>
          <t>P7</t>
        </is>
      </c>
      <c r="AE7" s="480" t="inlineStr">
        <is>
          <t>P8</t>
        </is>
      </c>
      <c r="AF7" s="480" t="inlineStr">
        <is>
          <t>P9</t>
        </is>
      </c>
      <c r="AG7" s="480" t="inlineStr">
        <is>
          <t>P1</t>
        </is>
      </c>
      <c r="AH7" s="480" t="inlineStr">
        <is>
          <t>P2</t>
        </is>
      </c>
      <c r="AI7" s="480" t="inlineStr">
        <is>
          <t>P3</t>
        </is>
      </c>
      <c r="AJ7" s="480" t="inlineStr">
        <is>
          <t>P4</t>
        </is>
      </c>
      <c r="AK7" s="480" t="inlineStr">
        <is>
          <t>P5</t>
        </is>
      </c>
      <c r="AL7" s="480" t="inlineStr">
        <is>
          <t>P6</t>
        </is>
      </c>
      <c r="AM7" s="480" t="inlineStr">
        <is>
          <t>P1</t>
        </is>
      </c>
      <c r="AN7" s="480" t="inlineStr">
        <is>
          <t>P2</t>
        </is>
      </c>
      <c r="AO7" s="480" t="inlineStr">
        <is>
          <t>P3</t>
        </is>
      </c>
      <c r="AP7" s="480" t="inlineStr">
        <is>
          <t>P4</t>
        </is>
      </c>
      <c r="AQ7" s="480" t="inlineStr">
        <is>
          <t>P5</t>
        </is>
      </c>
      <c r="AR7" s="480" t="inlineStr">
        <is>
          <t>P6</t>
        </is>
      </c>
      <c r="AS7" s="480" t="inlineStr">
        <is>
          <t>P1</t>
        </is>
      </c>
      <c r="AT7" s="480" t="inlineStr">
        <is>
          <t>P2</t>
        </is>
      </c>
      <c r="AU7" s="480" t="inlineStr">
        <is>
          <t>P3</t>
        </is>
      </c>
      <c r="AV7" s="480" t="inlineStr">
        <is>
          <t>P4</t>
        </is>
      </c>
      <c r="AW7" s="480" t="inlineStr">
        <is>
          <t>P5</t>
        </is>
      </c>
      <c r="AX7" s="480" t="inlineStr">
        <is>
          <t>P6</t>
        </is>
      </c>
      <c r="AY7" s="480" t="inlineStr">
        <is>
          <t>P1</t>
        </is>
      </c>
      <c r="AZ7" s="480" t="inlineStr">
        <is>
          <t>P2</t>
        </is>
      </c>
      <c r="BA7" s="480" t="inlineStr">
        <is>
          <t>P3</t>
        </is>
      </c>
      <c r="BB7" s="480" t="inlineStr">
        <is>
          <t>P4</t>
        </is>
      </c>
      <c r="BC7" s="480" t="inlineStr">
        <is>
          <t>P5</t>
        </is>
      </c>
      <c r="BD7" s="480" t="inlineStr">
        <is>
          <t>P6</t>
        </is>
      </c>
      <c r="BE7" s="480" t="inlineStr">
        <is>
          <t>P1</t>
        </is>
      </c>
      <c r="BF7" s="480" t="inlineStr">
        <is>
          <t>P2</t>
        </is>
      </c>
      <c r="BG7" s="480" t="inlineStr">
        <is>
          <t>P3</t>
        </is>
      </c>
      <c r="BH7" s="480" t="inlineStr">
        <is>
          <t>P4</t>
        </is>
      </c>
      <c r="BI7" s="480" t="inlineStr">
        <is>
          <t>P5</t>
        </is>
      </c>
      <c r="BJ7" s="480" t="inlineStr">
        <is>
          <t>P6</t>
        </is>
      </c>
      <c r="BK7" s="480" t="inlineStr">
        <is>
          <t>P1</t>
        </is>
      </c>
      <c r="BL7" s="480" t="inlineStr">
        <is>
          <t>P2</t>
        </is>
      </c>
      <c r="BM7" s="480" t="inlineStr">
        <is>
          <t>P3</t>
        </is>
      </c>
      <c r="BN7" s="480" t="inlineStr">
        <is>
          <t>P4</t>
        </is>
      </c>
      <c r="BO7" s="480" t="inlineStr">
        <is>
          <t>P5</t>
        </is>
      </c>
      <c r="BP7" s="480" t="inlineStr">
        <is>
          <t>P6</t>
        </is>
      </c>
      <c r="BQ7" s="480" t="inlineStr">
        <is>
          <t>P1</t>
        </is>
      </c>
      <c r="BR7" s="480" t="inlineStr">
        <is>
          <t>P2</t>
        </is>
      </c>
      <c r="BS7" s="480" t="inlineStr">
        <is>
          <t>P3</t>
        </is>
      </c>
      <c r="BT7" s="480" t="inlineStr">
        <is>
          <t>P4</t>
        </is>
      </c>
      <c r="BU7" s="480" t="inlineStr">
        <is>
          <t>P5</t>
        </is>
      </c>
      <c r="BV7" s="480" t="inlineStr">
        <is>
          <t>P6</t>
        </is>
      </c>
      <c r="BW7" s="480" t="inlineStr">
        <is>
          <t>P7</t>
        </is>
      </c>
      <c r="BX7" s="480" t="inlineStr">
        <is>
          <t>P8</t>
        </is>
      </c>
      <c r="BY7" s="480" t="inlineStr">
        <is>
          <t>P1</t>
        </is>
      </c>
      <c r="BZ7" s="480" t="inlineStr">
        <is>
          <t>P2</t>
        </is>
      </c>
      <c r="CA7" s="480" t="inlineStr">
        <is>
          <t>P3</t>
        </is>
      </c>
      <c r="CB7" s="480" t="inlineStr">
        <is>
          <t>P4</t>
        </is>
      </c>
      <c r="CC7" s="480" t="inlineStr">
        <is>
          <t>P5</t>
        </is>
      </c>
      <c r="CD7" s="480" t="inlineStr">
        <is>
          <t>P6</t>
        </is>
      </c>
      <c r="CE7" s="480" t="inlineStr">
        <is>
          <t>P1</t>
        </is>
      </c>
      <c r="CF7" s="480" t="inlineStr">
        <is>
          <t>P2</t>
        </is>
      </c>
      <c r="CG7" s="480" t="inlineStr">
        <is>
          <t>P3</t>
        </is>
      </c>
      <c r="CH7" s="480" t="inlineStr">
        <is>
          <t>P4</t>
        </is>
      </c>
      <c r="CI7" s="480" t="inlineStr">
        <is>
          <t>P5</t>
        </is>
      </c>
      <c r="CJ7" s="480" t="inlineStr">
        <is>
          <t>P6</t>
        </is>
      </c>
      <c r="CK7" s="480" t="inlineStr">
        <is>
          <t>P7</t>
        </is>
      </c>
      <c r="CL7" s="480" t="inlineStr">
        <is>
          <t>P1</t>
        </is>
      </c>
      <c r="CM7" s="480" t="inlineStr">
        <is>
          <t>P2</t>
        </is>
      </c>
      <c r="CN7" s="480" t="inlineStr">
        <is>
          <t>P3</t>
        </is>
      </c>
      <c r="CO7" s="480" t="inlineStr">
        <is>
          <t>P4</t>
        </is>
      </c>
      <c r="CP7" s="480" t="inlineStr">
        <is>
          <t>P5</t>
        </is>
      </c>
      <c r="CQ7" s="480" t="inlineStr">
        <is>
          <t>P6</t>
        </is>
      </c>
      <c r="CR7" s="480" t="inlineStr">
        <is>
          <t>P7</t>
        </is>
      </c>
      <c r="CS7" s="480" t="inlineStr">
        <is>
          <t>P8</t>
        </is>
      </c>
      <c r="CT7" s="480" t="inlineStr">
        <is>
          <t>P1</t>
        </is>
      </c>
      <c r="CU7" s="480" t="inlineStr">
        <is>
          <t>P2</t>
        </is>
      </c>
      <c r="CV7" s="480" t="inlineStr">
        <is>
          <t>P3</t>
        </is>
      </c>
      <c r="CW7" s="480" t="inlineStr">
        <is>
          <t>P4</t>
        </is>
      </c>
      <c r="CX7" s="480" t="inlineStr">
        <is>
          <t>P5</t>
        </is>
      </c>
      <c r="CY7" s="480" t="inlineStr">
        <is>
          <t>P6</t>
        </is>
      </c>
      <c r="CZ7" s="480" t="inlineStr">
        <is>
          <t>P7</t>
        </is>
      </c>
      <c r="DA7" s="480" t="inlineStr">
        <is>
          <t>P8</t>
        </is>
      </c>
      <c r="DB7" s="480" t="inlineStr">
        <is>
          <t>P9</t>
        </is>
      </c>
      <c r="DC7" s="480" t="inlineStr">
        <is>
          <t>P10</t>
        </is>
      </c>
    </row>
    <row r="8" ht="12" customHeight="1" s="244">
      <c r="A8" s="261" t="n"/>
      <c r="B8" s="477" t="n"/>
      <c r="C8" s="478" t="n"/>
      <c r="D8" s="477" t="n"/>
      <c r="E8" s="479" t="n"/>
      <c r="F8" s="480" t="inlineStr">
        <is>
          <t>Z2A1-03</t>
        </is>
      </c>
      <c r="G8" s="480" t="inlineStr">
        <is>
          <t>Z2A1-05</t>
        </is>
      </c>
      <c r="H8" s="480" t="inlineStr">
        <is>
          <t>Z2A1-03</t>
        </is>
      </c>
      <c r="I8" s="480" t="inlineStr">
        <is>
          <t>Z2A1-05</t>
        </is>
      </c>
      <c r="J8" s="480" t="inlineStr">
        <is>
          <t>Z2A1-03</t>
        </is>
      </c>
      <c r="K8" s="480" t="inlineStr">
        <is>
          <t>Z2A1-04</t>
        </is>
      </c>
      <c r="L8" s="480" t="inlineStr">
        <is>
          <t>Z2A1-02</t>
        </is>
      </c>
      <c r="M8" s="480" t="inlineStr">
        <is>
          <t>Z2A1-04</t>
        </is>
      </c>
      <c r="N8" s="480" t="inlineStr">
        <is>
          <t>Z2A1-01</t>
        </is>
      </c>
      <c r="O8" s="480" t="inlineStr">
        <is>
          <t>Z2A2-03</t>
        </is>
      </c>
      <c r="P8" s="480" t="inlineStr">
        <is>
          <t>Z2A2-04</t>
        </is>
      </c>
      <c r="Q8" s="480" t="inlineStr">
        <is>
          <t>Z2A2-03</t>
        </is>
      </c>
      <c r="R8" s="480" t="inlineStr">
        <is>
          <t>Z2A2-04</t>
        </is>
      </c>
      <c r="S8" s="480" t="inlineStr">
        <is>
          <t>Z2A2-03</t>
        </is>
      </c>
      <c r="T8" s="480" t="inlineStr">
        <is>
          <t>Z2A2-05</t>
        </is>
      </c>
      <c r="U8" s="480" t="inlineStr">
        <is>
          <t>Z2A2-01</t>
        </is>
      </c>
      <c r="V8" s="480" t="inlineStr">
        <is>
          <t>Z2A2-05</t>
        </is>
      </c>
      <c r="W8" s="480" t="inlineStr">
        <is>
          <t>Z2A2-02</t>
        </is>
      </c>
      <c r="X8" s="480" t="inlineStr">
        <is>
          <t>Z2A3-03</t>
        </is>
      </c>
      <c r="Y8" s="480" t="inlineStr">
        <is>
          <t>Z2A3-05</t>
        </is>
      </c>
      <c r="Z8" s="480" t="inlineStr">
        <is>
          <t>Z2A3-03</t>
        </is>
      </c>
      <c r="AA8" s="480" t="inlineStr">
        <is>
          <t>Z2A3-05</t>
        </is>
      </c>
      <c r="AB8" s="480" t="inlineStr">
        <is>
          <t>Z2A3-03</t>
        </is>
      </c>
      <c r="AC8" s="480" t="inlineStr">
        <is>
          <t>Z2A3-04</t>
        </is>
      </c>
      <c r="AD8" s="480" t="inlineStr">
        <is>
          <t>Z2A3-02</t>
        </is>
      </c>
      <c r="AE8" s="480" t="inlineStr">
        <is>
          <t>Z2A3-01</t>
        </is>
      </c>
      <c r="AF8" s="480" t="inlineStr">
        <is>
          <t>Z2A3-04</t>
        </is>
      </c>
      <c r="AG8" s="480" t="inlineStr">
        <is>
          <t>Z2B1-02</t>
        </is>
      </c>
      <c r="AH8" s="480" t="inlineStr">
        <is>
          <t>Z2B1-04</t>
        </is>
      </c>
      <c r="AI8" s="480" t="inlineStr">
        <is>
          <t>Z2B1-02</t>
        </is>
      </c>
      <c r="AJ8" s="480" t="inlineStr">
        <is>
          <t>Z2B1-01</t>
        </is>
      </c>
      <c r="AK8" s="480" t="inlineStr">
        <is>
          <t>Z2B1-01</t>
        </is>
      </c>
      <c r="AL8" s="480" t="inlineStr">
        <is>
          <t>Z2B1-01</t>
        </is>
      </c>
      <c r="AM8" s="480" t="inlineStr">
        <is>
          <t>Z2B2-03</t>
        </is>
      </c>
      <c r="AN8" s="480" t="inlineStr">
        <is>
          <t>Z2B2-04</t>
        </is>
      </c>
      <c r="AO8" s="480" t="inlineStr">
        <is>
          <t>Z2B2-03</t>
        </is>
      </c>
      <c r="AP8" s="480" t="inlineStr">
        <is>
          <t>Z2B2-01</t>
        </is>
      </c>
      <c r="AQ8" s="480" t="inlineStr">
        <is>
          <t>Z2B2-01</t>
        </is>
      </c>
      <c r="AR8" s="480" t="inlineStr">
        <is>
          <t>Z2B2-01</t>
        </is>
      </c>
      <c r="AS8" s="480" t="inlineStr">
        <is>
          <t>Z2B3-02</t>
        </is>
      </c>
      <c r="AT8" s="480" t="inlineStr">
        <is>
          <t>Z2B3-04</t>
        </is>
      </c>
      <c r="AU8" s="480" t="inlineStr">
        <is>
          <t>Z2B3-02</t>
        </is>
      </c>
      <c r="AV8" s="480" t="inlineStr">
        <is>
          <t>Z2B3-01</t>
        </is>
      </c>
      <c r="AW8" s="480" t="inlineStr">
        <is>
          <t>Z2B3-01</t>
        </is>
      </c>
      <c r="AX8" s="480" t="inlineStr">
        <is>
          <t>Z2B3-01</t>
        </is>
      </c>
      <c r="AY8" s="480" t="inlineStr">
        <is>
          <t>Z2C1-02</t>
        </is>
      </c>
      <c r="AZ8" s="480" t="inlineStr">
        <is>
          <t>Z2C1-02</t>
        </is>
      </c>
      <c r="BA8" s="480" t="inlineStr">
        <is>
          <t>Z2C1-04</t>
        </is>
      </c>
      <c r="BB8" s="480" t="inlineStr">
        <is>
          <t>Z2C1-01</t>
        </is>
      </c>
      <c r="BC8" s="480" t="inlineStr">
        <is>
          <t>Z2C1-04</t>
        </is>
      </c>
      <c r="BD8" s="480" t="inlineStr">
        <is>
          <t>Z2C1-01</t>
        </is>
      </c>
      <c r="BE8" s="480" t="inlineStr">
        <is>
          <t>Z2C2-02</t>
        </is>
      </c>
      <c r="BF8" s="480" t="inlineStr">
        <is>
          <t>Z2C2-02</t>
        </is>
      </c>
      <c r="BG8" s="480" t="inlineStr">
        <is>
          <t>Z2C2-01</t>
        </is>
      </c>
      <c r="BH8" s="480" t="inlineStr">
        <is>
          <t>Z2C2-03</t>
        </is>
      </c>
      <c r="BI8" s="480" t="inlineStr">
        <is>
          <t>Z2C2-01</t>
        </is>
      </c>
      <c r="BJ8" s="480" t="inlineStr">
        <is>
          <t>Z2C2-01</t>
        </is>
      </c>
      <c r="BK8" s="480" t="inlineStr">
        <is>
          <t>Z2C3-02</t>
        </is>
      </c>
      <c r="BL8" s="480" t="inlineStr">
        <is>
          <t>Z2C3-02</t>
        </is>
      </c>
      <c r="BM8" s="480" t="inlineStr">
        <is>
          <t>Z2C3-03</t>
        </is>
      </c>
      <c r="BN8" s="480" t="inlineStr">
        <is>
          <t>Z2C3-01</t>
        </is>
      </c>
      <c r="BO8" s="480" t="inlineStr">
        <is>
          <t>Z2C3-04</t>
        </is>
      </c>
      <c r="BP8" s="480" t="inlineStr">
        <is>
          <t>Z2C3-01</t>
        </is>
      </c>
      <c r="BQ8" s="480" t="inlineStr">
        <is>
          <t>Z2D1-02</t>
        </is>
      </c>
      <c r="BR8" s="480" t="inlineStr">
        <is>
          <t>Z2D1-04</t>
        </is>
      </c>
      <c r="BS8" s="480" t="inlineStr">
        <is>
          <t>Z2D1-02</t>
        </is>
      </c>
      <c r="BT8" s="480" t="inlineStr">
        <is>
          <t>Z2D1-03</t>
        </is>
      </c>
      <c r="BU8" s="480" t="inlineStr">
        <is>
          <t>Z2D1-01</t>
        </is>
      </c>
      <c r="BV8" s="480" t="inlineStr">
        <is>
          <t>Z2D1-01</t>
        </is>
      </c>
      <c r="BW8" s="480" t="inlineStr">
        <is>
          <t>Z2D1-01</t>
        </is>
      </c>
      <c r="BX8" s="480" t="inlineStr">
        <is>
          <t>Z2D1-01</t>
        </is>
      </c>
      <c r="BY8" s="480" t="inlineStr">
        <is>
          <t>Z2D2-02</t>
        </is>
      </c>
      <c r="BZ8" s="480" t="inlineStr">
        <is>
          <t>Z2D2-02</t>
        </is>
      </c>
      <c r="CA8" s="480" t="inlineStr">
        <is>
          <t>Z2D2-03</t>
        </is>
      </c>
      <c r="CB8" s="480" t="inlineStr">
        <is>
          <t>Z2D2-02</t>
        </is>
      </c>
      <c r="CC8" s="480" t="inlineStr">
        <is>
          <t>Z2D2-01</t>
        </is>
      </c>
      <c r="CD8" s="480" t="inlineStr">
        <is>
          <t>Z2D2-01</t>
        </is>
      </c>
      <c r="CE8" s="480" t="inlineStr">
        <is>
          <t>Z2D3-04</t>
        </is>
      </c>
      <c r="CF8" s="480" t="inlineStr">
        <is>
          <t>Z2D3-04</t>
        </is>
      </c>
      <c r="CG8" s="480" t="inlineStr">
        <is>
          <t>Z2D3-04</t>
        </is>
      </c>
      <c r="CH8" s="480" t="inlineStr">
        <is>
          <t>Z2D3-03</t>
        </is>
      </c>
      <c r="CI8" s="480" t="inlineStr">
        <is>
          <t>Z2D3-02</t>
        </is>
      </c>
      <c r="CJ8" s="480" t="inlineStr">
        <is>
          <t>Z2D3-01</t>
        </is>
      </c>
      <c r="CK8" s="480" t="inlineStr">
        <is>
          <t>Z2D3-01</t>
        </is>
      </c>
      <c r="CL8" s="480" t="inlineStr">
        <is>
          <t>Z2E1-05</t>
        </is>
      </c>
      <c r="CM8" s="480" t="inlineStr">
        <is>
          <t>Z2E1-04</t>
        </is>
      </c>
      <c r="CN8" s="480" t="inlineStr">
        <is>
          <t>Z2E1-02</t>
        </is>
      </c>
      <c r="CO8" s="480" t="inlineStr">
        <is>
          <t>Z2E1-03</t>
        </is>
      </c>
      <c r="CP8" s="480" t="inlineStr">
        <is>
          <t>Z2E1-01</t>
        </is>
      </c>
      <c r="CQ8" s="480" t="inlineStr">
        <is>
          <t>Z2E1-01</t>
        </is>
      </c>
      <c r="CR8" s="480" t="inlineStr">
        <is>
          <t>Z2E1-01</t>
        </is>
      </c>
      <c r="CS8" s="480" t="inlineStr">
        <is>
          <t>Z2E1-01</t>
        </is>
      </c>
      <c r="CT8" s="480" t="inlineStr">
        <is>
          <t>Z2E2-02</t>
        </is>
      </c>
      <c r="CU8" s="480" t="inlineStr">
        <is>
          <t>Z2E2-04</t>
        </is>
      </c>
      <c r="CV8" s="480" t="inlineStr">
        <is>
          <t>Z2E2-04</t>
        </is>
      </c>
      <c r="CW8" s="480" t="inlineStr">
        <is>
          <t>Z2E2-05</t>
        </is>
      </c>
      <c r="CX8" s="480" t="inlineStr">
        <is>
          <t>Z2E2-02</t>
        </is>
      </c>
      <c r="CY8" s="480" t="inlineStr">
        <is>
          <t>Z2E2-03</t>
        </is>
      </c>
      <c r="CZ8" s="480" t="inlineStr">
        <is>
          <t>Z2E2-01</t>
        </is>
      </c>
      <c r="DA8" s="480" t="inlineStr">
        <is>
          <t>Z2E2-01</t>
        </is>
      </c>
      <c r="DB8" s="480" t="inlineStr">
        <is>
          <t>Z2E2-01</t>
        </is>
      </c>
      <c r="DC8" s="480" t="inlineStr">
        <is>
          <t>Z2E2-01</t>
        </is>
      </c>
    </row>
    <row r="9" ht="30" customHeight="1" s="244">
      <c r="A9" s="261" t="n"/>
      <c r="B9" s="282" t="n"/>
      <c r="C9" s="482" t="n"/>
      <c r="D9" s="261" t="n"/>
      <c r="E9" s="259" t="n"/>
      <c r="F9" s="507" t="inlineStr">
        <is>
          <t>A1 ODA 1</t>
        </is>
      </c>
      <c r="G9" s="507" t="inlineStr">
        <is>
          <t>A1 ODA 2</t>
        </is>
      </c>
      <c r="H9" s="507" t="inlineStr">
        <is>
          <t>A1 ODA 1</t>
        </is>
      </c>
      <c r="I9" s="507" t="inlineStr">
        <is>
          <t>A1 ODA 2</t>
        </is>
      </c>
      <c r="J9" s="507" t="inlineStr">
        <is>
          <t>A1 ODA 1</t>
        </is>
      </c>
      <c r="K9" s="507" t="inlineStr">
        <is>
          <t>A1 HOL</t>
        </is>
      </c>
      <c r="L9" s="507" t="inlineStr">
        <is>
          <t>A1 MUTFAK</t>
        </is>
      </c>
      <c r="M9" s="507" t="inlineStr">
        <is>
          <t>A1 HOL</t>
        </is>
      </c>
      <c r="N9" s="507" t="inlineStr">
        <is>
          <t>A1 BANYO</t>
        </is>
      </c>
      <c r="O9" s="507" t="inlineStr">
        <is>
          <t>A2 ODA 1</t>
        </is>
      </c>
      <c r="P9" s="507" t="inlineStr">
        <is>
          <t>A2 ODA 2</t>
        </is>
      </c>
      <c r="Q9" s="507" t="inlineStr">
        <is>
          <t>A2 ODA 1</t>
        </is>
      </c>
      <c r="R9" s="507" t="inlineStr">
        <is>
          <t>A2 ODA 2</t>
        </is>
      </c>
      <c r="S9" s="507" t="inlineStr">
        <is>
          <t>A2 ODA 1</t>
        </is>
      </c>
      <c r="T9" s="507" t="inlineStr">
        <is>
          <t>A2 HOL</t>
        </is>
      </c>
      <c r="U9" s="507" t="inlineStr">
        <is>
          <t>A2 MUTFAK</t>
        </is>
      </c>
      <c r="V9" s="507" t="inlineStr">
        <is>
          <t>A2 HOL</t>
        </is>
      </c>
      <c r="W9" s="507" t="inlineStr">
        <is>
          <t>A2 BANYO</t>
        </is>
      </c>
      <c r="X9" s="507" t="inlineStr">
        <is>
          <t>A3 ODA 1</t>
        </is>
      </c>
      <c r="Y9" s="507" t="inlineStr">
        <is>
          <t>A3 ODA 2</t>
        </is>
      </c>
      <c r="Z9" s="507" t="inlineStr">
        <is>
          <t>A3 ODA 1</t>
        </is>
      </c>
      <c r="AA9" s="507" t="inlineStr">
        <is>
          <t>A3 ODA 2</t>
        </is>
      </c>
      <c r="AB9" s="507" t="inlineStr">
        <is>
          <t>A3 ODA 1</t>
        </is>
      </c>
      <c r="AC9" s="507" t="inlineStr">
        <is>
          <t>A3 HOL</t>
        </is>
      </c>
      <c r="AD9" s="507" t="inlineStr">
        <is>
          <t>A3 MUTFAK</t>
        </is>
      </c>
      <c r="AE9" s="507" t="inlineStr">
        <is>
          <t>A3 BANYO</t>
        </is>
      </c>
      <c r="AF9" s="507" t="inlineStr">
        <is>
          <t>A3 HOL</t>
        </is>
      </c>
      <c r="AG9" s="507" t="inlineStr">
        <is>
          <t>B1 GİRİŞ KARŞ</t>
        </is>
      </c>
      <c r="AH9" s="507" t="inlineStr">
        <is>
          <t>B1 BANYO</t>
        </is>
      </c>
      <c r="AI9" s="507" t="inlineStr">
        <is>
          <t>B1 GİRİŞ KARŞ</t>
        </is>
      </c>
      <c r="AJ9" s="507" t="inlineStr">
        <is>
          <t>B1 ODA</t>
        </is>
      </c>
      <c r="AK9" s="507" t="inlineStr">
        <is>
          <t>B1 ODA</t>
        </is>
      </c>
      <c r="AL9" s="507" t="inlineStr">
        <is>
          <t>B1 ODA</t>
        </is>
      </c>
      <c r="AM9" s="507" t="inlineStr">
        <is>
          <t>B2 GİRİŞ KARŞ</t>
        </is>
      </c>
      <c r="AN9" s="507" t="inlineStr">
        <is>
          <t>B2 BANYO</t>
        </is>
      </c>
      <c r="AO9" s="507" t="inlineStr">
        <is>
          <t>B2 GİRİŞ KARŞ</t>
        </is>
      </c>
      <c r="AP9" s="507" t="inlineStr">
        <is>
          <t>B2 ODA</t>
        </is>
      </c>
      <c r="AQ9" s="507" t="inlineStr">
        <is>
          <t>B2 ODA</t>
        </is>
      </c>
      <c r="AR9" s="507" t="inlineStr">
        <is>
          <t>B2 ODA</t>
        </is>
      </c>
      <c r="AS9" s="507" t="inlineStr">
        <is>
          <t>B3 GİRİŞ KARŞ</t>
        </is>
      </c>
      <c r="AT9" s="507" t="inlineStr">
        <is>
          <t>B3 BANYO</t>
        </is>
      </c>
      <c r="AU9" s="507" t="inlineStr">
        <is>
          <t>B3 GİRİŞ KARŞ</t>
        </is>
      </c>
      <c r="AV9" s="507" t="inlineStr">
        <is>
          <t>B3 ODA</t>
        </is>
      </c>
      <c r="AW9" s="507" t="inlineStr">
        <is>
          <t>B3 ODA</t>
        </is>
      </c>
      <c r="AX9" s="507" t="inlineStr">
        <is>
          <t>B3 ODA</t>
        </is>
      </c>
      <c r="AY9" s="507" t="inlineStr">
        <is>
          <t>C1 ODA</t>
        </is>
      </c>
      <c r="AZ9" s="507" t="inlineStr">
        <is>
          <t>C1 ODA</t>
        </is>
      </c>
      <c r="BA9" s="507" t="inlineStr">
        <is>
          <t>C1 BANYO</t>
        </is>
      </c>
      <c r="BB9" s="507" t="inlineStr">
        <is>
          <t>C1 GİRİŞ HOLÜ</t>
        </is>
      </c>
      <c r="BC9" s="507" t="inlineStr">
        <is>
          <t>C1 BANYO</t>
        </is>
      </c>
      <c r="BD9" s="507" t="inlineStr">
        <is>
          <t>C1 GİRİŞ HOLÜ</t>
        </is>
      </c>
      <c r="BE9" s="507" t="inlineStr">
        <is>
          <t>C2 GİRİŞ HOLÜ</t>
        </is>
      </c>
      <c r="BF9" s="507" t="inlineStr">
        <is>
          <t>C2 GİRİŞ HOLÜ</t>
        </is>
      </c>
      <c r="BG9" s="507" t="inlineStr">
        <is>
          <t>C2 GİRİŞ HOLÜ</t>
        </is>
      </c>
      <c r="BH9" s="507" t="inlineStr">
        <is>
          <t>C2 MUTFAK</t>
        </is>
      </c>
      <c r="BI9" s="507" t="inlineStr">
        <is>
          <t>C2 GİRİŞ HOLÜ</t>
        </is>
      </c>
      <c r="BJ9" s="507" t="inlineStr">
        <is>
          <t>C2 GİRİŞ HOLÜ</t>
        </is>
      </c>
      <c r="BK9" s="507" t="inlineStr">
        <is>
          <t>C3 GİRİŞ HOLÜ</t>
        </is>
      </c>
      <c r="BL9" s="507" t="inlineStr">
        <is>
          <t>C3 GİRİŞ HOLÜ</t>
        </is>
      </c>
      <c r="BM9" s="507" t="inlineStr">
        <is>
          <t>C3 MUTFAK</t>
        </is>
      </c>
      <c r="BN9" s="507" t="inlineStr">
        <is>
          <t>C3 GİRİŞ HOLÜ</t>
        </is>
      </c>
      <c r="BO9" s="507" t="inlineStr">
        <is>
          <t>C3 BANYO</t>
        </is>
      </c>
      <c r="BP9" s="507" t="inlineStr">
        <is>
          <t>C3 GİRİŞ HOLÜ</t>
        </is>
      </c>
      <c r="BQ9" s="507" t="inlineStr">
        <is>
          <t>D1 GİRİŞ HOLÜ</t>
        </is>
      </c>
      <c r="BR9" s="507" t="inlineStr">
        <is>
          <t>D1 BANYO</t>
        </is>
      </c>
      <c r="BS9" s="507" t="inlineStr">
        <is>
          <t>D1 GİRİŞ HOLÜ</t>
        </is>
      </c>
      <c r="BT9" s="507" t="inlineStr">
        <is>
          <t>D1 MUTFAK</t>
        </is>
      </c>
      <c r="BU9" s="507" t="inlineStr">
        <is>
          <t>D1 ODA</t>
        </is>
      </c>
      <c r="BV9" s="507" t="inlineStr">
        <is>
          <t>D1 ODA</t>
        </is>
      </c>
      <c r="BW9" s="507" t="inlineStr">
        <is>
          <t>D1 ODA</t>
        </is>
      </c>
      <c r="BX9" s="507" t="inlineStr">
        <is>
          <t>D1 ODA</t>
        </is>
      </c>
      <c r="BY9" s="507" t="inlineStr">
        <is>
          <t>D2 GİRİŞ HOLÜ</t>
        </is>
      </c>
      <c r="BZ9" s="507" t="inlineStr">
        <is>
          <t>D2 GİRİŞ HOLÜ</t>
        </is>
      </c>
      <c r="CA9" s="507" t="inlineStr">
        <is>
          <t>D2 MUTFAK</t>
        </is>
      </c>
      <c r="CB9" s="507" t="inlineStr">
        <is>
          <t>D2 GİRİŞ HOLÜ</t>
        </is>
      </c>
      <c r="CC9" s="507" t="inlineStr">
        <is>
          <t>D2 ODA</t>
        </is>
      </c>
      <c r="CD9" s="507" t="inlineStr">
        <is>
          <t>D2 ODA</t>
        </is>
      </c>
      <c r="CE9" s="507" t="inlineStr">
        <is>
          <t>D3 GİRİŞ HOLÜ</t>
        </is>
      </c>
      <c r="CF9" s="507" t="inlineStr">
        <is>
          <t>D3 GİRİŞ HOLÜ</t>
        </is>
      </c>
      <c r="CG9" s="507" t="inlineStr">
        <is>
          <t>D3 GİRİŞ HOLÜ</t>
        </is>
      </c>
      <c r="CH9" s="507" t="inlineStr">
        <is>
          <t>D3 BANYO</t>
        </is>
      </c>
      <c r="CI9" s="507" t="inlineStr">
        <is>
          <t>D3 MUTFAK</t>
        </is>
      </c>
      <c r="CJ9" s="507" t="inlineStr">
        <is>
          <t>D3 ODA</t>
        </is>
      </c>
      <c r="CK9" s="507" t="inlineStr">
        <is>
          <t>D3 ODA</t>
        </is>
      </c>
      <c r="CL9" s="507" t="inlineStr">
        <is>
          <t>E1 BANYO</t>
        </is>
      </c>
      <c r="CM9" s="507" t="inlineStr">
        <is>
          <t>E1 MUTFAK</t>
        </is>
      </c>
      <c r="CN9" s="507" t="inlineStr">
        <is>
          <t>E1 GİRİŞ HOLÜ</t>
        </is>
      </c>
      <c r="CO9" s="507" t="inlineStr">
        <is>
          <t>E1 ODA</t>
        </is>
      </c>
      <c r="CP9" s="507" t="inlineStr">
        <is>
          <t>E1 ODA</t>
        </is>
      </c>
      <c r="CQ9" s="507" t="inlineStr">
        <is>
          <t>E1 ODA</t>
        </is>
      </c>
      <c r="CR9" s="507" t="inlineStr">
        <is>
          <t>E1 ODA</t>
        </is>
      </c>
      <c r="CS9" s="507" t="inlineStr">
        <is>
          <t>E1 ODA</t>
        </is>
      </c>
      <c r="CT9" s="507" t="inlineStr">
        <is>
          <t>E2 GİRİŞ HOLÜ</t>
        </is>
      </c>
      <c r="CU9" s="507" t="inlineStr">
        <is>
          <t>E2 ODA</t>
        </is>
      </c>
      <c r="CV9" s="507" t="inlineStr">
        <is>
          <t>E2 ODA</t>
        </is>
      </c>
      <c r="CW9" s="507" t="inlineStr">
        <is>
          <t>E2 BANYO</t>
        </is>
      </c>
      <c r="CX9" s="507" t="inlineStr">
        <is>
          <t>E2 GİRİŞ HOLÜ</t>
        </is>
      </c>
      <c r="CY9" s="507" t="inlineStr">
        <is>
          <t>E2 MUTFAK</t>
        </is>
      </c>
      <c r="CZ9" s="507" t="inlineStr">
        <is>
          <t>E2 ODA</t>
        </is>
      </c>
      <c r="DA9" s="507" t="inlineStr">
        <is>
          <t>E2 ODA</t>
        </is>
      </c>
      <c r="DB9" s="507" t="inlineStr">
        <is>
          <t>E2 ODA</t>
        </is>
      </c>
      <c r="DC9" s="507" t="inlineStr">
        <is>
          <t>E2 ODA</t>
        </is>
      </c>
    </row>
    <row r="10" ht="12" customHeight="1" s="244">
      <c r="A10" s="261" t="n"/>
      <c r="B10" s="282" t="n"/>
      <c r="C10" s="482" t="n"/>
      <c r="D10" s="261" t="n"/>
      <c r="E10" s="259" t="n"/>
      <c r="F10" s="484" t="n">
        <v>20</v>
      </c>
      <c r="G10" s="484" t="n">
        <v>20</v>
      </c>
      <c r="H10" s="484" t="n">
        <v>20</v>
      </c>
      <c r="I10" s="484" t="n">
        <v>20</v>
      </c>
      <c r="J10" s="484" t="n">
        <v>20</v>
      </c>
      <c r="K10" s="484" t="n">
        <v>20</v>
      </c>
      <c r="L10" s="484" t="n">
        <v>20</v>
      </c>
      <c r="M10" s="484" t="n">
        <v>20</v>
      </c>
      <c r="N10" s="484" t="n">
        <v>24</v>
      </c>
      <c r="O10" s="484" t="n">
        <v>20</v>
      </c>
      <c r="P10" s="484" t="n">
        <v>20</v>
      </c>
      <c r="Q10" s="484" t="n">
        <v>20</v>
      </c>
      <c r="R10" s="484" t="n">
        <v>20</v>
      </c>
      <c r="S10" s="484" t="n">
        <v>20</v>
      </c>
      <c r="T10" s="484" t="n">
        <v>20</v>
      </c>
      <c r="U10" s="484" t="n">
        <v>20</v>
      </c>
      <c r="V10" s="484" t="n">
        <v>20</v>
      </c>
      <c r="W10" s="484" t="n">
        <v>24</v>
      </c>
      <c r="X10" s="484" t="n">
        <v>20</v>
      </c>
      <c r="Y10" s="484" t="n">
        <v>20</v>
      </c>
      <c r="Z10" s="484" t="n">
        <v>20</v>
      </c>
      <c r="AA10" s="484" t="n">
        <v>20</v>
      </c>
      <c r="AB10" s="484" t="n">
        <v>20</v>
      </c>
      <c r="AC10" s="484" t="n">
        <v>20</v>
      </c>
      <c r="AD10" s="484" t="n">
        <v>20</v>
      </c>
      <c r="AE10" s="484" t="n">
        <v>24</v>
      </c>
      <c r="AF10" s="484" t="n">
        <v>20</v>
      </c>
      <c r="AG10" s="484" t="n">
        <v>20</v>
      </c>
      <c r="AH10" s="484" t="n">
        <v>24</v>
      </c>
      <c r="AI10" s="484" t="n">
        <v>20</v>
      </c>
      <c r="AJ10" s="484" t="n">
        <v>20</v>
      </c>
      <c r="AK10" s="484" t="n">
        <v>20</v>
      </c>
      <c r="AL10" s="484" t="n">
        <v>20</v>
      </c>
      <c r="AM10" s="484" t="n">
        <v>20</v>
      </c>
      <c r="AN10" s="484" t="n">
        <v>24</v>
      </c>
      <c r="AO10" s="484" t="n">
        <v>20</v>
      </c>
      <c r="AP10" s="484" t="n">
        <v>20</v>
      </c>
      <c r="AQ10" s="484" t="n">
        <v>20</v>
      </c>
      <c r="AR10" s="484" t="n">
        <v>20</v>
      </c>
      <c r="AS10" s="484" t="n">
        <v>20</v>
      </c>
      <c r="AT10" s="484" t="n">
        <v>24</v>
      </c>
      <c r="AU10" s="484" t="n">
        <v>20</v>
      </c>
      <c r="AV10" s="484" t="n">
        <v>20</v>
      </c>
      <c r="AW10" s="484" t="n">
        <v>20</v>
      </c>
      <c r="AX10" s="484" t="n">
        <v>20</v>
      </c>
      <c r="AY10" s="484" t="n">
        <v>20</v>
      </c>
      <c r="AZ10" s="484" t="n">
        <v>20</v>
      </c>
      <c r="BA10" s="484" t="n">
        <v>24</v>
      </c>
      <c r="BB10" s="484" t="n">
        <v>20</v>
      </c>
      <c r="BC10" s="484" t="n">
        <v>24</v>
      </c>
      <c r="BD10" s="484" t="n">
        <v>20</v>
      </c>
      <c r="BE10" s="484" t="n">
        <v>20</v>
      </c>
      <c r="BF10" s="484" t="n">
        <v>20</v>
      </c>
      <c r="BG10" s="484" t="n">
        <v>20</v>
      </c>
      <c r="BH10" s="484" t="n">
        <v>20</v>
      </c>
      <c r="BI10" s="484" t="n">
        <v>20</v>
      </c>
      <c r="BJ10" s="484" t="n">
        <v>20</v>
      </c>
      <c r="BK10" s="484" t="n">
        <v>20</v>
      </c>
      <c r="BL10" s="484" t="n">
        <v>20</v>
      </c>
      <c r="BM10" s="484" t="n">
        <v>20</v>
      </c>
      <c r="BN10" s="484" t="n">
        <v>20</v>
      </c>
      <c r="BO10" s="484" t="n">
        <v>24</v>
      </c>
      <c r="BP10" s="484" t="n">
        <v>20</v>
      </c>
      <c r="BQ10" s="484" t="n">
        <v>20</v>
      </c>
      <c r="BR10" s="484" t="n">
        <v>24</v>
      </c>
      <c r="BS10" s="484" t="n">
        <v>20</v>
      </c>
      <c r="BT10" s="484" t="n">
        <v>20</v>
      </c>
      <c r="BU10" s="484" t="n">
        <v>20</v>
      </c>
      <c r="BV10" s="484" t="n">
        <v>20</v>
      </c>
      <c r="BW10" s="484" t="n">
        <v>20</v>
      </c>
      <c r="BX10" s="484" t="n">
        <v>20</v>
      </c>
      <c r="BY10" s="484" t="n">
        <v>20</v>
      </c>
      <c r="BZ10" s="484" t="n">
        <v>20</v>
      </c>
      <c r="CA10" s="484" t="n">
        <v>20</v>
      </c>
      <c r="CB10" s="484" t="n">
        <v>20</v>
      </c>
      <c r="CC10" s="484" t="n">
        <v>20</v>
      </c>
      <c r="CD10" s="484" t="n">
        <v>20</v>
      </c>
      <c r="CE10" s="484" t="n">
        <v>20</v>
      </c>
      <c r="CF10" s="484" t="n">
        <v>20</v>
      </c>
      <c r="CG10" s="484" t="n">
        <v>20</v>
      </c>
      <c r="CH10" s="484" t="n">
        <v>24</v>
      </c>
      <c r="CI10" s="484" t="n">
        <v>20</v>
      </c>
      <c r="CJ10" s="484" t="n">
        <v>20</v>
      </c>
      <c r="CK10" s="484" t="n">
        <v>20</v>
      </c>
      <c r="CL10" s="484" t="n">
        <v>24</v>
      </c>
      <c r="CM10" s="484" t="n">
        <v>20</v>
      </c>
      <c r="CN10" s="484" t="n">
        <v>20</v>
      </c>
      <c r="CO10" s="484" t="n">
        <v>20</v>
      </c>
      <c r="CP10" s="484" t="n">
        <v>20</v>
      </c>
      <c r="CQ10" s="484" t="n">
        <v>20</v>
      </c>
      <c r="CR10" s="484" t="n">
        <v>20</v>
      </c>
      <c r="CS10" s="484" t="n">
        <v>20</v>
      </c>
      <c r="CT10" s="484" t="n">
        <v>20</v>
      </c>
      <c r="CU10" s="484" t="n">
        <v>20</v>
      </c>
      <c r="CV10" s="484" t="n">
        <v>20</v>
      </c>
      <c r="CW10" s="484" t="n">
        <v>24</v>
      </c>
      <c r="CX10" s="484" t="n">
        <v>20</v>
      </c>
      <c r="CY10" s="484" t="n">
        <v>20</v>
      </c>
      <c r="CZ10" s="484" t="n">
        <v>20</v>
      </c>
      <c r="DA10" s="484" t="n">
        <v>20</v>
      </c>
      <c r="DB10" s="484" t="n">
        <v>20</v>
      </c>
      <c r="DC10" s="484" t="n">
        <v>20</v>
      </c>
    </row>
    <row r="11" ht="12" customHeight="1" s="244">
      <c r="A11" s="261" t="n"/>
      <c r="B11" s="282" t="n"/>
      <c r="C11" s="482" t="n"/>
      <c r="D11" s="261" t="n"/>
      <c r="E11" s="259" t="n"/>
      <c r="F11" s="484" t="n">
        <v>20</v>
      </c>
      <c r="G11" s="484" t="n">
        <v>20</v>
      </c>
      <c r="H11" s="484" t="n">
        <v>20</v>
      </c>
      <c r="I11" s="484" t="n">
        <v>20</v>
      </c>
      <c r="J11" s="484" t="n">
        <v>20</v>
      </c>
      <c r="K11" s="484" t="n">
        <v>20</v>
      </c>
      <c r="L11" s="484" t="n">
        <v>20</v>
      </c>
      <c r="M11" s="484" t="n">
        <v>20</v>
      </c>
      <c r="N11" s="484" t="n">
        <v>20</v>
      </c>
      <c r="O11" s="484" t="n">
        <v>20</v>
      </c>
      <c r="P11" s="484" t="n">
        <v>20</v>
      </c>
      <c r="Q11" s="484" t="n">
        <v>20</v>
      </c>
      <c r="R11" s="484" t="n">
        <v>20</v>
      </c>
      <c r="S11" s="484" t="n">
        <v>20</v>
      </c>
      <c r="T11" s="484" t="n">
        <v>20</v>
      </c>
      <c r="U11" s="484" t="n">
        <v>20</v>
      </c>
      <c r="V11" s="484" t="n">
        <v>20</v>
      </c>
      <c r="W11" s="484" t="n">
        <v>20</v>
      </c>
      <c r="X11" s="484" t="n">
        <v>20</v>
      </c>
      <c r="Y11" s="484" t="n">
        <v>20</v>
      </c>
      <c r="Z11" s="484" t="n">
        <v>20</v>
      </c>
      <c r="AA11" s="484" t="n">
        <v>20</v>
      </c>
      <c r="AB11" s="484" t="n">
        <v>20</v>
      </c>
      <c r="AC11" s="484" t="n">
        <v>20</v>
      </c>
      <c r="AD11" s="484" t="n">
        <v>20</v>
      </c>
      <c r="AE11" s="484" t="n">
        <v>20</v>
      </c>
      <c r="AF11" s="484" t="n">
        <v>20</v>
      </c>
      <c r="AG11" s="484" t="n">
        <v>20</v>
      </c>
      <c r="AH11" s="484" t="n">
        <v>20</v>
      </c>
      <c r="AI11" s="484" t="n">
        <v>20</v>
      </c>
      <c r="AJ11" s="484" t="n">
        <v>20</v>
      </c>
      <c r="AK11" s="484" t="n">
        <v>20</v>
      </c>
      <c r="AL11" s="484" t="n">
        <v>20</v>
      </c>
      <c r="AM11" s="484" t="n">
        <v>20</v>
      </c>
      <c r="AN11" s="484" t="n">
        <v>20</v>
      </c>
      <c r="AO11" s="484" t="n">
        <v>20</v>
      </c>
      <c r="AP11" s="484" t="n">
        <v>20</v>
      </c>
      <c r="AQ11" s="484" t="n">
        <v>20</v>
      </c>
      <c r="AR11" s="484" t="n">
        <v>20</v>
      </c>
      <c r="AS11" s="484" t="n">
        <v>20</v>
      </c>
      <c r="AT11" s="484" t="n">
        <v>20</v>
      </c>
      <c r="AU11" s="484" t="n">
        <v>20</v>
      </c>
      <c r="AV11" s="484" t="n">
        <v>20</v>
      </c>
      <c r="AW11" s="484" t="n">
        <v>20</v>
      </c>
      <c r="AX11" s="484" t="n">
        <v>20</v>
      </c>
      <c r="AY11" s="484" t="n">
        <v>20</v>
      </c>
      <c r="AZ11" s="484" t="n">
        <v>20</v>
      </c>
      <c r="BA11" s="484" t="n">
        <v>20</v>
      </c>
      <c r="BB11" s="484" t="n">
        <v>20</v>
      </c>
      <c r="BC11" s="484" t="n">
        <v>20</v>
      </c>
      <c r="BD11" s="484" t="n">
        <v>20</v>
      </c>
      <c r="BE11" s="484" t="n">
        <v>20</v>
      </c>
      <c r="BF11" s="484" t="n">
        <v>20</v>
      </c>
      <c r="BG11" s="484" t="n">
        <v>20</v>
      </c>
      <c r="BH11" s="484" t="n">
        <v>20</v>
      </c>
      <c r="BI11" s="484" t="n">
        <v>20</v>
      </c>
      <c r="BJ11" s="484" t="n">
        <v>20</v>
      </c>
      <c r="BK11" s="484" t="n">
        <v>20</v>
      </c>
      <c r="BL11" s="484" t="n">
        <v>20</v>
      </c>
      <c r="BM11" s="484" t="n">
        <v>20</v>
      </c>
      <c r="BN11" s="484" t="n">
        <v>20</v>
      </c>
      <c r="BO11" s="484" t="n">
        <v>20</v>
      </c>
      <c r="BP11" s="484" t="n">
        <v>20</v>
      </c>
      <c r="BQ11" s="484" t="n">
        <v>20</v>
      </c>
      <c r="BR11" s="484" t="n">
        <v>20</v>
      </c>
      <c r="BS11" s="484" t="n">
        <v>20</v>
      </c>
      <c r="BT11" s="484" t="n">
        <v>20</v>
      </c>
      <c r="BU11" s="484" t="n">
        <v>20</v>
      </c>
      <c r="BV11" s="484" t="n">
        <v>20</v>
      </c>
      <c r="BW11" s="484" t="n">
        <v>20</v>
      </c>
      <c r="BX11" s="484" t="n">
        <v>20</v>
      </c>
      <c r="BY11" s="484" t="n">
        <v>20</v>
      </c>
      <c r="BZ11" s="484" t="n">
        <v>20</v>
      </c>
      <c r="CA11" s="484" t="n">
        <v>20</v>
      </c>
      <c r="CB11" s="484" t="n">
        <v>20</v>
      </c>
      <c r="CC11" s="484" t="n">
        <v>20</v>
      </c>
      <c r="CD11" s="484" t="n">
        <v>20</v>
      </c>
      <c r="CE11" s="484" t="n">
        <v>20</v>
      </c>
      <c r="CF11" s="484" t="n">
        <v>20</v>
      </c>
      <c r="CG11" s="484" t="n">
        <v>20</v>
      </c>
      <c r="CH11" s="484" t="n">
        <v>20</v>
      </c>
      <c r="CI11" s="484" t="n">
        <v>20</v>
      </c>
      <c r="CJ11" s="484" t="n">
        <v>20</v>
      </c>
      <c r="CK11" s="484" t="n">
        <v>20</v>
      </c>
      <c r="CL11" s="484" t="n">
        <v>20</v>
      </c>
      <c r="CM11" s="484" t="n">
        <v>20</v>
      </c>
      <c r="CN11" s="484" t="n">
        <v>20</v>
      </c>
      <c r="CO11" s="484" t="n">
        <v>20</v>
      </c>
      <c r="CP11" s="484" t="n">
        <v>20</v>
      </c>
      <c r="CQ11" s="484" t="n">
        <v>20</v>
      </c>
      <c r="CR11" s="484" t="n">
        <v>20</v>
      </c>
      <c r="CS11" s="484" t="n">
        <v>20</v>
      </c>
      <c r="CT11" s="484" t="n">
        <v>20</v>
      </c>
      <c r="CU11" s="484" t="n">
        <v>20</v>
      </c>
      <c r="CV11" s="484" t="n">
        <v>20</v>
      </c>
      <c r="CW11" s="484" t="n">
        <v>20</v>
      </c>
      <c r="CX11" s="484" t="n">
        <v>20</v>
      </c>
      <c r="CY11" s="484" t="n">
        <v>20</v>
      </c>
      <c r="CZ11" s="484" t="n">
        <v>20</v>
      </c>
      <c r="DA11" s="484" t="n">
        <v>20</v>
      </c>
      <c r="DB11" s="484" t="n">
        <v>20</v>
      </c>
      <c r="DC11" s="484" t="n">
        <v>20</v>
      </c>
    </row>
    <row r="12" ht="12" customHeight="1" s="244">
      <c r="A12" s="261" t="n"/>
      <c r="B12" s="282" t="n"/>
      <c r="C12" s="482" t="n"/>
      <c r="D12" s="261" t="n"/>
      <c r="E12" s="259" t="n"/>
      <c r="F12" s="485" t="n">
        <v>21.86</v>
      </c>
      <c r="G12" s="485" t="n">
        <v>17.39</v>
      </c>
      <c r="H12" s="485" t="n">
        <v>21.86</v>
      </c>
      <c r="I12" s="485" t="n">
        <v>17.39</v>
      </c>
      <c r="J12" s="485" t="n">
        <v>21.86</v>
      </c>
      <c r="K12" s="485" t="n">
        <v>11.14</v>
      </c>
      <c r="L12" s="485" t="n">
        <v>4.54</v>
      </c>
      <c r="M12" s="485" t="n">
        <v>11.14</v>
      </c>
      <c r="N12" s="485" t="n">
        <v>2.85</v>
      </c>
      <c r="O12" s="485" t="n">
        <v>22.16</v>
      </c>
      <c r="P12" s="485" t="n">
        <v>17.74</v>
      </c>
      <c r="Q12" s="485" t="n">
        <v>22.16</v>
      </c>
      <c r="R12" s="485" t="n">
        <v>17.74</v>
      </c>
      <c r="S12" s="485" t="n">
        <v>22.16</v>
      </c>
      <c r="T12" s="485" t="n">
        <v>9.92</v>
      </c>
      <c r="U12" s="485" t="n">
        <v>5.24</v>
      </c>
      <c r="V12" s="485" t="n">
        <v>9.92</v>
      </c>
      <c r="W12" s="485" t="n">
        <v>3.43</v>
      </c>
      <c r="X12" s="485" t="n">
        <v>21.21</v>
      </c>
      <c r="Y12" s="485" t="n">
        <v>17.52</v>
      </c>
      <c r="Z12" s="485" t="n">
        <v>21.21</v>
      </c>
      <c r="AA12" s="485" t="n">
        <v>17.52</v>
      </c>
      <c r="AB12" s="485" t="n">
        <v>21.21</v>
      </c>
      <c r="AC12" s="485" t="n">
        <v>12.41</v>
      </c>
      <c r="AD12" s="485" t="n">
        <v>4.55</v>
      </c>
      <c r="AE12" s="485" t="n">
        <v>2.85</v>
      </c>
      <c r="AF12" s="485" t="n">
        <v>12.41</v>
      </c>
      <c r="AG12" s="485" t="n">
        <v>13.6</v>
      </c>
      <c r="AH12" s="485" t="n">
        <v>2.02</v>
      </c>
      <c r="AI12" s="485" t="n">
        <v>13.6</v>
      </c>
      <c r="AJ12" s="485" t="n">
        <v>11.66</v>
      </c>
      <c r="AK12" s="485" t="n">
        <v>11.66</v>
      </c>
      <c r="AL12" s="485" t="n">
        <v>11.66</v>
      </c>
      <c r="AM12" s="485" t="n">
        <v>13.46</v>
      </c>
      <c r="AN12" s="485" t="n">
        <v>2</v>
      </c>
      <c r="AO12" s="485" t="n">
        <v>13.46</v>
      </c>
      <c r="AP12" s="485" t="n">
        <v>11.76</v>
      </c>
      <c r="AQ12" s="485" t="n">
        <v>11.76</v>
      </c>
      <c r="AR12" s="485" t="n">
        <v>11.76</v>
      </c>
      <c r="AS12" s="485" t="n">
        <v>13.12</v>
      </c>
      <c r="AT12" s="485" t="n">
        <v>2.09</v>
      </c>
      <c r="AU12" s="485" t="n">
        <v>13.12</v>
      </c>
      <c r="AV12" s="485" t="n">
        <v>11.76</v>
      </c>
      <c r="AW12" s="485" t="n">
        <v>11.76</v>
      </c>
      <c r="AX12" s="485" t="n">
        <v>11.76</v>
      </c>
      <c r="AY12" s="485" t="n">
        <v>14.18</v>
      </c>
      <c r="AZ12" s="485" t="n">
        <v>14.18</v>
      </c>
      <c r="BA12" s="485" t="n">
        <v>1.61</v>
      </c>
      <c r="BB12" s="485" t="n">
        <v>12.65</v>
      </c>
      <c r="BC12" s="485" t="n">
        <v>1.61</v>
      </c>
      <c r="BD12" s="485" t="n">
        <v>12.65</v>
      </c>
      <c r="BE12" s="485" t="n">
        <v>16.83</v>
      </c>
      <c r="BF12" s="485" t="n">
        <v>16.83</v>
      </c>
      <c r="BG12" s="485" t="n">
        <v>14.54</v>
      </c>
      <c r="BH12" s="485" t="n">
        <v>2.11</v>
      </c>
      <c r="BI12" s="485" t="n">
        <v>14.54</v>
      </c>
      <c r="BJ12" s="485" t="n">
        <v>14.54</v>
      </c>
      <c r="BK12" s="485" t="n">
        <v>16.28</v>
      </c>
      <c r="BL12" s="485" t="n">
        <v>16.28</v>
      </c>
      <c r="BM12" s="485" t="n">
        <v>2.36</v>
      </c>
      <c r="BN12" s="485" t="n">
        <v>10.87</v>
      </c>
      <c r="BO12" s="485" t="n">
        <v>1.84</v>
      </c>
      <c r="BP12" s="485" t="n">
        <v>10.87</v>
      </c>
      <c r="BQ12" s="485" t="n">
        <v>12.26</v>
      </c>
      <c r="BR12" s="485" t="n">
        <v>1.63</v>
      </c>
      <c r="BS12" s="485" t="n">
        <v>12.26</v>
      </c>
      <c r="BT12" s="485" t="n">
        <v>2.04</v>
      </c>
      <c r="BU12" s="485" t="n">
        <v>26.18</v>
      </c>
      <c r="BV12" s="485" t="n">
        <v>26.18</v>
      </c>
      <c r="BW12" s="485" t="n">
        <v>26.18</v>
      </c>
      <c r="BX12" s="485" t="n">
        <v>26.18</v>
      </c>
      <c r="BY12" s="485" t="n">
        <v>13.14</v>
      </c>
      <c r="BZ12" s="485" t="n">
        <v>13.14</v>
      </c>
      <c r="CA12" s="485" t="n">
        <v>2.04</v>
      </c>
      <c r="CB12" s="485" t="n">
        <v>13.14</v>
      </c>
      <c r="CC12" s="485" t="n">
        <v>14.04</v>
      </c>
      <c r="CD12" s="485" t="n">
        <v>14.04</v>
      </c>
      <c r="CE12" s="485" t="n">
        <v>16.74</v>
      </c>
      <c r="CF12" s="485" t="n">
        <v>16.74</v>
      </c>
      <c r="CG12" s="485" t="n">
        <v>16.74</v>
      </c>
      <c r="CH12" s="485" t="n">
        <v>1.63</v>
      </c>
      <c r="CI12" s="485" t="n">
        <v>2.09</v>
      </c>
      <c r="CJ12" s="485" t="n">
        <v>13.38</v>
      </c>
      <c r="CK12" s="485" t="n">
        <v>13.38</v>
      </c>
      <c r="CL12" s="485" t="n">
        <v>3.19</v>
      </c>
      <c r="CM12" s="485" t="n">
        <v>3.32</v>
      </c>
      <c r="CN12" s="485" t="n">
        <v>11.8</v>
      </c>
      <c r="CO12" s="485" t="n">
        <v>7.02</v>
      </c>
      <c r="CP12" s="485" t="n">
        <v>35.89</v>
      </c>
      <c r="CQ12" s="485" t="n">
        <v>35.89</v>
      </c>
      <c r="CR12" s="485" t="n">
        <v>35.89</v>
      </c>
      <c r="CS12" s="485" t="n">
        <v>35.89</v>
      </c>
      <c r="CT12" s="485" t="n">
        <v>11.12</v>
      </c>
      <c r="CU12" s="485" t="n">
        <v>8.92</v>
      </c>
      <c r="CV12" s="485" t="n">
        <v>8.92</v>
      </c>
      <c r="CW12" s="485" t="n">
        <v>2.32</v>
      </c>
      <c r="CX12" s="485" t="n">
        <v>11.12</v>
      </c>
      <c r="CY12" s="485" t="n">
        <v>2.94</v>
      </c>
      <c r="CZ12" s="485" t="n">
        <v>40.72</v>
      </c>
      <c r="DA12" s="485" t="n">
        <v>40.72</v>
      </c>
      <c r="DB12" s="485" t="n">
        <v>40.72</v>
      </c>
      <c r="DC12" s="485" t="n">
        <v>40.72</v>
      </c>
    </row>
    <row r="13" ht="12" customHeight="1" s="244">
      <c r="A13" s="261" t="n"/>
      <c r="B13" s="282" t="n"/>
      <c r="C13" s="482" t="n"/>
      <c r="D13" s="261" t="n"/>
      <c r="E13" s="259" t="n"/>
      <c r="F13" s="486" t="n">
        <v>1995.8</v>
      </c>
      <c r="G13" s="486" t="n">
        <v>2411.5</v>
      </c>
      <c r="H13" s="486" t="n">
        <v>1616.7</v>
      </c>
      <c r="I13" s="486" t="n">
        <v>1940.8</v>
      </c>
      <c r="J13" s="486" t="n">
        <v>1431.2</v>
      </c>
      <c r="K13" s="486" t="n">
        <v>1383.6</v>
      </c>
      <c r="L13" s="486" t="n">
        <v>1223.3</v>
      </c>
      <c r="M13" s="486" t="n">
        <v>1038.4</v>
      </c>
      <c r="N13" s="486" t="n">
        <v>636.3</v>
      </c>
      <c r="O13" s="486" t="n">
        <v>1995.8</v>
      </c>
      <c r="P13" s="486" t="n">
        <v>2184</v>
      </c>
      <c r="Q13" s="486" t="n">
        <v>1616.7</v>
      </c>
      <c r="R13" s="486" t="n">
        <v>1940.8</v>
      </c>
      <c r="S13" s="486" t="n">
        <v>1431.2</v>
      </c>
      <c r="T13" s="486" t="n">
        <v>1237.1</v>
      </c>
      <c r="U13" s="486" t="n">
        <v>1223.3</v>
      </c>
      <c r="V13" s="486" t="n">
        <v>1038.4</v>
      </c>
      <c r="W13" s="486" t="n">
        <v>636.3</v>
      </c>
      <c r="X13" s="486" t="n">
        <v>1995.8</v>
      </c>
      <c r="Y13" s="486" t="n">
        <v>2184</v>
      </c>
      <c r="Z13" s="486" t="n">
        <v>1616.7</v>
      </c>
      <c r="AA13" s="486" t="n">
        <v>1940.8</v>
      </c>
      <c r="AB13" s="486" t="n">
        <v>1431.2</v>
      </c>
      <c r="AC13" s="486" t="n">
        <v>1815.1</v>
      </c>
      <c r="AD13" s="486" t="n">
        <v>1223.3</v>
      </c>
      <c r="AE13" s="486" t="n">
        <v>636.3</v>
      </c>
      <c r="AF13" s="486" t="n">
        <v>1349.3</v>
      </c>
      <c r="AG13" s="486" t="n">
        <v>2344.6</v>
      </c>
      <c r="AH13" s="486" t="n">
        <v>554.7</v>
      </c>
      <c r="AI13" s="486" t="n">
        <v>1107.6</v>
      </c>
      <c r="AJ13" s="486" t="n">
        <v>886.8</v>
      </c>
      <c r="AK13" s="486" t="n">
        <v>1550.9</v>
      </c>
      <c r="AL13" s="486" t="n">
        <v>1751.5</v>
      </c>
      <c r="AM13" s="486" t="n">
        <v>2344.6</v>
      </c>
      <c r="AN13" s="486" t="n">
        <v>554.7</v>
      </c>
      <c r="AO13" s="486" t="n">
        <v>1107.6</v>
      </c>
      <c r="AP13" s="486" t="n">
        <v>886.8</v>
      </c>
      <c r="AQ13" s="486" t="n">
        <v>1550.9</v>
      </c>
      <c r="AR13" s="486" t="n">
        <v>1751.5</v>
      </c>
      <c r="AS13" s="486" t="n">
        <v>2344.6</v>
      </c>
      <c r="AT13" s="486" t="n">
        <v>554.7</v>
      </c>
      <c r="AU13" s="486" t="n">
        <v>1107.6</v>
      </c>
      <c r="AV13" s="486" t="n">
        <v>886.8</v>
      </c>
      <c r="AW13" s="486" t="n">
        <v>1550.9</v>
      </c>
      <c r="AX13" s="486" t="n">
        <v>1751.5</v>
      </c>
      <c r="AY13" s="486" t="n">
        <v>1881</v>
      </c>
      <c r="AZ13" s="486" t="n">
        <v>1728.1</v>
      </c>
      <c r="BA13" s="486" t="n">
        <v>739.2</v>
      </c>
      <c r="BB13" s="486" t="n">
        <v>994.6</v>
      </c>
      <c r="BC13" s="486" t="n">
        <v>442.2</v>
      </c>
      <c r="BD13" s="486" t="n">
        <v>1936.4</v>
      </c>
      <c r="BE13" s="486" t="n">
        <v>2246.4</v>
      </c>
      <c r="BF13" s="486" t="n">
        <v>1957.3</v>
      </c>
      <c r="BG13" s="486" t="n">
        <v>1314.9</v>
      </c>
      <c r="BH13" s="486" t="n">
        <v>739.2</v>
      </c>
      <c r="BI13" s="486" t="n">
        <v>442.2</v>
      </c>
      <c r="BJ13" s="486" t="n">
        <v>1813.6</v>
      </c>
      <c r="BK13" s="486" t="n">
        <v>2165.1</v>
      </c>
      <c r="BL13" s="486" t="n">
        <v>1959.1</v>
      </c>
      <c r="BM13" s="486" t="n">
        <v>796</v>
      </c>
      <c r="BN13" s="486" t="n">
        <v>842.8</v>
      </c>
      <c r="BO13" s="486" t="n">
        <v>462.6</v>
      </c>
      <c r="BP13" s="486" t="n">
        <v>1837.1</v>
      </c>
      <c r="BQ13" s="486" t="n">
        <v>1908.6</v>
      </c>
      <c r="BR13" s="486" t="n">
        <v>443.2</v>
      </c>
      <c r="BS13" s="486" t="n">
        <v>837.1</v>
      </c>
      <c r="BT13" s="486" t="n">
        <v>739.2</v>
      </c>
      <c r="BU13" s="486" t="n">
        <v>1449.7</v>
      </c>
      <c r="BV13" s="486" t="n">
        <v>1697.5</v>
      </c>
      <c r="BW13" s="486" t="n">
        <v>1946.3</v>
      </c>
      <c r="BX13" s="486" t="n">
        <v>1085.8</v>
      </c>
      <c r="BY13" s="486" t="n">
        <v>2056.6</v>
      </c>
      <c r="BZ13" s="486" t="n">
        <v>1069.5</v>
      </c>
      <c r="CA13" s="486" t="n">
        <v>650.1</v>
      </c>
      <c r="CB13" s="486" t="n">
        <v>738.6</v>
      </c>
      <c r="CC13" s="486" t="n">
        <v>1242</v>
      </c>
      <c r="CD13" s="486" t="n">
        <v>1899.3</v>
      </c>
      <c r="CE13" s="486" t="n">
        <v>1731.9</v>
      </c>
      <c r="CF13" s="486" t="n">
        <v>1346.1</v>
      </c>
      <c r="CG13" s="486" t="n">
        <v>963.9</v>
      </c>
      <c r="CH13" s="486" t="n">
        <v>448.2</v>
      </c>
      <c r="CI13" s="486" t="n">
        <v>739.2</v>
      </c>
      <c r="CJ13" s="486" t="n">
        <v>1399.4</v>
      </c>
      <c r="CK13" s="486" t="n">
        <v>1698.4</v>
      </c>
      <c r="CL13" s="486" t="n">
        <v>809.1</v>
      </c>
      <c r="CM13" s="486" t="n">
        <v>973.8</v>
      </c>
      <c r="CN13" s="486" t="n">
        <v>2297.8</v>
      </c>
      <c r="CO13" s="486" t="n">
        <v>1893.6</v>
      </c>
      <c r="CP13" s="486" t="n">
        <v>1641.3</v>
      </c>
      <c r="CQ13" s="486" t="n">
        <v>1893.5</v>
      </c>
      <c r="CR13" s="486" t="n">
        <v>2430.8</v>
      </c>
      <c r="CS13" s="486" t="n">
        <v>2158.4</v>
      </c>
      <c r="CT13" s="486" t="n">
        <v>1043.3</v>
      </c>
      <c r="CU13" s="486" t="n">
        <v>1460.9</v>
      </c>
      <c r="CV13" s="486" t="n">
        <v>1730</v>
      </c>
      <c r="CW13" s="486" t="n">
        <v>598.9</v>
      </c>
      <c r="CX13" s="486" t="n">
        <v>1580.2</v>
      </c>
      <c r="CY13" s="486" t="n">
        <v>895.2</v>
      </c>
      <c r="CZ13" s="486" t="n">
        <v>2377.5</v>
      </c>
      <c r="DA13" s="486" t="n">
        <v>2582</v>
      </c>
      <c r="DB13" s="486" t="n">
        <v>2476.1</v>
      </c>
      <c r="DC13" s="486" t="n">
        <v>2272.6</v>
      </c>
    </row>
    <row r="14" ht="12" customHeight="1" s="244">
      <c r="A14" s="261" t="n"/>
      <c r="B14" s="282" t="n"/>
      <c r="C14" s="482" t="n"/>
      <c r="D14" s="261" t="n"/>
      <c r="E14" s="259" t="n"/>
      <c r="F14" s="487">
        <f>F13/F12</f>
        <v/>
      </c>
      <c r="G14" s="487">
        <f>G13/G12</f>
        <v/>
      </c>
      <c r="H14" s="487">
        <f>H13/H12</f>
        <v/>
      </c>
      <c r="I14" s="487">
        <f>I13/I12</f>
        <v/>
      </c>
      <c r="J14" s="487">
        <f>J13/J12</f>
        <v/>
      </c>
      <c r="K14" s="487">
        <f>K13/K12</f>
        <v/>
      </c>
      <c r="L14" s="487">
        <f>L13/L12</f>
        <v/>
      </c>
      <c r="M14" s="487">
        <f>M13/M12</f>
        <v/>
      </c>
      <c r="N14" s="487">
        <f>N13/N12</f>
        <v/>
      </c>
      <c r="O14" s="487">
        <f>O13/O12</f>
        <v/>
      </c>
      <c r="P14" s="487">
        <f>P13/P12</f>
        <v/>
      </c>
      <c r="Q14" s="487">
        <f>Q13/Q12</f>
        <v/>
      </c>
      <c r="R14" s="487">
        <f>R13/R12</f>
        <v/>
      </c>
      <c r="S14" s="487">
        <f>S13/S12</f>
        <v/>
      </c>
      <c r="T14" s="487">
        <f>T13/T12</f>
        <v/>
      </c>
      <c r="U14" s="487">
        <f>U13/U12</f>
        <v/>
      </c>
      <c r="V14" s="487">
        <f>V13/V12</f>
        <v/>
      </c>
      <c r="W14" s="487">
        <f>W13/W12</f>
        <v/>
      </c>
      <c r="X14" s="487">
        <f>X13/X12</f>
        <v/>
      </c>
      <c r="Y14" s="487">
        <f>Y13/Y12</f>
        <v/>
      </c>
      <c r="Z14" s="487">
        <f>Z13/Z12</f>
        <v/>
      </c>
      <c r="AA14" s="487">
        <f>AA13/AA12</f>
        <v/>
      </c>
      <c r="AB14" s="487">
        <f>AB13/AB12</f>
        <v/>
      </c>
      <c r="AC14" s="487">
        <f>AC13/AC12</f>
        <v/>
      </c>
      <c r="AD14" s="487">
        <f>AD13/AD12</f>
        <v/>
      </c>
      <c r="AE14" s="487">
        <f>AE13/AE12</f>
        <v/>
      </c>
      <c r="AF14" s="487">
        <f>AF13/AF12</f>
        <v/>
      </c>
      <c r="AG14" s="487">
        <f>AG13/AG12</f>
        <v/>
      </c>
      <c r="AH14" s="487">
        <f>AH13/AH12</f>
        <v/>
      </c>
      <c r="AI14" s="487">
        <f>AI13/AI12</f>
        <v/>
      </c>
      <c r="AJ14" s="487">
        <f>AJ13/AJ12</f>
        <v/>
      </c>
      <c r="AK14" s="487">
        <f>AK13/AK12</f>
        <v/>
      </c>
      <c r="AL14" s="487">
        <f>AL13/AL12</f>
        <v/>
      </c>
      <c r="AM14" s="487">
        <f>AM13/AM12</f>
        <v/>
      </c>
      <c r="AN14" s="487">
        <f>AN13/AN12</f>
        <v/>
      </c>
      <c r="AO14" s="487">
        <f>AO13/AO12</f>
        <v/>
      </c>
      <c r="AP14" s="487">
        <f>AP13/AP12</f>
        <v/>
      </c>
      <c r="AQ14" s="487">
        <f>AQ13/AQ12</f>
        <v/>
      </c>
      <c r="AR14" s="487">
        <f>AR13/AR12</f>
        <v/>
      </c>
      <c r="AS14" s="487">
        <f>AS13/AS12</f>
        <v/>
      </c>
      <c r="AT14" s="487">
        <f>AT13/AT12</f>
        <v/>
      </c>
      <c r="AU14" s="487">
        <f>AU13/AU12</f>
        <v/>
      </c>
      <c r="AV14" s="487">
        <f>AV13/AV12</f>
        <v/>
      </c>
      <c r="AW14" s="487">
        <f>AW13/AW12</f>
        <v/>
      </c>
      <c r="AX14" s="487">
        <f>AX13/AX12</f>
        <v/>
      </c>
      <c r="AY14" s="487">
        <f>AY13/AY12</f>
        <v/>
      </c>
      <c r="AZ14" s="487">
        <f>AZ13/AZ12</f>
        <v/>
      </c>
      <c r="BA14" s="487">
        <f>BA13/BA12</f>
        <v/>
      </c>
      <c r="BB14" s="487">
        <f>BB13/BB12</f>
        <v/>
      </c>
      <c r="BC14" s="487">
        <f>BC13/BC12</f>
        <v/>
      </c>
      <c r="BD14" s="487">
        <f>BD13/BD12</f>
        <v/>
      </c>
      <c r="BE14" s="487">
        <f>BE13/BE12</f>
        <v/>
      </c>
      <c r="BF14" s="487">
        <f>BF13/BF12</f>
        <v/>
      </c>
      <c r="BG14" s="487">
        <f>BG13/BG12</f>
        <v/>
      </c>
      <c r="BH14" s="487">
        <f>BH13/BH12</f>
        <v/>
      </c>
      <c r="BI14" s="487">
        <f>BI13/BI12</f>
        <v/>
      </c>
      <c r="BJ14" s="487">
        <f>BJ13/BJ12</f>
        <v/>
      </c>
      <c r="BK14" s="487">
        <f>BK13/BK12</f>
        <v/>
      </c>
      <c r="BL14" s="487">
        <f>BL13/BL12</f>
        <v/>
      </c>
      <c r="BM14" s="487">
        <f>BM13/BM12</f>
        <v/>
      </c>
      <c r="BN14" s="487">
        <f>BN13/BN12</f>
        <v/>
      </c>
      <c r="BO14" s="487">
        <f>BO13/BO12</f>
        <v/>
      </c>
      <c r="BP14" s="487">
        <f>BP13/BP12</f>
        <v/>
      </c>
      <c r="BQ14" s="487">
        <f>BQ13/BQ12</f>
        <v/>
      </c>
      <c r="BR14" s="487">
        <f>BR13/BR12</f>
        <v/>
      </c>
      <c r="BS14" s="487">
        <f>BS13/BS12</f>
        <v/>
      </c>
      <c r="BT14" s="487">
        <f>BT13/BT12</f>
        <v/>
      </c>
      <c r="BU14" s="487">
        <f>BU13/BU12</f>
        <v/>
      </c>
      <c r="BV14" s="487">
        <f>BV13/BV12</f>
        <v/>
      </c>
      <c r="BW14" s="487">
        <f>BW13/BW12</f>
        <v/>
      </c>
      <c r="BX14" s="487">
        <f>BX13/BX12</f>
        <v/>
      </c>
      <c r="BY14" s="487">
        <f>BY13/BY12</f>
        <v/>
      </c>
      <c r="BZ14" s="487">
        <f>BZ13/BZ12</f>
        <v/>
      </c>
      <c r="CA14" s="487">
        <f>CA13/CA12</f>
        <v/>
      </c>
      <c r="CB14" s="487">
        <f>CB13/CB12</f>
        <v/>
      </c>
      <c r="CC14" s="487">
        <f>CC13/CC12</f>
        <v/>
      </c>
      <c r="CD14" s="487">
        <f>CD13/CD12</f>
        <v/>
      </c>
      <c r="CE14" s="487">
        <f>CE13/CE12</f>
        <v/>
      </c>
      <c r="CF14" s="487">
        <f>CF13/CF12</f>
        <v/>
      </c>
      <c r="CG14" s="487">
        <f>CG13/CG12</f>
        <v/>
      </c>
      <c r="CH14" s="487">
        <f>CH13/CH12</f>
        <v/>
      </c>
      <c r="CI14" s="487">
        <f>CI13/CI12</f>
        <v/>
      </c>
      <c r="CJ14" s="487">
        <f>CJ13/CJ12</f>
        <v/>
      </c>
      <c r="CK14" s="487">
        <f>CK13/CK12</f>
        <v/>
      </c>
      <c r="CL14" s="487">
        <f>CL13/CL12</f>
        <v/>
      </c>
      <c r="CM14" s="487">
        <f>CM13/CM12</f>
        <v/>
      </c>
      <c r="CN14" s="487">
        <f>CN13/CN12</f>
        <v/>
      </c>
      <c r="CO14" s="487">
        <f>CO13/CO12</f>
        <v/>
      </c>
      <c r="CP14" s="487">
        <f>CP13/CP12</f>
        <v/>
      </c>
      <c r="CQ14" s="487">
        <f>CQ13/CQ12</f>
        <v/>
      </c>
      <c r="CR14" s="487">
        <f>CR13/CR12</f>
        <v/>
      </c>
      <c r="CS14" s="487">
        <f>CS13/CS12</f>
        <v/>
      </c>
      <c r="CT14" s="487">
        <f>CT13/CT12</f>
        <v/>
      </c>
      <c r="CU14" s="487">
        <f>CU13/CU12</f>
        <v/>
      </c>
      <c r="CV14" s="487">
        <f>CV13/CV12</f>
        <v/>
      </c>
      <c r="CW14" s="487">
        <f>CW13/CW12</f>
        <v/>
      </c>
      <c r="CX14" s="487">
        <f>CX13/CX12</f>
        <v/>
      </c>
      <c r="CY14" s="487">
        <f>CY13/CY12</f>
        <v/>
      </c>
      <c r="CZ14" s="487">
        <f>CZ13/CZ12</f>
        <v/>
      </c>
      <c r="DA14" s="487">
        <f>DA13/DA12</f>
        <v/>
      </c>
      <c r="DB14" s="487">
        <f>DB13/DB12</f>
        <v/>
      </c>
      <c r="DC14" s="487">
        <f>DC13/DC12</f>
        <v/>
      </c>
    </row>
    <row r="15" ht="12" customHeight="1" s="244">
      <c r="A15" s="261" t="n"/>
      <c r="B15" s="282" t="n"/>
      <c r="C15" s="482" t="n"/>
      <c r="D15" s="261" t="n"/>
      <c r="E15" s="259" t="n"/>
      <c r="F15" s="484" t="n">
        <v>0.012</v>
      </c>
      <c r="G15" s="484" t="n">
        <v>0.012</v>
      </c>
      <c r="H15" s="484" t="n">
        <v>0.012</v>
      </c>
      <c r="I15" s="484" t="n">
        <v>0.012</v>
      </c>
      <c r="J15" s="484" t="n">
        <v>0.012</v>
      </c>
      <c r="K15" s="484" t="n">
        <v>0.012</v>
      </c>
      <c r="L15" s="484" t="n">
        <v>0.012</v>
      </c>
      <c r="M15" s="484" t="n">
        <v>0.012</v>
      </c>
      <c r="N15" s="484" t="n">
        <v>0.012</v>
      </c>
      <c r="O15" s="484" t="n">
        <v>0.012</v>
      </c>
      <c r="P15" s="484" t="n">
        <v>0.012</v>
      </c>
      <c r="Q15" s="484" t="n">
        <v>0.012</v>
      </c>
      <c r="R15" s="484" t="n">
        <v>0.012</v>
      </c>
      <c r="S15" s="484" t="n">
        <v>0.012</v>
      </c>
      <c r="T15" s="484" t="n">
        <v>0.012</v>
      </c>
      <c r="U15" s="484" t="n">
        <v>0.012</v>
      </c>
      <c r="V15" s="484" t="n">
        <v>0.012</v>
      </c>
      <c r="W15" s="484" t="n">
        <v>0.012</v>
      </c>
      <c r="X15" s="484" t="n">
        <v>0.012</v>
      </c>
      <c r="Y15" s="484" t="n">
        <v>0.012</v>
      </c>
      <c r="Z15" s="484" t="n">
        <v>0.012</v>
      </c>
      <c r="AA15" s="484" t="n">
        <v>0.012</v>
      </c>
      <c r="AB15" s="484" t="n">
        <v>0.012</v>
      </c>
      <c r="AC15" s="484" t="n">
        <v>0.012</v>
      </c>
      <c r="AD15" s="484" t="n">
        <v>0.012</v>
      </c>
      <c r="AE15" s="484" t="n">
        <v>0.012</v>
      </c>
      <c r="AF15" s="484" t="n">
        <v>0.012</v>
      </c>
      <c r="AG15" s="484" t="n">
        <v>0.012</v>
      </c>
      <c r="AH15" s="484" t="n">
        <v>0.012</v>
      </c>
      <c r="AI15" s="484" t="n">
        <v>0.012</v>
      </c>
      <c r="AJ15" s="484" t="n">
        <v>0.012</v>
      </c>
      <c r="AK15" s="484" t="n">
        <v>0.012</v>
      </c>
      <c r="AL15" s="484" t="n">
        <v>0.012</v>
      </c>
      <c r="AM15" s="484" t="n">
        <v>0.012</v>
      </c>
      <c r="AN15" s="484" t="n">
        <v>0.012</v>
      </c>
      <c r="AO15" s="484" t="n">
        <v>0.012</v>
      </c>
      <c r="AP15" s="484" t="n">
        <v>0.012</v>
      </c>
      <c r="AQ15" s="484" t="n">
        <v>0.012</v>
      </c>
      <c r="AR15" s="484" t="n">
        <v>0.012</v>
      </c>
      <c r="AS15" s="484" t="n">
        <v>0.012</v>
      </c>
      <c r="AT15" s="484" t="n">
        <v>0.012</v>
      </c>
      <c r="AU15" s="484" t="n">
        <v>0.012</v>
      </c>
      <c r="AV15" s="484" t="n">
        <v>0.012</v>
      </c>
      <c r="AW15" s="484" t="n">
        <v>0.012</v>
      </c>
      <c r="AX15" s="484" t="n">
        <v>0.012</v>
      </c>
      <c r="AY15" s="484" t="n">
        <v>0.012</v>
      </c>
      <c r="AZ15" s="484" t="n">
        <v>0.012</v>
      </c>
      <c r="BA15" s="484" t="n">
        <v>0.012</v>
      </c>
      <c r="BB15" s="484" t="n">
        <v>0.012</v>
      </c>
      <c r="BC15" s="484" t="n">
        <v>0.012</v>
      </c>
      <c r="BD15" s="484" t="n">
        <v>0.012</v>
      </c>
      <c r="BE15" s="484" t="n">
        <v>0.012</v>
      </c>
      <c r="BF15" s="484" t="n">
        <v>0.012</v>
      </c>
      <c r="BG15" s="484" t="n">
        <v>0.012</v>
      </c>
      <c r="BH15" s="484" t="n">
        <v>0.012</v>
      </c>
      <c r="BI15" s="484" t="n">
        <v>0.012</v>
      </c>
      <c r="BJ15" s="484" t="n">
        <v>0.012</v>
      </c>
      <c r="BK15" s="484" t="n">
        <v>0.012</v>
      </c>
      <c r="BL15" s="484" t="n">
        <v>0.012</v>
      </c>
      <c r="BM15" s="484" t="n">
        <v>0.012</v>
      </c>
      <c r="BN15" s="484" t="n">
        <v>0.012</v>
      </c>
      <c r="BO15" s="484" t="n">
        <v>0.012</v>
      </c>
      <c r="BP15" s="484" t="n">
        <v>0.012</v>
      </c>
      <c r="BQ15" s="484" t="n">
        <v>0.012</v>
      </c>
      <c r="BR15" s="484" t="n">
        <v>0.012</v>
      </c>
      <c r="BS15" s="484" t="n">
        <v>0.012</v>
      </c>
      <c r="BT15" s="484" t="n">
        <v>0.012</v>
      </c>
      <c r="BU15" s="484" t="n">
        <v>0.012</v>
      </c>
      <c r="BV15" s="484" t="n">
        <v>0.012</v>
      </c>
      <c r="BW15" s="484" t="n">
        <v>0.012</v>
      </c>
      <c r="BX15" s="484" t="n">
        <v>0.012</v>
      </c>
      <c r="BY15" s="484" t="n">
        <v>0.012</v>
      </c>
      <c r="BZ15" s="484" t="n">
        <v>0.012</v>
      </c>
      <c r="CA15" s="484" t="n">
        <v>0.012</v>
      </c>
      <c r="CB15" s="484" t="n">
        <v>0.012</v>
      </c>
      <c r="CC15" s="484" t="n">
        <v>0.012</v>
      </c>
      <c r="CD15" s="484" t="n">
        <v>0.012</v>
      </c>
      <c r="CE15" s="484" t="n">
        <v>0.012</v>
      </c>
      <c r="CF15" s="484" t="n">
        <v>0.012</v>
      </c>
      <c r="CG15" s="484" t="n">
        <v>0.012</v>
      </c>
      <c r="CH15" s="484" t="n">
        <v>0.012</v>
      </c>
      <c r="CI15" s="484" t="n">
        <v>0.012</v>
      </c>
      <c r="CJ15" s="484" t="n">
        <v>0.012</v>
      </c>
      <c r="CK15" s="484" t="n">
        <v>0.012</v>
      </c>
      <c r="CL15" s="484" t="n">
        <v>0.012</v>
      </c>
      <c r="CM15" s="484" t="n">
        <v>0.012</v>
      </c>
      <c r="CN15" s="484" t="n">
        <v>0.012</v>
      </c>
      <c r="CO15" s="484" t="n">
        <v>0.012</v>
      </c>
      <c r="CP15" s="484" t="n">
        <v>0.012</v>
      </c>
      <c r="CQ15" s="484" t="n">
        <v>0.012</v>
      </c>
      <c r="CR15" s="484" t="n">
        <v>0.012</v>
      </c>
      <c r="CS15" s="484" t="n">
        <v>0.012</v>
      </c>
      <c r="CT15" s="484" t="n">
        <v>0.012</v>
      </c>
      <c r="CU15" s="484" t="n">
        <v>0.012</v>
      </c>
      <c r="CV15" s="484" t="n">
        <v>0.012</v>
      </c>
      <c r="CW15" s="484" t="n">
        <v>0.012</v>
      </c>
      <c r="CX15" s="484" t="n">
        <v>0.012</v>
      </c>
      <c r="CY15" s="484" t="n">
        <v>0.012</v>
      </c>
      <c r="CZ15" s="484" t="n">
        <v>0.012</v>
      </c>
      <c r="DA15" s="484" t="n">
        <v>0.012</v>
      </c>
      <c r="DB15" s="484" t="n">
        <v>0.012</v>
      </c>
      <c r="DC15" s="484" t="n">
        <v>0.012</v>
      </c>
    </row>
    <row r="16" ht="12" customHeight="1" s="244">
      <c r="A16" s="261" t="n"/>
      <c r="B16" s="282" t="n"/>
      <c r="C16" s="482" t="n"/>
      <c r="D16" s="261" t="n"/>
      <c r="E16" s="259" t="n"/>
      <c r="F16" s="485" t="n">
        <v>1</v>
      </c>
      <c r="G16" s="485" t="n">
        <v>1</v>
      </c>
      <c r="H16" s="485" t="n">
        <v>1</v>
      </c>
      <c r="I16" s="485" t="n">
        <v>1</v>
      </c>
      <c r="J16" s="485" t="n">
        <v>1</v>
      </c>
      <c r="K16" s="485" t="n">
        <v>1</v>
      </c>
      <c r="L16" s="485" t="n">
        <v>1</v>
      </c>
      <c r="M16" s="485" t="n">
        <v>1</v>
      </c>
      <c r="N16" s="485" t="n">
        <v>1</v>
      </c>
      <c r="O16" s="485" t="n">
        <v>1</v>
      </c>
      <c r="P16" s="485" t="n">
        <v>1</v>
      </c>
      <c r="Q16" s="485" t="n">
        <v>1</v>
      </c>
      <c r="R16" s="485" t="n">
        <v>1</v>
      </c>
      <c r="S16" s="485" t="n">
        <v>1</v>
      </c>
      <c r="T16" s="485" t="n">
        <v>1</v>
      </c>
      <c r="U16" s="485" t="n">
        <v>1</v>
      </c>
      <c r="V16" s="485" t="n">
        <v>1</v>
      </c>
      <c r="W16" s="485" t="n">
        <v>1</v>
      </c>
      <c r="X16" s="485" t="n">
        <v>1</v>
      </c>
      <c r="Y16" s="485" t="n">
        <v>1</v>
      </c>
      <c r="Z16" s="485" t="n">
        <v>1</v>
      </c>
      <c r="AA16" s="485" t="n">
        <v>1</v>
      </c>
      <c r="AB16" s="485" t="n">
        <v>1</v>
      </c>
      <c r="AC16" s="485" t="n">
        <v>1</v>
      </c>
      <c r="AD16" s="485" t="n">
        <v>1</v>
      </c>
      <c r="AE16" s="485" t="n">
        <v>1</v>
      </c>
      <c r="AF16" s="485" t="n">
        <v>1</v>
      </c>
      <c r="AG16" s="485" t="n">
        <v>1</v>
      </c>
      <c r="AH16" s="485" t="n">
        <v>1</v>
      </c>
      <c r="AI16" s="485" t="n">
        <v>1</v>
      </c>
      <c r="AJ16" s="485" t="n">
        <v>1</v>
      </c>
      <c r="AK16" s="485" t="n">
        <v>1</v>
      </c>
      <c r="AL16" s="485" t="n">
        <v>1</v>
      </c>
      <c r="AM16" s="485" t="n">
        <v>1</v>
      </c>
      <c r="AN16" s="485" t="n">
        <v>1</v>
      </c>
      <c r="AO16" s="485" t="n">
        <v>1</v>
      </c>
      <c r="AP16" s="485" t="n">
        <v>1</v>
      </c>
      <c r="AQ16" s="485" t="n">
        <v>1</v>
      </c>
      <c r="AR16" s="485" t="n">
        <v>1</v>
      </c>
      <c r="AS16" s="485" t="n">
        <v>1</v>
      </c>
      <c r="AT16" s="485" t="n">
        <v>1</v>
      </c>
      <c r="AU16" s="485" t="n">
        <v>1</v>
      </c>
      <c r="AV16" s="485" t="n">
        <v>1</v>
      </c>
      <c r="AW16" s="485" t="n">
        <v>1</v>
      </c>
      <c r="AX16" s="485" t="n">
        <v>1</v>
      </c>
      <c r="AY16" s="485" t="n">
        <v>1</v>
      </c>
      <c r="AZ16" s="485" t="n">
        <v>1</v>
      </c>
      <c r="BA16" s="485" t="n">
        <v>1</v>
      </c>
      <c r="BB16" s="485" t="n">
        <v>1</v>
      </c>
      <c r="BC16" s="485" t="n">
        <v>1</v>
      </c>
      <c r="BD16" s="485" t="n">
        <v>1</v>
      </c>
      <c r="BE16" s="485" t="n">
        <v>1</v>
      </c>
      <c r="BF16" s="485" t="n">
        <v>1</v>
      </c>
      <c r="BG16" s="485" t="n">
        <v>1</v>
      </c>
      <c r="BH16" s="485" t="n">
        <v>1</v>
      </c>
      <c r="BI16" s="485" t="n">
        <v>1</v>
      </c>
      <c r="BJ16" s="485" t="n">
        <v>1</v>
      </c>
      <c r="BK16" s="485" t="n">
        <v>1</v>
      </c>
      <c r="BL16" s="485" t="n">
        <v>1</v>
      </c>
      <c r="BM16" s="485" t="n">
        <v>1</v>
      </c>
      <c r="BN16" s="485" t="n">
        <v>1</v>
      </c>
      <c r="BO16" s="485" t="n">
        <v>1</v>
      </c>
      <c r="BP16" s="485" t="n">
        <v>1</v>
      </c>
      <c r="BQ16" s="485" t="n">
        <v>1</v>
      </c>
      <c r="BR16" s="485" t="n">
        <v>1</v>
      </c>
      <c r="BS16" s="485" t="n">
        <v>1</v>
      </c>
      <c r="BT16" s="485" t="n">
        <v>1</v>
      </c>
      <c r="BU16" s="485" t="n">
        <v>1</v>
      </c>
      <c r="BV16" s="485" t="n">
        <v>1</v>
      </c>
      <c r="BW16" s="485" t="n">
        <v>1</v>
      </c>
      <c r="BX16" s="485" t="n">
        <v>1</v>
      </c>
      <c r="BY16" s="485" t="n">
        <v>1</v>
      </c>
      <c r="BZ16" s="485" t="n">
        <v>1</v>
      </c>
      <c r="CA16" s="485" t="n">
        <v>1</v>
      </c>
      <c r="CB16" s="485" t="n">
        <v>1</v>
      </c>
      <c r="CC16" s="485" t="n">
        <v>1</v>
      </c>
      <c r="CD16" s="485" t="n">
        <v>1</v>
      </c>
      <c r="CE16" s="485" t="n">
        <v>1</v>
      </c>
      <c r="CF16" s="485" t="n">
        <v>1</v>
      </c>
      <c r="CG16" s="485" t="n">
        <v>1</v>
      </c>
      <c r="CH16" s="485" t="n">
        <v>1</v>
      </c>
      <c r="CI16" s="485" t="n">
        <v>1</v>
      </c>
      <c r="CJ16" s="485" t="n">
        <v>1</v>
      </c>
      <c r="CK16" s="485" t="n">
        <v>1</v>
      </c>
      <c r="CL16" s="485" t="n">
        <v>1</v>
      </c>
      <c r="CM16" s="485" t="n">
        <v>1</v>
      </c>
      <c r="CN16" s="485" t="n">
        <v>1</v>
      </c>
      <c r="CO16" s="485" t="n">
        <v>1</v>
      </c>
      <c r="CP16" s="485" t="n">
        <v>1</v>
      </c>
      <c r="CQ16" s="485" t="n">
        <v>1</v>
      </c>
      <c r="CR16" s="485" t="n">
        <v>1</v>
      </c>
      <c r="CS16" s="485" t="n">
        <v>1</v>
      </c>
      <c r="CT16" s="485" t="n">
        <v>1</v>
      </c>
      <c r="CU16" s="485" t="n">
        <v>1</v>
      </c>
      <c r="CV16" s="485" t="n">
        <v>1</v>
      </c>
      <c r="CW16" s="485" t="n">
        <v>1</v>
      </c>
      <c r="CX16" s="485" t="n">
        <v>1</v>
      </c>
      <c r="CY16" s="485" t="n">
        <v>1</v>
      </c>
      <c r="CZ16" s="485" t="n">
        <v>1</v>
      </c>
      <c r="DA16" s="485" t="n">
        <v>1</v>
      </c>
      <c r="DB16" s="485" t="n">
        <v>1</v>
      </c>
      <c r="DC16" s="485" t="n">
        <v>1</v>
      </c>
    </row>
    <row r="17" ht="12" customHeight="1" s="244">
      <c r="A17" s="261" t="n"/>
      <c r="B17" s="282" t="n"/>
      <c r="C17" s="482" t="n"/>
      <c r="D17" s="261" t="n"/>
      <c r="E17" s="259" t="n"/>
      <c r="F17" s="484">
        <f>F12</f>
        <v/>
      </c>
      <c r="G17" s="484">
        <f>G12</f>
        <v/>
      </c>
      <c r="H17" s="484">
        <f>H12</f>
        <v/>
      </c>
      <c r="I17" s="484">
        <f>I12</f>
        <v/>
      </c>
      <c r="J17" s="484">
        <f>J12</f>
        <v/>
      </c>
      <c r="K17" s="484">
        <f>K12</f>
        <v/>
      </c>
      <c r="L17" s="484">
        <f>L12</f>
        <v/>
      </c>
      <c r="M17" s="484">
        <f>M12</f>
        <v/>
      </c>
      <c r="N17" s="484">
        <f>N12</f>
        <v/>
      </c>
      <c r="O17" s="484">
        <f>O12</f>
        <v/>
      </c>
      <c r="P17" s="484">
        <f>P12</f>
        <v/>
      </c>
      <c r="Q17" s="484">
        <f>Q12</f>
        <v/>
      </c>
      <c r="R17" s="484">
        <f>R12</f>
        <v/>
      </c>
      <c r="S17" s="484">
        <f>S12</f>
        <v/>
      </c>
      <c r="T17" s="484">
        <f>T12</f>
        <v/>
      </c>
      <c r="U17" s="484">
        <f>U12</f>
        <v/>
      </c>
      <c r="V17" s="484">
        <f>V12</f>
        <v/>
      </c>
      <c r="W17" s="484">
        <f>W12</f>
        <v/>
      </c>
      <c r="X17" s="484">
        <f>X12</f>
        <v/>
      </c>
      <c r="Y17" s="484">
        <f>Y12</f>
        <v/>
      </c>
      <c r="Z17" s="484">
        <f>Z12</f>
        <v/>
      </c>
      <c r="AA17" s="484">
        <f>AA12</f>
        <v/>
      </c>
      <c r="AB17" s="484">
        <f>AB12</f>
        <v/>
      </c>
      <c r="AC17" s="484">
        <f>AC12</f>
        <v/>
      </c>
      <c r="AD17" s="484">
        <f>AD12</f>
        <v/>
      </c>
      <c r="AE17" s="484">
        <f>AE12</f>
        <v/>
      </c>
      <c r="AF17" s="484">
        <f>AF12</f>
        <v/>
      </c>
      <c r="AG17" s="484">
        <f>AG12</f>
        <v/>
      </c>
      <c r="AH17" s="484">
        <f>AH12</f>
        <v/>
      </c>
      <c r="AI17" s="484">
        <f>AI12</f>
        <v/>
      </c>
      <c r="AJ17" s="484">
        <f>AJ12</f>
        <v/>
      </c>
      <c r="AK17" s="484">
        <f>AK12</f>
        <v/>
      </c>
      <c r="AL17" s="484">
        <f>AL12</f>
        <v/>
      </c>
      <c r="AM17" s="484">
        <f>AM12</f>
        <v/>
      </c>
      <c r="AN17" s="484">
        <f>AN12</f>
        <v/>
      </c>
      <c r="AO17" s="484">
        <f>AO12</f>
        <v/>
      </c>
      <c r="AP17" s="484">
        <f>AP12</f>
        <v/>
      </c>
      <c r="AQ17" s="484">
        <f>AQ12</f>
        <v/>
      </c>
      <c r="AR17" s="484">
        <f>AR12</f>
        <v/>
      </c>
      <c r="AS17" s="484">
        <f>AS12</f>
        <v/>
      </c>
      <c r="AT17" s="484">
        <f>AT12</f>
        <v/>
      </c>
      <c r="AU17" s="484">
        <f>AU12</f>
        <v/>
      </c>
      <c r="AV17" s="484">
        <f>AV12</f>
        <v/>
      </c>
      <c r="AW17" s="484">
        <f>AW12</f>
        <v/>
      </c>
      <c r="AX17" s="484">
        <f>AX12</f>
        <v/>
      </c>
      <c r="AY17" s="484">
        <f>AY12</f>
        <v/>
      </c>
      <c r="AZ17" s="484">
        <f>AZ12</f>
        <v/>
      </c>
      <c r="BA17" s="484">
        <f>BA12</f>
        <v/>
      </c>
      <c r="BB17" s="484">
        <f>BB12</f>
        <v/>
      </c>
      <c r="BC17" s="484">
        <f>BC12</f>
        <v/>
      </c>
      <c r="BD17" s="484">
        <f>BD12</f>
        <v/>
      </c>
      <c r="BE17" s="484">
        <f>BE12</f>
        <v/>
      </c>
      <c r="BF17" s="484">
        <f>BF12</f>
        <v/>
      </c>
      <c r="BG17" s="484">
        <f>BG12</f>
        <v/>
      </c>
      <c r="BH17" s="484">
        <f>BH12</f>
        <v/>
      </c>
      <c r="BI17" s="484">
        <f>BI12</f>
        <v/>
      </c>
      <c r="BJ17" s="484">
        <f>BJ12</f>
        <v/>
      </c>
      <c r="BK17" s="484">
        <f>BK12</f>
        <v/>
      </c>
      <c r="BL17" s="484">
        <f>BL12</f>
        <v/>
      </c>
      <c r="BM17" s="484">
        <f>BM12</f>
        <v/>
      </c>
      <c r="BN17" s="484">
        <f>BN12</f>
        <v/>
      </c>
      <c r="BO17" s="484">
        <f>BO12</f>
        <v/>
      </c>
      <c r="BP17" s="484">
        <f>BP12</f>
        <v/>
      </c>
      <c r="BQ17" s="484">
        <f>BQ12</f>
        <v/>
      </c>
      <c r="BR17" s="484">
        <f>BR12</f>
        <v/>
      </c>
      <c r="BS17" s="484">
        <f>BS12</f>
        <v/>
      </c>
      <c r="BT17" s="484">
        <f>BT12</f>
        <v/>
      </c>
      <c r="BU17" s="484">
        <f>BU12</f>
        <v/>
      </c>
      <c r="BV17" s="484">
        <f>BV12</f>
        <v/>
      </c>
      <c r="BW17" s="484">
        <f>BW12</f>
        <v/>
      </c>
      <c r="BX17" s="484">
        <f>BX12</f>
        <v/>
      </c>
      <c r="BY17" s="484">
        <f>BY12</f>
        <v/>
      </c>
      <c r="BZ17" s="484">
        <f>BZ12</f>
        <v/>
      </c>
      <c r="CA17" s="484">
        <f>CA12</f>
        <v/>
      </c>
      <c r="CB17" s="484">
        <f>CB12</f>
        <v/>
      </c>
      <c r="CC17" s="484">
        <f>CC12</f>
        <v/>
      </c>
      <c r="CD17" s="484">
        <f>CD12</f>
        <v/>
      </c>
      <c r="CE17" s="484">
        <f>CE12</f>
        <v/>
      </c>
      <c r="CF17" s="484">
        <f>CF12</f>
        <v/>
      </c>
      <c r="CG17" s="484">
        <f>CG12</f>
        <v/>
      </c>
      <c r="CH17" s="484">
        <f>CH12</f>
        <v/>
      </c>
      <c r="CI17" s="484">
        <f>CI12</f>
        <v/>
      </c>
      <c r="CJ17" s="484">
        <f>CJ12</f>
        <v/>
      </c>
      <c r="CK17" s="484">
        <f>CK12</f>
        <v/>
      </c>
      <c r="CL17" s="484">
        <f>CL12</f>
        <v/>
      </c>
      <c r="CM17" s="484">
        <f>CM12</f>
        <v/>
      </c>
      <c r="CN17" s="484">
        <f>CN12</f>
        <v/>
      </c>
      <c r="CO17" s="484">
        <f>CO12</f>
        <v/>
      </c>
      <c r="CP17" s="484">
        <f>CP12</f>
        <v/>
      </c>
      <c r="CQ17" s="484">
        <f>CQ12</f>
        <v/>
      </c>
      <c r="CR17" s="484">
        <f>CR12</f>
        <v/>
      </c>
      <c r="CS17" s="484">
        <f>CS12</f>
        <v/>
      </c>
      <c r="CT17" s="484">
        <f>CT12</f>
        <v/>
      </c>
      <c r="CU17" s="484">
        <f>CU12</f>
        <v/>
      </c>
      <c r="CV17" s="484">
        <f>CV12</f>
        <v/>
      </c>
      <c r="CW17" s="484">
        <f>CW12</f>
        <v/>
      </c>
      <c r="CX17" s="484">
        <f>CX12</f>
        <v/>
      </c>
      <c r="CY17" s="484">
        <f>CY12</f>
        <v/>
      </c>
      <c r="CZ17" s="484">
        <f>CZ12</f>
        <v/>
      </c>
      <c r="DA17" s="484">
        <f>DA12</f>
        <v/>
      </c>
      <c r="DB17" s="484">
        <f>DB12</f>
        <v/>
      </c>
      <c r="DC17" s="484">
        <f>DC12</f>
        <v/>
      </c>
    </row>
    <row r="18" ht="16.5" customHeight="1" s="244">
      <c r="A18" s="261" t="n"/>
      <c r="B18" s="282" t="n"/>
      <c r="C18" s="482" t="n"/>
      <c r="D18" s="261" t="n"/>
      <c r="E18" s="259" t="n"/>
      <c r="F18" s="488">
        <f>F13/F17</f>
        <v/>
      </c>
      <c r="G18" s="488">
        <f>G13/G17</f>
        <v/>
      </c>
      <c r="H18" s="488">
        <f>H13/H17</f>
        <v/>
      </c>
      <c r="I18" s="488">
        <f>I13/I17</f>
        <v/>
      </c>
      <c r="J18" s="488">
        <f>J13/J17</f>
        <v/>
      </c>
      <c r="K18" s="488">
        <f>K13/K17</f>
        <v/>
      </c>
      <c r="L18" s="488">
        <f>L13/L17</f>
        <v/>
      </c>
      <c r="M18" s="488">
        <f>M13/M17</f>
        <v/>
      </c>
      <c r="N18" s="488">
        <f>N13/N17</f>
        <v/>
      </c>
      <c r="O18" s="488">
        <f>O13/O17</f>
        <v/>
      </c>
      <c r="P18" s="488">
        <f>P13/P17</f>
        <v/>
      </c>
      <c r="Q18" s="488">
        <f>Q13/Q17</f>
        <v/>
      </c>
      <c r="R18" s="488">
        <f>R13/R17</f>
        <v/>
      </c>
      <c r="S18" s="488">
        <f>S13/S17</f>
        <v/>
      </c>
      <c r="T18" s="488">
        <f>T13/T17</f>
        <v/>
      </c>
      <c r="U18" s="488">
        <f>U13/U17</f>
        <v/>
      </c>
      <c r="V18" s="488">
        <f>V13/V17</f>
        <v/>
      </c>
      <c r="W18" s="488">
        <f>W13/W17</f>
        <v/>
      </c>
      <c r="X18" s="488">
        <f>X13/X17</f>
        <v/>
      </c>
      <c r="Y18" s="488">
        <f>Y13/Y17</f>
        <v/>
      </c>
      <c r="Z18" s="488">
        <f>Z13/Z17</f>
        <v/>
      </c>
      <c r="AA18" s="488">
        <f>AA13/AA17</f>
        <v/>
      </c>
      <c r="AB18" s="488">
        <f>AB13/AB17</f>
        <v/>
      </c>
      <c r="AC18" s="488">
        <f>AC13/AC17</f>
        <v/>
      </c>
      <c r="AD18" s="488">
        <f>AD13/AD17</f>
        <v/>
      </c>
      <c r="AE18" s="488">
        <f>AE13/AE17</f>
        <v/>
      </c>
      <c r="AF18" s="488">
        <f>AF13/AF17</f>
        <v/>
      </c>
      <c r="AG18" s="488">
        <f>AG13/AG17</f>
        <v/>
      </c>
      <c r="AH18" s="488">
        <f>AH13/AH17</f>
        <v/>
      </c>
      <c r="AI18" s="488">
        <f>AI13/AI17</f>
        <v/>
      </c>
      <c r="AJ18" s="488">
        <f>AJ13/AJ17</f>
        <v/>
      </c>
      <c r="AK18" s="488">
        <f>AK13/AK17</f>
        <v/>
      </c>
      <c r="AL18" s="488">
        <f>AL13/AL17</f>
        <v/>
      </c>
      <c r="AM18" s="488">
        <f>AM13/AM17</f>
        <v/>
      </c>
      <c r="AN18" s="488">
        <f>AN13/AN17</f>
        <v/>
      </c>
      <c r="AO18" s="488">
        <f>AO13/AO17</f>
        <v/>
      </c>
      <c r="AP18" s="488">
        <f>AP13/AP17</f>
        <v/>
      </c>
      <c r="AQ18" s="488">
        <f>AQ13/AQ17</f>
        <v/>
      </c>
      <c r="AR18" s="488">
        <f>AR13/AR17</f>
        <v/>
      </c>
      <c r="AS18" s="488">
        <f>AS13/AS17</f>
        <v/>
      </c>
      <c r="AT18" s="488">
        <f>AT13/AT17</f>
        <v/>
      </c>
      <c r="AU18" s="488">
        <f>AU13/AU17</f>
        <v/>
      </c>
      <c r="AV18" s="488">
        <f>AV13/AV17</f>
        <v/>
      </c>
      <c r="AW18" s="488">
        <f>AW13/AW17</f>
        <v/>
      </c>
      <c r="AX18" s="488">
        <f>AX13/AX17</f>
        <v/>
      </c>
      <c r="AY18" s="488">
        <f>AY13/AY17</f>
        <v/>
      </c>
      <c r="AZ18" s="488">
        <f>AZ13/AZ17</f>
        <v/>
      </c>
      <c r="BA18" s="488">
        <f>BA13/BA17</f>
        <v/>
      </c>
      <c r="BB18" s="488">
        <f>BB13/BB17</f>
        <v/>
      </c>
      <c r="BC18" s="488">
        <f>BC13/BC17</f>
        <v/>
      </c>
      <c r="BD18" s="488">
        <f>BD13/BD17</f>
        <v/>
      </c>
      <c r="BE18" s="488">
        <f>BE13/BE17</f>
        <v/>
      </c>
      <c r="BF18" s="488">
        <f>BF13/BF17</f>
        <v/>
      </c>
      <c r="BG18" s="488">
        <f>BG13/BG17</f>
        <v/>
      </c>
      <c r="BH18" s="488">
        <f>BH13/BH17</f>
        <v/>
      </c>
      <c r="BI18" s="488">
        <f>BI13/BI17</f>
        <v/>
      </c>
      <c r="BJ18" s="488">
        <f>BJ13/BJ17</f>
        <v/>
      </c>
      <c r="BK18" s="488">
        <f>BK13/BK17</f>
        <v/>
      </c>
      <c r="BL18" s="488">
        <f>BL13/BL17</f>
        <v/>
      </c>
      <c r="BM18" s="488">
        <f>BM13/BM17</f>
        <v/>
      </c>
      <c r="BN18" s="488">
        <f>BN13/BN17</f>
        <v/>
      </c>
      <c r="BO18" s="488">
        <f>BO13/BO17</f>
        <v/>
      </c>
      <c r="BP18" s="488">
        <f>BP13/BP17</f>
        <v/>
      </c>
      <c r="BQ18" s="488">
        <f>BQ13/BQ17</f>
        <v/>
      </c>
      <c r="BR18" s="488">
        <f>BR13/BR17</f>
        <v/>
      </c>
      <c r="BS18" s="488">
        <f>BS13/BS17</f>
        <v/>
      </c>
      <c r="BT18" s="488">
        <f>BT13/BT17</f>
        <v/>
      </c>
      <c r="BU18" s="488">
        <f>BU13/BU17</f>
        <v/>
      </c>
      <c r="BV18" s="488">
        <f>BV13/BV17</f>
        <v/>
      </c>
      <c r="BW18" s="488">
        <f>BW13/BW17</f>
        <v/>
      </c>
      <c r="BX18" s="488">
        <f>BX13/BX17</f>
        <v/>
      </c>
      <c r="BY18" s="488">
        <f>BY13/BY17</f>
        <v/>
      </c>
      <c r="BZ18" s="488">
        <f>BZ13/BZ17</f>
        <v/>
      </c>
      <c r="CA18" s="488">
        <f>CA13/CA17</f>
        <v/>
      </c>
      <c r="CB18" s="488">
        <f>CB13/CB17</f>
        <v/>
      </c>
      <c r="CC18" s="488">
        <f>CC13/CC17</f>
        <v/>
      </c>
      <c r="CD18" s="488">
        <f>CD13/CD17</f>
        <v/>
      </c>
      <c r="CE18" s="488">
        <f>CE13/CE17</f>
        <v/>
      </c>
      <c r="CF18" s="488">
        <f>CF13/CF17</f>
        <v/>
      </c>
      <c r="CG18" s="488">
        <f>CG13/CG17</f>
        <v/>
      </c>
      <c r="CH18" s="488">
        <f>CH13/CH17</f>
        <v/>
      </c>
      <c r="CI18" s="488">
        <f>CI13/CI17</f>
        <v/>
      </c>
      <c r="CJ18" s="488">
        <f>CJ13/CJ17</f>
        <v/>
      </c>
      <c r="CK18" s="488">
        <f>CK13/CK17</f>
        <v/>
      </c>
      <c r="CL18" s="488">
        <f>CL13/CL17</f>
        <v/>
      </c>
      <c r="CM18" s="488">
        <f>CM13/CM17</f>
        <v/>
      </c>
      <c r="CN18" s="488">
        <f>CN13/CN17</f>
        <v/>
      </c>
      <c r="CO18" s="488">
        <f>CO13/CO17</f>
        <v/>
      </c>
      <c r="CP18" s="488">
        <f>CP13/CP17</f>
        <v/>
      </c>
      <c r="CQ18" s="488">
        <f>CQ13/CQ17</f>
        <v/>
      </c>
      <c r="CR18" s="488">
        <f>CR13/CR17</f>
        <v/>
      </c>
      <c r="CS18" s="488">
        <f>CS13/CS17</f>
        <v/>
      </c>
      <c r="CT18" s="488">
        <f>CT13/CT17</f>
        <v/>
      </c>
      <c r="CU18" s="488">
        <f>CU13/CU17</f>
        <v/>
      </c>
      <c r="CV18" s="488">
        <f>CV13/CV17</f>
        <v/>
      </c>
      <c r="CW18" s="488">
        <f>CW13/CW17</f>
        <v/>
      </c>
      <c r="CX18" s="488">
        <f>CX13/CX17</f>
        <v/>
      </c>
      <c r="CY18" s="488">
        <f>CY13/CY17</f>
        <v/>
      </c>
      <c r="CZ18" s="488">
        <f>CZ13/CZ17</f>
        <v/>
      </c>
      <c r="DA18" s="488">
        <f>DA13/DA17</f>
        <v/>
      </c>
      <c r="DB18" s="488">
        <f>DB13/DB17</f>
        <v/>
      </c>
      <c r="DC18" s="488">
        <f>DC13/DC17</f>
        <v/>
      </c>
    </row>
    <row r="19" ht="19.5" customHeight="1" s="244">
      <c r="A19" s="261" t="n"/>
      <c r="B19" s="282" t="n"/>
      <c r="C19" s="482" t="n"/>
      <c r="D19" s="261" t="n"/>
      <c r="E19" s="259" t="n"/>
      <c r="F19" s="488">
        <f>F10+(F14/8.92)^0.91</f>
        <v/>
      </c>
      <c r="G19" s="488">
        <f>G10+(G14/8.92)^0.91</f>
        <v/>
      </c>
      <c r="H19" s="488">
        <f>H10+(H14/8.92)^0.91</f>
        <v/>
      </c>
      <c r="I19" s="488">
        <f>I10+(I14/8.92)^0.91</f>
        <v/>
      </c>
      <c r="J19" s="488">
        <f>J10+(J14/8.92)^0.91</f>
        <v/>
      </c>
      <c r="K19" s="488">
        <f>K10+(K14/8.92)^0.91</f>
        <v/>
      </c>
      <c r="L19" s="488">
        <f>L10+(L14/8.92)^0.91</f>
        <v/>
      </c>
      <c r="M19" s="488">
        <f>M10+(M14/8.92)^0.91</f>
        <v/>
      </c>
      <c r="N19" s="488">
        <f>N10+(N14/8.92)^0.91</f>
        <v/>
      </c>
      <c r="O19" s="488">
        <f>O10+(O14/8.92)^0.91</f>
        <v/>
      </c>
      <c r="P19" s="488">
        <f>P10+(P14/8.92)^0.91</f>
        <v/>
      </c>
      <c r="Q19" s="488">
        <f>Q10+(Q14/8.92)^0.91</f>
        <v/>
      </c>
      <c r="R19" s="488">
        <f>R10+(R14/8.92)^0.91</f>
        <v/>
      </c>
      <c r="S19" s="488">
        <f>S10+(S14/8.92)^0.91</f>
        <v/>
      </c>
      <c r="T19" s="488">
        <f>T10+(T14/8.92)^0.91</f>
        <v/>
      </c>
      <c r="U19" s="488">
        <f>U10+(U14/8.92)^0.91</f>
        <v/>
      </c>
      <c r="V19" s="488">
        <f>V10+(V14/8.92)^0.91</f>
        <v/>
      </c>
      <c r="W19" s="488">
        <f>W10+(W14/8.92)^0.91</f>
        <v/>
      </c>
      <c r="X19" s="488">
        <f>X10+(X14/8.92)^0.91</f>
        <v/>
      </c>
      <c r="Y19" s="488">
        <f>Y10+(Y14/8.92)^0.91</f>
        <v/>
      </c>
      <c r="Z19" s="488">
        <f>Z10+(Z14/8.92)^0.91</f>
        <v/>
      </c>
      <c r="AA19" s="488">
        <f>AA10+(AA14/8.92)^0.91</f>
        <v/>
      </c>
      <c r="AB19" s="488">
        <f>AB10+(AB14/8.92)^0.91</f>
        <v/>
      </c>
      <c r="AC19" s="488">
        <f>AC10+(AC14/8.92)^0.91</f>
        <v/>
      </c>
      <c r="AD19" s="488">
        <f>AD10+(AD14/8.92)^0.91</f>
        <v/>
      </c>
      <c r="AE19" s="488">
        <f>AE10+(AE14/8.92)^0.91</f>
        <v/>
      </c>
      <c r="AF19" s="488">
        <f>AF10+(AF14/8.92)^0.91</f>
        <v/>
      </c>
      <c r="AG19" s="488">
        <f>AG10+(AG14/8.92)^0.91</f>
        <v/>
      </c>
      <c r="AH19" s="488">
        <f>AH10+(AH14/8.92)^0.91</f>
        <v/>
      </c>
      <c r="AI19" s="488">
        <f>AI10+(AI14/8.92)^0.91</f>
        <v/>
      </c>
      <c r="AJ19" s="488">
        <f>AJ10+(AJ14/8.92)^0.91</f>
        <v/>
      </c>
      <c r="AK19" s="488">
        <f>AK10+(AK14/8.92)^0.91</f>
        <v/>
      </c>
      <c r="AL19" s="488">
        <f>AL10+(AL14/8.92)^0.91</f>
        <v/>
      </c>
      <c r="AM19" s="488">
        <f>AM10+(AM14/8.92)^0.91</f>
        <v/>
      </c>
      <c r="AN19" s="488">
        <f>AN10+(AN14/8.92)^0.91</f>
        <v/>
      </c>
      <c r="AO19" s="488">
        <f>AO10+(AO14/8.92)^0.91</f>
        <v/>
      </c>
      <c r="AP19" s="488">
        <f>AP10+(AP14/8.92)^0.91</f>
        <v/>
      </c>
      <c r="AQ19" s="488">
        <f>AQ10+(AQ14/8.92)^0.91</f>
        <v/>
      </c>
      <c r="AR19" s="488">
        <f>AR10+(AR14/8.92)^0.91</f>
        <v/>
      </c>
      <c r="AS19" s="488">
        <f>AS10+(AS14/8.92)^0.91</f>
        <v/>
      </c>
      <c r="AT19" s="488">
        <f>AT10+(AT14/8.92)^0.91</f>
        <v/>
      </c>
      <c r="AU19" s="488">
        <f>AU10+(AU14/8.92)^0.91</f>
        <v/>
      </c>
      <c r="AV19" s="488">
        <f>AV10+(AV14/8.92)^0.91</f>
        <v/>
      </c>
      <c r="AW19" s="488">
        <f>AW10+(AW14/8.92)^0.91</f>
        <v/>
      </c>
      <c r="AX19" s="488">
        <f>AX10+(AX14/8.92)^0.91</f>
        <v/>
      </c>
      <c r="AY19" s="488">
        <f>AY10+(AY14/8.92)^0.91</f>
        <v/>
      </c>
      <c r="AZ19" s="488">
        <f>AZ10+(AZ14/8.92)^0.91</f>
        <v/>
      </c>
      <c r="BA19" s="488">
        <f>BA10+(BA14/8.92)^0.91</f>
        <v/>
      </c>
      <c r="BB19" s="488">
        <f>BB10+(BB14/8.92)^0.91</f>
        <v/>
      </c>
      <c r="BC19" s="488">
        <f>BC10+(BC14/8.92)^0.91</f>
        <v/>
      </c>
      <c r="BD19" s="488">
        <f>BD10+(BD14/8.92)^0.91</f>
        <v/>
      </c>
      <c r="BE19" s="488">
        <f>BE10+(BE14/8.92)^0.91</f>
        <v/>
      </c>
      <c r="BF19" s="488">
        <f>BF10+(BF14/8.92)^0.91</f>
        <v/>
      </c>
      <c r="BG19" s="488">
        <f>BG10+(BG14/8.92)^0.91</f>
        <v/>
      </c>
      <c r="BH19" s="488">
        <f>BH10+(BH14/8.92)^0.91</f>
        <v/>
      </c>
      <c r="BI19" s="488">
        <f>BI10+(BI14/8.92)^0.91</f>
        <v/>
      </c>
      <c r="BJ19" s="488">
        <f>BJ10+(BJ14/8.92)^0.91</f>
        <v/>
      </c>
      <c r="BK19" s="488">
        <f>BK10+(BK14/8.92)^0.91</f>
        <v/>
      </c>
      <c r="BL19" s="488">
        <f>BL10+(BL14/8.92)^0.91</f>
        <v/>
      </c>
      <c r="BM19" s="488">
        <f>BM10+(BM14/8.92)^0.91</f>
        <v/>
      </c>
      <c r="BN19" s="488">
        <f>BN10+(BN14/8.92)^0.91</f>
        <v/>
      </c>
      <c r="BO19" s="488">
        <f>BO10+(BO14/8.92)^0.91</f>
        <v/>
      </c>
      <c r="BP19" s="488">
        <f>BP10+(BP14/8.92)^0.91</f>
        <v/>
      </c>
      <c r="BQ19" s="488">
        <f>BQ10+(BQ14/8.92)^0.91</f>
        <v/>
      </c>
      <c r="BR19" s="488">
        <f>BR10+(BR14/8.92)^0.91</f>
        <v/>
      </c>
      <c r="BS19" s="488">
        <f>BS10+(BS14/8.92)^0.91</f>
        <v/>
      </c>
      <c r="BT19" s="488">
        <f>BT10+(BT14/8.92)^0.91</f>
        <v/>
      </c>
      <c r="BU19" s="488">
        <f>BU10+(BU14/8.92)^0.91</f>
        <v/>
      </c>
      <c r="BV19" s="488">
        <f>BV10+(BV14/8.92)^0.91</f>
        <v/>
      </c>
      <c r="BW19" s="488">
        <f>BW10+(BW14/8.92)^0.91</f>
        <v/>
      </c>
      <c r="BX19" s="488">
        <f>BX10+(BX14/8.92)^0.91</f>
        <v/>
      </c>
      <c r="BY19" s="488">
        <f>BY10+(BY14/8.92)^0.91</f>
        <v/>
      </c>
      <c r="BZ19" s="488">
        <f>BZ10+(BZ14/8.92)^0.91</f>
        <v/>
      </c>
      <c r="CA19" s="488">
        <f>CA10+(CA14/8.92)^0.91</f>
        <v/>
      </c>
      <c r="CB19" s="488">
        <f>CB10+(CB14/8.92)^0.91</f>
        <v/>
      </c>
      <c r="CC19" s="488">
        <f>CC10+(CC14/8.92)^0.91</f>
        <v/>
      </c>
      <c r="CD19" s="488">
        <f>CD10+(CD14/8.92)^0.91</f>
        <v/>
      </c>
      <c r="CE19" s="488">
        <f>CE10+(CE14/8.92)^0.91</f>
        <v/>
      </c>
      <c r="CF19" s="488">
        <f>CF10+(CF14/8.92)^0.91</f>
        <v/>
      </c>
      <c r="CG19" s="488">
        <f>CG10+(CG14/8.92)^0.91</f>
        <v/>
      </c>
      <c r="CH19" s="488">
        <f>CH10+(CH14/8.92)^0.91</f>
        <v/>
      </c>
      <c r="CI19" s="488">
        <f>CI10+(CI14/8.92)^0.91</f>
        <v/>
      </c>
      <c r="CJ19" s="488">
        <f>CJ10+(CJ14/8.92)^0.91</f>
        <v/>
      </c>
      <c r="CK19" s="488">
        <f>CK10+(CK14/8.92)^0.91</f>
        <v/>
      </c>
      <c r="CL19" s="488">
        <f>CL10+(CL14/8.92)^0.91</f>
        <v/>
      </c>
      <c r="CM19" s="488">
        <f>CM10+(CM14/8.92)^0.91</f>
        <v/>
      </c>
      <c r="CN19" s="488">
        <f>CN10+(CN14/8.92)^0.91</f>
        <v/>
      </c>
      <c r="CO19" s="488">
        <f>CO10+(CO14/8.92)^0.91</f>
        <v/>
      </c>
      <c r="CP19" s="488">
        <f>CP10+(CP14/8.92)^0.91</f>
        <v/>
      </c>
      <c r="CQ19" s="488">
        <f>CQ10+(CQ14/8.92)^0.91</f>
        <v/>
      </c>
      <c r="CR19" s="488">
        <f>CR10+(CR14/8.92)^0.91</f>
        <v/>
      </c>
      <c r="CS19" s="488">
        <f>CS10+(CS14/8.92)^0.91</f>
        <v/>
      </c>
      <c r="CT19" s="488">
        <f>CT10+(CT14/8.92)^0.91</f>
        <v/>
      </c>
      <c r="CU19" s="488">
        <f>CU10+(CU14/8.92)^0.91</f>
        <v/>
      </c>
      <c r="CV19" s="488">
        <f>CV10+(CV14/8.92)^0.91</f>
        <v/>
      </c>
      <c r="CW19" s="488">
        <f>CW10+(CW14/8.92)^0.91</f>
        <v/>
      </c>
      <c r="CX19" s="488">
        <f>CX10+(CX14/8.92)^0.91</f>
        <v/>
      </c>
      <c r="CY19" s="488">
        <f>CY10+(CY14/8.92)^0.91</f>
        <v/>
      </c>
      <c r="CZ19" s="488">
        <f>CZ10+(CZ14/8.92)^0.91</f>
        <v/>
      </c>
      <c r="DA19" s="488">
        <f>DA10+(DA14/8.92)^0.91</f>
        <v/>
      </c>
      <c r="DB19" s="488">
        <f>DB10+(DB14/8.92)^0.91</f>
        <v/>
      </c>
      <c r="DC19" s="488">
        <f>DC10+(DC14/8.92)^0.91</f>
        <v/>
      </c>
    </row>
    <row r="20" ht="12" customHeight="1" s="244">
      <c r="A20" s="261" t="n"/>
      <c r="B20" s="282" t="n"/>
      <c r="C20" s="482" t="n"/>
      <c r="D20" s="261" t="n"/>
      <c r="E20" s="259" t="n"/>
      <c r="F20" s="484" t="n">
        <v>45</v>
      </c>
      <c r="G20" s="484" t="n">
        <v>45</v>
      </c>
      <c r="H20" s="484" t="n">
        <v>45</v>
      </c>
      <c r="I20" s="484" t="n">
        <v>45</v>
      </c>
      <c r="J20" s="484" t="n">
        <v>45</v>
      </c>
      <c r="K20" s="484" t="n">
        <v>45</v>
      </c>
      <c r="L20" s="484" t="n">
        <v>45</v>
      </c>
      <c r="M20" s="484" t="n">
        <v>45</v>
      </c>
      <c r="N20" s="484" t="n">
        <v>45</v>
      </c>
      <c r="O20" s="484" t="n">
        <v>45</v>
      </c>
      <c r="P20" s="484" t="n">
        <v>45</v>
      </c>
      <c r="Q20" s="484" t="n">
        <v>45</v>
      </c>
      <c r="R20" s="484" t="n">
        <v>45</v>
      </c>
      <c r="S20" s="484" t="n">
        <v>45</v>
      </c>
      <c r="T20" s="484" t="n">
        <v>45</v>
      </c>
      <c r="U20" s="484" t="n">
        <v>45</v>
      </c>
      <c r="V20" s="484" t="n">
        <v>45</v>
      </c>
      <c r="W20" s="484" t="n">
        <v>45</v>
      </c>
      <c r="X20" s="484" t="n">
        <v>45</v>
      </c>
      <c r="Y20" s="484" t="n">
        <v>45</v>
      </c>
      <c r="Z20" s="484" t="n">
        <v>45</v>
      </c>
      <c r="AA20" s="484" t="n">
        <v>45</v>
      </c>
      <c r="AB20" s="484" t="n">
        <v>45</v>
      </c>
      <c r="AC20" s="484" t="n">
        <v>45</v>
      </c>
      <c r="AD20" s="484" t="n">
        <v>45</v>
      </c>
      <c r="AE20" s="484" t="n">
        <v>45</v>
      </c>
      <c r="AF20" s="484" t="n">
        <v>45</v>
      </c>
      <c r="AG20" s="484" t="n">
        <v>45</v>
      </c>
      <c r="AH20" s="484" t="n">
        <v>45</v>
      </c>
      <c r="AI20" s="484" t="n">
        <v>45</v>
      </c>
      <c r="AJ20" s="484" t="n">
        <v>45</v>
      </c>
      <c r="AK20" s="484" t="n">
        <v>45</v>
      </c>
      <c r="AL20" s="484" t="n">
        <v>45</v>
      </c>
      <c r="AM20" s="484" t="n">
        <v>45</v>
      </c>
      <c r="AN20" s="484" t="n">
        <v>45</v>
      </c>
      <c r="AO20" s="484" t="n">
        <v>45</v>
      </c>
      <c r="AP20" s="484" t="n">
        <v>45</v>
      </c>
      <c r="AQ20" s="484" t="n">
        <v>45</v>
      </c>
      <c r="AR20" s="484" t="n">
        <v>45</v>
      </c>
      <c r="AS20" s="484" t="n">
        <v>45</v>
      </c>
      <c r="AT20" s="484" t="n">
        <v>45</v>
      </c>
      <c r="AU20" s="484" t="n">
        <v>45</v>
      </c>
      <c r="AV20" s="484" t="n">
        <v>45</v>
      </c>
      <c r="AW20" s="484" t="n">
        <v>45</v>
      </c>
      <c r="AX20" s="484" t="n">
        <v>45</v>
      </c>
      <c r="AY20" s="484" t="n">
        <v>45</v>
      </c>
      <c r="AZ20" s="484" t="n">
        <v>45</v>
      </c>
      <c r="BA20" s="484" t="n">
        <v>45</v>
      </c>
      <c r="BB20" s="484" t="n">
        <v>45</v>
      </c>
      <c r="BC20" s="484" t="n">
        <v>45</v>
      </c>
      <c r="BD20" s="484" t="n">
        <v>45</v>
      </c>
      <c r="BE20" s="484" t="n">
        <v>45</v>
      </c>
      <c r="BF20" s="484" t="n">
        <v>45</v>
      </c>
      <c r="BG20" s="484" t="n">
        <v>45</v>
      </c>
      <c r="BH20" s="484" t="n">
        <v>45</v>
      </c>
      <c r="BI20" s="484" t="n">
        <v>45</v>
      </c>
      <c r="BJ20" s="484" t="n">
        <v>45</v>
      </c>
      <c r="BK20" s="484" t="n">
        <v>45</v>
      </c>
      <c r="BL20" s="484" t="n">
        <v>45</v>
      </c>
      <c r="BM20" s="484" t="n">
        <v>45</v>
      </c>
      <c r="BN20" s="484" t="n">
        <v>45</v>
      </c>
      <c r="BO20" s="484" t="n">
        <v>45</v>
      </c>
      <c r="BP20" s="484" t="n">
        <v>45</v>
      </c>
      <c r="BQ20" s="484" t="n">
        <v>45</v>
      </c>
      <c r="BR20" s="484" t="n">
        <v>45</v>
      </c>
      <c r="BS20" s="484" t="n">
        <v>45</v>
      </c>
      <c r="BT20" s="484" t="n">
        <v>45</v>
      </c>
      <c r="BU20" s="484" t="n">
        <v>45</v>
      </c>
      <c r="BV20" s="484" t="n">
        <v>45</v>
      </c>
      <c r="BW20" s="484" t="n">
        <v>45</v>
      </c>
      <c r="BX20" s="484" t="n">
        <v>45</v>
      </c>
      <c r="BY20" s="484" t="n">
        <v>45</v>
      </c>
      <c r="BZ20" s="484" t="n">
        <v>45</v>
      </c>
      <c r="CA20" s="484" t="n">
        <v>45</v>
      </c>
      <c r="CB20" s="484" t="n">
        <v>45</v>
      </c>
      <c r="CC20" s="484" t="n">
        <v>45</v>
      </c>
      <c r="CD20" s="484" t="n">
        <v>45</v>
      </c>
      <c r="CE20" s="484" t="n">
        <v>45</v>
      </c>
      <c r="CF20" s="484" t="n">
        <v>45</v>
      </c>
      <c r="CG20" s="484" t="n">
        <v>45</v>
      </c>
      <c r="CH20" s="484" t="n">
        <v>45</v>
      </c>
      <c r="CI20" s="484" t="n">
        <v>45</v>
      </c>
      <c r="CJ20" s="484" t="n">
        <v>45</v>
      </c>
      <c r="CK20" s="484" t="n">
        <v>45</v>
      </c>
      <c r="CL20" s="484" t="n">
        <v>45</v>
      </c>
      <c r="CM20" s="484" t="n">
        <v>45</v>
      </c>
      <c r="CN20" s="484" t="n">
        <v>45</v>
      </c>
      <c r="CO20" s="484" t="n">
        <v>45</v>
      </c>
      <c r="CP20" s="484" t="n">
        <v>45</v>
      </c>
      <c r="CQ20" s="484" t="n">
        <v>45</v>
      </c>
      <c r="CR20" s="484" t="n">
        <v>45</v>
      </c>
      <c r="CS20" s="484" t="n">
        <v>45</v>
      </c>
      <c r="CT20" s="484" t="n">
        <v>45</v>
      </c>
      <c r="CU20" s="484" t="n">
        <v>45</v>
      </c>
      <c r="CV20" s="484" t="n">
        <v>45</v>
      </c>
      <c r="CW20" s="484" t="n">
        <v>45</v>
      </c>
      <c r="CX20" s="484" t="n">
        <v>45</v>
      </c>
      <c r="CY20" s="484" t="n">
        <v>45</v>
      </c>
      <c r="CZ20" s="484" t="n">
        <v>45</v>
      </c>
      <c r="DA20" s="484" t="n">
        <v>45</v>
      </c>
      <c r="DB20" s="484" t="n">
        <v>45</v>
      </c>
      <c r="DC20" s="484" t="n">
        <v>45</v>
      </c>
    </row>
    <row r="21" ht="12" customHeight="1" s="244">
      <c r="A21" s="261" t="n"/>
      <c r="B21" s="489" t="n"/>
      <c r="C21" s="482" t="n"/>
      <c r="D21" s="261" t="n"/>
      <c r="E21" s="259" t="n"/>
      <c r="F21" s="484">
        <f>F20-F10</f>
        <v/>
      </c>
      <c r="G21" s="484">
        <f>G20-G10</f>
        <v/>
      </c>
      <c r="H21" s="484">
        <f>H20-H10</f>
        <v/>
      </c>
      <c r="I21" s="484">
        <f>I20-I10</f>
        <v/>
      </c>
      <c r="J21" s="484">
        <f>J20-J10</f>
        <v/>
      </c>
      <c r="K21" s="484">
        <f>K20-K10</f>
        <v/>
      </c>
      <c r="L21" s="484">
        <f>L20-L10</f>
        <v/>
      </c>
      <c r="M21" s="484">
        <f>M20-M10</f>
        <v/>
      </c>
      <c r="N21" s="484">
        <f>N20-N10</f>
        <v/>
      </c>
      <c r="O21" s="484">
        <f>O20-O10</f>
        <v/>
      </c>
      <c r="P21" s="484">
        <f>P20-P10</f>
        <v/>
      </c>
      <c r="Q21" s="484">
        <f>Q20-Q10</f>
        <v/>
      </c>
      <c r="R21" s="484">
        <f>R20-R10</f>
        <v/>
      </c>
      <c r="S21" s="484">
        <f>S20-S10</f>
        <v/>
      </c>
      <c r="T21" s="484">
        <f>T20-T10</f>
        <v/>
      </c>
      <c r="U21" s="484">
        <f>U20-U10</f>
        <v/>
      </c>
      <c r="V21" s="484">
        <f>V20-V10</f>
        <v/>
      </c>
      <c r="W21" s="484">
        <f>W20-W10</f>
        <v/>
      </c>
      <c r="X21" s="484">
        <f>X20-X10</f>
        <v/>
      </c>
      <c r="Y21" s="484">
        <f>Y20-Y10</f>
        <v/>
      </c>
      <c r="Z21" s="484">
        <f>Z20-Z10</f>
        <v/>
      </c>
      <c r="AA21" s="484">
        <f>AA20-AA10</f>
        <v/>
      </c>
      <c r="AB21" s="484">
        <f>AB20-AB10</f>
        <v/>
      </c>
      <c r="AC21" s="484">
        <f>AC20-AC10</f>
        <v/>
      </c>
      <c r="AD21" s="484">
        <f>AD20-AD10</f>
        <v/>
      </c>
      <c r="AE21" s="484">
        <f>AE20-AE10</f>
        <v/>
      </c>
      <c r="AF21" s="484">
        <f>AF20-AF10</f>
        <v/>
      </c>
      <c r="AG21" s="484">
        <f>AG20-AG10</f>
        <v/>
      </c>
      <c r="AH21" s="484">
        <f>AH20-AH10</f>
        <v/>
      </c>
      <c r="AI21" s="484">
        <f>AI20-AI10</f>
        <v/>
      </c>
      <c r="AJ21" s="484">
        <f>AJ20-AJ10</f>
        <v/>
      </c>
      <c r="AK21" s="484">
        <f>AK20-AK10</f>
        <v/>
      </c>
      <c r="AL21" s="484">
        <f>AL20-AL10</f>
        <v/>
      </c>
      <c r="AM21" s="484">
        <f>AM20-AM10</f>
        <v/>
      </c>
      <c r="AN21" s="484">
        <f>AN20-AN10</f>
        <v/>
      </c>
      <c r="AO21" s="484">
        <f>AO20-AO10</f>
        <v/>
      </c>
      <c r="AP21" s="484">
        <f>AP20-AP10</f>
        <v/>
      </c>
      <c r="AQ21" s="484">
        <f>AQ20-AQ10</f>
        <v/>
      </c>
      <c r="AR21" s="484">
        <f>AR20-AR10</f>
        <v/>
      </c>
      <c r="AS21" s="484">
        <f>AS20-AS10</f>
        <v/>
      </c>
      <c r="AT21" s="484">
        <f>AT20-AT10</f>
        <v/>
      </c>
      <c r="AU21" s="484">
        <f>AU20-AU10</f>
        <v/>
      </c>
      <c r="AV21" s="484">
        <f>AV20-AV10</f>
        <v/>
      </c>
      <c r="AW21" s="484">
        <f>AW20-AW10</f>
        <v/>
      </c>
      <c r="AX21" s="484">
        <f>AX20-AX10</f>
        <v/>
      </c>
      <c r="AY21" s="484">
        <f>AY20-AY10</f>
        <v/>
      </c>
      <c r="AZ21" s="484">
        <f>AZ20-AZ10</f>
        <v/>
      </c>
      <c r="BA21" s="484">
        <f>BA20-BA10</f>
        <v/>
      </c>
      <c r="BB21" s="484">
        <f>BB20-BB10</f>
        <v/>
      </c>
      <c r="BC21" s="484">
        <f>BC20-BC10</f>
        <v/>
      </c>
      <c r="BD21" s="484">
        <f>BD20-BD10</f>
        <v/>
      </c>
      <c r="BE21" s="484">
        <f>BE20-BE10</f>
        <v/>
      </c>
      <c r="BF21" s="484">
        <f>BF20-BF10</f>
        <v/>
      </c>
      <c r="BG21" s="484">
        <f>BG20-BG10</f>
        <v/>
      </c>
      <c r="BH21" s="484">
        <f>BH20-BH10</f>
        <v/>
      </c>
      <c r="BI21" s="484">
        <f>BI20-BI10</f>
        <v/>
      </c>
      <c r="BJ21" s="484">
        <f>BJ20-BJ10</f>
        <v/>
      </c>
      <c r="BK21" s="484">
        <f>BK20-BK10</f>
        <v/>
      </c>
      <c r="BL21" s="484">
        <f>BL20-BL10</f>
        <v/>
      </c>
      <c r="BM21" s="484">
        <f>BM20-BM10</f>
        <v/>
      </c>
      <c r="BN21" s="484">
        <f>BN20-BN10</f>
        <v/>
      </c>
      <c r="BO21" s="484">
        <f>BO20-BO10</f>
        <v/>
      </c>
      <c r="BP21" s="484">
        <f>BP20-BP10</f>
        <v/>
      </c>
      <c r="BQ21" s="484">
        <f>BQ20-BQ10</f>
        <v/>
      </c>
      <c r="BR21" s="484">
        <f>BR20-BR10</f>
        <v/>
      </c>
      <c r="BS21" s="484">
        <f>BS20-BS10</f>
        <v/>
      </c>
      <c r="BT21" s="484">
        <f>BT20-BT10</f>
        <v/>
      </c>
      <c r="BU21" s="484">
        <f>BU20-BU10</f>
        <v/>
      </c>
      <c r="BV21" s="484">
        <f>BV20-BV10</f>
        <v/>
      </c>
      <c r="BW21" s="484">
        <f>BW20-BW10</f>
        <v/>
      </c>
      <c r="BX21" s="484">
        <f>BX20-BX10</f>
        <v/>
      </c>
      <c r="BY21" s="484">
        <f>BY20-BY10</f>
        <v/>
      </c>
      <c r="BZ21" s="484">
        <f>BZ20-BZ10</f>
        <v/>
      </c>
      <c r="CA21" s="484">
        <f>CA20-CA10</f>
        <v/>
      </c>
      <c r="CB21" s="484">
        <f>CB20-CB10</f>
        <v/>
      </c>
      <c r="CC21" s="484">
        <f>CC20-CC10</f>
        <v/>
      </c>
      <c r="CD21" s="484">
        <f>CD20-CD10</f>
        <v/>
      </c>
      <c r="CE21" s="484">
        <f>CE20-CE10</f>
        <v/>
      </c>
      <c r="CF21" s="484">
        <f>CF20-CF10</f>
        <v/>
      </c>
      <c r="CG21" s="484">
        <f>CG20-CG10</f>
        <v/>
      </c>
      <c r="CH21" s="484">
        <f>CH20-CH10</f>
        <v/>
      </c>
      <c r="CI21" s="484">
        <f>CI20-CI10</f>
        <v/>
      </c>
      <c r="CJ21" s="484">
        <f>CJ20-CJ10</f>
        <v/>
      </c>
      <c r="CK21" s="484">
        <f>CK20-CK10</f>
        <v/>
      </c>
      <c r="CL21" s="484">
        <f>CL20-CL10</f>
        <v/>
      </c>
      <c r="CM21" s="484">
        <f>CM20-CM10</f>
        <v/>
      </c>
      <c r="CN21" s="484">
        <f>CN20-CN10</f>
        <v/>
      </c>
      <c r="CO21" s="484">
        <f>CO20-CO10</f>
        <v/>
      </c>
      <c r="CP21" s="484">
        <f>CP20-CP10</f>
        <v/>
      </c>
      <c r="CQ21" s="484">
        <f>CQ20-CQ10</f>
        <v/>
      </c>
      <c r="CR21" s="484">
        <f>CR20-CR10</f>
        <v/>
      </c>
      <c r="CS21" s="484">
        <f>CS20-CS10</f>
        <v/>
      </c>
      <c r="CT21" s="484">
        <f>CT20-CT10</f>
        <v/>
      </c>
      <c r="CU21" s="484">
        <f>CU20-CU10</f>
        <v/>
      </c>
      <c r="CV21" s="484">
        <f>CV20-CV10</f>
        <v/>
      </c>
      <c r="CW21" s="484">
        <f>CW20-CW10</f>
        <v/>
      </c>
      <c r="CX21" s="484">
        <f>CX20-CX10</f>
        <v/>
      </c>
      <c r="CY21" s="484">
        <f>CY20-CY10</f>
        <v/>
      </c>
      <c r="CZ21" s="484">
        <f>CZ20-CZ10</f>
        <v/>
      </c>
      <c r="DA21" s="484">
        <f>DA20-DA10</f>
        <v/>
      </c>
      <c r="DB21" s="484">
        <f>DB20-DB10</f>
        <v/>
      </c>
      <c r="DC21" s="484">
        <f>DC20-DC10</f>
        <v/>
      </c>
    </row>
    <row r="22" ht="12" customHeight="1" s="244">
      <c r="A22" s="261" t="n"/>
      <c r="B22" s="490" t="n"/>
      <c r="C22" s="482" t="n"/>
      <c r="D22" s="261" t="n"/>
      <c r="E22" s="259" t="n"/>
      <c r="F22" s="484" t="n">
        <v>15</v>
      </c>
      <c r="G22" s="484" t="n">
        <v>15</v>
      </c>
      <c r="H22" s="484" t="n">
        <v>15</v>
      </c>
      <c r="I22" s="484" t="n">
        <v>15</v>
      </c>
      <c r="J22" s="484" t="n">
        <v>15</v>
      </c>
      <c r="K22" s="484" t="n">
        <v>15</v>
      </c>
      <c r="L22" s="484" t="n">
        <v>15</v>
      </c>
      <c r="M22" s="484" t="n">
        <v>15</v>
      </c>
      <c r="N22" s="484" t="n">
        <v>15</v>
      </c>
      <c r="O22" s="484" t="n">
        <v>15</v>
      </c>
      <c r="P22" s="484" t="n">
        <v>15</v>
      </c>
      <c r="Q22" s="484" t="n">
        <v>15</v>
      </c>
      <c r="R22" s="484" t="n">
        <v>15</v>
      </c>
      <c r="S22" s="484" t="n">
        <v>15</v>
      </c>
      <c r="T22" s="484" t="n">
        <v>15</v>
      </c>
      <c r="U22" s="484" t="n">
        <v>15</v>
      </c>
      <c r="V22" s="484" t="n">
        <v>15</v>
      </c>
      <c r="W22" s="484" t="n">
        <v>15</v>
      </c>
      <c r="X22" s="484" t="n">
        <v>15</v>
      </c>
      <c r="Y22" s="484" t="n">
        <v>15</v>
      </c>
      <c r="Z22" s="484" t="n">
        <v>15</v>
      </c>
      <c r="AA22" s="484" t="n">
        <v>15</v>
      </c>
      <c r="AB22" s="484" t="n">
        <v>15</v>
      </c>
      <c r="AC22" s="484" t="n">
        <v>15</v>
      </c>
      <c r="AD22" s="484" t="n">
        <v>15</v>
      </c>
      <c r="AE22" s="484" t="n">
        <v>15</v>
      </c>
      <c r="AF22" s="484" t="n">
        <v>15</v>
      </c>
      <c r="AG22" s="484" t="n">
        <v>15</v>
      </c>
      <c r="AH22" s="484" t="n">
        <v>15</v>
      </c>
      <c r="AI22" s="484" t="n">
        <v>15</v>
      </c>
      <c r="AJ22" s="484" t="n">
        <v>15</v>
      </c>
      <c r="AK22" s="484" t="n">
        <v>15</v>
      </c>
      <c r="AL22" s="484" t="n">
        <v>15</v>
      </c>
      <c r="AM22" s="484" t="n">
        <v>15</v>
      </c>
      <c r="AN22" s="484" t="n">
        <v>15</v>
      </c>
      <c r="AO22" s="484" t="n">
        <v>15</v>
      </c>
      <c r="AP22" s="484" t="n">
        <v>15</v>
      </c>
      <c r="AQ22" s="484" t="n">
        <v>15</v>
      </c>
      <c r="AR22" s="484" t="n">
        <v>15</v>
      </c>
      <c r="AS22" s="484" t="n">
        <v>15</v>
      </c>
      <c r="AT22" s="484" t="n">
        <v>15</v>
      </c>
      <c r="AU22" s="484" t="n">
        <v>15</v>
      </c>
      <c r="AV22" s="484" t="n">
        <v>15</v>
      </c>
      <c r="AW22" s="484" t="n">
        <v>15</v>
      </c>
      <c r="AX22" s="484" t="n">
        <v>15</v>
      </c>
      <c r="AY22" s="484" t="n">
        <v>15</v>
      </c>
      <c r="AZ22" s="484" t="n">
        <v>15</v>
      </c>
      <c r="BA22" s="484" t="n">
        <v>15</v>
      </c>
      <c r="BB22" s="484" t="n">
        <v>15</v>
      </c>
      <c r="BC22" s="484" t="n">
        <v>15</v>
      </c>
      <c r="BD22" s="484" t="n">
        <v>15</v>
      </c>
      <c r="BE22" s="484" t="n">
        <v>15</v>
      </c>
      <c r="BF22" s="484" t="n">
        <v>15</v>
      </c>
      <c r="BG22" s="484" t="n">
        <v>15</v>
      </c>
      <c r="BH22" s="484" t="n">
        <v>15</v>
      </c>
      <c r="BI22" s="484" t="n">
        <v>15</v>
      </c>
      <c r="BJ22" s="484" t="n">
        <v>15</v>
      </c>
      <c r="BK22" s="484" t="n">
        <v>15</v>
      </c>
      <c r="BL22" s="484" t="n">
        <v>15</v>
      </c>
      <c r="BM22" s="484" t="n">
        <v>15</v>
      </c>
      <c r="BN22" s="484" t="n">
        <v>15</v>
      </c>
      <c r="BO22" s="484" t="n">
        <v>15</v>
      </c>
      <c r="BP22" s="484" t="n">
        <v>15</v>
      </c>
      <c r="BQ22" s="484" t="n">
        <v>15</v>
      </c>
      <c r="BR22" s="484" t="n">
        <v>15</v>
      </c>
      <c r="BS22" s="484" t="n">
        <v>15</v>
      </c>
      <c r="BT22" s="484" t="n">
        <v>15</v>
      </c>
      <c r="BU22" s="484" t="n">
        <v>15</v>
      </c>
      <c r="BV22" s="484" t="n">
        <v>15</v>
      </c>
      <c r="BW22" s="484" t="n">
        <v>15</v>
      </c>
      <c r="BX22" s="484" t="n">
        <v>15</v>
      </c>
      <c r="BY22" s="484" t="n">
        <v>15</v>
      </c>
      <c r="BZ22" s="484" t="n">
        <v>15</v>
      </c>
      <c r="CA22" s="484" t="n">
        <v>15</v>
      </c>
      <c r="CB22" s="484" t="n">
        <v>15</v>
      </c>
      <c r="CC22" s="484" t="n">
        <v>15</v>
      </c>
      <c r="CD22" s="484" t="n">
        <v>15</v>
      </c>
      <c r="CE22" s="484" t="n">
        <v>15</v>
      </c>
      <c r="CF22" s="484" t="n">
        <v>15</v>
      </c>
      <c r="CG22" s="484" t="n">
        <v>15</v>
      </c>
      <c r="CH22" s="484" t="n">
        <v>15</v>
      </c>
      <c r="CI22" s="484" t="n">
        <v>15</v>
      </c>
      <c r="CJ22" s="484" t="n">
        <v>15</v>
      </c>
      <c r="CK22" s="484" t="n">
        <v>15</v>
      </c>
      <c r="CL22" s="484" t="n">
        <v>15</v>
      </c>
      <c r="CM22" s="484" t="n">
        <v>15</v>
      </c>
      <c r="CN22" s="484" t="n">
        <v>15</v>
      </c>
      <c r="CO22" s="484" t="n">
        <v>15</v>
      </c>
      <c r="CP22" s="484" t="n">
        <v>15</v>
      </c>
      <c r="CQ22" s="484" t="n">
        <v>15</v>
      </c>
      <c r="CR22" s="484" t="n">
        <v>15</v>
      </c>
      <c r="CS22" s="484" t="n">
        <v>15</v>
      </c>
      <c r="CT22" s="484" t="n">
        <v>15</v>
      </c>
      <c r="CU22" s="484" t="n">
        <v>15</v>
      </c>
      <c r="CV22" s="484" t="n">
        <v>15</v>
      </c>
      <c r="CW22" s="484" t="n">
        <v>15</v>
      </c>
      <c r="CX22" s="484" t="n">
        <v>15</v>
      </c>
      <c r="CY22" s="484" t="n">
        <v>15</v>
      </c>
      <c r="CZ22" s="484" t="n">
        <v>15</v>
      </c>
      <c r="DA22" s="484" t="n">
        <v>15</v>
      </c>
      <c r="DB22" s="484" t="n">
        <v>15</v>
      </c>
      <c r="DC22" s="484" t="n">
        <v>15</v>
      </c>
    </row>
    <row r="23" ht="12" customHeight="1" s="244">
      <c r="A23" s="261" t="n"/>
      <c r="B23" s="490" t="n"/>
      <c r="C23" s="482" t="n"/>
      <c r="D23" s="261" t="n"/>
      <c r="E23" s="259" t="n"/>
      <c r="F23" s="491" t="n">
        <v>40</v>
      </c>
      <c r="G23" s="491" t="n">
        <v>40</v>
      </c>
      <c r="H23" s="491" t="n">
        <v>40</v>
      </c>
      <c r="I23" s="491" t="n">
        <v>40</v>
      </c>
      <c r="J23" s="491" t="n">
        <v>40</v>
      </c>
      <c r="K23" s="491" t="n">
        <v>40</v>
      </c>
      <c r="L23" s="491" t="n">
        <v>40</v>
      </c>
      <c r="M23" s="491" t="n">
        <v>40</v>
      </c>
      <c r="N23" s="491" t="n">
        <v>40</v>
      </c>
      <c r="O23" s="491" t="n">
        <v>40</v>
      </c>
      <c r="P23" s="491" t="n">
        <v>40</v>
      </c>
      <c r="Q23" s="491" t="n">
        <v>40</v>
      </c>
      <c r="R23" s="491" t="n">
        <v>40</v>
      </c>
      <c r="S23" s="491" t="n">
        <v>40</v>
      </c>
      <c r="T23" s="491" t="n">
        <v>40</v>
      </c>
      <c r="U23" s="491" t="n">
        <v>40</v>
      </c>
      <c r="V23" s="491" t="n">
        <v>40</v>
      </c>
      <c r="W23" s="491" t="n">
        <v>40</v>
      </c>
      <c r="X23" s="491" t="n">
        <v>40</v>
      </c>
      <c r="Y23" s="491" t="n">
        <v>40</v>
      </c>
      <c r="Z23" s="491" t="n">
        <v>40</v>
      </c>
      <c r="AA23" s="491" t="n">
        <v>40</v>
      </c>
      <c r="AB23" s="491" t="n">
        <v>40</v>
      </c>
      <c r="AC23" s="491" t="n">
        <v>40</v>
      </c>
      <c r="AD23" s="491" t="n">
        <v>40</v>
      </c>
      <c r="AE23" s="491" t="n">
        <v>40</v>
      </c>
      <c r="AF23" s="491" t="n">
        <v>40</v>
      </c>
      <c r="AG23" s="491" t="n">
        <v>40</v>
      </c>
      <c r="AH23" s="491" t="n">
        <v>40</v>
      </c>
      <c r="AI23" s="491" t="n">
        <v>40</v>
      </c>
      <c r="AJ23" s="491" t="n">
        <v>40</v>
      </c>
      <c r="AK23" s="491" t="n">
        <v>40</v>
      </c>
      <c r="AL23" s="491" t="n">
        <v>40</v>
      </c>
      <c r="AM23" s="491" t="n">
        <v>40</v>
      </c>
      <c r="AN23" s="491" t="n">
        <v>40</v>
      </c>
      <c r="AO23" s="491" t="n">
        <v>40</v>
      </c>
      <c r="AP23" s="491" t="n">
        <v>40</v>
      </c>
      <c r="AQ23" s="491" t="n">
        <v>40</v>
      </c>
      <c r="AR23" s="491" t="n">
        <v>40</v>
      </c>
      <c r="AS23" s="491" t="n">
        <v>40</v>
      </c>
      <c r="AT23" s="491" t="n">
        <v>40</v>
      </c>
      <c r="AU23" s="491" t="n">
        <v>40</v>
      </c>
      <c r="AV23" s="491" t="n">
        <v>40</v>
      </c>
      <c r="AW23" s="491" t="n">
        <v>40</v>
      </c>
      <c r="AX23" s="491" t="n">
        <v>40</v>
      </c>
      <c r="AY23" s="491" t="n">
        <v>40</v>
      </c>
      <c r="AZ23" s="491" t="n">
        <v>40</v>
      </c>
      <c r="BA23" s="491" t="n">
        <v>40</v>
      </c>
      <c r="BB23" s="491" t="n">
        <v>40</v>
      </c>
      <c r="BC23" s="491" t="n">
        <v>40</v>
      </c>
      <c r="BD23" s="491" t="n">
        <v>40</v>
      </c>
      <c r="BE23" s="491" t="n">
        <v>40</v>
      </c>
      <c r="BF23" s="491" t="n">
        <v>40</v>
      </c>
      <c r="BG23" s="491" t="n">
        <v>40</v>
      </c>
      <c r="BH23" s="491" t="n">
        <v>40</v>
      </c>
      <c r="BI23" s="491" t="n">
        <v>40</v>
      </c>
      <c r="BJ23" s="491" t="n">
        <v>40</v>
      </c>
      <c r="BK23" s="491" t="n">
        <v>40</v>
      </c>
      <c r="BL23" s="491" t="n">
        <v>40</v>
      </c>
      <c r="BM23" s="491" t="n">
        <v>40</v>
      </c>
      <c r="BN23" s="491" t="n">
        <v>40</v>
      </c>
      <c r="BO23" s="491" t="n">
        <v>40</v>
      </c>
      <c r="BP23" s="491" t="n">
        <v>40</v>
      </c>
      <c r="BQ23" s="491" t="n">
        <v>40</v>
      </c>
      <c r="BR23" s="491" t="n">
        <v>40</v>
      </c>
      <c r="BS23" s="491" t="n">
        <v>40</v>
      </c>
      <c r="BT23" s="491" t="n">
        <v>40</v>
      </c>
      <c r="BU23" s="491" t="n">
        <v>40</v>
      </c>
      <c r="BV23" s="491" t="n">
        <v>40</v>
      </c>
      <c r="BW23" s="491" t="n">
        <v>40</v>
      </c>
      <c r="BX23" s="491" t="n">
        <v>40</v>
      </c>
      <c r="BY23" s="491" t="n">
        <v>40</v>
      </c>
      <c r="BZ23" s="491" t="n">
        <v>40</v>
      </c>
      <c r="CA23" s="491" t="n">
        <v>40</v>
      </c>
      <c r="CB23" s="491" t="n">
        <v>40</v>
      </c>
      <c r="CC23" s="491" t="n">
        <v>40</v>
      </c>
      <c r="CD23" s="491" t="n">
        <v>40</v>
      </c>
      <c r="CE23" s="491" t="n">
        <v>40</v>
      </c>
      <c r="CF23" s="491" t="n">
        <v>40</v>
      </c>
      <c r="CG23" s="491" t="n">
        <v>40</v>
      </c>
      <c r="CH23" s="491" t="n">
        <v>40</v>
      </c>
      <c r="CI23" s="491" t="n">
        <v>40</v>
      </c>
      <c r="CJ23" s="491" t="n">
        <v>40</v>
      </c>
      <c r="CK23" s="491" t="n">
        <v>40</v>
      </c>
      <c r="CL23" s="491" t="n">
        <v>40</v>
      </c>
      <c r="CM23" s="491" t="n">
        <v>40</v>
      </c>
      <c r="CN23" s="491" t="n">
        <v>40</v>
      </c>
      <c r="CO23" s="491" t="n">
        <v>40</v>
      </c>
      <c r="CP23" s="491" t="n">
        <v>40</v>
      </c>
      <c r="CQ23" s="491" t="n">
        <v>40</v>
      </c>
      <c r="CR23" s="491" t="n">
        <v>40</v>
      </c>
      <c r="CS23" s="491" t="n">
        <v>40</v>
      </c>
      <c r="CT23" s="491" t="n">
        <v>40</v>
      </c>
      <c r="CU23" s="491" t="n">
        <v>40</v>
      </c>
      <c r="CV23" s="491" t="n">
        <v>40</v>
      </c>
      <c r="CW23" s="491" t="n">
        <v>40</v>
      </c>
      <c r="CX23" s="491" t="n">
        <v>40</v>
      </c>
      <c r="CY23" s="491" t="n">
        <v>40</v>
      </c>
      <c r="CZ23" s="491" t="n">
        <v>40</v>
      </c>
      <c r="DA23" s="491" t="n">
        <v>40</v>
      </c>
      <c r="DB23" s="491" t="n">
        <v>40</v>
      </c>
      <c r="DC23" s="491" t="n">
        <v>40</v>
      </c>
    </row>
    <row r="24" ht="12" customHeight="1" s="244">
      <c r="A24" s="261" t="n"/>
      <c r="B24" s="489" t="n"/>
      <c r="C24" s="482" t="n"/>
      <c r="D24" s="261" t="n"/>
      <c r="E24" s="259" t="n"/>
      <c r="F24" s="484">
        <f>F23-F10</f>
        <v/>
      </c>
      <c r="G24" s="484">
        <f>G23-G10</f>
        <v/>
      </c>
      <c r="H24" s="484">
        <f>H23-H10</f>
        <v/>
      </c>
      <c r="I24" s="484">
        <f>I23-I10</f>
        <v/>
      </c>
      <c r="J24" s="484">
        <f>J23-J10</f>
        <v/>
      </c>
      <c r="K24" s="484">
        <f>K23-K10</f>
        <v/>
      </c>
      <c r="L24" s="484">
        <f>L23-L10</f>
        <v/>
      </c>
      <c r="M24" s="484">
        <f>M23-M10</f>
        <v/>
      </c>
      <c r="N24" s="484">
        <f>N23-N10</f>
        <v/>
      </c>
      <c r="O24" s="484">
        <f>O23-O10</f>
        <v/>
      </c>
      <c r="P24" s="484">
        <f>P23-P10</f>
        <v/>
      </c>
      <c r="Q24" s="484">
        <f>Q23-Q10</f>
        <v/>
      </c>
      <c r="R24" s="484">
        <f>R23-R10</f>
        <v/>
      </c>
      <c r="S24" s="484">
        <f>S23-S10</f>
        <v/>
      </c>
      <c r="T24" s="484">
        <f>T23-T10</f>
        <v/>
      </c>
      <c r="U24" s="484">
        <f>U23-U10</f>
        <v/>
      </c>
      <c r="V24" s="484">
        <f>V23-V10</f>
        <v/>
      </c>
      <c r="W24" s="484">
        <f>W23-W10</f>
        <v/>
      </c>
      <c r="X24" s="484">
        <f>X23-X10</f>
        <v/>
      </c>
      <c r="Y24" s="484">
        <f>Y23-Y10</f>
        <v/>
      </c>
      <c r="Z24" s="484">
        <f>Z23-Z10</f>
        <v/>
      </c>
      <c r="AA24" s="484">
        <f>AA23-AA10</f>
        <v/>
      </c>
      <c r="AB24" s="484">
        <f>AB23-AB10</f>
        <v/>
      </c>
      <c r="AC24" s="484">
        <f>AC23-AC10</f>
        <v/>
      </c>
      <c r="AD24" s="484">
        <f>AD23-AD10</f>
        <v/>
      </c>
      <c r="AE24" s="484">
        <f>AE23-AE10</f>
        <v/>
      </c>
      <c r="AF24" s="484">
        <f>AF23-AF10</f>
        <v/>
      </c>
      <c r="AG24" s="484">
        <f>AG23-AG10</f>
        <v/>
      </c>
      <c r="AH24" s="484">
        <f>AH23-AH10</f>
        <v/>
      </c>
      <c r="AI24" s="484">
        <f>AI23-AI10</f>
        <v/>
      </c>
      <c r="AJ24" s="484">
        <f>AJ23-AJ10</f>
        <v/>
      </c>
      <c r="AK24" s="484">
        <f>AK23-AK10</f>
        <v/>
      </c>
      <c r="AL24" s="484">
        <f>AL23-AL10</f>
        <v/>
      </c>
      <c r="AM24" s="484">
        <f>AM23-AM10</f>
        <v/>
      </c>
      <c r="AN24" s="484">
        <f>AN23-AN10</f>
        <v/>
      </c>
      <c r="AO24" s="484">
        <f>AO23-AO10</f>
        <v/>
      </c>
      <c r="AP24" s="484">
        <f>AP23-AP10</f>
        <v/>
      </c>
      <c r="AQ24" s="484">
        <f>AQ23-AQ10</f>
        <v/>
      </c>
      <c r="AR24" s="484">
        <f>AR23-AR10</f>
        <v/>
      </c>
      <c r="AS24" s="484">
        <f>AS23-AS10</f>
        <v/>
      </c>
      <c r="AT24" s="484">
        <f>AT23-AT10</f>
        <v/>
      </c>
      <c r="AU24" s="484">
        <f>AU23-AU10</f>
        <v/>
      </c>
      <c r="AV24" s="484">
        <f>AV23-AV10</f>
        <v/>
      </c>
      <c r="AW24" s="484">
        <f>AW23-AW10</f>
        <v/>
      </c>
      <c r="AX24" s="484">
        <f>AX23-AX10</f>
        <v/>
      </c>
      <c r="AY24" s="484">
        <f>AY23-AY10</f>
        <v/>
      </c>
      <c r="AZ24" s="484">
        <f>AZ23-AZ10</f>
        <v/>
      </c>
      <c r="BA24" s="484">
        <f>BA23-BA10</f>
        <v/>
      </c>
      <c r="BB24" s="484">
        <f>BB23-BB10</f>
        <v/>
      </c>
      <c r="BC24" s="484">
        <f>BC23-BC10</f>
        <v/>
      </c>
      <c r="BD24" s="484">
        <f>BD23-BD10</f>
        <v/>
      </c>
      <c r="BE24" s="484">
        <f>BE23-BE10</f>
        <v/>
      </c>
      <c r="BF24" s="484">
        <f>BF23-BF10</f>
        <v/>
      </c>
      <c r="BG24" s="484">
        <f>BG23-BG10</f>
        <v/>
      </c>
      <c r="BH24" s="484">
        <f>BH23-BH10</f>
        <v/>
      </c>
      <c r="BI24" s="484">
        <f>BI23-BI10</f>
        <v/>
      </c>
      <c r="BJ24" s="484">
        <f>BJ23-BJ10</f>
        <v/>
      </c>
      <c r="BK24" s="484">
        <f>BK23-BK10</f>
        <v/>
      </c>
      <c r="BL24" s="484">
        <f>BL23-BL10</f>
        <v/>
      </c>
      <c r="BM24" s="484">
        <f>BM23-BM10</f>
        <v/>
      </c>
      <c r="BN24" s="484">
        <f>BN23-BN10</f>
        <v/>
      </c>
      <c r="BO24" s="484">
        <f>BO23-BO10</f>
        <v/>
      </c>
      <c r="BP24" s="484">
        <f>BP23-BP10</f>
        <v/>
      </c>
      <c r="BQ24" s="484">
        <f>BQ23-BQ10</f>
        <v/>
      </c>
      <c r="BR24" s="484">
        <f>BR23-BR10</f>
        <v/>
      </c>
      <c r="BS24" s="484">
        <f>BS23-BS10</f>
        <v/>
      </c>
      <c r="BT24" s="484">
        <f>BT23-BT10</f>
        <v/>
      </c>
      <c r="BU24" s="484">
        <f>BU23-BU10</f>
        <v/>
      </c>
      <c r="BV24" s="484">
        <f>BV23-BV10</f>
        <v/>
      </c>
      <c r="BW24" s="484">
        <f>BW23-BW10</f>
        <v/>
      </c>
      <c r="BX24" s="484">
        <f>BX23-BX10</f>
        <v/>
      </c>
      <c r="BY24" s="484">
        <f>BY23-BY10</f>
        <v/>
      </c>
      <c r="BZ24" s="484">
        <f>BZ23-BZ10</f>
        <v/>
      </c>
      <c r="CA24" s="484">
        <f>CA23-CA10</f>
        <v/>
      </c>
      <c r="CB24" s="484">
        <f>CB23-CB10</f>
        <v/>
      </c>
      <c r="CC24" s="484">
        <f>CC23-CC10</f>
        <v/>
      </c>
      <c r="CD24" s="484">
        <f>CD23-CD10</f>
        <v/>
      </c>
      <c r="CE24" s="484">
        <f>CE23-CE10</f>
        <v/>
      </c>
      <c r="CF24" s="484">
        <f>CF23-CF10</f>
        <v/>
      </c>
      <c r="CG24" s="484">
        <f>CG23-CG10</f>
        <v/>
      </c>
      <c r="CH24" s="484">
        <f>CH23-CH10</f>
        <v/>
      </c>
      <c r="CI24" s="484">
        <f>CI23-CI10</f>
        <v/>
      </c>
      <c r="CJ24" s="484">
        <f>CJ23-CJ10</f>
        <v/>
      </c>
      <c r="CK24" s="484">
        <f>CK23-CK10</f>
        <v/>
      </c>
      <c r="CL24" s="484">
        <f>CL23-CL10</f>
        <v/>
      </c>
      <c r="CM24" s="484">
        <f>CM23-CM10</f>
        <v/>
      </c>
      <c r="CN24" s="484">
        <f>CN23-CN10</f>
        <v/>
      </c>
      <c r="CO24" s="484">
        <f>CO23-CO10</f>
        <v/>
      </c>
      <c r="CP24" s="484">
        <f>CP23-CP10</f>
        <v/>
      </c>
      <c r="CQ24" s="484">
        <f>CQ23-CQ10</f>
        <v/>
      </c>
      <c r="CR24" s="484">
        <f>CR23-CR10</f>
        <v/>
      </c>
      <c r="CS24" s="484">
        <f>CS23-CS10</f>
        <v/>
      </c>
      <c r="CT24" s="484">
        <f>CT23-CT10</f>
        <v/>
      </c>
      <c r="CU24" s="484">
        <f>CU23-CU10</f>
        <v/>
      </c>
      <c r="CV24" s="484">
        <f>CV23-CV10</f>
        <v/>
      </c>
      <c r="CW24" s="484">
        <f>CW23-CW10</f>
        <v/>
      </c>
      <c r="CX24" s="484">
        <f>CX23-CX10</f>
        <v/>
      </c>
      <c r="CY24" s="484">
        <f>CY23-CY10</f>
        <v/>
      </c>
      <c r="CZ24" s="484">
        <f>CZ23-CZ10</f>
        <v/>
      </c>
      <c r="DA24" s="484">
        <f>DA23-DA10</f>
        <v/>
      </c>
      <c r="DB24" s="484">
        <f>DB23-DB10</f>
        <v/>
      </c>
      <c r="DC24" s="484">
        <f>DC23-DC10</f>
        <v/>
      </c>
    </row>
    <row r="25" ht="12" customHeight="1" s="244">
      <c r="A25" s="261" t="n"/>
      <c r="B25" s="489" t="n"/>
      <c r="C25" s="482" t="n"/>
      <c r="D25" s="261" t="n"/>
      <c r="E25" s="259" t="n"/>
      <c r="F25" s="484">
        <f>2*(F21-F24)</f>
        <v/>
      </c>
      <c r="G25" s="484">
        <f>2*(G21-G24)</f>
        <v/>
      </c>
      <c r="H25" s="484">
        <f>2*(H21-H24)</f>
        <v/>
      </c>
      <c r="I25" s="484">
        <f>2*(I21-I24)</f>
        <v/>
      </c>
      <c r="J25" s="484">
        <f>2*(J21-J24)</f>
        <v/>
      </c>
      <c r="K25" s="484">
        <f>2*(K21-K24)</f>
        <v/>
      </c>
      <c r="L25" s="484">
        <f>2*(L21-L24)</f>
        <v/>
      </c>
      <c r="M25" s="484">
        <f>2*(M21-M24)</f>
        <v/>
      </c>
      <c r="N25" s="484">
        <f>2*(N21-N24)</f>
        <v/>
      </c>
      <c r="O25" s="484">
        <f>2*(O21-O24)</f>
        <v/>
      </c>
      <c r="P25" s="484">
        <f>2*(P21-P24)</f>
        <v/>
      </c>
      <c r="Q25" s="484">
        <f>2*(Q21-Q24)</f>
        <v/>
      </c>
      <c r="R25" s="484">
        <f>2*(R21-R24)</f>
        <v/>
      </c>
      <c r="S25" s="484">
        <f>2*(S21-S24)</f>
        <v/>
      </c>
      <c r="T25" s="484">
        <f>2*(T21-T24)</f>
        <v/>
      </c>
      <c r="U25" s="484">
        <f>2*(U21-U24)</f>
        <v/>
      </c>
      <c r="V25" s="484">
        <f>2*(V21-V24)</f>
        <v/>
      </c>
      <c r="W25" s="484">
        <f>2*(W21-W24)</f>
        <v/>
      </c>
      <c r="X25" s="484">
        <f>2*(X21-X24)</f>
        <v/>
      </c>
      <c r="Y25" s="484">
        <f>2*(Y21-Y24)</f>
        <v/>
      </c>
      <c r="Z25" s="484">
        <f>2*(Z21-Z24)</f>
        <v/>
      </c>
      <c r="AA25" s="484">
        <f>2*(AA21-AA24)</f>
        <v/>
      </c>
      <c r="AB25" s="484">
        <f>2*(AB21-AB24)</f>
        <v/>
      </c>
      <c r="AC25" s="484">
        <f>2*(AC21-AC24)</f>
        <v/>
      </c>
      <c r="AD25" s="484">
        <f>2*(AD21-AD24)</f>
        <v/>
      </c>
      <c r="AE25" s="484">
        <f>2*(AE21-AE24)</f>
        <v/>
      </c>
      <c r="AF25" s="484">
        <f>2*(AF21-AF24)</f>
        <v/>
      </c>
      <c r="AG25" s="484">
        <f>2*(AG21-AG24)</f>
        <v/>
      </c>
      <c r="AH25" s="484">
        <f>2*(AH21-AH24)</f>
        <v/>
      </c>
      <c r="AI25" s="484">
        <f>2*(AI21-AI24)</f>
        <v/>
      </c>
      <c r="AJ25" s="484">
        <f>2*(AJ21-AJ24)</f>
        <v/>
      </c>
      <c r="AK25" s="484">
        <f>2*(AK21-AK24)</f>
        <v/>
      </c>
      <c r="AL25" s="484">
        <f>2*(AL21-AL24)</f>
        <v/>
      </c>
      <c r="AM25" s="484">
        <f>2*(AM21-AM24)</f>
        <v/>
      </c>
      <c r="AN25" s="484">
        <f>2*(AN21-AN24)</f>
        <v/>
      </c>
      <c r="AO25" s="484">
        <f>2*(AO21-AO24)</f>
        <v/>
      </c>
      <c r="AP25" s="484">
        <f>2*(AP21-AP24)</f>
        <v/>
      </c>
      <c r="AQ25" s="484">
        <f>2*(AQ21-AQ24)</f>
        <v/>
      </c>
      <c r="AR25" s="484">
        <f>2*(AR21-AR24)</f>
        <v/>
      </c>
      <c r="AS25" s="484">
        <f>2*(AS21-AS24)</f>
        <v/>
      </c>
      <c r="AT25" s="484">
        <f>2*(AT21-AT24)</f>
        <v/>
      </c>
      <c r="AU25" s="484">
        <f>2*(AU21-AU24)</f>
        <v/>
      </c>
      <c r="AV25" s="484">
        <f>2*(AV21-AV24)</f>
        <v/>
      </c>
      <c r="AW25" s="484">
        <f>2*(AW21-AW24)</f>
        <v/>
      </c>
      <c r="AX25" s="484">
        <f>2*(AX21-AX24)</f>
        <v/>
      </c>
      <c r="AY25" s="484">
        <f>2*(AY21-AY24)</f>
        <v/>
      </c>
      <c r="AZ25" s="484">
        <f>2*(AZ21-AZ24)</f>
        <v/>
      </c>
      <c r="BA25" s="484">
        <f>2*(BA21-BA24)</f>
        <v/>
      </c>
      <c r="BB25" s="484">
        <f>2*(BB21-BB24)</f>
        <v/>
      </c>
      <c r="BC25" s="484">
        <f>2*(BC21-BC24)</f>
        <v/>
      </c>
      <c r="BD25" s="484">
        <f>2*(BD21-BD24)</f>
        <v/>
      </c>
      <c r="BE25" s="484">
        <f>2*(BE21-BE24)</f>
        <v/>
      </c>
      <c r="BF25" s="484">
        <f>2*(BF21-BF24)</f>
        <v/>
      </c>
      <c r="BG25" s="484">
        <f>2*(BG21-BG24)</f>
        <v/>
      </c>
      <c r="BH25" s="484">
        <f>2*(BH21-BH24)</f>
        <v/>
      </c>
      <c r="BI25" s="484">
        <f>2*(BI21-BI24)</f>
        <v/>
      </c>
      <c r="BJ25" s="484">
        <f>2*(BJ21-BJ24)</f>
        <v/>
      </c>
      <c r="BK25" s="484">
        <f>2*(BK21-BK24)</f>
        <v/>
      </c>
      <c r="BL25" s="484">
        <f>2*(BL21-BL24)</f>
        <v/>
      </c>
      <c r="BM25" s="484">
        <f>2*(BM21-BM24)</f>
        <v/>
      </c>
      <c r="BN25" s="484">
        <f>2*(BN21-BN24)</f>
        <v/>
      </c>
      <c r="BO25" s="484">
        <f>2*(BO21-BO24)</f>
        <v/>
      </c>
      <c r="BP25" s="484">
        <f>2*(BP21-BP24)</f>
        <v/>
      </c>
      <c r="BQ25" s="484">
        <f>2*(BQ21-BQ24)</f>
        <v/>
      </c>
      <c r="BR25" s="484">
        <f>2*(BR21-BR24)</f>
        <v/>
      </c>
      <c r="BS25" s="484">
        <f>2*(BS21-BS24)</f>
        <v/>
      </c>
      <c r="BT25" s="484">
        <f>2*(BT21-BT24)</f>
        <v/>
      </c>
      <c r="BU25" s="484">
        <f>2*(BU21-BU24)</f>
        <v/>
      </c>
      <c r="BV25" s="484">
        <f>2*(BV21-BV24)</f>
        <v/>
      </c>
      <c r="BW25" s="484">
        <f>2*(BW21-BW24)</f>
        <v/>
      </c>
      <c r="BX25" s="484">
        <f>2*(BX21-BX24)</f>
        <v/>
      </c>
      <c r="BY25" s="484">
        <f>2*(BY21-BY24)</f>
        <v/>
      </c>
      <c r="BZ25" s="484">
        <f>2*(BZ21-BZ24)</f>
        <v/>
      </c>
      <c r="CA25" s="484">
        <f>2*(CA21-CA24)</f>
        <v/>
      </c>
      <c r="CB25" s="484">
        <f>2*(CB21-CB24)</f>
        <v/>
      </c>
      <c r="CC25" s="484">
        <f>2*(CC21-CC24)</f>
        <v/>
      </c>
      <c r="CD25" s="484">
        <f>2*(CD21-CD24)</f>
        <v/>
      </c>
      <c r="CE25" s="484">
        <f>2*(CE21-CE24)</f>
        <v/>
      </c>
      <c r="CF25" s="484">
        <f>2*(CF21-CF24)</f>
        <v/>
      </c>
      <c r="CG25" s="484">
        <f>2*(CG21-CG24)</f>
        <v/>
      </c>
      <c r="CH25" s="484">
        <f>2*(CH21-CH24)</f>
        <v/>
      </c>
      <c r="CI25" s="484">
        <f>2*(CI21-CI24)</f>
        <v/>
      </c>
      <c r="CJ25" s="484">
        <f>2*(CJ21-CJ24)</f>
        <v/>
      </c>
      <c r="CK25" s="484">
        <f>2*(CK21-CK24)</f>
        <v/>
      </c>
      <c r="CL25" s="484">
        <f>2*(CL21-CL24)</f>
        <v/>
      </c>
      <c r="CM25" s="484">
        <f>2*(CM21-CM24)</f>
        <v/>
      </c>
      <c r="CN25" s="484">
        <f>2*(CN21-CN24)</f>
        <v/>
      </c>
      <c r="CO25" s="484">
        <f>2*(CO21-CO24)</f>
        <v/>
      </c>
      <c r="CP25" s="484">
        <f>2*(CP21-CP24)</f>
        <v/>
      </c>
      <c r="CQ25" s="484">
        <f>2*(CQ21-CQ24)</f>
        <v/>
      </c>
      <c r="CR25" s="484">
        <f>2*(CR21-CR24)</f>
        <v/>
      </c>
      <c r="CS25" s="484">
        <f>2*(CS21-CS24)</f>
        <v/>
      </c>
      <c r="CT25" s="484">
        <f>2*(CT21-CT24)</f>
        <v/>
      </c>
      <c r="CU25" s="484">
        <f>2*(CU21-CU24)</f>
        <v/>
      </c>
      <c r="CV25" s="484">
        <f>2*(CV21-CV24)</f>
        <v/>
      </c>
      <c r="CW25" s="484">
        <f>2*(CW21-CW24)</f>
        <v/>
      </c>
      <c r="CX25" s="484">
        <f>2*(CX21-CX24)</f>
        <v/>
      </c>
      <c r="CY25" s="484">
        <f>2*(CY21-CY24)</f>
        <v/>
      </c>
      <c r="CZ25" s="484">
        <f>2*(CZ21-CZ24)</f>
        <v/>
      </c>
      <c r="DA25" s="484">
        <f>2*(DA21-DA24)</f>
        <v/>
      </c>
      <c r="DB25" s="484">
        <f>2*(DB21-DB24)</f>
        <v/>
      </c>
      <c r="DC25" s="484">
        <f>2*(DC21-DC24)</f>
        <v/>
      </c>
    </row>
    <row r="26" ht="12" customHeight="1" s="244">
      <c r="A26" s="261" t="n"/>
      <c r="B26" s="490" t="n"/>
      <c r="C26" s="482" t="n"/>
      <c r="D26" s="492" t="n"/>
      <c r="E26" s="259" t="n"/>
      <c r="F26" s="488">
        <f>0.2*F14</f>
        <v/>
      </c>
      <c r="G26" s="488">
        <f>0.2*G14</f>
        <v/>
      </c>
      <c r="H26" s="488">
        <f>0.2*H14</f>
        <v/>
      </c>
      <c r="I26" s="488">
        <f>0.2*I14</f>
        <v/>
      </c>
      <c r="J26" s="488">
        <f>0.2*J14</f>
        <v/>
      </c>
      <c r="K26" s="488">
        <f>0.2*K14</f>
        <v/>
      </c>
      <c r="L26" s="488">
        <f>0.2*L14</f>
        <v/>
      </c>
      <c r="M26" s="488">
        <f>0.2*M14</f>
        <v/>
      </c>
      <c r="N26" s="488">
        <f>0.2*N14</f>
        <v/>
      </c>
      <c r="O26" s="488">
        <f>0.2*O14</f>
        <v/>
      </c>
      <c r="P26" s="488">
        <f>0.2*P14</f>
        <v/>
      </c>
      <c r="Q26" s="488">
        <f>0.2*Q14</f>
        <v/>
      </c>
      <c r="R26" s="488">
        <f>0.2*R14</f>
        <v/>
      </c>
      <c r="S26" s="488">
        <f>0.2*S14</f>
        <v/>
      </c>
      <c r="T26" s="488">
        <f>0.2*T14</f>
        <v/>
      </c>
      <c r="U26" s="488">
        <f>0.2*U14</f>
        <v/>
      </c>
      <c r="V26" s="488">
        <f>0.2*V14</f>
        <v/>
      </c>
      <c r="W26" s="488">
        <f>0.2*W14</f>
        <v/>
      </c>
      <c r="X26" s="488">
        <f>0.2*X14</f>
        <v/>
      </c>
      <c r="Y26" s="488">
        <f>0.2*Y14</f>
        <v/>
      </c>
      <c r="Z26" s="488">
        <f>0.2*Z14</f>
        <v/>
      </c>
      <c r="AA26" s="488">
        <f>0.2*AA14</f>
        <v/>
      </c>
      <c r="AB26" s="488">
        <f>0.2*AB14</f>
        <v/>
      </c>
      <c r="AC26" s="488">
        <f>0.2*AC14</f>
        <v/>
      </c>
      <c r="AD26" s="488">
        <f>0.2*AD14</f>
        <v/>
      </c>
      <c r="AE26" s="488">
        <f>0.2*AE14</f>
        <v/>
      </c>
      <c r="AF26" s="488">
        <f>0.2*AF14</f>
        <v/>
      </c>
      <c r="AG26" s="488">
        <f>0.2*AG14</f>
        <v/>
      </c>
      <c r="AH26" s="488">
        <f>0.2*AH14</f>
        <v/>
      </c>
      <c r="AI26" s="488">
        <f>0.2*AI14</f>
        <v/>
      </c>
      <c r="AJ26" s="488">
        <f>0.2*AJ14</f>
        <v/>
      </c>
      <c r="AK26" s="488">
        <f>0.2*AK14</f>
        <v/>
      </c>
      <c r="AL26" s="488">
        <f>0.2*AL14</f>
        <v/>
      </c>
      <c r="AM26" s="488">
        <f>0.2*AM14</f>
        <v/>
      </c>
      <c r="AN26" s="488">
        <f>0.2*AN14</f>
        <v/>
      </c>
      <c r="AO26" s="488">
        <f>0.2*AO14</f>
        <v/>
      </c>
      <c r="AP26" s="488">
        <f>0.2*AP14</f>
        <v/>
      </c>
      <c r="AQ26" s="488">
        <f>0.2*AQ14</f>
        <v/>
      </c>
      <c r="AR26" s="488">
        <f>0.2*AR14</f>
        <v/>
      </c>
      <c r="AS26" s="488">
        <f>0.2*AS14</f>
        <v/>
      </c>
      <c r="AT26" s="488">
        <f>0.2*AT14</f>
        <v/>
      </c>
      <c r="AU26" s="488">
        <f>0.2*AU14</f>
        <v/>
      </c>
      <c r="AV26" s="488">
        <f>0.2*AV14</f>
        <v/>
      </c>
      <c r="AW26" s="488">
        <f>0.2*AW14</f>
        <v/>
      </c>
      <c r="AX26" s="488">
        <f>0.2*AX14</f>
        <v/>
      </c>
      <c r="AY26" s="488">
        <f>0.2*AY14</f>
        <v/>
      </c>
      <c r="AZ26" s="488">
        <f>0.2*AZ14</f>
        <v/>
      </c>
      <c r="BA26" s="488">
        <f>0.2*BA14</f>
        <v/>
      </c>
      <c r="BB26" s="488">
        <f>0.2*BB14</f>
        <v/>
      </c>
      <c r="BC26" s="488">
        <f>0.2*BC14</f>
        <v/>
      </c>
      <c r="BD26" s="488">
        <f>0.2*BD14</f>
        <v/>
      </c>
      <c r="BE26" s="488">
        <f>0.2*BE14</f>
        <v/>
      </c>
      <c r="BF26" s="488">
        <f>0.2*BF14</f>
        <v/>
      </c>
      <c r="BG26" s="488">
        <f>0.2*BG14</f>
        <v/>
      </c>
      <c r="BH26" s="488">
        <f>0.2*BH14</f>
        <v/>
      </c>
      <c r="BI26" s="488">
        <f>0.2*BI14</f>
        <v/>
      </c>
      <c r="BJ26" s="488">
        <f>0.2*BJ14</f>
        <v/>
      </c>
      <c r="BK26" s="488">
        <f>0.2*BK14</f>
        <v/>
      </c>
      <c r="BL26" s="488">
        <f>0.2*BL14</f>
        <v/>
      </c>
      <c r="BM26" s="488">
        <f>0.2*BM14</f>
        <v/>
      </c>
      <c r="BN26" s="488">
        <f>0.2*BN14</f>
        <v/>
      </c>
      <c r="BO26" s="488">
        <f>0.2*BO14</f>
        <v/>
      </c>
      <c r="BP26" s="488">
        <f>0.2*BP14</f>
        <v/>
      </c>
      <c r="BQ26" s="488">
        <f>0.2*BQ14</f>
        <v/>
      </c>
      <c r="BR26" s="488">
        <f>0.2*BR14</f>
        <v/>
      </c>
      <c r="BS26" s="488">
        <f>0.2*BS14</f>
        <v/>
      </c>
      <c r="BT26" s="488">
        <f>0.2*BT14</f>
        <v/>
      </c>
      <c r="BU26" s="488">
        <f>0.2*BU14</f>
        <v/>
      </c>
      <c r="BV26" s="488">
        <f>0.2*BV14</f>
        <v/>
      </c>
      <c r="BW26" s="488">
        <f>0.2*BW14</f>
        <v/>
      </c>
      <c r="BX26" s="488">
        <f>0.2*BX14</f>
        <v/>
      </c>
      <c r="BY26" s="488">
        <f>0.2*BY14</f>
        <v/>
      </c>
      <c r="BZ26" s="488">
        <f>0.2*BZ14</f>
        <v/>
      </c>
      <c r="CA26" s="488">
        <f>0.2*CA14</f>
        <v/>
      </c>
      <c r="CB26" s="488">
        <f>0.2*CB14</f>
        <v/>
      </c>
      <c r="CC26" s="488">
        <f>0.2*CC14</f>
        <v/>
      </c>
      <c r="CD26" s="488">
        <f>0.2*CD14</f>
        <v/>
      </c>
      <c r="CE26" s="488">
        <f>0.2*CE14</f>
        <v/>
      </c>
      <c r="CF26" s="488">
        <f>0.2*CF14</f>
        <v/>
      </c>
      <c r="CG26" s="488">
        <f>0.2*CG14</f>
        <v/>
      </c>
      <c r="CH26" s="488">
        <f>0.2*CH14</f>
        <v/>
      </c>
      <c r="CI26" s="488">
        <f>0.2*CI14</f>
        <v/>
      </c>
      <c r="CJ26" s="488">
        <f>0.2*CJ14</f>
        <v/>
      </c>
      <c r="CK26" s="488">
        <f>0.2*CK14</f>
        <v/>
      </c>
      <c r="CL26" s="488">
        <f>0.2*CL14</f>
        <v/>
      </c>
      <c r="CM26" s="488">
        <f>0.2*CM14</f>
        <v/>
      </c>
      <c r="CN26" s="488">
        <f>0.2*CN14</f>
        <v/>
      </c>
      <c r="CO26" s="488">
        <f>0.2*CO14</f>
        <v/>
      </c>
      <c r="CP26" s="488">
        <f>0.2*CP14</f>
        <v/>
      </c>
      <c r="CQ26" s="488">
        <f>0.2*CQ14</f>
        <v/>
      </c>
      <c r="CR26" s="488">
        <f>0.2*CR14</f>
        <v/>
      </c>
      <c r="CS26" s="488">
        <f>0.2*CS14</f>
        <v/>
      </c>
      <c r="CT26" s="488">
        <f>0.2*CT14</f>
        <v/>
      </c>
      <c r="CU26" s="488">
        <f>0.2*CU14</f>
        <v/>
      </c>
      <c r="CV26" s="488">
        <f>0.2*CV14</f>
        <v/>
      </c>
      <c r="CW26" s="488">
        <f>0.2*CW14</f>
        <v/>
      </c>
      <c r="CX26" s="488">
        <f>0.2*CX14</f>
        <v/>
      </c>
      <c r="CY26" s="488">
        <f>0.2*CY14</f>
        <v/>
      </c>
      <c r="CZ26" s="488">
        <f>0.2*CZ14</f>
        <v/>
      </c>
      <c r="DA26" s="488">
        <f>0.2*DA14</f>
        <v/>
      </c>
      <c r="DB26" s="488">
        <f>0.2*DB14</f>
        <v/>
      </c>
      <c r="DC26" s="488">
        <f>0.2*DC14</f>
        <v/>
      </c>
    </row>
    <row r="27" ht="12" customHeight="1" s="244">
      <c r="A27" s="261" t="n"/>
      <c r="B27" s="490" t="n"/>
      <c r="C27" s="482" t="n"/>
      <c r="D27" s="261" t="n"/>
      <c r="E27" s="259" t="n"/>
      <c r="F27" s="493">
        <f>F17*(F14+F26)</f>
        <v/>
      </c>
      <c r="G27" s="493">
        <f>G17*(G14+G26)</f>
        <v/>
      </c>
      <c r="H27" s="493">
        <f>H17*(H14+H26)</f>
        <v/>
      </c>
      <c r="I27" s="493">
        <f>I17*(I14+I26)</f>
        <v/>
      </c>
      <c r="J27" s="493">
        <f>J17*(J14+J26)</f>
        <v/>
      </c>
      <c r="K27" s="493">
        <f>K17*(K14+K26)</f>
        <v/>
      </c>
      <c r="L27" s="493">
        <f>L17*(L14+L26)</f>
        <v/>
      </c>
      <c r="M27" s="493">
        <f>M17*(M14+M26)</f>
        <v/>
      </c>
      <c r="N27" s="493">
        <f>N17*(N14+N26)</f>
        <v/>
      </c>
      <c r="O27" s="493">
        <f>O17*(O14+O26)</f>
        <v/>
      </c>
      <c r="P27" s="493">
        <f>P17*(P14+P26)</f>
        <v/>
      </c>
      <c r="Q27" s="493">
        <f>Q17*(Q14+Q26)</f>
        <v/>
      </c>
      <c r="R27" s="493">
        <f>R17*(R14+R26)</f>
        <v/>
      </c>
      <c r="S27" s="493">
        <f>S17*(S14+S26)</f>
        <v/>
      </c>
      <c r="T27" s="493">
        <f>T17*(T14+T26)</f>
        <v/>
      </c>
      <c r="U27" s="493">
        <f>U17*(U14+U26)</f>
        <v/>
      </c>
      <c r="V27" s="493">
        <f>V17*(V14+V26)</f>
        <v/>
      </c>
      <c r="W27" s="493">
        <f>W17*(W14+W26)</f>
        <v/>
      </c>
      <c r="X27" s="493">
        <f>X17*(X14+X26)</f>
        <v/>
      </c>
      <c r="Y27" s="493">
        <f>Y17*(Y14+Y26)</f>
        <v/>
      </c>
      <c r="Z27" s="493">
        <f>Z17*(Z14+Z26)</f>
        <v/>
      </c>
      <c r="AA27" s="493">
        <f>AA17*(AA14+AA26)</f>
        <v/>
      </c>
      <c r="AB27" s="493">
        <f>AB17*(AB14+AB26)</f>
        <v/>
      </c>
      <c r="AC27" s="493">
        <f>AC17*(AC14+AC26)</f>
        <v/>
      </c>
      <c r="AD27" s="493">
        <f>AD17*(AD14+AD26)</f>
        <v/>
      </c>
      <c r="AE27" s="493">
        <f>AE17*(AE14+AE26)</f>
        <v/>
      </c>
      <c r="AF27" s="493">
        <f>AF17*(AF14+AF26)</f>
        <v/>
      </c>
      <c r="AG27" s="493">
        <f>AG17*(AG14+AG26)</f>
        <v/>
      </c>
      <c r="AH27" s="493">
        <f>AH17*(AH14+AH26)</f>
        <v/>
      </c>
      <c r="AI27" s="493">
        <f>AI17*(AI14+AI26)</f>
        <v/>
      </c>
      <c r="AJ27" s="493">
        <f>AJ17*(AJ14+AJ26)</f>
        <v/>
      </c>
      <c r="AK27" s="493">
        <f>AK17*(AK14+AK26)</f>
        <v/>
      </c>
      <c r="AL27" s="493">
        <f>AL17*(AL14+AL26)</f>
        <v/>
      </c>
      <c r="AM27" s="493">
        <f>AM17*(AM14+AM26)</f>
        <v/>
      </c>
      <c r="AN27" s="493">
        <f>AN17*(AN14+AN26)</f>
        <v/>
      </c>
      <c r="AO27" s="493">
        <f>AO17*(AO14+AO26)</f>
        <v/>
      </c>
      <c r="AP27" s="493">
        <f>AP17*(AP14+AP26)</f>
        <v/>
      </c>
      <c r="AQ27" s="493">
        <f>AQ17*(AQ14+AQ26)</f>
        <v/>
      </c>
      <c r="AR27" s="493">
        <f>AR17*(AR14+AR26)</f>
        <v/>
      </c>
      <c r="AS27" s="493">
        <f>AS17*(AS14+AS26)</f>
        <v/>
      </c>
      <c r="AT27" s="493">
        <f>AT17*(AT14+AT26)</f>
        <v/>
      </c>
      <c r="AU27" s="493">
        <f>AU17*(AU14+AU26)</f>
        <v/>
      </c>
      <c r="AV27" s="493">
        <f>AV17*(AV14+AV26)</f>
        <v/>
      </c>
      <c r="AW27" s="493">
        <f>AW17*(AW14+AW26)</f>
        <v/>
      </c>
      <c r="AX27" s="493">
        <f>AX17*(AX14+AX26)</f>
        <v/>
      </c>
      <c r="AY27" s="493">
        <f>AY17*(AY14+AY26)</f>
        <v/>
      </c>
      <c r="AZ27" s="493">
        <f>AZ17*(AZ14+AZ26)</f>
        <v/>
      </c>
      <c r="BA27" s="493">
        <f>BA17*(BA14+BA26)</f>
        <v/>
      </c>
      <c r="BB27" s="493">
        <f>BB17*(BB14+BB26)</f>
        <v/>
      </c>
      <c r="BC27" s="493">
        <f>BC17*(BC14+BC26)</f>
        <v/>
      </c>
      <c r="BD27" s="493">
        <f>BD17*(BD14+BD26)</f>
        <v/>
      </c>
      <c r="BE27" s="493">
        <f>BE17*(BE14+BE26)</f>
        <v/>
      </c>
      <c r="BF27" s="493">
        <f>BF17*(BF14+BF26)</f>
        <v/>
      </c>
      <c r="BG27" s="493">
        <f>BG17*(BG14+BG26)</f>
        <v/>
      </c>
      <c r="BH27" s="493">
        <f>BH17*(BH14+BH26)</f>
        <v/>
      </c>
      <c r="BI27" s="493">
        <f>BI17*(BI14+BI26)</f>
        <v/>
      </c>
      <c r="BJ27" s="493">
        <f>BJ17*(BJ14+BJ26)</f>
        <v/>
      </c>
      <c r="BK27" s="493">
        <f>BK17*(BK14+BK26)</f>
        <v/>
      </c>
      <c r="BL27" s="493">
        <f>BL17*(BL14+BL26)</f>
        <v/>
      </c>
      <c r="BM27" s="493">
        <f>BM17*(BM14+BM26)</f>
        <v/>
      </c>
      <c r="BN27" s="493">
        <f>BN17*(BN14+BN26)</f>
        <v/>
      </c>
      <c r="BO27" s="493">
        <f>BO17*(BO14+BO26)</f>
        <v/>
      </c>
      <c r="BP27" s="493">
        <f>BP17*(BP14+BP26)</f>
        <v/>
      </c>
      <c r="BQ27" s="493">
        <f>BQ17*(BQ14+BQ26)</f>
        <v/>
      </c>
      <c r="BR27" s="493">
        <f>BR17*(BR14+BR26)</f>
        <v/>
      </c>
      <c r="BS27" s="493">
        <f>BS17*(BS14+BS26)</f>
        <v/>
      </c>
      <c r="BT27" s="493">
        <f>BT17*(BT14+BT26)</f>
        <v/>
      </c>
      <c r="BU27" s="493">
        <f>BU17*(BU14+BU26)</f>
        <v/>
      </c>
      <c r="BV27" s="493">
        <f>BV17*(BV14+BV26)</f>
        <v/>
      </c>
      <c r="BW27" s="493">
        <f>BW17*(BW14+BW26)</f>
        <v/>
      </c>
      <c r="BX27" s="493">
        <f>BX17*(BX14+BX26)</f>
        <v/>
      </c>
      <c r="BY27" s="493">
        <f>BY17*(BY14+BY26)</f>
        <v/>
      </c>
      <c r="BZ27" s="493">
        <f>BZ17*(BZ14+BZ26)</f>
        <v/>
      </c>
      <c r="CA27" s="493">
        <f>CA17*(CA14+CA26)</f>
        <v/>
      </c>
      <c r="CB27" s="493">
        <f>CB17*(CB14+CB26)</f>
        <v/>
      </c>
      <c r="CC27" s="493">
        <f>CC17*(CC14+CC26)</f>
        <v/>
      </c>
      <c r="CD27" s="493">
        <f>CD17*(CD14+CD26)</f>
        <v/>
      </c>
      <c r="CE27" s="493">
        <f>CE17*(CE14+CE26)</f>
        <v/>
      </c>
      <c r="CF27" s="493">
        <f>CF17*(CF14+CF26)</f>
        <v/>
      </c>
      <c r="CG27" s="493">
        <f>CG17*(CG14+CG26)</f>
        <v/>
      </c>
      <c r="CH27" s="493">
        <f>CH17*(CH14+CH26)</f>
        <v/>
      </c>
      <c r="CI27" s="493">
        <f>CI17*(CI14+CI26)</f>
        <v/>
      </c>
      <c r="CJ27" s="493">
        <f>CJ17*(CJ14+CJ26)</f>
        <v/>
      </c>
      <c r="CK27" s="493">
        <f>CK17*(CK14+CK26)</f>
        <v/>
      </c>
      <c r="CL27" s="493">
        <f>CL17*(CL14+CL26)</f>
        <v/>
      </c>
      <c r="CM27" s="493">
        <f>CM17*(CM14+CM26)</f>
        <v/>
      </c>
      <c r="CN27" s="493">
        <f>CN17*(CN14+CN26)</f>
        <v/>
      </c>
      <c r="CO27" s="493">
        <f>CO17*(CO14+CO26)</f>
        <v/>
      </c>
      <c r="CP27" s="493">
        <f>CP17*(CP14+CP26)</f>
        <v/>
      </c>
      <c r="CQ27" s="493">
        <f>CQ17*(CQ14+CQ26)</f>
        <v/>
      </c>
      <c r="CR27" s="493">
        <f>CR17*(CR14+CR26)</f>
        <v/>
      </c>
      <c r="CS27" s="493">
        <f>CS17*(CS14+CS26)</f>
        <v/>
      </c>
      <c r="CT27" s="493">
        <f>CT17*(CT14+CT26)</f>
        <v/>
      </c>
      <c r="CU27" s="493">
        <f>CU17*(CU14+CU26)</f>
        <v/>
      </c>
      <c r="CV27" s="493">
        <f>CV17*(CV14+CV26)</f>
        <v/>
      </c>
      <c r="CW27" s="493">
        <f>CW17*(CW14+CW26)</f>
        <v/>
      </c>
      <c r="CX27" s="493">
        <f>CX17*(CX14+CX26)</f>
        <v/>
      </c>
      <c r="CY27" s="493">
        <f>CY17*(CY14+CY26)</f>
        <v/>
      </c>
      <c r="CZ27" s="493">
        <f>CZ17*(CZ14+CZ26)</f>
        <v/>
      </c>
      <c r="DA27" s="493">
        <f>DA17*(DA14+DA26)</f>
        <v/>
      </c>
      <c r="DB27" s="493">
        <f>DB17*(DB14+DB26)</f>
        <v/>
      </c>
      <c r="DC27" s="493">
        <f>DC17*(DC14+DC26)</f>
        <v/>
      </c>
    </row>
    <row r="28" ht="12" customHeight="1" s="244">
      <c r="A28" s="261" t="n"/>
      <c r="B28" s="490" t="n"/>
      <c r="C28" s="482" t="n"/>
      <c r="D28" s="261" t="n"/>
      <c r="E28" s="259" t="n"/>
      <c r="F28" s="494">
        <f>F27/(1.163*F25)</f>
        <v/>
      </c>
      <c r="G28" s="494">
        <f>G27/(1.163*G25)</f>
        <v/>
      </c>
      <c r="H28" s="494">
        <f>H27/(1.163*H25)</f>
        <v/>
      </c>
      <c r="I28" s="494">
        <f>I27/(1.163*I25)</f>
        <v/>
      </c>
      <c r="J28" s="494">
        <f>J27/(1.163*J25)</f>
        <v/>
      </c>
      <c r="K28" s="494">
        <f>K27/(1.163*K25)</f>
        <v/>
      </c>
      <c r="L28" s="494">
        <f>L27/(1.163*L25)</f>
        <v/>
      </c>
      <c r="M28" s="494">
        <f>M27/(1.163*M25)</f>
        <v/>
      </c>
      <c r="N28" s="494">
        <f>N27/(1.163*N25)</f>
        <v/>
      </c>
      <c r="O28" s="494">
        <f>O27/(1.163*O25)</f>
        <v/>
      </c>
      <c r="P28" s="494">
        <f>P27/(1.163*P25)</f>
        <v/>
      </c>
      <c r="Q28" s="494">
        <f>Q27/(1.163*Q25)</f>
        <v/>
      </c>
      <c r="R28" s="494">
        <f>R27/(1.163*R25)</f>
        <v/>
      </c>
      <c r="S28" s="494">
        <f>S27/(1.163*S25)</f>
        <v/>
      </c>
      <c r="T28" s="494">
        <f>T27/(1.163*T25)</f>
        <v/>
      </c>
      <c r="U28" s="494">
        <f>U27/(1.163*U25)</f>
        <v/>
      </c>
      <c r="V28" s="494">
        <f>V27/(1.163*V25)</f>
        <v/>
      </c>
      <c r="W28" s="494">
        <f>W27/(1.163*W25)</f>
        <v/>
      </c>
      <c r="X28" s="494">
        <f>X27/(1.163*X25)</f>
        <v/>
      </c>
      <c r="Y28" s="494">
        <f>Y27/(1.163*Y25)</f>
        <v/>
      </c>
      <c r="Z28" s="494">
        <f>Z27/(1.163*Z25)</f>
        <v/>
      </c>
      <c r="AA28" s="494">
        <f>AA27/(1.163*AA25)</f>
        <v/>
      </c>
      <c r="AB28" s="494">
        <f>AB27/(1.163*AB25)</f>
        <v/>
      </c>
      <c r="AC28" s="494">
        <f>AC27/(1.163*AC25)</f>
        <v/>
      </c>
      <c r="AD28" s="494">
        <f>AD27/(1.163*AD25)</f>
        <v/>
      </c>
      <c r="AE28" s="494">
        <f>AE27/(1.163*AE25)</f>
        <v/>
      </c>
      <c r="AF28" s="494">
        <f>AF27/(1.163*AF25)</f>
        <v/>
      </c>
      <c r="AG28" s="494">
        <f>AG27/(1.163*AG25)</f>
        <v/>
      </c>
      <c r="AH28" s="494">
        <f>AH27/(1.163*AH25)</f>
        <v/>
      </c>
      <c r="AI28" s="494">
        <f>AI27/(1.163*AI25)</f>
        <v/>
      </c>
      <c r="AJ28" s="494">
        <f>AJ27/(1.163*AJ25)</f>
        <v/>
      </c>
      <c r="AK28" s="494">
        <f>AK27/(1.163*AK25)</f>
        <v/>
      </c>
      <c r="AL28" s="494">
        <f>AL27/(1.163*AL25)</f>
        <v/>
      </c>
      <c r="AM28" s="494">
        <f>AM27/(1.163*AM25)</f>
        <v/>
      </c>
      <c r="AN28" s="494">
        <f>AN27/(1.163*AN25)</f>
        <v/>
      </c>
      <c r="AO28" s="494">
        <f>AO27/(1.163*AO25)</f>
        <v/>
      </c>
      <c r="AP28" s="494">
        <f>AP27/(1.163*AP25)</f>
        <v/>
      </c>
      <c r="AQ28" s="494">
        <f>AQ27/(1.163*AQ25)</f>
        <v/>
      </c>
      <c r="AR28" s="494">
        <f>AR27/(1.163*AR25)</f>
        <v/>
      </c>
      <c r="AS28" s="494">
        <f>AS27/(1.163*AS25)</f>
        <v/>
      </c>
      <c r="AT28" s="494">
        <f>AT27/(1.163*AT25)</f>
        <v/>
      </c>
      <c r="AU28" s="494">
        <f>AU27/(1.163*AU25)</f>
        <v/>
      </c>
      <c r="AV28" s="494">
        <f>AV27/(1.163*AV25)</f>
        <v/>
      </c>
      <c r="AW28" s="494">
        <f>AW27/(1.163*AW25)</f>
        <v/>
      </c>
      <c r="AX28" s="494">
        <f>AX27/(1.163*AX25)</f>
        <v/>
      </c>
      <c r="AY28" s="494">
        <f>AY27/(1.163*AY25)</f>
        <v/>
      </c>
      <c r="AZ28" s="494">
        <f>AZ27/(1.163*AZ25)</f>
        <v/>
      </c>
      <c r="BA28" s="494">
        <f>BA27/(1.163*BA25)</f>
        <v/>
      </c>
      <c r="BB28" s="494">
        <f>BB27/(1.163*BB25)</f>
        <v/>
      </c>
      <c r="BC28" s="494">
        <f>BC27/(1.163*BC25)</f>
        <v/>
      </c>
      <c r="BD28" s="494">
        <f>BD27/(1.163*BD25)</f>
        <v/>
      </c>
      <c r="BE28" s="494">
        <f>BE27/(1.163*BE25)</f>
        <v/>
      </c>
      <c r="BF28" s="494">
        <f>BF27/(1.163*BF25)</f>
        <v/>
      </c>
      <c r="BG28" s="494">
        <f>BG27/(1.163*BG25)</f>
        <v/>
      </c>
      <c r="BH28" s="494">
        <f>BH27/(1.163*BH25)</f>
        <v/>
      </c>
      <c r="BI28" s="494">
        <f>BI27/(1.163*BI25)</f>
        <v/>
      </c>
      <c r="BJ28" s="494">
        <f>BJ27/(1.163*BJ25)</f>
        <v/>
      </c>
      <c r="BK28" s="494">
        <f>BK27/(1.163*BK25)</f>
        <v/>
      </c>
      <c r="BL28" s="494">
        <f>BL27/(1.163*BL25)</f>
        <v/>
      </c>
      <c r="BM28" s="494">
        <f>BM27/(1.163*BM25)</f>
        <v/>
      </c>
      <c r="BN28" s="494">
        <f>BN27/(1.163*BN25)</f>
        <v/>
      </c>
      <c r="BO28" s="494">
        <f>BO27/(1.163*BO25)</f>
        <v/>
      </c>
      <c r="BP28" s="494">
        <f>BP27/(1.163*BP25)</f>
        <v/>
      </c>
      <c r="BQ28" s="494">
        <f>BQ27/(1.163*BQ25)</f>
        <v/>
      </c>
      <c r="BR28" s="494">
        <f>BR27/(1.163*BR25)</f>
        <v/>
      </c>
      <c r="BS28" s="494">
        <f>BS27/(1.163*BS25)</f>
        <v/>
      </c>
      <c r="BT28" s="494">
        <f>BT27/(1.163*BT25)</f>
        <v/>
      </c>
      <c r="BU28" s="494">
        <f>BU27/(1.163*BU25)</f>
        <v/>
      </c>
      <c r="BV28" s="494">
        <f>BV27/(1.163*BV25)</f>
        <v/>
      </c>
      <c r="BW28" s="494">
        <f>BW27/(1.163*BW25)</f>
        <v/>
      </c>
      <c r="BX28" s="494">
        <f>BX27/(1.163*BX25)</f>
        <v/>
      </c>
      <c r="BY28" s="494">
        <f>BY27/(1.163*BY25)</f>
        <v/>
      </c>
      <c r="BZ28" s="494">
        <f>BZ27/(1.163*BZ25)</f>
        <v/>
      </c>
      <c r="CA28" s="494">
        <f>CA27/(1.163*CA25)</f>
        <v/>
      </c>
      <c r="CB28" s="494">
        <f>CB27/(1.163*CB25)</f>
        <v/>
      </c>
      <c r="CC28" s="494">
        <f>CC27/(1.163*CC25)</f>
        <v/>
      </c>
      <c r="CD28" s="494">
        <f>CD27/(1.163*CD25)</f>
        <v/>
      </c>
      <c r="CE28" s="494">
        <f>CE27/(1.163*CE25)</f>
        <v/>
      </c>
      <c r="CF28" s="494">
        <f>CF27/(1.163*CF25)</f>
        <v/>
      </c>
      <c r="CG28" s="494">
        <f>CG27/(1.163*CG25)</f>
        <v/>
      </c>
      <c r="CH28" s="494">
        <f>CH27/(1.163*CH25)</f>
        <v/>
      </c>
      <c r="CI28" s="494">
        <f>CI27/(1.163*CI25)</f>
        <v/>
      </c>
      <c r="CJ28" s="494">
        <f>CJ27/(1.163*CJ25)</f>
        <v/>
      </c>
      <c r="CK28" s="494">
        <f>CK27/(1.163*CK25)</f>
        <v/>
      </c>
      <c r="CL28" s="494">
        <f>CL27/(1.163*CL25)</f>
        <v/>
      </c>
      <c r="CM28" s="494">
        <f>CM27/(1.163*CM25)</f>
        <v/>
      </c>
      <c r="CN28" s="494">
        <f>CN27/(1.163*CN25)</f>
        <v/>
      </c>
      <c r="CO28" s="494">
        <f>CO27/(1.163*CO25)</f>
        <v/>
      </c>
      <c r="CP28" s="494">
        <f>CP27/(1.163*CP25)</f>
        <v/>
      </c>
      <c r="CQ28" s="494">
        <f>CQ27/(1.163*CQ25)</f>
        <v/>
      </c>
      <c r="CR28" s="494">
        <f>CR27/(1.163*CR25)</f>
        <v/>
      </c>
      <c r="CS28" s="494">
        <f>CS27/(1.163*CS25)</f>
        <v/>
      </c>
      <c r="CT28" s="494">
        <f>CT27/(1.163*CT25)</f>
        <v/>
      </c>
      <c r="CU28" s="494">
        <f>CU27/(1.163*CU25)</f>
        <v/>
      </c>
      <c r="CV28" s="494">
        <f>CV27/(1.163*CV25)</f>
        <v/>
      </c>
      <c r="CW28" s="494">
        <f>CW27/(1.163*CW25)</f>
        <v/>
      </c>
      <c r="CX28" s="494">
        <f>CX27/(1.163*CX25)</f>
        <v/>
      </c>
      <c r="CY28" s="494">
        <f>CY27/(1.163*CY25)</f>
        <v/>
      </c>
      <c r="CZ28" s="494">
        <f>CZ27/(1.163*CZ25)</f>
        <v/>
      </c>
      <c r="DA28" s="494">
        <f>DA27/(1.163*DA25)</f>
        <v/>
      </c>
      <c r="DB28" s="494">
        <f>DB27/(1.163*DB25)</f>
        <v/>
      </c>
      <c r="DC28" s="494">
        <f>DC27/(1.163*DC25)</f>
        <v/>
      </c>
    </row>
    <row r="29" ht="12" customHeight="1" s="244">
      <c r="A29" s="261" t="n"/>
      <c r="B29" s="490" t="n"/>
      <c r="C29" s="482" t="n"/>
      <c r="D29" s="261" t="n"/>
      <c r="E29" s="259" t="n"/>
      <c r="F29" s="495">
        <f>F17/(F22*0.01)</f>
        <v/>
      </c>
      <c r="G29" s="495">
        <f>G17/(G22*0.01)</f>
        <v/>
      </c>
      <c r="H29" s="495">
        <f>H17/(H22*0.01)</f>
        <v/>
      </c>
      <c r="I29" s="495">
        <f>I17/(I22*0.01)</f>
        <v/>
      </c>
      <c r="J29" s="495">
        <f>J17/(J22*0.01)</f>
        <v/>
      </c>
      <c r="K29" s="495">
        <f>K17/(K22*0.01)</f>
        <v/>
      </c>
      <c r="L29" s="495">
        <f>L17/(L22*0.01)</f>
        <v/>
      </c>
      <c r="M29" s="495">
        <f>M17/(M22*0.01)</f>
        <v/>
      </c>
      <c r="N29" s="495">
        <f>N17/(N22*0.01)</f>
        <v/>
      </c>
      <c r="O29" s="495">
        <f>O17/(O22*0.01)</f>
        <v/>
      </c>
      <c r="P29" s="495">
        <f>P17/(P22*0.01)</f>
        <v/>
      </c>
      <c r="Q29" s="495">
        <f>Q17/(Q22*0.01)</f>
        <v/>
      </c>
      <c r="R29" s="495">
        <f>R17/(R22*0.01)</f>
        <v/>
      </c>
      <c r="S29" s="495">
        <f>S17/(S22*0.01)</f>
        <v/>
      </c>
      <c r="T29" s="495">
        <f>T17/(T22*0.01)</f>
        <v/>
      </c>
      <c r="U29" s="495">
        <f>U17/(U22*0.01)</f>
        <v/>
      </c>
      <c r="V29" s="495">
        <f>V17/(V22*0.01)</f>
        <v/>
      </c>
      <c r="W29" s="495">
        <f>W17/(W22*0.01)</f>
        <v/>
      </c>
      <c r="X29" s="495">
        <f>X17/(X22*0.01)</f>
        <v/>
      </c>
      <c r="Y29" s="495">
        <f>Y17/(Y22*0.01)</f>
        <v/>
      </c>
      <c r="Z29" s="495">
        <f>Z17/(Z22*0.01)</f>
        <v/>
      </c>
      <c r="AA29" s="495">
        <f>AA17/(AA22*0.01)</f>
        <v/>
      </c>
      <c r="AB29" s="495">
        <f>AB17/(AB22*0.01)</f>
        <v/>
      </c>
      <c r="AC29" s="495">
        <f>AC17/(AC22*0.01)</f>
        <v/>
      </c>
      <c r="AD29" s="495">
        <f>AD17/(AD22*0.01)</f>
        <v/>
      </c>
      <c r="AE29" s="495">
        <f>AE17/(AE22*0.01)</f>
        <v/>
      </c>
      <c r="AF29" s="495">
        <f>AF17/(AF22*0.01)</f>
        <v/>
      </c>
      <c r="AG29" s="495">
        <f>AG17/(AG22*0.01)</f>
        <v/>
      </c>
      <c r="AH29" s="495">
        <f>AH17/(AH22*0.01)</f>
        <v/>
      </c>
      <c r="AI29" s="495">
        <f>AI17/(AI22*0.01)</f>
        <v/>
      </c>
      <c r="AJ29" s="495">
        <f>AJ17/(AJ22*0.01)</f>
        <v/>
      </c>
      <c r="AK29" s="495">
        <f>AK17/(AK22*0.01)</f>
        <v/>
      </c>
      <c r="AL29" s="495">
        <f>AL17/(AL22*0.01)</f>
        <v/>
      </c>
      <c r="AM29" s="495">
        <f>AM17/(AM22*0.01)</f>
        <v/>
      </c>
      <c r="AN29" s="495">
        <f>AN17/(AN22*0.01)</f>
        <v/>
      </c>
      <c r="AO29" s="495">
        <f>AO17/(AO22*0.01)</f>
        <v/>
      </c>
      <c r="AP29" s="495">
        <f>AP17/(AP22*0.01)</f>
        <v/>
      </c>
      <c r="AQ29" s="495">
        <f>AQ17/(AQ22*0.01)</f>
        <v/>
      </c>
      <c r="AR29" s="495">
        <f>AR17/(AR22*0.01)</f>
        <v/>
      </c>
      <c r="AS29" s="495">
        <f>AS17/(AS22*0.01)</f>
        <v/>
      </c>
      <c r="AT29" s="495">
        <f>AT17/(AT22*0.01)</f>
        <v/>
      </c>
      <c r="AU29" s="495">
        <f>AU17/(AU22*0.01)</f>
        <v/>
      </c>
      <c r="AV29" s="495">
        <f>AV17/(AV22*0.01)</f>
        <v/>
      </c>
      <c r="AW29" s="495">
        <f>AW17/(AW22*0.01)</f>
        <v/>
      </c>
      <c r="AX29" s="495">
        <f>AX17/(AX22*0.01)</f>
        <v/>
      </c>
      <c r="AY29" s="495">
        <f>AY17/(AY22*0.01)</f>
        <v/>
      </c>
      <c r="AZ29" s="495">
        <f>AZ17/(AZ22*0.01)</f>
        <v/>
      </c>
      <c r="BA29" s="495">
        <f>BA17/(BA22*0.01)</f>
        <v/>
      </c>
      <c r="BB29" s="495">
        <f>BB17/(BB22*0.01)</f>
        <v/>
      </c>
      <c r="BC29" s="495">
        <f>BC17/(BC22*0.01)</f>
        <v/>
      </c>
      <c r="BD29" s="495">
        <f>BD17/(BD22*0.01)</f>
        <v/>
      </c>
      <c r="BE29" s="495">
        <f>BE17/(BE22*0.01)</f>
        <v/>
      </c>
      <c r="BF29" s="495">
        <f>BF17/(BF22*0.01)</f>
        <v/>
      </c>
      <c r="BG29" s="495">
        <f>BG17/(BG22*0.01)</f>
        <v/>
      </c>
      <c r="BH29" s="495">
        <f>BH17/(BH22*0.01)</f>
        <v/>
      </c>
      <c r="BI29" s="495">
        <f>BI17/(BI22*0.01)</f>
        <v/>
      </c>
      <c r="BJ29" s="495">
        <f>BJ17/(BJ22*0.01)</f>
        <v/>
      </c>
      <c r="BK29" s="495">
        <f>BK17/(BK22*0.01)</f>
        <v/>
      </c>
      <c r="BL29" s="495">
        <f>BL17/(BL22*0.01)</f>
        <v/>
      </c>
      <c r="BM29" s="495">
        <f>BM17/(BM22*0.01)</f>
        <v/>
      </c>
      <c r="BN29" s="495">
        <f>BN17/(BN22*0.01)</f>
        <v/>
      </c>
      <c r="BO29" s="495">
        <f>BO17/(BO22*0.01)</f>
        <v/>
      </c>
      <c r="BP29" s="495">
        <f>BP17/(BP22*0.01)</f>
        <v/>
      </c>
      <c r="BQ29" s="495">
        <f>BQ17/(BQ22*0.01)</f>
        <v/>
      </c>
      <c r="BR29" s="495">
        <f>BR17/(BR22*0.01)</f>
        <v/>
      </c>
      <c r="BS29" s="495">
        <f>BS17/(BS22*0.01)</f>
        <v/>
      </c>
      <c r="BT29" s="495">
        <f>BT17/(BT22*0.01)</f>
        <v/>
      </c>
      <c r="BU29" s="495">
        <f>BU17/(BU22*0.01)</f>
        <v/>
      </c>
      <c r="BV29" s="495">
        <f>BV17/(BV22*0.01)</f>
        <v/>
      </c>
      <c r="BW29" s="495">
        <f>BW17/(BW22*0.01)</f>
        <v/>
      </c>
      <c r="BX29" s="495">
        <f>BX17/(BX22*0.01)</f>
        <v/>
      </c>
      <c r="BY29" s="495">
        <f>BY17/(BY22*0.01)</f>
        <v/>
      </c>
      <c r="BZ29" s="495">
        <f>BZ17/(BZ22*0.01)</f>
        <v/>
      </c>
      <c r="CA29" s="495">
        <f>CA17/(CA22*0.01)</f>
        <v/>
      </c>
      <c r="CB29" s="495">
        <f>CB17/(CB22*0.01)</f>
        <v/>
      </c>
      <c r="CC29" s="495">
        <f>CC17/(CC22*0.01)</f>
        <v/>
      </c>
      <c r="CD29" s="495">
        <f>CD17/(CD22*0.01)</f>
        <v/>
      </c>
      <c r="CE29" s="495">
        <f>CE17/(CE22*0.01)</f>
        <v/>
      </c>
      <c r="CF29" s="495">
        <f>CF17/(CF22*0.01)</f>
        <v/>
      </c>
      <c r="CG29" s="495">
        <f>CG17/(CG22*0.01)</f>
        <v/>
      </c>
      <c r="CH29" s="495">
        <f>CH17/(CH22*0.01)</f>
        <v/>
      </c>
      <c r="CI29" s="495">
        <f>CI17/(CI22*0.01)</f>
        <v/>
      </c>
      <c r="CJ29" s="495">
        <f>CJ17/(CJ22*0.01)</f>
        <v/>
      </c>
      <c r="CK29" s="495">
        <f>CK17/(CK22*0.01)</f>
        <v/>
      </c>
      <c r="CL29" s="495">
        <f>CL17/(CL22*0.01)</f>
        <v/>
      </c>
      <c r="CM29" s="495">
        <f>CM17/(CM22*0.01)</f>
        <v/>
      </c>
      <c r="CN29" s="495">
        <f>CN17/(CN22*0.01)</f>
        <v/>
      </c>
      <c r="CO29" s="495">
        <f>CO17/(CO22*0.01)</f>
        <v/>
      </c>
      <c r="CP29" s="495">
        <f>CP17/(CP22*0.01)</f>
        <v/>
      </c>
      <c r="CQ29" s="495">
        <f>CQ17/(CQ22*0.01)</f>
        <v/>
      </c>
      <c r="CR29" s="495">
        <f>CR17/(CR22*0.01)</f>
        <v/>
      </c>
      <c r="CS29" s="495">
        <f>CS17/(CS22*0.01)</f>
        <v/>
      </c>
      <c r="CT29" s="495">
        <f>CT17/(CT22*0.01)</f>
        <v/>
      </c>
      <c r="CU29" s="495">
        <f>CU17/(CU22*0.01)</f>
        <v/>
      </c>
      <c r="CV29" s="495">
        <f>CV17/(CV22*0.01)</f>
        <v/>
      </c>
      <c r="CW29" s="495">
        <f>CW17/(CW22*0.01)</f>
        <v/>
      </c>
      <c r="CX29" s="495">
        <f>CX17/(CX22*0.01)</f>
        <v/>
      </c>
      <c r="CY29" s="495">
        <f>CY17/(CY22*0.01)</f>
        <v/>
      </c>
      <c r="CZ29" s="495">
        <f>CZ17/(CZ22*0.01)</f>
        <v/>
      </c>
      <c r="DA29" s="495">
        <f>DA17/(DA22*0.01)</f>
        <v/>
      </c>
      <c r="DB29" s="495">
        <f>DB17/(DB22*0.01)</f>
        <v/>
      </c>
      <c r="DC29" s="495">
        <f>DC17/(DC22*0.01)</f>
        <v/>
      </c>
    </row>
    <row r="30" ht="12" customHeight="1" s="244">
      <c r="A30" s="261" t="n"/>
      <c r="B30" s="490" t="n"/>
      <c r="C30" s="482" t="inlineStr">
        <is>
          <t>BAĞLANTI BORULARI</t>
        </is>
      </c>
      <c r="D30" s="261" t="inlineStr">
        <is>
          <t>Kat Planından (çizimden ölçülen)</t>
        </is>
      </c>
      <c r="E30" s="259" t="n"/>
      <c r="F30" s="508" t="n">
        <v>0</v>
      </c>
      <c r="G30" s="508" t="n">
        <v>0</v>
      </c>
      <c r="H30" s="508" t="n">
        <v>0</v>
      </c>
      <c r="I30" s="508" t="n">
        <v>0</v>
      </c>
      <c r="J30" s="508" t="n">
        <v>0</v>
      </c>
      <c r="K30" s="508" t="n">
        <v>0</v>
      </c>
      <c r="L30" s="508" t="n">
        <v>4.65</v>
      </c>
      <c r="M30" s="508" t="n">
        <v>0</v>
      </c>
      <c r="N30" s="508" t="n">
        <v>0</v>
      </c>
      <c r="O30" s="508" t="n">
        <v>0</v>
      </c>
      <c r="P30" s="508" t="n">
        <v>0</v>
      </c>
      <c r="Q30" s="508" t="n">
        <v>0</v>
      </c>
      <c r="R30" s="508" t="n">
        <v>0</v>
      </c>
      <c r="S30" s="508" t="n">
        <v>0</v>
      </c>
      <c r="T30" s="508" t="n">
        <v>0</v>
      </c>
      <c r="U30" s="508" t="n">
        <v>0</v>
      </c>
      <c r="V30" s="508" t="n">
        <v>0</v>
      </c>
      <c r="W30" s="508" t="n">
        <v>0</v>
      </c>
      <c r="X30" s="508" t="n">
        <v>0</v>
      </c>
      <c r="Y30" s="508" t="n">
        <v>0</v>
      </c>
      <c r="Z30" s="508" t="n">
        <v>0</v>
      </c>
      <c r="AA30" s="508" t="n">
        <v>0</v>
      </c>
      <c r="AB30" s="508" t="n">
        <v>0</v>
      </c>
      <c r="AC30" s="508" t="n">
        <v>0</v>
      </c>
      <c r="AD30" s="508" t="n">
        <v>4.6</v>
      </c>
      <c r="AE30" s="508" t="n">
        <v>0</v>
      </c>
      <c r="AF30" s="508" t="n">
        <v>0</v>
      </c>
      <c r="AG30" s="508" t="n">
        <v>0</v>
      </c>
      <c r="AH30" s="508" t="n">
        <v>2.39</v>
      </c>
      <c r="AI30" s="508" t="n">
        <v>0</v>
      </c>
      <c r="AJ30" s="508" t="n">
        <v>0</v>
      </c>
      <c r="AK30" s="508" t="n">
        <v>0</v>
      </c>
      <c r="AL30" s="508" t="n">
        <v>0</v>
      </c>
      <c r="AM30" s="508" t="n">
        <v>0</v>
      </c>
      <c r="AN30" s="508" t="n">
        <v>2.54</v>
      </c>
      <c r="AO30" s="508" t="n">
        <v>0</v>
      </c>
      <c r="AP30" s="508" t="n">
        <v>0</v>
      </c>
      <c r="AQ30" s="508" t="n">
        <v>0</v>
      </c>
      <c r="AR30" s="508" t="n">
        <v>0</v>
      </c>
      <c r="AS30" s="508" t="n">
        <v>0</v>
      </c>
      <c r="AT30" s="508" t="n">
        <v>1.91</v>
      </c>
      <c r="AU30" s="508" t="n">
        <v>0</v>
      </c>
      <c r="AV30" s="508" t="n">
        <v>0</v>
      </c>
      <c r="AW30" s="508" t="n">
        <v>0</v>
      </c>
      <c r="AX30" s="508" t="n">
        <v>0</v>
      </c>
      <c r="AY30" s="508" t="n">
        <v>0</v>
      </c>
      <c r="AZ30" s="508" t="n">
        <v>0</v>
      </c>
      <c r="BA30" s="508" t="n">
        <v>10.41</v>
      </c>
      <c r="BB30" s="508" t="n">
        <v>0</v>
      </c>
      <c r="BC30" s="508" t="n">
        <v>1.92</v>
      </c>
      <c r="BD30" s="508" t="n">
        <v>0</v>
      </c>
      <c r="BE30" s="508" t="n">
        <v>0</v>
      </c>
      <c r="BF30" s="508" t="n">
        <v>0</v>
      </c>
      <c r="BG30" s="508" t="n">
        <v>0</v>
      </c>
      <c r="BH30" s="508" t="n">
        <v>7.03</v>
      </c>
      <c r="BI30" s="508" t="n">
        <v>0</v>
      </c>
      <c r="BJ30" s="508" t="n">
        <v>0</v>
      </c>
      <c r="BK30" s="508" t="n">
        <v>0</v>
      </c>
      <c r="BL30" s="508" t="n">
        <v>0</v>
      </c>
      <c r="BM30" s="508" t="n">
        <v>6.98</v>
      </c>
      <c r="BN30" s="508" t="n">
        <v>0</v>
      </c>
      <c r="BO30" s="508" t="n">
        <v>0.98</v>
      </c>
      <c r="BP30" s="508" t="n">
        <v>0</v>
      </c>
      <c r="BQ30" s="508" t="n">
        <v>0</v>
      </c>
      <c r="BR30" s="508" t="n">
        <v>1.78</v>
      </c>
      <c r="BS30" s="508" t="n">
        <v>0</v>
      </c>
      <c r="BT30" s="508" t="n">
        <v>7.52</v>
      </c>
      <c r="BU30" s="508" t="n">
        <v>0</v>
      </c>
      <c r="BV30" s="508" t="n">
        <v>0</v>
      </c>
      <c r="BW30" s="508" t="n">
        <v>0</v>
      </c>
      <c r="BX30" s="508" t="n">
        <v>0</v>
      </c>
      <c r="BY30" s="508" t="n">
        <v>0</v>
      </c>
      <c r="BZ30" s="508" t="n">
        <v>0</v>
      </c>
      <c r="CA30" s="508" t="n">
        <v>4.97</v>
      </c>
      <c r="CB30" s="508" t="n">
        <v>0</v>
      </c>
      <c r="CC30" s="508" t="n">
        <v>0</v>
      </c>
      <c r="CD30" s="508" t="n">
        <v>0</v>
      </c>
      <c r="CE30" s="508" t="n">
        <v>0</v>
      </c>
      <c r="CF30" s="508" t="n">
        <v>0</v>
      </c>
      <c r="CG30" s="508" t="n">
        <v>0</v>
      </c>
      <c r="CH30" s="508" t="n">
        <v>1.95</v>
      </c>
      <c r="CI30" s="508" t="n">
        <v>7.17</v>
      </c>
      <c r="CJ30" s="508" t="n">
        <v>0</v>
      </c>
      <c r="CK30" s="508" t="n">
        <v>0</v>
      </c>
      <c r="CL30" s="508" t="n">
        <v>1.84</v>
      </c>
      <c r="CM30" s="508" t="n">
        <v>5.66</v>
      </c>
      <c r="CN30" s="508" t="n">
        <v>0</v>
      </c>
      <c r="CO30" s="508" t="n">
        <v>7.3</v>
      </c>
      <c r="CP30" s="508" t="n">
        <v>0</v>
      </c>
      <c r="CQ30" s="508" t="n">
        <v>0</v>
      </c>
      <c r="CR30" s="508" t="n">
        <v>0</v>
      </c>
      <c r="CS30" s="508" t="n">
        <v>0</v>
      </c>
      <c r="CT30" s="508" t="n">
        <v>0</v>
      </c>
      <c r="CU30" s="508" t="n">
        <v>0</v>
      </c>
      <c r="CV30" s="508" t="n">
        <v>0</v>
      </c>
      <c r="CW30" s="508" t="n">
        <v>1.61</v>
      </c>
      <c r="CX30" s="508" t="n">
        <v>0</v>
      </c>
      <c r="CY30" s="508" t="n">
        <v>5.97</v>
      </c>
      <c r="CZ30" s="508" t="n">
        <v>0</v>
      </c>
      <c r="DA30" s="508" t="n">
        <v>0</v>
      </c>
      <c r="DB30" s="508" t="n">
        <v>0</v>
      </c>
      <c r="DC30" s="508" t="n">
        <v>0</v>
      </c>
    </row>
    <row r="31" ht="12" customHeight="1" s="244">
      <c r="A31" s="261" t="n"/>
      <c r="B31" s="490" t="n"/>
      <c r="C31" s="482" t="inlineStr">
        <is>
          <t>TOPLAM BORU UZUNLUĞU</t>
        </is>
      </c>
      <c r="D31" s="261" t="inlineStr">
        <is>
          <t>Lç + Lb (çizimden ölçülen toplam)</t>
        </is>
      </c>
      <c r="E31" s="259" t="n"/>
      <c r="F31" s="484">
        <f>F29+F30</f>
        <v/>
      </c>
      <c r="G31" s="484">
        <f>G29+G30</f>
        <v/>
      </c>
      <c r="H31" s="484">
        <f>H29+H30</f>
        <v/>
      </c>
      <c r="I31" s="484">
        <f>I29+I30</f>
        <v/>
      </c>
      <c r="J31" s="484">
        <f>J29+J30</f>
        <v/>
      </c>
      <c r="K31" s="484">
        <f>K29+K30</f>
        <v/>
      </c>
      <c r="L31" s="484">
        <f>L29+L30</f>
        <v/>
      </c>
      <c r="M31" s="484">
        <f>M29+M30</f>
        <v/>
      </c>
      <c r="N31" s="484">
        <f>N29+N30</f>
        <v/>
      </c>
      <c r="O31" s="484">
        <f>O29+O30</f>
        <v/>
      </c>
      <c r="P31" s="484">
        <f>P29+P30</f>
        <v/>
      </c>
      <c r="Q31" s="484">
        <f>Q29+Q30</f>
        <v/>
      </c>
      <c r="R31" s="484">
        <f>R29+R30</f>
        <v/>
      </c>
      <c r="S31" s="484">
        <f>S29+S30</f>
        <v/>
      </c>
      <c r="T31" s="484">
        <f>T29+T30</f>
        <v/>
      </c>
      <c r="U31" s="484">
        <f>U29+U30</f>
        <v/>
      </c>
      <c r="V31" s="484">
        <f>V29+V30</f>
        <v/>
      </c>
      <c r="W31" s="484">
        <f>W29+W30</f>
        <v/>
      </c>
      <c r="X31" s="484">
        <f>X29+X30</f>
        <v/>
      </c>
      <c r="Y31" s="484">
        <f>Y29+Y30</f>
        <v/>
      </c>
      <c r="Z31" s="484">
        <f>Z29+Z30</f>
        <v/>
      </c>
      <c r="AA31" s="484">
        <f>AA29+AA30</f>
        <v/>
      </c>
      <c r="AB31" s="484">
        <f>AB29+AB30</f>
        <v/>
      </c>
      <c r="AC31" s="484">
        <f>AC29+AC30</f>
        <v/>
      </c>
      <c r="AD31" s="484">
        <f>AD29+AD30</f>
        <v/>
      </c>
      <c r="AE31" s="484">
        <f>AE29+AE30</f>
        <v/>
      </c>
      <c r="AF31" s="484">
        <f>AF29+AF30</f>
        <v/>
      </c>
      <c r="AG31" s="484">
        <f>AG29+AG30</f>
        <v/>
      </c>
      <c r="AH31" s="484">
        <f>AH29+AH30</f>
        <v/>
      </c>
      <c r="AI31" s="484">
        <f>AI29+AI30</f>
        <v/>
      </c>
      <c r="AJ31" s="484">
        <f>AJ29+AJ30</f>
        <v/>
      </c>
      <c r="AK31" s="484">
        <f>AK29+AK30</f>
        <v/>
      </c>
      <c r="AL31" s="484">
        <f>AL29+AL30</f>
        <v/>
      </c>
      <c r="AM31" s="484">
        <f>AM29+AM30</f>
        <v/>
      </c>
      <c r="AN31" s="484">
        <f>AN29+AN30</f>
        <v/>
      </c>
      <c r="AO31" s="484">
        <f>AO29+AO30</f>
        <v/>
      </c>
      <c r="AP31" s="484">
        <f>AP29+AP30</f>
        <v/>
      </c>
      <c r="AQ31" s="484">
        <f>AQ29+AQ30</f>
        <v/>
      </c>
      <c r="AR31" s="484">
        <f>AR29+AR30</f>
        <v/>
      </c>
      <c r="AS31" s="484">
        <f>AS29+AS30</f>
        <v/>
      </c>
      <c r="AT31" s="484">
        <f>AT29+AT30</f>
        <v/>
      </c>
      <c r="AU31" s="484">
        <f>AU29+AU30</f>
        <v/>
      </c>
      <c r="AV31" s="484">
        <f>AV29+AV30</f>
        <v/>
      </c>
      <c r="AW31" s="484">
        <f>AW29+AW30</f>
        <v/>
      </c>
      <c r="AX31" s="484">
        <f>AX29+AX30</f>
        <v/>
      </c>
      <c r="AY31" s="484">
        <f>AY29+AY30</f>
        <v/>
      </c>
      <c r="AZ31" s="484">
        <f>AZ29+AZ30</f>
        <v/>
      </c>
      <c r="BA31" s="484">
        <f>BA29+BA30</f>
        <v/>
      </c>
      <c r="BB31" s="484">
        <f>BB29+BB30</f>
        <v/>
      </c>
      <c r="BC31" s="484">
        <f>BC29+BC30</f>
        <v/>
      </c>
      <c r="BD31" s="484">
        <f>BD29+BD30</f>
        <v/>
      </c>
      <c r="BE31" s="484">
        <f>BE29+BE30</f>
        <v/>
      </c>
      <c r="BF31" s="484">
        <f>BF29+BF30</f>
        <v/>
      </c>
      <c r="BG31" s="484">
        <f>BG29+BG30</f>
        <v/>
      </c>
      <c r="BH31" s="484">
        <f>BH29+BH30</f>
        <v/>
      </c>
      <c r="BI31" s="484">
        <f>BI29+BI30</f>
        <v/>
      </c>
      <c r="BJ31" s="484">
        <f>BJ29+BJ30</f>
        <v/>
      </c>
      <c r="BK31" s="484">
        <f>BK29+BK30</f>
        <v/>
      </c>
      <c r="BL31" s="484">
        <f>BL29+BL30</f>
        <v/>
      </c>
      <c r="BM31" s="484">
        <f>BM29+BM30</f>
        <v/>
      </c>
      <c r="BN31" s="484">
        <f>BN29+BN30</f>
        <v/>
      </c>
      <c r="BO31" s="484">
        <f>BO29+BO30</f>
        <v/>
      </c>
      <c r="BP31" s="484">
        <f>BP29+BP30</f>
        <v/>
      </c>
      <c r="BQ31" s="484">
        <f>BQ29+BQ30</f>
        <v/>
      </c>
      <c r="BR31" s="484">
        <f>BR29+BR30</f>
        <v/>
      </c>
      <c r="BS31" s="484">
        <f>BS29+BS30</f>
        <v/>
      </c>
      <c r="BT31" s="484">
        <f>BT29+BT30</f>
        <v/>
      </c>
      <c r="BU31" s="484">
        <f>BU29+BU30</f>
        <v/>
      </c>
      <c r="BV31" s="484">
        <f>BV29+BV30</f>
        <v/>
      </c>
      <c r="BW31" s="484">
        <f>BW29+BW30</f>
        <v/>
      </c>
      <c r="BX31" s="484">
        <f>BX29+BX30</f>
        <v/>
      </c>
      <c r="BY31" s="484">
        <f>BY29+BY30</f>
        <v/>
      </c>
      <c r="BZ31" s="484">
        <f>BZ29+BZ30</f>
        <v/>
      </c>
      <c r="CA31" s="484">
        <f>CA29+CA30</f>
        <v/>
      </c>
      <c r="CB31" s="484">
        <f>CB29+CB30</f>
        <v/>
      </c>
      <c r="CC31" s="484">
        <f>CC29+CC30</f>
        <v/>
      </c>
      <c r="CD31" s="484">
        <f>CD29+CD30</f>
        <v/>
      </c>
      <c r="CE31" s="484">
        <f>CE29+CE30</f>
        <v/>
      </c>
      <c r="CF31" s="484">
        <f>CF29+CF30</f>
        <v/>
      </c>
      <c r="CG31" s="484">
        <f>CG29+CG30</f>
        <v/>
      </c>
      <c r="CH31" s="484">
        <f>CH29+CH30</f>
        <v/>
      </c>
      <c r="CI31" s="484">
        <f>CI29+CI30</f>
        <v/>
      </c>
      <c r="CJ31" s="484">
        <f>CJ29+CJ30</f>
        <v/>
      </c>
      <c r="CK31" s="484">
        <f>CK29+CK30</f>
        <v/>
      </c>
      <c r="CL31" s="484">
        <f>CL29+CL30</f>
        <v/>
      </c>
      <c r="CM31" s="484">
        <f>CM29+CM30</f>
        <v/>
      </c>
      <c r="CN31" s="484">
        <f>CN29+CN30</f>
        <v/>
      </c>
      <c r="CO31" s="484">
        <f>CO29+CO30</f>
        <v/>
      </c>
      <c r="CP31" s="484">
        <f>CP29+CP30</f>
        <v/>
      </c>
      <c r="CQ31" s="484">
        <f>CQ29+CQ30</f>
        <v/>
      </c>
      <c r="CR31" s="484">
        <f>CR29+CR30</f>
        <v/>
      </c>
      <c r="CS31" s="484">
        <f>CS29+CS30</f>
        <v/>
      </c>
      <c r="CT31" s="484">
        <f>CT29+CT30</f>
        <v/>
      </c>
      <c r="CU31" s="484">
        <f>CU29+CU30</f>
        <v/>
      </c>
      <c r="CV31" s="484">
        <f>CV29+CV30</f>
        <v/>
      </c>
      <c r="CW31" s="484">
        <f>CW29+CW30</f>
        <v/>
      </c>
      <c r="CX31" s="484">
        <f>CX29+CX30</f>
        <v/>
      </c>
      <c r="CY31" s="484">
        <f>CY29+CY30</f>
        <v/>
      </c>
      <c r="CZ31" s="484">
        <f>CZ29+CZ30</f>
        <v/>
      </c>
      <c r="DA31" s="484">
        <f>DA29+DA30</f>
        <v/>
      </c>
      <c r="DB31" s="484">
        <f>DB29+DB30</f>
        <v/>
      </c>
      <c r="DC31" s="484">
        <f>DC29+DC30</f>
        <v/>
      </c>
    </row>
    <row r="32" ht="12" customHeight="1" s="244">
      <c r="A32" s="261" t="n"/>
      <c r="B32" s="489" t="n"/>
      <c r="C32" s="482" t="n"/>
      <c r="D32" s="261" t="n"/>
      <c r="E32" s="259" t="n"/>
      <c r="F32" s="495" t="n">
        <v>14025</v>
      </c>
      <c r="G32" s="495" t="n">
        <v>23598</v>
      </c>
      <c r="H32" s="495" t="n">
        <v>7858</v>
      </c>
      <c r="I32" s="495" t="n">
        <v>12987</v>
      </c>
      <c r="J32" s="495" t="n">
        <v>5620</v>
      </c>
      <c r="K32" s="495" t="n">
        <v>5121</v>
      </c>
      <c r="L32" s="495" t="n">
        <v>3650</v>
      </c>
      <c r="M32" s="495" t="n">
        <v>2326</v>
      </c>
      <c r="N32" s="495" t="n">
        <v>605</v>
      </c>
      <c r="O32" s="495" t="n">
        <v>14025</v>
      </c>
      <c r="P32" s="495" t="n">
        <v>17969</v>
      </c>
      <c r="Q32" s="495" t="n">
        <v>7858</v>
      </c>
      <c r="R32" s="495" t="n">
        <v>12987</v>
      </c>
      <c r="S32" s="495" t="n">
        <v>5620</v>
      </c>
      <c r="T32" s="495" t="n">
        <v>3765</v>
      </c>
      <c r="U32" s="495" t="n">
        <v>3650</v>
      </c>
      <c r="V32" s="495" t="n">
        <v>2326</v>
      </c>
      <c r="W32" s="495" t="n">
        <v>605</v>
      </c>
      <c r="X32" s="495" t="n">
        <v>14025</v>
      </c>
      <c r="Y32" s="495" t="n">
        <v>17969</v>
      </c>
      <c r="Z32" s="495" t="n">
        <v>7858</v>
      </c>
      <c r="AA32" s="495" t="n">
        <v>12987</v>
      </c>
      <c r="AB32" s="495" t="n">
        <v>5620</v>
      </c>
      <c r="AC32" s="495" t="n">
        <v>10804</v>
      </c>
      <c r="AD32" s="495" t="n">
        <v>3650</v>
      </c>
      <c r="AE32" s="495" t="n">
        <v>605</v>
      </c>
      <c r="AF32" s="495" t="n">
        <v>4779</v>
      </c>
      <c r="AG32" s="495" t="n">
        <v>21842</v>
      </c>
      <c r="AH32" s="495" t="n">
        <v>415</v>
      </c>
      <c r="AI32" s="495" t="n">
        <v>2778</v>
      </c>
      <c r="AJ32" s="495" t="n">
        <v>1507</v>
      </c>
      <c r="AK32" s="495" t="n">
        <v>7009</v>
      </c>
      <c r="AL32" s="495" t="n">
        <v>9794</v>
      </c>
      <c r="AM32" s="495" t="n">
        <v>21842</v>
      </c>
      <c r="AN32" s="495" t="n">
        <v>415</v>
      </c>
      <c r="AO32" s="495" t="n">
        <v>2778</v>
      </c>
      <c r="AP32" s="495" t="n">
        <v>1507</v>
      </c>
      <c r="AQ32" s="495" t="n">
        <v>7009</v>
      </c>
      <c r="AR32" s="495" t="n">
        <v>9794</v>
      </c>
      <c r="AS32" s="495" t="n">
        <v>21842</v>
      </c>
      <c r="AT32" s="495" t="n">
        <v>415</v>
      </c>
      <c r="AU32" s="495" t="n">
        <v>2778</v>
      </c>
      <c r="AV32" s="495" t="n">
        <v>1507</v>
      </c>
      <c r="AW32" s="495" t="n">
        <v>7009</v>
      </c>
      <c r="AX32" s="495" t="n">
        <v>9794</v>
      </c>
      <c r="AY32" s="495" t="n">
        <v>11916</v>
      </c>
      <c r="AZ32" s="495" t="n">
        <v>9438</v>
      </c>
      <c r="BA32" s="495" t="n">
        <v>913</v>
      </c>
      <c r="BB32" s="495" t="n">
        <v>2066</v>
      </c>
      <c r="BC32" s="495" t="n">
        <v>157</v>
      </c>
      <c r="BD32" s="495" t="n">
        <v>12906</v>
      </c>
      <c r="BE32" s="495" t="n">
        <v>19416</v>
      </c>
      <c r="BF32" s="495" t="n">
        <v>13293</v>
      </c>
      <c r="BG32" s="495" t="n">
        <v>4452</v>
      </c>
      <c r="BH32" s="495" t="n">
        <v>913</v>
      </c>
      <c r="BI32" s="495" t="n">
        <v>157</v>
      </c>
      <c r="BJ32" s="495" t="n">
        <v>10780</v>
      </c>
      <c r="BK32" s="495" t="n">
        <v>17545</v>
      </c>
      <c r="BL32" s="495" t="n">
        <v>13326</v>
      </c>
      <c r="BM32" s="495" t="n">
        <v>1120</v>
      </c>
      <c r="BN32" s="495" t="n">
        <v>1310</v>
      </c>
      <c r="BO32" s="495" t="n">
        <v>172</v>
      </c>
      <c r="BP32" s="495" t="n">
        <v>11168</v>
      </c>
      <c r="BQ32" s="495" t="n">
        <v>12403</v>
      </c>
      <c r="BR32" s="495" t="n">
        <v>158</v>
      </c>
      <c r="BS32" s="495" t="n">
        <v>1286</v>
      </c>
      <c r="BT32" s="495" t="n">
        <v>913</v>
      </c>
      <c r="BU32" s="495" t="n">
        <v>5822</v>
      </c>
      <c r="BV32" s="495" t="n">
        <v>8986</v>
      </c>
      <c r="BW32" s="495" t="n">
        <v>13090</v>
      </c>
      <c r="BX32" s="495" t="n">
        <v>2629</v>
      </c>
      <c r="BY32" s="495" t="n">
        <v>15232</v>
      </c>
      <c r="BZ32" s="495" t="n">
        <v>2523</v>
      </c>
      <c r="CA32" s="495" t="n">
        <v>641</v>
      </c>
      <c r="CB32" s="495" t="n">
        <v>911</v>
      </c>
      <c r="CC32" s="495" t="n">
        <v>3806</v>
      </c>
      <c r="CD32" s="495" t="n">
        <v>12237</v>
      </c>
      <c r="CE32" s="495" t="n">
        <v>9495</v>
      </c>
      <c r="CF32" s="495" t="n">
        <v>4748</v>
      </c>
      <c r="CG32" s="495" t="n">
        <v>1895</v>
      </c>
      <c r="CH32" s="495" t="n">
        <v>162</v>
      </c>
      <c r="CI32" s="495" t="n">
        <v>913</v>
      </c>
      <c r="CJ32" s="495" t="n">
        <v>5283</v>
      </c>
      <c r="CK32" s="495" t="n">
        <v>9000</v>
      </c>
      <c r="CL32" s="495" t="n">
        <v>1171</v>
      </c>
      <c r="CM32" s="495" t="n">
        <v>1949</v>
      </c>
      <c r="CN32" s="495" t="n">
        <v>20663</v>
      </c>
      <c r="CO32" s="495" t="n">
        <v>12137</v>
      </c>
      <c r="CP32" s="495" t="n">
        <v>8191</v>
      </c>
      <c r="CQ32" s="495" t="n">
        <v>12136</v>
      </c>
      <c r="CR32" s="495" t="n">
        <v>24121</v>
      </c>
      <c r="CS32" s="495" t="n">
        <v>17396</v>
      </c>
      <c r="CT32" s="495" t="n">
        <v>2356</v>
      </c>
      <c r="CU32" s="495" t="n">
        <v>5947</v>
      </c>
      <c r="CV32" s="495" t="n">
        <v>9467</v>
      </c>
      <c r="CW32" s="495" t="n">
        <v>512</v>
      </c>
      <c r="CX32" s="495" t="n">
        <v>7380</v>
      </c>
      <c r="CY32" s="495" t="n">
        <v>1547</v>
      </c>
      <c r="CZ32" s="495" t="n">
        <v>22695</v>
      </c>
      <c r="DA32" s="495" t="n">
        <v>28475</v>
      </c>
      <c r="DB32" s="495" t="n">
        <v>25379</v>
      </c>
      <c r="DC32" s="495" t="n">
        <v>20046</v>
      </c>
    </row>
    <row r="33" ht="12" customHeight="1" s="244">
      <c r="A33" s="261" t="n"/>
      <c r="B33" s="489" t="n"/>
      <c r="C33" s="482" t="n"/>
      <c r="D33" s="261" t="n"/>
      <c r="E33" s="259" t="n"/>
      <c r="F33" s="484">
        <f>F32*0.05</f>
        <v/>
      </c>
      <c r="G33" s="484">
        <f>G32*0.05</f>
        <v/>
      </c>
      <c r="H33" s="484">
        <f>H32*0.05</f>
        <v/>
      </c>
      <c r="I33" s="484">
        <f>I32*0.05</f>
        <v/>
      </c>
      <c r="J33" s="484">
        <f>J32*0.05</f>
        <v/>
      </c>
      <c r="K33" s="484">
        <f>K32*0.05</f>
        <v/>
      </c>
      <c r="L33" s="484">
        <f>L32*0.05</f>
        <v/>
      </c>
      <c r="M33" s="484">
        <f>M32*0.05</f>
        <v/>
      </c>
      <c r="N33" s="484">
        <f>N32*0.05</f>
        <v/>
      </c>
      <c r="O33" s="484">
        <f>O32*0.05</f>
        <v/>
      </c>
      <c r="P33" s="484">
        <f>P32*0.05</f>
        <v/>
      </c>
      <c r="Q33" s="484">
        <f>Q32*0.05</f>
        <v/>
      </c>
      <c r="R33" s="484">
        <f>R32*0.05</f>
        <v/>
      </c>
      <c r="S33" s="484">
        <f>S32*0.05</f>
        <v/>
      </c>
      <c r="T33" s="484">
        <f>T32*0.05</f>
        <v/>
      </c>
      <c r="U33" s="484">
        <f>U32*0.05</f>
        <v/>
      </c>
      <c r="V33" s="484">
        <f>V32*0.05</f>
        <v/>
      </c>
      <c r="W33" s="484">
        <f>W32*0.05</f>
        <v/>
      </c>
      <c r="X33" s="484">
        <f>X32*0.05</f>
        <v/>
      </c>
      <c r="Y33" s="484">
        <f>Y32*0.05</f>
        <v/>
      </c>
      <c r="Z33" s="484">
        <f>Z32*0.05</f>
        <v/>
      </c>
      <c r="AA33" s="484">
        <f>AA32*0.05</f>
        <v/>
      </c>
      <c r="AB33" s="484">
        <f>AB32*0.05</f>
        <v/>
      </c>
      <c r="AC33" s="484">
        <f>AC32*0.05</f>
        <v/>
      </c>
      <c r="AD33" s="484">
        <f>AD32*0.05</f>
        <v/>
      </c>
      <c r="AE33" s="484">
        <f>AE32*0.05</f>
        <v/>
      </c>
      <c r="AF33" s="484">
        <f>AF32*0.05</f>
        <v/>
      </c>
      <c r="AG33" s="484">
        <f>AG32*0.05</f>
        <v/>
      </c>
      <c r="AH33" s="484">
        <f>AH32*0.05</f>
        <v/>
      </c>
      <c r="AI33" s="484">
        <f>AI32*0.05</f>
        <v/>
      </c>
      <c r="AJ33" s="484">
        <f>AJ32*0.05</f>
        <v/>
      </c>
      <c r="AK33" s="484">
        <f>AK32*0.05</f>
        <v/>
      </c>
      <c r="AL33" s="484">
        <f>AL32*0.05</f>
        <v/>
      </c>
      <c r="AM33" s="484">
        <f>AM32*0.05</f>
        <v/>
      </c>
      <c r="AN33" s="484">
        <f>AN32*0.05</f>
        <v/>
      </c>
      <c r="AO33" s="484">
        <f>AO32*0.05</f>
        <v/>
      </c>
      <c r="AP33" s="484">
        <f>AP32*0.05</f>
        <v/>
      </c>
      <c r="AQ33" s="484">
        <f>AQ32*0.05</f>
        <v/>
      </c>
      <c r="AR33" s="484">
        <f>AR32*0.05</f>
        <v/>
      </c>
      <c r="AS33" s="484">
        <f>AS32*0.05</f>
        <v/>
      </c>
      <c r="AT33" s="484">
        <f>AT32*0.05</f>
        <v/>
      </c>
      <c r="AU33" s="484">
        <f>AU32*0.05</f>
        <v/>
      </c>
      <c r="AV33" s="484">
        <f>AV32*0.05</f>
        <v/>
      </c>
      <c r="AW33" s="484">
        <f>AW32*0.05</f>
        <v/>
      </c>
      <c r="AX33" s="484">
        <f>AX32*0.05</f>
        <v/>
      </c>
      <c r="AY33" s="484">
        <f>AY32*0.05</f>
        <v/>
      </c>
      <c r="AZ33" s="484">
        <f>AZ32*0.05</f>
        <v/>
      </c>
      <c r="BA33" s="484">
        <f>BA32*0.05</f>
        <v/>
      </c>
      <c r="BB33" s="484">
        <f>BB32*0.05</f>
        <v/>
      </c>
      <c r="BC33" s="484">
        <f>BC32*0.05</f>
        <v/>
      </c>
      <c r="BD33" s="484">
        <f>BD32*0.05</f>
        <v/>
      </c>
      <c r="BE33" s="484">
        <f>BE32*0.05</f>
        <v/>
      </c>
      <c r="BF33" s="484">
        <f>BF32*0.05</f>
        <v/>
      </c>
      <c r="BG33" s="484">
        <f>BG32*0.05</f>
        <v/>
      </c>
      <c r="BH33" s="484">
        <f>BH32*0.05</f>
        <v/>
      </c>
      <c r="BI33" s="484">
        <f>BI32*0.05</f>
        <v/>
      </c>
      <c r="BJ33" s="484">
        <f>BJ32*0.05</f>
        <v/>
      </c>
      <c r="BK33" s="484">
        <f>BK32*0.05</f>
        <v/>
      </c>
      <c r="BL33" s="484">
        <f>BL32*0.05</f>
        <v/>
      </c>
      <c r="BM33" s="484">
        <f>BM32*0.05</f>
        <v/>
      </c>
      <c r="BN33" s="484">
        <f>BN32*0.05</f>
        <v/>
      </c>
      <c r="BO33" s="484">
        <f>BO32*0.05</f>
        <v/>
      </c>
      <c r="BP33" s="484">
        <f>BP32*0.05</f>
        <v/>
      </c>
      <c r="BQ33" s="484">
        <f>BQ32*0.05</f>
        <v/>
      </c>
      <c r="BR33" s="484">
        <f>BR32*0.05</f>
        <v/>
      </c>
      <c r="BS33" s="484">
        <f>BS32*0.05</f>
        <v/>
      </c>
      <c r="BT33" s="484">
        <f>BT32*0.05</f>
        <v/>
      </c>
      <c r="BU33" s="484">
        <f>BU32*0.05</f>
        <v/>
      </c>
      <c r="BV33" s="484">
        <f>BV32*0.05</f>
        <v/>
      </c>
      <c r="BW33" s="484">
        <f>BW32*0.05</f>
        <v/>
      </c>
      <c r="BX33" s="484">
        <f>BX32*0.05</f>
        <v/>
      </c>
      <c r="BY33" s="484">
        <f>BY32*0.05</f>
        <v/>
      </c>
      <c r="BZ33" s="484">
        <f>BZ32*0.05</f>
        <v/>
      </c>
      <c r="CA33" s="484">
        <f>CA32*0.05</f>
        <v/>
      </c>
      <c r="CB33" s="484">
        <f>CB32*0.05</f>
        <v/>
      </c>
      <c r="CC33" s="484">
        <f>CC32*0.05</f>
        <v/>
      </c>
      <c r="CD33" s="484">
        <f>CD32*0.05</f>
        <v/>
      </c>
      <c r="CE33" s="484">
        <f>CE32*0.05</f>
        <v/>
      </c>
      <c r="CF33" s="484">
        <f>CF32*0.05</f>
        <v/>
      </c>
      <c r="CG33" s="484">
        <f>CG32*0.05</f>
        <v/>
      </c>
      <c r="CH33" s="484">
        <f>CH32*0.05</f>
        <v/>
      </c>
      <c r="CI33" s="484">
        <f>CI32*0.05</f>
        <v/>
      </c>
      <c r="CJ33" s="484">
        <f>CJ32*0.05</f>
        <v/>
      </c>
      <c r="CK33" s="484">
        <f>CK32*0.05</f>
        <v/>
      </c>
      <c r="CL33" s="484">
        <f>CL32*0.05</f>
        <v/>
      </c>
      <c r="CM33" s="484">
        <f>CM32*0.05</f>
        <v/>
      </c>
      <c r="CN33" s="484">
        <f>CN32*0.05</f>
        <v/>
      </c>
      <c r="CO33" s="484">
        <f>CO32*0.05</f>
        <v/>
      </c>
      <c r="CP33" s="484">
        <f>CP32*0.05</f>
        <v/>
      </c>
      <c r="CQ33" s="484">
        <f>CQ32*0.05</f>
        <v/>
      </c>
      <c r="CR33" s="484">
        <f>CR32*0.05</f>
        <v/>
      </c>
      <c r="CS33" s="484">
        <f>CS32*0.05</f>
        <v/>
      </c>
      <c r="CT33" s="484">
        <f>CT32*0.05</f>
        <v/>
      </c>
      <c r="CU33" s="484">
        <f>CU32*0.05</f>
        <v/>
      </c>
      <c r="CV33" s="484">
        <f>CV32*0.05</f>
        <v/>
      </c>
      <c r="CW33" s="484">
        <f>CW32*0.05</f>
        <v/>
      </c>
      <c r="CX33" s="484">
        <f>CX32*0.05</f>
        <v/>
      </c>
      <c r="CY33" s="484">
        <f>CY32*0.05</f>
        <v/>
      </c>
      <c r="CZ33" s="484">
        <f>CZ32*0.05</f>
        <v/>
      </c>
      <c r="DA33" s="484">
        <f>DA32*0.05</f>
        <v/>
      </c>
      <c r="DB33" s="484">
        <f>DB32*0.05</f>
        <v/>
      </c>
      <c r="DC33" s="484">
        <f>DC32*0.05</f>
        <v/>
      </c>
    </row>
    <row r="34" ht="12" customHeight="1" s="244">
      <c r="A34" s="261" t="n"/>
      <c r="B34" s="489" t="n"/>
      <c r="C34" s="482" t="n"/>
      <c r="D34" s="261" t="n"/>
      <c r="E34" s="259" t="n"/>
      <c r="F34" s="484">
        <f>F32+F33</f>
        <v/>
      </c>
      <c r="G34" s="484">
        <f>G32+G33</f>
        <v/>
      </c>
      <c r="H34" s="484">
        <f>H32+H33</f>
        <v/>
      </c>
      <c r="I34" s="484">
        <f>I32+I33</f>
        <v/>
      </c>
      <c r="J34" s="484">
        <f>J32+J33</f>
        <v/>
      </c>
      <c r="K34" s="484">
        <f>K32+K33</f>
        <v/>
      </c>
      <c r="L34" s="484">
        <f>L32+L33</f>
        <v/>
      </c>
      <c r="M34" s="484">
        <f>M32+M33</f>
        <v/>
      </c>
      <c r="N34" s="484">
        <f>N32+N33</f>
        <v/>
      </c>
      <c r="O34" s="484">
        <f>O32+O33</f>
        <v/>
      </c>
      <c r="P34" s="484">
        <f>P32+P33</f>
        <v/>
      </c>
      <c r="Q34" s="484">
        <f>Q32+Q33</f>
        <v/>
      </c>
      <c r="R34" s="484">
        <f>R32+R33</f>
        <v/>
      </c>
      <c r="S34" s="484">
        <f>S32+S33</f>
        <v/>
      </c>
      <c r="T34" s="484">
        <f>T32+T33</f>
        <v/>
      </c>
      <c r="U34" s="484">
        <f>U32+U33</f>
        <v/>
      </c>
      <c r="V34" s="484">
        <f>V32+V33</f>
        <v/>
      </c>
      <c r="W34" s="484">
        <f>W32+W33</f>
        <v/>
      </c>
      <c r="X34" s="484">
        <f>X32+X33</f>
        <v/>
      </c>
      <c r="Y34" s="484">
        <f>Y32+Y33</f>
        <v/>
      </c>
      <c r="Z34" s="484">
        <f>Z32+Z33</f>
        <v/>
      </c>
      <c r="AA34" s="484">
        <f>AA32+AA33</f>
        <v/>
      </c>
      <c r="AB34" s="484">
        <f>AB32+AB33</f>
        <v/>
      </c>
      <c r="AC34" s="484">
        <f>AC32+AC33</f>
        <v/>
      </c>
      <c r="AD34" s="484">
        <f>AD32+AD33</f>
        <v/>
      </c>
      <c r="AE34" s="484">
        <f>AE32+AE33</f>
        <v/>
      </c>
      <c r="AF34" s="484">
        <f>AF32+AF33</f>
        <v/>
      </c>
      <c r="AG34" s="484">
        <f>AG32+AG33</f>
        <v/>
      </c>
      <c r="AH34" s="484">
        <f>AH32+AH33</f>
        <v/>
      </c>
      <c r="AI34" s="484">
        <f>AI32+AI33</f>
        <v/>
      </c>
      <c r="AJ34" s="484">
        <f>AJ32+AJ33</f>
        <v/>
      </c>
      <c r="AK34" s="484">
        <f>AK32+AK33</f>
        <v/>
      </c>
      <c r="AL34" s="484">
        <f>AL32+AL33</f>
        <v/>
      </c>
      <c r="AM34" s="484">
        <f>AM32+AM33</f>
        <v/>
      </c>
      <c r="AN34" s="484">
        <f>AN32+AN33</f>
        <v/>
      </c>
      <c r="AO34" s="484">
        <f>AO32+AO33</f>
        <v/>
      </c>
      <c r="AP34" s="484">
        <f>AP32+AP33</f>
        <v/>
      </c>
      <c r="AQ34" s="484">
        <f>AQ32+AQ33</f>
        <v/>
      </c>
      <c r="AR34" s="484">
        <f>AR32+AR33</f>
        <v/>
      </c>
      <c r="AS34" s="484">
        <f>AS32+AS33</f>
        <v/>
      </c>
      <c r="AT34" s="484">
        <f>AT32+AT33</f>
        <v/>
      </c>
      <c r="AU34" s="484">
        <f>AU32+AU33</f>
        <v/>
      </c>
      <c r="AV34" s="484">
        <f>AV32+AV33</f>
        <v/>
      </c>
      <c r="AW34" s="484">
        <f>AW32+AW33</f>
        <v/>
      </c>
      <c r="AX34" s="484">
        <f>AX32+AX33</f>
        <v/>
      </c>
      <c r="AY34" s="484">
        <f>AY32+AY33</f>
        <v/>
      </c>
      <c r="AZ34" s="484">
        <f>AZ32+AZ33</f>
        <v/>
      </c>
      <c r="BA34" s="484">
        <f>BA32+BA33</f>
        <v/>
      </c>
      <c r="BB34" s="484">
        <f>BB32+BB33</f>
        <v/>
      </c>
      <c r="BC34" s="484">
        <f>BC32+BC33</f>
        <v/>
      </c>
      <c r="BD34" s="484">
        <f>BD32+BD33</f>
        <v/>
      </c>
      <c r="BE34" s="484">
        <f>BE32+BE33</f>
        <v/>
      </c>
      <c r="BF34" s="484">
        <f>BF32+BF33</f>
        <v/>
      </c>
      <c r="BG34" s="484">
        <f>BG32+BG33</f>
        <v/>
      </c>
      <c r="BH34" s="484">
        <f>BH32+BH33</f>
        <v/>
      </c>
      <c r="BI34" s="484">
        <f>BI32+BI33</f>
        <v/>
      </c>
      <c r="BJ34" s="484">
        <f>BJ32+BJ33</f>
        <v/>
      </c>
      <c r="BK34" s="484">
        <f>BK32+BK33</f>
        <v/>
      </c>
      <c r="BL34" s="484">
        <f>BL32+BL33</f>
        <v/>
      </c>
      <c r="BM34" s="484">
        <f>BM32+BM33</f>
        <v/>
      </c>
      <c r="BN34" s="484">
        <f>BN32+BN33</f>
        <v/>
      </c>
      <c r="BO34" s="484">
        <f>BO32+BO33</f>
        <v/>
      </c>
      <c r="BP34" s="484">
        <f>BP32+BP33</f>
        <v/>
      </c>
      <c r="BQ34" s="484">
        <f>BQ32+BQ33</f>
        <v/>
      </c>
      <c r="BR34" s="484">
        <f>BR32+BR33</f>
        <v/>
      </c>
      <c r="BS34" s="484">
        <f>BS32+BS33</f>
        <v/>
      </c>
      <c r="BT34" s="484">
        <f>BT32+BT33</f>
        <v/>
      </c>
      <c r="BU34" s="484">
        <f>BU32+BU33</f>
        <v/>
      </c>
      <c r="BV34" s="484">
        <f>BV32+BV33</f>
        <v/>
      </c>
      <c r="BW34" s="484">
        <f>BW32+BW33</f>
        <v/>
      </c>
      <c r="BX34" s="484">
        <f>BX32+BX33</f>
        <v/>
      </c>
      <c r="BY34" s="484">
        <f>BY32+BY33</f>
        <v/>
      </c>
      <c r="BZ34" s="484">
        <f>BZ32+BZ33</f>
        <v/>
      </c>
      <c r="CA34" s="484">
        <f>CA32+CA33</f>
        <v/>
      </c>
      <c r="CB34" s="484">
        <f>CB32+CB33</f>
        <v/>
      </c>
      <c r="CC34" s="484">
        <f>CC32+CC33</f>
        <v/>
      </c>
      <c r="CD34" s="484">
        <f>CD32+CD33</f>
        <v/>
      </c>
      <c r="CE34" s="484">
        <f>CE32+CE33</f>
        <v/>
      </c>
      <c r="CF34" s="484">
        <f>CF32+CF33</f>
        <v/>
      </c>
      <c r="CG34" s="484">
        <f>CG32+CG33</f>
        <v/>
      </c>
      <c r="CH34" s="484">
        <f>CH32+CH33</f>
        <v/>
      </c>
      <c r="CI34" s="484">
        <f>CI32+CI33</f>
        <v/>
      </c>
      <c r="CJ34" s="484">
        <f>CJ32+CJ33</f>
        <v/>
      </c>
      <c r="CK34" s="484">
        <f>CK32+CK33</f>
        <v/>
      </c>
      <c r="CL34" s="484">
        <f>CL32+CL33</f>
        <v/>
      </c>
      <c r="CM34" s="484">
        <f>CM32+CM33</f>
        <v/>
      </c>
      <c r="CN34" s="484">
        <f>CN32+CN33</f>
        <v/>
      </c>
      <c r="CO34" s="484">
        <f>CO32+CO33</f>
        <v/>
      </c>
      <c r="CP34" s="484">
        <f>CP32+CP33</f>
        <v/>
      </c>
      <c r="CQ34" s="484">
        <f>CQ32+CQ33</f>
        <v/>
      </c>
      <c r="CR34" s="484">
        <f>CR32+CR33</f>
        <v/>
      </c>
      <c r="CS34" s="484">
        <f>CS32+CS33</f>
        <v/>
      </c>
      <c r="CT34" s="484">
        <f>CT32+CT33</f>
        <v/>
      </c>
      <c r="CU34" s="484">
        <f>CU32+CU33</f>
        <v/>
      </c>
      <c r="CV34" s="484">
        <f>CV32+CV33</f>
        <v/>
      </c>
      <c r="CW34" s="484">
        <f>CW32+CW33</f>
        <v/>
      </c>
      <c r="CX34" s="484">
        <f>CX32+CX33</f>
        <v/>
      </c>
      <c r="CY34" s="484">
        <f>CY32+CY33</f>
        <v/>
      </c>
      <c r="CZ34" s="484">
        <f>CZ32+CZ33</f>
        <v/>
      </c>
      <c r="DA34" s="484">
        <f>DA32+DA33</f>
        <v/>
      </c>
      <c r="DB34" s="484">
        <f>DB32+DB33</f>
        <v/>
      </c>
      <c r="DC34" s="484">
        <f>DC32+DC33</f>
        <v/>
      </c>
    </row>
    <row r="35" ht="12" customHeight="1" s="244">
      <c r="A35" s="261" t="n"/>
      <c r="B35" s="489" t="n"/>
      <c r="C35" s="282" t="n"/>
      <c r="D35" s="261" t="n"/>
      <c r="E35" s="259" t="n"/>
      <c r="F35" s="497">
        <f>MAX(F34:DC34)-F34</f>
        <v/>
      </c>
      <c r="G35" s="497">
        <f>MAX(F34:DC34)-G34</f>
        <v/>
      </c>
      <c r="H35" s="497">
        <f>MAX(F34:DC34)-H34</f>
        <v/>
      </c>
      <c r="I35" s="497">
        <f>MAX(F34:DC34)-I34</f>
        <v/>
      </c>
      <c r="J35" s="497">
        <f>MAX(F34:DC34)-J34</f>
        <v/>
      </c>
      <c r="K35" s="497">
        <f>MAX(F34:DC34)-K34</f>
        <v/>
      </c>
      <c r="L35" s="497">
        <f>MAX(F34:DC34)-L34</f>
        <v/>
      </c>
      <c r="M35" s="497">
        <f>MAX(F34:DC34)-M34</f>
        <v/>
      </c>
      <c r="N35" s="497">
        <f>MAX(F34:DC34)-N34</f>
        <v/>
      </c>
      <c r="O35" s="497">
        <f>MAX(F34:DC34)-O34</f>
        <v/>
      </c>
      <c r="P35" s="497">
        <f>MAX(F34:DC34)-P34</f>
        <v/>
      </c>
      <c r="Q35" s="497">
        <f>MAX(F34:DC34)-Q34</f>
        <v/>
      </c>
      <c r="R35" s="497">
        <f>MAX(F34:DC34)-R34</f>
        <v/>
      </c>
      <c r="S35" s="497">
        <f>MAX(F34:DC34)-S34</f>
        <v/>
      </c>
      <c r="T35" s="497">
        <f>MAX(F34:DC34)-T34</f>
        <v/>
      </c>
      <c r="U35" s="497">
        <f>MAX(F34:DC34)-U34</f>
        <v/>
      </c>
      <c r="V35" s="497">
        <f>MAX(F34:DC34)-V34</f>
        <v/>
      </c>
      <c r="W35" s="497">
        <f>MAX(F34:DC34)-W34</f>
        <v/>
      </c>
      <c r="X35" s="497">
        <f>MAX(F34:DC34)-X34</f>
        <v/>
      </c>
      <c r="Y35" s="497">
        <f>MAX(F34:DC34)-Y34</f>
        <v/>
      </c>
      <c r="Z35" s="497">
        <f>MAX(F34:DC34)-Z34</f>
        <v/>
      </c>
      <c r="AA35" s="497">
        <f>MAX(F34:DC34)-AA34</f>
        <v/>
      </c>
      <c r="AB35" s="497">
        <f>MAX(F34:DC34)-AB34</f>
        <v/>
      </c>
      <c r="AC35" s="497">
        <f>MAX(F34:DC34)-AC34</f>
        <v/>
      </c>
      <c r="AD35" s="497">
        <f>MAX(F34:DC34)-AD34</f>
        <v/>
      </c>
      <c r="AE35" s="497">
        <f>MAX(F34:DC34)-AE34</f>
        <v/>
      </c>
      <c r="AF35" s="497">
        <f>MAX(F34:DC34)-AF34</f>
        <v/>
      </c>
      <c r="AG35" s="497">
        <f>MAX(F34:DC34)-AG34</f>
        <v/>
      </c>
      <c r="AH35" s="497">
        <f>MAX(F34:DC34)-AH34</f>
        <v/>
      </c>
      <c r="AI35" s="497">
        <f>MAX(F34:DC34)-AI34</f>
        <v/>
      </c>
      <c r="AJ35" s="497">
        <f>MAX(F34:DC34)-AJ34</f>
        <v/>
      </c>
      <c r="AK35" s="497">
        <f>MAX(F34:DC34)-AK34</f>
        <v/>
      </c>
      <c r="AL35" s="497">
        <f>MAX(F34:DC34)-AL34</f>
        <v/>
      </c>
      <c r="AM35" s="497">
        <f>MAX(F34:DC34)-AM34</f>
        <v/>
      </c>
      <c r="AN35" s="497">
        <f>MAX(F34:DC34)-AN34</f>
        <v/>
      </c>
      <c r="AO35" s="497">
        <f>MAX(F34:DC34)-AO34</f>
        <v/>
      </c>
      <c r="AP35" s="497">
        <f>MAX(F34:DC34)-AP34</f>
        <v/>
      </c>
      <c r="AQ35" s="497">
        <f>MAX(F34:DC34)-AQ34</f>
        <v/>
      </c>
      <c r="AR35" s="497">
        <f>MAX(F34:DC34)-AR34</f>
        <v/>
      </c>
      <c r="AS35" s="497">
        <f>MAX(F34:DC34)-AS34</f>
        <v/>
      </c>
      <c r="AT35" s="497">
        <f>MAX(F34:DC34)-AT34</f>
        <v/>
      </c>
      <c r="AU35" s="497">
        <f>MAX(F34:DC34)-AU34</f>
        <v/>
      </c>
      <c r="AV35" s="497">
        <f>MAX(F34:DC34)-AV34</f>
        <v/>
      </c>
      <c r="AW35" s="497">
        <f>MAX(F34:DC34)-AW34</f>
        <v/>
      </c>
      <c r="AX35" s="497">
        <f>MAX(F34:DC34)-AX34</f>
        <v/>
      </c>
      <c r="AY35" s="497">
        <f>MAX(F34:DC34)-AY34</f>
        <v/>
      </c>
      <c r="AZ35" s="497">
        <f>MAX(F34:DC34)-AZ34</f>
        <v/>
      </c>
      <c r="BA35" s="497">
        <f>MAX(F34:DC34)-BA34</f>
        <v/>
      </c>
      <c r="BB35" s="497">
        <f>MAX(F34:DC34)-BB34</f>
        <v/>
      </c>
      <c r="BC35" s="497">
        <f>MAX(F34:DC34)-BC34</f>
        <v/>
      </c>
      <c r="BD35" s="497">
        <f>MAX(F34:DC34)-BD34</f>
        <v/>
      </c>
      <c r="BE35" s="497">
        <f>MAX(F34:DC34)-BE34</f>
        <v/>
      </c>
      <c r="BF35" s="497">
        <f>MAX(F34:DC34)-BF34</f>
        <v/>
      </c>
      <c r="BG35" s="497">
        <f>MAX(F34:DC34)-BG34</f>
        <v/>
      </c>
      <c r="BH35" s="497">
        <f>MAX(F34:DC34)-BH34</f>
        <v/>
      </c>
      <c r="BI35" s="497">
        <f>MAX(F34:DC34)-BI34</f>
        <v/>
      </c>
      <c r="BJ35" s="497">
        <f>MAX(F34:DC34)-BJ34</f>
        <v/>
      </c>
      <c r="BK35" s="497">
        <f>MAX(F34:DC34)-BK34</f>
        <v/>
      </c>
      <c r="BL35" s="497">
        <f>MAX(F34:DC34)-BL34</f>
        <v/>
      </c>
      <c r="BM35" s="497">
        <f>MAX(F34:DC34)-BM34</f>
        <v/>
      </c>
      <c r="BN35" s="497">
        <f>MAX(F34:DC34)-BN34</f>
        <v/>
      </c>
      <c r="BO35" s="497">
        <f>MAX(F34:DC34)-BO34</f>
        <v/>
      </c>
      <c r="BP35" s="497">
        <f>MAX(F34:DC34)-BP34</f>
        <v/>
      </c>
      <c r="BQ35" s="497">
        <f>MAX(F34:DC34)-BQ34</f>
        <v/>
      </c>
      <c r="BR35" s="497">
        <f>MAX(F34:DC34)-BR34</f>
        <v/>
      </c>
      <c r="BS35" s="497">
        <f>MAX(F34:DC34)-BS34</f>
        <v/>
      </c>
      <c r="BT35" s="497">
        <f>MAX(F34:DC34)-BT34</f>
        <v/>
      </c>
      <c r="BU35" s="497">
        <f>MAX(F34:DC34)-BU34</f>
        <v/>
      </c>
      <c r="BV35" s="497">
        <f>MAX(F34:DC34)-BV34</f>
        <v/>
      </c>
      <c r="BW35" s="497">
        <f>MAX(F34:DC34)-BW34</f>
        <v/>
      </c>
      <c r="BX35" s="497">
        <f>MAX(F34:DC34)-BX34</f>
        <v/>
      </c>
      <c r="BY35" s="497">
        <f>MAX(F34:DC34)-BY34</f>
        <v/>
      </c>
      <c r="BZ35" s="497">
        <f>MAX(F34:DC34)-BZ34</f>
        <v/>
      </c>
      <c r="CA35" s="497">
        <f>MAX(F34:DC34)-CA34</f>
        <v/>
      </c>
      <c r="CB35" s="497">
        <f>MAX(F34:DC34)-CB34</f>
        <v/>
      </c>
      <c r="CC35" s="497">
        <f>MAX(F34:DC34)-CC34</f>
        <v/>
      </c>
      <c r="CD35" s="497">
        <f>MAX(F34:DC34)-CD34</f>
        <v/>
      </c>
      <c r="CE35" s="497">
        <f>MAX(F34:DC34)-CE34</f>
        <v/>
      </c>
      <c r="CF35" s="497">
        <f>MAX(F34:DC34)-CF34</f>
        <v/>
      </c>
      <c r="CG35" s="497">
        <f>MAX(F34:DC34)-CG34</f>
        <v/>
      </c>
      <c r="CH35" s="497">
        <f>MAX(F34:DC34)-CH34</f>
        <v/>
      </c>
      <c r="CI35" s="497">
        <f>MAX(F34:DC34)-CI34</f>
        <v/>
      </c>
      <c r="CJ35" s="497">
        <f>MAX(F34:DC34)-CJ34</f>
        <v/>
      </c>
      <c r="CK35" s="497">
        <f>MAX(F34:DC34)-CK34</f>
        <v/>
      </c>
      <c r="CL35" s="497">
        <f>MAX(F34:DC34)-CL34</f>
        <v/>
      </c>
      <c r="CM35" s="497">
        <f>MAX(F34:DC34)-CM34</f>
        <v/>
      </c>
      <c r="CN35" s="497">
        <f>MAX(F34:DC34)-CN34</f>
        <v/>
      </c>
      <c r="CO35" s="497">
        <f>MAX(F34:DC34)-CO34</f>
        <v/>
      </c>
      <c r="CP35" s="497">
        <f>MAX(F34:DC34)-CP34</f>
        <v/>
      </c>
      <c r="CQ35" s="497">
        <f>MAX(F34:DC34)-CQ34</f>
        <v/>
      </c>
      <c r="CR35" s="497">
        <f>MAX(F34:DC34)-CR34</f>
        <v/>
      </c>
      <c r="CS35" s="497">
        <f>MAX(F34:DC34)-CS34</f>
        <v/>
      </c>
      <c r="CT35" s="497">
        <f>MAX(F34:DC34)-CT34</f>
        <v/>
      </c>
      <c r="CU35" s="497">
        <f>MAX(F34:DC34)-CU34</f>
        <v/>
      </c>
      <c r="CV35" s="497">
        <f>MAX(F34:DC34)-CV34</f>
        <v/>
      </c>
      <c r="CW35" s="497">
        <f>MAX(F34:DC34)-CW34</f>
        <v/>
      </c>
      <c r="CX35" s="497">
        <f>MAX(F34:DC34)-CX34</f>
        <v/>
      </c>
      <c r="CY35" s="497">
        <f>MAX(F34:DC34)-CY34</f>
        <v/>
      </c>
      <c r="CZ35" s="497">
        <f>MAX(F34:DC34)-CZ34</f>
        <v/>
      </c>
      <c r="DA35" s="497">
        <f>MAX(F34:DC34)-DA34</f>
        <v/>
      </c>
      <c r="DB35" s="497">
        <f>MAX(F34:DC34)-DB34</f>
        <v/>
      </c>
      <c r="DC35" s="497">
        <f>MAX(F34:DC34)-DC34</f>
        <v/>
      </c>
    </row>
    <row r="36" ht="18" customHeight="1" s="244">
      <c r="D36" s="266" t="inlineStr">
        <is>
          <t>Δpmax = 9828 Pa</t>
        </is>
      </c>
      <c r="F36" s="243" t="inlineStr">
        <is>
          <t>BASINÇ AYARLI KOLLEKTÖRDEN HERBİR</t>
        </is>
      </c>
    </row>
    <row r="37" ht="18" customHeight="1" s="244">
      <c r="F37" s="243" t="inlineStr">
        <is>
          <t>HATTA GİDEN BASINÇ BU BASINÇ DEĞERLERİNE</t>
        </is>
      </c>
    </row>
    <row r="38" ht="12.75" customHeight="1" s="244">
      <c r="F38" s="243" t="inlineStr">
        <is>
          <t>GÖRE AYARLANMALIDIR….</t>
        </is>
      </c>
    </row>
    <row r="39" ht="12.75" customHeight="1" s="244">
      <c r="F39" s="498" t="inlineStr">
        <is>
          <t>Δpö</t>
        </is>
      </c>
      <c r="G39" s="498" t="inlineStr">
        <is>
          <t>EK VI-14i Tablosundan q değeri m³/h çevrilir DN10 borusu için</t>
        </is>
      </c>
      <c r="H39" s="498" t="n"/>
      <c r="I39" s="498" t="n"/>
    </row>
    <row r="40" ht="12.75" customHeight="1" s="244">
      <c r="A40" s="499" t="inlineStr">
        <is>
          <t xml:space="preserve"> (1)</t>
        </is>
      </c>
      <c r="B40" s="243" t="inlineStr">
        <is>
          <t>Şek. 19.7.1 den seçilmiştir.</t>
        </is>
      </c>
      <c r="F40" s="498" t="n"/>
      <c r="G40" s="498" t="inlineStr">
        <is>
          <t>R (Pa/m) 1metre borudaki basın. Kaybı bulunur..</t>
        </is>
      </c>
      <c r="H40" s="498" t="n"/>
      <c r="I40" s="498" t="n"/>
    </row>
    <row r="41" ht="12.75" customHeight="1" s="244">
      <c r="A41" s="499" t="inlineStr">
        <is>
          <t xml:space="preserve"> (2)</t>
        </is>
      </c>
      <c r="B41" s="243" t="inlineStr">
        <is>
          <t>Kazan dairesinden 3 yollu karışım vanası ile gidiş 45 °C, dönüş 35 °C (ortalama 40 °C) seçilmiştir.</t>
        </is>
      </c>
      <c r="F41" s="498" t="n"/>
      <c r="G41" s="498" t="inlineStr">
        <is>
          <t xml:space="preserve">toplam boru boyu ile çarpımından Δpö (Pa) bulunur.  </t>
        </is>
      </c>
      <c r="H41" s="498" t="n"/>
      <c r="I41" s="498" t="n"/>
    </row>
    <row r="42" ht="12.75" customHeight="1" s="244">
      <c r="A42" s="499" t="inlineStr">
        <is>
          <t xml:space="preserve"> (3)</t>
        </is>
      </c>
      <c r="B42" s="243" t="inlineStr">
        <is>
          <t>Şek. 19.7.1 den bulunmuştur..</t>
        </is>
      </c>
    </row>
    <row r="43" ht="12.75" customHeight="1" s="244">
      <c r="A43" s="499" t="inlineStr">
        <is>
          <t xml:space="preserve"> (4)</t>
        </is>
      </c>
      <c r="B43" s="243" t="inlineStr">
        <is>
          <t>Alta geçen ısı 0,2 q" olarak alınmıştır.</t>
        </is>
      </c>
    </row>
    <row r="44" ht="12.75" customHeight="1" s="244">
      <c r="A44" s="499" t="inlineStr">
        <is>
          <t xml:space="preserve"> (5)</t>
        </is>
      </c>
      <c r="B44" s="243" t="inlineStr">
        <is>
          <t>R (Pa/m): PEX 16x2,0 (iç çap 12 mm), Blasius bağıntısı ile hesaplanmıştır.</t>
        </is>
      </c>
    </row>
    <row r="45" ht="12.75" customHeight="1" s="244">
      <c r="A45" s="499" t="inlineStr">
        <is>
          <t xml:space="preserve"> (6)</t>
        </is>
      </c>
      <c r="B45" s="243" t="inlineStr">
        <is>
          <t>kollektörden sonraki özel basınç kayıpları, düz boru kayıpları yanında çok küçük olduğundan düz boru basınç kaybının % 5 i kabul edilmiştir.</t>
        </is>
      </c>
    </row>
    <row r="46" ht="12.75" customHeight="1" s="244">
      <c r="A46" s="499" t="inlineStr">
        <is>
          <t xml:space="preserve"> (7)</t>
        </is>
      </c>
      <c r="B46" s="243" t="inlineStr">
        <is>
          <t>Isıtma devrelerinin basıncı kollektördeki debimetreli reglaj vanası ile ayarlanmalıdır.</t>
        </is>
      </c>
    </row>
    <row r="47" ht="12.75" customHeight="1" s="244">
      <c r="A47" s="500" t="n"/>
    </row>
  </sheetData>
  <mergeCells count="7">
    <mergeCell ref="E3:Y4"/>
    <mergeCell ref="A2:B5"/>
    <mergeCell ref="E2:Y2"/>
    <mergeCell ref="C2:C5"/>
    <mergeCell ref="A1:O1"/>
    <mergeCell ref="D3:D4"/>
    <mergeCell ref="D5:J5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SILA</dc:creator>
  <dc:language xmlns:dc="http://purl.org/dc/elements/1.1/">en-US</dc:language>
  <dcterms:created xmlns:dcterms="http://purl.org/dc/terms/" xmlns:xsi="http://www.w3.org/2001/XMLSchema-instance" xsi:type="dcterms:W3CDTF">2003-04-27T12:58:31Z</dcterms:created>
  <dcterms:modified xmlns:dcterms="http://purl.org/dc/terms/" xmlns:xsi="http://www.w3.org/2001/XMLSchema-instance" xsi:type="dcterms:W3CDTF">2026-10-13T09:17:31Z</dcterms:modified>
  <cp:lastModifiedBy>Can Özkaya</cp:lastModifiedBy>
  <cp:revision>0</cp:revision>
  <cp:lastPrinted>2022-06-03T11:29:57Z</cp:lastPrinted>
</cp:coreProperties>
</file>