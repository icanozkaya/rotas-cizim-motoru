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NGIN-POMPA-DEPO" sheetId="1" state="visible" r:id="rId1"/>
    <sheet xmlns:r="http://schemas.openxmlformats.org/officeDocument/2006/relationships" name="YANGIN-HİDROLİK" sheetId="2" state="visible" r:id="rId2"/>
    <sheet xmlns:r="http://schemas.openxmlformats.org/officeDocument/2006/relationships" name="YANGIN-METRAJ" sheetId="3" state="visible" r:id="rId3"/>
    <sheet xmlns:r="http://schemas.openxmlformats.org/officeDocument/2006/relationships" name="ISI KAYBI" sheetId="4" state="visible" r:id="rId4"/>
    <sheet xmlns:r="http://schemas.openxmlformats.org/officeDocument/2006/relationships" name="ISITMA" sheetId="5" state="visible" r:id="rId5"/>
    <sheet xmlns:r="http://schemas.openxmlformats.org/officeDocument/2006/relationships" name="SIHHI" sheetId="6" state="visible" r:id="rId6"/>
    <sheet xmlns:r="http://schemas.openxmlformats.org/officeDocument/2006/relationships" name="PIS SU" sheetId="7" state="visible" r:id="rId7"/>
    <sheet xmlns:r="http://schemas.openxmlformats.org/officeDocument/2006/relationships" name="HAVALANDIRM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2" fontId="0" fillId="0" borderId="1" pivotButton="0" quotePrefix="0" xfId="0"/>
    <xf numFmtId="0" fontId="3" fillId="0" borderId="0" pivotButton="0" quotePrefix="0" xfId="0"/>
    <xf numFmtId="0" fontId="3" fillId="2" borderId="1" pivotButton="0" quotePrefix="0" xfId="0"/>
    <xf numFmtId="164" fontId="0" fillId="0" borderId="1" pivotButton="0" quotePrefix="0" xfId="0"/>
    <xf numFmtId="164" fontId="0" fillId="0" borderId="0" pivotButton="0" quotePrefix="0" xfId="0"/>
    <xf numFmtId="165" fontId="0" fillId="0" borderId="1" pivotButton="0" quotePrefix="0" xfId="0"/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8" customWidth="1" min="3" max="3"/>
    <col width="14" customWidth="1" min="4" max="4"/>
    <col width="8" customWidth="1" min="5" max="5"/>
    <col width="40" customWidth="1" min="6" max="6"/>
  </cols>
  <sheetData>
    <row r="1">
      <c r="A1" s="1" t="inlineStr">
        <is>
          <t>ROTAŞ MÜHENDİSLİK - VOYAP - YANGIN TESİSATI (SPRİNKLER + YANGIN DOLABI)</t>
        </is>
      </c>
    </row>
    <row r="2">
      <c r="A2" s="2" t="inlineStr">
        <is>
          <t>TASARIM ESASLARI, POMPA VE DEPO HESABI (TS EN 12845, BYKHY md. 94, TS EN 671-1)</t>
        </is>
      </c>
    </row>
    <row r="3">
      <c r="A3" s="3" t="inlineStr">
        <is>
          <t>NO</t>
        </is>
      </c>
      <c r="B3" s="3" t="inlineStr">
        <is>
          <t>KALEM</t>
        </is>
      </c>
      <c r="C3" s="3" t="inlineStr">
        <is>
          <t>SEMBOL</t>
        </is>
      </c>
      <c r="D3" s="3" t="inlineStr">
        <is>
          <t>DEĞER</t>
        </is>
      </c>
      <c r="E3" s="3" t="inlineStr">
        <is>
          <t>BİRİM</t>
        </is>
      </c>
      <c r="F3" s="3" t="inlineStr">
        <is>
          <t>AÇIKLAMA</t>
        </is>
      </c>
    </row>
    <row r="4">
      <c r="A4" s="4" t="n">
        <v>1</v>
      </c>
      <c r="B4" s="4" t="inlineStr">
        <is>
          <t>En elverişsiz sprinkler alanı</t>
        </is>
      </c>
      <c r="C4" s="4" t="inlineStr">
        <is>
          <t>Qsp</t>
        </is>
      </c>
      <c r="D4" s="5" t="n">
        <v>893.3</v>
      </c>
      <c r="E4" s="4" t="inlineStr">
        <is>
          <t>l/dk</t>
        </is>
      </c>
      <c r="F4" s="4" t="inlineStr">
        <is>
          <t>ZEMİN KAT OH2 (HİDROLİK sayfası)</t>
        </is>
      </c>
    </row>
    <row r="5">
      <c r="A5" s="4" t="n">
        <v>2</v>
      </c>
      <c r="B5" s="4" t="inlineStr">
        <is>
          <t>Yangın dolabı eş zamanlı adet</t>
        </is>
      </c>
      <c r="C5" s="4" t="inlineStr">
        <is>
          <t>n</t>
        </is>
      </c>
      <c r="D5" s="5" t="n">
        <v>2</v>
      </c>
      <c r="E5" s="4" t="inlineStr">
        <is>
          <t>adet</t>
        </is>
      </c>
      <c r="F5" s="4" t="inlineStr">
        <is>
          <t>en uzak iki dolap</t>
        </is>
      </c>
    </row>
    <row r="6">
      <c r="A6" s="4" t="n">
        <v>3</v>
      </c>
      <c r="B6" s="4" t="inlineStr">
        <is>
          <t>Dolap debisi (TS EN 671-1, Ø25)</t>
        </is>
      </c>
      <c r="C6" s="4" t="inlineStr">
        <is>
          <t>qd</t>
        </is>
      </c>
      <c r="D6" s="5" t="n">
        <v>100</v>
      </c>
      <c r="E6" s="4" t="inlineStr">
        <is>
          <t>l/dk</t>
        </is>
      </c>
      <c r="F6" s="4" t="inlineStr">
        <is>
          <t>BYKHY md. 94</t>
        </is>
      </c>
    </row>
    <row r="7">
      <c r="A7" s="4" t="n">
        <v>4</v>
      </c>
      <c r="B7" s="4" t="inlineStr">
        <is>
          <t>Dolap toplam debi</t>
        </is>
      </c>
      <c r="C7" s="4" t="inlineStr">
        <is>
          <t>Qd</t>
        </is>
      </c>
      <c r="D7" s="5">
        <f>D5*D6</f>
        <v/>
      </c>
      <c r="E7" s="4" t="inlineStr">
        <is>
          <t>l/dk</t>
        </is>
      </c>
      <c r="F7" s="4" t="inlineStr"/>
    </row>
    <row r="8">
      <c r="A8" s="4" t="n">
        <v>5</v>
      </c>
      <c r="B8" s="4" t="inlineStr">
        <is>
          <t>Toplam debi</t>
        </is>
      </c>
      <c r="C8" s="4" t="inlineStr">
        <is>
          <t>Q</t>
        </is>
      </c>
      <c r="D8" s="5">
        <f>D4+D7</f>
        <v/>
      </c>
      <c r="E8" s="4" t="inlineStr">
        <is>
          <t>l/dk</t>
        </is>
      </c>
      <c r="F8" s="4" t="inlineStr"/>
    </row>
    <row r="9">
      <c r="A9" s="4" t="n">
        <v>6</v>
      </c>
      <c r="B9" s="4" t="inlineStr">
        <is>
          <t>Toplam debi</t>
        </is>
      </c>
      <c r="C9" s="4" t="inlineStr">
        <is>
          <t>Q</t>
        </is>
      </c>
      <c r="D9" s="5">
        <f>D8*0.06</f>
        <v/>
      </c>
      <c r="E9" s="4" t="inlineStr">
        <is>
          <t>m³/h</t>
        </is>
      </c>
      <c r="F9" s="4" t="inlineStr"/>
    </row>
    <row r="10">
      <c r="A10" s="4" t="n">
        <v>7</v>
      </c>
      <c r="B10" s="4" t="inlineStr">
        <is>
          <t>Çalışma süresi (OH)</t>
        </is>
      </c>
      <c r="C10" s="4" t="inlineStr">
        <is>
          <t>t</t>
        </is>
      </c>
      <c r="D10" s="5" t="n">
        <v>60</v>
      </c>
      <c r="E10" s="4" t="inlineStr">
        <is>
          <t>dk</t>
        </is>
      </c>
      <c r="F10" s="4" t="inlineStr">
        <is>
          <t>TS EN 12845</t>
        </is>
      </c>
    </row>
    <row r="11">
      <c r="A11" s="4" t="n">
        <v>8</v>
      </c>
      <c r="B11" s="4" t="inlineStr">
        <is>
          <t>Gerekli su hacmi</t>
        </is>
      </c>
      <c r="C11" s="4" t="inlineStr">
        <is>
          <t>V</t>
        </is>
      </c>
      <c r="D11" s="5">
        <f>D8*D10/1000</f>
        <v/>
      </c>
      <c r="E11" s="4" t="inlineStr">
        <is>
          <t>m³</t>
        </is>
      </c>
      <c r="F11" s="4" t="inlineStr"/>
    </row>
    <row r="12">
      <c r="A12" s="4" t="n">
        <v>9</v>
      </c>
      <c r="B12" s="4" t="inlineStr">
        <is>
          <t>Mevcut depo net hacmi</t>
        </is>
      </c>
      <c r="C12" s="4" t="inlineStr">
        <is>
          <t>Vd</t>
        </is>
      </c>
      <c r="D12" s="5" t="n">
        <v>80</v>
      </c>
      <c r="E12" s="4" t="inlineStr">
        <is>
          <t>m³</t>
        </is>
      </c>
      <c r="F12" s="4" t="inlineStr">
        <is>
          <t>4,00 x 8,50 x 2,35 m</t>
        </is>
      </c>
    </row>
    <row r="13">
      <c r="A13" s="4" t="n">
        <v>10</v>
      </c>
      <c r="B13" s="4" t="inlineStr">
        <is>
          <t>Kontrol</t>
        </is>
      </c>
      <c r="C13" s="4" t="inlineStr"/>
      <c r="D13" s="5">
        <f>IF(D12&gt;=D11,"UYGUN","YETERSİZ")</f>
        <v/>
      </c>
      <c r="E13" s="4" t="inlineStr"/>
      <c r="F13" s="4" t="inlineStr"/>
    </row>
    <row r="14">
      <c r="A14" s="4" t="n">
        <v>11</v>
      </c>
      <c r="B14" s="4" t="inlineStr">
        <is>
          <t>Sprinkler için pompa basıncı (en elverişsiz)</t>
        </is>
      </c>
      <c r="C14" s="4" t="inlineStr">
        <is>
          <t>Psp</t>
        </is>
      </c>
      <c r="D14" s="5" t="n">
        <v>29.9</v>
      </c>
      <c r="E14" s="4" t="inlineStr">
        <is>
          <t>mSS</t>
        </is>
      </c>
      <c r="F14" s="4" t="inlineStr">
        <is>
          <t>HİDROLİK sayfası</t>
        </is>
      </c>
    </row>
    <row r="15">
      <c r="A15" s="4" t="n">
        <v>12</v>
      </c>
      <c r="B15" s="4" t="inlineStr">
        <is>
          <t>Dolap lüle basıncı</t>
        </is>
      </c>
      <c r="C15" s="4" t="inlineStr">
        <is>
          <t>pl</t>
        </is>
      </c>
      <c r="D15" s="5" t="n">
        <v>4</v>
      </c>
      <c r="E15" s="4" t="inlineStr">
        <is>
          <t>bar</t>
        </is>
      </c>
      <c r="F15" s="4" t="inlineStr">
        <is>
          <t>BYKHY md. 94</t>
        </is>
      </c>
    </row>
    <row r="16">
      <c r="A16" s="4" t="n">
        <v>13</v>
      </c>
      <c r="B16" s="4" t="inlineStr">
        <is>
          <t>2. kat dolap kotu (pompa ekseninden)</t>
        </is>
      </c>
      <c r="C16" s="4" t="inlineStr">
        <is>
          <t>z</t>
        </is>
      </c>
      <c r="D16" s="5" t="n">
        <v>11.3</v>
      </c>
      <c r="E16" s="4" t="inlineStr">
        <is>
          <t>m</t>
        </is>
      </c>
      <c r="F16" s="4" t="inlineStr">
        <is>
          <t>kat yükseklikleri kabulü</t>
        </is>
      </c>
    </row>
    <row r="17">
      <c r="A17" s="4" t="n">
        <v>14</v>
      </c>
      <c r="B17" s="4" t="inlineStr">
        <is>
          <t>Dolap hattı kayıpları (2" 25 m + 2½" 30 m + vana)</t>
        </is>
      </c>
      <c r="C17" s="4" t="inlineStr">
        <is>
          <t>Δp</t>
        </is>
      </c>
      <c r="D17" s="5" t="n">
        <v>0.41</v>
      </c>
      <c r="E17" s="4" t="inlineStr">
        <is>
          <t>bar</t>
        </is>
      </c>
      <c r="F17" s="4" t="inlineStr">
        <is>
          <t>Hazen-Williams C=120</t>
        </is>
      </c>
    </row>
    <row r="18">
      <c r="A18" s="4" t="n">
        <v>15</v>
      </c>
      <c r="B18" s="4" t="inlineStr">
        <is>
          <t>Dolap için pompa basıncı</t>
        </is>
      </c>
      <c r="C18" s="4" t="inlineStr">
        <is>
          <t>Pd</t>
        </is>
      </c>
      <c r="D18" s="5">
        <f>(D15+D17)*10.2+D16</f>
        <v/>
      </c>
      <c r="E18" s="4" t="inlineStr">
        <is>
          <t>mSS</t>
        </is>
      </c>
      <c r="F18" s="4" t="inlineStr"/>
    </row>
    <row r="19">
      <c r="A19" s="4" t="n">
        <v>16</v>
      </c>
      <c r="B19" s="4" t="inlineStr">
        <is>
          <t>Gerekli pompa basıncı</t>
        </is>
      </c>
      <c r="C19" s="4" t="inlineStr">
        <is>
          <t>H</t>
        </is>
      </c>
      <c r="D19" s="5">
        <f>MAX(D14,D18)</f>
        <v/>
      </c>
      <c r="E19" s="4" t="inlineStr">
        <is>
          <t>mSS</t>
        </is>
      </c>
      <c r="F19" s="4" t="inlineStr"/>
    </row>
    <row r="20">
      <c r="A20" s="4" t="n">
        <v>17</v>
      </c>
      <c r="B20" s="4" t="inlineStr">
        <is>
          <t>Seçilen pompa (elektrikli ana + dizel yedek)</t>
        </is>
      </c>
      <c r="C20" s="4" t="inlineStr">
        <is>
          <t>Qp</t>
        </is>
      </c>
      <c r="D20" s="5" t="n">
        <v>70</v>
      </c>
      <c r="E20" s="4" t="inlineStr">
        <is>
          <t>m³/h</t>
        </is>
      </c>
      <c r="F20" s="4" t="inlineStr">
        <is>
          <t>H=60 mSS</t>
        </is>
      </c>
    </row>
    <row r="21">
      <c r="A21" s="4" t="n">
        <v>18</v>
      </c>
      <c r="B21" s="4" t="inlineStr">
        <is>
          <t>Seçilen pompa basma yüksekliği</t>
        </is>
      </c>
      <c r="C21" s="4" t="inlineStr">
        <is>
          <t>Hp</t>
        </is>
      </c>
      <c r="D21" s="5" t="n">
        <v>60</v>
      </c>
      <c r="E21" s="4" t="inlineStr">
        <is>
          <t>mSS</t>
        </is>
      </c>
      <c r="F21" s="4" t="inlineStr"/>
    </row>
    <row r="22">
      <c r="A22" s="4" t="n">
        <v>19</v>
      </c>
      <c r="B22" s="4" t="inlineStr">
        <is>
          <t>Kontrol: eğride Q=D9 için basınç ≥ D19</t>
        </is>
      </c>
      <c r="C22" s="4" t="inlineStr"/>
      <c r="D22" s="5">
        <f>IF(AND(D21&gt;=D19,D20*1.4&gt;=D9),"UYGUN (eğriden teyit)","POMPA BÜYÜT")</f>
        <v/>
      </c>
      <c r="E22" s="4" t="inlineStr"/>
      <c r="F22" s="4" t="inlineStr">
        <is>
          <t>%140 debide ≥%70 basma</t>
        </is>
      </c>
    </row>
    <row r="23">
      <c r="A23" s="4" t="n">
        <v>20</v>
      </c>
      <c r="B23" s="4" t="inlineStr">
        <is>
          <t>Hidrolik güç</t>
        </is>
      </c>
      <c r="C23" s="4" t="inlineStr">
        <is>
          <t>Ph</t>
        </is>
      </c>
      <c r="D23" s="5">
        <f>1000*9.81*D20/3600*D21/1000</f>
        <v/>
      </c>
      <c r="E23" s="4" t="inlineStr">
        <is>
          <t>kW</t>
        </is>
      </c>
      <c r="F23" s="4" t="inlineStr"/>
    </row>
    <row r="24">
      <c r="A24" s="4" t="n">
        <v>21</v>
      </c>
      <c r="B24" s="4" t="inlineStr">
        <is>
          <t>Mil gücü (η=0,70)</t>
        </is>
      </c>
      <c r="C24" s="4" t="inlineStr">
        <is>
          <t>Pm</t>
        </is>
      </c>
      <c r="D24" s="5">
        <f>D23/0.7</f>
        <v/>
      </c>
      <c r="E24" s="4" t="inlineStr">
        <is>
          <t>kW</t>
        </is>
      </c>
      <c r="F24" s="4" t="inlineStr"/>
    </row>
    <row r="25">
      <c r="A25" s="4" t="n">
        <v>22</v>
      </c>
      <c r="B25" s="4" t="inlineStr">
        <is>
          <t>%150 debide güç (≈1,25 Pm)</t>
        </is>
      </c>
      <c r="C25" s="4" t="inlineStr">
        <is>
          <t>P150</t>
        </is>
      </c>
      <c r="D25" s="5">
        <f>D24*1.25</f>
        <v/>
      </c>
      <c r="E25" s="4" t="inlineStr">
        <is>
          <t>kW</t>
        </is>
      </c>
      <c r="F25" s="4" t="inlineStr">
        <is>
          <t>elektrikli 22 kW / dizel 30 kW</t>
        </is>
      </c>
    </row>
    <row r="26">
      <c r="A26" s="4" t="n">
        <v>23</v>
      </c>
      <c r="B26" s="4" t="inlineStr">
        <is>
          <t>Jokey pompa</t>
        </is>
      </c>
      <c r="C26" s="4" t="inlineStr">
        <is>
          <t>Qj</t>
        </is>
      </c>
      <c r="D26" s="5" t="n">
        <v>3</v>
      </c>
      <c r="E26" s="4" t="inlineStr">
        <is>
          <t>m³/h</t>
        </is>
      </c>
      <c r="F26" s="4" t="inlineStr">
        <is>
          <t>H=70 mSS, 1,5 kW</t>
        </is>
      </c>
    </row>
    <row r="27">
      <c r="A27" s="4" t="n">
        <v>24</v>
      </c>
      <c r="B27" s="4" t="inlineStr">
        <is>
          <t>Dizel yakıt (3 saat, 0,25 l/kWh x 30 kW)</t>
        </is>
      </c>
      <c r="C27" s="4" t="inlineStr">
        <is>
          <t>Vy</t>
        </is>
      </c>
      <c r="D27" s="5">
        <f>0.25*30*3</f>
        <v/>
      </c>
      <c r="E27" s="4" t="inlineStr">
        <is>
          <t>L</t>
        </is>
      </c>
      <c r="F27" s="4" t="inlineStr">
        <is>
          <t>seçim 100 L</t>
        </is>
      </c>
    </row>
    <row r="29">
      <c r="A29" t="inlineStr">
        <is>
          <t>NOT: Kat yükseklikleri bodrum 3,50 / zemin 3,50 / normal katlar 3,00 m kabul edilmiştir; mimari kesitten teyit edilecektir.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9" customWidth="1" min="4" max="4"/>
    <col width="8" customWidth="1" min="5" max="5"/>
    <col width="8" customWidth="1" min="6" max="6"/>
    <col width="10" customWidth="1" min="7" max="7"/>
    <col width="9" customWidth="1" min="8" max="8"/>
    <col width="9" customWidth="1" min="9" max="9"/>
    <col width="13" customWidth="1" min="10" max="10"/>
    <col width="12" customWidth="1" min="11" max="11"/>
    <col width="12" customWidth="1" min="12" max="12"/>
  </cols>
  <sheetData>
    <row r="1">
      <c r="A1" s="1" t="inlineStr">
        <is>
          <t>ROTAŞ MÜHENDİSLİK - VOYAP - YANGIN TESİSATI (SPRİNKLER + YANGIN DOLABI)</t>
        </is>
      </c>
    </row>
    <row r="2">
      <c r="A2" s="2" t="inlineStr">
        <is>
          <t>SPRİNKLER HİDROLİK HESABI - Hazen-Williams C=120, K80, pmin=0,35 bar, bağlantı payı %20 (ağaç üzerinde dengeli çözüm)</t>
        </is>
      </c>
    </row>
    <row r="3">
      <c r="A3" s="3" t="inlineStr">
        <is>
          <t>KAT</t>
        </is>
      </c>
      <c r="B3" s="3" t="inlineStr">
        <is>
          <t>SINIF</t>
        </is>
      </c>
      <c r="C3" s="3" t="inlineStr">
        <is>
          <t>mm/dk</t>
        </is>
      </c>
      <c r="D3" s="3" t="inlineStr">
        <is>
          <t>Alan m²</t>
        </is>
      </c>
      <c r="E3" s="3" t="inlineStr">
        <is>
          <t>Başlık</t>
        </is>
      </c>
      <c r="F3" s="3" t="inlineStr">
        <is>
          <t>Ara sev.</t>
        </is>
      </c>
      <c r="G3" s="3" t="inlineStr">
        <is>
          <t>q min l/dk</t>
        </is>
      </c>
      <c r="H3" s="3" t="inlineStr">
        <is>
          <t>p uç bar</t>
        </is>
      </c>
      <c r="I3" s="3" t="inlineStr">
        <is>
          <t>Q l/dk</t>
        </is>
      </c>
      <c r="J3" s="3" t="inlineStr">
        <is>
          <t>P kat girişi bar</t>
        </is>
      </c>
      <c r="K3" s="3" t="inlineStr">
        <is>
          <t>P pompa bar</t>
        </is>
      </c>
      <c r="L3" s="3" t="inlineStr">
        <is>
          <t>En uzak yol m</t>
        </is>
      </c>
    </row>
    <row r="4">
      <c r="A4" s="4" t="inlineStr">
        <is>
          <t>BODRUM KAT</t>
        </is>
      </c>
      <c r="B4" s="4" t="inlineStr">
        <is>
          <t>OH2</t>
        </is>
      </c>
      <c r="C4" s="4" t="n">
        <v>5</v>
      </c>
      <c r="D4" s="4" t="n">
        <v>144</v>
      </c>
      <c r="E4" s="4" t="n">
        <v>16</v>
      </c>
      <c r="F4" s="4" t="n">
        <v>0</v>
      </c>
      <c r="G4" s="4" t="n">
        <v>47.3</v>
      </c>
      <c r="H4" s="4" t="n">
        <v>0.35</v>
      </c>
      <c r="I4" s="4" t="n">
        <v>861</v>
      </c>
      <c r="J4" s="4" t="n">
        <v>1.13</v>
      </c>
      <c r="K4" s="4" t="n">
        <v>1.83</v>
      </c>
      <c r="L4" s="4" t="n">
        <v>61</v>
      </c>
    </row>
    <row r="5">
      <c r="A5" s="4" t="inlineStr">
        <is>
          <t>ZEMİN KAT</t>
        </is>
      </c>
      <c r="B5" s="4" t="inlineStr">
        <is>
          <t>OH2</t>
        </is>
      </c>
      <c r="C5" s="4" t="n">
        <v>5</v>
      </c>
      <c r="D5" s="4" t="n">
        <v>144</v>
      </c>
      <c r="E5" s="4" t="n">
        <v>12</v>
      </c>
      <c r="F5" s="4" t="n">
        <v>0</v>
      </c>
      <c r="G5" s="4" t="n">
        <v>60</v>
      </c>
      <c r="H5" s="4" t="n">
        <v>0.5600000000000001</v>
      </c>
      <c r="I5" s="4" t="n">
        <v>893</v>
      </c>
      <c r="J5" s="4" t="n">
        <v>1.34</v>
      </c>
      <c r="K5" s="4" t="n">
        <v>2.4</v>
      </c>
      <c r="L5" s="4" t="n">
        <v>85</v>
      </c>
    </row>
    <row r="6">
      <c r="A6" s="4" t="inlineStr">
        <is>
          <t>1. KAT</t>
        </is>
      </c>
      <c r="B6" s="4" t="inlineStr">
        <is>
          <t>OH1</t>
        </is>
      </c>
      <c r="C6" s="4" t="n">
        <v>5</v>
      </c>
      <c r="D6" s="4" t="n">
        <v>72</v>
      </c>
      <c r="E6" s="4" t="n">
        <v>6</v>
      </c>
      <c r="F6" s="4" t="n">
        <v>0</v>
      </c>
      <c r="G6" s="4" t="n">
        <v>60</v>
      </c>
      <c r="H6" s="4" t="n">
        <v>0.5600000000000001</v>
      </c>
      <c r="I6" s="4" t="n">
        <v>425</v>
      </c>
      <c r="J6" s="4" t="n">
        <v>1.31</v>
      </c>
      <c r="K6" s="4" t="n">
        <v>2.63</v>
      </c>
      <c r="L6" s="4" t="n">
        <v>69</v>
      </c>
    </row>
    <row r="7">
      <c r="A7" s="4" t="inlineStr">
        <is>
          <t>2. KAT</t>
        </is>
      </c>
      <c r="B7" s="4" t="inlineStr">
        <is>
          <t>OH1</t>
        </is>
      </c>
      <c r="C7" s="4" t="n">
        <v>5</v>
      </c>
      <c r="D7" s="4" t="n">
        <v>72</v>
      </c>
      <c r="E7" s="4" t="n">
        <v>6</v>
      </c>
      <c r="F7" s="4" t="n">
        <v>0</v>
      </c>
      <c r="G7" s="4" t="n">
        <v>60</v>
      </c>
      <c r="H7" s="4" t="n">
        <v>0.5600000000000001</v>
      </c>
      <c r="I7" s="4" t="n">
        <v>425</v>
      </c>
      <c r="J7" s="4" t="n">
        <v>1.31</v>
      </c>
      <c r="K7" s="4" t="n">
        <v>2.93</v>
      </c>
      <c r="L7" s="4" t="n">
        <v>69</v>
      </c>
    </row>
    <row r="9">
      <c r="A9" s="6" t="inlineStr">
        <is>
          <t>BODRUM KAT - kat girişinden en uzak başlığa boru yolu</t>
        </is>
      </c>
    </row>
    <row r="10">
      <c r="A10" s="7" t="inlineStr">
        <is>
          <t>Çap</t>
        </is>
      </c>
      <c r="B10" s="7" t="inlineStr">
        <is>
          <t>DN</t>
        </is>
      </c>
      <c r="C10" s="7" t="inlineStr">
        <is>
          <t>İç çap mm</t>
        </is>
      </c>
      <c r="D10" s="7" t="inlineStr">
        <is>
          <t>L m</t>
        </is>
      </c>
      <c r="E10" s="7" t="inlineStr">
        <is>
          <t>Q l/dk</t>
        </is>
      </c>
      <c r="F10" s="7" t="inlineStr">
        <is>
          <t>Δp bar</t>
        </is>
      </c>
      <c r="G10" s="7" t="inlineStr">
        <is>
          <t>v m/s</t>
        </is>
      </c>
    </row>
    <row r="11">
      <c r="A11" s="4" t="inlineStr">
        <is>
          <t>DN100</t>
        </is>
      </c>
      <c r="B11" s="4" t="n">
        <v>100</v>
      </c>
      <c r="C11" s="4" t="n">
        <v>105.3</v>
      </c>
      <c r="D11" s="4" t="n">
        <v>26.27</v>
      </c>
      <c r="E11" s="4" t="n">
        <v>861.1</v>
      </c>
      <c r="F11" s="8">
        <f>6.05E5*E11^1.85/(120^1.85*C11^4.87)*D11*1.2</f>
        <v/>
      </c>
      <c r="G11" s="8">
        <f>E11/60000/(PI()*(C11/1000)^2/4)</f>
        <v/>
      </c>
    </row>
    <row r="12">
      <c r="A12" s="4" t="inlineStr">
        <is>
          <t>DN80</t>
        </is>
      </c>
      <c r="B12" s="4" t="n">
        <v>80</v>
      </c>
      <c r="C12" s="4" t="n">
        <v>80.90000000000001</v>
      </c>
      <c r="D12" s="4" t="n">
        <v>15</v>
      </c>
      <c r="E12" s="4" t="n">
        <v>861.1</v>
      </c>
      <c r="F12" s="8">
        <f>6.05E5*E12^1.85/(120^1.85*C12^4.87)*D12*1.2</f>
        <v/>
      </c>
      <c r="G12" s="8">
        <f>E12/60000/(PI()*(C12/1000)^2/4)</f>
        <v/>
      </c>
    </row>
    <row r="13">
      <c r="A13" s="4" t="inlineStr">
        <is>
          <t>DN65</t>
        </is>
      </c>
      <c r="B13" s="4" t="n">
        <v>65</v>
      </c>
      <c r="C13" s="4" t="n">
        <v>68.90000000000001</v>
      </c>
      <c r="D13" s="4" t="n">
        <v>3</v>
      </c>
      <c r="E13" s="4" t="n">
        <v>861.1</v>
      </c>
      <c r="F13" s="8">
        <f>6.05E5*E13^1.85/(120^1.85*C13^4.87)*D13*1.2</f>
        <v/>
      </c>
      <c r="G13" s="8">
        <f>E13/60000/(PI()*(C13/1000)^2/4)</f>
        <v/>
      </c>
    </row>
    <row r="14">
      <c r="A14" s="4" t="inlineStr">
        <is>
          <t>DN65</t>
        </is>
      </c>
      <c r="B14" s="4" t="n">
        <v>65</v>
      </c>
      <c r="C14" s="4" t="n">
        <v>68.90000000000001</v>
      </c>
      <c r="D14" s="4" t="n">
        <v>3</v>
      </c>
      <c r="E14" s="4" t="n">
        <v>749.6</v>
      </c>
      <c r="F14" s="8">
        <f>6.05E5*E14^1.85/(120^1.85*C14^4.87)*D14*1.2</f>
        <v/>
      </c>
      <c r="G14" s="8">
        <f>E14/60000/(PI()*(C14/1000)^2/4)</f>
        <v/>
      </c>
    </row>
    <row r="15">
      <c r="A15" s="4" t="inlineStr">
        <is>
          <t>DN65</t>
        </is>
      </c>
      <c r="B15" s="4" t="n">
        <v>65</v>
      </c>
      <c r="C15" s="4" t="n">
        <v>68.90000000000001</v>
      </c>
      <c r="D15" s="4" t="n">
        <v>3</v>
      </c>
      <c r="E15" s="4" t="n">
        <v>581.6</v>
      </c>
      <c r="F15" s="8">
        <f>6.05E5*E15^1.85/(120^1.85*C15^4.87)*D15*1.2</f>
        <v/>
      </c>
      <c r="G15" s="8">
        <f>E15/60000/(PI()*(C15/1000)^2/4)</f>
        <v/>
      </c>
    </row>
    <row r="16">
      <c r="A16" s="4" t="inlineStr">
        <is>
          <t>DN50</t>
        </is>
      </c>
      <c r="B16" s="4" t="n">
        <v>50</v>
      </c>
      <c r="C16" s="4" t="n">
        <v>53.1</v>
      </c>
      <c r="D16" s="4" t="n">
        <v>3</v>
      </c>
      <c r="E16" s="4" t="n">
        <v>359.8</v>
      </c>
      <c r="F16" s="8">
        <f>6.05E5*E16^1.85/(120^1.85*C16^4.87)*D16*1.2</f>
        <v/>
      </c>
      <c r="G16" s="8">
        <f>E16/60000/(PI()*(C16/1000)^2/4)</f>
        <v/>
      </c>
    </row>
    <row r="17">
      <c r="A17" s="4" t="inlineStr">
        <is>
          <t>DN50</t>
        </is>
      </c>
      <c r="B17" s="4" t="n">
        <v>50</v>
      </c>
      <c r="C17" s="4" t="n">
        <v>53.1</v>
      </c>
      <c r="D17" s="4" t="n">
        <v>0.72</v>
      </c>
      <c r="E17" s="4" t="n">
        <v>303.3</v>
      </c>
      <c r="F17" s="8">
        <f>6.05E5*E17^1.85/(120^1.85*C17^4.87)*D17*1.2</f>
        <v/>
      </c>
      <c r="G17" s="8">
        <f>E17/60000/(PI()*(C17/1000)^2/4)</f>
        <v/>
      </c>
    </row>
    <row r="18">
      <c r="A18" s="4" t="inlineStr">
        <is>
          <t>DN40</t>
        </is>
      </c>
      <c r="B18" s="4" t="n">
        <v>40</v>
      </c>
      <c r="C18" s="4" t="n">
        <v>41.9</v>
      </c>
      <c r="D18" s="4" t="n">
        <v>0.62</v>
      </c>
      <c r="E18" s="4" t="n">
        <v>245</v>
      </c>
      <c r="F18" s="8">
        <f>6.05E5*E18^1.85/(120^1.85*C18^4.87)*D18*1.2</f>
        <v/>
      </c>
      <c r="G18" s="8">
        <f>E18/60000/(PI()*(C18/1000)^2/4)</f>
        <v/>
      </c>
    </row>
    <row r="19">
      <c r="A19" s="4" t="inlineStr">
        <is>
          <t>DN32</t>
        </is>
      </c>
      <c r="B19" s="4" t="n">
        <v>32</v>
      </c>
      <c r="C19" s="4" t="n">
        <v>36</v>
      </c>
      <c r="D19" s="4" t="n">
        <v>3</v>
      </c>
      <c r="E19" s="4" t="n">
        <v>146.9</v>
      </c>
      <c r="F19" s="8">
        <f>6.05E5*E19^1.85/(120^1.85*C19^4.87)*D19*1.2</f>
        <v/>
      </c>
      <c r="G19" s="8">
        <f>E19/60000/(PI()*(C19/1000)^2/4)</f>
        <v/>
      </c>
    </row>
    <row r="20">
      <c r="A20" s="4" t="inlineStr">
        <is>
          <t>DN25</t>
        </is>
      </c>
      <c r="B20" s="4" t="n">
        <v>25</v>
      </c>
      <c r="C20" s="4" t="n">
        <v>27.3</v>
      </c>
      <c r="D20" s="4" t="n">
        <v>0.61</v>
      </c>
      <c r="E20" s="4" t="n">
        <v>97.3</v>
      </c>
      <c r="F20" s="8">
        <f>6.05E5*E20^1.85/(120^1.85*C20^4.87)*D20*1.2</f>
        <v/>
      </c>
      <c r="G20" s="8">
        <f>E20/60000/(PI()*(C20/1000)^2/4)</f>
        <v/>
      </c>
    </row>
    <row r="21">
      <c r="A21" s="4" t="inlineStr">
        <is>
          <t>DN25</t>
        </is>
      </c>
      <c r="B21" s="4" t="n">
        <v>25</v>
      </c>
      <c r="C21" s="4" t="n">
        <v>27.3</v>
      </c>
      <c r="D21" s="4" t="n">
        <v>3.02</v>
      </c>
      <c r="E21" s="4" t="n">
        <v>47.3</v>
      </c>
      <c r="F21" s="8">
        <f>6.05E5*E21^1.85/(120^1.85*C21^4.87)*D21*1.2</f>
        <v/>
      </c>
      <c r="G21" s="8">
        <f>E21/60000/(PI()*(C21/1000)^2/4)</f>
        <v/>
      </c>
    </row>
    <row r="22">
      <c r="E22" t="inlineStr">
        <is>
          <t>Toplam</t>
        </is>
      </c>
      <c r="F22" s="9">
        <f>SUM(F11:F21)</f>
        <v/>
      </c>
    </row>
    <row r="24">
      <c r="A24" s="6" t="inlineStr">
        <is>
          <t>ZEMİN KAT - kat girişinden en uzak başlığa boru yolu</t>
        </is>
      </c>
    </row>
    <row r="25">
      <c r="A25" s="7" t="inlineStr">
        <is>
          <t>Çap</t>
        </is>
      </c>
      <c r="B25" s="7" t="inlineStr">
        <is>
          <t>DN</t>
        </is>
      </c>
      <c r="C25" s="7" t="inlineStr">
        <is>
          <t>İç çap mm</t>
        </is>
      </c>
      <c r="D25" s="7" t="inlineStr">
        <is>
          <t>L m</t>
        </is>
      </c>
      <c r="E25" s="7" t="inlineStr">
        <is>
          <t>Q l/dk</t>
        </is>
      </c>
      <c r="F25" s="7" t="inlineStr">
        <is>
          <t>Δp bar</t>
        </is>
      </c>
      <c r="G25" s="7" t="inlineStr">
        <is>
          <t>v m/s</t>
        </is>
      </c>
    </row>
    <row r="26">
      <c r="A26" s="4" t="inlineStr">
        <is>
          <t>DN150</t>
        </is>
      </c>
      <c r="B26" s="4" t="n">
        <v>150</v>
      </c>
      <c r="C26" s="4" t="n">
        <v>155.4</v>
      </c>
      <c r="D26" s="4" t="n">
        <v>5.35</v>
      </c>
      <c r="E26" s="4" t="n">
        <v>893.3</v>
      </c>
      <c r="F26" s="8">
        <f>6.05E5*E26^1.85/(120^1.85*C26^4.87)*D26*1.2</f>
        <v/>
      </c>
      <c r="G26" s="8">
        <f>E26/60000/(PI()*(C26/1000)^2/4)</f>
        <v/>
      </c>
    </row>
    <row r="27">
      <c r="A27" s="4" t="inlineStr">
        <is>
          <t>DN100</t>
        </is>
      </c>
      <c r="B27" s="4" t="n">
        <v>100</v>
      </c>
      <c r="C27" s="4" t="n">
        <v>105.3</v>
      </c>
      <c r="D27" s="4" t="n">
        <v>18.51</v>
      </c>
      <c r="E27" s="4" t="n">
        <v>667.3</v>
      </c>
      <c r="F27" s="8">
        <f>6.05E5*E27^1.85/(120^1.85*C27^4.87)*D27*1.2</f>
        <v/>
      </c>
      <c r="G27" s="8">
        <f>E27/60000/(PI()*(C27/1000)^2/4)</f>
        <v/>
      </c>
    </row>
    <row r="28">
      <c r="A28" s="4" t="inlineStr">
        <is>
          <t>DN100</t>
        </is>
      </c>
      <c r="B28" s="4" t="n">
        <v>100</v>
      </c>
      <c r="C28" s="4" t="n">
        <v>105.3</v>
      </c>
      <c r="D28" s="4" t="n">
        <v>7.24</v>
      </c>
      <c r="E28" s="4" t="n">
        <v>520.8</v>
      </c>
      <c r="F28" s="8">
        <f>6.05E5*E28^1.85/(120^1.85*C28^4.87)*D28*1.2</f>
        <v/>
      </c>
      <c r="G28" s="8">
        <f>E28/60000/(PI()*(C28/1000)^2/4)</f>
        <v/>
      </c>
    </row>
    <row r="29">
      <c r="A29" s="4" t="inlineStr">
        <is>
          <t>DN100</t>
        </is>
      </c>
      <c r="B29" s="4" t="n">
        <v>100</v>
      </c>
      <c r="C29" s="4" t="n">
        <v>105.3</v>
      </c>
      <c r="D29" s="4" t="n">
        <v>2.66</v>
      </c>
      <c r="E29" s="4" t="n">
        <v>432</v>
      </c>
      <c r="F29" s="8">
        <f>6.05E5*E29^1.85/(120^1.85*C29^4.87)*D29*1.2</f>
        <v/>
      </c>
      <c r="G29" s="8">
        <f>E29/60000/(PI()*(C29/1000)^2/4)</f>
        <v/>
      </c>
    </row>
    <row r="30">
      <c r="A30" s="4" t="inlineStr">
        <is>
          <t>DN100</t>
        </is>
      </c>
      <c r="B30" s="4" t="n">
        <v>100</v>
      </c>
      <c r="C30" s="4" t="n">
        <v>105.3</v>
      </c>
      <c r="D30" s="4" t="n">
        <v>3</v>
      </c>
      <c r="E30" s="4" t="n">
        <v>342.8</v>
      </c>
      <c r="F30" s="8">
        <f>6.05E5*E30^1.85/(120^1.85*C30^4.87)*D30*1.2</f>
        <v/>
      </c>
      <c r="G30" s="8">
        <f>E30/60000/(PI()*(C30/1000)^2/4)</f>
        <v/>
      </c>
    </row>
    <row r="31">
      <c r="A31" s="4" t="inlineStr">
        <is>
          <t>DN80</t>
        </is>
      </c>
      <c r="B31" s="4" t="n">
        <v>80</v>
      </c>
      <c r="C31" s="4" t="n">
        <v>80.90000000000001</v>
      </c>
      <c r="D31" s="4" t="n">
        <v>20.52</v>
      </c>
      <c r="E31" s="4" t="n">
        <v>342.8</v>
      </c>
      <c r="F31" s="8">
        <f>6.05E5*E31^1.85/(120^1.85*C31^4.87)*D31*1.2</f>
        <v/>
      </c>
      <c r="G31" s="8">
        <f>E31/60000/(PI()*(C31/1000)^2/4)</f>
        <v/>
      </c>
    </row>
    <row r="32">
      <c r="A32" s="4" t="inlineStr">
        <is>
          <t>DN65</t>
        </is>
      </c>
      <c r="B32" s="4" t="n">
        <v>65</v>
      </c>
      <c r="C32" s="4" t="n">
        <v>68.90000000000001</v>
      </c>
      <c r="D32" s="4" t="n">
        <v>9.76</v>
      </c>
      <c r="E32" s="4" t="n">
        <v>342.8</v>
      </c>
      <c r="F32" s="8">
        <f>6.05E5*E32^1.85/(120^1.85*C32^4.87)*D32*1.2</f>
        <v/>
      </c>
      <c r="G32" s="8">
        <f>E32/60000/(PI()*(C32/1000)^2/4)</f>
        <v/>
      </c>
    </row>
    <row r="33">
      <c r="A33" s="4" t="inlineStr">
        <is>
          <t>DN50</t>
        </is>
      </c>
      <c r="B33" s="4" t="n">
        <v>50</v>
      </c>
      <c r="C33" s="4" t="n">
        <v>53.1</v>
      </c>
      <c r="D33" s="4" t="n">
        <v>8.98</v>
      </c>
      <c r="E33" s="4" t="n">
        <v>342.8</v>
      </c>
      <c r="F33" s="8">
        <f>6.05E5*E33^1.85/(120^1.85*C33^4.87)*D33*1.2</f>
        <v/>
      </c>
      <c r="G33" s="8">
        <f>E33/60000/(PI()*(C33/1000)^2/4)</f>
        <v/>
      </c>
    </row>
    <row r="34">
      <c r="A34" s="4" t="inlineStr">
        <is>
          <t>DN40</t>
        </is>
      </c>
      <c r="B34" s="4" t="n">
        <v>40</v>
      </c>
      <c r="C34" s="4" t="n">
        <v>41.9</v>
      </c>
      <c r="D34" s="4" t="n">
        <v>0.02</v>
      </c>
      <c r="E34" s="4" t="n">
        <v>342.8</v>
      </c>
      <c r="F34" s="8">
        <f>6.05E5*E34^1.85/(120^1.85*C34^4.87)*D34*1.2</f>
        <v/>
      </c>
      <c r="G34" s="8">
        <f>E34/60000/(PI()*(C34/1000)^2/4)</f>
        <v/>
      </c>
    </row>
    <row r="35">
      <c r="A35" s="4" t="inlineStr">
        <is>
          <t>DN40</t>
        </is>
      </c>
      <c r="B35" s="4" t="n">
        <v>40</v>
      </c>
      <c r="C35" s="4" t="n">
        <v>41.9</v>
      </c>
      <c r="D35" s="4" t="n">
        <v>3.01</v>
      </c>
      <c r="E35" s="4" t="n">
        <v>267.7</v>
      </c>
      <c r="F35" s="8">
        <f>6.05E5*E35^1.85/(120^1.85*C35^4.87)*D35*1.2</f>
        <v/>
      </c>
      <c r="G35" s="8">
        <f>E35/60000/(PI()*(C35/1000)^2/4)</f>
        <v/>
      </c>
    </row>
    <row r="36">
      <c r="A36" s="4" t="inlineStr">
        <is>
          <t>DN32</t>
        </is>
      </c>
      <c r="B36" s="4" t="n">
        <v>32</v>
      </c>
      <c r="C36" s="4" t="n">
        <v>36</v>
      </c>
      <c r="D36" s="4" t="n">
        <v>0.02</v>
      </c>
      <c r="E36" s="4" t="n">
        <v>193.5</v>
      </c>
      <c r="F36" s="8">
        <f>6.05E5*E36^1.85/(120^1.85*C36^4.87)*D36*1.2</f>
        <v/>
      </c>
      <c r="G36" s="8">
        <f>E36/60000/(PI()*(C36/1000)^2/4)</f>
        <v/>
      </c>
    </row>
    <row r="37">
      <c r="A37" s="4" t="inlineStr">
        <is>
          <t>DN25</t>
        </is>
      </c>
      <c r="B37" s="4" t="n">
        <v>25</v>
      </c>
      <c r="C37" s="4" t="n">
        <v>27.3</v>
      </c>
      <c r="D37" s="4" t="n">
        <v>3.01</v>
      </c>
      <c r="E37" s="4" t="n">
        <v>123.2</v>
      </c>
      <c r="F37" s="8">
        <f>6.05E5*E37^1.85/(120^1.85*C37^4.87)*D37*1.2</f>
        <v/>
      </c>
      <c r="G37" s="8">
        <f>E37/60000/(PI()*(C37/1000)^2/4)</f>
        <v/>
      </c>
    </row>
    <row r="38">
      <c r="A38" s="4" t="inlineStr">
        <is>
          <t>DN25</t>
        </is>
      </c>
      <c r="B38" s="4" t="n">
        <v>25</v>
      </c>
      <c r="C38" s="4" t="n">
        <v>27.3</v>
      </c>
      <c r="D38" s="4" t="n">
        <v>3.05</v>
      </c>
      <c r="E38" s="4" t="n">
        <v>60</v>
      </c>
      <c r="F38" s="8">
        <f>6.05E5*E38^1.85/(120^1.85*C38^4.87)*D38*1.2</f>
        <v/>
      </c>
      <c r="G38" s="8">
        <f>E38/60000/(PI()*(C38/1000)^2/4)</f>
        <v/>
      </c>
    </row>
    <row r="39">
      <c r="E39" t="inlineStr">
        <is>
          <t>Toplam</t>
        </is>
      </c>
      <c r="F39" s="9">
        <f>SUM(F26:F38)</f>
        <v/>
      </c>
    </row>
    <row r="41">
      <c r="A41" s="6" t="inlineStr">
        <is>
          <t>1. KAT - kat girişinden en uzak başlığa boru yolu</t>
        </is>
      </c>
    </row>
    <row r="42">
      <c r="A42" s="7" t="inlineStr">
        <is>
          <t>Çap</t>
        </is>
      </c>
      <c r="B42" s="7" t="inlineStr">
        <is>
          <t>DN</t>
        </is>
      </c>
      <c r="C42" s="7" t="inlineStr">
        <is>
          <t>İç çap mm</t>
        </is>
      </c>
      <c r="D42" s="7" t="inlineStr">
        <is>
          <t>L m</t>
        </is>
      </c>
      <c r="E42" s="7" t="inlineStr">
        <is>
          <t>Q l/dk</t>
        </is>
      </c>
      <c r="F42" s="7" t="inlineStr">
        <is>
          <t>Δp bar</t>
        </is>
      </c>
      <c r="G42" s="7" t="inlineStr">
        <is>
          <t>v m/s</t>
        </is>
      </c>
    </row>
    <row r="43">
      <c r="A43" s="4" t="inlineStr">
        <is>
          <t>DN150</t>
        </is>
      </c>
      <c r="B43" s="4" t="n">
        <v>150</v>
      </c>
      <c r="C43" s="4" t="n">
        <v>155.4</v>
      </c>
      <c r="D43" s="4" t="n">
        <v>2.85</v>
      </c>
      <c r="E43" s="4" t="n">
        <v>424.5</v>
      </c>
      <c r="F43" s="8">
        <f>6.05E5*E43^1.85/(120^1.85*C43^4.87)*D43*1.2</f>
        <v/>
      </c>
      <c r="G43" s="8">
        <f>E43/60000/(PI()*(C43/1000)^2/4)</f>
        <v/>
      </c>
    </row>
    <row r="44">
      <c r="A44" s="4" t="inlineStr">
        <is>
          <t>DN100</t>
        </is>
      </c>
      <c r="B44" s="4" t="n">
        <v>100</v>
      </c>
      <c r="C44" s="4" t="n">
        <v>105.3</v>
      </c>
      <c r="D44" s="4" t="n">
        <v>24.31</v>
      </c>
      <c r="E44" s="4" t="n">
        <v>424.5</v>
      </c>
      <c r="F44" s="8">
        <f>6.05E5*E44^1.85/(120^1.85*C44^4.87)*D44*1.2</f>
        <v/>
      </c>
      <c r="G44" s="8">
        <f>E44/60000/(PI()*(C44/1000)^2/4)</f>
        <v/>
      </c>
    </row>
    <row r="45">
      <c r="A45" s="4" t="inlineStr">
        <is>
          <t>DN80</t>
        </is>
      </c>
      <c r="B45" s="4" t="n">
        <v>80</v>
      </c>
      <c r="C45" s="4" t="n">
        <v>80.90000000000001</v>
      </c>
      <c r="D45" s="4" t="n">
        <v>16.41</v>
      </c>
      <c r="E45" s="4" t="n">
        <v>424.5</v>
      </c>
      <c r="F45" s="8">
        <f>6.05E5*E45^1.85/(120^1.85*C45^4.87)*D45*1.2</f>
        <v/>
      </c>
      <c r="G45" s="8">
        <f>E45/60000/(PI()*(C45/1000)^2/4)</f>
        <v/>
      </c>
    </row>
    <row r="46">
      <c r="A46" s="4" t="inlineStr">
        <is>
          <t>DN65</t>
        </is>
      </c>
      <c r="B46" s="4" t="n">
        <v>65</v>
      </c>
      <c r="C46" s="4" t="n">
        <v>68.90000000000001</v>
      </c>
      <c r="D46" s="4" t="n">
        <v>7.31</v>
      </c>
      <c r="E46" s="4" t="n">
        <v>345.6</v>
      </c>
      <c r="F46" s="8">
        <f>6.05E5*E46^1.85/(120^1.85*C46^4.87)*D46*1.2</f>
        <v/>
      </c>
      <c r="G46" s="8">
        <f>E46/60000/(PI()*(C46/1000)^2/4)</f>
        <v/>
      </c>
    </row>
    <row r="47">
      <c r="A47" s="4" t="inlineStr">
        <is>
          <t>DN50</t>
        </is>
      </c>
      <c r="B47" s="4" t="n">
        <v>50</v>
      </c>
      <c r="C47" s="4" t="n">
        <v>53.1</v>
      </c>
      <c r="D47" s="4" t="n">
        <v>8.470000000000001</v>
      </c>
      <c r="E47" s="4" t="n">
        <v>345.6</v>
      </c>
      <c r="F47" s="8">
        <f>6.05E5*E47^1.85/(120^1.85*C47^4.87)*D47*1.2</f>
        <v/>
      </c>
      <c r="G47" s="8">
        <f>E47/60000/(PI()*(C47/1000)^2/4)</f>
        <v/>
      </c>
    </row>
    <row r="48">
      <c r="A48" s="4" t="inlineStr">
        <is>
          <t>DN40</t>
        </is>
      </c>
      <c r="B48" s="4" t="n">
        <v>40</v>
      </c>
      <c r="C48" s="4" t="n">
        <v>41.9</v>
      </c>
      <c r="D48" s="4" t="n">
        <v>3.28</v>
      </c>
      <c r="E48" s="4" t="n">
        <v>269.2</v>
      </c>
      <c r="F48" s="8">
        <f>6.05E5*E48^1.85/(120^1.85*C48^4.87)*D48*1.2</f>
        <v/>
      </c>
      <c r="G48" s="8">
        <f>E48/60000/(PI()*(C48/1000)^2/4)</f>
        <v/>
      </c>
    </row>
    <row r="49">
      <c r="A49" s="4" t="inlineStr">
        <is>
          <t>DN25</t>
        </is>
      </c>
      <c r="B49" s="4" t="n">
        <v>25</v>
      </c>
      <c r="C49" s="4" t="n">
        <v>27.3</v>
      </c>
      <c r="D49" s="4" t="n">
        <v>3.27</v>
      </c>
      <c r="E49" s="4" t="n">
        <v>123.2</v>
      </c>
      <c r="F49" s="8">
        <f>6.05E5*E49^1.85/(120^1.85*C49^4.87)*D49*1.2</f>
        <v/>
      </c>
      <c r="G49" s="8">
        <f>E49/60000/(PI()*(C49/1000)^2/4)</f>
        <v/>
      </c>
    </row>
    <row r="50">
      <c r="A50" s="4" t="inlineStr">
        <is>
          <t>DN25</t>
        </is>
      </c>
      <c r="B50" s="4" t="n">
        <v>25</v>
      </c>
      <c r="C50" s="4" t="n">
        <v>27.3</v>
      </c>
      <c r="D50" s="4" t="n">
        <v>3.02</v>
      </c>
      <c r="E50" s="4" t="n">
        <v>60</v>
      </c>
      <c r="F50" s="8">
        <f>6.05E5*E50^1.85/(120^1.85*C50^4.87)*D50*1.2</f>
        <v/>
      </c>
      <c r="G50" s="8">
        <f>E50/60000/(PI()*(C50/1000)^2/4)</f>
        <v/>
      </c>
    </row>
    <row r="51">
      <c r="E51" t="inlineStr">
        <is>
          <t>Toplam</t>
        </is>
      </c>
      <c r="F51" s="9">
        <f>SUM(F43:F50)</f>
        <v/>
      </c>
    </row>
    <row r="53">
      <c r="A53" s="6" t="inlineStr">
        <is>
          <t>2. KAT - kat girişinden en uzak başlığa boru yolu</t>
        </is>
      </c>
    </row>
    <row r="54">
      <c r="A54" s="7" t="inlineStr">
        <is>
          <t>Çap</t>
        </is>
      </c>
      <c r="B54" s="7" t="inlineStr">
        <is>
          <t>DN</t>
        </is>
      </c>
      <c r="C54" s="7" t="inlineStr">
        <is>
          <t>İç çap mm</t>
        </is>
      </c>
      <c r="D54" s="7" t="inlineStr">
        <is>
          <t>L m</t>
        </is>
      </c>
      <c r="E54" s="7" t="inlineStr">
        <is>
          <t>Q l/dk</t>
        </is>
      </c>
      <c r="F54" s="7" t="inlineStr">
        <is>
          <t>Δp bar</t>
        </is>
      </c>
      <c r="G54" s="7" t="inlineStr">
        <is>
          <t>v m/s</t>
        </is>
      </c>
    </row>
    <row r="55">
      <c r="A55" s="4" t="inlineStr">
        <is>
          <t>DN150</t>
        </is>
      </c>
      <c r="B55" s="4" t="n">
        <v>150</v>
      </c>
      <c r="C55" s="4" t="n">
        <v>155.4</v>
      </c>
      <c r="D55" s="4" t="n">
        <v>2.85</v>
      </c>
      <c r="E55" s="4" t="n">
        <v>424.5</v>
      </c>
      <c r="F55" s="8">
        <f>6.05E5*E55^1.85/(120^1.85*C55^4.87)*D55*1.2</f>
        <v/>
      </c>
      <c r="G55" s="8">
        <f>E55/60000/(PI()*(C55/1000)^2/4)</f>
        <v/>
      </c>
    </row>
    <row r="56">
      <c r="A56" s="4" t="inlineStr">
        <is>
          <t>DN100</t>
        </is>
      </c>
      <c r="B56" s="4" t="n">
        <v>100</v>
      </c>
      <c r="C56" s="4" t="n">
        <v>105.3</v>
      </c>
      <c r="D56" s="4" t="n">
        <v>24.31</v>
      </c>
      <c r="E56" s="4" t="n">
        <v>424.5</v>
      </c>
      <c r="F56" s="8">
        <f>6.05E5*E56^1.85/(120^1.85*C56^4.87)*D56*1.2</f>
        <v/>
      </c>
      <c r="G56" s="8">
        <f>E56/60000/(PI()*(C56/1000)^2/4)</f>
        <v/>
      </c>
    </row>
    <row r="57">
      <c r="A57" s="4" t="inlineStr">
        <is>
          <t>DN80</t>
        </is>
      </c>
      <c r="B57" s="4" t="n">
        <v>80</v>
      </c>
      <c r="C57" s="4" t="n">
        <v>80.90000000000001</v>
      </c>
      <c r="D57" s="4" t="n">
        <v>16.41</v>
      </c>
      <c r="E57" s="4" t="n">
        <v>424.5</v>
      </c>
      <c r="F57" s="8">
        <f>6.05E5*E57^1.85/(120^1.85*C57^4.87)*D57*1.2</f>
        <v/>
      </c>
      <c r="G57" s="8">
        <f>E57/60000/(PI()*(C57/1000)^2/4)</f>
        <v/>
      </c>
    </row>
    <row r="58">
      <c r="A58" s="4" t="inlineStr">
        <is>
          <t>DN65</t>
        </is>
      </c>
      <c r="B58" s="4" t="n">
        <v>65</v>
      </c>
      <c r="C58" s="4" t="n">
        <v>68.90000000000001</v>
      </c>
      <c r="D58" s="4" t="n">
        <v>7.31</v>
      </c>
      <c r="E58" s="4" t="n">
        <v>345.6</v>
      </c>
      <c r="F58" s="8">
        <f>6.05E5*E58^1.85/(120^1.85*C58^4.87)*D58*1.2</f>
        <v/>
      </c>
      <c r="G58" s="8">
        <f>E58/60000/(PI()*(C58/1000)^2/4)</f>
        <v/>
      </c>
    </row>
    <row r="59">
      <c r="A59" s="4" t="inlineStr">
        <is>
          <t>DN50</t>
        </is>
      </c>
      <c r="B59" s="4" t="n">
        <v>50</v>
      </c>
      <c r="C59" s="4" t="n">
        <v>53.1</v>
      </c>
      <c r="D59" s="4" t="n">
        <v>8.470000000000001</v>
      </c>
      <c r="E59" s="4" t="n">
        <v>345.6</v>
      </c>
      <c r="F59" s="8">
        <f>6.05E5*E59^1.85/(120^1.85*C59^4.87)*D59*1.2</f>
        <v/>
      </c>
      <c r="G59" s="8">
        <f>E59/60000/(PI()*(C59/1000)^2/4)</f>
        <v/>
      </c>
    </row>
    <row r="60">
      <c r="A60" s="4" t="inlineStr">
        <is>
          <t>DN40</t>
        </is>
      </c>
      <c r="B60" s="4" t="n">
        <v>40</v>
      </c>
      <c r="C60" s="4" t="n">
        <v>41.9</v>
      </c>
      <c r="D60" s="4" t="n">
        <v>3.28</v>
      </c>
      <c r="E60" s="4" t="n">
        <v>269.2</v>
      </c>
      <c r="F60" s="8">
        <f>6.05E5*E60^1.85/(120^1.85*C60^4.87)*D60*1.2</f>
        <v/>
      </c>
      <c r="G60" s="8">
        <f>E60/60000/(PI()*(C60/1000)^2/4)</f>
        <v/>
      </c>
    </row>
    <row r="61">
      <c r="A61" s="4" t="inlineStr">
        <is>
          <t>DN25</t>
        </is>
      </c>
      <c r="B61" s="4" t="n">
        <v>25</v>
      </c>
      <c r="C61" s="4" t="n">
        <v>27.3</v>
      </c>
      <c r="D61" s="4" t="n">
        <v>3.27</v>
      </c>
      <c r="E61" s="4" t="n">
        <v>123.2</v>
      </c>
      <c r="F61" s="8">
        <f>6.05E5*E61^1.85/(120^1.85*C61^4.87)*D61*1.2</f>
        <v/>
      </c>
      <c r="G61" s="8">
        <f>E61/60000/(PI()*(C61/1000)^2/4)</f>
        <v/>
      </c>
    </row>
    <row r="62">
      <c r="A62" s="4" t="inlineStr">
        <is>
          <t>DN25</t>
        </is>
      </c>
      <c r="B62" s="4" t="n">
        <v>25</v>
      </c>
      <c r="C62" s="4" t="n">
        <v>27.3</v>
      </c>
      <c r="D62" s="4" t="n">
        <v>3.02</v>
      </c>
      <c r="E62" s="4" t="n">
        <v>60</v>
      </c>
      <c r="F62" s="8">
        <f>6.05E5*E62^1.85/(120^1.85*C62^4.87)*D62*1.2</f>
        <v/>
      </c>
      <c r="G62" s="8">
        <f>E62/60000/(PI()*(C62/1000)^2/4)</f>
        <v/>
      </c>
    </row>
    <row r="63">
      <c r="E63" t="inlineStr">
        <is>
          <t>Toplam</t>
        </is>
      </c>
      <c r="F63" s="9">
        <f>SUM(F55:F62)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ROTAŞ MÜHENDİSLİK - VOYAP - YANGIN TESİSATI (SPRİNKLER + YANGIN DOLABI)</t>
        </is>
      </c>
    </row>
    <row r="2">
      <c r="A2" s="2" t="inlineStr">
        <is>
          <t>BORU VE MALZEME METRAJI (%10 fire hariç)</t>
        </is>
      </c>
    </row>
    <row r="3">
      <c r="A3" s="3" t="inlineStr">
        <is>
          <t>Çap</t>
        </is>
      </c>
      <c r="B3" s="3" t="inlineStr">
        <is>
          <t>BODRUM</t>
        </is>
      </c>
      <c r="C3" s="3" t="inlineStr">
        <is>
          <t>ZEMİN</t>
        </is>
      </c>
      <c r="D3" s="3" t="inlineStr">
        <is>
          <t>1. KAT</t>
        </is>
      </c>
      <c r="E3" s="3" t="inlineStr">
        <is>
          <t>2. KAT</t>
        </is>
      </c>
      <c r="F3" s="3" t="inlineStr">
        <is>
          <t>TOPLAM m</t>
        </is>
      </c>
    </row>
    <row r="4">
      <c r="A4" s="4" t="inlineStr">
        <is>
          <t>DN25</t>
        </is>
      </c>
      <c r="B4" s="4" t="n">
        <v>216.3</v>
      </c>
      <c r="C4" s="4" t="n">
        <v>188.9</v>
      </c>
      <c r="D4" s="4" t="n">
        <v>197</v>
      </c>
      <c r="E4" s="4" t="n">
        <v>197</v>
      </c>
      <c r="F4" s="10">
        <f>SUM(B4:E4)</f>
        <v/>
      </c>
    </row>
    <row r="5">
      <c r="A5" s="4" t="inlineStr">
        <is>
          <t>DN32</t>
        </is>
      </c>
      <c r="B5" s="4" t="n">
        <v>16.9</v>
      </c>
      <c r="C5" s="4" t="n">
        <v>15.6</v>
      </c>
      <c r="D5" s="4" t="n">
        <v>20.1</v>
      </c>
      <c r="E5" s="4" t="n">
        <v>20.1</v>
      </c>
      <c r="F5" s="10">
        <f>SUM(B5:E5)</f>
        <v/>
      </c>
    </row>
    <row r="6">
      <c r="A6" s="4" t="inlineStr">
        <is>
          <t>DN40</t>
        </is>
      </c>
      <c r="B6" s="4" t="n">
        <v>3.6</v>
      </c>
      <c r="C6" s="4" t="n">
        <v>28.5</v>
      </c>
      <c r="D6" s="4" t="n">
        <v>46.3</v>
      </c>
      <c r="E6" s="4" t="n">
        <v>46.3</v>
      </c>
      <c r="F6" s="10">
        <f>SUM(B6:E6)</f>
        <v/>
      </c>
    </row>
    <row r="7">
      <c r="A7" s="4" t="inlineStr">
        <is>
          <t>DN50</t>
        </is>
      </c>
      <c r="B7" s="4" t="n">
        <v>7.5</v>
      </c>
      <c r="C7" s="4" t="n">
        <v>41.5</v>
      </c>
      <c r="D7" s="4" t="n">
        <v>45.3</v>
      </c>
      <c r="E7" s="4" t="n">
        <v>45.3</v>
      </c>
      <c r="F7" s="10">
        <f>SUM(B7:E7)</f>
        <v/>
      </c>
    </row>
    <row r="8">
      <c r="A8" s="4" t="inlineStr">
        <is>
          <t>DN65</t>
        </is>
      </c>
      <c r="B8" s="4" t="n">
        <v>12.9</v>
      </c>
      <c r="C8" s="4" t="n">
        <v>11.7</v>
      </c>
      <c r="D8" s="4" t="n">
        <v>15</v>
      </c>
      <c r="E8" s="4" t="n">
        <v>15</v>
      </c>
      <c r="F8" s="10">
        <f>SUM(B8:E8)</f>
        <v/>
      </c>
    </row>
    <row r="9">
      <c r="A9" s="4" t="inlineStr">
        <is>
          <t>DN80</t>
        </is>
      </c>
      <c r="B9" s="4" t="n">
        <v>15</v>
      </c>
      <c r="C9" s="4" t="n">
        <v>27</v>
      </c>
      <c r="D9" s="4" t="n">
        <v>30</v>
      </c>
      <c r="E9" s="4" t="n">
        <v>30</v>
      </c>
      <c r="F9" s="10">
        <f>SUM(B9:E9)</f>
        <v/>
      </c>
    </row>
    <row r="10">
      <c r="A10" s="4" t="inlineStr">
        <is>
          <t>DN100</t>
        </is>
      </c>
      <c r="B10" s="4" t="n">
        <v>26.3</v>
      </c>
      <c r="C10" s="4" t="n">
        <v>34.7</v>
      </c>
      <c r="D10" s="4" t="n">
        <v>25.7</v>
      </c>
      <c r="E10" s="4" t="n">
        <v>25.7</v>
      </c>
      <c r="F10" s="10">
        <f>SUM(B10:E10)</f>
        <v/>
      </c>
    </row>
    <row r="11">
      <c r="A11" s="4" t="inlineStr">
        <is>
          <t>DN150</t>
        </is>
      </c>
      <c r="B11" s="4" t="n">
        <v>0</v>
      </c>
      <c r="C11" s="4" t="n">
        <v>5.3</v>
      </c>
      <c r="D11" s="4" t="n">
        <v>2.8</v>
      </c>
      <c r="E11" s="4" t="n">
        <v>2.8</v>
      </c>
      <c r="F11" s="10">
        <f>SUM(B11:E11)</f>
        <v/>
      </c>
    </row>
    <row r="13">
      <c r="A13" s="3" t="inlineStr">
        <is>
          <t>MALZEME</t>
        </is>
      </c>
      <c r="B13" s="3" t="inlineStr">
        <is>
          <t>MİKTAR</t>
        </is>
      </c>
      <c r="C13" s="3" t="inlineStr">
        <is>
          <t>BİRİM</t>
        </is>
      </c>
    </row>
    <row r="14">
      <c r="A14" s="4" t="inlineStr">
        <is>
          <t>Sprinkler upright K80 68°C</t>
        </is>
      </c>
      <c r="B14" s="4" t="n">
        <v>214</v>
      </c>
      <c r="C14" s="4" t="inlineStr">
        <is>
          <t>adet</t>
        </is>
      </c>
    </row>
    <row r="15">
      <c r="A15" s="4" t="inlineStr">
        <is>
          <t>Sprinkler pendant K80 68°C</t>
        </is>
      </c>
      <c r="B15" s="4" t="n">
        <v>244</v>
      </c>
      <c r="C15" s="4" t="inlineStr">
        <is>
          <t>adet</t>
        </is>
      </c>
    </row>
    <row r="16">
      <c r="A16" s="4" t="inlineStr">
        <is>
          <t>Ara seviye sprinkler (lift)</t>
        </is>
      </c>
      <c r="B16" s="4" t="n">
        <v>0</v>
      </c>
      <c r="C16" s="4" t="inlineStr">
        <is>
          <t>adet</t>
        </is>
      </c>
    </row>
    <row r="17">
      <c r="A17" s="4" t="inlineStr">
        <is>
          <t>Yangın dolabı TS EN 671-1</t>
        </is>
      </c>
      <c r="B17" s="4" t="n">
        <v>8</v>
      </c>
      <c r="C17" s="4" t="inlineStr">
        <is>
          <t>adet</t>
        </is>
      </c>
    </row>
    <row r="18">
      <c r="A18" s="4" t="inlineStr">
        <is>
          <t>Islak alarm vanası DN100</t>
        </is>
      </c>
      <c r="B18" s="4" t="n">
        <v>2</v>
      </c>
      <c r="C18" s="4" t="inlineStr">
        <is>
          <t>adet</t>
        </is>
      </c>
    </row>
    <row r="19">
      <c r="A19" s="4" t="inlineStr">
        <is>
          <t>Kat kontrol istasyonu DN100</t>
        </is>
      </c>
      <c r="B19" s="4" t="n">
        <v>3</v>
      </c>
      <c r="C19" s="4" t="inlineStr">
        <is>
          <t>takım</t>
        </is>
      </c>
    </row>
    <row r="20">
      <c r="A20" s="4" t="inlineStr">
        <is>
          <t>İtfaiye bağlantısı 2x2½"</t>
        </is>
      </c>
      <c r="B20" s="4" t="n">
        <v>1</v>
      </c>
      <c r="C20" s="4" t="inlineStr">
        <is>
          <t>adet</t>
        </is>
      </c>
    </row>
    <row r="21">
      <c r="A21" s="4" t="inlineStr">
        <is>
          <t>Yangın pompa grubu (E+D+J)</t>
        </is>
      </c>
      <c r="B21" s="4" t="n">
        <v>1</v>
      </c>
      <c r="C21" s="4" t="inlineStr">
        <is>
          <t>takım</t>
        </is>
      </c>
    </row>
    <row r="22">
      <c r="A22" s="4" t="inlineStr">
        <is>
          <t>Yangın suyu deposu 80 m³</t>
        </is>
      </c>
      <c r="B22" s="4" t="n">
        <v>1</v>
      </c>
      <c r="C22" s="4" t="inlineStr">
        <is>
          <t>adet</t>
        </is>
      </c>
    </row>
    <row r="23">
      <c r="A23" s="4" t="inlineStr">
        <is>
          <t>Yedek sprinkler dolabı (6 adet başlık + anahtar)</t>
        </is>
      </c>
      <c r="B23" s="4" t="n">
        <v>1</v>
      </c>
      <c r="C23" s="4" t="inlineStr">
        <is>
          <t>adet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5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3" customWidth="1" min="3" max="3"/>
    <col width="12" customWidth="1" min="4" max="4"/>
    <col width="9" customWidth="1" min="5" max="5"/>
    <col width="12" customWidth="1" min="6" max="6"/>
    <col width="12" customWidth="1" min="7" max="7"/>
    <col width="10" customWidth="1" min="8" max="8"/>
    <col width="8" customWidth="1" min="9" max="9"/>
  </cols>
  <sheetData>
    <row r="1">
      <c r="A1" s="1" t="inlineStr">
        <is>
          <t>ROTAŞ MÜHENDİSLİK - VOYAP - MEKANİK TESİSAT HESAPLARI</t>
        </is>
      </c>
    </row>
    <row r="2">
      <c r="A2" s="2" t="inlineStr">
        <is>
          <t>ISI KAYBI HESABI - TS EN 12831 basitleştirilmiş (Td = -3.0 °C, Ti = 20 °C, ısıtılmayan ortak alan 10 °C, otopark 5 °C)</t>
        </is>
      </c>
    </row>
    <row r="3">
      <c r="A3" t="inlineStr">
        <is>
          <t>U değerleri (W/m²K, ısı köprüsü dahil): dış duvar 0.5, pencere 1.7, çatı 0.35, otopark üstü döşeme 0.5, iç duvar 1.2.  Yön zammı K +%5 / G -%5, işletme zammı %7.</t>
        </is>
      </c>
    </row>
    <row r="5">
      <c r="A5" s="6" t="inlineStr">
        <is>
          <t>1. KAT OFİS A1</t>
        </is>
      </c>
      <c r="D5" t="inlineStr">
        <is>
          <t>Net alan 65.1 m², hacim 182.2 m³</t>
        </is>
      </c>
    </row>
    <row r="6">
      <c r="A6" s="11" t="inlineStr">
        <is>
          <t>Eleman</t>
        </is>
      </c>
      <c r="B6" s="11" t="inlineStr">
        <is>
          <t>Uzunluk (m)</t>
        </is>
      </c>
      <c r="C6" s="11" t="inlineStr">
        <is>
          <t>Alan / Hacim</t>
        </is>
      </c>
      <c r="D6" s="11" t="inlineStr">
        <is>
          <t>U / katsayı</t>
        </is>
      </c>
      <c r="E6" s="11" t="inlineStr">
        <is>
          <t>ΔT (K)</t>
        </is>
      </c>
      <c r="F6" s="11" t="inlineStr">
        <is>
          <t>Zam çarpanı</t>
        </is>
      </c>
      <c r="G6" s="11" t="inlineStr">
        <is>
          <t>Q (W)</t>
        </is>
      </c>
    </row>
    <row r="7">
      <c r="A7" s="4" t="inlineStr">
        <is>
          <t>İç duvar (ısıtılmayan koridor)</t>
        </is>
      </c>
      <c r="B7" s="4" t="n">
        <v>5.85</v>
      </c>
      <c r="C7" s="4" t="n">
        <v>16.38</v>
      </c>
      <c r="D7" s="4" t="n">
        <v>1.2</v>
      </c>
      <c r="E7" s="4" t="n">
        <v>10</v>
      </c>
      <c r="F7" s="4" t="n">
        <v>1.068</v>
      </c>
      <c r="G7" s="4">
        <f>ROUND(C7*D7*E7*F7,0)</f>
        <v/>
      </c>
    </row>
    <row r="8">
      <c r="A8" s="4" t="inlineStr">
        <is>
          <t>Dış duvar (cephe K)</t>
        </is>
      </c>
      <c r="B8" s="4" t="n">
        <v>5.85</v>
      </c>
      <c r="C8" s="4" t="n">
        <v>10.65</v>
      </c>
      <c r="D8" s="4" t="n">
        <v>0.5</v>
      </c>
      <c r="E8" s="4" t="n">
        <v>23</v>
      </c>
      <c r="F8" s="4" t="n">
        <v>1.119</v>
      </c>
      <c r="G8" s="4">
        <f>ROUND(C8*D8*E8*F8,0)</f>
        <v/>
      </c>
    </row>
    <row r="9">
      <c r="A9" s="4" t="inlineStr">
        <is>
          <t>Pencere (K)</t>
        </is>
      </c>
      <c r="B9" s="4" t="n">
        <v>5.85</v>
      </c>
      <c r="C9" s="4" t="n">
        <v>5.73</v>
      </c>
      <c r="D9" s="4" t="n">
        <v>1.7</v>
      </c>
      <c r="E9" s="4" t="n">
        <v>23</v>
      </c>
      <c r="F9" s="4" t="n">
        <v>1.12</v>
      </c>
      <c r="G9" s="4">
        <f>ROUND(C9*D9*E9*F9,0)</f>
        <v/>
      </c>
    </row>
    <row r="10">
      <c r="A10" s="4" t="inlineStr">
        <is>
          <t>Havalandırma/sızıntı n=1.0</t>
        </is>
      </c>
      <c r="B10" s="4" t="n"/>
      <c r="C10" s="4" t="n">
        <v>182.2</v>
      </c>
      <c r="D10" s="4" t="n">
        <v>0.34</v>
      </c>
      <c r="E10" s="4" t="n">
        <v>23</v>
      </c>
      <c r="F10" s="4" t="n">
        <v>1</v>
      </c>
      <c r="G10" s="4">
        <f>ROUND(C10*D10*E10*F10,0)</f>
        <v/>
      </c>
    </row>
    <row r="11">
      <c r="A11" s="4" t="inlineStr">
        <is>
          <t>Yeniden ısıtma payı (kesintili, 11 W/m²)</t>
        </is>
      </c>
      <c r="B11" s="4" t="n"/>
      <c r="C11" s="4" t="n">
        <v>65.06999999999999</v>
      </c>
      <c r="D11" s="4" t="n">
        <v>11</v>
      </c>
      <c r="E11" s="4" t="n">
        <v>1</v>
      </c>
      <c r="F11" s="4" t="n">
        <v>1</v>
      </c>
      <c r="G11" s="4">
        <f>ROUND(C11*D11*E11*F11,0)</f>
        <v/>
      </c>
    </row>
    <row r="12">
      <c r="F12" s="6" t="inlineStr">
        <is>
          <t>TOPLAM</t>
        </is>
      </c>
      <c r="G12" s="6">
        <f>SUM(G7:G11)</f>
        <v/>
      </c>
      <c r="H12">
        <f>G12/65.1</f>
        <v/>
      </c>
      <c r="I12" t="inlineStr">
        <is>
          <t>W/m²</t>
        </is>
      </c>
    </row>
    <row r="14">
      <c r="A14" s="6" t="inlineStr">
        <is>
          <t>1. KAT OFİS A2</t>
        </is>
      </c>
      <c r="D14" t="inlineStr">
        <is>
          <t>Net alan 65.1 m², hacim 182.2 m³</t>
        </is>
      </c>
    </row>
    <row r="15">
      <c r="A15" s="11" t="inlineStr">
        <is>
          <t>Eleman</t>
        </is>
      </c>
      <c r="B15" s="11" t="inlineStr">
        <is>
          <t>Uzunluk (m)</t>
        </is>
      </c>
      <c r="C15" s="11" t="inlineStr">
        <is>
          <t>Alan / Hacim</t>
        </is>
      </c>
      <c r="D15" s="11" t="inlineStr">
        <is>
          <t>U / katsayı</t>
        </is>
      </c>
      <c r="E15" s="11" t="inlineStr">
        <is>
          <t>ΔT (K)</t>
        </is>
      </c>
      <c r="F15" s="11" t="inlineStr">
        <is>
          <t>Zam çarpanı</t>
        </is>
      </c>
      <c r="G15" s="11" t="inlineStr">
        <is>
          <t>Q (W)</t>
        </is>
      </c>
    </row>
    <row r="16">
      <c r="A16" s="4" t="inlineStr">
        <is>
          <t>İç duvar (ısıtılmayan koridor)</t>
        </is>
      </c>
      <c r="B16" s="4" t="n">
        <v>5.85</v>
      </c>
      <c r="C16" s="4" t="n">
        <v>16.38</v>
      </c>
      <c r="D16" s="4" t="n">
        <v>1.2</v>
      </c>
      <c r="E16" s="4" t="n">
        <v>10</v>
      </c>
      <c r="F16" s="4" t="n">
        <v>1.068</v>
      </c>
      <c r="G16" s="4">
        <f>ROUND(C16*D16*E16*F16,0)</f>
        <v/>
      </c>
    </row>
    <row r="17">
      <c r="A17" s="4" t="inlineStr">
        <is>
          <t>Dış duvar (cephe K)</t>
        </is>
      </c>
      <c r="B17" s="4" t="n">
        <v>5.85</v>
      </c>
      <c r="C17" s="4" t="n">
        <v>10.65</v>
      </c>
      <c r="D17" s="4" t="n">
        <v>0.5</v>
      </c>
      <c r="E17" s="4" t="n">
        <v>23</v>
      </c>
      <c r="F17" s="4" t="n">
        <v>1.119</v>
      </c>
      <c r="G17" s="4">
        <f>ROUND(C17*D17*E17*F17,0)</f>
        <v/>
      </c>
    </row>
    <row r="18">
      <c r="A18" s="4" t="inlineStr">
        <is>
          <t>Pencere (K)</t>
        </is>
      </c>
      <c r="B18" s="4" t="n">
        <v>5.85</v>
      </c>
      <c r="C18" s="4" t="n">
        <v>5.73</v>
      </c>
      <c r="D18" s="4" t="n">
        <v>1.7</v>
      </c>
      <c r="E18" s="4" t="n">
        <v>23</v>
      </c>
      <c r="F18" s="4" t="n">
        <v>1.12</v>
      </c>
      <c r="G18" s="4">
        <f>ROUND(C18*D18*E18*F18,0)</f>
        <v/>
      </c>
    </row>
    <row r="19">
      <c r="A19" s="4" t="inlineStr">
        <is>
          <t>Havalandırma/sızıntı n=1.0</t>
        </is>
      </c>
      <c r="B19" s="4" t="n"/>
      <c r="C19" s="4" t="n">
        <v>182.2</v>
      </c>
      <c r="D19" s="4" t="n">
        <v>0.34</v>
      </c>
      <c r="E19" s="4" t="n">
        <v>23</v>
      </c>
      <c r="F19" s="4" t="n">
        <v>1</v>
      </c>
      <c r="G19" s="4">
        <f>ROUND(C19*D19*E19*F19,0)</f>
        <v/>
      </c>
    </row>
    <row r="20">
      <c r="A20" s="4" t="inlineStr">
        <is>
          <t>Yeniden ısıtma payı (kesintili, 11 W/m²)</t>
        </is>
      </c>
      <c r="B20" s="4" t="n"/>
      <c r="C20" s="4" t="n">
        <v>65.06999999999999</v>
      </c>
      <c r="D20" s="4" t="n">
        <v>11</v>
      </c>
      <c r="E20" s="4" t="n">
        <v>1</v>
      </c>
      <c r="F20" s="4" t="n">
        <v>1</v>
      </c>
      <c r="G20" s="4">
        <f>ROUND(C20*D20*E20*F20,0)</f>
        <v/>
      </c>
    </row>
    <row r="21">
      <c r="F21" s="6" t="inlineStr">
        <is>
          <t>TOPLAM</t>
        </is>
      </c>
      <c r="G21" s="6">
        <f>SUM(G16:G20)</f>
        <v/>
      </c>
      <c r="H21">
        <f>G21/65.1</f>
        <v/>
      </c>
      <c r="I21" t="inlineStr">
        <is>
          <t>W/m²</t>
        </is>
      </c>
    </row>
    <row r="23">
      <c r="A23" s="6" t="inlineStr">
        <is>
          <t>1. KAT OFİS A3</t>
        </is>
      </c>
      <c r="D23" t="inlineStr">
        <is>
          <t>Net alan 66.1 m², hacim 185.0 m³</t>
        </is>
      </c>
    </row>
    <row r="24">
      <c r="A24" s="11" t="inlineStr">
        <is>
          <t>Eleman</t>
        </is>
      </c>
      <c r="B24" s="11" t="inlineStr">
        <is>
          <t>Uzunluk (m)</t>
        </is>
      </c>
      <c r="C24" s="11" t="inlineStr">
        <is>
          <t>Alan / Hacim</t>
        </is>
      </c>
      <c r="D24" s="11" t="inlineStr">
        <is>
          <t>U / katsayı</t>
        </is>
      </c>
      <c r="E24" s="11" t="inlineStr">
        <is>
          <t>ΔT (K)</t>
        </is>
      </c>
      <c r="F24" s="11" t="inlineStr">
        <is>
          <t>Zam çarpanı</t>
        </is>
      </c>
      <c r="G24" s="11" t="inlineStr">
        <is>
          <t>Q (W)</t>
        </is>
      </c>
    </row>
    <row r="25">
      <c r="A25" s="4" t="inlineStr">
        <is>
          <t>İç duvar (ısıtılmayan koridor)</t>
        </is>
      </c>
      <c r="B25" s="4" t="n">
        <v>5.94</v>
      </c>
      <c r="C25" s="4" t="n">
        <v>16.63</v>
      </c>
      <c r="D25" s="4" t="n">
        <v>1.2</v>
      </c>
      <c r="E25" s="4" t="n">
        <v>10</v>
      </c>
      <c r="F25" s="4" t="n">
        <v>1.072</v>
      </c>
      <c r="G25" s="4">
        <f>ROUND(C25*D25*E25*F25,0)</f>
        <v/>
      </c>
    </row>
    <row r="26">
      <c r="A26" s="4" t="inlineStr">
        <is>
          <t>Dış duvar (cephe K)</t>
        </is>
      </c>
      <c r="B26" s="4" t="n">
        <v>5.94</v>
      </c>
      <c r="C26" s="4" t="n">
        <v>10.81</v>
      </c>
      <c r="D26" s="4" t="n">
        <v>0.5</v>
      </c>
      <c r="E26" s="4" t="n">
        <v>23</v>
      </c>
      <c r="F26" s="4" t="n">
        <v>1.118</v>
      </c>
      <c r="G26" s="4">
        <f>ROUND(C26*D26*E26*F26,0)</f>
        <v/>
      </c>
    </row>
    <row r="27">
      <c r="A27" s="4" t="inlineStr">
        <is>
          <t>Pencere (K)</t>
        </is>
      </c>
      <c r="B27" s="4" t="n">
        <v>5.94</v>
      </c>
      <c r="C27" s="4" t="n">
        <v>5.82</v>
      </c>
      <c r="D27" s="4" t="n">
        <v>1.7</v>
      </c>
      <c r="E27" s="4" t="n">
        <v>23</v>
      </c>
      <c r="F27" s="4" t="n">
        <v>1.121</v>
      </c>
      <c r="G27" s="4">
        <f>ROUND(C27*D27*E27*F27,0)</f>
        <v/>
      </c>
    </row>
    <row r="28">
      <c r="A28" s="4" t="inlineStr">
        <is>
          <t>Havalandırma/sızıntı n=1.0</t>
        </is>
      </c>
      <c r="B28" s="4" t="n"/>
      <c r="C28" s="4" t="n">
        <v>185</v>
      </c>
      <c r="D28" s="4" t="n">
        <v>0.34</v>
      </c>
      <c r="E28" s="4" t="n">
        <v>23</v>
      </c>
      <c r="F28" s="4" t="n">
        <v>1</v>
      </c>
      <c r="G28" s="4">
        <f>ROUND(C28*D28*E28*F28,0)</f>
        <v/>
      </c>
    </row>
    <row r="29">
      <c r="A29" s="4" t="inlineStr">
        <is>
          <t>Yeniden ısıtma payı (kesintili, 11 W/m²)</t>
        </is>
      </c>
      <c r="B29" s="4" t="n"/>
      <c r="C29" s="4" t="n">
        <v>66.06999999999999</v>
      </c>
      <c r="D29" s="4" t="n">
        <v>11</v>
      </c>
      <c r="E29" s="4" t="n">
        <v>1</v>
      </c>
      <c r="F29" s="4" t="n">
        <v>1</v>
      </c>
      <c r="G29" s="4">
        <f>ROUND(C29*D29*E29*F29,0)</f>
        <v/>
      </c>
    </row>
    <row r="30">
      <c r="F30" s="6" t="inlineStr">
        <is>
          <t>TOPLAM</t>
        </is>
      </c>
      <c r="G30" s="6">
        <f>SUM(G25:G29)</f>
        <v/>
      </c>
      <c r="H30">
        <f>G30/66.1</f>
        <v/>
      </c>
      <c r="I30" t="inlineStr">
        <is>
          <t>W/m²</t>
        </is>
      </c>
    </row>
    <row r="32">
      <c r="A32" s="6" t="inlineStr">
        <is>
          <t>1. KAT OFİS B1</t>
        </is>
      </c>
      <c r="D32" t="inlineStr">
        <is>
          <t>Net alan 36.6 m², hacim 102.4 m³</t>
        </is>
      </c>
    </row>
    <row r="33">
      <c r="A33" s="11" t="inlineStr">
        <is>
          <t>Eleman</t>
        </is>
      </c>
      <c r="B33" s="11" t="inlineStr">
        <is>
          <t>Uzunluk (m)</t>
        </is>
      </c>
      <c r="C33" s="11" t="inlineStr">
        <is>
          <t>Alan / Hacim</t>
        </is>
      </c>
      <c r="D33" s="11" t="inlineStr">
        <is>
          <t>U / katsayı</t>
        </is>
      </c>
      <c r="E33" s="11" t="inlineStr">
        <is>
          <t>ΔT (K)</t>
        </is>
      </c>
      <c r="F33" s="11" t="inlineStr">
        <is>
          <t>Zam çarpanı</t>
        </is>
      </c>
      <c r="G33" s="11" t="inlineStr">
        <is>
          <t>Q (W)</t>
        </is>
      </c>
    </row>
    <row r="34">
      <c r="A34" s="4" t="inlineStr">
        <is>
          <t>İç duvar (ısıtılmayan koridor)</t>
        </is>
      </c>
      <c r="B34" s="4" t="n">
        <v>8.199999999999999</v>
      </c>
      <c r="C34" s="4" t="n">
        <v>22.96</v>
      </c>
      <c r="D34" s="4" t="n">
        <v>1.2</v>
      </c>
      <c r="E34" s="4" t="n">
        <v>10</v>
      </c>
      <c r="F34" s="4" t="n">
        <v>1.071</v>
      </c>
      <c r="G34" s="4">
        <f>ROUND(C34*D34*E34*F34,0)</f>
        <v/>
      </c>
    </row>
    <row r="35">
      <c r="A35" s="4" t="inlineStr">
        <is>
          <t>Dış duvar (ışıklık G)</t>
        </is>
      </c>
      <c r="B35" s="4" t="n">
        <v>4.85</v>
      </c>
      <c r="C35" s="4" t="n">
        <v>9.51</v>
      </c>
      <c r="D35" s="4" t="n">
        <v>0.5</v>
      </c>
      <c r="E35" s="4" t="n">
        <v>23</v>
      </c>
      <c r="F35" s="4" t="n">
        <v>1.024</v>
      </c>
      <c r="G35" s="4">
        <f>ROUND(C35*D35*E35*F35,0)</f>
        <v/>
      </c>
    </row>
    <row r="36">
      <c r="A36" s="4" t="inlineStr">
        <is>
          <t>Pencere (G)</t>
        </is>
      </c>
      <c r="B36" s="4" t="n">
        <v>4.85</v>
      </c>
      <c r="C36" s="4" t="n">
        <v>4.07</v>
      </c>
      <c r="D36" s="4" t="n">
        <v>1.7</v>
      </c>
      <c r="E36" s="4" t="n">
        <v>23</v>
      </c>
      <c r="F36" s="4" t="n">
        <v>1.018</v>
      </c>
      <c r="G36" s="4">
        <f>ROUND(C36*D36*E36*F36,0)</f>
        <v/>
      </c>
    </row>
    <row r="37">
      <c r="A37" s="4" t="inlineStr">
        <is>
          <t>İç duvar (ısıtılmayan koridor)</t>
        </is>
      </c>
      <c r="B37" s="4" t="n">
        <v>4.85</v>
      </c>
      <c r="C37" s="4" t="n">
        <v>13.58</v>
      </c>
      <c r="D37" s="4" t="n">
        <v>1.2</v>
      </c>
      <c r="E37" s="4" t="n">
        <v>10</v>
      </c>
      <c r="F37" s="4" t="n">
        <v>1.068</v>
      </c>
      <c r="G37" s="4">
        <f>ROUND(C37*D37*E37*F37,0)</f>
        <v/>
      </c>
    </row>
    <row r="38">
      <c r="A38" s="4" t="inlineStr">
        <is>
          <t>Havalandırma/sızıntı n=1.0</t>
        </is>
      </c>
      <c r="B38" s="4" t="n"/>
      <c r="C38" s="4" t="n">
        <v>102.4</v>
      </c>
      <c r="D38" s="4" t="n">
        <v>0.34</v>
      </c>
      <c r="E38" s="4" t="n">
        <v>23</v>
      </c>
      <c r="F38" s="4" t="n">
        <v>1</v>
      </c>
      <c r="G38" s="4">
        <f>ROUND(C38*D38*E38*F38,0)</f>
        <v/>
      </c>
    </row>
    <row r="39">
      <c r="A39" s="4" t="inlineStr">
        <is>
          <t>Yeniden ısıtma payı (kesintili, 11 W/m²)</t>
        </is>
      </c>
      <c r="B39" s="4" t="n"/>
      <c r="C39" s="4" t="n">
        <v>36.59</v>
      </c>
      <c r="D39" s="4" t="n">
        <v>11</v>
      </c>
      <c r="E39" s="4" t="n">
        <v>1</v>
      </c>
      <c r="F39" s="4" t="n">
        <v>0.999</v>
      </c>
      <c r="G39" s="4">
        <f>ROUND(C39*D39*E39*F39,0)</f>
        <v/>
      </c>
    </row>
    <row r="40">
      <c r="F40" s="6" t="inlineStr">
        <is>
          <t>TOPLAM</t>
        </is>
      </c>
      <c r="G40" s="6">
        <f>SUM(G34:G39)</f>
        <v/>
      </c>
      <c r="H40">
        <f>G40/36.6</f>
        <v/>
      </c>
      <c r="I40" t="inlineStr">
        <is>
          <t>W/m²</t>
        </is>
      </c>
    </row>
    <row r="42">
      <c r="A42" s="6" t="inlineStr">
        <is>
          <t>1. KAT OFİS B2</t>
        </is>
      </c>
      <c r="D42" t="inlineStr">
        <is>
          <t>Net alan 36.6 m², hacim 102.4 m³</t>
        </is>
      </c>
    </row>
    <row r="43">
      <c r="A43" s="11" t="inlineStr">
        <is>
          <t>Eleman</t>
        </is>
      </c>
      <c r="B43" s="11" t="inlineStr">
        <is>
          <t>Uzunluk (m)</t>
        </is>
      </c>
      <c r="C43" s="11" t="inlineStr">
        <is>
          <t>Alan / Hacim</t>
        </is>
      </c>
      <c r="D43" s="11" t="inlineStr">
        <is>
          <t>U / katsayı</t>
        </is>
      </c>
      <c r="E43" s="11" t="inlineStr">
        <is>
          <t>ΔT (K)</t>
        </is>
      </c>
      <c r="F43" s="11" t="inlineStr">
        <is>
          <t>Zam çarpanı</t>
        </is>
      </c>
      <c r="G43" s="11" t="inlineStr">
        <is>
          <t>Q (W)</t>
        </is>
      </c>
    </row>
    <row r="44">
      <c r="A44" s="4" t="inlineStr">
        <is>
          <t>Dış duvar (ışıklık G)</t>
        </is>
      </c>
      <c r="B44" s="4" t="n">
        <v>4.85</v>
      </c>
      <c r="C44" s="4" t="n">
        <v>9.51</v>
      </c>
      <c r="D44" s="4" t="n">
        <v>0.5</v>
      </c>
      <c r="E44" s="4" t="n">
        <v>23</v>
      </c>
      <c r="F44" s="4" t="n">
        <v>1.024</v>
      </c>
      <c r="G44" s="4">
        <f>ROUND(C44*D44*E44*F44,0)</f>
        <v/>
      </c>
    </row>
    <row r="45">
      <c r="A45" s="4" t="inlineStr">
        <is>
          <t>Pencere (G)</t>
        </is>
      </c>
      <c r="B45" s="4" t="n">
        <v>4.85</v>
      </c>
      <c r="C45" s="4" t="n">
        <v>4.07</v>
      </c>
      <c r="D45" s="4" t="n">
        <v>1.7</v>
      </c>
      <c r="E45" s="4" t="n">
        <v>23</v>
      </c>
      <c r="F45" s="4" t="n">
        <v>1.018</v>
      </c>
      <c r="G45" s="4">
        <f>ROUND(C45*D45*E45*F45,0)</f>
        <v/>
      </c>
    </row>
    <row r="46">
      <c r="A46" s="4" t="inlineStr">
        <is>
          <t>İç duvar (ısıtılmayan koridor)</t>
        </is>
      </c>
      <c r="B46" s="4" t="n">
        <v>4.85</v>
      </c>
      <c r="C46" s="4" t="n">
        <v>13.58</v>
      </c>
      <c r="D46" s="4" t="n">
        <v>1.2</v>
      </c>
      <c r="E46" s="4" t="n">
        <v>10</v>
      </c>
      <c r="F46" s="4" t="n">
        <v>1.068</v>
      </c>
      <c r="G46" s="4">
        <f>ROUND(C46*D46*E46*F46,0)</f>
        <v/>
      </c>
    </row>
    <row r="47">
      <c r="A47" s="4" t="inlineStr">
        <is>
          <t>Havalandırma/sızıntı n=1.0</t>
        </is>
      </c>
      <c r="B47" s="4" t="n"/>
      <c r="C47" s="4" t="n">
        <v>102.4</v>
      </c>
      <c r="D47" s="4" t="n">
        <v>0.34</v>
      </c>
      <c r="E47" s="4" t="n">
        <v>23</v>
      </c>
      <c r="F47" s="4" t="n">
        <v>1</v>
      </c>
      <c r="G47" s="4">
        <f>ROUND(C47*D47*E47*F47,0)</f>
        <v/>
      </c>
    </row>
    <row r="48">
      <c r="A48" s="4" t="inlineStr">
        <is>
          <t>Yeniden ısıtma payı (kesintili, 11 W/m²)</t>
        </is>
      </c>
      <c r="B48" s="4" t="n"/>
      <c r="C48" s="4" t="n">
        <v>36.59</v>
      </c>
      <c r="D48" s="4" t="n">
        <v>11</v>
      </c>
      <c r="E48" s="4" t="n">
        <v>1</v>
      </c>
      <c r="F48" s="4" t="n">
        <v>0.999</v>
      </c>
      <c r="G48" s="4">
        <f>ROUND(C48*D48*E48*F48,0)</f>
        <v/>
      </c>
    </row>
    <row r="49">
      <c r="F49" s="6" t="inlineStr">
        <is>
          <t>TOPLAM</t>
        </is>
      </c>
      <c r="G49" s="6">
        <f>SUM(G44:G48)</f>
        <v/>
      </c>
      <c r="H49">
        <f>G49/36.6</f>
        <v/>
      </c>
      <c r="I49" t="inlineStr">
        <is>
          <t>W/m²</t>
        </is>
      </c>
    </row>
    <row r="51">
      <c r="A51" s="6" t="inlineStr">
        <is>
          <t>1. KAT OFİS B3</t>
        </is>
      </c>
      <c r="D51" t="inlineStr">
        <is>
          <t>Net alan 37.1 m², hacim 103.9 m³</t>
        </is>
      </c>
    </row>
    <row r="52">
      <c r="A52" s="11" t="inlineStr">
        <is>
          <t>Eleman</t>
        </is>
      </c>
      <c r="B52" s="11" t="inlineStr">
        <is>
          <t>Uzunluk (m)</t>
        </is>
      </c>
      <c r="C52" s="11" t="inlineStr">
        <is>
          <t>Alan / Hacim</t>
        </is>
      </c>
      <c r="D52" s="11" t="inlineStr">
        <is>
          <t>U / katsayı</t>
        </is>
      </c>
      <c r="E52" s="11" t="inlineStr">
        <is>
          <t>ΔT (K)</t>
        </is>
      </c>
      <c r="F52" s="11" t="inlineStr">
        <is>
          <t>Zam çarpanı</t>
        </is>
      </c>
      <c r="G52" s="11" t="inlineStr">
        <is>
          <t>Q (W)</t>
        </is>
      </c>
    </row>
    <row r="53">
      <c r="A53" s="4" t="inlineStr">
        <is>
          <t>Dış duvar (ışıklık G)</t>
        </is>
      </c>
      <c r="B53" s="4" t="n">
        <v>4.92</v>
      </c>
      <c r="C53" s="4" t="n">
        <v>9.640000000000001</v>
      </c>
      <c r="D53" s="4" t="n">
        <v>0.5</v>
      </c>
      <c r="E53" s="4" t="n">
        <v>23</v>
      </c>
      <c r="F53" s="4" t="n">
        <v>1.019</v>
      </c>
      <c r="G53" s="4">
        <f>ROUND(C53*D53*E53*F53,0)</f>
        <v/>
      </c>
    </row>
    <row r="54">
      <c r="A54" s="4" t="inlineStr">
        <is>
          <t>Pencere (G)</t>
        </is>
      </c>
      <c r="B54" s="4" t="n">
        <v>4.92</v>
      </c>
      <c r="C54" s="4" t="n">
        <v>4.13</v>
      </c>
      <c r="D54" s="4" t="n">
        <v>1.7</v>
      </c>
      <c r="E54" s="4" t="n">
        <v>23</v>
      </c>
      <c r="F54" s="4" t="n">
        <v>1.022</v>
      </c>
      <c r="G54" s="4">
        <f>ROUND(C54*D54*E54*F54,0)</f>
        <v/>
      </c>
    </row>
    <row r="55">
      <c r="A55" s="4" t="inlineStr">
        <is>
          <t>İç duvar (ısıtılmayan koridor)</t>
        </is>
      </c>
      <c r="B55" s="4" t="n">
        <v>4.92</v>
      </c>
      <c r="C55" s="4" t="n">
        <v>13.78</v>
      </c>
      <c r="D55" s="4" t="n">
        <v>1.2</v>
      </c>
      <c r="E55" s="4" t="n">
        <v>10</v>
      </c>
      <c r="F55" s="4" t="n">
        <v>1.07</v>
      </c>
      <c r="G55" s="4">
        <f>ROUND(C55*D55*E55*F55,0)</f>
        <v/>
      </c>
    </row>
    <row r="56">
      <c r="A56" s="4" t="inlineStr">
        <is>
          <t>Havalandırma/sızıntı n=1.0</t>
        </is>
      </c>
      <c r="B56" s="4" t="n"/>
      <c r="C56" s="4" t="n">
        <v>103.9</v>
      </c>
      <c r="D56" s="4" t="n">
        <v>0.34</v>
      </c>
      <c r="E56" s="4" t="n">
        <v>23</v>
      </c>
      <c r="F56" s="4" t="n">
        <v>1.001</v>
      </c>
      <c r="G56" s="4">
        <f>ROUND(C56*D56*E56*F56,0)</f>
        <v/>
      </c>
    </row>
    <row r="57">
      <c r="A57" s="4" t="inlineStr">
        <is>
          <t>Yeniden ısıtma payı (kesintili, 11 W/m²)</t>
        </is>
      </c>
      <c r="B57" s="4" t="n"/>
      <c r="C57" s="4" t="n">
        <v>37.12</v>
      </c>
      <c r="D57" s="4" t="n">
        <v>11</v>
      </c>
      <c r="E57" s="4" t="n">
        <v>1</v>
      </c>
      <c r="F57" s="4" t="n">
        <v>0.999</v>
      </c>
      <c r="G57" s="4">
        <f>ROUND(C57*D57*E57*F57,0)</f>
        <v/>
      </c>
    </row>
    <row r="58">
      <c r="F58" s="6" t="inlineStr">
        <is>
          <t>TOPLAM</t>
        </is>
      </c>
      <c r="G58" s="6">
        <f>SUM(G53:G57)</f>
        <v/>
      </c>
      <c r="H58">
        <f>G58/37.1</f>
        <v/>
      </c>
      <c r="I58" t="inlineStr">
        <is>
          <t>W/m²</t>
        </is>
      </c>
    </row>
    <row r="60">
      <c r="A60" s="6" t="inlineStr">
        <is>
          <t>1. KAT OFİS C1</t>
        </is>
      </c>
      <c r="D60" t="inlineStr">
        <is>
          <t>Net alan 37.5 m², hacim 105.1 m³</t>
        </is>
      </c>
    </row>
    <row r="61">
      <c r="A61" s="11" t="inlineStr">
        <is>
          <t>Eleman</t>
        </is>
      </c>
      <c r="B61" s="11" t="inlineStr">
        <is>
          <t>Uzunluk (m)</t>
        </is>
      </c>
      <c r="C61" s="11" t="inlineStr">
        <is>
          <t>Alan / Hacim</t>
        </is>
      </c>
      <c r="D61" s="11" t="inlineStr">
        <is>
          <t>U / katsayı</t>
        </is>
      </c>
      <c r="E61" s="11" t="inlineStr">
        <is>
          <t>ΔT (K)</t>
        </is>
      </c>
      <c r="F61" s="11" t="inlineStr">
        <is>
          <t>Zam çarpanı</t>
        </is>
      </c>
      <c r="G61" s="11" t="inlineStr">
        <is>
          <t>Q (W)</t>
        </is>
      </c>
    </row>
    <row r="62">
      <c r="A62" s="4" t="inlineStr">
        <is>
          <t>İç duvar (ısıtılmayan koridor)</t>
        </is>
      </c>
      <c r="B62" s="4" t="n">
        <v>9.654687980457991</v>
      </c>
      <c r="C62" s="4" t="n">
        <v>27.03</v>
      </c>
      <c r="D62" s="4" t="n">
        <v>1.2</v>
      </c>
      <c r="E62" s="4" t="n">
        <v>10</v>
      </c>
      <c r="F62" s="4" t="n">
        <v>1.07</v>
      </c>
      <c r="G62" s="4">
        <f>ROUND(C62*D62*E62*F62,0)</f>
        <v/>
      </c>
    </row>
    <row r="63">
      <c r="A63" s="4" t="inlineStr">
        <is>
          <t>İç duvar (ısıtılmayan koridor)</t>
        </is>
      </c>
      <c r="B63" s="4" t="n">
        <v>4.58</v>
      </c>
      <c r="C63" s="4" t="n">
        <v>12.82</v>
      </c>
      <c r="D63" s="4" t="n">
        <v>1.2</v>
      </c>
      <c r="E63" s="4" t="n">
        <v>10</v>
      </c>
      <c r="F63" s="4" t="n">
        <v>1.073</v>
      </c>
      <c r="G63" s="4">
        <f>ROUND(C63*D63*E63*F63,0)</f>
        <v/>
      </c>
    </row>
    <row r="64">
      <c r="A64" s="4" t="inlineStr">
        <is>
          <t>Dış duvar (ışıklık K)</t>
        </is>
      </c>
      <c r="B64" s="4" t="n">
        <v>3.89</v>
      </c>
      <c r="C64" s="4" t="n">
        <v>7.62</v>
      </c>
      <c r="D64" s="4" t="n">
        <v>0.5</v>
      </c>
      <c r="E64" s="4" t="n">
        <v>23</v>
      </c>
      <c r="F64" s="4" t="n">
        <v>1.118</v>
      </c>
      <c r="G64" s="4">
        <f>ROUND(C64*D64*E64*F64,0)</f>
        <v/>
      </c>
    </row>
    <row r="65">
      <c r="A65" s="4" t="inlineStr">
        <is>
          <t>Pencere (K)</t>
        </is>
      </c>
      <c r="B65" s="4" t="n">
        <v>3.89</v>
      </c>
      <c r="C65" s="4" t="n">
        <v>3.27</v>
      </c>
      <c r="D65" s="4" t="n">
        <v>1.7</v>
      </c>
      <c r="E65" s="4" t="n">
        <v>23</v>
      </c>
      <c r="F65" s="4" t="n">
        <v>1.118</v>
      </c>
      <c r="G65" s="4">
        <f>ROUND(C65*D65*E65*F65,0)</f>
        <v/>
      </c>
    </row>
    <row r="66">
      <c r="A66" s="4" t="inlineStr">
        <is>
          <t>Havalandırma/sızıntı n=1.0</t>
        </is>
      </c>
      <c r="B66" s="4" t="n"/>
      <c r="C66" s="4" t="n">
        <v>105.1</v>
      </c>
      <c r="D66" s="4" t="n">
        <v>0.34</v>
      </c>
      <c r="E66" s="4" t="n">
        <v>23</v>
      </c>
      <c r="F66" s="4" t="n">
        <v>1</v>
      </c>
      <c r="G66" s="4">
        <f>ROUND(C66*D66*E66*F66,0)</f>
        <v/>
      </c>
    </row>
    <row r="67">
      <c r="A67" s="4" t="inlineStr">
        <is>
          <t>Yeniden ısıtma payı (kesintili, 11 W/m²)</t>
        </is>
      </c>
      <c r="B67" s="4" t="n"/>
      <c r="C67" s="4" t="n">
        <v>37.52</v>
      </c>
      <c r="D67" s="4" t="n">
        <v>11</v>
      </c>
      <c r="E67" s="4" t="n">
        <v>1</v>
      </c>
      <c r="F67" s="4" t="n">
        <v>1.001</v>
      </c>
      <c r="G67" s="4">
        <f>ROUND(C67*D67*E67*F67,0)</f>
        <v/>
      </c>
    </row>
    <row r="68">
      <c r="F68" s="6" t="inlineStr">
        <is>
          <t>TOPLAM</t>
        </is>
      </c>
      <c r="G68" s="6">
        <f>SUM(G62:G67)</f>
        <v/>
      </c>
      <c r="H68">
        <f>G68/37.5</f>
        <v/>
      </c>
      <c r="I68" t="inlineStr">
        <is>
          <t>W/m²</t>
        </is>
      </c>
    </row>
    <row r="70">
      <c r="A70" s="6" t="inlineStr">
        <is>
          <t>1. KAT OFİS C2</t>
        </is>
      </c>
      <c r="D70" t="inlineStr">
        <is>
          <t>Net alan 40.8 m², hacim 114.4 m³</t>
        </is>
      </c>
    </row>
    <row r="71">
      <c r="A71" s="11" t="inlineStr">
        <is>
          <t>Eleman</t>
        </is>
      </c>
      <c r="B71" s="11" t="inlineStr">
        <is>
          <t>Uzunluk (m)</t>
        </is>
      </c>
      <c r="C71" s="11" t="inlineStr">
        <is>
          <t>Alan / Hacim</t>
        </is>
      </c>
      <c r="D71" s="11" t="inlineStr">
        <is>
          <t>U / katsayı</t>
        </is>
      </c>
      <c r="E71" s="11" t="inlineStr">
        <is>
          <t>ΔT (K)</t>
        </is>
      </c>
      <c r="F71" s="11" t="inlineStr">
        <is>
          <t>Zam çarpanı</t>
        </is>
      </c>
      <c r="G71" s="11" t="inlineStr">
        <is>
          <t>Q (W)</t>
        </is>
      </c>
    </row>
    <row r="72">
      <c r="A72" s="4" t="inlineStr">
        <is>
          <t>İç duvar (ısıtılmayan koridor)</t>
        </is>
      </c>
      <c r="B72" s="4" t="n">
        <v>4.61</v>
      </c>
      <c r="C72" s="4" t="n">
        <v>12.91</v>
      </c>
      <c r="D72" s="4" t="n">
        <v>1.2</v>
      </c>
      <c r="E72" s="4" t="n">
        <v>10</v>
      </c>
      <c r="F72" s="4" t="n">
        <v>1.072</v>
      </c>
      <c r="G72" s="4">
        <f>ROUND(C72*D72*E72*F72,0)</f>
        <v/>
      </c>
    </row>
    <row r="73">
      <c r="A73" s="4" t="inlineStr">
        <is>
          <t>Dış duvar (ışıklık K)</t>
        </is>
      </c>
      <c r="B73" s="4" t="n">
        <v>4.61</v>
      </c>
      <c r="C73" s="4" t="n">
        <v>9.039999999999999</v>
      </c>
      <c r="D73" s="4" t="n">
        <v>0.5</v>
      </c>
      <c r="E73" s="4" t="n">
        <v>23</v>
      </c>
      <c r="F73" s="4" t="n">
        <v>1.116</v>
      </c>
      <c r="G73" s="4">
        <f>ROUND(C73*D73*E73*F73,0)</f>
        <v/>
      </c>
    </row>
    <row r="74">
      <c r="A74" s="4" t="inlineStr">
        <is>
          <t>Pencere (K)</t>
        </is>
      </c>
      <c r="B74" s="4" t="n">
        <v>4.61</v>
      </c>
      <c r="C74" s="4" t="n">
        <v>3.87</v>
      </c>
      <c r="D74" s="4" t="n">
        <v>1.7</v>
      </c>
      <c r="E74" s="4" t="n">
        <v>23</v>
      </c>
      <c r="F74" s="4" t="n">
        <v>1.123</v>
      </c>
      <c r="G74" s="4">
        <f>ROUND(C74*D74*E74*F74,0)</f>
        <v/>
      </c>
    </row>
    <row r="75">
      <c r="A75" s="4" t="inlineStr">
        <is>
          <t>Havalandırma/sızıntı n=1.0</t>
        </is>
      </c>
      <c r="B75" s="4" t="n"/>
      <c r="C75" s="4" t="n">
        <v>114.4</v>
      </c>
      <c r="D75" s="4" t="n">
        <v>0.34</v>
      </c>
      <c r="E75" s="4" t="n">
        <v>23</v>
      </c>
      <c r="F75" s="4" t="n">
        <v>0.999</v>
      </c>
      <c r="G75" s="4">
        <f>ROUND(C75*D75*E75*F75,0)</f>
        <v/>
      </c>
    </row>
    <row r="76">
      <c r="A76" s="4" t="inlineStr">
        <is>
          <t>Yeniden ısıtma payı (kesintili, 11 W/m²)</t>
        </is>
      </c>
      <c r="B76" s="4" t="n"/>
      <c r="C76" s="4" t="n">
        <v>40.84</v>
      </c>
      <c r="D76" s="4" t="n">
        <v>11</v>
      </c>
      <c r="E76" s="4" t="n">
        <v>1</v>
      </c>
      <c r="F76" s="4" t="n">
        <v>0.999</v>
      </c>
      <c r="G76" s="4">
        <f>ROUND(C76*D76*E76*F76,0)</f>
        <v/>
      </c>
    </row>
    <row r="77">
      <c r="F77" s="6" t="inlineStr">
        <is>
          <t>TOPLAM</t>
        </is>
      </c>
      <c r="G77" s="6">
        <f>SUM(G72:G76)</f>
        <v/>
      </c>
      <c r="H77">
        <f>G77/40.8</f>
        <v/>
      </c>
      <c r="I77" t="inlineStr">
        <is>
          <t>W/m²</t>
        </is>
      </c>
    </row>
    <row r="79">
      <c r="A79" s="6" t="inlineStr">
        <is>
          <t>1. KAT OFİS C3</t>
        </is>
      </c>
      <c r="D79" t="inlineStr">
        <is>
          <t>Net alan 37.0 m², hacim 103.6 m³</t>
        </is>
      </c>
    </row>
    <row r="80">
      <c r="A80" s="11" t="inlineStr">
        <is>
          <t>Eleman</t>
        </is>
      </c>
      <c r="B80" s="11" t="inlineStr">
        <is>
          <t>Uzunluk (m)</t>
        </is>
      </c>
      <c r="C80" s="11" t="inlineStr">
        <is>
          <t>Alan / Hacim</t>
        </is>
      </c>
      <c r="D80" s="11" t="inlineStr">
        <is>
          <t>U / katsayı</t>
        </is>
      </c>
      <c r="E80" s="11" t="inlineStr">
        <is>
          <t>ΔT (K)</t>
        </is>
      </c>
      <c r="F80" s="11" t="inlineStr">
        <is>
          <t>Zam çarpanı</t>
        </is>
      </c>
      <c r="G80" s="11" t="inlineStr">
        <is>
          <t>Q (W)</t>
        </is>
      </c>
    </row>
    <row r="81">
      <c r="A81" s="4" t="inlineStr">
        <is>
          <t>Dış duvar (ışıklık K)</t>
        </is>
      </c>
      <c r="B81" s="4" t="n">
        <v>4.667172591623326</v>
      </c>
      <c r="C81" s="4" t="n">
        <v>9.15</v>
      </c>
      <c r="D81" s="4" t="n">
        <v>0.5</v>
      </c>
      <c r="E81" s="4" t="n">
        <v>23</v>
      </c>
      <c r="F81" s="4" t="n">
        <v>1.121</v>
      </c>
      <c r="G81" s="4">
        <f>ROUND(C81*D81*E81*F81,0)</f>
        <v/>
      </c>
    </row>
    <row r="82">
      <c r="A82" s="4" t="inlineStr">
        <is>
          <t>Pencere (K)</t>
        </is>
      </c>
      <c r="B82" s="4" t="n">
        <v>4.667172591623326</v>
      </c>
      <c r="C82" s="4" t="n">
        <v>3.92</v>
      </c>
      <c r="D82" s="4" t="n">
        <v>1.7</v>
      </c>
      <c r="E82" s="4" t="n">
        <v>23</v>
      </c>
      <c r="F82" s="4" t="n">
        <v>1.122</v>
      </c>
      <c r="G82" s="4">
        <f>ROUND(C82*D82*E82*F82,0)</f>
        <v/>
      </c>
    </row>
    <row r="83">
      <c r="A83" s="4" t="inlineStr">
        <is>
          <t>Havalandırma/sızıntı n=1.0</t>
        </is>
      </c>
      <c r="B83" s="4" t="n"/>
      <c r="C83" s="4" t="n">
        <v>103.6</v>
      </c>
      <c r="D83" s="4" t="n">
        <v>0.34</v>
      </c>
      <c r="E83" s="4" t="n">
        <v>23</v>
      </c>
      <c r="F83" s="4" t="n">
        <v>1</v>
      </c>
      <c r="G83" s="4">
        <f>ROUND(C83*D83*E83*F83,0)</f>
        <v/>
      </c>
    </row>
    <row r="84">
      <c r="A84" s="4" t="inlineStr">
        <is>
          <t>Yeniden ısıtma payı (kesintili, 11 W/m²)</t>
        </is>
      </c>
      <c r="B84" s="4" t="n"/>
      <c r="C84" s="4" t="n">
        <v>36.99</v>
      </c>
      <c r="D84" s="4" t="n">
        <v>11</v>
      </c>
      <c r="E84" s="4" t="n">
        <v>1</v>
      </c>
      <c r="F84" s="4" t="n">
        <v>1</v>
      </c>
      <c r="G84" s="4">
        <f>ROUND(C84*D84*E84*F84,0)</f>
        <v/>
      </c>
    </row>
    <row r="85">
      <c r="F85" s="6" t="inlineStr">
        <is>
          <t>TOPLAM</t>
        </is>
      </c>
      <c r="G85" s="6">
        <f>SUM(G81:G84)</f>
        <v/>
      </c>
      <c r="H85">
        <f>G85/37.0</f>
        <v/>
      </c>
      <c r="I85" t="inlineStr">
        <is>
          <t>W/m²</t>
        </is>
      </c>
    </row>
    <row r="87">
      <c r="A87" s="6" t="inlineStr">
        <is>
          <t>1. KAT OFİS D1</t>
        </is>
      </c>
      <c r="D87" t="inlineStr">
        <is>
          <t>Net alan 51.1 m², hacim 143.0 m³</t>
        </is>
      </c>
    </row>
    <row r="88">
      <c r="A88" s="11" t="inlineStr">
        <is>
          <t>Eleman</t>
        </is>
      </c>
      <c r="B88" s="11" t="inlineStr">
        <is>
          <t>Uzunluk (m)</t>
        </is>
      </c>
      <c r="C88" s="11" t="inlineStr">
        <is>
          <t>Alan / Hacim</t>
        </is>
      </c>
      <c r="D88" s="11" t="inlineStr">
        <is>
          <t>U / katsayı</t>
        </is>
      </c>
      <c r="E88" s="11" t="inlineStr">
        <is>
          <t>ΔT (K)</t>
        </is>
      </c>
      <c r="F88" s="11" t="inlineStr">
        <is>
          <t>Zam çarpanı</t>
        </is>
      </c>
      <c r="G88" s="11" t="inlineStr">
        <is>
          <t>Q (W)</t>
        </is>
      </c>
    </row>
    <row r="89">
      <c r="A89" s="4" t="inlineStr">
        <is>
          <t>İç duvar (ısıtılmayan koridor)</t>
        </is>
      </c>
      <c r="B89" s="4" t="n">
        <v>11.08466508289718</v>
      </c>
      <c r="C89" s="4" t="n">
        <v>31.04</v>
      </c>
      <c r="D89" s="4" t="n">
        <v>1.2</v>
      </c>
      <c r="E89" s="4" t="n">
        <v>10</v>
      </c>
      <c r="F89" s="4" t="n">
        <v>1.071</v>
      </c>
      <c r="G89" s="4">
        <f>ROUND(C89*D89*E89*F89,0)</f>
        <v/>
      </c>
    </row>
    <row r="90">
      <c r="A90" s="4" t="inlineStr">
        <is>
          <t>İç duvar (ısıtılmayan koridor)</t>
        </is>
      </c>
      <c r="B90" s="4" t="n">
        <v>2.913314263858261</v>
      </c>
      <c r="C90" s="4" t="n">
        <v>8.16</v>
      </c>
      <c r="D90" s="4" t="n">
        <v>1.2</v>
      </c>
      <c r="E90" s="4" t="n">
        <v>10</v>
      </c>
      <c r="F90" s="4" t="n">
        <v>1.072</v>
      </c>
      <c r="G90" s="4">
        <f>ROUND(C90*D90*E90*F90,0)</f>
        <v/>
      </c>
    </row>
    <row r="91">
      <c r="A91" s="4" t="inlineStr">
        <is>
          <t>İç duvar (ısıtılmayan koridor)</t>
        </is>
      </c>
      <c r="B91" s="4" t="n">
        <v>2.704459280521709</v>
      </c>
      <c r="C91" s="4" t="n">
        <v>7.57</v>
      </c>
      <c r="D91" s="4" t="n">
        <v>1.2</v>
      </c>
      <c r="E91" s="4" t="n">
        <v>10</v>
      </c>
      <c r="F91" s="4" t="n">
        <v>1.068</v>
      </c>
      <c r="G91" s="4">
        <f>ROUND(C91*D91*E91*F91,0)</f>
        <v/>
      </c>
    </row>
    <row r="92">
      <c r="A92" s="4" t="inlineStr">
        <is>
          <t>İç duvar (ısıtılmayan koridor)</t>
        </is>
      </c>
      <c r="B92" s="4" t="n">
        <v>4.09</v>
      </c>
      <c r="C92" s="4" t="n">
        <v>11.45</v>
      </c>
      <c r="D92" s="4" t="n">
        <v>1.2</v>
      </c>
      <c r="E92" s="4" t="n">
        <v>10</v>
      </c>
      <c r="F92" s="4" t="n">
        <v>1.07</v>
      </c>
      <c r="G92" s="4">
        <f>ROUND(C92*D92*E92*F92,0)</f>
        <v/>
      </c>
    </row>
    <row r="93">
      <c r="A93" s="4" t="inlineStr">
        <is>
          <t>Havalandırma/sızıntı n=1.0</t>
        </is>
      </c>
      <c r="B93" s="4" t="n"/>
      <c r="C93" s="4" t="n">
        <v>143</v>
      </c>
      <c r="D93" s="4" t="n">
        <v>0.34</v>
      </c>
      <c r="E93" s="4" t="n">
        <v>23</v>
      </c>
      <c r="F93" s="4" t="n">
        <v>1</v>
      </c>
      <c r="G93" s="4">
        <f>ROUND(C93*D93*E93*F93,0)</f>
        <v/>
      </c>
    </row>
    <row r="94">
      <c r="A94" s="4" t="inlineStr">
        <is>
          <t>Yeniden ısıtma payı (kesintili, 11 W/m²)</t>
        </is>
      </c>
      <c r="B94" s="4" t="n"/>
      <c r="C94" s="4" t="n">
        <v>51.07</v>
      </c>
      <c r="D94" s="4" t="n">
        <v>11</v>
      </c>
      <c r="E94" s="4" t="n">
        <v>1</v>
      </c>
      <c r="F94" s="4" t="n">
        <v>1</v>
      </c>
      <c r="G94" s="4">
        <f>ROUND(C94*D94*E94*F94,0)</f>
        <v/>
      </c>
    </row>
    <row r="95">
      <c r="F95" s="6" t="inlineStr">
        <is>
          <t>TOPLAM</t>
        </is>
      </c>
      <c r="G95" s="6">
        <f>SUM(G89:G94)</f>
        <v/>
      </c>
      <c r="H95">
        <f>G95/51.1</f>
        <v/>
      </c>
      <c r="I95" t="inlineStr">
        <is>
          <t>W/m²</t>
        </is>
      </c>
    </row>
    <row r="97">
      <c r="A97" s="6" t="inlineStr">
        <is>
          <t>1. KAT OFİS D2</t>
        </is>
      </c>
      <c r="D97" t="inlineStr">
        <is>
          <t>Net alan 37.4 m², hacim 104.8 m³</t>
        </is>
      </c>
    </row>
    <row r="98">
      <c r="A98" s="11" t="inlineStr">
        <is>
          <t>Eleman</t>
        </is>
      </c>
      <c r="B98" s="11" t="inlineStr">
        <is>
          <t>Uzunluk (m)</t>
        </is>
      </c>
      <c r="C98" s="11" t="inlineStr">
        <is>
          <t>Alan / Hacim</t>
        </is>
      </c>
      <c r="D98" s="11" t="inlineStr">
        <is>
          <t>U / katsayı</t>
        </is>
      </c>
      <c r="E98" s="11" t="inlineStr">
        <is>
          <t>ΔT (K)</t>
        </is>
      </c>
      <c r="F98" s="11" t="inlineStr">
        <is>
          <t>Zam çarpanı</t>
        </is>
      </c>
      <c r="G98" s="11" t="inlineStr">
        <is>
          <t>Q (W)</t>
        </is>
      </c>
    </row>
    <row r="99">
      <c r="A99" s="4" t="inlineStr">
        <is>
          <t>Dış duvar (ışıklık G)</t>
        </is>
      </c>
      <c r="B99" s="4" t="n">
        <v>4.25</v>
      </c>
      <c r="C99" s="4" t="n">
        <v>8.33</v>
      </c>
      <c r="D99" s="4" t="n">
        <v>0.5</v>
      </c>
      <c r="E99" s="4" t="n">
        <v>23</v>
      </c>
      <c r="F99" s="4" t="n">
        <v>1.023</v>
      </c>
      <c r="G99" s="4">
        <f>ROUND(C99*D99*E99*F99,0)</f>
        <v/>
      </c>
    </row>
    <row r="100">
      <c r="A100" s="4" t="inlineStr">
        <is>
          <t>Pencere (G)</t>
        </is>
      </c>
      <c r="B100" s="4" t="n">
        <v>4.25</v>
      </c>
      <c r="C100" s="4" t="n">
        <v>3.57</v>
      </c>
      <c r="D100" s="4" t="n">
        <v>1.7</v>
      </c>
      <c r="E100" s="4" t="n">
        <v>23</v>
      </c>
      <c r="F100" s="4" t="n">
        <v>1.017</v>
      </c>
      <c r="G100" s="4">
        <f>ROUND(C100*D100*E100*F100,0)</f>
        <v/>
      </c>
    </row>
    <row r="101">
      <c r="A101" s="4" t="inlineStr">
        <is>
          <t>İç duvar (ısıtılmayan koridor)</t>
        </is>
      </c>
      <c r="B101" s="4" t="n">
        <v>4.25</v>
      </c>
      <c r="C101" s="4" t="n">
        <v>11.9</v>
      </c>
      <c r="D101" s="4" t="n">
        <v>1.2</v>
      </c>
      <c r="E101" s="4" t="n">
        <v>10</v>
      </c>
      <c r="F101" s="4" t="n">
        <v>1.071</v>
      </c>
      <c r="G101" s="4">
        <f>ROUND(C101*D101*E101*F101,0)</f>
        <v/>
      </c>
    </row>
    <row r="102">
      <c r="A102" s="4" t="inlineStr">
        <is>
          <t>Havalandırma/sızıntı n=1.0</t>
        </is>
      </c>
      <c r="B102" s="4" t="n"/>
      <c r="C102" s="4" t="n">
        <v>104.8</v>
      </c>
      <c r="D102" s="4" t="n">
        <v>0.34</v>
      </c>
      <c r="E102" s="4" t="n">
        <v>23</v>
      </c>
      <c r="F102" s="4" t="n">
        <v>0.999</v>
      </c>
      <c r="G102" s="4">
        <f>ROUND(C102*D102*E102*F102,0)</f>
        <v/>
      </c>
    </row>
    <row r="103">
      <c r="A103" s="4" t="inlineStr">
        <is>
          <t>Yeniden ısıtma payı (kesintili, 11 W/m²)</t>
        </is>
      </c>
      <c r="B103" s="4" t="n"/>
      <c r="C103" s="4" t="n">
        <v>37.42</v>
      </c>
      <c r="D103" s="4" t="n">
        <v>11</v>
      </c>
      <c r="E103" s="4" t="n">
        <v>1</v>
      </c>
      <c r="F103" s="4" t="n">
        <v>1.001</v>
      </c>
      <c r="G103" s="4">
        <f>ROUND(C103*D103*E103*F103,0)</f>
        <v/>
      </c>
    </row>
    <row r="104">
      <c r="F104" s="6" t="inlineStr">
        <is>
          <t>TOPLAM</t>
        </is>
      </c>
      <c r="G104" s="6">
        <f>SUM(G99:G103)</f>
        <v/>
      </c>
      <c r="H104">
        <f>G104/37.4</f>
        <v/>
      </c>
      <c r="I104" t="inlineStr">
        <is>
          <t>W/m²</t>
        </is>
      </c>
    </row>
    <row r="106">
      <c r="A106" s="6" t="inlineStr">
        <is>
          <t>1. KAT OFİS D3</t>
        </is>
      </c>
      <c r="D106" t="inlineStr">
        <is>
          <t>Net alan 39.7 m², hacim 111.2 m³</t>
        </is>
      </c>
    </row>
    <row r="107">
      <c r="A107" s="11" t="inlineStr">
        <is>
          <t>Eleman</t>
        </is>
      </c>
      <c r="B107" s="11" t="inlineStr">
        <is>
          <t>Uzunluk (m)</t>
        </is>
      </c>
      <c r="C107" s="11" t="inlineStr">
        <is>
          <t>Alan / Hacim</t>
        </is>
      </c>
      <c r="D107" s="11" t="inlineStr">
        <is>
          <t>U / katsayı</t>
        </is>
      </c>
      <c r="E107" s="11" t="inlineStr">
        <is>
          <t>ΔT (K)</t>
        </is>
      </c>
      <c r="F107" s="11" t="inlineStr">
        <is>
          <t>Zam çarpanı</t>
        </is>
      </c>
      <c r="G107" s="11" t="inlineStr">
        <is>
          <t>Q (W)</t>
        </is>
      </c>
    </row>
    <row r="108">
      <c r="A108" s="4" t="inlineStr">
        <is>
          <t>Dış duvar (ışıklık G)</t>
        </is>
      </c>
      <c r="B108" s="4" t="n">
        <v>3.74</v>
      </c>
      <c r="C108" s="4" t="n">
        <v>7.33</v>
      </c>
      <c r="D108" s="4" t="n">
        <v>0.5</v>
      </c>
      <c r="E108" s="4" t="n">
        <v>23</v>
      </c>
      <c r="F108" s="4" t="n">
        <v>1.02</v>
      </c>
      <c r="G108" s="4">
        <f>ROUND(C108*D108*E108*F108,0)</f>
        <v/>
      </c>
    </row>
    <row r="109">
      <c r="A109" s="4" t="inlineStr">
        <is>
          <t>Pencere (G)</t>
        </is>
      </c>
      <c r="B109" s="4" t="n">
        <v>3.74</v>
      </c>
      <c r="C109" s="4" t="n">
        <v>3.14</v>
      </c>
      <c r="D109" s="4" t="n">
        <v>1.7</v>
      </c>
      <c r="E109" s="4" t="n">
        <v>23</v>
      </c>
      <c r="F109" s="4" t="n">
        <v>1.018</v>
      </c>
      <c r="G109" s="4">
        <f>ROUND(C109*D109*E109*F109,0)</f>
        <v/>
      </c>
    </row>
    <row r="110">
      <c r="A110" s="4" t="inlineStr">
        <is>
          <t>İç duvar (ısıtılmayan koridor)</t>
        </is>
      </c>
      <c r="B110" s="4" t="n">
        <v>1.5</v>
      </c>
      <c r="C110" s="4" t="n">
        <v>4.2</v>
      </c>
      <c r="D110" s="4" t="n">
        <v>1.2</v>
      </c>
      <c r="E110" s="4" t="n">
        <v>10</v>
      </c>
      <c r="F110" s="4" t="n">
        <v>1.071</v>
      </c>
      <c r="G110" s="4">
        <f>ROUND(C110*D110*E110*F110,0)</f>
        <v/>
      </c>
    </row>
    <row r="111">
      <c r="A111" s="4" t="inlineStr">
        <is>
          <t>İç duvar (ısıtılmayan koridor)</t>
        </is>
      </c>
      <c r="B111" s="4" t="n">
        <v>2.67</v>
      </c>
      <c r="C111" s="4" t="n">
        <v>7.48</v>
      </c>
      <c r="D111" s="4" t="n">
        <v>1.2</v>
      </c>
      <c r="E111" s="4" t="n">
        <v>10</v>
      </c>
      <c r="F111" s="4" t="n">
        <v>1.07</v>
      </c>
      <c r="G111" s="4">
        <f>ROUND(C111*D111*E111*F111,0)</f>
        <v/>
      </c>
    </row>
    <row r="112">
      <c r="A112" s="4" t="inlineStr">
        <is>
          <t>Havalandırma/sızıntı n=1.0</t>
        </is>
      </c>
      <c r="B112" s="4" t="n"/>
      <c r="C112" s="4" t="n">
        <v>111.2</v>
      </c>
      <c r="D112" s="4" t="n">
        <v>0.34</v>
      </c>
      <c r="E112" s="4" t="n">
        <v>23</v>
      </c>
      <c r="F112" s="4" t="n">
        <v>0.999</v>
      </c>
      <c r="G112" s="4">
        <f>ROUND(C112*D112*E112*F112,0)</f>
        <v/>
      </c>
    </row>
    <row r="113">
      <c r="A113" s="4" t="inlineStr">
        <is>
          <t>Yeniden ısıtma payı (kesintili, 11 W/m²)</t>
        </is>
      </c>
      <c r="B113" s="4" t="n"/>
      <c r="C113" s="4" t="n">
        <v>39.7</v>
      </c>
      <c r="D113" s="4" t="n">
        <v>11</v>
      </c>
      <c r="E113" s="4" t="n">
        <v>1</v>
      </c>
      <c r="F113" s="4" t="n">
        <v>1.001</v>
      </c>
      <c r="G113" s="4">
        <f>ROUND(C113*D113*E113*F113,0)</f>
        <v/>
      </c>
    </row>
    <row r="114">
      <c r="F114" s="6" t="inlineStr">
        <is>
          <t>TOPLAM</t>
        </is>
      </c>
      <c r="G114" s="6">
        <f>SUM(G108:G113)</f>
        <v/>
      </c>
      <c r="H114">
        <f>G114/39.7</f>
        <v/>
      </c>
      <c r="I114" t="inlineStr">
        <is>
          <t>W/m²</t>
        </is>
      </c>
    </row>
    <row r="116">
      <c r="A116" s="6" t="inlineStr">
        <is>
          <t>1. KAT OFİS E1</t>
        </is>
      </c>
      <c r="D116" t="inlineStr">
        <is>
          <t>Net alan 69.5 m², hacim 194.7 m³</t>
        </is>
      </c>
    </row>
    <row r="117">
      <c r="A117" s="11" t="inlineStr">
        <is>
          <t>Eleman</t>
        </is>
      </c>
      <c r="B117" s="11" t="inlineStr">
        <is>
          <t>Uzunluk (m)</t>
        </is>
      </c>
      <c r="C117" s="11" t="inlineStr">
        <is>
          <t>Alan / Hacim</t>
        </is>
      </c>
      <c r="D117" s="11" t="inlineStr">
        <is>
          <t>U / katsayı</t>
        </is>
      </c>
      <c r="E117" s="11" t="inlineStr">
        <is>
          <t>ΔT (K)</t>
        </is>
      </c>
      <c r="F117" s="11" t="inlineStr">
        <is>
          <t>Zam çarpanı</t>
        </is>
      </c>
      <c r="G117" s="11" t="inlineStr">
        <is>
          <t>Q (W)</t>
        </is>
      </c>
    </row>
    <row r="118">
      <c r="A118" s="4" t="inlineStr">
        <is>
          <t>İç duvar (ısıtılmayan koridor)</t>
        </is>
      </c>
      <c r="B118" s="4" t="n">
        <v>1.57</v>
      </c>
      <c r="C118" s="4" t="n">
        <v>4.4</v>
      </c>
      <c r="D118" s="4" t="n">
        <v>1.2</v>
      </c>
      <c r="E118" s="4" t="n">
        <v>10</v>
      </c>
      <c r="F118" s="4" t="n">
        <v>1.061</v>
      </c>
      <c r="G118" s="4">
        <f>ROUND(C118*D118*E118*F118,0)</f>
        <v/>
      </c>
    </row>
    <row r="119">
      <c r="A119" s="4" t="inlineStr">
        <is>
          <t>İç duvar (ısıtılmayan koridor)</t>
        </is>
      </c>
      <c r="B119" s="4" t="n">
        <v>1.85</v>
      </c>
      <c r="C119" s="4" t="n">
        <v>5.18</v>
      </c>
      <c r="D119" s="4" t="n">
        <v>1.2</v>
      </c>
      <c r="E119" s="4" t="n">
        <v>10</v>
      </c>
      <c r="F119" s="4" t="n">
        <v>1.078</v>
      </c>
      <c r="G119" s="4">
        <f>ROUND(C119*D119*E119*F119,0)</f>
        <v/>
      </c>
    </row>
    <row r="120">
      <c r="A120" s="4" t="inlineStr">
        <is>
          <t>İç duvar (ısıtılmayan koridor)</t>
        </is>
      </c>
      <c r="B120" s="4" t="n">
        <v>11.36430376221966</v>
      </c>
      <c r="C120" s="4" t="n">
        <v>31.82</v>
      </c>
      <c r="D120" s="4" t="n">
        <v>1.2</v>
      </c>
      <c r="E120" s="4" t="n">
        <v>10</v>
      </c>
      <c r="F120" s="4" t="n">
        <v>1.071</v>
      </c>
      <c r="G120" s="4">
        <f>ROUND(C120*D120*E120*F120,0)</f>
        <v/>
      </c>
    </row>
    <row r="121">
      <c r="A121" s="4" t="inlineStr">
        <is>
          <t>Dış duvar (cephe G)</t>
        </is>
      </c>
      <c r="B121" s="4" t="n">
        <v>5.287059674336956</v>
      </c>
      <c r="C121" s="4" t="n">
        <v>9.619999999999999</v>
      </c>
      <c r="D121" s="4" t="n">
        <v>0.5</v>
      </c>
      <c r="E121" s="4" t="n">
        <v>23</v>
      </c>
      <c r="F121" s="4" t="n">
        <v>1.021</v>
      </c>
      <c r="G121" s="4">
        <f>ROUND(C121*D121*E121*F121,0)</f>
        <v/>
      </c>
    </row>
    <row r="122">
      <c r="A122" s="4" t="inlineStr">
        <is>
          <t>Pencere (G)</t>
        </is>
      </c>
      <c r="B122" s="4" t="n">
        <v>5.287059674336956</v>
      </c>
      <c r="C122" s="4" t="n">
        <v>5.18</v>
      </c>
      <c r="D122" s="4" t="n">
        <v>1.7</v>
      </c>
      <c r="E122" s="4" t="n">
        <v>23</v>
      </c>
      <c r="F122" s="4" t="n">
        <v>1.022</v>
      </c>
      <c r="G122" s="4">
        <f>ROUND(C122*D122*E122*F122,0)</f>
        <v/>
      </c>
    </row>
    <row r="123">
      <c r="A123" s="4" t="inlineStr">
        <is>
          <t>İç duvar (ısıtılmayan koridor)</t>
        </is>
      </c>
      <c r="B123" s="4" t="n">
        <v>4.66</v>
      </c>
      <c r="C123" s="4" t="n">
        <v>13.05</v>
      </c>
      <c r="D123" s="4" t="n">
        <v>1.2</v>
      </c>
      <c r="E123" s="4" t="n">
        <v>10</v>
      </c>
      <c r="F123" s="4" t="n">
        <v>1.073</v>
      </c>
      <c r="G123" s="4">
        <f>ROUND(C123*D123*E123*F123,0)</f>
        <v/>
      </c>
    </row>
    <row r="124">
      <c r="A124" s="4" t="inlineStr">
        <is>
          <t>Havalandırma/sızıntı n=1.0</t>
        </is>
      </c>
      <c r="B124" s="4" t="n"/>
      <c r="C124" s="4" t="n">
        <v>194.7</v>
      </c>
      <c r="D124" s="4" t="n">
        <v>0.34</v>
      </c>
      <c r="E124" s="4" t="n">
        <v>23</v>
      </c>
      <c r="F124" s="4" t="n">
        <v>1</v>
      </c>
      <c r="G124" s="4">
        <f>ROUND(C124*D124*E124*F124,0)</f>
        <v/>
      </c>
    </row>
    <row r="125">
      <c r="A125" s="4" t="inlineStr">
        <is>
          <t>Yeniden ısıtma payı (kesintili, 11 W/m²)</t>
        </is>
      </c>
      <c r="B125" s="4" t="n"/>
      <c r="C125" s="4" t="n">
        <v>69.52</v>
      </c>
      <c r="D125" s="4" t="n">
        <v>11</v>
      </c>
      <c r="E125" s="4" t="n">
        <v>1</v>
      </c>
      <c r="F125" s="4" t="n">
        <v>1</v>
      </c>
      <c r="G125" s="4">
        <f>ROUND(C125*D125*E125*F125,0)</f>
        <v/>
      </c>
    </row>
    <row r="126">
      <c r="F126" s="6" t="inlineStr">
        <is>
          <t>TOPLAM</t>
        </is>
      </c>
      <c r="G126" s="6">
        <f>SUM(G118:G125)</f>
        <v/>
      </c>
      <c r="H126">
        <f>G126/69.5</f>
        <v/>
      </c>
      <c r="I126" t="inlineStr">
        <is>
          <t>W/m²</t>
        </is>
      </c>
    </row>
    <row r="128">
      <c r="A128" s="6" t="inlineStr">
        <is>
          <t>1. KAT OFİS E2</t>
        </is>
      </c>
      <c r="D128" t="inlineStr">
        <is>
          <t>Net alan 69.6 m², hacim 195.0 m³</t>
        </is>
      </c>
    </row>
    <row r="129">
      <c r="A129" s="11" t="inlineStr">
        <is>
          <t>Eleman</t>
        </is>
      </c>
      <c r="B129" s="11" t="inlineStr">
        <is>
          <t>Uzunluk (m)</t>
        </is>
      </c>
      <c r="C129" s="11" t="inlineStr">
        <is>
          <t>Alan / Hacim</t>
        </is>
      </c>
      <c r="D129" s="11" t="inlineStr">
        <is>
          <t>U / katsayı</t>
        </is>
      </c>
      <c r="E129" s="11" t="inlineStr">
        <is>
          <t>ΔT (K)</t>
        </is>
      </c>
      <c r="F129" s="11" t="inlineStr">
        <is>
          <t>Zam çarpanı</t>
        </is>
      </c>
      <c r="G129" s="11" t="inlineStr">
        <is>
          <t>Q (W)</t>
        </is>
      </c>
    </row>
    <row r="130">
      <c r="A130" s="4" t="inlineStr">
        <is>
          <t>Dış duvar (cephe G)</t>
        </is>
      </c>
      <c r="B130" s="4" t="n">
        <v>5.338108279156578</v>
      </c>
      <c r="C130" s="4" t="n">
        <v>9.720000000000001</v>
      </c>
      <c r="D130" s="4" t="n">
        <v>0.5</v>
      </c>
      <c r="E130" s="4" t="n">
        <v>23</v>
      </c>
      <c r="F130" s="4" t="n">
        <v>1.02</v>
      </c>
      <c r="G130" s="4">
        <f>ROUND(C130*D130*E130*F130,0)</f>
        <v/>
      </c>
    </row>
    <row r="131">
      <c r="A131" s="4" t="inlineStr">
        <is>
          <t>Pencere (G)</t>
        </is>
      </c>
      <c r="B131" s="4" t="n">
        <v>5.338108279156578</v>
      </c>
      <c r="C131" s="4" t="n">
        <v>5.23</v>
      </c>
      <c r="D131" s="4" t="n">
        <v>1.7</v>
      </c>
      <c r="E131" s="4" t="n">
        <v>23</v>
      </c>
      <c r="F131" s="4" t="n">
        <v>1.022</v>
      </c>
      <c r="G131" s="4">
        <f>ROUND(C131*D131*E131*F131,0)</f>
        <v/>
      </c>
    </row>
    <row r="132">
      <c r="A132" s="4" t="inlineStr">
        <is>
          <t>İç duvar (ısıtılmayan koridor)</t>
        </is>
      </c>
      <c r="B132" s="4" t="n">
        <v>4.59</v>
      </c>
      <c r="C132" s="4" t="n">
        <v>12.85</v>
      </c>
      <c r="D132" s="4" t="n">
        <v>1.2</v>
      </c>
      <c r="E132" s="4" t="n">
        <v>10</v>
      </c>
      <c r="F132" s="4" t="n">
        <v>1.07</v>
      </c>
      <c r="G132" s="4">
        <f>ROUND(C132*D132*E132*F132,0)</f>
        <v/>
      </c>
    </row>
    <row r="133">
      <c r="A133" s="4" t="inlineStr">
        <is>
          <t>Havalandırma/sızıntı n=1.0</t>
        </is>
      </c>
      <c r="B133" s="4" t="n"/>
      <c r="C133" s="4" t="n">
        <v>195</v>
      </c>
      <c r="D133" s="4" t="n">
        <v>0.34</v>
      </c>
      <c r="E133" s="4" t="n">
        <v>23</v>
      </c>
      <c r="F133" s="4" t="n">
        <v>1</v>
      </c>
      <c r="G133" s="4">
        <f>ROUND(C133*D133*E133*F133,0)</f>
        <v/>
      </c>
    </row>
    <row r="134">
      <c r="A134" s="4" t="inlineStr">
        <is>
          <t>Yeniden ısıtma payı (kesintili, 11 W/m²)</t>
        </is>
      </c>
      <c r="B134" s="4" t="n"/>
      <c r="C134" s="4" t="n">
        <v>69.65000000000001</v>
      </c>
      <c r="D134" s="4" t="n">
        <v>11</v>
      </c>
      <c r="E134" s="4" t="n">
        <v>1</v>
      </c>
      <c r="F134" s="4" t="n">
        <v>1</v>
      </c>
      <c r="G134" s="4">
        <f>ROUND(C134*D134*E134*F134,0)</f>
        <v/>
      </c>
    </row>
    <row r="135">
      <c r="F135" s="6" t="inlineStr">
        <is>
          <t>TOPLAM</t>
        </is>
      </c>
      <c r="G135" s="6">
        <f>SUM(G130:G134)</f>
        <v/>
      </c>
      <c r="H135">
        <f>G135/69.6</f>
        <v/>
      </c>
      <c r="I135" t="inlineStr">
        <is>
          <t>W/m²</t>
        </is>
      </c>
    </row>
    <row r="137">
      <c r="A137" s="6" t="inlineStr">
        <is>
          <t>2. KAT OFİS A1</t>
        </is>
      </c>
      <c r="D137" t="inlineStr">
        <is>
          <t>Net alan 65.1 m², hacim 182.2 m³</t>
        </is>
      </c>
    </row>
    <row r="138">
      <c r="A138" s="11" t="inlineStr">
        <is>
          <t>Eleman</t>
        </is>
      </c>
      <c r="B138" s="11" t="inlineStr">
        <is>
          <t>Uzunluk (m)</t>
        </is>
      </c>
      <c r="C138" s="11" t="inlineStr">
        <is>
          <t>Alan / Hacim</t>
        </is>
      </c>
      <c r="D138" s="11" t="inlineStr">
        <is>
          <t>U / katsayı</t>
        </is>
      </c>
      <c r="E138" s="11" t="inlineStr">
        <is>
          <t>ΔT (K)</t>
        </is>
      </c>
      <c r="F138" s="11" t="inlineStr">
        <is>
          <t>Zam çarpanı</t>
        </is>
      </c>
      <c r="G138" s="11" t="inlineStr">
        <is>
          <t>Q (W)</t>
        </is>
      </c>
    </row>
    <row r="139">
      <c r="A139" s="4" t="inlineStr">
        <is>
          <t>İç duvar (ısıtılmayan koridor)</t>
        </is>
      </c>
      <c r="B139" s="4" t="n">
        <v>5.85</v>
      </c>
      <c r="C139" s="4" t="n">
        <v>16.38</v>
      </c>
      <c r="D139" s="4" t="n">
        <v>1.2</v>
      </c>
      <c r="E139" s="4" t="n">
        <v>10</v>
      </c>
      <c r="F139" s="4" t="n">
        <v>1.068</v>
      </c>
      <c r="G139" s="4">
        <f>ROUND(C139*D139*E139*F139,0)</f>
        <v/>
      </c>
    </row>
    <row r="140">
      <c r="A140" s="4" t="inlineStr">
        <is>
          <t>Dış duvar (cephe K)</t>
        </is>
      </c>
      <c r="B140" s="4" t="n">
        <v>5.85</v>
      </c>
      <c r="C140" s="4" t="n">
        <v>10.65</v>
      </c>
      <c r="D140" s="4" t="n">
        <v>0.5</v>
      </c>
      <c r="E140" s="4" t="n">
        <v>23</v>
      </c>
      <c r="F140" s="4" t="n">
        <v>1.119</v>
      </c>
      <c r="G140" s="4">
        <f>ROUND(C140*D140*E140*F140,0)</f>
        <v/>
      </c>
    </row>
    <row r="141">
      <c r="A141" s="4" t="inlineStr">
        <is>
          <t>Pencere (K)</t>
        </is>
      </c>
      <c r="B141" s="4" t="n">
        <v>5.85</v>
      </c>
      <c r="C141" s="4" t="n">
        <v>5.73</v>
      </c>
      <c r="D141" s="4" t="n">
        <v>1.7</v>
      </c>
      <c r="E141" s="4" t="n">
        <v>23</v>
      </c>
      <c r="F141" s="4" t="n">
        <v>1.12</v>
      </c>
      <c r="G141" s="4">
        <f>ROUND(C141*D141*E141*F141,0)</f>
        <v/>
      </c>
    </row>
    <row r="142">
      <c r="A142" s="4" t="inlineStr">
        <is>
          <t>Çatı döşemesi</t>
        </is>
      </c>
      <c r="B142" s="4" t="n"/>
      <c r="C142" s="4" t="n">
        <v>65.06999999999999</v>
      </c>
      <c r="D142" s="4" t="n">
        <v>0.35</v>
      </c>
      <c r="E142" s="4" t="n">
        <v>23</v>
      </c>
      <c r="F142" s="4" t="n">
        <v>1.069</v>
      </c>
      <c r="G142" s="4">
        <f>ROUND(C142*D142*E142*F142,0)</f>
        <v/>
      </c>
    </row>
    <row r="143">
      <c r="A143" s="4" t="inlineStr">
        <is>
          <t>Havalandırma/sızıntı n=1.0</t>
        </is>
      </c>
      <c r="B143" s="4" t="n"/>
      <c r="C143" s="4" t="n">
        <v>182.2</v>
      </c>
      <c r="D143" s="4" t="n">
        <v>0.34</v>
      </c>
      <c r="E143" s="4" t="n">
        <v>23</v>
      </c>
      <c r="F143" s="4" t="n">
        <v>1</v>
      </c>
      <c r="G143" s="4">
        <f>ROUND(C143*D143*E143*F143,0)</f>
        <v/>
      </c>
    </row>
    <row r="144">
      <c r="A144" s="4" t="inlineStr">
        <is>
          <t>Yeniden ısıtma payı (kesintili, 11 W/m²)</t>
        </is>
      </c>
      <c r="B144" s="4" t="n"/>
      <c r="C144" s="4" t="n">
        <v>65.06999999999999</v>
      </c>
      <c r="D144" s="4" t="n">
        <v>11</v>
      </c>
      <c r="E144" s="4" t="n">
        <v>1</v>
      </c>
      <c r="F144" s="4" t="n">
        <v>1</v>
      </c>
      <c r="G144" s="4">
        <f>ROUND(C144*D144*E144*F144,0)</f>
        <v/>
      </c>
    </row>
    <row r="145">
      <c r="F145" s="6" t="inlineStr">
        <is>
          <t>TOPLAM</t>
        </is>
      </c>
      <c r="G145" s="6">
        <f>SUM(G139:G144)</f>
        <v/>
      </c>
      <c r="H145">
        <f>G145/65.1</f>
        <v/>
      </c>
      <c r="I145" t="inlineStr">
        <is>
          <t>W/m²</t>
        </is>
      </c>
    </row>
    <row r="147">
      <c r="A147" s="6" t="inlineStr">
        <is>
          <t>2. KAT OFİS A2</t>
        </is>
      </c>
      <c r="D147" t="inlineStr">
        <is>
          <t>Net alan 65.1 m², hacim 182.2 m³</t>
        </is>
      </c>
    </row>
    <row r="148">
      <c r="A148" s="11" t="inlineStr">
        <is>
          <t>Eleman</t>
        </is>
      </c>
      <c r="B148" s="11" t="inlineStr">
        <is>
          <t>Uzunluk (m)</t>
        </is>
      </c>
      <c r="C148" s="11" t="inlineStr">
        <is>
          <t>Alan / Hacim</t>
        </is>
      </c>
      <c r="D148" s="11" t="inlineStr">
        <is>
          <t>U / katsayı</t>
        </is>
      </c>
      <c r="E148" s="11" t="inlineStr">
        <is>
          <t>ΔT (K)</t>
        </is>
      </c>
      <c r="F148" s="11" t="inlineStr">
        <is>
          <t>Zam çarpanı</t>
        </is>
      </c>
      <c r="G148" s="11" t="inlineStr">
        <is>
          <t>Q (W)</t>
        </is>
      </c>
    </row>
    <row r="149">
      <c r="A149" s="4" t="inlineStr">
        <is>
          <t>İç duvar (ısıtılmayan koridor)</t>
        </is>
      </c>
      <c r="B149" s="4" t="n">
        <v>5.85</v>
      </c>
      <c r="C149" s="4" t="n">
        <v>16.38</v>
      </c>
      <c r="D149" s="4" t="n">
        <v>1.2</v>
      </c>
      <c r="E149" s="4" t="n">
        <v>10</v>
      </c>
      <c r="F149" s="4" t="n">
        <v>1.068</v>
      </c>
      <c r="G149" s="4">
        <f>ROUND(C149*D149*E149*F149,0)</f>
        <v/>
      </c>
    </row>
    <row r="150">
      <c r="A150" s="4" t="inlineStr">
        <is>
          <t>Dış duvar (cephe K)</t>
        </is>
      </c>
      <c r="B150" s="4" t="n">
        <v>5.85</v>
      </c>
      <c r="C150" s="4" t="n">
        <v>10.65</v>
      </c>
      <c r="D150" s="4" t="n">
        <v>0.5</v>
      </c>
      <c r="E150" s="4" t="n">
        <v>23</v>
      </c>
      <c r="F150" s="4" t="n">
        <v>1.119</v>
      </c>
      <c r="G150" s="4">
        <f>ROUND(C150*D150*E150*F150,0)</f>
        <v/>
      </c>
    </row>
    <row r="151">
      <c r="A151" s="4" t="inlineStr">
        <is>
          <t>Pencere (K)</t>
        </is>
      </c>
      <c r="B151" s="4" t="n">
        <v>5.85</v>
      </c>
      <c r="C151" s="4" t="n">
        <v>5.73</v>
      </c>
      <c r="D151" s="4" t="n">
        <v>1.7</v>
      </c>
      <c r="E151" s="4" t="n">
        <v>23</v>
      </c>
      <c r="F151" s="4" t="n">
        <v>1.12</v>
      </c>
      <c r="G151" s="4">
        <f>ROUND(C151*D151*E151*F151,0)</f>
        <v/>
      </c>
    </row>
    <row r="152">
      <c r="A152" s="4" t="inlineStr">
        <is>
          <t>Çatı döşemesi</t>
        </is>
      </c>
      <c r="B152" s="4" t="n"/>
      <c r="C152" s="4" t="n">
        <v>65.06999999999999</v>
      </c>
      <c r="D152" s="4" t="n">
        <v>0.35</v>
      </c>
      <c r="E152" s="4" t="n">
        <v>23</v>
      </c>
      <c r="F152" s="4" t="n">
        <v>1.069</v>
      </c>
      <c r="G152" s="4">
        <f>ROUND(C152*D152*E152*F152,0)</f>
        <v/>
      </c>
    </row>
    <row r="153">
      <c r="A153" s="4" t="inlineStr">
        <is>
          <t>Havalandırma/sızıntı n=1.0</t>
        </is>
      </c>
      <c r="B153" s="4" t="n"/>
      <c r="C153" s="4" t="n">
        <v>182.2</v>
      </c>
      <c r="D153" s="4" t="n">
        <v>0.34</v>
      </c>
      <c r="E153" s="4" t="n">
        <v>23</v>
      </c>
      <c r="F153" s="4" t="n">
        <v>1</v>
      </c>
      <c r="G153" s="4">
        <f>ROUND(C153*D153*E153*F153,0)</f>
        <v/>
      </c>
    </row>
    <row r="154">
      <c r="A154" s="4" t="inlineStr">
        <is>
          <t>Yeniden ısıtma payı (kesintili, 11 W/m²)</t>
        </is>
      </c>
      <c r="B154" s="4" t="n"/>
      <c r="C154" s="4" t="n">
        <v>65.06999999999999</v>
      </c>
      <c r="D154" s="4" t="n">
        <v>11</v>
      </c>
      <c r="E154" s="4" t="n">
        <v>1</v>
      </c>
      <c r="F154" s="4" t="n">
        <v>1</v>
      </c>
      <c r="G154" s="4">
        <f>ROUND(C154*D154*E154*F154,0)</f>
        <v/>
      </c>
    </row>
    <row r="155">
      <c r="F155" s="6" t="inlineStr">
        <is>
          <t>TOPLAM</t>
        </is>
      </c>
      <c r="G155" s="6">
        <f>SUM(G149:G154)</f>
        <v/>
      </c>
      <c r="H155">
        <f>G155/65.1</f>
        <v/>
      </c>
      <c r="I155" t="inlineStr">
        <is>
          <t>W/m²</t>
        </is>
      </c>
    </row>
    <row r="157">
      <c r="A157" s="6" t="inlineStr">
        <is>
          <t>2. KAT OFİS A3</t>
        </is>
      </c>
      <c r="D157" t="inlineStr">
        <is>
          <t>Net alan 66.1 m², hacim 185.0 m³</t>
        </is>
      </c>
    </row>
    <row r="158">
      <c r="A158" s="11" t="inlineStr">
        <is>
          <t>Eleman</t>
        </is>
      </c>
      <c r="B158" s="11" t="inlineStr">
        <is>
          <t>Uzunluk (m)</t>
        </is>
      </c>
      <c r="C158" s="11" t="inlineStr">
        <is>
          <t>Alan / Hacim</t>
        </is>
      </c>
      <c r="D158" s="11" t="inlineStr">
        <is>
          <t>U / katsayı</t>
        </is>
      </c>
      <c r="E158" s="11" t="inlineStr">
        <is>
          <t>ΔT (K)</t>
        </is>
      </c>
      <c r="F158" s="11" t="inlineStr">
        <is>
          <t>Zam çarpanı</t>
        </is>
      </c>
      <c r="G158" s="11" t="inlineStr">
        <is>
          <t>Q (W)</t>
        </is>
      </c>
    </row>
    <row r="159">
      <c r="A159" s="4" t="inlineStr">
        <is>
          <t>İç duvar (ısıtılmayan koridor)</t>
        </is>
      </c>
      <c r="B159" s="4" t="n">
        <v>5.94</v>
      </c>
      <c r="C159" s="4" t="n">
        <v>16.63</v>
      </c>
      <c r="D159" s="4" t="n">
        <v>1.2</v>
      </c>
      <c r="E159" s="4" t="n">
        <v>10</v>
      </c>
      <c r="F159" s="4" t="n">
        <v>1.072</v>
      </c>
      <c r="G159" s="4">
        <f>ROUND(C159*D159*E159*F159,0)</f>
        <v/>
      </c>
    </row>
    <row r="160">
      <c r="A160" s="4" t="inlineStr">
        <is>
          <t>Dış duvar (cephe K)</t>
        </is>
      </c>
      <c r="B160" s="4" t="n">
        <v>5.94</v>
      </c>
      <c r="C160" s="4" t="n">
        <v>10.81</v>
      </c>
      <c r="D160" s="4" t="n">
        <v>0.5</v>
      </c>
      <c r="E160" s="4" t="n">
        <v>23</v>
      </c>
      <c r="F160" s="4" t="n">
        <v>1.118</v>
      </c>
      <c r="G160" s="4">
        <f>ROUND(C160*D160*E160*F160,0)</f>
        <v/>
      </c>
    </row>
    <row r="161">
      <c r="A161" s="4" t="inlineStr">
        <is>
          <t>Pencere (K)</t>
        </is>
      </c>
      <c r="B161" s="4" t="n">
        <v>5.94</v>
      </c>
      <c r="C161" s="4" t="n">
        <v>5.82</v>
      </c>
      <c r="D161" s="4" t="n">
        <v>1.7</v>
      </c>
      <c r="E161" s="4" t="n">
        <v>23</v>
      </c>
      <c r="F161" s="4" t="n">
        <v>1.121</v>
      </c>
      <c r="G161" s="4">
        <f>ROUND(C161*D161*E161*F161,0)</f>
        <v/>
      </c>
    </row>
    <row r="162">
      <c r="A162" s="4" t="inlineStr">
        <is>
          <t>Çatı döşemesi</t>
        </is>
      </c>
      <c r="B162" s="4" t="n"/>
      <c r="C162" s="4" t="n">
        <v>66.06999999999999</v>
      </c>
      <c r="D162" s="4" t="n">
        <v>0.35</v>
      </c>
      <c r="E162" s="4" t="n">
        <v>23</v>
      </c>
      <c r="F162" s="4" t="n">
        <v>1.07</v>
      </c>
      <c r="G162" s="4">
        <f>ROUND(C162*D162*E162*F162,0)</f>
        <v/>
      </c>
    </row>
    <row r="163">
      <c r="A163" s="4" t="inlineStr">
        <is>
          <t>Havalandırma/sızıntı n=1.0</t>
        </is>
      </c>
      <c r="B163" s="4" t="n"/>
      <c r="C163" s="4" t="n">
        <v>185</v>
      </c>
      <c r="D163" s="4" t="n">
        <v>0.34</v>
      </c>
      <c r="E163" s="4" t="n">
        <v>23</v>
      </c>
      <c r="F163" s="4" t="n">
        <v>1</v>
      </c>
      <c r="G163" s="4">
        <f>ROUND(C163*D163*E163*F163,0)</f>
        <v/>
      </c>
    </row>
    <row r="164">
      <c r="A164" s="4" t="inlineStr">
        <is>
          <t>Yeniden ısıtma payı (kesintili, 11 W/m²)</t>
        </is>
      </c>
      <c r="B164" s="4" t="n"/>
      <c r="C164" s="4" t="n">
        <v>66.06999999999999</v>
      </c>
      <c r="D164" s="4" t="n">
        <v>11</v>
      </c>
      <c r="E164" s="4" t="n">
        <v>1</v>
      </c>
      <c r="F164" s="4" t="n">
        <v>1</v>
      </c>
      <c r="G164" s="4">
        <f>ROUND(C164*D164*E164*F164,0)</f>
        <v/>
      </c>
    </row>
    <row r="165">
      <c r="F165" s="6" t="inlineStr">
        <is>
          <t>TOPLAM</t>
        </is>
      </c>
      <c r="G165" s="6">
        <f>SUM(G159:G164)</f>
        <v/>
      </c>
      <c r="H165">
        <f>G165/66.1</f>
        <v/>
      </c>
      <c r="I165" t="inlineStr">
        <is>
          <t>W/m²</t>
        </is>
      </c>
    </row>
    <row r="167">
      <c r="A167" s="6" t="inlineStr">
        <is>
          <t>2. KAT OFİS B1</t>
        </is>
      </c>
      <c r="D167" t="inlineStr">
        <is>
          <t>Net alan 36.6 m², hacim 102.4 m³</t>
        </is>
      </c>
    </row>
    <row r="168">
      <c r="A168" s="11" t="inlineStr">
        <is>
          <t>Eleman</t>
        </is>
      </c>
      <c r="B168" s="11" t="inlineStr">
        <is>
          <t>Uzunluk (m)</t>
        </is>
      </c>
      <c r="C168" s="11" t="inlineStr">
        <is>
          <t>Alan / Hacim</t>
        </is>
      </c>
      <c r="D168" s="11" t="inlineStr">
        <is>
          <t>U / katsayı</t>
        </is>
      </c>
      <c r="E168" s="11" t="inlineStr">
        <is>
          <t>ΔT (K)</t>
        </is>
      </c>
      <c r="F168" s="11" t="inlineStr">
        <is>
          <t>Zam çarpanı</t>
        </is>
      </c>
      <c r="G168" s="11" t="inlineStr">
        <is>
          <t>Q (W)</t>
        </is>
      </c>
    </row>
    <row r="169">
      <c r="A169" s="4" t="inlineStr">
        <is>
          <t>İç duvar (ısıtılmayan koridor)</t>
        </is>
      </c>
      <c r="B169" s="4" t="n">
        <v>8.199999999999999</v>
      </c>
      <c r="C169" s="4" t="n">
        <v>22.96</v>
      </c>
      <c r="D169" s="4" t="n">
        <v>1.2</v>
      </c>
      <c r="E169" s="4" t="n">
        <v>10</v>
      </c>
      <c r="F169" s="4" t="n">
        <v>1.071</v>
      </c>
      <c r="G169" s="4">
        <f>ROUND(C169*D169*E169*F169,0)</f>
        <v/>
      </c>
    </row>
    <row r="170">
      <c r="A170" s="4" t="inlineStr">
        <is>
          <t>İç duvar (ısıtılmayan koridor)</t>
        </is>
      </c>
      <c r="B170" s="4" t="n">
        <v>4.85</v>
      </c>
      <c r="C170" s="4" t="n">
        <v>13.58</v>
      </c>
      <c r="D170" s="4" t="n">
        <v>1.2</v>
      </c>
      <c r="E170" s="4" t="n">
        <v>10</v>
      </c>
      <c r="F170" s="4" t="n">
        <v>1.068</v>
      </c>
      <c r="G170" s="4">
        <f>ROUND(C170*D170*E170*F170,0)</f>
        <v/>
      </c>
    </row>
    <row r="171">
      <c r="A171" s="4" t="inlineStr">
        <is>
          <t>İç duvar (ısıtılmayan koridor)</t>
        </is>
      </c>
      <c r="B171" s="4" t="n">
        <v>4.85</v>
      </c>
      <c r="C171" s="4" t="n">
        <v>13.58</v>
      </c>
      <c r="D171" s="4" t="n">
        <v>1.2</v>
      </c>
      <c r="E171" s="4" t="n">
        <v>10</v>
      </c>
      <c r="F171" s="4" t="n">
        <v>1.068</v>
      </c>
      <c r="G171" s="4">
        <f>ROUND(C171*D171*E171*F171,0)</f>
        <v/>
      </c>
    </row>
    <row r="172">
      <c r="A172" s="4" t="inlineStr">
        <is>
          <t>Çatı döşemesi</t>
        </is>
      </c>
      <c r="B172" s="4" t="n"/>
      <c r="C172" s="4" t="n">
        <v>36.59</v>
      </c>
      <c r="D172" s="4" t="n">
        <v>0.35</v>
      </c>
      <c r="E172" s="4" t="n">
        <v>23</v>
      </c>
      <c r="F172" s="4" t="n">
        <v>1.069</v>
      </c>
      <c r="G172" s="4">
        <f>ROUND(C172*D172*E172*F172,0)</f>
        <v/>
      </c>
    </row>
    <row r="173">
      <c r="A173" s="4" t="inlineStr">
        <is>
          <t>Havalandırma/sızıntı n=1.0</t>
        </is>
      </c>
      <c r="B173" s="4" t="n"/>
      <c r="C173" s="4" t="n">
        <v>102.4</v>
      </c>
      <c r="D173" s="4" t="n">
        <v>0.34</v>
      </c>
      <c r="E173" s="4" t="n">
        <v>23</v>
      </c>
      <c r="F173" s="4" t="n">
        <v>1</v>
      </c>
      <c r="G173" s="4">
        <f>ROUND(C173*D173*E173*F173,0)</f>
        <v/>
      </c>
    </row>
    <row r="174">
      <c r="A174" s="4" t="inlineStr">
        <is>
          <t>Yeniden ısıtma payı (kesintili, 11 W/m²)</t>
        </is>
      </c>
      <c r="B174" s="4" t="n"/>
      <c r="C174" s="4" t="n">
        <v>36.59</v>
      </c>
      <c r="D174" s="4" t="n">
        <v>11</v>
      </c>
      <c r="E174" s="4" t="n">
        <v>1</v>
      </c>
      <c r="F174" s="4" t="n">
        <v>0.999</v>
      </c>
      <c r="G174" s="4">
        <f>ROUND(C174*D174*E174*F174,0)</f>
        <v/>
      </c>
    </row>
    <row r="175">
      <c r="F175" s="6" t="inlineStr">
        <is>
          <t>TOPLAM</t>
        </is>
      </c>
      <c r="G175" s="6">
        <f>SUM(G169:G174)</f>
        <v/>
      </c>
      <c r="H175">
        <f>G175/36.6</f>
        <v/>
      </c>
      <c r="I175" t="inlineStr">
        <is>
          <t>W/m²</t>
        </is>
      </c>
    </row>
    <row r="177">
      <c r="A177" s="6" t="inlineStr">
        <is>
          <t>2. KAT OFİS B2</t>
        </is>
      </c>
      <c r="D177" t="inlineStr">
        <is>
          <t>Net alan 36.6 m², hacim 102.4 m³</t>
        </is>
      </c>
    </row>
    <row r="178">
      <c r="A178" s="11" t="inlineStr">
        <is>
          <t>Eleman</t>
        </is>
      </c>
      <c r="B178" s="11" t="inlineStr">
        <is>
          <t>Uzunluk (m)</t>
        </is>
      </c>
      <c r="C178" s="11" t="inlineStr">
        <is>
          <t>Alan / Hacim</t>
        </is>
      </c>
      <c r="D178" s="11" t="inlineStr">
        <is>
          <t>U / katsayı</t>
        </is>
      </c>
      <c r="E178" s="11" t="inlineStr">
        <is>
          <t>ΔT (K)</t>
        </is>
      </c>
      <c r="F178" s="11" t="inlineStr">
        <is>
          <t>Zam çarpanı</t>
        </is>
      </c>
      <c r="G178" s="11" t="inlineStr">
        <is>
          <t>Q (W)</t>
        </is>
      </c>
    </row>
    <row r="179">
      <c r="A179" s="4" t="inlineStr">
        <is>
          <t>İç duvar (ısıtılmayan koridor)</t>
        </is>
      </c>
      <c r="B179" s="4" t="n">
        <v>4.85</v>
      </c>
      <c r="C179" s="4" t="n">
        <v>13.58</v>
      </c>
      <c r="D179" s="4" t="n">
        <v>1.2</v>
      </c>
      <c r="E179" s="4" t="n">
        <v>10</v>
      </c>
      <c r="F179" s="4" t="n">
        <v>1.068</v>
      </c>
      <c r="G179" s="4">
        <f>ROUND(C179*D179*E179*F179,0)</f>
        <v/>
      </c>
    </row>
    <row r="180">
      <c r="A180" s="4" t="inlineStr">
        <is>
          <t>İç duvar (ısıtılmayan koridor)</t>
        </is>
      </c>
      <c r="B180" s="4" t="n">
        <v>4.85</v>
      </c>
      <c r="C180" s="4" t="n">
        <v>13.58</v>
      </c>
      <c r="D180" s="4" t="n">
        <v>1.2</v>
      </c>
      <c r="E180" s="4" t="n">
        <v>10</v>
      </c>
      <c r="F180" s="4" t="n">
        <v>1.068</v>
      </c>
      <c r="G180" s="4">
        <f>ROUND(C180*D180*E180*F180,0)</f>
        <v/>
      </c>
    </row>
    <row r="181">
      <c r="A181" s="4" t="inlineStr">
        <is>
          <t>Çatı döşemesi</t>
        </is>
      </c>
      <c r="B181" s="4" t="n"/>
      <c r="C181" s="4" t="n">
        <v>36.59</v>
      </c>
      <c r="D181" s="4" t="n">
        <v>0.35</v>
      </c>
      <c r="E181" s="4" t="n">
        <v>23</v>
      </c>
      <c r="F181" s="4" t="n">
        <v>1.069</v>
      </c>
      <c r="G181" s="4">
        <f>ROUND(C181*D181*E181*F181,0)</f>
        <v/>
      </c>
    </row>
    <row r="182">
      <c r="A182" s="4" t="inlineStr">
        <is>
          <t>Havalandırma/sızıntı n=1.0</t>
        </is>
      </c>
      <c r="B182" s="4" t="n"/>
      <c r="C182" s="4" t="n">
        <v>102.4</v>
      </c>
      <c r="D182" s="4" t="n">
        <v>0.34</v>
      </c>
      <c r="E182" s="4" t="n">
        <v>23</v>
      </c>
      <c r="F182" s="4" t="n">
        <v>1</v>
      </c>
      <c r="G182" s="4">
        <f>ROUND(C182*D182*E182*F182,0)</f>
        <v/>
      </c>
    </row>
    <row r="183">
      <c r="A183" s="4" t="inlineStr">
        <is>
          <t>Yeniden ısıtma payı (kesintili, 11 W/m²)</t>
        </is>
      </c>
      <c r="B183" s="4" t="n"/>
      <c r="C183" s="4" t="n">
        <v>36.59</v>
      </c>
      <c r="D183" s="4" t="n">
        <v>11</v>
      </c>
      <c r="E183" s="4" t="n">
        <v>1</v>
      </c>
      <c r="F183" s="4" t="n">
        <v>0.999</v>
      </c>
      <c r="G183" s="4">
        <f>ROUND(C183*D183*E183*F183,0)</f>
        <v/>
      </c>
    </row>
    <row r="184">
      <c r="F184" s="6" t="inlineStr">
        <is>
          <t>TOPLAM</t>
        </is>
      </c>
      <c r="G184" s="6">
        <f>SUM(G179:G183)</f>
        <v/>
      </c>
      <c r="H184">
        <f>G184/36.6</f>
        <v/>
      </c>
      <c r="I184" t="inlineStr">
        <is>
          <t>W/m²</t>
        </is>
      </c>
    </row>
    <row r="186">
      <c r="A186" s="6" t="inlineStr">
        <is>
          <t>2. KAT OFİS B3</t>
        </is>
      </c>
      <c r="D186" t="inlineStr">
        <is>
          <t>Net alan 37.1 m², hacim 103.9 m³</t>
        </is>
      </c>
    </row>
    <row r="187">
      <c r="A187" s="11" t="inlineStr">
        <is>
          <t>Eleman</t>
        </is>
      </c>
      <c r="B187" s="11" t="inlineStr">
        <is>
          <t>Uzunluk (m)</t>
        </is>
      </c>
      <c r="C187" s="11" t="inlineStr">
        <is>
          <t>Alan / Hacim</t>
        </is>
      </c>
      <c r="D187" s="11" t="inlineStr">
        <is>
          <t>U / katsayı</t>
        </is>
      </c>
      <c r="E187" s="11" t="inlineStr">
        <is>
          <t>ΔT (K)</t>
        </is>
      </c>
      <c r="F187" s="11" t="inlineStr">
        <is>
          <t>Zam çarpanı</t>
        </is>
      </c>
      <c r="G187" s="11" t="inlineStr">
        <is>
          <t>Q (W)</t>
        </is>
      </c>
    </row>
    <row r="188">
      <c r="A188" s="4" t="inlineStr">
        <is>
          <t>İç duvar (ısıtılmayan koridor)</t>
        </is>
      </c>
      <c r="B188" s="4" t="n">
        <v>4.92</v>
      </c>
      <c r="C188" s="4" t="n">
        <v>13.78</v>
      </c>
      <c r="D188" s="4" t="n">
        <v>1.2</v>
      </c>
      <c r="E188" s="4" t="n">
        <v>10</v>
      </c>
      <c r="F188" s="4" t="n">
        <v>1.07</v>
      </c>
      <c r="G188" s="4">
        <f>ROUND(C188*D188*E188*F188,0)</f>
        <v/>
      </c>
    </row>
    <row r="189">
      <c r="A189" s="4" t="inlineStr">
        <is>
          <t>İç duvar (ısıtılmayan koridor)</t>
        </is>
      </c>
      <c r="B189" s="4" t="n">
        <v>4.92</v>
      </c>
      <c r="C189" s="4" t="n">
        <v>13.78</v>
      </c>
      <c r="D189" s="4" t="n">
        <v>1.2</v>
      </c>
      <c r="E189" s="4" t="n">
        <v>10</v>
      </c>
      <c r="F189" s="4" t="n">
        <v>1.07</v>
      </c>
      <c r="G189" s="4">
        <f>ROUND(C189*D189*E189*F189,0)</f>
        <v/>
      </c>
    </row>
    <row r="190">
      <c r="A190" s="4" t="inlineStr">
        <is>
          <t>Çatı döşemesi</t>
        </is>
      </c>
      <c r="B190" s="4" t="n"/>
      <c r="C190" s="4" t="n">
        <v>37.12</v>
      </c>
      <c r="D190" s="4" t="n">
        <v>0.35</v>
      </c>
      <c r="E190" s="4" t="n">
        <v>23</v>
      </c>
      <c r="F190" s="4" t="n">
        <v>1.071</v>
      </c>
      <c r="G190" s="4">
        <f>ROUND(C190*D190*E190*F190,0)</f>
        <v/>
      </c>
    </row>
    <row r="191">
      <c r="A191" s="4" t="inlineStr">
        <is>
          <t>Havalandırma/sızıntı n=1.0</t>
        </is>
      </c>
      <c r="B191" s="4" t="n"/>
      <c r="C191" s="4" t="n">
        <v>103.9</v>
      </c>
      <c r="D191" s="4" t="n">
        <v>0.34</v>
      </c>
      <c r="E191" s="4" t="n">
        <v>23</v>
      </c>
      <c r="F191" s="4" t="n">
        <v>1.001</v>
      </c>
      <c r="G191" s="4">
        <f>ROUND(C191*D191*E191*F191,0)</f>
        <v/>
      </c>
    </row>
    <row r="192">
      <c r="A192" s="4" t="inlineStr">
        <is>
          <t>Yeniden ısıtma payı (kesintili, 11 W/m²)</t>
        </is>
      </c>
      <c r="B192" s="4" t="n"/>
      <c r="C192" s="4" t="n">
        <v>37.12</v>
      </c>
      <c r="D192" s="4" t="n">
        <v>11</v>
      </c>
      <c r="E192" s="4" t="n">
        <v>1</v>
      </c>
      <c r="F192" s="4" t="n">
        <v>0.999</v>
      </c>
      <c r="G192" s="4">
        <f>ROUND(C192*D192*E192*F192,0)</f>
        <v/>
      </c>
    </row>
    <row r="193">
      <c r="F193" s="6" t="inlineStr">
        <is>
          <t>TOPLAM</t>
        </is>
      </c>
      <c r="G193" s="6">
        <f>SUM(G188:G192)</f>
        <v/>
      </c>
      <c r="H193">
        <f>G193/37.1</f>
        <v/>
      </c>
      <c r="I193" t="inlineStr">
        <is>
          <t>W/m²</t>
        </is>
      </c>
    </row>
    <row r="195">
      <c r="A195" s="6" t="inlineStr">
        <is>
          <t>2. KAT OFİS C1</t>
        </is>
      </c>
      <c r="D195" t="inlineStr">
        <is>
          <t>Net alan 37.5 m², hacim 105.1 m³</t>
        </is>
      </c>
    </row>
    <row r="196">
      <c r="A196" s="11" t="inlineStr">
        <is>
          <t>Eleman</t>
        </is>
      </c>
      <c r="B196" s="11" t="inlineStr">
        <is>
          <t>Uzunluk (m)</t>
        </is>
      </c>
      <c r="C196" s="11" t="inlineStr">
        <is>
          <t>Alan / Hacim</t>
        </is>
      </c>
      <c r="D196" s="11" t="inlineStr">
        <is>
          <t>U / katsayı</t>
        </is>
      </c>
      <c r="E196" s="11" t="inlineStr">
        <is>
          <t>ΔT (K)</t>
        </is>
      </c>
      <c r="F196" s="11" t="inlineStr">
        <is>
          <t>Zam çarpanı</t>
        </is>
      </c>
      <c r="G196" s="11" t="inlineStr">
        <is>
          <t>Q (W)</t>
        </is>
      </c>
    </row>
    <row r="197">
      <c r="A197" s="4" t="inlineStr">
        <is>
          <t>İç duvar (ısıtılmayan koridor)</t>
        </is>
      </c>
      <c r="B197" s="4" t="n">
        <v>9.654687980457991</v>
      </c>
      <c r="C197" s="4" t="n">
        <v>27.03</v>
      </c>
      <c r="D197" s="4" t="n">
        <v>1.2</v>
      </c>
      <c r="E197" s="4" t="n">
        <v>10</v>
      </c>
      <c r="F197" s="4" t="n">
        <v>1.07</v>
      </c>
      <c r="G197" s="4">
        <f>ROUND(C197*D197*E197*F197,0)</f>
        <v/>
      </c>
    </row>
    <row r="198">
      <c r="A198" s="4" t="inlineStr">
        <is>
          <t>İç duvar (ısıtılmayan koridor)</t>
        </is>
      </c>
      <c r="B198" s="4" t="n">
        <v>4.58</v>
      </c>
      <c r="C198" s="4" t="n">
        <v>12.82</v>
      </c>
      <c r="D198" s="4" t="n">
        <v>1.2</v>
      </c>
      <c r="E198" s="4" t="n">
        <v>10</v>
      </c>
      <c r="F198" s="4" t="n">
        <v>1.073</v>
      </c>
      <c r="G198" s="4">
        <f>ROUND(C198*D198*E198*F198,0)</f>
        <v/>
      </c>
    </row>
    <row r="199">
      <c r="A199" s="4" t="inlineStr">
        <is>
          <t>İç duvar (ısıtılmayan koridor)</t>
        </is>
      </c>
      <c r="B199" s="4" t="n">
        <v>3.89</v>
      </c>
      <c r="C199" s="4" t="n">
        <v>10.89</v>
      </c>
      <c r="D199" s="4" t="n">
        <v>1.2</v>
      </c>
      <c r="E199" s="4" t="n">
        <v>10</v>
      </c>
      <c r="F199" s="4" t="n">
        <v>1.071</v>
      </c>
      <c r="G199" s="4">
        <f>ROUND(C199*D199*E199*F199,0)</f>
        <v/>
      </c>
    </row>
    <row r="200">
      <c r="A200" s="4" t="inlineStr">
        <is>
          <t>Çatı döşemesi</t>
        </is>
      </c>
      <c r="B200" s="4" t="n"/>
      <c r="C200" s="4" t="n">
        <v>37.52</v>
      </c>
      <c r="D200" s="4" t="n">
        <v>0.35</v>
      </c>
      <c r="E200" s="4" t="n">
        <v>23</v>
      </c>
      <c r="F200" s="4" t="n">
        <v>1.069</v>
      </c>
      <c r="G200" s="4">
        <f>ROUND(C200*D200*E200*F200,0)</f>
        <v/>
      </c>
    </row>
    <row r="201">
      <c r="A201" s="4" t="inlineStr">
        <is>
          <t>Havalandırma/sızıntı n=1.0</t>
        </is>
      </c>
      <c r="B201" s="4" t="n"/>
      <c r="C201" s="4" t="n">
        <v>105.1</v>
      </c>
      <c r="D201" s="4" t="n">
        <v>0.34</v>
      </c>
      <c r="E201" s="4" t="n">
        <v>23</v>
      </c>
      <c r="F201" s="4" t="n">
        <v>1</v>
      </c>
      <c r="G201" s="4">
        <f>ROUND(C201*D201*E201*F201,0)</f>
        <v/>
      </c>
    </row>
    <row r="202">
      <c r="A202" s="4" t="inlineStr">
        <is>
          <t>Yeniden ısıtma payı (kesintili, 11 W/m²)</t>
        </is>
      </c>
      <c r="B202" s="4" t="n"/>
      <c r="C202" s="4" t="n">
        <v>37.52</v>
      </c>
      <c r="D202" s="4" t="n">
        <v>11</v>
      </c>
      <c r="E202" s="4" t="n">
        <v>1</v>
      </c>
      <c r="F202" s="4" t="n">
        <v>1.001</v>
      </c>
      <c r="G202" s="4">
        <f>ROUND(C202*D202*E202*F202,0)</f>
        <v/>
      </c>
    </row>
    <row r="203">
      <c r="F203" s="6" t="inlineStr">
        <is>
          <t>TOPLAM</t>
        </is>
      </c>
      <c r="G203" s="6">
        <f>SUM(G197:G202)</f>
        <v/>
      </c>
      <c r="H203">
        <f>G203/37.5</f>
        <v/>
      </c>
      <c r="I203" t="inlineStr">
        <is>
          <t>W/m²</t>
        </is>
      </c>
    </row>
    <row r="205">
      <c r="A205" s="6" t="inlineStr">
        <is>
          <t>2. KAT OFİS C2</t>
        </is>
      </c>
      <c r="D205" t="inlineStr">
        <is>
          <t>Net alan 40.8 m², hacim 114.4 m³</t>
        </is>
      </c>
    </row>
    <row r="206">
      <c r="A206" s="11" t="inlineStr">
        <is>
          <t>Eleman</t>
        </is>
      </c>
      <c r="B206" s="11" t="inlineStr">
        <is>
          <t>Uzunluk (m)</t>
        </is>
      </c>
      <c r="C206" s="11" t="inlineStr">
        <is>
          <t>Alan / Hacim</t>
        </is>
      </c>
      <c r="D206" s="11" t="inlineStr">
        <is>
          <t>U / katsayı</t>
        </is>
      </c>
      <c r="E206" s="11" t="inlineStr">
        <is>
          <t>ΔT (K)</t>
        </is>
      </c>
      <c r="F206" s="11" t="inlineStr">
        <is>
          <t>Zam çarpanı</t>
        </is>
      </c>
      <c r="G206" s="11" t="inlineStr">
        <is>
          <t>Q (W)</t>
        </is>
      </c>
    </row>
    <row r="207">
      <c r="A207" s="4" t="inlineStr">
        <is>
          <t>İç duvar (ısıtılmayan koridor)</t>
        </is>
      </c>
      <c r="B207" s="4" t="n">
        <v>4.61</v>
      </c>
      <c r="C207" s="4" t="n">
        <v>12.91</v>
      </c>
      <c r="D207" s="4" t="n">
        <v>1.2</v>
      </c>
      <c r="E207" s="4" t="n">
        <v>10</v>
      </c>
      <c r="F207" s="4" t="n">
        <v>1.072</v>
      </c>
      <c r="G207" s="4">
        <f>ROUND(C207*D207*E207*F207,0)</f>
        <v/>
      </c>
    </row>
    <row r="208">
      <c r="A208" s="4" t="inlineStr">
        <is>
          <t>İç duvar (ısıtılmayan koridor)</t>
        </is>
      </c>
      <c r="B208" s="4" t="n">
        <v>4.61</v>
      </c>
      <c r="C208" s="4" t="n">
        <v>12.91</v>
      </c>
      <c r="D208" s="4" t="n">
        <v>1.2</v>
      </c>
      <c r="E208" s="4" t="n">
        <v>10</v>
      </c>
      <c r="F208" s="4" t="n">
        <v>1.072</v>
      </c>
      <c r="G208" s="4">
        <f>ROUND(C208*D208*E208*F208,0)</f>
        <v/>
      </c>
    </row>
    <row r="209">
      <c r="A209" s="4" t="inlineStr">
        <is>
          <t>Çatı döşemesi</t>
        </is>
      </c>
      <c r="B209" s="4" t="n"/>
      <c r="C209" s="4" t="n">
        <v>40.84</v>
      </c>
      <c r="D209" s="4" t="n">
        <v>0.35</v>
      </c>
      <c r="E209" s="4" t="n">
        <v>23</v>
      </c>
      <c r="F209" s="4" t="n">
        <v>1.071</v>
      </c>
      <c r="G209" s="4">
        <f>ROUND(C209*D209*E209*F209,0)</f>
        <v/>
      </c>
    </row>
    <row r="210">
      <c r="A210" s="4" t="inlineStr">
        <is>
          <t>Havalandırma/sızıntı n=1.0</t>
        </is>
      </c>
      <c r="B210" s="4" t="n"/>
      <c r="C210" s="4" t="n">
        <v>114.4</v>
      </c>
      <c r="D210" s="4" t="n">
        <v>0.34</v>
      </c>
      <c r="E210" s="4" t="n">
        <v>23</v>
      </c>
      <c r="F210" s="4" t="n">
        <v>0.999</v>
      </c>
      <c r="G210" s="4">
        <f>ROUND(C210*D210*E210*F210,0)</f>
        <v/>
      </c>
    </row>
    <row r="211">
      <c r="A211" s="4" t="inlineStr">
        <is>
          <t>Yeniden ısıtma payı (kesintili, 11 W/m²)</t>
        </is>
      </c>
      <c r="B211" s="4" t="n"/>
      <c r="C211" s="4" t="n">
        <v>40.84</v>
      </c>
      <c r="D211" s="4" t="n">
        <v>11</v>
      </c>
      <c r="E211" s="4" t="n">
        <v>1</v>
      </c>
      <c r="F211" s="4" t="n">
        <v>0.999</v>
      </c>
      <c r="G211" s="4">
        <f>ROUND(C211*D211*E211*F211,0)</f>
        <v/>
      </c>
    </row>
    <row r="212">
      <c r="F212" s="6" t="inlineStr">
        <is>
          <t>TOPLAM</t>
        </is>
      </c>
      <c r="G212" s="6">
        <f>SUM(G207:G211)</f>
        <v/>
      </c>
      <c r="H212">
        <f>G212/40.8</f>
        <v/>
      </c>
      <c r="I212" t="inlineStr">
        <is>
          <t>W/m²</t>
        </is>
      </c>
    </row>
    <row r="214">
      <c r="A214" s="6" t="inlineStr">
        <is>
          <t>2. KAT OFİS C3</t>
        </is>
      </c>
      <c r="D214" t="inlineStr">
        <is>
          <t>Net alan 37.0 m², hacim 103.6 m³</t>
        </is>
      </c>
    </row>
    <row r="215">
      <c r="A215" s="11" t="inlineStr">
        <is>
          <t>Eleman</t>
        </is>
      </c>
      <c r="B215" s="11" t="inlineStr">
        <is>
          <t>Uzunluk (m)</t>
        </is>
      </c>
      <c r="C215" s="11" t="inlineStr">
        <is>
          <t>Alan / Hacim</t>
        </is>
      </c>
      <c r="D215" s="11" t="inlineStr">
        <is>
          <t>U / katsayı</t>
        </is>
      </c>
      <c r="E215" s="11" t="inlineStr">
        <is>
          <t>ΔT (K)</t>
        </is>
      </c>
      <c r="F215" s="11" t="inlineStr">
        <is>
          <t>Zam çarpanı</t>
        </is>
      </c>
      <c r="G215" s="11" t="inlineStr">
        <is>
          <t>Q (W)</t>
        </is>
      </c>
    </row>
    <row r="216">
      <c r="A216" s="4" t="inlineStr">
        <is>
          <t>İç duvar (ısıtılmayan koridor)</t>
        </is>
      </c>
      <c r="B216" s="4" t="n">
        <v>4.667172591623326</v>
      </c>
      <c r="C216" s="4" t="n">
        <v>13.07</v>
      </c>
      <c r="D216" s="4" t="n">
        <v>1.2</v>
      </c>
      <c r="E216" s="4" t="n">
        <v>10</v>
      </c>
      <c r="F216" s="4" t="n">
        <v>1.071</v>
      </c>
      <c r="G216" s="4">
        <f>ROUND(C216*D216*E216*F216,0)</f>
        <v/>
      </c>
    </row>
    <row r="217">
      <c r="A217" s="4" t="inlineStr">
        <is>
          <t>Çatı döşemesi</t>
        </is>
      </c>
      <c r="B217" s="4" t="n"/>
      <c r="C217" s="4" t="n">
        <v>36.99</v>
      </c>
      <c r="D217" s="4" t="n">
        <v>0.35</v>
      </c>
      <c r="E217" s="4" t="n">
        <v>23</v>
      </c>
      <c r="F217" s="4" t="n">
        <v>1.071</v>
      </c>
      <c r="G217" s="4">
        <f>ROUND(C217*D217*E217*F217,0)</f>
        <v/>
      </c>
    </row>
    <row r="218">
      <c r="A218" s="4" t="inlineStr">
        <is>
          <t>Havalandırma/sızıntı n=1.0</t>
        </is>
      </c>
      <c r="B218" s="4" t="n"/>
      <c r="C218" s="4" t="n">
        <v>103.6</v>
      </c>
      <c r="D218" s="4" t="n">
        <v>0.34</v>
      </c>
      <c r="E218" s="4" t="n">
        <v>23</v>
      </c>
      <c r="F218" s="4" t="n">
        <v>1</v>
      </c>
      <c r="G218" s="4">
        <f>ROUND(C218*D218*E218*F218,0)</f>
        <v/>
      </c>
    </row>
    <row r="219">
      <c r="A219" s="4" t="inlineStr">
        <is>
          <t>Yeniden ısıtma payı (kesintili, 11 W/m²)</t>
        </is>
      </c>
      <c r="B219" s="4" t="n"/>
      <c r="C219" s="4" t="n">
        <v>36.99</v>
      </c>
      <c r="D219" s="4" t="n">
        <v>11</v>
      </c>
      <c r="E219" s="4" t="n">
        <v>1</v>
      </c>
      <c r="F219" s="4" t="n">
        <v>1</v>
      </c>
      <c r="G219" s="4">
        <f>ROUND(C219*D219*E219*F219,0)</f>
        <v/>
      </c>
    </row>
    <row r="220">
      <c r="F220" s="6" t="inlineStr">
        <is>
          <t>TOPLAM</t>
        </is>
      </c>
      <c r="G220" s="6">
        <f>SUM(G216:G219)</f>
        <v/>
      </c>
      <c r="H220">
        <f>G220/37.0</f>
        <v/>
      </c>
      <c r="I220" t="inlineStr">
        <is>
          <t>W/m²</t>
        </is>
      </c>
    </row>
    <row r="222">
      <c r="A222" s="6" t="inlineStr">
        <is>
          <t>2. KAT OFİS D1</t>
        </is>
      </c>
      <c r="D222" t="inlineStr">
        <is>
          <t>Net alan 51.1 m², hacim 143.0 m³</t>
        </is>
      </c>
    </row>
    <row r="223">
      <c r="A223" s="11" t="inlineStr">
        <is>
          <t>Eleman</t>
        </is>
      </c>
      <c r="B223" s="11" t="inlineStr">
        <is>
          <t>Uzunluk (m)</t>
        </is>
      </c>
      <c r="C223" s="11" t="inlineStr">
        <is>
          <t>Alan / Hacim</t>
        </is>
      </c>
      <c r="D223" s="11" t="inlineStr">
        <is>
          <t>U / katsayı</t>
        </is>
      </c>
      <c r="E223" s="11" t="inlineStr">
        <is>
          <t>ΔT (K)</t>
        </is>
      </c>
      <c r="F223" s="11" t="inlineStr">
        <is>
          <t>Zam çarpanı</t>
        </is>
      </c>
      <c r="G223" s="11" t="inlineStr">
        <is>
          <t>Q (W)</t>
        </is>
      </c>
    </row>
    <row r="224">
      <c r="A224" s="4" t="inlineStr">
        <is>
          <t>İç duvar (ısıtılmayan koridor)</t>
        </is>
      </c>
      <c r="B224" s="4" t="n">
        <v>11.08466508289718</v>
      </c>
      <c r="C224" s="4" t="n">
        <v>31.04</v>
      </c>
      <c r="D224" s="4" t="n">
        <v>1.2</v>
      </c>
      <c r="E224" s="4" t="n">
        <v>10</v>
      </c>
      <c r="F224" s="4" t="n">
        <v>1.071</v>
      </c>
      <c r="G224" s="4">
        <f>ROUND(C224*D224*E224*F224,0)</f>
        <v/>
      </c>
    </row>
    <row r="225">
      <c r="A225" s="4" t="inlineStr">
        <is>
          <t>İç duvar (ısıtılmayan koridor)</t>
        </is>
      </c>
      <c r="B225" s="4" t="n">
        <v>2.913314263858261</v>
      </c>
      <c r="C225" s="4" t="n">
        <v>8.16</v>
      </c>
      <c r="D225" s="4" t="n">
        <v>1.2</v>
      </c>
      <c r="E225" s="4" t="n">
        <v>10</v>
      </c>
      <c r="F225" s="4" t="n">
        <v>1.072</v>
      </c>
      <c r="G225" s="4">
        <f>ROUND(C225*D225*E225*F225,0)</f>
        <v/>
      </c>
    </row>
    <row r="226">
      <c r="A226" s="4" t="inlineStr">
        <is>
          <t>İç duvar (ısıtılmayan koridor)</t>
        </is>
      </c>
      <c r="B226" s="4" t="n">
        <v>2.704459280521709</v>
      </c>
      <c r="C226" s="4" t="n">
        <v>7.57</v>
      </c>
      <c r="D226" s="4" t="n">
        <v>1.2</v>
      </c>
      <c r="E226" s="4" t="n">
        <v>10</v>
      </c>
      <c r="F226" s="4" t="n">
        <v>1.068</v>
      </c>
      <c r="G226" s="4">
        <f>ROUND(C226*D226*E226*F226,0)</f>
        <v/>
      </c>
    </row>
    <row r="227">
      <c r="A227" s="4" t="inlineStr">
        <is>
          <t>İç duvar (ısıtılmayan koridor)</t>
        </is>
      </c>
      <c r="B227" s="4" t="n">
        <v>4.09</v>
      </c>
      <c r="C227" s="4" t="n">
        <v>11.45</v>
      </c>
      <c r="D227" s="4" t="n">
        <v>1.2</v>
      </c>
      <c r="E227" s="4" t="n">
        <v>10</v>
      </c>
      <c r="F227" s="4" t="n">
        <v>1.07</v>
      </c>
      <c r="G227" s="4">
        <f>ROUND(C227*D227*E227*F227,0)</f>
        <v/>
      </c>
    </row>
    <row r="228">
      <c r="A228" s="4" t="inlineStr">
        <is>
          <t>Çatı döşemesi</t>
        </is>
      </c>
      <c r="B228" s="4" t="n"/>
      <c r="C228" s="4" t="n">
        <v>51.07</v>
      </c>
      <c r="D228" s="4" t="n">
        <v>0.35</v>
      </c>
      <c r="E228" s="4" t="n">
        <v>23</v>
      </c>
      <c r="F228" s="4" t="n">
        <v>1.07</v>
      </c>
      <c r="G228" s="4">
        <f>ROUND(C228*D228*E228*F228,0)</f>
        <v/>
      </c>
    </row>
    <row r="229">
      <c r="A229" s="4" t="inlineStr">
        <is>
          <t>Havalandırma/sızıntı n=1.0</t>
        </is>
      </c>
      <c r="B229" s="4" t="n"/>
      <c r="C229" s="4" t="n">
        <v>143</v>
      </c>
      <c r="D229" s="4" t="n">
        <v>0.34</v>
      </c>
      <c r="E229" s="4" t="n">
        <v>23</v>
      </c>
      <c r="F229" s="4" t="n">
        <v>1</v>
      </c>
      <c r="G229" s="4">
        <f>ROUND(C229*D229*E229*F229,0)</f>
        <v/>
      </c>
    </row>
    <row r="230">
      <c r="A230" s="4" t="inlineStr">
        <is>
          <t>Yeniden ısıtma payı (kesintili, 11 W/m²)</t>
        </is>
      </c>
      <c r="B230" s="4" t="n"/>
      <c r="C230" s="4" t="n">
        <v>51.07</v>
      </c>
      <c r="D230" s="4" t="n">
        <v>11</v>
      </c>
      <c r="E230" s="4" t="n">
        <v>1</v>
      </c>
      <c r="F230" s="4" t="n">
        <v>1</v>
      </c>
      <c r="G230" s="4">
        <f>ROUND(C230*D230*E230*F230,0)</f>
        <v/>
      </c>
    </row>
    <row r="231">
      <c r="F231" s="6" t="inlineStr">
        <is>
          <t>TOPLAM</t>
        </is>
      </c>
      <c r="G231" s="6">
        <f>SUM(G224:G230)</f>
        <v/>
      </c>
      <c r="H231">
        <f>G231/51.1</f>
        <v/>
      </c>
      <c r="I231" t="inlineStr">
        <is>
          <t>W/m²</t>
        </is>
      </c>
    </row>
    <row r="233">
      <c r="A233" s="6" t="inlineStr">
        <is>
          <t>2. KAT OFİS D2</t>
        </is>
      </c>
      <c r="D233" t="inlineStr">
        <is>
          <t>Net alan 37.4 m², hacim 104.8 m³</t>
        </is>
      </c>
    </row>
    <row r="234">
      <c r="A234" s="11" t="inlineStr">
        <is>
          <t>Eleman</t>
        </is>
      </c>
      <c r="B234" s="11" t="inlineStr">
        <is>
          <t>Uzunluk (m)</t>
        </is>
      </c>
      <c r="C234" s="11" t="inlineStr">
        <is>
          <t>Alan / Hacim</t>
        </is>
      </c>
      <c r="D234" s="11" t="inlineStr">
        <is>
          <t>U / katsayı</t>
        </is>
      </c>
      <c r="E234" s="11" t="inlineStr">
        <is>
          <t>ΔT (K)</t>
        </is>
      </c>
      <c r="F234" s="11" t="inlineStr">
        <is>
          <t>Zam çarpanı</t>
        </is>
      </c>
      <c r="G234" s="11" t="inlineStr">
        <is>
          <t>Q (W)</t>
        </is>
      </c>
    </row>
    <row r="235">
      <c r="A235" s="4" t="inlineStr">
        <is>
          <t>İç duvar (ısıtılmayan koridor)</t>
        </is>
      </c>
      <c r="B235" s="4" t="n">
        <v>4.25</v>
      </c>
      <c r="C235" s="4" t="n">
        <v>11.9</v>
      </c>
      <c r="D235" s="4" t="n">
        <v>1.2</v>
      </c>
      <c r="E235" s="4" t="n">
        <v>10</v>
      </c>
      <c r="F235" s="4" t="n">
        <v>1.071</v>
      </c>
      <c r="G235" s="4">
        <f>ROUND(C235*D235*E235*F235,0)</f>
        <v/>
      </c>
    </row>
    <row r="236">
      <c r="A236" s="4" t="inlineStr">
        <is>
          <t>İç duvar (ısıtılmayan koridor)</t>
        </is>
      </c>
      <c r="B236" s="4" t="n">
        <v>4.25</v>
      </c>
      <c r="C236" s="4" t="n">
        <v>11.9</v>
      </c>
      <c r="D236" s="4" t="n">
        <v>1.2</v>
      </c>
      <c r="E236" s="4" t="n">
        <v>10</v>
      </c>
      <c r="F236" s="4" t="n">
        <v>1.071</v>
      </c>
      <c r="G236" s="4">
        <f>ROUND(C236*D236*E236*F236,0)</f>
        <v/>
      </c>
    </row>
    <row r="237">
      <c r="A237" s="4" t="inlineStr">
        <is>
          <t>Çatı döşemesi</t>
        </is>
      </c>
      <c r="B237" s="4" t="n"/>
      <c r="C237" s="4" t="n">
        <v>37.42</v>
      </c>
      <c r="D237" s="4" t="n">
        <v>0.35</v>
      </c>
      <c r="E237" s="4" t="n">
        <v>23</v>
      </c>
      <c r="F237" s="4" t="n">
        <v>1.069</v>
      </c>
      <c r="G237" s="4">
        <f>ROUND(C237*D237*E237*F237,0)</f>
        <v/>
      </c>
    </row>
    <row r="238">
      <c r="A238" s="4" t="inlineStr">
        <is>
          <t>Havalandırma/sızıntı n=1.0</t>
        </is>
      </c>
      <c r="B238" s="4" t="n"/>
      <c r="C238" s="4" t="n">
        <v>104.8</v>
      </c>
      <c r="D238" s="4" t="n">
        <v>0.34</v>
      </c>
      <c r="E238" s="4" t="n">
        <v>23</v>
      </c>
      <c r="F238" s="4" t="n">
        <v>0.999</v>
      </c>
      <c r="G238" s="4">
        <f>ROUND(C238*D238*E238*F238,0)</f>
        <v/>
      </c>
    </row>
    <row r="239">
      <c r="A239" s="4" t="inlineStr">
        <is>
          <t>Yeniden ısıtma payı (kesintili, 11 W/m²)</t>
        </is>
      </c>
      <c r="B239" s="4" t="n"/>
      <c r="C239" s="4" t="n">
        <v>37.42</v>
      </c>
      <c r="D239" s="4" t="n">
        <v>11</v>
      </c>
      <c r="E239" s="4" t="n">
        <v>1</v>
      </c>
      <c r="F239" s="4" t="n">
        <v>1.001</v>
      </c>
      <c r="G239" s="4">
        <f>ROUND(C239*D239*E239*F239,0)</f>
        <v/>
      </c>
    </row>
    <row r="240">
      <c r="F240" s="6" t="inlineStr">
        <is>
          <t>TOPLAM</t>
        </is>
      </c>
      <c r="G240" s="6">
        <f>SUM(G235:G239)</f>
        <v/>
      </c>
      <c r="H240">
        <f>G240/37.4</f>
        <v/>
      </c>
      <c r="I240" t="inlineStr">
        <is>
          <t>W/m²</t>
        </is>
      </c>
    </row>
    <row r="242">
      <c r="A242" s="6" t="inlineStr">
        <is>
          <t>2. KAT OFİS D3</t>
        </is>
      </c>
      <c r="D242" t="inlineStr">
        <is>
          <t>Net alan 39.7 m², hacim 111.2 m³</t>
        </is>
      </c>
    </row>
    <row r="243">
      <c r="A243" s="11" t="inlineStr">
        <is>
          <t>Eleman</t>
        </is>
      </c>
      <c r="B243" s="11" t="inlineStr">
        <is>
          <t>Uzunluk (m)</t>
        </is>
      </c>
      <c r="C243" s="11" t="inlineStr">
        <is>
          <t>Alan / Hacim</t>
        </is>
      </c>
      <c r="D243" s="11" t="inlineStr">
        <is>
          <t>U / katsayı</t>
        </is>
      </c>
      <c r="E243" s="11" t="inlineStr">
        <is>
          <t>ΔT (K)</t>
        </is>
      </c>
      <c r="F243" s="11" t="inlineStr">
        <is>
          <t>Zam çarpanı</t>
        </is>
      </c>
      <c r="G243" s="11" t="inlineStr">
        <is>
          <t>Q (W)</t>
        </is>
      </c>
    </row>
    <row r="244">
      <c r="A244" s="4" t="inlineStr">
        <is>
          <t>İç duvar (ısıtılmayan koridor)</t>
        </is>
      </c>
      <c r="B244" s="4" t="n">
        <v>3.74</v>
      </c>
      <c r="C244" s="4" t="n">
        <v>10.47</v>
      </c>
      <c r="D244" s="4" t="n">
        <v>1.2</v>
      </c>
      <c r="E244" s="4" t="n">
        <v>10</v>
      </c>
      <c r="F244" s="4" t="n">
        <v>1.067</v>
      </c>
      <c r="G244" s="4">
        <f>ROUND(C244*D244*E244*F244,0)</f>
        <v/>
      </c>
    </row>
    <row r="245">
      <c r="A245" s="4" t="inlineStr">
        <is>
          <t>İç duvar (ısıtılmayan koridor)</t>
        </is>
      </c>
      <c r="B245" s="4" t="n">
        <v>1.5</v>
      </c>
      <c r="C245" s="4" t="n">
        <v>4.2</v>
      </c>
      <c r="D245" s="4" t="n">
        <v>1.2</v>
      </c>
      <c r="E245" s="4" t="n">
        <v>10</v>
      </c>
      <c r="F245" s="4" t="n">
        <v>1.071</v>
      </c>
      <c r="G245" s="4">
        <f>ROUND(C245*D245*E245*F245,0)</f>
        <v/>
      </c>
    </row>
    <row r="246">
      <c r="A246" s="4" t="inlineStr">
        <is>
          <t>İç duvar (ısıtılmayan koridor)</t>
        </is>
      </c>
      <c r="B246" s="4" t="n">
        <v>2.67</v>
      </c>
      <c r="C246" s="4" t="n">
        <v>7.48</v>
      </c>
      <c r="D246" s="4" t="n">
        <v>1.2</v>
      </c>
      <c r="E246" s="4" t="n">
        <v>10</v>
      </c>
      <c r="F246" s="4" t="n">
        <v>1.07</v>
      </c>
      <c r="G246" s="4">
        <f>ROUND(C246*D246*E246*F246,0)</f>
        <v/>
      </c>
    </row>
    <row r="247">
      <c r="A247" s="4" t="inlineStr">
        <is>
          <t>Çatı döşemesi</t>
        </is>
      </c>
      <c r="B247" s="4" t="n"/>
      <c r="C247" s="4" t="n">
        <v>39.7</v>
      </c>
      <c r="D247" s="4" t="n">
        <v>0.35</v>
      </c>
      <c r="E247" s="4" t="n">
        <v>23</v>
      </c>
      <c r="F247" s="4" t="n">
        <v>1.07</v>
      </c>
      <c r="G247" s="4">
        <f>ROUND(C247*D247*E247*F247,0)</f>
        <v/>
      </c>
    </row>
    <row r="248">
      <c r="A248" s="4" t="inlineStr">
        <is>
          <t>Havalandırma/sızıntı n=1.0</t>
        </is>
      </c>
      <c r="B248" s="4" t="n"/>
      <c r="C248" s="4" t="n">
        <v>111.2</v>
      </c>
      <c r="D248" s="4" t="n">
        <v>0.34</v>
      </c>
      <c r="E248" s="4" t="n">
        <v>23</v>
      </c>
      <c r="F248" s="4" t="n">
        <v>0.999</v>
      </c>
      <c r="G248" s="4">
        <f>ROUND(C248*D248*E248*F248,0)</f>
        <v/>
      </c>
    </row>
    <row r="249">
      <c r="A249" s="4" t="inlineStr">
        <is>
          <t>Yeniden ısıtma payı (kesintili, 11 W/m²)</t>
        </is>
      </c>
      <c r="B249" s="4" t="n"/>
      <c r="C249" s="4" t="n">
        <v>39.7</v>
      </c>
      <c r="D249" s="4" t="n">
        <v>11</v>
      </c>
      <c r="E249" s="4" t="n">
        <v>1</v>
      </c>
      <c r="F249" s="4" t="n">
        <v>1.001</v>
      </c>
      <c r="G249" s="4">
        <f>ROUND(C249*D249*E249*F249,0)</f>
        <v/>
      </c>
    </row>
    <row r="250">
      <c r="F250" s="6" t="inlineStr">
        <is>
          <t>TOPLAM</t>
        </is>
      </c>
      <c r="G250" s="6">
        <f>SUM(G244:G249)</f>
        <v/>
      </c>
      <c r="H250">
        <f>G250/39.7</f>
        <v/>
      </c>
      <c r="I250" t="inlineStr">
        <is>
          <t>W/m²</t>
        </is>
      </c>
    </row>
    <row r="252">
      <c r="A252" s="6" t="inlineStr">
        <is>
          <t>2. KAT OFİS E1</t>
        </is>
      </c>
      <c r="D252" t="inlineStr">
        <is>
          <t>Net alan 69.5 m², hacim 194.7 m³</t>
        </is>
      </c>
    </row>
    <row r="253">
      <c r="A253" s="11" t="inlineStr">
        <is>
          <t>Eleman</t>
        </is>
      </c>
      <c r="B253" s="11" t="inlineStr">
        <is>
          <t>Uzunluk (m)</t>
        </is>
      </c>
      <c r="C253" s="11" t="inlineStr">
        <is>
          <t>Alan / Hacim</t>
        </is>
      </c>
      <c r="D253" s="11" t="inlineStr">
        <is>
          <t>U / katsayı</t>
        </is>
      </c>
      <c r="E253" s="11" t="inlineStr">
        <is>
          <t>ΔT (K)</t>
        </is>
      </c>
      <c r="F253" s="11" t="inlineStr">
        <is>
          <t>Zam çarpanı</t>
        </is>
      </c>
      <c r="G253" s="11" t="inlineStr">
        <is>
          <t>Q (W)</t>
        </is>
      </c>
    </row>
    <row r="254">
      <c r="A254" s="4" t="inlineStr">
        <is>
          <t>İç duvar (ısıtılmayan koridor)</t>
        </is>
      </c>
      <c r="B254" s="4" t="n">
        <v>1.57</v>
      </c>
      <c r="C254" s="4" t="n">
        <v>4.4</v>
      </c>
      <c r="D254" s="4" t="n">
        <v>1.2</v>
      </c>
      <c r="E254" s="4" t="n">
        <v>10</v>
      </c>
      <c r="F254" s="4" t="n">
        <v>1.061</v>
      </c>
      <c r="G254" s="4">
        <f>ROUND(C254*D254*E254*F254,0)</f>
        <v/>
      </c>
    </row>
    <row r="255">
      <c r="A255" s="4" t="inlineStr">
        <is>
          <t>İç duvar (ısıtılmayan koridor)</t>
        </is>
      </c>
      <c r="B255" s="4" t="n">
        <v>1.85</v>
      </c>
      <c r="C255" s="4" t="n">
        <v>5.18</v>
      </c>
      <c r="D255" s="4" t="n">
        <v>1.2</v>
      </c>
      <c r="E255" s="4" t="n">
        <v>10</v>
      </c>
      <c r="F255" s="4" t="n">
        <v>1.078</v>
      </c>
      <c r="G255" s="4">
        <f>ROUND(C255*D255*E255*F255,0)</f>
        <v/>
      </c>
    </row>
    <row r="256">
      <c r="A256" s="4" t="inlineStr">
        <is>
          <t>İç duvar (ısıtılmayan koridor)</t>
        </is>
      </c>
      <c r="B256" s="4" t="n">
        <v>11.36430376221966</v>
      </c>
      <c r="C256" s="4" t="n">
        <v>31.82</v>
      </c>
      <c r="D256" s="4" t="n">
        <v>1.2</v>
      </c>
      <c r="E256" s="4" t="n">
        <v>10</v>
      </c>
      <c r="F256" s="4" t="n">
        <v>1.071</v>
      </c>
      <c r="G256" s="4">
        <f>ROUND(C256*D256*E256*F256,0)</f>
        <v/>
      </c>
    </row>
    <row r="257">
      <c r="A257" s="4" t="inlineStr">
        <is>
          <t>Dış duvar (cephe G)</t>
        </is>
      </c>
      <c r="B257" s="4" t="n">
        <v>5.287059674336956</v>
      </c>
      <c r="C257" s="4" t="n">
        <v>9.619999999999999</v>
      </c>
      <c r="D257" s="4" t="n">
        <v>0.5</v>
      </c>
      <c r="E257" s="4" t="n">
        <v>23</v>
      </c>
      <c r="F257" s="4" t="n">
        <v>1.021</v>
      </c>
      <c r="G257" s="4">
        <f>ROUND(C257*D257*E257*F257,0)</f>
        <v/>
      </c>
    </row>
    <row r="258">
      <c r="A258" s="4" t="inlineStr">
        <is>
          <t>Pencere (G)</t>
        </is>
      </c>
      <c r="B258" s="4" t="n">
        <v>5.287059674336956</v>
      </c>
      <c r="C258" s="4" t="n">
        <v>5.18</v>
      </c>
      <c r="D258" s="4" t="n">
        <v>1.7</v>
      </c>
      <c r="E258" s="4" t="n">
        <v>23</v>
      </c>
      <c r="F258" s="4" t="n">
        <v>1.022</v>
      </c>
      <c r="G258" s="4">
        <f>ROUND(C258*D258*E258*F258,0)</f>
        <v/>
      </c>
    </row>
    <row r="259">
      <c r="A259" s="4" t="inlineStr">
        <is>
          <t>İç duvar (ısıtılmayan koridor)</t>
        </is>
      </c>
      <c r="B259" s="4" t="n">
        <v>4.66</v>
      </c>
      <c r="C259" s="4" t="n">
        <v>13.05</v>
      </c>
      <c r="D259" s="4" t="n">
        <v>1.2</v>
      </c>
      <c r="E259" s="4" t="n">
        <v>10</v>
      </c>
      <c r="F259" s="4" t="n">
        <v>1.073</v>
      </c>
      <c r="G259" s="4">
        <f>ROUND(C259*D259*E259*F259,0)</f>
        <v/>
      </c>
    </row>
    <row r="260">
      <c r="A260" s="4" t="inlineStr">
        <is>
          <t>Çatı döşemesi</t>
        </is>
      </c>
      <c r="B260" s="4" t="n"/>
      <c r="C260" s="4" t="n">
        <v>69.52</v>
      </c>
      <c r="D260" s="4" t="n">
        <v>0.35</v>
      </c>
      <c r="E260" s="4" t="n">
        <v>23</v>
      </c>
      <c r="F260" s="4" t="n">
        <v>1.07</v>
      </c>
      <c r="G260" s="4">
        <f>ROUND(C260*D260*E260*F260,0)</f>
        <v/>
      </c>
    </row>
    <row r="261">
      <c r="A261" s="4" t="inlineStr">
        <is>
          <t>Havalandırma/sızıntı n=1.0</t>
        </is>
      </c>
      <c r="B261" s="4" t="n"/>
      <c r="C261" s="4" t="n">
        <v>194.7</v>
      </c>
      <c r="D261" s="4" t="n">
        <v>0.34</v>
      </c>
      <c r="E261" s="4" t="n">
        <v>23</v>
      </c>
      <c r="F261" s="4" t="n">
        <v>1</v>
      </c>
      <c r="G261" s="4">
        <f>ROUND(C261*D261*E261*F261,0)</f>
        <v/>
      </c>
    </row>
    <row r="262">
      <c r="A262" s="4" t="inlineStr">
        <is>
          <t>Yeniden ısıtma payı (kesintili, 11 W/m²)</t>
        </is>
      </c>
      <c r="B262" s="4" t="n"/>
      <c r="C262" s="4" t="n">
        <v>69.52</v>
      </c>
      <c r="D262" s="4" t="n">
        <v>11</v>
      </c>
      <c r="E262" s="4" t="n">
        <v>1</v>
      </c>
      <c r="F262" s="4" t="n">
        <v>1</v>
      </c>
      <c r="G262" s="4">
        <f>ROUND(C262*D262*E262*F262,0)</f>
        <v/>
      </c>
    </row>
    <row r="263">
      <c r="F263" s="6" t="inlineStr">
        <is>
          <t>TOPLAM</t>
        </is>
      </c>
      <c r="G263" s="6">
        <f>SUM(G254:G262)</f>
        <v/>
      </c>
      <c r="H263">
        <f>G263/69.5</f>
        <v/>
      </c>
      <c r="I263" t="inlineStr">
        <is>
          <t>W/m²</t>
        </is>
      </c>
    </row>
    <row r="265">
      <c r="A265" s="6" t="inlineStr">
        <is>
          <t>2. KAT OFİS E2</t>
        </is>
      </c>
      <c r="D265" t="inlineStr">
        <is>
          <t>Net alan 69.6 m², hacim 195.0 m³</t>
        </is>
      </c>
    </row>
    <row r="266">
      <c r="A266" s="11" t="inlineStr">
        <is>
          <t>Eleman</t>
        </is>
      </c>
      <c r="B266" s="11" t="inlineStr">
        <is>
          <t>Uzunluk (m)</t>
        </is>
      </c>
      <c r="C266" s="11" t="inlineStr">
        <is>
          <t>Alan / Hacim</t>
        </is>
      </c>
      <c r="D266" s="11" t="inlineStr">
        <is>
          <t>U / katsayı</t>
        </is>
      </c>
      <c r="E266" s="11" t="inlineStr">
        <is>
          <t>ΔT (K)</t>
        </is>
      </c>
      <c r="F266" s="11" t="inlineStr">
        <is>
          <t>Zam çarpanı</t>
        </is>
      </c>
      <c r="G266" s="11" t="inlineStr">
        <is>
          <t>Q (W)</t>
        </is>
      </c>
    </row>
    <row r="267">
      <c r="A267" s="4" t="inlineStr">
        <is>
          <t>Dış duvar (cephe G)</t>
        </is>
      </c>
      <c r="B267" s="4" t="n">
        <v>5.338108279156578</v>
      </c>
      <c r="C267" s="4" t="n">
        <v>9.720000000000001</v>
      </c>
      <c r="D267" s="4" t="n">
        <v>0.5</v>
      </c>
      <c r="E267" s="4" t="n">
        <v>23</v>
      </c>
      <c r="F267" s="4" t="n">
        <v>1.02</v>
      </c>
      <c r="G267" s="4">
        <f>ROUND(C267*D267*E267*F267,0)</f>
        <v/>
      </c>
    </row>
    <row r="268">
      <c r="A268" s="4" t="inlineStr">
        <is>
          <t>Pencere (G)</t>
        </is>
      </c>
      <c r="B268" s="4" t="n">
        <v>5.338108279156578</v>
      </c>
      <c r="C268" s="4" t="n">
        <v>5.23</v>
      </c>
      <c r="D268" s="4" t="n">
        <v>1.7</v>
      </c>
      <c r="E268" s="4" t="n">
        <v>23</v>
      </c>
      <c r="F268" s="4" t="n">
        <v>1.022</v>
      </c>
      <c r="G268" s="4">
        <f>ROUND(C268*D268*E268*F268,0)</f>
        <v/>
      </c>
    </row>
    <row r="269">
      <c r="A269" s="4" t="inlineStr">
        <is>
          <t>İç duvar (ısıtılmayan koridor)</t>
        </is>
      </c>
      <c r="B269" s="4" t="n">
        <v>4.59</v>
      </c>
      <c r="C269" s="4" t="n">
        <v>12.85</v>
      </c>
      <c r="D269" s="4" t="n">
        <v>1.2</v>
      </c>
      <c r="E269" s="4" t="n">
        <v>10</v>
      </c>
      <c r="F269" s="4" t="n">
        <v>1.07</v>
      </c>
      <c r="G269" s="4">
        <f>ROUND(C269*D269*E269*F269,0)</f>
        <v/>
      </c>
    </row>
    <row r="270">
      <c r="A270" s="4" t="inlineStr">
        <is>
          <t>Çatı döşemesi</t>
        </is>
      </c>
      <c r="B270" s="4" t="n"/>
      <c r="C270" s="4" t="n">
        <v>69.65000000000001</v>
      </c>
      <c r="D270" s="4" t="n">
        <v>0.35</v>
      </c>
      <c r="E270" s="4" t="n">
        <v>23</v>
      </c>
      <c r="F270" s="4" t="n">
        <v>1.07</v>
      </c>
      <c r="G270" s="4">
        <f>ROUND(C270*D270*E270*F270,0)</f>
        <v/>
      </c>
    </row>
    <row r="271">
      <c r="A271" s="4" t="inlineStr">
        <is>
          <t>Havalandırma/sızıntı n=1.0</t>
        </is>
      </c>
      <c r="B271" s="4" t="n"/>
      <c r="C271" s="4" t="n">
        <v>195</v>
      </c>
      <c r="D271" s="4" t="n">
        <v>0.34</v>
      </c>
      <c r="E271" s="4" t="n">
        <v>23</v>
      </c>
      <c r="F271" s="4" t="n">
        <v>1</v>
      </c>
      <c r="G271" s="4">
        <f>ROUND(C271*D271*E271*F271,0)</f>
        <v/>
      </c>
    </row>
    <row r="272">
      <c r="A272" s="4" t="inlineStr">
        <is>
          <t>Yeniden ısıtma payı (kesintili, 11 W/m²)</t>
        </is>
      </c>
      <c r="B272" s="4" t="n"/>
      <c r="C272" s="4" t="n">
        <v>69.65000000000001</v>
      </c>
      <c r="D272" s="4" t="n">
        <v>11</v>
      </c>
      <c r="E272" s="4" t="n">
        <v>1</v>
      </c>
      <c r="F272" s="4" t="n">
        <v>1</v>
      </c>
      <c r="G272" s="4">
        <f>ROUND(C272*D272*E272*F272,0)</f>
        <v/>
      </c>
    </row>
    <row r="273">
      <c r="F273" s="6" t="inlineStr">
        <is>
          <t>TOPLAM</t>
        </is>
      </c>
      <c r="G273" s="6">
        <f>SUM(G267:G272)</f>
        <v/>
      </c>
      <c r="H273">
        <f>G273/69.6</f>
        <v/>
      </c>
      <c r="I273" t="inlineStr">
        <is>
          <t>W/m²</t>
        </is>
      </c>
    </row>
    <row r="275">
      <c r="A275" s="6" t="inlineStr">
        <is>
          <t>ZEMİN KAT İŞYERİ 1</t>
        </is>
      </c>
      <c r="D275" t="inlineStr">
        <is>
          <t>Net alan 144.8 m², hacim 477.9 m³</t>
        </is>
      </c>
    </row>
    <row r="276">
      <c r="A276" s="11" t="inlineStr">
        <is>
          <t>Eleman</t>
        </is>
      </c>
      <c r="B276" s="11" t="inlineStr">
        <is>
          <t>Uzunluk (m)</t>
        </is>
      </c>
      <c r="C276" s="11" t="inlineStr">
        <is>
          <t>Alan / Hacim</t>
        </is>
      </c>
      <c r="D276" s="11" t="inlineStr">
        <is>
          <t>U / katsayı</t>
        </is>
      </c>
      <c r="E276" s="11" t="inlineStr">
        <is>
          <t>ΔT (K)</t>
        </is>
      </c>
      <c r="F276" s="11" t="inlineStr">
        <is>
          <t>Zam çarpanı</t>
        </is>
      </c>
      <c r="G276" s="11" t="inlineStr">
        <is>
          <t>Q (W)</t>
        </is>
      </c>
    </row>
    <row r="277">
      <c r="A277" s="4" t="inlineStr">
        <is>
          <t>İç duvar (ısıtılmayan hol/geçit)</t>
        </is>
      </c>
      <c r="B277" s="4" t="n">
        <v>4.281366604251498</v>
      </c>
      <c r="C277" s="4" t="n">
        <v>14.13</v>
      </c>
      <c r="D277" s="4" t="n">
        <v>1.2</v>
      </c>
      <c r="E277" s="4" t="n">
        <v>10</v>
      </c>
      <c r="F277" s="4" t="n">
        <v>1.067</v>
      </c>
      <c r="G277" s="4">
        <f>ROUND(C277*D277*E277*F277,0)</f>
        <v/>
      </c>
    </row>
    <row r="278">
      <c r="A278" s="4" t="inlineStr">
        <is>
          <t>Dış duvar (cephe K)</t>
        </is>
      </c>
      <c r="B278" s="4" t="n">
        <v>5.04</v>
      </c>
      <c r="C278" s="4" t="n">
        <v>4.99</v>
      </c>
      <c r="D278" s="4" t="n">
        <v>0.5</v>
      </c>
      <c r="E278" s="4" t="n">
        <v>23</v>
      </c>
      <c r="F278" s="4" t="n">
        <v>1.115</v>
      </c>
      <c r="G278" s="4">
        <f>ROUND(C278*D278*E278*F278,0)</f>
        <v/>
      </c>
    </row>
    <row r="279">
      <c r="A279" s="4" t="inlineStr">
        <is>
          <t>Vitrin / kapı (K)</t>
        </is>
      </c>
      <c r="B279" s="4" t="n">
        <v>5.04</v>
      </c>
      <c r="C279" s="4" t="n">
        <v>11.64</v>
      </c>
      <c r="D279" s="4" t="n">
        <v>1.6</v>
      </c>
      <c r="E279" s="4" t="n">
        <v>23</v>
      </c>
      <c r="F279" s="4" t="n">
        <v>1.121</v>
      </c>
      <c r="G279" s="4">
        <f>ROUND(C279*D279*E279*F279,0)</f>
        <v/>
      </c>
    </row>
    <row r="280">
      <c r="A280" s="4" t="inlineStr">
        <is>
          <t>Döşeme (kapalı otopark üstü)</t>
        </is>
      </c>
      <c r="B280" s="4" t="n"/>
      <c r="C280" s="4" t="n">
        <v>144.83</v>
      </c>
      <c r="D280" s="4" t="n">
        <v>0.5</v>
      </c>
      <c r="E280" s="4" t="n">
        <v>15</v>
      </c>
      <c r="F280" s="4" t="n">
        <v>1.07</v>
      </c>
      <c r="G280" s="4">
        <f>ROUND(C280*D280*E280*F280,0)</f>
        <v/>
      </c>
    </row>
    <row r="281">
      <c r="A281" s="4" t="inlineStr">
        <is>
          <t>Tavan (ışıklık altı, çatı)</t>
        </is>
      </c>
      <c r="B281" s="4" t="n"/>
      <c r="C281" s="4" t="n">
        <v>16.64</v>
      </c>
      <c r="D281" s="4" t="n">
        <v>0.35</v>
      </c>
      <c r="E281" s="4" t="n">
        <v>23</v>
      </c>
      <c r="F281" s="4" t="n">
        <v>1.068</v>
      </c>
      <c r="G281" s="4">
        <f>ROUND(C281*D281*E281*F281,0)</f>
        <v/>
      </c>
    </row>
    <row r="282">
      <c r="A282" s="4" t="inlineStr">
        <is>
          <t>Havalandırma/sızıntı n=1.5</t>
        </is>
      </c>
      <c r="B282" s="4" t="n"/>
      <c r="C282" s="4" t="n">
        <v>477.9</v>
      </c>
      <c r="D282" s="4" t="n">
        <v>0.51</v>
      </c>
      <c r="E282" s="4" t="n">
        <v>23</v>
      </c>
      <c r="F282" s="4" t="n">
        <v>1</v>
      </c>
      <c r="G282" s="4">
        <f>ROUND(C282*D282*E282*F282,0)</f>
        <v/>
      </c>
    </row>
    <row r="283">
      <c r="A283" s="4" t="inlineStr">
        <is>
          <t>Yeniden ısıtma payı (kesintili, 11 W/m²)</t>
        </is>
      </c>
      <c r="B283" s="4" t="n"/>
      <c r="C283" s="4" t="n">
        <v>144.83</v>
      </c>
      <c r="D283" s="4" t="n">
        <v>11</v>
      </c>
      <c r="E283" s="4" t="n">
        <v>1</v>
      </c>
      <c r="F283" s="4" t="n">
        <v>1</v>
      </c>
      <c r="G283" s="4">
        <f>ROUND(C283*D283*E283*F283,0)</f>
        <v/>
      </c>
    </row>
    <row r="284">
      <c r="F284" s="6" t="inlineStr">
        <is>
          <t>TOPLAM</t>
        </is>
      </c>
      <c r="G284" s="6">
        <f>SUM(G277:G283)</f>
        <v/>
      </c>
      <c r="H284">
        <f>G284/144.8</f>
        <v/>
      </c>
      <c r="I284" t="inlineStr">
        <is>
          <t>W/m²</t>
        </is>
      </c>
    </row>
    <row r="286">
      <c r="A286" s="6" t="inlineStr">
        <is>
          <t>ZEMİN KAT İŞYERİ 2</t>
        </is>
      </c>
      <c r="D286" t="inlineStr">
        <is>
          <t>Net alan 151.4 m², hacim 499.6 m³</t>
        </is>
      </c>
    </row>
    <row r="287">
      <c r="A287" s="11" t="inlineStr">
        <is>
          <t>Eleman</t>
        </is>
      </c>
      <c r="B287" s="11" t="inlineStr">
        <is>
          <t>Uzunluk (m)</t>
        </is>
      </c>
      <c r="C287" s="11" t="inlineStr">
        <is>
          <t>Alan / Hacim</t>
        </is>
      </c>
      <c r="D287" s="11" t="inlineStr">
        <is>
          <t>U / katsayı</t>
        </is>
      </c>
      <c r="E287" s="11" t="inlineStr">
        <is>
          <t>ΔT (K)</t>
        </is>
      </c>
      <c r="F287" s="11" t="inlineStr">
        <is>
          <t>Zam çarpanı</t>
        </is>
      </c>
      <c r="G287" s="11" t="inlineStr">
        <is>
          <t>Q (W)</t>
        </is>
      </c>
    </row>
    <row r="288">
      <c r="A288" s="4" t="inlineStr">
        <is>
          <t>İç duvar (ısıtılmayan hol/geçit)</t>
        </is>
      </c>
      <c r="B288" s="4" t="n">
        <v>5</v>
      </c>
      <c r="C288" s="4" t="n">
        <v>16.5</v>
      </c>
      <c r="D288" s="4" t="n">
        <v>1.2</v>
      </c>
      <c r="E288" s="4" t="n">
        <v>10</v>
      </c>
      <c r="F288" s="4" t="n">
        <v>1.071</v>
      </c>
      <c r="G288" s="4">
        <f>ROUND(C288*D288*E288*F288,0)</f>
        <v/>
      </c>
    </row>
    <row r="289">
      <c r="A289" s="4" t="inlineStr">
        <is>
          <t>Dış duvar (cephe K)</t>
        </is>
      </c>
      <c r="B289" s="4" t="n">
        <v>5.030039761274258</v>
      </c>
      <c r="C289" s="4" t="n">
        <v>4.98</v>
      </c>
      <c r="D289" s="4" t="n">
        <v>0.5</v>
      </c>
      <c r="E289" s="4" t="n">
        <v>23</v>
      </c>
      <c r="F289" s="4" t="n">
        <v>1.118</v>
      </c>
      <c r="G289" s="4">
        <f>ROUND(C289*D289*E289*F289,0)</f>
        <v/>
      </c>
    </row>
    <row r="290">
      <c r="A290" s="4" t="inlineStr">
        <is>
          <t>Vitrin / kapı (K)</t>
        </is>
      </c>
      <c r="B290" s="4" t="n">
        <v>5.030039761274258</v>
      </c>
      <c r="C290" s="4" t="n">
        <v>11.62</v>
      </c>
      <c r="D290" s="4" t="n">
        <v>1.6</v>
      </c>
      <c r="E290" s="4" t="n">
        <v>23</v>
      </c>
      <c r="F290" s="4" t="n">
        <v>1.12</v>
      </c>
      <c r="G290" s="4">
        <f>ROUND(C290*D290*E290*F290,0)</f>
        <v/>
      </c>
    </row>
    <row r="291">
      <c r="A291" s="4" t="inlineStr">
        <is>
          <t>Döşeme (kapalı otopark üstü)</t>
        </is>
      </c>
      <c r="B291" s="4" t="n"/>
      <c r="C291" s="4" t="n">
        <v>151.4</v>
      </c>
      <c r="D291" s="4" t="n">
        <v>0.5</v>
      </c>
      <c r="E291" s="4" t="n">
        <v>15</v>
      </c>
      <c r="F291" s="4" t="n">
        <v>1.07</v>
      </c>
      <c r="G291" s="4">
        <f>ROUND(C291*D291*E291*F291,0)</f>
        <v/>
      </c>
    </row>
    <row r="292">
      <c r="A292" s="4" t="inlineStr">
        <is>
          <t>Tavan (ışıklık altı, çatı)</t>
        </is>
      </c>
      <c r="B292" s="4" t="n"/>
      <c r="C292" s="4" t="n">
        <v>18.53</v>
      </c>
      <c r="D292" s="4" t="n">
        <v>0.35</v>
      </c>
      <c r="E292" s="4" t="n">
        <v>23</v>
      </c>
      <c r="F292" s="4" t="n">
        <v>1.073</v>
      </c>
      <c r="G292" s="4">
        <f>ROUND(C292*D292*E292*F292,0)</f>
        <v/>
      </c>
    </row>
    <row r="293">
      <c r="A293" s="4" t="inlineStr">
        <is>
          <t>Havalandırma/sızıntı n=1.5</t>
        </is>
      </c>
      <c r="B293" s="4" t="n"/>
      <c r="C293" s="4" t="n">
        <v>499.6</v>
      </c>
      <c r="D293" s="4" t="n">
        <v>0.51</v>
      </c>
      <c r="E293" s="4" t="n">
        <v>23</v>
      </c>
      <c r="F293" s="4" t="n">
        <v>1</v>
      </c>
      <c r="G293" s="4">
        <f>ROUND(C293*D293*E293*F293,0)</f>
        <v/>
      </c>
    </row>
    <row r="294">
      <c r="A294" s="4" t="inlineStr">
        <is>
          <t>Yeniden ısıtma payı (kesintili, 11 W/m²)</t>
        </is>
      </c>
      <c r="B294" s="4" t="n"/>
      <c r="C294" s="4" t="n">
        <v>151.4</v>
      </c>
      <c r="D294" s="4" t="n">
        <v>11</v>
      </c>
      <c r="E294" s="4" t="n">
        <v>1</v>
      </c>
      <c r="F294" s="4" t="n">
        <v>1</v>
      </c>
      <c r="G294" s="4">
        <f>ROUND(C294*D294*E294*F294,0)</f>
        <v/>
      </c>
    </row>
    <row r="295">
      <c r="F295" s="6" t="inlineStr">
        <is>
          <t>TOPLAM</t>
        </is>
      </c>
      <c r="G295" s="6">
        <f>SUM(G288:G294)</f>
        <v/>
      </c>
      <c r="H295">
        <f>G295/151.4</f>
        <v/>
      </c>
      <c r="I295" t="inlineStr">
        <is>
          <t>W/m²</t>
        </is>
      </c>
    </row>
    <row r="297">
      <c r="A297" s="6" t="inlineStr">
        <is>
          <t>ZEMİN KAT İŞYERİ 3</t>
        </is>
      </c>
      <c r="D297" t="inlineStr">
        <is>
          <t>Net alan 150.6 m², hacim 497.1 m³</t>
        </is>
      </c>
    </row>
    <row r="298">
      <c r="A298" s="11" t="inlineStr">
        <is>
          <t>Eleman</t>
        </is>
      </c>
      <c r="B298" s="11" t="inlineStr">
        <is>
          <t>Uzunluk (m)</t>
        </is>
      </c>
      <c r="C298" s="11" t="inlineStr">
        <is>
          <t>Alan / Hacim</t>
        </is>
      </c>
      <c r="D298" s="11" t="inlineStr">
        <is>
          <t>U / katsayı</t>
        </is>
      </c>
      <c r="E298" s="11" t="inlineStr">
        <is>
          <t>ΔT (K)</t>
        </is>
      </c>
      <c r="F298" s="11" t="inlineStr">
        <is>
          <t>Zam çarpanı</t>
        </is>
      </c>
      <c r="G298" s="11" t="inlineStr">
        <is>
          <t>Q (W)</t>
        </is>
      </c>
    </row>
    <row r="299">
      <c r="A299" s="4" t="inlineStr">
        <is>
          <t>İç duvar (ısıtılmayan hol/geçit)</t>
        </is>
      </c>
      <c r="B299" s="4" t="n">
        <v>12.62</v>
      </c>
      <c r="C299" s="4" t="n">
        <v>41.65</v>
      </c>
      <c r="D299" s="4" t="n">
        <v>1.2</v>
      </c>
      <c r="E299" s="4" t="n">
        <v>10</v>
      </c>
      <c r="F299" s="4" t="n">
        <v>1.07</v>
      </c>
      <c r="G299" s="4">
        <f>ROUND(C299*D299*E299*F299,0)</f>
        <v/>
      </c>
    </row>
    <row r="300">
      <c r="A300" s="4" t="inlineStr">
        <is>
          <t>İç duvar (ısıtılmayan hol/geçit)</t>
        </is>
      </c>
      <c r="B300" s="4" t="n">
        <v>1.5</v>
      </c>
      <c r="C300" s="4" t="n">
        <v>4.95</v>
      </c>
      <c r="D300" s="4" t="n">
        <v>1.2</v>
      </c>
      <c r="E300" s="4" t="n">
        <v>10</v>
      </c>
      <c r="F300" s="4" t="n">
        <v>1.077</v>
      </c>
      <c r="G300" s="4">
        <f>ROUND(C300*D300*E300*F300,0)</f>
        <v/>
      </c>
    </row>
    <row r="301">
      <c r="A301" s="4" t="inlineStr">
        <is>
          <t>İç duvar (ısıtılmayan hol/geçit)</t>
        </is>
      </c>
      <c r="B301" s="4" t="n">
        <v>9</v>
      </c>
      <c r="C301" s="4" t="n">
        <v>29.7</v>
      </c>
      <c r="D301" s="4" t="n">
        <v>1.2</v>
      </c>
      <c r="E301" s="4" t="n">
        <v>10</v>
      </c>
      <c r="F301" s="4" t="n">
        <v>1.069</v>
      </c>
      <c r="G301" s="4">
        <f>ROUND(C301*D301*E301*F301,0)</f>
        <v/>
      </c>
    </row>
    <row r="302">
      <c r="A302" s="4" t="inlineStr">
        <is>
          <t>İç duvar (ısıtılmayan hol/geçit)</t>
        </is>
      </c>
      <c r="B302" s="4" t="n">
        <v>1.69</v>
      </c>
      <c r="C302" s="4" t="n">
        <v>5.58</v>
      </c>
      <c r="D302" s="4" t="n">
        <v>1.2</v>
      </c>
      <c r="E302" s="4" t="n">
        <v>10</v>
      </c>
      <c r="F302" s="4" t="n">
        <v>1.075</v>
      </c>
      <c r="G302" s="4">
        <f>ROUND(C302*D302*E302*F302,0)</f>
        <v/>
      </c>
    </row>
    <row r="303">
      <c r="A303" s="4" t="inlineStr">
        <is>
          <t>İç duvar (ısıtılmayan hol/geçit)</t>
        </is>
      </c>
      <c r="B303" s="4" t="n">
        <v>10.19276704334991</v>
      </c>
      <c r="C303" s="4" t="n">
        <v>33.64</v>
      </c>
      <c r="D303" s="4" t="n">
        <v>1.2</v>
      </c>
      <c r="E303" s="4" t="n">
        <v>10</v>
      </c>
      <c r="F303" s="4" t="n">
        <v>1.07</v>
      </c>
      <c r="G303" s="4">
        <f>ROUND(C303*D303*E303*F303,0)</f>
        <v/>
      </c>
    </row>
    <row r="304">
      <c r="A304" s="4" t="inlineStr">
        <is>
          <t>İç duvar (ısıtılmayan hol/geçit)</t>
        </is>
      </c>
      <c r="B304" s="4" t="n">
        <v>4.02</v>
      </c>
      <c r="C304" s="4" t="n">
        <v>13.27</v>
      </c>
      <c r="D304" s="4" t="n">
        <v>1.2</v>
      </c>
      <c r="E304" s="4" t="n">
        <v>10</v>
      </c>
      <c r="F304" s="4" t="n">
        <v>1.068</v>
      </c>
      <c r="G304" s="4">
        <f>ROUND(C304*D304*E304*F304,0)</f>
        <v/>
      </c>
    </row>
    <row r="305">
      <c r="A305" s="4" t="inlineStr">
        <is>
          <t>Dış duvar (cephe K)</t>
        </is>
      </c>
      <c r="B305" s="4" t="n">
        <v>6</v>
      </c>
      <c r="C305" s="4" t="n">
        <v>5.94</v>
      </c>
      <c r="D305" s="4" t="n">
        <v>0.5</v>
      </c>
      <c r="E305" s="4" t="n">
        <v>23</v>
      </c>
      <c r="F305" s="4" t="n">
        <v>1.127</v>
      </c>
      <c r="G305" s="4">
        <f>ROUND(C305*D305*E305*F305,0)</f>
        <v/>
      </c>
    </row>
    <row r="306">
      <c r="A306" s="4" t="inlineStr">
        <is>
          <t>Vitrin / kapı (K)</t>
        </is>
      </c>
      <c r="B306" s="4" t="n">
        <v>6</v>
      </c>
      <c r="C306" s="4" t="n">
        <v>13.86</v>
      </c>
      <c r="D306" s="4" t="n">
        <v>1.6</v>
      </c>
      <c r="E306" s="4" t="n">
        <v>23</v>
      </c>
      <c r="F306" s="4" t="n">
        <v>1.12</v>
      </c>
      <c r="G306" s="4">
        <f>ROUND(C306*D306*E306*F306,0)</f>
        <v/>
      </c>
    </row>
    <row r="307">
      <c r="A307" s="4" t="inlineStr">
        <is>
          <t>Döşeme (kapalı otopark üstü)</t>
        </is>
      </c>
      <c r="B307" s="4" t="n"/>
      <c r="C307" s="4" t="n">
        <v>150.62</v>
      </c>
      <c r="D307" s="4" t="n">
        <v>0.5</v>
      </c>
      <c r="E307" s="4" t="n">
        <v>15</v>
      </c>
      <c r="F307" s="4" t="n">
        <v>1.07</v>
      </c>
      <c r="G307" s="4">
        <f>ROUND(C307*D307*E307*F307,0)</f>
        <v/>
      </c>
    </row>
    <row r="308">
      <c r="A308" s="4" t="inlineStr">
        <is>
          <t>Tavan (ışıklık altı, çatı)</t>
        </is>
      </c>
      <c r="B308" s="4" t="n"/>
      <c r="C308" s="4" t="n">
        <v>12.77</v>
      </c>
      <c r="D308" s="4" t="n">
        <v>0.35</v>
      </c>
      <c r="E308" s="4" t="n">
        <v>23</v>
      </c>
      <c r="F308" s="4" t="n">
        <v>1.07</v>
      </c>
      <c r="G308" s="4">
        <f>ROUND(C308*D308*E308*F308,0)</f>
        <v/>
      </c>
    </row>
    <row r="309">
      <c r="A309" s="4" t="inlineStr">
        <is>
          <t>Havalandırma/sızıntı n=1.5</t>
        </is>
      </c>
      <c r="B309" s="4" t="n"/>
      <c r="C309" s="4" t="n">
        <v>497.1</v>
      </c>
      <c r="D309" s="4" t="n">
        <v>0.51</v>
      </c>
      <c r="E309" s="4" t="n">
        <v>23</v>
      </c>
      <c r="F309" s="4" t="n">
        <v>1</v>
      </c>
      <c r="G309" s="4">
        <f>ROUND(C309*D309*E309*F309,0)</f>
        <v/>
      </c>
    </row>
    <row r="310">
      <c r="A310" s="4" t="inlineStr">
        <is>
          <t>Yeniden ısıtma payı (kesintili, 11 W/m²)</t>
        </is>
      </c>
      <c r="B310" s="4" t="n"/>
      <c r="C310" s="4" t="n">
        <v>150.62</v>
      </c>
      <c r="D310" s="4" t="n">
        <v>11</v>
      </c>
      <c r="E310" s="4" t="n">
        <v>1</v>
      </c>
      <c r="F310" s="4" t="n">
        <v>1</v>
      </c>
      <c r="G310" s="4">
        <f>ROUND(C310*D310*E310*F310,0)</f>
        <v/>
      </c>
    </row>
    <row r="311">
      <c r="F311" s="6" t="inlineStr">
        <is>
          <t>TOPLAM</t>
        </is>
      </c>
      <c r="G311" s="6">
        <f>SUM(G299:G310)</f>
        <v/>
      </c>
      <c r="H311">
        <f>G311/150.6</f>
        <v/>
      </c>
      <c r="I311" t="inlineStr">
        <is>
          <t>W/m²</t>
        </is>
      </c>
    </row>
    <row r="313">
      <c r="A313" s="6" t="inlineStr">
        <is>
          <t>ZEMİN KAT İŞYERİ 4</t>
        </is>
      </c>
      <c r="D313" t="inlineStr">
        <is>
          <t>Net alan 190.8 m², hacim 629.5 m³</t>
        </is>
      </c>
    </row>
    <row r="314">
      <c r="A314" s="11" t="inlineStr">
        <is>
          <t>Eleman</t>
        </is>
      </c>
      <c r="B314" s="11" t="inlineStr">
        <is>
          <t>Uzunluk (m)</t>
        </is>
      </c>
      <c r="C314" s="11" t="inlineStr">
        <is>
          <t>Alan / Hacim</t>
        </is>
      </c>
      <c r="D314" s="11" t="inlineStr">
        <is>
          <t>U / katsayı</t>
        </is>
      </c>
      <c r="E314" s="11" t="inlineStr">
        <is>
          <t>ΔT (K)</t>
        </is>
      </c>
      <c r="F314" s="11" t="inlineStr">
        <is>
          <t>Zam çarpanı</t>
        </is>
      </c>
      <c r="G314" s="11" t="inlineStr">
        <is>
          <t>Q (W)</t>
        </is>
      </c>
    </row>
    <row r="315">
      <c r="A315" s="4" t="inlineStr">
        <is>
          <t>İç duvar (ısıtılmayan hol/geçit)</t>
        </is>
      </c>
      <c r="B315" s="4" t="n">
        <v>3.781124171460123</v>
      </c>
      <c r="C315" s="4" t="n">
        <v>12.48</v>
      </c>
      <c r="D315" s="4" t="n">
        <v>1.2</v>
      </c>
      <c r="E315" s="4" t="n">
        <v>10</v>
      </c>
      <c r="F315" s="4" t="n">
        <v>1.068</v>
      </c>
      <c r="G315" s="4">
        <f>ROUND(C315*D315*E315*F315,0)</f>
        <v/>
      </c>
    </row>
    <row r="316">
      <c r="A316" s="4" t="inlineStr">
        <is>
          <t>İç duvar (ısıtılmayan hol/geçit)</t>
        </is>
      </c>
      <c r="B316" s="4" t="n">
        <v>11.35776826669747</v>
      </c>
      <c r="C316" s="4" t="n">
        <v>37.48</v>
      </c>
      <c r="D316" s="4" t="n">
        <v>1.2</v>
      </c>
      <c r="E316" s="4" t="n">
        <v>10</v>
      </c>
      <c r="F316" s="4" t="n">
        <v>1.069</v>
      </c>
      <c r="G316" s="4">
        <f>ROUND(C316*D316*E316*F316,0)</f>
        <v/>
      </c>
    </row>
    <row r="317">
      <c r="A317" s="4" t="inlineStr">
        <is>
          <t>Dış duvar (cephe G)</t>
        </is>
      </c>
      <c r="B317" s="4" t="n">
        <v>5.259781364277416</v>
      </c>
      <c r="C317" s="4" t="n">
        <v>5.21</v>
      </c>
      <c r="D317" s="4" t="n">
        <v>0.5</v>
      </c>
      <c r="E317" s="4" t="n">
        <v>23</v>
      </c>
      <c r="F317" s="4" t="n">
        <v>1.018</v>
      </c>
      <c r="G317" s="4">
        <f>ROUND(C317*D317*E317*F317,0)</f>
        <v/>
      </c>
    </row>
    <row r="318">
      <c r="A318" s="4" t="inlineStr">
        <is>
          <t>Vitrin / kapı (G)</t>
        </is>
      </c>
      <c r="B318" s="4" t="n">
        <v>5.259781364277416</v>
      </c>
      <c r="C318" s="4" t="n">
        <v>12.15</v>
      </c>
      <c r="D318" s="4" t="n">
        <v>1.6</v>
      </c>
      <c r="E318" s="4" t="n">
        <v>23</v>
      </c>
      <c r="F318" s="4" t="n">
        <v>1.02</v>
      </c>
      <c r="G318" s="4">
        <f>ROUND(C318*D318*E318*F318,0)</f>
        <v/>
      </c>
    </row>
    <row r="319">
      <c r="A319" s="4" t="inlineStr">
        <is>
          <t>İç duvar (ısıtılmayan hol/geçit)</t>
        </is>
      </c>
      <c r="B319" s="4" t="n">
        <v>7.57</v>
      </c>
      <c r="C319" s="4" t="n">
        <v>24.98</v>
      </c>
      <c r="D319" s="4" t="n">
        <v>1.2</v>
      </c>
      <c r="E319" s="4" t="n">
        <v>10</v>
      </c>
      <c r="F319" s="4" t="n">
        <v>1.071</v>
      </c>
      <c r="G319" s="4">
        <f>ROUND(C319*D319*E319*F319,0)</f>
        <v/>
      </c>
    </row>
    <row r="320">
      <c r="A320" s="4" t="inlineStr">
        <is>
          <t>Döşeme (kapalı otopark üstü)</t>
        </is>
      </c>
      <c r="B320" s="4" t="n"/>
      <c r="C320" s="4" t="n">
        <v>190.76</v>
      </c>
      <c r="D320" s="4" t="n">
        <v>0.5</v>
      </c>
      <c r="E320" s="4" t="n">
        <v>15</v>
      </c>
      <c r="F320" s="4" t="n">
        <v>1.07</v>
      </c>
      <c r="G320" s="4">
        <f>ROUND(C320*D320*E320*F320,0)</f>
        <v/>
      </c>
    </row>
    <row r="321">
      <c r="A321" s="4" t="inlineStr">
        <is>
          <t>Tavan (ışıklık altı, çatı)</t>
        </is>
      </c>
      <c r="B321" s="4" t="n"/>
      <c r="C321" s="4" t="n">
        <v>5.61</v>
      </c>
      <c r="D321" s="4" t="n">
        <v>0.35</v>
      </c>
      <c r="E321" s="4" t="n">
        <v>23</v>
      </c>
      <c r="F321" s="4" t="n">
        <v>1.063</v>
      </c>
      <c r="G321" s="4">
        <f>ROUND(C321*D321*E321*F321,0)</f>
        <v/>
      </c>
    </row>
    <row r="322">
      <c r="A322" s="4" t="inlineStr">
        <is>
          <t>Havalandırma/sızıntı n=1.5</t>
        </is>
      </c>
      <c r="B322" s="4" t="n"/>
      <c r="C322" s="4" t="n">
        <v>629.5</v>
      </c>
      <c r="D322" s="4" t="n">
        <v>0.51</v>
      </c>
      <c r="E322" s="4" t="n">
        <v>23</v>
      </c>
      <c r="F322" s="4" t="n">
        <v>1</v>
      </c>
      <c r="G322" s="4">
        <f>ROUND(C322*D322*E322*F322,0)</f>
        <v/>
      </c>
    </row>
    <row r="323">
      <c r="A323" s="4" t="inlineStr">
        <is>
          <t>Yeniden ısıtma payı (kesintili, 11 W/m²)</t>
        </is>
      </c>
      <c r="B323" s="4" t="n"/>
      <c r="C323" s="4" t="n">
        <v>190.76</v>
      </c>
      <c r="D323" s="4" t="n">
        <v>11</v>
      </c>
      <c r="E323" s="4" t="n">
        <v>1</v>
      </c>
      <c r="F323" s="4" t="n">
        <v>1</v>
      </c>
      <c r="G323" s="4">
        <f>ROUND(C323*D323*E323*F323,0)</f>
        <v/>
      </c>
    </row>
    <row r="324">
      <c r="F324" s="6" t="inlineStr">
        <is>
          <t>TOPLAM</t>
        </is>
      </c>
      <c r="G324" s="6">
        <f>SUM(G315:G323)</f>
        <v/>
      </c>
      <c r="H324">
        <f>G324/190.8</f>
        <v/>
      </c>
      <c r="I324" t="inlineStr">
        <is>
          <t>W/m²</t>
        </is>
      </c>
    </row>
    <row r="326">
      <c r="A326" s="6" t="inlineStr">
        <is>
          <t>ZEMİN KAT İŞYERİ 5</t>
        </is>
      </c>
      <c r="D326" t="inlineStr">
        <is>
          <t>Net alan 188.7 m², hacim 622.7 m³</t>
        </is>
      </c>
    </row>
    <row r="327">
      <c r="A327" s="11" t="inlineStr">
        <is>
          <t>Eleman</t>
        </is>
      </c>
      <c r="B327" s="11" t="inlineStr">
        <is>
          <t>Uzunluk (m)</t>
        </is>
      </c>
      <c r="C327" s="11" t="inlineStr">
        <is>
          <t>Alan / Hacim</t>
        </is>
      </c>
      <c r="D327" s="11" t="inlineStr">
        <is>
          <t>U / katsayı</t>
        </is>
      </c>
      <c r="E327" s="11" t="inlineStr">
        <is>
          <t>ΔT (K)</t>
        </is>
      </c>
      <c r="F327" s="11" t="inlineStr">
        <is>
          <t>Zam çarpanı</t>
        </is>
      </c>
      <c r="G327" s="11" t="inlineStr">
        <is>
          <t>Q (W)</t>
        </is>
      </c>
    </row>
    <row r="328">
      <c r="A328" s="4" t="inlineStr">
        <is>
          <t>Dış duvar (cephe G)</t>
        </is>
      </c>
      <c r="B328" s="4" t="n">
        <v>5.269326332653919</v>
      </c>
      <c r="C328" s="4" t="n">
        <v>5.22</v>
      </c>
      <c r="D328" s="4" t="n">
        <v>0.5</v>
      </c>
      <c r="E328" s="4" t="n">
        <v>23</v>
      </c>
      <c r="F328" s="4" t="n">
        <v>1.016</v>
      </c>
      <c r="G328" s="4">
        <f>ROUND(C328*D328*E328*F328,0)</f>
        <v/>
      </c>
    </row>
    <row r="329">
      <c r="A329" s="4" t="inlineStr">
        <is>
          <t>Vitrin / kapı (G)</t>
        </is>
      </c>
      <c r="B329" s="4" t="n">
        <v>5.269326332653919</v>
      </c>
      <c r="C329" s="4" t="n">
        <v>12.17</v>
      </c>
      <c r="D329" s="4" t="n">
        <v>1.6</v>
      </c>
      <c r="E329" s="4" t="n">
        <v>23</v>
      </c>
      <c r="F329" s="4" t="n">
        <v>1.02</v>
      </c>
      <c r="G329" s="4">
        <f>ROUND(C329*D329*E329*F329,0)</f>
        <v/>
      </c>
    </row>
    <row r="330">
      <c r="A330" s="4" t="inlineStr">
        <is>
          <t>İç duvar (ısıtılmayan hol/geçit)</t>
        </is>
      </c>
      <c r="B330" s="4" t="n">
        <v>7.2</v>
      </c>
      <c r="C330" s="4" t="n">
        <v>23.76</v>
      </c>
      <c r="D330" s="4" t="n">
        <v>1.2</v>
      </c>
      <c r="E330" s="4" t="n">
        <v>10</v>
      </c>
      <c r="F330" s="4" t="n">
        <v>1.07</v>
      </c>
      <c r="G330" s="4">
        <f>ROUND(C330*D330*E330*F330,0)</f>
        <v/>
      </c>
    </row>
    <row r="331">
      <c r="A331" s="4" t="inlineStr">
        <is>
          <t>Döşeme (kapalı otopark üstü)</t>
        </is>
      </c>
      <c r="B331" s="4" t="n"/>
      <c r="C331" s="4" t="n">
        <v>188.68</v>
      </c>
      <c r="D331" s="4" t="n">
        <v>0.5</v>
      </c>
      <c r="E331" s="4" t="n">
        <v>15</v>
      </c>
      <c r="F331" s="4" t="n">
        <v>1.07</v>
      </c>
      <c r="G331" s="4">
        <f>ROUND(C331*D331*E331*F331,0)</f>
        <v/>
      </c>
    </row>
    <row r="332">
      <c r="A332" s="4" t="inlineStr">
        <is>
          <t>Tavan (ışıklık altı, çatı)</t>
        </is>
      </c>
      <c r="B332" s="4" t="n"/>
      <c r="C332" s="4" t="n">
        <v>21.72</v>
      </c>
      <c r="D332" s="4" t="n">
        <v>0.35</v>
      </c>
      <c r="E332" s="4" t="n">
        <v>23</v>
      </c>
      <c r="F332" s="4" t="n">
        <v>1.07</v>
      </c>
      <c r="G332" s="4">
        <f>ROUND(C332*D332*E332*F332,0)</f>
        <v/>
      </c>
    </row>
    <row r="333">
      <c r="A333" s="4" t="inlineStr">
        <is>
          <t>Havalandırma/sızıntı n=1.5</t>
        </is>
      </c>
      <c r="B333" s="4" t="n"/>
      <c r="C333" s="4" t="n">
        <v>622.7</v>
      </c>
      <c r="D333" s="4" t="n">
        <v>0.51</v>
      </c>
      <c r="E333" s="4" t="n">
        <v>23</v>
      </c>
      <c r="F333" s="4" t="n">
        <v>1</v>
      </c>
      <c r="G333" s="4">
        <f>ROUND(C333*D333*E333*F333,0)</f>
        <v/>
      </c>
    </row>
    <row r="334">
      <c r="A334" s="4" t="inlineStr">
        <is>
          <t>Yeniden ısıtma payı (kesintili, 11 W/m²)</t>
        </is>
      </c>
      <c r="B334" s="4" t="n"/>
      <c r="C334" s="4" t="n">
        <v>188.68</v>
      </c>
      <c r="D334" s="4" t="n">
        <v>11</v>
      </c>
      <c r="E334" s="4" t="n">
        <v>1</v>
      </c>
      <c r="F334" s="4" t="n">
        <v>1</v>
      </c>
      <c r="G334" s="4">
        <f>ROUND(C334*D334*E334*F334,0)</f>
        <v/>
      </c>
    </row>
    <row r="335">
      <c r="F335" s="6" t="inlineStr">
        <is>
          <t>TOPLAM</t>
        </is>
      </c>
      <c r="G335" s="6">
        <f>SUM(G328:G334)</f>
        <v/>
      </c>
      <c r="H335">
        <f>G335/188.7</f>
        <v/>
      </c>
      <c r="I335" t="inlineStr">
        <is>
          <t>W/m²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8" customWidth="1" min="4" max="4"/>
    <col width="52" customWidth="1" min="5" max="5"/>
    <col width="36" customWidth="1" min="6" max="6"/>
    <col width="9" customWidth="1" min="7" max="7"/>
  </cols>
  <sheetData>
    <row r="1">
      <c r="A1" s="1" t="inlineStr">
        <is>
          <t>ROTAŞ MÜHENDİSLİK - VOYAP - MEKANİK TESİSAT HESAPLARI</t>
        </is>
      </c>
    </row>
    <row r="2">
      <c r="A2" s="2" t="inlineStr">
        <is>
          <t>ISITMA SİSTEMİ: KAZAN, DEVRELER, POMPALAR, GENLEŞME, BACA, YERDEN ISITMA / RADYATÖR</t>
        </is>
      </c>
    </row>
    <row r="4">
      <c r="A4" s="11" t="inlineStr">
        <is>
          <t>Bağımsız bölüm</t>
        </is>
      </c>
      <c r="B4" s="11" t="inlineStr">
        <is>
          <t>Alan m²</t>
        </is>
      </c>
      <c r="C4" s="11" t="inlineStr">
        <is>
          <t>Q (W)</t>
        </is>
      </c>
      <c r="D4" s="11" t="inlineStr">
        <is>
          <t>W/m²</t>
        </is>
      </c>
      <c r="E4" s="11" t="inlineStr">
        <is>
          <t>Isıtıcı</t>
        </is>
      </c>
      <c r="F4" s="11" t="inlineStr">
        <is>
          <t>Isı sayacı</t>
        </is>
      </c>
      <c r="G4" s="11" t="inlineStr">
        <is>
          <t>Kontrol</t>
        </is>
      </c>
    </row>
    <row r="5">
      <c r="A5" s="4" t="inlineStr">
        <is>
          <t>1. KAT OFİS A1</t>
        </is>
      </c>
      <c r="B5" s="4" t="n">
        <v>65.09999999999999</v>
      </c>
      <c r="C5" s="4" t="n">
        <v>2739</v>
      </c>
      <c r="D5" s="4" t="n">
        <v>42.1</v>
      </c>
      <c r="E5" s="4" t="inlineStr">
        <is>
          <t>Yerden ısıtma 45/35 °C, PEX 16x2,0 / 15 cm (MTY devreleri)</t>
        </is>
      </c>
      <c r="F5" s="4" t="inlineStr">
        <is>
          <t>Ultrasonik kalorimetre DN15, qp 0,6 m³/h</t>
        </is>
      </c>
      <c r="G5" s="4" t="inlineStr">
        <is>
          <t>UYGUN</t>
        </is>
      </c>
    </row>
    <row r="6">
      <c r="A6" s="4" t="inlineStr">
        <is>
          <t>1. KAT OFİS A2</t>
        </is>
      </c>
      <c r="B6" s="4" t="n">
        <v>65.09999999999999</v>
      </c>
      <c r="C6" s="4" t="n">
        <v>2739</v>
      </c>
      <c r="D6" s="4" t="n">
        <v>42.1</v>
      </c>
      <c r="E6" s="4" t="inlineStr">
        <is>
          <t>Yerden ısıtma 45/35 °C, PEX 16x2,0 / 15 cm (MTY devreleri)</t>
        </is>
      </c>
      <c r="F6" s="4" t="inlineStr">
        <is>
          <t>Ultrasonik kalorimetre DN15, qp 0,6 m³/h</t>
        </is>
      </c>
      <c r="G6" s="4" t="inlineStr">
        <is>
          <t>UYGUN</t>
        </is>
      </c>
    </row>
    <row r="7">
      <c r="A7" s="4" t="inlineStr">
        <is>
          <t>1. KAT OFİS A3</t>
        </is>
      </c>
      <c r="B7" s="4" t="n">
        <v>66.09999999999999</v>
      </c>
      <c r="C7" s="4" t="n">
        <v>2781</v>
      </c>
      <c r="D7" s="4" t="n">
        <v>42.1</v>
      </c>
      <c r="E7" s="4" t="inlineStr">
        <is>
          <t>Yerden ısıtma 45/35 °C, PEX 16x2,0 / 15 cm (MTY devreleri)</t>
        </is>
      </c>
      <c r="F7" s="4" t="inlineStr">
        <is>
          <t>Ultrasonik kalorimetre DN15, qp 0,6 m³/h</t>
        </is>
      </c>
      <c r="G7" s="4" t="inlineStr">
        <is>
          <t>UYGUN</t>
        </is>
      </c>
    </row>
    <row r="8">
      <c r="A8" s="4" t="inlineStr">
        <is>
          <t>1. KAT OFİS B1</t>
        </is>
      </c>
      <c r="B8" s="4" t="n">
        <v>36.6</v>
      </c>
      <c r="C8" s="4" t="n">
        <v>1947</v>
      </c>
      <c r="D8" s="4" t="n">
        <v>53.2</v>
      </c>
      <c r="E8" s="4" t="inlineStr">
        <is>
          <t>Yerden ısıtma 45/35 °C, PEX 16x2,0 / 15 cm (MTY devreleri)</t>
        </is>
      </c>
      <c r="F8" s="4" t="inlineStr">
        <is>
          <t>Ultrasonik kalorimetre DN15, qp 0,6 m³/h</t>
        </is>
      </c>
      <c r="G8" s="4" t="inlineStr">
        <is>
          <t>UYGUN</t>
        </is>
      </c>
    </row>
    <row r="9">
      <c r="A9" s="4" t="inlineStr">
        <is>
          <t>1. KAT OFİS B2</t>
        </is>
      </c>
      <c r="B9" s="4" t="n">
        <v>36.6</v>
      </c>
      <c r="C9" s="4" t="n">
        <v>1652</v>
      </c>
      <c r="D9" s="4" t="n">
        <v>45.1</v>
      </c>
      <c r="E9" s="4" t="inlineStr">
        <is>
          <t>Yerden ısıtma 45/35 °C, PEX 16x2,0 / 15 cm (MTY devreleri)</t>
        </is>
      </c>
      <c r="F9" s="4" t="inlineStr">
        <is>
          <t>Ultrasonik kalorimetre DN15, qp 0,6 m³/h</t>
        </is>
      </c>
      <c r="G9" s="4" t="inlineStr">
        <is>
          <t>UYGUN</t>
        </is>
      </c>
    </row>
    <row r="10">
      <c r="A10" s="4" t="inlineStr">
        <is>
          <t>1. KAT OFİS B3</t>
        </is>
      </c>
      <c r="B10" s="4" t="n">
        <v>37.1</v>
      </c>
      <c r="C10" s="4" t="n">
        <v>1676</v>
      </c>
      <c r="D10" s="4" t="n">
        <v>45.1</v>
      </c>
      <c r="E10" s="4" t="inlineStr">
        <is>
          <t>Yerden ısıtma 45/35 °C, PEX 16x2,0 / 15 cm (MTY devreleri)</t>
        </is>
      </c>
      <c r="F10" s="4" t="inlineStr">
        <is>
          <t>Ultrasonik kalorimetre DN15, qp 0,6 m³/h</t>
        </is>
      </c>
      <c r="G10" s="4" t="inlineStr">
        <is>
          <t>UYGUN</t>
        </is>
      </c>
    </row>
    <row r="11">
      <c r="A11" s="4" t="inlineStr">
        <is>
          <t>1. KAT OFİS C1</t>
        </is>
      </c>
      <c r="B11" s="4" t="n">
        <v>37.5</v>
      </c>
      <c r="C11" s="4" t="n">
        <v>1987</v>
      </c>
      <c r="D11" s="4" t="n">
        <v>53</v>
      </c>
      <c r="E11" s="4" t="inlineStr">
        <is>
          <t>Yerden ısıtma 45/35 °C, PEX 16x2,0 / 15 cm (MTY devreleri)</t>
        </is>
      </c>
      <c r="F11" s="4" t="inlineStr">
        <is>
          <t>Ultrasonik kalorimetre DN15, qp 0,6 m³/h</t>
        </is>
      </c>
      <c r="G11" s="4" t="inlineStr">
        <is>
          <t>UYGUN</t>
        </is>
      </c>
    </row>
    <row r="12">
      <c r="A12" s="4" t="inlineStr">
        <is>
          <t>1. KAT OFİS C2</t>
        </is>
      </c>
      <c r="B12" s="4" t="n">
        <v>40.8</v>
      </c>
      <c r="C12" s="4" t="n">
        <v>1795</v>
      </c>
      <c r="D12" s="4" t="n">
        <v>44</v>
      </c>
      <c r="E12" s="4" t="inlineStr">
        <is>
          <t>Yerden ısıtma 45/35 °C, PEX 16x2,0 / 15 cm (MTY devreleri)</t>
        </is>
      </c>
      <c r="F12" s="4" t="inlineStr">
        <is>
          <t>Ultrasonik kalorimetre DN15, qp 0,6 m³/h</t>
        </is>
      </c>
      <c r="G12" s="4" t="inlineStr">
        <is>
          <t>UYGUN</t>
        </is>
      </c>
    </row>
    <row r="13">
      <c r="A13" s="4" t="inlineStr">
        <is>
          <t>1. KAT OFİS C3</t>
        </is>
      </c>
      <c r="B13" s="4" t="n">
        <v>37</v>
      </c>
      <c r="C13" s="4" t="n">
        <v>1506</v>
      </c>
      <c r="D13" s="4" t="n">
        <v>40.7</v>
      </c>
      <c r="E13" s="4" t="inlineStr">
        <is>
          <t>Yerden ısıtma 45/35 °C, PEX 16x2,0 / 15 cm (MTY devreleri)</t>
        </is>
      </c>
      <c r="F13" s="4" t="inlineStr">
        <is>
          <t>Ultrasonik kalorimetre DN15, qp 0,6 m³/h</t>
        </is>
      </c>
      <c r="G13" s="4" t="inlineStr">
        <is>
          <t>UYGUN</t>
        </is>
      </c>
    </row>
    <row r="14">
      <c r="A14" s="4" t="inlineStr">
        <is>
          <t>1. KAT OFİS D1</t>
        </is>
      </c>
      <c r="B14" s="4" t="n">
        <v>51.1</v>
      </c>
      <c r="C14" s="4" t="n">
        <v>2428</v>
      </c>
      <c r="D14" s="4" t="n">
        <v>47.5</v>
      </c>
      <c r="E14" s="4" t="inlineStr">
        <is>
          <t>Yerden ısıtma 45/35 °C, PEX 16x2,0 / 15 cm (MTY devreleri)</t>
        </is>
      </c>
      <c r="F14" s="4" t="inlineStr">
        <is>
          <t>Ultrasonik kalorimetre DN15, qp 0,6 m³/h</t>
        </is>
      </c>
      <c r="G14" s="4" t="inlineStr">
        <is>
          <t>UYGUN</t>
        </is>
      </c>
    </row>
    <row r="15">
      <c r="A15" s="4" t="inlineStr">
        <is>
          <t>1. KAT OFİS D2</t>
        </is>
      </c>
      <c r="B15" s="4" t="n">
        <v>37.4</v>
      </c>
      <c r="C15" s="4" t="n">
        <v>1624</v>
      </c>
      <c r="D15" s="4" t="n">
        <v>43.4</v>
      </c>
      <c r="E15" s="4" t="inlineStr">
        <is>
          <t>Yerden ısıtma 45/35 °C, PEX 16x2,0 / 15 cm (MTY devreleri)</t>
        </is>
      </c>
      <c r="F15" s="4" t="inlineStr">
        <is>
          <t>Ultrasonik kalorimetre DN15, qp 0,6 m³/h</t>
        </is>
      </c>
      <c r="G15" s="4" t="inlineStr">
        <is>
          <t>UYGUN</t>
        </is>
      </c>
    </row>
    <row r="16">
      <c r="A16" s="4" t="inlineStr">
        <is>
          <t>1. KAT OFİS D3</t>
        </is>
      </c>
      <c r="B16" s="4" t="n">
        <v>39.7</v>
      </c>
      <c r="C16" s="4" t="n">
        <v>1667</v>
      </c>
      <c r="D16" s="4" t="n">
        <v>42</v>
      </c>
      <c r="E16" s="4" t="inlineStr">
        <is>
          <t>Yerden ısıtma 45/35 °C, PEX 16x2,0 / 15 cm (MTY devreleri)</t>
        </is>
      </c>
      <c r="F16" s="4" t="inlineStr">
        <is>
          <t>Ultrasonik kalorimetre DN15, qp 0,6 m³/h</t>
        </is>
      </c>
      <c r="G16" s="4" t="inlineStr">
        <is>
          <t>UYGUN</t>
        </is>
      </c>
    </row>
    <row r="17">
      <c r="A17" s="4" t="inlineStr">
        <is>
          <t>1. KAT OFİS E1</t>
        </is>
      </c>
      <c r="B17" s="4" t="n">
        <v>69.5</v>
      </c>
      <c r="C17" s="4" t="n">
        <v>3305</v>
      </c>
      <c r="D17" s="4" t="n">
        <v>47.5</v>
      </c>
      <c r="E17" s="4" t="inlineStr">
        <is>
          <t>Yerden ısıtma 45/35 °C, PEX 16x2,0 / 15 cm (MTY devreleri)</t>
        </is>
      </c>
      <c r="F17" s="4" t="inlineStr">
        <is>
          <t>Ultrasonik kalorimetre DN15, qp 0,6 m³/h</t>
        </is>
      </c>
      <c r="G17" s="4" t="inlineStr">
        <is>
          <t>UYGUN</t>
        </is>
      </c>
    </row>
    <row r="18">
      <c r="A18" s="4" t="inlineStr">
        <is>
          <t>1. KAT OFİS E2</t>
        </is>
      </c>
      <c r="B18" s="4" t="n">
        <v>69.59999999999999</v>
      </c>
      <c r="C18" s="4" t="n">
        <v>2779</v>
      </c>
      <c r="D18" s="4" t="n">
        <v>39.9</v>
      </c>
      <c r="E18" s="4" t="inlineStr">
        <is>
          <t>Yerden ısıtma 45/35 °C, PEX 16x2,0 / 15 cm (MTY devreleri)</t>
        </is>
      </c>
      <c r="F18" s="4" t="inlineStr">
        <is>
          <t>Ultrasonik kalorimetre DN15, qp 0,6 m³/h</t>
        </is>
      </c>
      <c r="G18" s="4" t="inlineStr">
        <is>
          <t>UYGUN</t>
        </is>
      </c>
    </row>
    <row r="19">
      <c r="A19" s="4" t="inlineStr">
        <is>
          <t>2. KAT OFİS A1</t>
        </is>
      </c>
      <c r="B19" s="4" t="n">
        <v>65.09999999999999</v>
      </c>
      <c r="C19" s="4" t="n">
        <v>3299</v>
      </c>
      <c r="D19" s="4" t="n">
        <v>50.7</v>
      </c>
      <c r="E19" s="4" t="inlineStr">
        <is>
          <t>Yerden ısıtma 45/35 °C, PEX 16x2,0 / 15 cm (MTY devreleri)</t>
        </is>
      </c>
      <c r="F19" s="4" t="inlineStr">
        <is>
          <t>Ultrasonik kalorimetre DN15, qp 0,6 m³/h</t>
        </is>
      </c>
      <c r="G19" s="4" t="inlineStr">
        <is>
          <t>UYGUN</t>
        </is>
      </c>
    </row>
    <row r="20">
      <c r="A20" s="4" t="inlineStr">
        <is>
          <t>2. KAT OFİS A2</t>
        </is>
      </c>
      <c r="B20" s="4" t="n">
        <v>65.09999999999999</v>
      </c>
      <c r="C20" s="4" t="n">
        <v>3299</v>
      </c>
      <c r="D20" s="4" t="n">
        <v>50.7</v>
      </c>
      <c r="E20" s="4" t="inlineStr">
        <is>
          <t>Yerden ısıtma 45/35 °C, PEX 16x2,0 / 15 cm (MTY devreleri)</t>
        </is>
      </c>
      <c r="F20" s="4" t="inlineStr">
        <is>
          <t>Ultrasonik kalorimetre DN15, qp 0,6 m³/h</t>
        </is>
      </c>
      <c r="G20" s="4" t="inlineStr">
        <is>
          <t>UYGUN</t>
        </is>
      </c>
    </row>
    <row r="21">
      <c r="A21" s="4" t="inlineStr">
        <is>
          <t>2. KAT OFİS A3</t>
        </is>
      </c>
      <c r="B21" s="4" t="n">
        <v>66.09999999999999</v>
      </c>
      <c r="C21" s="4" t="n">
        <v>3350</v>
      </c>
      <c r="D21" s="4" t="n">
        <v>50.7</v>
      </c>
      <c r="E21" s="4" t="inlineStr">
        <is>
          <t>Yerden ısıtma 45/35 °C, PEX 16x2,0 / 15 cm (MTY devreleri)</t>
        </is>
      </c>
      <c r="F21" s="4" t="inlineStr">
        <is>
          <t>Ultrasonik kalorimetre DN15, qp 0,6 m³/h</t>
        </is>
      </c>
      <c r="G21" s="4" t="inlineStr">
        <is>
          <t>UYGUN</t>
        </is>
      </c>
    </row>
    <row r="22">
      <c r="A22" s="4" t="inlineStr">
        <is>
          <t>2. KAT OFİS B1</t>
        </is>
      </c>
      <c r="B22" s="4" t="n">
        <v>36.6</v>
      </c>
      <c r="C22" s="4" t="n">
        <v>2162</v>
      </c>
      <c r="D22" s="4" t="n">
        <v>59.1</v>
      </c>
      <c r="E22" s="4" t="inlineStr">
        <is>
          <t>Yerden ısıtma 45/35 °C, PEX 16x2,0 / 15 cm (MTY devreleri)</t>
        </is>
      </c>
      <c r="F22" s="4" t="inlineStr">
        <is>
          <t>Ultrasonik kalorimetre DN15, qp 0,6 m³/h</t>
        </is>
      </c>
      <c r="G22" s="4" t="inlineStr">
        <is>
          <t>UYGUN</t>
        </is>
      </c>
    </row>
    <row r="23">
      <c r="A23" s="4" t="inlineStr">
        <is>
          <t>2. KAT OFİS B2</t>
        </is>
      </c>
      <c r="B23" s="4" t="n">
        <v>36.6</v>
      </c>
      <c r="C23" s="4" t="n">
        <v>1868</v>
      </c>
      <c r="D23" s="4" t="n">
        <v>51</v>
      </c>
      <c r="E23" s="4" t="inlineStr">
        <is>
          <t>Yerden ısıtma 45/35 °C, PEX 16x2,0 / 15 cm (MTY devreleri)</t>
        </is>
      </c>
      <c r="F23" s="4" t="inlineStr">
        <is>
          <t>Ultrasonik kalorimetre DN15, qp 0,6 m³/h</t>
        </is>
      </c>
      <c r="G23" s="4" t="inlineStr">
        <is>
          <t>UYGUN</t>
        </is>
      </c>
    </row>
    <row r="24">
      <c r="A24" s="4" t="inlineStr">
        <is>
          <t>2. KAT OFİS B3</t>
        </is>
      </c>
      <c r="B24" s="4" t="n">
        <v>37.1</v>
      </c>
      <c r="C24" s="4" t="n">
        <v>1894</v>
      </c>
      <c r="D24" s="4" t="n">
        <v>51</v>
      </c>
      <c r="E24" s="4" t="inlineStr">
        <is>
          <t>Yerden ısıtma 45/35 °C, PEX 16x2,0 / 15 cm (MTY devreleri)</t>
        </is>
      </c>
      <c r="F24" s="4" t="inlineStr">
        <is>
          <t>Ultrasonik kalorimetre DN15, qp 0,6 m³/h</t>
        </is>
      </c>
      <c r="G24" s="4" t="inlineStr">
        <is>
          <t>UYGUN</t>
        </is>
      </c>
    </row>
    <row r="25">
      <c r="A25" s="4" t="inlineStr">
        <is>
          <t>2. KAT OFİS C1</t>
        </is>
      </c>
      <c r="B25" s="4" t="n">
        <v>37.5</v>
      </c>
      <c r="C25" s="4" t="n">
        <v>2209</v>
      </c>
      <c r="D25" s="4" t="n">
        <v>58.9</v>
      </c>
      <c r="E25" s="4" t="inlineStr">
        <is>
          <t>Yerden ısıtma 45/35 °C, PEX 16x2,0 / 15 cm (MTY devreleri)</t>
        </is>
      </c>
      <c r="F25" s="4" t="inlineStr">
        <is>
          <t>Ultrasonik kalorimetre DN15, qp 0,6 m³/h</t>
        </is>
      </c>
      <c r="G25" s="4" t="inlineStr">
        <is>
          <t>UYGUN</t>
        </is>
      </c>
    </row>
    <row r="26">
      <c r="A26" s="4" t="inlineStr">
        <is>
          <t>2. KAT OFİS C2</t>
        </is>
      </c>
      <c r="B26" s="4" t="n">
        <v>40.8</v>
      </c>
      <c r="C26" s="4" t="n">
        <v>2027</v>
      </c>
      <c r="D26" s="4" t="n">
        <v>49.6</v>
      </c>
      <c r="E26" s="4" t="inlineStr">
        <is>
          <t>Yerden ısıtma 45/35 °C, PEX 16x2,0 / 15 cm (MTY devreleri)</t>
        </is>
      </c>
      <c r="F26" s="4" t="inlineStr">
        <is>
          <t>Ultrasonik kalorimetre DN15, qp 0,6 m³/h</t>
        </is>
      </c>
      <c r="G26" s="4" t="inlineStr">
        <is>
          <t>UYGUN</t>
        </is>
      </c>
    </row>
    <row r="27">
      <c r="A27" s="4" t="inlineStr">
        <is>
          <t>2. KAT OFİS C3</t>
        </is>
      </c>
      <c r="B27" s="4" t="n">
        <v>37</v>
      </c>
      <c r="C27" s="4" t="n">
        <v>1703</v>
      </c>
      <c r="D27" s="4" t="n">
        <v>46</v>
      </c>
      <c r="E27" s="4" t="inlineStr">
        <is>
          <t>Yerden ısıtma 45/35 °C, PEX 16x2,0 / 15 cm (MTY devreleri)</t>
        </is>
      </c>
      <c r="F27" s="4" t="inlineStr">
        <is>
          <t>Ultrasonik kalorimetre DN15, qp 0,6 m³/h</t>
        </is>
      </c>
      <c r="G27" s="4" t="inlineStr">
        <is>
          <t>UYGUN</t>
        </is>
      </c>
    </row>
    <row r="28">
      <c r="A28" s="4" t="inlineStr">
        <is>
          <t>2. KAT OFİS D1</t>
        </is>
      </c>
      <c r="B28" s="4" t="n">
        <v>51.1</v>
      </c>
      <c r="C28" s="4" t="n">
        <v>2868</v>
      </c>
      <c r="D28" s="4" t="n">
        <v>56.1</v>
      </c>
      <c r="E28" s="4" t="inlineStr">
        <is>
          <t>Yerden ısıtma 45/35 °C, PEX 16x2,0 / 15 cm (MTY devreleri)</t>
        </is>
      </c>
      <c r="F28" s="4" t="inlineStr">
        <is>
          <t>Ultrasonik kalorimetre DN15, qp 0,6 m³/h</t>
        </is>
      </c>
      <c r="G28" s="4" t="inlineStr">
        <is>
          <t>UYGUN</t>
        </is>
      </c>
    </row>
    <row r="29">
      <c r="A29" s="4" t="inlineStr">
        <is>
          <t>2. KAT OFİS D2</t>
        </is>
      </c>
      <c r="B29" s="4" t="n">
        <v>37.4</v>
      </c>
      <c r="C29" s="4" t="n">
        <v>1859</v>
      </c>
      <c r="D29" s="4" t="n">
        <v>49.7</v>
      </c>
      <c r="E29" s="4" t="inlineStr">
        <is>
          <t>Yerden ısıtma 45/35 °C, PEX 16x2,0 / 15 cm (MTY devreleri)</t>
        </is>
      </c>
      <c r="F29" s="4" t="inlineStr">
        <is>
          <t>Ultrasonik kalorimetre DN15, qp 0,6 m³/h</t>
        </is>
      </c>
      <c r="G29" s="4" t="inlineStr">
        <is>
          <t>UYGUN</t>
        </is>
      </c>
    </row>
    <row r="30">
      <c r="A30" s="4" t="inlineStr">
        <is>
          <t>2. KAT OFİS D3</t>
        </is>
      </c>
      <c r="B30" s="4" t="n">
        <v>39.7</v>
      </c>
      <c r="C30" s="4" t="n">
        <v>1932</v>
      </c>
      <c r="D30" s="4" t="n">
        <v>48.7</v>
      </c>
      <c r="E30" s="4" t="inlineStr">
        <is>
          <t>Yerden ısıtma 45/35 °C, PEX 16x2,0 / 15 cm (MTY devreleri)</t>
        </is>
      </c>
      <c r="F30" s="4" t="inlineStr">
        <is>
          <t>Ultrasonik kalorimetre DN15, qp 0,6 m³/h</t>
        </is>
      </c>
      <c r="G30" s="4" t="inlineStr">
        <is>
          <t>UYGUN</t>
        </is>
      </c>
    </row>
    <row r="31">
      <c r="A31" s="4" t="inlineStr">
        <is>
          <t>2. KAT OFİS E1</t>
        </is>
      </c>
      <c r="B31" s="4" t="n">
        <v>69.5</v>
      </c>
      <c r="C31" s="4" t="n">
        <v>3904</v>
      </c>
      <c r="D31" s="4" t="n">
        <v>56.2</v>
      </c>
      <c r="E31" s="4" t="inlineStr">
        <is>
          <t>Yerden ısıtma 45/35 °C, PEX 16x2,0 / 15 cm (MTY devreleri)</t>
        </is>
      </c>
      <c r="F31" s="4" t="inlineStr">
        <is>
          <t>Ultrasonik kalorimetre DN15, qp 0,6 m³/h</t>
        </is>
      </c>
      <c r="G31" s="4" t="inlineStr">
        <is>
          <t>UYGUN</t>
        </is>
      </c>
    </row>
    <row r="32">
      <c r="A32" s="4" t="inlineStr">
        <is>
          <t>2. KAT OFİS E2</t>
        </is>
      </c>
      <c r="B32" s="4" t="n">
        <v>69.59999999999999</v>
      </c>
      <c r="C32" s="4" t="n">
        <v>3379</v>
      </c>
      <c r="D32" s="4" t="n">
        <v>48.5</v>
      </c>
      <c r="E32" s="4" t="inlineStr">
        <is>
          <t>Yerden ısıtma 45/35 °C, PEX 16x2,0 / 15 cm (MTY devreleri)</t>
        </is>
      </c>
      <c r="F32" s="4" t="inlineStr">
        <is>
          <t>Ultrasonik kalorimetre DN15, qp 0,6 m³/h</t>
        </is>
      </c>
      <c r="G32" s="4" t="inlineStr">
        <is>
          <t>UYGUN</t>
        </is>
      </c>
    </row>
    <row r="33">
      <c r="A33" s="4" t="inlineStr">
        <is>
          <t>ZEMİN KAT İŞYERİ 1</t>
        </is>
      </c>
      <c r="B33" s="4" t="n">
        <v>144.8</v>
      </c>
      <c r="C33" s="4" t="n">
        <v>9230</v>
      </c>
      <c r="D33" s="4" t="n">
        <v>63.7</v>
      </c>
      <c r="E33" s="4" t="inlineStr">
        <is>
          <t>4 ad. PKKP 600 / 160 mm (1473 W/m, 70/50/20)</t>
        </is>
      </c>
      <c r="F33" s="4" t="inlineStr">
        <is>
          <t>Ultrasonik kalorimetre DN20, qp 1,5 m³/h</t>
        </is>
      </c>
      <c r="G33" s="4" t="inlineStr">
        <is>
          <t>UYGUN</t>
        </is>
      </c>
    </row>
    <row r="34">
      <c r="A34" s="4" t="inlineStr">
        <is>
          <t>ZEMİN KAT İŞYERİ 2</t>
        </is>
      </c>
      <c r="B34" s="4" t="n">
        <v>151.4</v>
      </c>
      <c r="C34" s="4" t="n">
        <v>9655</v>
      </c>
      <c r="D34" s="4" t="n">
        <v>63.8</v>
      </c>
      <c r="E34" s="4" t="inlineStr">
        <is>
          <t>4 ad. PKKP 600 / 170 mm (1473 W/m, 70/50/20)</t>
        </is>
      </c>
      <c r="F34" s="4" t="inlineStr">
        <is>
          <t>Ultrasonik kalorimetre DN20, qp 1,5 m³/h</t>
        </is>
      </c>
      <c r="G34" s="4" t="inlineStr">
        <is>
          <t>UYGUN</t>
        </is>
      </c>
    </row>
    <row r="35">
      <c r="A35" s="4" t="inlineStr">
        <is>
          <t>ZEMİN KAT İŞYERİ 3</t>
        </is>
      </c>
      <c r="B35" s="4" t="n">
        <v>150.6</v>
      </c>
      <c r="C35" s="4" t="n">
        <v>11107</v>
      </c>
      <c r="D35" s="4" t="n">
        <v>73.7</v>
      </c>
      <c r="E35" s="4" t="inlineStr">
        <is>
          <t>4 ad. PKKP 600 / 190 mm (1473 W/m, 70/50/20)</t>
        </is>
      </c>
      <c r="F35" s="4" t="inlineStr">
        <is>
          <t>Ultrasonik kalorimetre DN20, qp 1,5 m³/h</t>
        </is>
      </c>
      <c r="G35" s="4" t="inlineStr">
        <is>
          <t>UYGUN</t>
        </is>
      </c>
    </row>
    <row r="36">
      <c r="A36" s="4" t="inlineStr">
        <is>
          <t>ZEMİN KAT İŞYERİ 4</t>
        </is>
      </c>
      <c r="B36" s="4" t="n">
        <v>190.8</v>
      </c>
      <c r="C36" s="4" t="n">
        <v>12541</v>
      </c>
      <c r="D36" s="4" t="n">
        <v>65.7</v>
      </c>
      <c r="E36" s="4" t="inlineStr">
        <is>
          <t>5 ad. PKKP 600 / 180 mm (1473 W/m, 70/50/20)</t>
        </is>
      </c>
      <c r="F36" s="4" t="inlineStr">
        <is>
          <t>Ultrasonik kalorimetre DN20, qp 1,5 m³/h</t>
        </is>
      </c>
      <c r="G36" s="4" t="inlineStr">
        <is>
          <t>UYGUN</t>
        </is>
      </c>
    </row>
    <row r="37">
      <c r="A37" s="4" t="inlineStr">
        <is>
          <t>ZEMİN KAT İŞYERİ 5</t>
        </is>
      </c>
      <c r="B37" s="4" t="n">
        <v>188.7</v>
      </c>
      <c r="C37" s="4" t="n">
        <v>11904</v>
      </c>
      <c r="D37" s="4" t="n">
        <v>63.1</v>
      </c>
      <c r="E37" s="4" t="inlineStr">
        <is>
          <t>5 ad. PKKP 600 / 170 mm (1473 W/m, 70/50/20)</t>
        </is>
      </c>
      <c r="F37" s="4" t="inlineStr">
        <is>
          <t>Ultrasonik kalorimetre DN20, qp 1,5 m³/h</t>
        </is>
      </c>
      <c r="G37" s="4" t="inlineStr">
        <is>
          <t>UYGUN</t>
        </is>
      </c>
    </row>
    <row r="39">
      <c r="A39" s="11" t="inlineStr">
        <is>
          <t>Kalem</t>
        </is>
      </c>
      <c r="B39" s="11" t="inlineStr">
        <is>
          <t>Sembol</t>
        </is>
      </c>
      <c r="C39" s="11" t="inlineStr">
        <is>
          <t>Değer</t>
        </is>
      </c>
      <c r="D39" s="11" t="inlineStr">
        <is>
          <t>Birim</t>
        </is>
      </c>
      <c r="E39" s="11" t="inlineStr">
        <is>
          <t>Açıklama</t>
        </is>
      </c>
    </row>
    <row r="40">
      <c r="A40" s="4" t="inlineStr">
        <is>
          <t>Ofis ısı kaybı toplamı</t>
        </is>
      </c>
      <c r="B40" s="4" t="inlineStr">
        <is>
          <t>Qo</t>
        </is>
      </c>
      <c r="C40" s="4" t="n">
        <v>66.40000000000001</v>
      </c>
      <c r="D40" s="4" t="inlineStr">
        <is>
          <t>kW</t>
        </is>
      </c>
      <c r="E40" s="4" t="inlineStr"/>
    </row>
    <row r="41">
      <c r="A41" s="4" t="inlineStr">
        <is>
          <t>Dükkân ısı kaybı toplamı</t>
        </is>
      </c>
      <c r="B41" s="4" t="inlineStr">
        <is>
          <t>Qd</t>
        </is>
      </c>
      <c r="C41" s="4" t="n">
        <v>54.4</v>
      </c>
      <c r="D41" s="4" t="inlineStr">
        <is>
          <t>kW</t>
        </is>
      </c>
      <c r="E41" s="4" t="inlineStr"/>
    </row>
    <row r="42">
      <c r="A42" s="4" t="inlineStr">
        <is>
          <t>Boyler serpantin gücü</t>
        </is>
      </c>
      <c r="B42" s="4" t="inlineStr">
        <is>
          <t>Qb</t>
        </is>
      </c>
      <c r="C42" s="4" t="n">
        <v>48.4</v>
      </c>
      <c r="D42" s="4" t="inlineStr">
        <is>
          <t>kW</t>
        </is>
      </c>
      <c r="E42" s="4" t="inlineStr">
        <is>
          <t>Sıhhi sayfası</t>
        </is>
      </c>
    </row>
    <row r="43">
      <c r="A43" s="4" t="inlineStr">
        <is>
          <t>Kazan hesap gücü</t>
        </is>
      </c>
      <c r="B43" s="4" t="inlineStr">
        <is>
          <t>Qk</t>
        </is>
      </c>
      <c r="C43" s="4">
        <f>ROUND((C40+C41)*1.1+C42*0.5,1)</f>
        <v/>
      </c>
      <c r="D43" s="4" t="inlineStr">
        <is>
          <t>kW</t>
        </is>
      </c>
      <c r="E43" s="4" t="inlineStr">
        <is>
          <t>1,10 x ısıtma + 0,5 x boyler (öncelikli değil)</t>
        </is>
      </c>
    </row>
    <row r="44">
      <c r="A44" s="4" t="inlineStr">
        <is>
          <t>Seçilen kazan</t>
        </is>
      </c>
      <c r="B44" s="4" t="inlineStr"/>
      <c r="C44" s="4" t="inlineStr">
        <is>
          <t>3 x 60 kW = 180 kW</t>
        </is>
      </c>
      <c r="D44" s="4" t="inlineStr"/>
      <c r="E44" s="4" t="inlineStr">
        <is>
          <t>Duvar tipi yoğuşmalı kaskad kazan (doğalgaz)</t>
        </is>
      </c>
    </row>
    <row r="45">
      <c r="A45" s="4" t="inlineStr">
        <is>
          <t>Doğalgaz tüketimi</t>
        </is>
      </c>
      <c r="B45" s="4" t="inlineStr">
        <is>
          <t>Vg</t>
        </is>
      </c>
      <c r="C45" s="4" t="n">
        <v>19.1</v>
      </c>
      <c r="D45" s="4" t="inlineStr">
        <is>
          <t>m³/h</t>
        </is>
      </c>
      <c r="E45" s="4" t="inlineStr">
        <is>
          <t>Q / (8250 x 0,98)</t>
        </is>
      </c>
    </row>
    <row r="46">
      <c r="A46" s="4" t="inlineStr">
        <is>
          <t>Baca kesiti (F = 0,012 Q/√h)</t>
        </is>
      </c>
      <c r="B46" s="4" t="inlineStr">
        <is>
          <t>F</t>
        </is>
      </c>
      <c r="C46" s="4" t="n">
        <v>488</v>
      </c>
      <c r="D46" s="4" t="inlineStr">
        <is>
          <t>cm²</t>
        </is>
      </c>
      <c r="E46" s="4" t="inlineStr">
        <is>
          <t>h=14.5 m → Ø250 (TS EN 13384 ile teyit)</t>
        </is>
      </c>
    </row>
    <row r="47">
      <c r="A47" s="4" t="inlineStr">
        <is>
          <t>Kazan dairesi alt menfez</t>
        </is>
      </c>
      <c r="B47" s="4" t="inlineStr"/>
      <c r="C47" s="4" t="n">
        <v>900</v>
      </c>
      <c r="D47" s="4" t="inlineStr">
        <is>
          <t>cm²</t>
        </is>
      </c>
      <c r="E47" s="4" t="inlineStr">
        <is>
          <t>5 cm²/kW, min 300 (gaz şartnamesiyle kesinleşir)</t>
        </is>
      </c>
    </row>
    <row r="48">
      <c r="A48" s="4" t="inlineStr">
        <is>
          <t>Kazan dairesi üst menfez</t>
        </is>
      </c>
      <c r="B48" s="4" t="inlineStr"/>
      <c r="C48" s="4" t="n">
        <v>450</v>
      </c>
      <c r="D48" s="4" t="inlineStr">
        <is>
          <t>cm²</t>
        </is>
      </c>
      <c r="E48" s="4" t="inlineStr">
        <is>
          <t>alt menfezin %50si</t>
        </is>
      </c>
    </row>
    <row r="49">
      <c r="A49" s="4" t="inlineStr">
        <is>
          <t>Tesisat su hacmi</t>
        </is>
      </c>
      <c r="B49" s="4" t="inlineStr">
        <is>
          <t>Vs</t>
        </is>
      </c>
      <c r="C49" s="4" t="n">
        <v>2280</v>
      </c>
      <c r="D49" s="4" t="inlineStr">
        <is>
          <t>l</t>
        </is>
      </c>
      <c r="E49" s="4" t="inlineStr">
        <is>
          <t>Y.I. 18,5 l/kW, panel 8,3 l/kW, kazan 3 l/kW</t>
        </is>
      </c>
    </row>
    <row r="50">
      <c r="A50" s="4" t="inlineStr">
        <is>
          <t>Genleşme hacmi (70 °C)</t>
        </is>
      </c>
      <c r="B50" s="4" t="inlineStr">
        <is>
          <t>ΔV</t>
        </is>
      </c>
      <c r="C50" s="4" t="n">
        <v>51.1</v>
      </c>
      <c r="D50" s="4" t="inlineStr">
        <is>
          <t>l</t>
        </is>
      </c>
      <c r="E50" s="4" t="inlineStr">
        <is>
          <t>n = 0,0224</t>
        </is>
      </c>
    </row>
    <row r="51">
      <c r="A51" s="4" t="inlineStr">
        <is>
          <t>Ön basınç</t>
        </is>
      </c>
      <c r="B51" s="4" t="inlineStr">
        <is>
          <t>Po</t>
        </is>
      </c>
      <c r="C51" s="4" t="n">
        <v>1.4</v>
      </c>
      <c r="D51" s="4" t="inlineStr">
        <is>
          <t>bar</t>
        </is>
      </c>
      <c r="E51" s="4" t="inlineStr">
        <is>
          <t>statik yükseklik/10</t>
        </is>
      </c>
    </row>
    <row r="52">
      <c r="A52" s="4" t="inlineStr">
        <is>
          <t>Genleşme tankı</t>
        </is>
      </c>
      <c r="B52" s="4" t="inlineStr">
        <is>
          <t>Vn</t>
        </is>
      </c>
      <c r="C52" s="4" t="n">
        <v>199</v>
      </c>
      <c r="D52" s="4" t="inlineStr">
        <is>
          <t>l</t>
        </is>
      </c>
      <c r="E52" s="4" t="inlineStr">
        <is>
          <t>seçilen 200 L, emniyet 3 bar</t>
        </is>
      </c>
    </row>
    <row r="54">
      <c r="A54" s="11" t="inlineStr">
        <is>
          <t>Devre</t>
        </is>
      </c>
      <c r="B54" s="11" t="inlineStr">
        <is>
          <t>Q (kW)</t>
        </is>
      </c>
      <c r="C54" s="11" t="inlineStr">
        <is>
          <t>ΔT (K)</t>
        </is>
      </c>
      <c r="D54" s="11" t="inlineStr">
        <is>
          <t>Debi (m³/h)</t>
        </is>
      </c>
      <c r="E54" s="11" t="inlineStr">
        <is>
          <t>Ana boru</t>
        </is>
      </c>
      <c r="F54" s="11" t="inlineStr">
        <is>
          <t>Pompa H (mSS)</t>
        </is>
      </c>
      <c r="G54" s="11" t="inlineStr">
        <is>
          <t>Pompa P (kW)</t>
        </is>
      </c>
    </row>
    <row r="55">
      <c r="A55" s="4" t="inlineStr">
        <is>
          <t>OFİS YERDEN ISITMA (45/35 °C, karışım vanalı)</t>
        </is>
      </c>
      <c r="B55" s="4" t="n">
        <v>66.40000000000001</v>
      </c>
      <c r="C55" s="4" t="n">
        <v>10</v>
      </c>
      <c r="D55" s="4" t="n">
        <v>5.72</v>
      </c>
      <c r="E55" s="4" t="inlineStr">
        <is>
          <t>DN50</t>
        </is>
      </c>
      <c r="F55" s="4" t="n">
        <v>11.6</v>
      </c>
      <c r="G55" s="4" t="n">
        <v>0.36</v>
      </c>
    </row>
    <row r="56">
      <c r="A56" s="4" t="inlineStr">
        <is>
          <t>DÜKKÂN RADYATÖR (70/50 °C)</t>
        </is>
      </c>
      <c r="B56" s="4" t="n">
        <v>54.4</v>
      </c>
      <c r="C56" s="4" t="n">
        <v>20</v>
      </c>
      <c r="D56" s="4" t="n">
        <v>2.34</v>
      </c>
      <c r="E56" s="4" t="inlineStr">
        <is>
          <t>DN32</t>
        </is>
      </c>
      <c r="F56" s="4" t="n">
        <v>7.7</v>
      </c>
      <c r="G56" s="4" t="n">
        <v>0.1</v>
      </c>
    </row>
    <row r="57">
      <c r="A57" s="4" t="inlineStr">
        <is>
          <t>BOYLER SERPANTİNİ (75/55 °C)</t>
        </is>
      </c>
      <c r="B57" s="4" t="n">
        <v>48.4</v>
      </c>
      <c r="C57" s="4" t="n">
        <v>20</v>
      </c>
      <c r="D57" s="4" t="n">
        <v>2.08</v>
      </c>
      <c r="E57" s="4" t="inlineStr">
        <is>
          <t>DN32</t>
        </is>
      </c>
      <c r="F57" s="4" t="n">
        <v>3.3</v>
      </c>
      <c r="G57" s="4" t="n">
        <v>0.04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64" customWidth="1" min="1" max="1"/>
    <col width="10" customWidth="1" min="2" max="2"/>
    <col width="10" customWidth="1" min="3" max="3"/>
    <col width="12" customWidth="1" min="4" max="4"/>
    <col width="30" customWidth="1" min="5" max="5"/>
  </cols>
  <sheetData>
    <row r="1">
      <c r="A1" s="1" t="inlineStr">
        <is>
          <t>ROTAŞ MÜHENDİSLİK - VOYAP - MEKANİK TESİSAT HESAPLARI</t>
        </is>
      </c>
    </row>
    <row r="2">
      <c r="A2" s="2" t="inlineStr">
        <is>
          <t>TEMİZ SU / SICAK SU / SİRKÜLASYON / HİDROFOR / DEPO / BOYLER (TS 1258, kullanıcının MTY yük birimleri)</t>
        </is>
      </c>
    </row>
    <row r="4">
      <c r="A4" s="11" t="inlineStr">
        <is>
          <t>Hat</t>
        </is>
      </c>
      <c r="B4" s="11" t="inlineStr">
        <is>
          <t>YB</t>
        </is>
      </c>
      <c r="C4" s="11" t="inlineStr">
        <is>
          <t>Çap</t>
        </is>
      </c>
    </row>
    <row r="5">
      <c r="A5" s="4" t="inlineStr">
        <is>
          <t>Ofis soğuk su YB (lavabo 0,5 + klozet 0,5 + duş 2,5 + eviye 1,0)</t>
        </is>
      </c>
      <c r="B5" s="4" t="n">
        <v>4.5</v>
      </c>
      <c r="C5" s="4" t="inlineStr">
        <is>
          <t>1"</t>
        </is>
      </c>
    </row>
    <row r="6">
      <c r="A6" s="4" t="inlineStr">
        <is>
          <t>Ofis sıcak su YB (lavabo 0,5 + duş 2,5 + eviye 1,0)</t>
        </is>
      </c>
      <c r="B6" s="4" t="n">
        <v>4</v>
      </c>
      <c r="C6" s="4" t="inlineStr">
        <is>
          <t>1"</t>
        </is>
      </c>
    </row>
    <row r="7">
      <c r="A7" s="4" t="inlineStr">
        <is>
          <t>Kat başına Ş1 (6 ofis) soğuk</t>
        </is>
      </c>
      <c r="B7" s="4" t="n">
        <v>27</v>
      </c>
      <c r="C7" s="4" t="inlineStr">
        <is>
          <t>1 1/2"</t>
        </is>
      </c>
    </row>
    <row r="8">
      <c r="A8" s="4" t="inlineStr">
        <is>
          <t>Kat başına Ş2 (8 ofis) soğuk</t>
        </is>
      </c>
      <c r="B8" s="4" t="n">
        <v>36</v>
      </c>
      <c r="C8" s="4" t="inlineStr">
        <is>
          <t>1 1/2"</t>
        </is>
      </c>
    </row>
    <row r="9">
      <c r="A9" s="4" t="inlineStr">
        <is>
          <t>Ş1 kolon (2 kat) soğuk</t>
        </is>
      </c>
      <c r="B9" s="4" t="n">
        <v>54</v>
      </c>
      <c r="C9" s="4" t="inlineStr">
        <is>
          <t>2"</t>
        </is>
      </c>
    </row>
    <row r="10">
      <c r="A10" s="4" t="inlineStr">
        <is>
          <t>Ş2 kolon (2 kat) soğuk</t>
        </is>
      </c>
      <c r="B10" s="4" t="n">
        <v>72</v>
      </c>
      <c r="C10" s="4" t="inlineStr">
        <is>
          <t>2"</t>
        </is>
      </c>
    </row>
    <row r="11">
      <c r="A11" s="4" t="inlineStr">
        <is>
          <t>Ş1 kolon sıcak</t>
        </is>
      </c>
      <c r="B11" s="4" t="n">
        <v>48</v>
      </c>
      <c r="C11" s="4" t="inlineStr">
        <is>
          <t>2"</t>
        </is>
      </c>
    </row>
    <row r="12">
      <c r="A12" s="4" t="inlineStr">
        <is>
          <t>Ş2 kolon sıcak</t>
        </is>
      </c>
      <c r="B12" s="4" t="n">
        <v>64</v>
      </c>
      <c r="C12" s="4" t="inlineStr">
        <is>
          <t>2"</t>
        </is>
      </c>
    </row>
    <row r="13">
      <c r="A13" s="4" t="inlineStr">
        <is>
          <t>Dükkân bekleme ucu (5 ad.)</t>
        </is>
      </c>
      <c r="B13" s="4" t="n">
        <v>5</v>
      </c>
      <c r="C13" s="4" t="inlineStr">
        <is>
          <t>1"</t>
        </is>
      </c>
    </row>
    <row r="14">
      <c r="A14" s="4" t="inlineStr">
        <is>
          <t>Bina toplam soğuk</t>
        </is>
      </c>
      <c r="B14" s="4" t="n">
        <v>131</v>
      </c>
      <c r="C14" s="4" t="inlineStr">
        <is>
          <t>2 1/2"</t>
        </is>
      </c>
    </row>
    <row r="16">
      <c r="A16" s="11" t="inlineStr">
        <is>
          <t>Hidrofor / depo</t>
        </is>
      </c>
      <c r="B16" s="11" t="inlineStr">
        <is>
          <t>Değer</t>
        </is>
      </c>
      <c r="C16" s="11" t="inlineStr">
        <is>
          <t>Birim</t>
        </is>
      </c>
    </row>
    <row r="17">
      <c r="A17" s="4" t="inlineStr">
        <is>
          <t>Eşzamanlı debi Q = 0,25√ΣYB</t>
        </is>
      </c>
      <c r="B17" s="4">
        <f>ROUND(0.25*SQRT(131.0)*3.6,2)</f>
        <v/>
      </c>
      <c r="C17" s="4" t="inlineStr">
        <is>
          <t>m³/h</t>
        </is>
      </c>
    </row>
    <row r="18">
      <c r="A18" s="4" t="inlineStr">
        <is>
          <t>Geometrik yükseklik (depo tabanı → en üst armatür)</t>
        </is>
      </c>
      <c r="B18" s="4" t="n">
        <v>14.5</v>
      </c>
      <c r="C18" s="4" t="inlineStr">
        <is>
          <t>mSS</t>
        </is>
      </c>
    </row>
    <row r="19">
      <c r="A19" s="4" t="inlineStr">
        <is>
          <t>Pompa alt basınç (akma 15 mSS + kayıp)</t>
        </is>
      </c>
      <c r="B19" s="4" t="n">
        <v>31.9</v>
      </c>
      <c r="C19" s="4" t="inlineStr">
        <is>
          <t>mSS</t>
        </is>
      </c>
    </row>
    <row r="20">
      <c r="A20" s="4" t="inlineStr">
        <is>
          <t>Pompa üst basınç (frekans konvertörlü +1 bar)</t>
        </is>
      </c>
      <c r="B20" s="4" t="n">
        <v>41.9</v>
      </c>
      <c r="C20" s="4" t="inlineStr">
        <is>
          <t>mSS</t>
        </is>
      </c>
    </row>
    <row r="21">
      <c r="A21" s="4" t="inlineStr">
        <is>
          <t>Pompa gücü (η=0,55)</t>
        </is>
      </c>
      <c r="B21" s="4" t="n">
        <v>2.14</v>
      </c>
      <c r="C21" s="4" t="inlineStr">
        <is>
          <t>kW</t>
        </is>
      </c>
    </row>
    <row r="22">
      <c r="A22" s="4" t="inlineStr">
        <is>
          <t>Membranlı tank</t>
        </is>
      </c>
      <c r="B22" s="4" t="n">
        <v>100</v>
      </c>
      <c r="C22" s="4" t="inlineStr">
        <is>
          <t>l</t>
        </is>
      </c>
    </row>
    <row r="23">
      <c r="A23" s="4" t="inlineStr">
        <is>
          <t>Hidrofor tipi</t>
        </is>
      </c>
      <c r="B23" s="4" t="inlineStr">
        <is>
          <t>Frekans konvertörlü çift pompalı paket hidrofor (1 asil + 1 yedek)</t>
        </is>
      </c>
      <c r="C23" s="4" t="inlineStr"/>
    </row>
    <row r="24">
      <c r="A24" s="4" t="inlineStr">
        <is>
          <t>Kullanım suyu deposu</t>
        </is>
      </c>
      <c r="B24" s="4" t="inlineStr">
        <is>
          <t>180 kişi x 30 l + 5 dükkân x 100 l = 5.9 m³</t>
        </is>
      </c>
      <c r="C24" s="4" t="inlineStr">
        <is>
          <t>seçilen 6 m³ (2 ad.)</t>
        </is>
      </c>
    </row>
    <row r="26">
      <c r="A26" s="11" t="inlineStr">
        <is>
          <t>Cihaz (sıcak su, 60 °C)</t>
        </is>
      </c>
      <c r="B26" s="11" t="inlineStr">
        <is>
          <t>Adet</t>
        </is>
      </c>
      <c r="C26" s="11" t="inlineStr">
        <is>
          <t>l/h</t>
        </is>
      </c>
      <c r="D26" s="11" t="inlineStr">
        <is>
          <t>Toplam l/h</t>
        </is>
      </c>
    </row>
    <row r="27">
      <c r="A27" s="4" t="inlineStr">
        <is>
          <t>Lavabo</t>
        </is>
      </c>
      <c r="B27" s="4" t="n">
        <v>28</v>
      </c>
      <c r="C27" s="4" t="n">
        <v>8</v>
      </c>
      <c r="D27" s="4" t="n">
        <v>224</v>
      </c>
    </row>
    <row r="28">
      <c r="A28" s="4" t="inlineStr">
        <is>
          <t>Eviye (mutfak)</t>
        </is>
      </c>
      <c r="B28" s="4" t="n">
        <v>28</v>
      </c>
      <c r="C28" s="4" t="n">
        <v>40</v>
      </c>
      <c r="D28" s="4" t="n">
        <v>1120</v>
      </c>
    </row>
    <row r="29">
      <c r="A29" s="4" t="inlineStr">
        <is>
          <t>Duş</t>
        </is>
      </c>
      <c r="B29" s="4" t="n">
        <v>28</v>
      </c>
      <c r="C29" s="4" t="n">
        <v>150</v>
      </c>
      <c r="D29" s="4" t="n">
        <v>4200</v>
      </c>
    </row>
    <row r="31">
      <c r="A31" s="11" t="inlineStr">
        <is>
          <t>Boyler</t>
        </is>
      </c>
      <c r="B31" s="11" t="inlineStr">
        <is>
          <t>Değer</t>
        </is>
      </c>
      <c r="C31" s="11" t="inlineStr">
        <is>
          <t>Birim</t>
        </is>
      </c>
    </row>
    <row r="32">
      <c r="A32" s="4" t="inlineStr">
        <is>
          <t>Anlık toplam</t>
        </is>
      </c>
      <c r="B32" s="4">
        <f>SUM(D27:D29)</f>
        <v/>
      </c>
      <c r="C32" s="4" t="inlineStr">
        <is>
          <t>l/h</t>
        </is>
      </c>
    </row>
    <row r="33">
      <c r="A33" s="4" t="inlineStr">
        <is>
          <t>Kullanma katsayısı (ofis)</t>
        </is>
      </c>
      <c r="B33" s="4" t="n">
        <v>0.2</v>
      </c>
      <c r="C33" s="4" t="inlineStr"/>
    </row>
    <row r="34">
      <c r="A34" s="4" t="inlineStr">
        <is>
          <t>Saatlik ihtiyaç</t>
        </is>
      </c>
      <c r="B34" s="4">
        <f>ROUND(B32*B33,0)</f>
        <v/>
      </c>
      <c r="C34" s="4" t="inlineStr">
        <is>
          <t>l/h</t>
        </is>
      </c>
    </row>
    <row r="35">
      <c r="A35" s="4" t="inlineStr">
        <is>
          <t>Depolama katsayısı</t>
        </is>
      </c>
      <c r="B35" s="4" t="n">
        <v>0.8</v>
      </c>
      <c r="C35" s="4" t="inlineStr"/>
    </row>
    <row r="36">
      <c r="A36" s="4" t="inlineStr">
        <is>
          <t>Boyler hacmi</t>
        </is>
      </c>
      <c r="B36" s="4">
        <f>ROUND(B34*B35,0)</f>
        <v/>
      </c>
      <c r="C36" s="4" t="inlineStr">
        <is>
          <t>l</t>
        </is>
      </c>
    </row>
    <row r="37">
      <c r="A37" s="4" t="inlineStr">
        <is>
          <t>Seçilen boyler</t>
        </is>
      </c>
      <c r="B37" s="4" t="inlineStr">
        <is>
          <t>1000 L çift serpantinli</t>
        </is>
      </c>
      <c r="C37" s="4" t="inlineStr"/>
    </row>
    <row r="38">
      <c r="A38" s="4" t="inlineStr">
        <is>
          <t>Isıtma gücü (60-10 °C)</t>
        </is>
      </c>
      <c r="B38" s="4" t="n">
        <v>64.5</v>
      </c>
      <c r="C38" s="4" t="inlineStr">
        <is>
          <t>kW</t>
        </is>
      </c>
    </row>
    <row r="39">
      <c r="A39" s="4" t="inlineStr">
        <is>
          <t>Serpantin (depolama payı x0,75)</t>
        </is>
      </c>
      <c r="B39" s="4" t="n">
        <v>48.4</v>
      </c>
      <c r="C39" s="4" t="inlineStr">
        <is>
          <t>kW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6" customWidth="1" min="4" max="4"/>
    <col width="12" customWidth="1" min="5" max="5"/>
    <col width="56" customWidth="1" min="6" max="6"/>
  </cols>
  <sheetData>
    <row r="1">
      <c r="A1" s="1" t="inlineStr">
        <is>
          <t>ROTAŞ MÜHENDİSLİK - VOYAP - MEKANİK TESİSAT HESAPLARI</t>
        </is>
      </c>
    </row>
    <row r="2">
      <c r="A2" s="2" t="inlineStr">
        <is>
          <t>PİS SU KOLONLARI (TS EN 12056-2, K = 0,5 ofis) - kullanıcının MTY bağlantılarındaki SB değerleri</t>
        </is>
      </c>
    </row>
    <row r="4">
      <c r="A4" s="11" t="inlineStr">
        <is>
          <t>Kolon</t>
        </is>
      </c>
      <c r="B4" s="11" t="inlineStr">
        <is>
          <t>Çap</t>
        </is>
      </c>
      <c r="C4" s="11" t="inlineStr">
        <is>
          <t>Kat SB</t>
        </is>
      </c>
      <c r="D4" s="11" t="inlineStr">
        <is>
          <t>Toplam SB (2 kat)</t>
        </is>
      </c>
      <c r="E4" s="11" t="inlineStr">
        <is>
          <t>Qww (l/s)</t>
        </is>
      </c>
      <c r="F4" s="11" t="inlineStr">
        <is>
          <t>Bağlantı</t>
        </is>
      </c>
    </row>
    <row r="5">
      <c r="A5" s="4" t="inlineStr">
        <is>
          <t>P1</t>
        </is>
      </c>
      <c r="B5" s="4" t="inlineStr">
        <is>
          <t>Ø50</t>
        </is>
      </c>
      <c r="C5" s="4" t="n">
        <v>4</v>
      </c>
      <c r="D5" s="4" t="n">
        <v>8</v>
      </c>
      <c r="E5" s="4">
        <f>ROUND(0.5*SQRT(D5),2)</f>
        <v/>
      </c>
      <c r="F5" s="4" t="inlineStr">
        <is>
          <t>zemin asma tavanı → bodrum tavanı → ön cephe rögarı</t>
        </is>
      </c>
    </row>
    <row r="6">
      <c r="A6" s="4" t="inlineStr">
        <is>
          <t>P2</t>
        </is>
      </c>
      <c r="B6" s="4" t="inlineStr">
        <is>
          <t>Ø100</t>
        </is>
      </c>
      <c r="C6" s="4" t="n">
        <v>14</v>
      </c>
      <c r="D6" s="4" t="n">
        <v>28</v>
      </c>
      <c r="E6" s="4">
        <f>ROUND(0.5*SQRT(D6),2)</f>
        <v/>
      </c>
      <c r="F6" s="4" t="inlineStr">
        <is>
          <t>zemin asma tavanı → bodrum tavanı → ön cephe rögarı</t>
        </is>
      </c>
    </row>
    <row r="7">
      <c r="A7" s="4" t="inlineStr">
        <is>
          <t>P3</t>
        </is>
      </c>
      <c r="B7" s="4" t="inlineStr">
        <is>
          <t>Ø100</t>
        </is>
      </c>
      <c r="C7" s="4" t="n">
        <v>21</v>
      </c>
      <c r="D7" s="4" t="n">
        <v>42</v>
      </c>
      <c r="E7" s="4">
        <f>ROUND(0.5*SQRT(D7),2)</f>
        <v/>
      </c>
      <c r="F7" s="4" t="inlineStr">
        <is>
          <t>zemin asma tavanı → bodrum tavanı → ön cephe rögarı</t>
        </is>
      </c>
    </row>
    <row r="8">
      <c r="A8" s="4" t="inlineStr">
        <is>
          <t>P4</t>
        </is>
      </c>
      <c r="B8" s="4" t="inlineStr">
        <is>
          <t>Ø50</t>
        </is>
      </c>
      <c r="C8" s="4" t="n">
        <v>4</v>
      </c>
      <c r="D8" s="4" t="n">
        <v>8</v>
      </c>
      <c r="E8" s="4">
        <f>ROUND(0.5*SQRT(D8),2)</f>
        <v/>
      </c>
      <c r="F8" s="4" t="inlineStr">
        <is>
          <t>zemin asma tavanı → bodrum tavanı → ön cephe rögarı</t>
        </is>
      </c>
    </row>
    <row r="9">
      <c r="A9" s="4" t="inlineStr">
        <is>
          <t>P5</t>
        </is>
      </c>
      <c r="B9" s="4" t="inlineStr">
        <is>
          <t>Ø100</t>
        </is>
      </c>
      <c r="C9" s="4" t="n">
        <v>21</v>
      </c>
      <c r="D9" s="4" t="n">
        <v>42</v>
      </c>
      <c r="E9" s="4">
        <f>ROUND(0.5*SQRT(D9),2)</f>
        <v/>
      </c>
      <c r="F9" s="4" t="inlineStr">
        <is>
          <t>zemin asma tavanı → bodrum tavanı → ön cephe rögarı</t>
        </is>
      </c>
    </row>
    <row r="10">
      <c r="A10" s="4" t="inlineStr">
        <is>
          <t>P6</t>
        </is>
      </c>
      <c r="B10" s="4" t="inlineStr">
        <is>
          <t>Ø50</t>
        </is>
      </c>
      <c r="C10" s="4" t="n">
        <v>4</v>
      </c>
      <c r="D10" s="4" t="n">
        <v>8</v>
      </c>
      <c r="E10" s="4">
        <f>ROUND(0.5*SQRT(D10),2)</f>
        <v/>
      </c>
      <c r="F10" s="4" t="inlineStr">
        <is>
          <t>zemin asma tavanı → bodrum tavanı → ön cephe rögarı</t>
        </is>
      </c>
    </row>
    <row r="11">
      <c r="A11" s="4" t="inlineStr">
        <is>
          <t>P7</t>
        </is>
      </c>
      <c r="B11" s="4" t="inlineStr">
        <is>
          <t>Ø100</t>
        </is>
      </c>
      <c r="C11" s="4" t="n">
        <v>21</v>
      </c>
      <c r="D11" s="4" t="n">
        <v>42</v>
      </c>
      <c r="E11" s="4">
        <f>ROUND(0.5*SQRT(D11),2)</f>
        <v/>
      </c>
      <c r="F11" s="4" t="inlineStr">
        <is>
          <t>zemin asma tavanı → bodrum tavanı → ön cephe rögarı</t>
        </is>
      </c>
    </row>
    <row r="12">
      <c r="A12" s="4" t="inlineStr">
        <is>
          <t>P8</t>
        </is>
      </c>
      <c r="B12" s="4" t="inlineStr">
        <is>
          <t>Ø50</t>
        </is>
      </c>
      <c r="C12" s="4" t="n">
        <v>4</v>
      </c>
      <c r="D12" s="4" t="n">
        <v>8</v>
      </c>
      <c r="E12" s="4">
        <f>ROUND(0.5*SQRT(D12),2)</f>
        <v/>
      </c>
      <c r="F12" s="4" t="inlineStr">
        <is>
          <t>zemin asma tavanı → bodrum tavanı → ön cephe rögarı</t>
        </is>
      </c>
    </row>
    <row r="13">
      <c r="A13" s="4" t="inlineStr">
        <is>
          <t>P9</t>
        </is>
      </c>
      <c r="B13" s="4" t="inlineStr">
        <is>
          <t>Ø100</t>
        </is>
      </c>
      <c r="C13" s="4" t="n">
        <v>21</v>
      </c>
      <c r="D13" s="4" t="n">
        <v>42</v>
      </c>
      <c r="E13" s="4">
        <f>ROUND(0.5*SQRT(D13),2)</f>
        <v/>
      </c>
      <c r="F13" s="4" t="inlineStr">
        <is>
          <t>zemin asma tavanı → bodrum tavanı → ön cephe rögarı</t>
        </is>
      </c>
    </row>
    <row r="14">
      <c r="A14" s="4" t="inlineStr">
        <is>
          <t>P10</t>
        </is>
      </c>
      <c r="B14" s="4" t="inlineStr">
        <is>
          <t>Ø50</t>
        </is>
      </c>
      <c r="C14" s="4" t="n">
        <v>4</v>
      </c>
      <c r="D14" s="4" t="n">
        <v>8</v>
      </c>
      <c r="E14" s="4">
        <f>ROUND(0.5*SQRT(D14),2)</f>
        <v/>
      </c>
      <c r="F14" s="4" t="inlineStr">
        <is>
          <t>zemin asma tavanı → bodrum tavanı → ön cephe rögarı</t>
        </is>
      </c>
    </row>
    <row r="15">
      <c r="A15" s="4" t="inlineStr">
        <is>
          <t>P11</t>
        </is>
      </c>
      <c r="B15" s="4" t="inlineStr">
        <is>
          <t>Ø100</t>
        </is>
      </c>
      <c r="C15" s="4" t="n">
        <v>21</v>
      </c>
      <c r="D15" s="4" t="n">
        <v>42</v>
      </c>
      <c r="E15" s="4">
        <f>ROUND(0.5*SQRT(D15),2)</f>
        <v/>
      </c>
      <c r="F15" s="4" t="inlineStr">
        <is>
          <t>zemin asma tavanı → bodrum tavanı → ön cephe rögarı</t>
        </is>
      </c>
    </row>
    <row r="16">
      <c r="A16" s="4" t="inlineStr">
        <is>
          <t>P12</t>
        </is>
      </c>
      <c r="B16" s="4" t="inlineStr">
        <is>
          <t>Ø50</t>
        </is>
      </c>
      <c r="C16" s="4" t="n">
        <v>4</v>
      </c>
      <c r="D16" s="4" t="n">
        <v>8</v>
      </c>
      <c r="E16" s="4">
        <f>ROUND(0.5*SQRT(D16),2)</f>
        <v/>
      </c>
      <c r="F16" s="4" t="inlineStr">
        <is>
          <t>zemin asma tavanı → bodrum tavanı → ön cephe rögarı</t>
        </is>
      </c>
    </row>
    <row r="17">
      <c r="A17" s="4" t="inlineStr">
        <is>
          <t>P13</t>
        </is>
      </c>
      <c r="B17" s="4" t="inlineStr">
        <is>
          <t>Ø100</t>
        </is>
      </c>
      <c r="C17" s="4" t="n">
        <v>21</v>
      </c>
      <c r="D17" s="4" t="n">
        <v>42</v>
      </c>
      <c r="E17" s="4">
        <f>ROUND(0.5*SQRT(D17),2)</f>
        <v/>
      </c>
      <c r="F17" s="4" t="inlineStr">
        <is>
          <t>zemin asma tavanı → bodrum tavanı → ön cephe rögarı</t>
        </is>
      </c>
    </row>
    <row r="18">
      <c r="A18" s="4" t="inlineStr">
        <is>
          <t>P14</t>
        </is>
      </c>
      <c r="B18" s="4" t="inlineStr">
        <is>
          <t>Ø50</t>
        </is>
      </c>
      <c r="C18" s="4" t="n">
        <v>4</v>
      </c>
      <c r="D18" s="4" t="n">
        <v>8</v>
      </c>
      <c r="E18" s="4">
        <f>ROUND(0.5*SQRT(D18),2)</f>
        <v/>
      </c>
      <c r="F18" s="4" t="inlineStr">
        <is>
          <t>zemin asma tavanı → bodrum tavanı → ön cephe rögarı</t>
        </is>
      </c>
    </row>
    <row r="19">
      <c r="A19" s="4" t="inlineStr">
        <is>
          <t>P15</t>
        </is>
      </c>
      <c r="B19" s="4" t="inlineStr">
        <is>
          <t>Ø100</t>
        </is>
      </c>
      <c r="C19" s="4" t="n">
        <v>21</v>
      </c>
      <c r="D19" s="4" t="n">
        <v>42</v>
      </c>
      <c r="E19" s="4">
        <f>ROUND(0.5*SQRT(D19),2)</f>
        <v/>
      </c>
      <c r="F19" s="4" t="inlineStr">
        <is>
          <t>zemin asma tavanı → bodrum tavanı → ön cephe rögarı</t>
        </is>
      </c>
    </row>
    <row r="20">
      <c r="A20" s="4" t="inlineStr">
        <is>
          <t>P16</t>
        </is>
      </c>
      <c r="B20" s="4" t="inlineStr">
        <is>
          <t>Ø50</t>
        </is>
      </c>
      <c r="C20" s="4" t="n">
        <v>4</v>
      </c>
      <c r="D20" s="4" t="n">
        <v>8</v>
      </c>
      <c r="E20" s="4">
        <f>ROUND(0.5*SQRT(D20),2)</f>
        <v/>
      </c>
      <c r="F20" s="4" t="inlineStr">
        <is>
          <t>zemin asma tavanı → bodrum tavanı → ön cephe rögarı</t>
        </is>
      </c>
    </row>
    <row r="21">
      <c r="A21" s="4" t="inlineStr">
        <is>
          <t>P17</t>
        </is>
      </c>
      <c r="B21" s="4" t="inlineStr">
        <is>
          <t>Ø100</t>
        </is>
      </c>
      <c r="C21" s="4" t="n">
        <v>21</v>
      </c>
      <c r="D21" s="4" t="n">
        <v>42</v>
      </c>
      <c r="E21" s="4">
        <f>ROUND(0.5*SQRT(D21),2)</f>
        <v/>
      </c>
      <c r="F21" s="4" t="inlineStr">
        <is>
          <t>zemin asma tavanı → bodrum tavanı → ön cephe rögarı</t>
        </is>
      </c>
    </row>
    <row r="22">
      <c r="A22" s="4" t="inlineStr">
        <is>
          <t>P18</t>
        </is>
      </c>
      <c r="B22" s="4" t="inlineStr">
        <is>
          <t>Ø50</t>
        </is>
      </c>
      <c r="C22" s="4" t="n">
        <v>4</v>
      </c>
      <c r="D22" s="4" t="n">
        <v>8</v>
      </c>
      <c r="E22" s="4">
        <f>ROUND(0.5*SQRT(D22),2)</f>
        <v/>
      </c>
      <c r="F22" s="4" t="inlineStr">
        <is>
          <t>zemin asma tavanı → bodrum tavanı → ön cephe rögarı</t>
        </is>
      </c>
    </row>
    <row r="23">
      <c r="A23" s="4" t="inlineStr">
        <is>
          <t>P19</t>
        </is>
      </c>
      <c r="B23" s="4" t="inlineStr">
        <is>
          <t>Ø100</t>
        </is>
      </c>
      <c r="C23" s="4" t="n">
        <v>21</v>
      </c>
      <c r="D23" s="4" t="n">
        <v>42</v>
      </c>
      <c r="E23" s="4">
        <f>ROUND(0.5*SQRT(D23),2)</f>
        <v/>
      </c>
      <c r="F23" s="4" t="inlineStr">
        <is>
          <t>zemin asma tavanı → bodrum tavanı → ön cephe rögarı</t>
        </is>
      </c>
    </row>
    <row r="24">
      <c r="A24" s="4" t="inlineStr">
        <is>
          <t>P20</t>
        </is>
      </c>
      <c r="B24" s="4" t="inlineStr">
        <is>
          <t>Ø50</t>
        </is>
      </c>
      <c r="C24" s="4" t="n">
        <v>4</v>
      </c>
      <c r="D24" s="4" t="n">
        <v>8</v>
      </c>
      <c r="E24" s="4">
        <f>ROUND(0.5*SQRT(D24),2)</f>
        <v/>
      </c>
      <c r="F24" s="4" t="inlineStr">
        <is>
          <t>zemin asma tavanı → bodrum tavanı → ön cephe rögarı</t>
        </is>
      </c>
    </row>
    <row r="25">
      <c r="A25" s="4" t="inlineStr">
        <is>
          <t>P21</t>
        </is>
      </c>
      <c r="B25" s="4" t="inlineStr">
        <is>
          <t>Ø100</t>
        </is>
      </c>
      <c r="C25" s="4" t="n">
        <v>21</v>
      </c>
      <c r="D25" s="4" t="n">
        <v>42</v>
      </c>
      <c r="E25" s="4">
        <f>ROUND(0.5*SQRT(D25),2)</f>
        <v/>
      </c>
      <c r="F25" s="4" t="inlineStr">
        <is>
          <t>zemin asma tavanı → bodrum tavanı → ön cephe rögarı</t>
        </is>
      </c>
    </row>
    <row r="26">
      <c r="A26" s="4" t="inlineStr">
        <is>
          <t>P22</t>
        </is>
      </c>
      <c r="B26" s="4" t="inlineStr">
        <is>
          <t>Ø100</t>
        </is>
      </c>
      <c r="C26" s="4" t="n">
        <v>21</v>
      </c>
      <c r="D26" s="4" t="n">
        <v>42</v>
      </c>
      <c r="E26" s="4">
        <f>ROUND(0.5*SQRT(D26),2)</f>
        <v/>
      </c>
      <c r="F26" s="4" t="inlineStr">
        <is>
          <t>zemin asma tavanı → bodrum tavanı → ön cephe rögarı</t>
        </is>
      </c>
    </row>
    <row r="27">
      <c r="A27" s="4" t="inlineStr">
        <is>
          <t>P23</t>
        </is>
      </c>
      <c r="B27" s="4" t="inlineStr">
        <is>
          <t>Ø100</t>
        </is>
      </c>
      <c r="C27" s="4" t="n">
        <v>21</v>
      </c>
      <c r="D27" s="4" t="n">
        <v>42</v>
      </c>
      <c r="E27" s="4">
        <f>ROUND(0.5*SQRT(D27),2)</f>
        <v/>
      </c>
      <c r="F27" s="4" t="inlineStr">
        <is>
          <t>zemin asma tavanı → bodrum tavanı → ön cephe rögarı</t>
        </is>
      </c>
    </row>
    <row r="28">
      <c r="A28" s="4" t="inlineStr">
        <is>
          <t>P24</t>
        </is>
      </c>
      <c r="B28" s="4" t="inlineStr">
        <is>
          <t>Ø100</t>
        </is>
      </c>
      <c r="C28" s="4" t="n">
        <v>21</v>
      </c>
      <c r="D28" s="4" t="n">
        <v>42</v>
      </c>
      <c r="E28" s="4">
        <f>ROUND(0.5*SQRT(D28),2)</f>
        <v/>
      </c>
      <c r="F28" s="4" t="inlineStr">
        <is>
          <t>zemin asma tavanı → bodrum tavanı → ön cephe rögarı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0" customWidth="1" min="3" max="3"/>
    <col width="48" customWidth="1" min="4" max="4"/>
  </cols>
  <sheetData>
    <row r="1">
      <c r="A1" s="1" t="inlineStr">
        <is>
          <t>ROTAŞ MÜHENDİSLİK - VOYAP - MEKANİK TESİSAT HESAPLARI</t>
        </is>
      </c>
    </row>
    <row r="2">
      <c r="A2" s="2" t="inlineStr">
        <is>
          <t>OTOPARK EGZOZ / TAZE HAVA / DUMAN TAHLİYESİ VE SIĞINAK HAVALANDIRMASI</t>
        </is>
      </c>
    </row>
    <row r="4">
      <c r="A4" s="11" t="inlineStr">
        <is>
          <t>Kalem</t>
        </is>
      </c>
      <c r="B4" s="11" t="inlineStr">
        <is>
          <t>Değer</t>
        </is>
      </c>
      <c r="C4" s="11" t="inlineStr">
        <is>
          <t>Birim</t>
        </is>
      </c>
      <c r="D4" s="11" t="inlineStr">
        <is>
          <t>Açıklama</t>
        </is>
      </c>
    </row>
    <row r="5">
      <c r="A5" s="4" t="inlineStr">
        <is>
          <t>Otopark net alan</t>
        </is>
      </c>
      <c r="B5" s="4" t="n">
        <v>800.7</v>
      </c>
      <c r="C5" s="4" t="inlineStr">
        <is>
          <t>m²</t>
        </is>
      </c>
      <c r="D5" s="4" t="inlineStr">
        <is>
          <t>tesisat alanı, sığınak, lobi ve çekirdekler hariç</t>
        </is>
      </c>
    </row>
    <row r="6">
      <c r="A6" s="4" t="inlineStr">
        <is>
          <t>Otopark yüksekliği</t>
        </is>
      </c>
      <c r="B6" s="4" t="n">
        <v>3.5</v>
      </c>
      <c r="C6" s="4" t="inlineStr">
        <is>
          <t>m</t>
        </is>
      </c>
      <c r="D6" s="4" t="inlineStr">
        <is>
          <t>kabul</t>
        </is>
      </c>
    </row>
    <row r="7">
      <c r="A7" s="4" t="inlineStr">
        <is>
          <t>Otopark hacmi</t>
        </is>
      </c>
      <c r="B7" s="4">
        <f>B5*B6</f>
        <v/>
      </c>
      <c r="C7" s="4" t="inlineStr">
        <is>
          <t>m³</t>
        </is>
      </c>
      <c r="D7" s="4" t="inlineStr"/>
    </row>
    <row r="8">
      <c r="A8" s="4" t="inlineStr">
        <is>
          <t>Normal havalandırma (4 hava değişimi)</t>
        </is>
      </c>
      <c r="B8" s="4">
        <f>B7*4</f>
        <v/>
      </c>
      <c r="C8" s="4" t="inlineStr">
        <is>
          <t>m³/h</t>
        </is>
      </c>
      <c r="D8" s="4" t="inlineStr">
        <is>
          <t>kullanıcı talimatı</t>
        </is>
      </c>
    </row>
    <row r="9">
      <c r="A9" s="4" t="inlineStr">
        <is>
          <t>Duman tahliyesi (10 hava değişimi)</t>
        </is>
      </c>
      <c r="B9" s="4">
        <f>B7*10</f>
        <v/>
      </c>
      <c r="C9" s="4" t="inlineStr">
        <is>
          <t>m³/h</t>
        </is>
      </c>
      <c r="D9" s="4" t="inlineStr">
        <is>
          <t>alan &gt; 100 m²</t>
        </is>
      </c>
    </row>
    <row r="10">
      <c r="A10" s="4" t="inlineStr">
        <is>
          <t>Taze hava normal (%85)</t>
        </is>
      </c>
      <c r="B10" s="4">
        <f>ROUND(B8*0.85,0)</f>
        <v/>
      </c>
      <c r="C10" s="4" t="inlineStr">
        <is>
          <t>m³/h</t>
        </is>
      </c>
      <c r="D10" s="4" t="inlineStr">
        <is>
          <t>otopark negatif basınçta</t>
        </is>
      </c>
    </row>
    <row r="11">
      <c r="A11" s="4" t="inlineStr">
        <is>
          <t>Taze hava yangın (%85)</t>
        </is>
      </c>
      <c r="B11" s="4">
        <f>ROUND(B9*0.85,0)</f>
        <v/>
      </c>
      <c r="C11" s="4" t="inlineStr">
        <is>
          <t>m³/h</t>
        </is>
      </c>
      <c r="D11" s="4" t="inlineStr"/>
    </row>
    <row r="12">
      <c r="A12" s="4" t="inlineStr">
        <is>
          <t>Egzoz fanı (2 ad., çift hızlı, F300)</t>
        </is>
      </c>
      <c r="B12" s="4" t="inlineStr">
        <is>
          <t>14012 / 5604</t>
        </is>
      </c>
      <c r="C12" s="4" t="inlineStr">
        <is>
          <t>m³/h</t>
        </is>
      </c>
      <c r="D12" s="4" t="inlineStr">
        <is>
          <t>her biri yüksek / düşük hız</t>
        </is>
      </c>
    </row>
    <row r="13">
      <c r="A13" s="4" t="inlineStr">
        <is>
          <t>Sığınak alanı (ölçülen)</t>
        </is>
      </c>
      <c r="B13" s="4" t="n">
        <v>114.1</v>
      </c>
      <c r="C13" s="4" t="inlineStr">
        <is>
          <t>m²</t>
        </is>
      </c>
      <c r="D13" s="4" t="inlineStr">
        <is>
          <t>mimari iç ölçü 13,39 x 8,52</t>
        </is>
      </c>
    </row>
    <row r="14">
      <c r="A14" s="4" t="inlineStr">
        <is>
          <t>Sığınak kişi sayısı</t>
        </is>
      </c>
      <c r="B14" s="4" t="n">
        <v>114</v>
      </c>
      <c r="C14" s="4" t="inlineStr">
        <is>
          <t>kişi</t>
        </is>
      </c>
      <c r="D14" s="4" t="inlineStr">
        <is>
          <t>1 m²/kişi</t>
        </is>
      </c>
    </row>
    <row r="15">
      <c r="A15" s="4" t="inlineStr">
        <is>
          <t>Sığınak hacmi (h=2,60)</t>
        </is>
      </c>
      <c r="B15" s="4">
        <f>B13*2.6</f>
        <v/>
      </c>
      <c r="C15" s="4" t="inlineStr">
        <is>
          <t>m³</t>
        </is>
      </c>
      <c r="D15" s="4" t="inlineStr"/>
    </row>
    <row r="16">
      <c r="A16" s="4" t="inlineStr">
        <is>
          <t>Normal havalandırma (4 hava değişimi)</t>
        </is>
      </c>
      <c r="B16" s="4">
        <f>ROUND(B15*4,0)</f>
        <v/>
      </c>
      <c r="C16" s="4" t="inlineStr">
        <is>
          <t>m³/h</t>
        </is>
      </c>
      <c r="D16" s="4" t="inlineStr"/>
    </row>
    <row r="17">
      <c r="A17" s="4" t="inlineStr">
        <is>
          <t>Koruma havası (3 m³/h·kişi, 51-150 kişi)</t>
        </is>
      </c>
      <c r="B17" s="4">
        <f>B14*3</f>
        <v/>
      </c>
      <c r="C17" s="4" t="inlineStr">
        <is>
          <t>m³/h</t>
        </is>
      </c>
      <c r="D17" s="4" t="inlineStr">
        <is>
          <t>TS 3419 / kum filtreli</t>
        </is>
      </c>
    </row>
    <row r="18">
      <c r="A18" s="4" t="inlineStr">
        <is>
          <t>Egzoz (+50 Pa için %80)</t>
        </is>
      </c>
      <c r="B18" s="4">
        <f>ROUND(B16*0.8,0)</f>
        <v/>
      </c>
      <c r="C18" s="4" t="inlineStr">
        <is>
          <t>m³/h</t>
        </is>
      </c>
      <c r="D18" s="4" t="inlineStr"/>
    </row>
    <row r="19">
      <c r="A19" s="4" t="inlineStr">
        <is>
          <t>Duman egzozu (alan &gt; 100 m² → 10 hava değişimi)</t>
        </is>
      </c>
      <c r="B19" s="4">
        <f>ROUND(B15*10,0)</f>
        <v/>
      </c>
      <c r="C19" s="4" t="inlineStr">
        <is>
          <t>m³/h</t>
        </is>
      </c>
      <c r="D19" s="4" t="inlineStr">
        <is>
          <t>F400 fan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2026-10-13T01:11:38Z</dcterms:created>
  <dcterms:modified xmlns:dcterms="http://purl.org/dc/terms/" xmlns:xsi="http://www.w3.org/2001/XMLSchema-instance" xsi:type="dcterms:W3CDTF">2026-10-13T01:11:39Z</dcterms:modified>
</cp:coreProperties>
</file>