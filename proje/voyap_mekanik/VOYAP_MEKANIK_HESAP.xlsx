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YANGIN-kapak" sheetId="1" state="visible" r:id="rId1"/>
    <sheet xmlns:r="http://schemas.openxmlformats.org/officeDocument/2006/relationships" name="YANGIN-TEKNİK RAPOR" sheetId="2" state="visible" r:id="rId2"/>
    <sheet xmlns:r="http://schemas.openxmlformats.org/officeDocument/2006/relationships" name="YANGIN-TEKNİK RAPOR (2)" sheetId="3" state="visible" r:id="rId3"/>
    <sheet xmlns:r="http://schemas.openxmlformats.org/officeDocument/2006/relationships" name="YANGIN-ZEMİN" sheetId="4" state="visible" r:id="rId4"/>
    <sheet xmlns:r="http://schemas.openxmlformats.org/officeDocument/2006/relationships" name="YANGIN-1 NK" sheetId="5" state="visible" r:id="rId5"/>
    <sheet xmlns:r="http://schemas.openxmlformats.org/officeDocument/2006/relationships" name="YANGIN-PETEK LİST" sheetId="6" state="visible" r:id="rId6"/>
    <sheet xmlns:r="http://schemas.openxmlformats.org/officeDocument/2006/relationships" name="YANGIN-YERDEN ISITMA" sheetId="7" state="visible" r:id="rId7"/>
    <sheet xmlns:r="http://schemas.openxmlformats.org/officeDocument/2006/relationships" name="YANGIN-MMO YERDEN ISITMA" sheetId="8" state="visible" r:id="rId8"/>
    <sheet xmlns:r="http://schemas.openxmlformats.org/officeDocument/2006/relationships" name="YANGIN-YERDEN ISITMA- DEVAMI" sheetId="9" state="visible" r:id="rId9"/>
    <sheet xmlns:r="http://schemas.openxmlformats.org/officeDocument/2006/relationships" name="ISI KAYBI" sheetId="10" state="visible" r:id="rId10"/>
    <sheet xmlns:r="http://schemas.openxmlformats.org/officeDocument/2006/relationships" name="ISITMA" sheetId="11" state="visible" r:id="rId11"/>
    <sheet xmlns:r="http://schemas.openxmlformats.org/officeDocument/2006/relationships" name="SIHHI" sheetId="12" state="visible" r:id="rId12"/>
    <sheet xmlns:r="http://schemas.openxmlformats.org/officeDocument/2006/relationships" name="PIS SU" sheetId="13" state="visible" r:id="rId13"/>
  </sheets>
  <externalReferences>
    <externalReference xmlns:r="http://schemas.openxmlformats.org/officeDocument/2006/relationships" r:id="rId14"/>
  </externalReference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8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sz val="13"/>
    </font>
    <font>
      <b val="1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DDDDD"/>
      </patternFill>
    </fill>
  </fills>
  <borders count="55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/>
      <right style="thin"/>
      <top style="thin"/>
      <bottom style="thin"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09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7" fillId="7" borderId="54" applyAlignment="1" pivotButton="0" quotePrefix="0" xfId="0">
      <alignment horizontal="center" vertical="center" wrapText="1"/>
    </xf>
    <xf numFmtId="0" fontId="0" fillId="0" borderId="54" pivotButton="0" quotePrefix="0" xfId="0"/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externalLink" Target="/xl/externalLinks/externalLink1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261360</colOff>
      <row>1</row>
      <rowOff>37800</rowOff>
    </from>
    <to>
      <col>0</col>
      <colOff>1379880</colOff>
      <row>5</row>
      <rowOff>9360</rowOff>
    </to>
    <pic>
      <nvPicPr>
        <cNvPr id="0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1360" y="247320"/>
          <a:ext cx="1118520" cy="12002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62280</colOff>
      <row>3</row>
      <rowOff>142920</rowOff>
    </to>
    <pic>
      <nvPicPr>
        <cNvPr id="1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3880" cy="4762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442800</colOff>
      <row>2</row>
      <rowOff>152640</rowOff>
    </to>
    <pic>
      <nvPicPr>
        <cNvPr id="2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2800" cy="476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dcmmakina
ümit çavuşoğlu -makine mühendisi
ŞEREFİYE MH. ÇINLAR SK. KUNDURACILAR İŞMERKEZİ NO:205 DÜZCE
TEL/FAX:0380 514 23 55  dcmmakina@gmail.com / www.dcmmakina.com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ÜMİT ÇAVUŞOĞLU</t>
        </is>
      </c>
      <c r="C10" s="260" t="n"/>
      <c r="D10" s="269" t="n">
        <v>51889</v>
      </c>
      <c r="E10" s="260" t="n"/>
      <c r="F10" s="269" t="n">
        <v>2807</v>
      </c>
      <c r="G10" s="270" t="n"/>
      <c r="H10" s="264" t="n"/>
      <c r="I10" s="265" t="n"/>
    </row>
    <row r="11" ht="27.75" customHeight="1" s="244">
      <c r="A11" s="271" t="inlineStr">
        <is>
          <t>KALORİFER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MEHMET DAL - A-B-C-D BLOK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DÜZCE</t>
        </is>
      </c>
      <c r="B36" s="282" t="inlineStr">
        <is>
          <t>DÜZCE</t>
        </is>
      </c>
      <c r="C36" s="282">
        <f>B36</f>
        <v/>
      </c>
      <c r="D36" s="282" t="inlineStr">
        <is>
          <t>KAZUKOĞLU</t>
        </is>
      </c>
      <c r="E36" s="261" t="n"/>
      <c r="F36" s="260" t="n"/>
      <c r="G36" s="262" t="inlineStr">
        <is>
          <t xml:space="preserve"> ---</t>
        </is>
      </c>
      <c r="H36" s="282" t="inlineStr">
        <is>
          <t xml:space="preserve"> ---</t>
        </is>
      </c>
      <c r="I36" s="263" t="n">
        <v>982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/>
      <c r="D41" s="290" t="n"/>
      <c r="E41" s="275" t="n"/>
      <c r="F41" s="289" t="n"/>
      <c r="G41" s="291" t="n">
        <v>44211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DÜZCE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:Konut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:Kombi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 xml:space="preserve">: Zeminden ısıtma Borusu   / 50-40 °C çalışma sıcaklığında 17.5 watt/m 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:Zemin+1.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 xml:space="preserve">: Zeminden ısıtma Borusu  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50 -40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Antre</t>
        </is>
      </c>
      <c r="F25" s="317" t="inlineStr">
        <is>
          <t>: 22°C ( ZEMİN KAT ANTRE İLE SALON ARASINDA DUVAR OLMADIĞI</t>
        </is>
      </c>
      <c r="H25" s="321" t="n"/>
      <c r="I25" s="313" t="n"/>
    </row>
    <row r="26" ht="15" customHeight="1" s="244">
      <c r="A26" s="310" t="n"/>
      <c r="B26" s="313" t="n"/>
      <c r="F26" s="322" t="inlineStr">
        <is>
          <t xml:space="preserve">              İÇİN ANTRE SICAKLIĞI HESABA 22 °C OLARAK </t>
        </is>
      </c>
      <c r="H26" s="321" t="n"/>
      <c r="I26" s="313" t="n"/>
    </row>
    <row r="27" ht="15" customHeight="1" s="244">
      <c r="A27" s="310" t="n"/>
      <c r="B27" s="313" t="n"/>
      <c r="F27" s="322" t="inlineStr">
        <is>
          <t xml:space="preserve">              KATILMIŞTIR OLUP SALON, MUTFAK VE ANTRE</t>
        </is>
      </c>
      <c r="H27" s="321" t="n"/>
      <c r="I27" s="313" t="n"/>
    </row>
    <row r="28" ht="15" customHeight="1" s="244">
      <c r="A28" s="310" t="n"/>
      <c r="B28" s="313" t="n"/>
      <c r="F28" s="322" t="inlineStr">
        <is>
          <t xml:space="preserve">              BİRLEŞİK HESAP EDİLMİŞTİR..)</t>
        </is>
      </c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18°C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N64"/>
  <sheetViews>
    <sheetView showFormulas="0" showGridLines="1" showRowColHeaders="1" showZeros="1" rightToLeft="0" tabSelected="1" showOutlineSymbols="1" defaultGridColor="1" view="normal" topLeftCell="A3" colorId="64" zoomScale="130" zoomScaleNormal="130" zoomScalePageLayoutView="100" workbookViewId="0">
      <selection pane="topLeft" activeCell="G20" activeCellId="0" sqref="G20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2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1.4.</t>
        </is>
      </c>
      <c r="B7" s="313" t="inlineStr">
        <is>
          <t>İnfitrasyon Değerleri MMO Yayınları 352 Kalorifer Tesisat Hazırlama Esasları kitabına göre yapılmştır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>Qs = a.L.R.H.t.Ze</t>
        </is>
      </c>
      <c r="D8" s="313" t="n"/>
      <c r="E8" s="316" t="n"/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>Qs  = infiltrasyon ile ısı kaybı ( watt)</t>
        </is>
      </c>
      <c r="E9" s="317" t="n"/>
      <c r="F9" s="318" t="n"/>
      <c r="G9" s="313" t="n"/>
      <c r="H9" s="314" t="n"/>
      <c r="I9" s="313" t="n"/>
    </row>
    <row r="10" ht="15.75" customHeight="1" s="244">
      <c r="A10" s="310" t="n"/>
      <c r="B10" s="315" t="inlineStr">
        <is>
          <t>a = sızdırganlı katsayısı (m3/mh )                      ( tablodan 2,0 kabul edilmiştir)</t>
        </is>
      </c>
      <c r="D10" s="313" t="n"/>
      <c r="E10" s="313" t="n"/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L = Pencere kapı çevre uzunluğu                     ( projeden alınacak)</t>
        </is>
      </c>
      <c r="D11" s="313" t="n"/>
      <c r="E11" s="313" t="n"/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R = Oda Durum Katsayısı                                   (tablodan 0,9 kabul edilmiştir)</t>
        </is>
      </c>
      <c r="D12" s="313" t="n"/>
      <c r="E12" s="313" t="n"/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H = Bina Durum Katsayısı                                  ( tablodan 0,67 kabul edilmiştir. Rüzgarlı serbest)</t>
        </is>
      </c>
      <c r="D13" s="313" t="n"/>
      <c r="E13" s="313" t="n"/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21" customHeight="1" s="244">
      <c r="A14" s="310" t="n"/>
      <c r="B14" s="320" t="inlineStr">
        <is>
          <t xml:space="preserve">T = Sıcaklık Farkı                                                                                                                                 </t>
        </is>
      </c>
      <c r="E14" s="313" t="n"/>
      <c r="F14" s="315" t="inlineStr">
        <is>
          <t xml:space="preserve">        ( projeden alınacak)</t>
        </is>
      </c>
      <c r="G14" s="313" t="n"/>
      <c r="H14" s="314" t="n"/>
      <c r="I14" s="313" t="n"/>
    </row>
    <row r="15" ht="15.75" customHeight="1" s="244">
      <c r="A15" s="310" t="n"/>
      <c r="B15" s="315" t="inlineStr">
        <is>
          <t>Ze = Köşe açıklıkları etkisi  ( tek köşeye bağlı 2 duvarı olan odalarda 1,2 , tek duvar olan oda-</t>
        </is>
      </c>
      <c r="D15" s="313" t="n"/>
      <c r="E15" s="313" t="n"/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 xml:space="preserve">         lar için 1,0 alınmıştır. Tablodan )</t>
        </is>
      </c>
      <c r="D16" s="313" t="n"/>
      <c r="E16" s="313" t="n"/>
      <c r="F16" s="313" t="n"/>
      <c r="G16" s="313" t="n"/>
      <c r="H16" s="314" t="n"/>
      <c r="I16" s="313" t="n"/>
    </row>
    <row r="17" ht="15.75" customHeight="1" s="244">
      <c r="A17" s="310" t="n"/>
      <c r="B17" s="315" t="n"/>
      <c r="C17" s="313" t="n"/>
      <c r="D17" s="313" t="n"/>
      <c r="E17" s="313" t="n"/>
      <c r="F17" s="313" t="n"/>
      <c r="G17" s="313" t="n"/>
      <c r="H17" s="314" t="n"/>
      <c r="I17" s="313" t="n"/>
    </row>
    <row r="18" ht="15.75" customHeight="1" s="244">
      <c r="A18" s="310" t="n"/>
      <c r="B18" s="315" t="n"/>
      <c r="C18" s="313" t="n"/>
      <c r="D18" s="313" t="n"/>
      <c r="E18" s="317" t="n"/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1.5.</t>
        </is>
      </c>
      <c r="B20" s="315" t="inlineStr">
        <is>
          <t xml:space="preserve">Zamlar : 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n"/>
      <c r="F21" s="317" t="n"/>
      <c r="H21" s="321" t="n"/>
      <c r="I21" s="313" t="n"/>
    </row>
    <row r="22" ht="15.75" customHeight="1" s="244">
      <c r="A22" s="310" t="n"/>
      <c r="B22" s="315" t="inlineStr">
        <is>
          <t xml:space="preserve">ZD İşletme zammı           </t>
        </is>
      </c>
      <c r="E22" s="243" t="inlineStr">
        <is>
          <t>: 1. işletme seçilmiş değer 0,7 alınmıştır.</t>
        </is>
      </c>
      <c r="F22" s="317" t="n"/>
      <c r="H22" s="321" t="n"/>
      <c r="I22" s="313" t="n"/>
    </row>
    <row r="23" ht="15.75" customHeight="1" s="244">
      <c r="A23" s="310" t="n"/>
      <c r="B23" s="315" t="inlineStr">
        <is>
          <t>ZW Kat yükseklik zammı</t>
        </is>
      </c>
      <c r="E23" s="243" t="inlineStr">
        <is>
          <t>: 3 katlı bina için zam 0 alınmıştır.</t>
        </is>
      </c>
      <c r="F23" s="317" t="n"/>
      <c r="H23" s="321" t="n"/>
      <c r="I23" s="313" t="n"/>
    </row>
    <row r="24" ht="15.75" customHeight="1" s="244">
      <c r="A24" s="310" t="n"/>
      <c r="B24" s="315" t="inlineStr">
        <is>
          <t>ZH Yön zammı</t>
        </is>
      </c>
      <c r="E24" s="243" t="inlineStr">
        <is>
          <t>: G =-5, GB= -5 , GD= -5 , K = 5 , KB= 5, KD= 5 , D= 0 , B= 0 )</t>
        </is>
      </c>
      <c r="F24" s="317" t="n"/>
      <c r="H24" s="321" t="n"/>
      <c r="I24" s="313" t="n"/>
    </row>
    <row r="25" ht="15" customHeight="1" s="244">
      <c r="A25" s="310" t="n"/>
      <c r="B25" s="313" t="n"/>
      <c r="F25" s="317" t="n"/>
      <c r="H25" s="321" t="n"/>
      <c r="I25" s="313" t="n"/>
    </row>
    <row r="26" ht="15" customHeight="1" s="244">
      <c r="A26" s="310" t="n"/>
      <c r="B26" s="313" t="n"/>
      <c r="F26" s="317" t="n"/>
      <c r="H26" s="321" t="n"/>
      <c r="I26" s="313" t="n"/>
    </row>
    <row r="27" ht="15" customHeight="1" s="244">
      <c r="A27" s="310" t="n"/>
      <c r="B27" s="313" t="n"/>
      <c r="F27" s="317" t="n"/>
      <c r="H27" s="321" t="n"/>
      <c r="I27" s="313" t="n"/>
    </row>
    <row r="28" ht="15" customHeight="1" s="244">
      <c r="A28" s="310" t="n"/>
      <c r="B28" s="313" t="n"/>
      <c r="F28" s="317" t="n"/>
      <c r="H28" s="321" t="n"/>
      <c r="I28" s="313" t="n"/>
    </row>
    <row r="29" ht="15" customHeight="1" s="244">
      <c r="A29" s="310" t="n"/>
      <c r="B29" s="313" t="n"/>
      <c r="F29" s="317" t="n"/>
      <c r="H29" s="321" t="n"/>
      <c r="I29" s="313" t="n"/>
    </row>
    <row r="30" ht="15" customHeight="1" s="244">
      <c r="A30" s="310" t="n"/>
      <c r="B30" s="313" t="n"/>
      <c r="F30" s="317" t="n"/>
      <c r="H30" s="321" t="n"/>
      <c r="I30" s="313" t="n"/>
    </row>
    <row r="31" ht="15" customHeight="1" s="244">
      <c r="A31" s="310" t="n"/>
      <c r="B31" s="313" t="n"/>
      <c r="F31" s="317" t="n"/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n"/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n"/>
      <c r="F35" s="317" t="n"/>
      <c r="G35" s="323" t="n"/>
      <c r="H35" s="280" t="n"/>
    </row>
    <row r="36" ht="15" customHeight="1" s="244">
      <c r="A36" s="310" t="n"/>
      <c r="B36" s="313" t="n"/>
      <c r="F36" s="317" t="n"/>
      <c r="G36" s="323" t="n"/>
      <c r="H36" s="280" t="n"/>
    </row>
    <row r="37" ht="15" customHeight="1" s="244">
      <c r="A37" s="310" t="n"/>
      <c r="B37" s="313" t="n"/>
      <c r="F37" s="317" t="n"/>
      <c r="G37" s="323" t="n"/>
      <c r="H37" s="280" t="n"/>
    </row>
    <row r="38" ht="15" customHeight="1" s="244">
      <c r="A38" s="310" t="n"/>
      <c r="B38" s="313" t="n"/>
      <c r="F38" s="317" t="n"/>
      <c r="G38" s="323" t="n"/>
      <c r="H38" s="280" t="n"/>
    </row>
    <row r="39" ht="15" customHeight="1" s="244">
      <c r="A39" s="310" t="n"/>
      <c r="B39" s="313" t="n"/>
      <c r="F39" s="317" t="n"/>
      <c r="G39" s="323" t="n"/>
      <c r="H39" s="280" t="n"/>
    </row>
    <row r="40" ht="15" customHeight="1" s="244">
      <c r="A40" s="310" t="n"/>
      <c r="B40" s="313" t="n"/>
      <c r="F40" s="317" t="n"/>
      <c r="G40" s="323" t="n"/>
      <c r="H40" s="280" t="n"/>
    </row>
    <row r="41" ht="15" customHeight="1" s="244">
      <c r="A41" s="310" t="n"/>
      <c r="B41" s="313" t="n"/>
      <c r="F41" s="317" t="n"/>
      <c r="G41" s="323" t="n"/>
      <c r="H41" s="280" t="n"/>
    </row>
    <row r="42" ht="15" customHeight="1" s="244">
      <c r="A42" s="310" t="n"/>
      <c r="B42" s="313" t="n"/>
      <c r="F42" s="317" t="n"/>
      <c r="G42" s="323" t="n"/>
      <c r="H42" s="280" t="n"/>
    </row>
    <row r="43" ht="15" customHeight="1" s="244">
      <c r="A43" s="310" t="n"/>
      <c r="B43" s="313" t="n"/>
      <c r="F43" s="317" t="n"/>
      <c r="G43" s="323" t="n"/>
      <c r="H43" s="280" t="n"/>
    </row>
    <row r="44" ht="15" customHeight="1" s="244">
      <c r="A44" s="310" t="n"/>
      <c r="B44" s="313" t="n"/>
      <c r="F44" s="317" t="n"/>
      <c r="G44" s="323" t="n"/>
      <c r="H44" s="280" t="n"/>
    </row>
    <row r="45" ht="15" customHeight="1" s="244">
      <c r="A45" s="310" t="n"/>
      <c r="B45" s="313" t="n"/>
      <c r="F45" s="317" t="n"/>
      <c r="G45" s="323" t="n"/>
      <c r="H45" s="280" t="n"/>
    </row>
    <row r="46" ht="15" customHeight="1" s="244">
      <c r="A46" s="310" t="n"/>
      <c r="B46" s="313" t="n"/>
      <c r="C46" s="324" t="n"/>
      <c r="D46" s="323" t="n"/>
      <c r="F46" s="317" t="n"/>
      <c r="G46" s="323" t="n"/>
      <c r="H46" s="280" t="n"/>
    </row>
    <row r="47" ht="15" customHeight="1" s="244">
      <c r="A47" s="310" t="n"/>
      <c r="B47" s="313" t="n"/>
      <c r="C47" s="324" t="n"/>
      <c r="D47" s="323" t="n"/>
      <c r="F47" s="317" t="n"/>
      <c r="G47" s="323" t="n"/>
      <c r="H47" s="280" t="n"/>
    </row>
    <row r="48" ht="15.75" customHeight="1" s="244">
      <c r="A48" s="310" t="n"/>
      <c r="B48" s="315" t="n"/>
      <c r="D48" s="323" t="n"/>
      <c r="H48" s="280" t="n"/>
    </row>
    <row r="49" ht="15" customHeight="1" s="244">
      <c r="A49" s="310" t="n"/>
      <c r="B49" s="313" t="n"/>
      <c r="D49" s="323" t="n"/>
      <c r="E49" s="317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279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3.5" customHeight="1" s="244">
      <c r="A64" s="325" t="n"/>
      <c r="B64" s="326" t="n"/>
      <c r="C64" s="326" t="n"/>
      <c r="D64" s="326" t="n"/>
      <c r="E64" s="326" t="n"/>
      <c r="F64" s="326" t="n"/>
      <c r="G64" s="326" t="n"/>
      <c r="H64" s="327" t="n"/>
    </row>
    <row r="65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99"/>
  <sheetViews>
    <sheetView showFormulas="0" showGridLines="1" showRowColHeaders="1" showZeros="1" rightToLeft="0" tabSelected="0" showOutlineSymbols="1" defaultGridColor="1" view="normal" topLeftCell="A8" colorId="64" zoomScale="160" zoomScaleNormal="160" zoomScalePageLayoutView="100" workbookViewId="0">
      <selection pane="topLeft" activeCell="Q43" activeCellId="0" sqref="Q43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 xml:space="preserve">ZEMİN </t>
        </is>
      </c>
      <c r="P1" s="337" t="inlineStr">
        <is>
          <t>Tarih</t>
        </is>
      </c>
      <c r="Q1" s="338">
        <f>[1]kapak!G41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</t>
        </is>
      </c>
      <c r="G8" s="362" t="inlineStr">
        <is>
          <t>0</t>
        </is>
      </c>
      <c r="H8" s="360" t="inlineStr">
        <is>
          <t>1</t>
        </is>
      </c>
      <c r="I8" s="363" t="inlineStr">
        <is>
          <t>SALON+MUTFAK+ANTRE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8.1</v>
      </c>
      <c r="E9" s="369" t="n">
        <v>2.8</v>
      </c>
      <c r="F9" s="370">
        <f>IF(D9=0," ",D9*E9)</f>
        <v/>
      </c>
      <c r="G9" s="371" t="n">
        <v>1</v>
      </c>
      <c r="H9" s="372">
        <f>F11*G11+F12*G12</f>
        <v/>
      </c>
      <c r="I9" s="370">
        <f>IF(F9=" "," ",F9*G9-H9)</f>
        <v/>
      </c>
      <c r="J9" s="369" t="n">
        <v>0.479</v>
      </c>
      <c r="K9" s="371" t="n">
        <v>31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0.37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0.577</v>
      </c>
      <c r="K10" s="371" t="n">
        <v>31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1.5</v>
      </c>
      <c r="E11" s="369" t="n">
        <v>1.6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2.4</v>
      </c>
      <c r="K11" s="371" t="n">
        <v>31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6">
        <f>IF(L11=" "," ",L11*P11)</f>
        <v/>
      </c>
    </row>
    <row r="12" ht="9.949999999999999" customFormat="1" customHeight="1" s="356">
      <c r="A12" s="366" t="inlineStr">
        <is>
          <t>ÇP</t>
        </is>
      </c>
      <c r="B12" s="367" t="inlineStr">
        <is>
          <t>K</t>
        </is>
      </c>
      <c r="C12" s="368" t="n"/>
      <c r="D12" s="369" t="n">
        <v>4.15</v>
      </c>
      <c r="E12" s="369" t="n">
        <v>2.8</v>
      </c>
      <c r="F12" s="370">
        <f>IF(D12=0," ",D12*E12)</f>
        <v/>
      </c>
      <c r="G12" s="371" t="n">
        <v>1</v>
      </c>
      <c r="H12" s="372" t="n"/>
      <c r="I12" s="370">
        <f>IF(F12=" "," ",F12*G12-H12)</f>
        <v/>
      </c>
      <c r="J12" s="369" t="n">
        <v>2.4</v>
      </c>
      <c r="K12" s="371" t="n">
        <v>31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6">
        <f>IF(L12=" "," ",L12*P12)</f>
        <v/>
      </c>
    </row>
    <row r="13" ht="9.949999999999999" customFormat="1" customHeight="1" s="356">
      <c r="A13" s="366" t="inlineStr">
        <is>
          <t>DD30</t>
        </is>
      </c>
      <c r="B13" s="367" t="inlineStr">
        <is>
          <t>K</t>
        </is>
      </c>
      <c r="C13" s="368" t="n"/>
      <c r="D13" s="369" t="n">
        <v>1.7</v>
      </c>
      <c r="E13" s="369" t="n">
        <v>3.17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0.57</v>
      </c>
      <c r="K13" s="371" t="n">
        <v>31</v>
      </c>
      <c r="L13" s="373">
        <f>IF(I13=" "," ",I13*J13*K13)</f>
        <v/>
      </c>
      <c r="M13" s="374" t="n">
        <v>7</v>
      </c>
      <c r="N13" s="371" t="n">
        <v>0</v>
      </c>
      <c r="O13" s="374" t="n">
        <v>5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DD</t>
        </is>
      </c>
      <c r="B14" s="367" t="inlineStr">
        <is>
          <t>D</t>
        </is>
      </c>
      <c r="C14" s="368" t="n"/>
      <c r="D14" s="369" t="n">
        <v>9.550000000000001</v>
      </c>
      <c r="E14" s="369" t="n">
        <v>2.8</v>
      </c>
      <c r="F14" s="370">
        <f>IF(D14=0," ",D14*E14)</f>
        <v/>
      </c>
      <c r="G14" s="371" t="n">
        <v>1</v>
      </c>
      <c r="H14" s="372">
        <f>F16*G16</f>
        <v/>
      </c>
      <c r="I14" s="370">
        <f>IF(F14=" "," ",F14*G14-H14)</f>
        <v/>
      </c>
      <c r="J14" s="369" t="n">
        <v>0.479</v>
      </c>
      <c r="K14" s="371" t="n">
        <v>31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DD25</t>
        </is>
      </c>
      <c r="B15" s="367" t="inlineStr">
        <is>
          <t>D</t>
        </is>
      </c>
      <c r="C15" s="368" t="n"/>
      <c r="D15" s="369">
        <f>D14</f>
        <v/>
      </c>
      <c r="E15" s="369" t="n">
        <v>0.37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0.577</v>
      </c>
      <c r="K15" s="371" t="n">
        <v>31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ÇP</t>
        </is>
      </c>
      <c r="B16" s="367" t="inlineStr">
        <is>
          <t>D</t>
        </is>
      </c>
      <c r="C16" s="368" t="n"/>
      <c r="D16" s="369" t="n">
        <v>7.85</v>
      </c>
      <c r="E16" s="369" t="n">
        <v>2.8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2.4</v>
      </c>
      <c r="K16" s="371" t="n">
        <v>31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6">
        <f>IF(L16=" "," ",L16*P16)</f>
        <v/>
      </c>
    </row>
    <row r="17" ht="9.949999999999999" customFormat="1" customHeight="1" s="356">
      <c r="A17" s="366" t="inlineStr">
        <is>
          <t>DD30</t>
        </is>
      </c>
      <c r="B17" s="367" t="inlineStr">
        <is>
          <t>D</t>
        </is>
      </c>
      <c r="C17" s="368" t="n"/>
      <c r="D17" s="369" t="n">
        <v>2.15</v>
      </c>
      <c r="E17" s="369" t="n">
        <v>3.17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0.57</v>
      </c>
      <c r="K17" s="371" t="n">
        <v>31</v>
      </c>
      <c r="L17" s="373">
        <f>IF(I17=" "," ",I17*J17*K17)</f>
        <v/>
      </c>
      <c r="M17" s="374" t="n">
        <v>7</v>
      </c>
      <c r="N17" s="371" t="n">
        <v>0</v>
      </c>
      <c r="O17" s="374" t="n">
        <v>0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66" t="inlineStr">
        <is>
          <t>DD</t>
        </is>
      </c>
      <c r="B18" s="367" t="inlineStr">
        <is>
          <t>G</t>
        </is>
      </c>
      <c r="C18" s="368" t="n"/>
      <c r="D18" s="369" t="n">
        <v>9.35</v>
      </c>
      <c r="E18" s="369" t="n">
        <v>2.8</v>
      </c>
      <c r="F18" s="370">
        <f>IF(D18=0," ",D18*E18)</f>
        <v/>
      </c>
      <c r="G18" s="371" t="n">
        <v>1</v>
      </c>
      <c r="H18" s="372">
        <f>F20*G20+F21*G21</f>
        <v/>
      </c>
      <c r="I18" s="370">
        <f>IF(F18=" "," ",F18*G18-H18)</f>
        <v/>
      </c>
      <c r="J18" s="369" t="n">
        <v>0.479</v>
      </c>
      <c r="K18" s="371" t="n">
        <v>31</v>
      </c>
      <c r="L18" s="373">
        <f>IF(I18=" "," ",I18*J18*K18)</f>
        <v/>
      </c>
      <c r="M18" s="374" t="n">
        <v>7</v>
      </c>
      <c r="N18" s="371" t="n">
        <v>0</v>
      </c>
      <c r="O18" s="374" t="n">
        <v>-5</v>
      </c>
      <c r="P18" s="370">
        <f>IF(M18=" "," ",(1+(M18+N18+O18)/100))</f>
        <v/>
      </c>
      <c r="Q18" s="375">
        <f>IF(L18=" "," ",L18*P18)</f>
        <v/>
      </c>
    </row>
    <row r="19" ht="9.949999999999999" customFormat="1" customHeight="1" s="356">
      <c r="A19" s="366" t="inlineStr">
        <is>
          <t>DD25</t>
        </is>
      </c>
      <c r="B19" s="367" t="inlineStr">
        <is>
          <t>G</t>
        </is>
      </c>
      <c r="C19" s="368" t="n"/>
      <c r="D19" s="369">
        <f>D18</f>
        <v/>
      </c>
      <c r="E19" s="369" t="n">
        <v>0.37</v>
      </c>
      <c r="F19" s="370">
        <f>IF(D19=0," ",D19*E19)</f>
        <v/>
      </c>
      <c r="G19" s="371" t="n">
        <v>1</v>
      </c>
      <c r="H19" s="372" t="n"/>
      <c r="I19" s="370">
        <f>IF(F19=" "," ",F19*G19-H19)</f>
        <v/>
      </c>
      <c r="J19" s="369" t="n">
        <v>0.577</v>
      </c>
      <c r="K19" s="371" t="n">
        <v>31</v>
      </c>
      <c r="L19" s="373">
        <f>IF(I19=" "," ",I19*J19*K19)</f>
        <v/>
      </c>
      <c r="M19" s="374" t="n">
        <v>7</v>
      </c>
      <c r="N19" s="371" t="n">
        <v>0</v>
      </c>
      <c r="O19" s="374" t="n">
        <v>-5</v>
      </c>
      <c r="P19" s="370">
        <f>IF(M19=" "," ",(1+(M19+N19+O19)/100))</f>
        <v/>
      </c>
      <c r="Q19" s="375">
        <f>IF(L19=" "," ",L19*P19)</f>
        <v/>
      </c>
    </row>
    <row r="20" ht="9.949999999999999" customFormat="1" customHeight="1" s="356">
      <c r="A20" s="366" t="inlineStr">
        <is>
          <t>ÇP</t>
        </is>
      </c>
      <c r="B20" s="367" t="inlineStr">
        <is>
          <t>G</t>
        </is>
      </c>
      <c r="C20" s="368" t="n"/>
      <c r="D20" s="369" t="n">
        <v>0.6</v>
      </c>
      <c r="E20" s="369" t="n">
        <v>2.8</v>
      </c>
      <c r="F20" s="370">
        <f>IF(D20=0," ",D20*E20)</f>
        <v/>
      </c>
      <c r="G20" s="371" t="n">
        <v>2</v>
      </c>
      <c r="H20" s="372" t="n"/>
      <c r="I20" s="370">
        <f>IF(F20=" "," ",F20*G20-H20)</f>
        <v/>
      </c>
      <c r="J20" s="369" t="n">
        <v>2.4</v>
      </c>
      <c r="K20" s="371" t="n">
        <v>31</v>
      </c>
      <c r="L20" s="373">
        <f>IF(I20=" "," ",I20*J20*K20)</f>
        <v/>
      </c>
      <c r="M20" s="374" t="n">
        <v>7</v>
      </c>
      <c r="N20" s="371" t="n">
        <v>0</v>
      </c>
      <c r="O20" s="374" t="n">
        <v>-5</v>
      </c>
      <c r="P20" s="370">
        <f>IF(M20=" "," ",(1+(M20+N20+O20)/100))</f>
        <v/>
      </c>
      <c r="Q20" s="376">
        <f>IF(L20=" "," ",L20*P20)</f>
        <v/>
      </c>
    </row>
    <row r="21" ht="9.949999999999999" customFormat="1" customHeight="1" s="356">
      <c r="A21" s="366" t="inlineStr">
        <is>
          <t>DK</t>
        </is>
      </c>
      <c r="B21" s="367" t="inlineStr">
        <is>
          <t>G</t>
        </is>
      </c>
      <c r="C21" s="368" t="n"/>
      <c r="D21" s="369" t="n">
        <v>1.5</v>
      </c>
      <c r="E21" s="369" t="n">
        <v>2.25</v>
      </c>
      <c r="F21" s="370">
        <f>IF(D21=0," ",D21*E21)</f>
        <v/>
      </c>
      <c r="G21" s="371" t="n">
        <v>1</v>
      </c>
      <c r="H21" s="372" t="n"/>
      <c r="I21" s="370">
        <f>IF(F21=" "," ",F21*G21-H21)</f>
        <v/>
      </c>
      <c r="J21" s="369" t="n">
        <v>3.5</v>
      </c>
      <c r="K21" s="371" t="n">
        <v>31</v>
      </c>
      <c r="L21" s="373">
        <f>IF(I21=" "," ",I21*J21*K21)</f>
        <v/>
      </c>
      <c r="M21" s="374" t="n">
        <v>7</v>
      </c>
      <c r="N21" s="371" t="n">
        <v>0</v>
      </c>
      <c r="O21" s="374" t="n">
        <v>-5</v>
      </c>
      <c r="P21" s="370">
        <f>IF(M21=" "," ",(1+(M21+N21+O21)/100))</f>
        <v/>
      </c>
      <c r="Q21" s="376">
        <f>IF(L21=" "," ",L21*P21)</f>
        <v/>
      </c>
    </row>
    <row r="22" ht="9.949999999999999" customFormat="1" customHeight="1" s="356">
      <c r="A22" s="366" t="inlineStr">
        <is>
          <t>DD30</t>
        </is>
      </c>
      <c r="B22" s="367" t="inlineStr">
        <is>
          <t>G</t>
        </is>
      </c>
      <c r="C22" s="368" t="n"/>
      <c r="D22" s="369" t="n">
        <v>1.3</v>
      </c>
      <c r="E22" s="369" t="n">
        <v>3.17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0.57</v>
      </c>
      <c r="K22" s="371" t="n">
        <v>31</v>
      </c>
      <c r="L22" s="373">
        <f>IF(I22=" "," ",I22*J22*K22)</f>
        <v/>
      </c>
      <c r="M22" s="374" t="n">
        <v>7</v>
      </c>
      <c r="N22" s="371" t="n">
        <v>0</v>
      </c>
      <c r="O22" s="374" t="n">
        <v>-5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DD</t>
        </is>
      </c>
      <c r="B23" s="367" t="inlineStr">
        <is>
          <t>B</t>
        </is>
      </c>
      <c r="C23" s="368" t="n"/>
      <c r="D23" s="369" t="n">
        <v>2.4</v>
      </c>
      <c r="E23" s="369" t="n">
        <v>2.8</v>
      </c>
      <c r="F23" s="370">
        <f>IF(D23=0," ",D23*E23)</f>
        <v/>
      </c>
      <c r="G23" s="371" t="n">
        <v>1</v>
      </c>
      <c r="H23" s="372">
        <f>F25*G25</f>
        <v/>
      </c>
      <c r="I23" s="370">
        <f>IF(F23=" "," ",F23*G23-H23)</f>
        <v/>
      </c>
      <c r="J23" s="369" t="n">
        <v>0.479</v>
      </c>
      <c r="K23" s="371" t="n">
        <v>31</v>
      </c>
      <c r="L23" s="373">
        <f>IF(I23=" "," ",I23*J23*K23)</f>
        <v/>
      </c>
      <c r="M23" s="374" t="n">
        <v>7</v>
      </c>
      <c r="N23" s="371" t="n">
        <v>0</v>
      </c>
      <c r="O23" s="374" t="n">
        <v>0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356">
      <c r="A24" s="366" t="inlineStr">
        <is>
          <t>DD25</t>
        </is>
      </c>
      <c r="B24" s="367" t="inlineStr">
        <is>
          <t>B</t>
        </is>
      </c>
      <c r="C24" s="368" t="n"/>
      <c r="D24" s="369">
        <f>D23</f>
        <v/>
      </c>
      <c r="E24" s="369" t="n">
        <v>0.37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0.577</v>
      </c>
      <c r="K24" s="371" t="n">
        <v>31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356">
      <c r="A25" s="366" t="inlineStr">
        <is>
          <t>ÇP</t>
        </is>
      </c>
      <c r="B25" s="367" t="inlineStr">
        <is>
          <t>B</t>
        </is>
      </c>
      <c r="C25" s="368" t="n"/>
      <c r="D25" s="369" t="n">
        <v>0.8</v>
      </c>
      <c r="E25" s="369" t="n">
        <v>1.5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2.4</v>
      </c>
      <c r="K25" s="371" t="n">
        <v>31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6">
        <f>IF(L25=" "," ",L25*P25)</f>
        <v/>
      </c>
    </row>
    <row r="26" ht="9.949999999999999" customFormat="1" customHeight="1" s="356">
      <c r="A26" s="366" t="inlineStr">
        <is>
          <t xml:space="preserve">Dö </t>
        </is>
      </c>
      <c r="B26" s="367" t="n"/>
      <c r="C26" s="368" t="n"/>
      <c r="D26" s="369" t="n">
        <v>0.5</v>
      </c>
      <c r="E26" s="369" t="n">
        <v>1.8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0.269</v>
      </c>
      <c r="K26" s="371" t="n">
        <v>16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6">
        <f>IF(L26=" "," ",L26*P26)</f>
        <v/>
      </c>
    </row>
    <row r="27" ht="9.949999999999999" customFormat="1" customHeight="1" s="356">
      <c r="A27" s="366" t="inlineStr">
        <is>
          <t xml:space="preserve">Dö </t>
        </is>
      </c>
      <c r="B27" s="367" t="n"/>
      <c r="C27" s="368" t="n"/>
      <c r="D27" s="369" t="n">
        <v>5.2</v>
      </c>
      <c r="E27" s="369" t="n">
        <v>4.2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0.269</v>
      </c>
      <c r="K27" s="371" t="n">
        <v>16</v>
      </c>
      <c r="L27" s="373">
        <f>IF(I27=" "," ",I27*J27*K27)</f>
        <v/>
      </c>
      <c r="M27" s="374" t="n">
        <v>7</v>
      </c>
      <c r="N27" s="371" t="n">
        <v>0</v>
      </c>
      <c r="O27" s="374" t="n">
        <v>0</v>
      </c>
      <c r="P27" s="370">
        <f>IF(M27=" "," ",(1+(M27+N27+O27)/100))</f>
        <v/>
      </c>
      <c r="Q27" s="376">
        <f>IF(L27=" "," ",L27*P27)</f>
        <v/>
      </c>
    </row>
    <row r="28" ht="9.949999999999999" customFormat="1" customHeight="1" s="356">
      <c r="A28" s="366" t="inlineStr">
        <is>
          <t xml:space="preserve">Dö </t>
        </is>
      </c>
      <c r="B28" s="367" t="n"/>
      <c r="C28" s="368" t="n"/>
      <c r="D28" s="369" t="n">
        <v>6.5</v>
      </c>
      <c r="E28" s="369" t="n">
        <v>10.65</v>
      </c>
      <c r="F28" s="370">
        <f>IF(D28=0," ",D28*E28)</f>
        <v/>
      </c>
      <c r="G28" s="371" t="n">
        <v>1</v>
      </c>
      <c r="H28" s="372" t="n"/>
      <c r="I28" s="370">
        <f>IF(F28=" "," ",F28*G28-H28)</f>
        <v/>
      </c>
      <c r="J28" s="369" t="n">
        <v>0.269</v>
      </c>
      <c r="K28" s="371" t="n">
        <v>16</v>
      </c>
      <c r="L28" s="373">
        <f>IF(I28=" "," ",I28*J28*K28)</f>
        <v/>
      </c>
      <c r="M28" s="374" t="n">
        <v>7</v>
      </c>
      <c r="N28" s="371" t="n">
        <v>0</v>
      </c>
      <c r="O28" s="374" t="n">
        <v>0</v>
      </c>
      <c r="P28" s="370">
        <f>IF(M28=" "," ",(1+(M28+N28+O28)/100))</f>
        <v/>
      </c>
      <c r="Q28" s="376">
        <f>IF(L28=" "," ",L28*P28)</f>
        <v/>
      </c>
    </row>
    <row r="29" ht="9.949999999999999" customFormat="1" customHeight="1" s="356">
      <c r="A29" s="377" t="n"/>
      <c r="B29" s="378" t="n"/>
      <c r="C29" s="378" t="n"/>
      <c r="D29" s="379" t="n"/>
      <c r="E29" s="379" t="n"/>
      <c r="F29" s="379">
        <f>IF(D29=0," ",D29*E29)</f>
        <v/>
      </c>
      <c r="G29" s="380" t="n"/>
      <c r="H29" s="379" t="n"/>
      <c r="I29" s="379">
        <f>IF(F29=" "," ",F29*G29-H29)</f>
        <v/>
      </c>
      <c r="J29" s="379" t="n"/>
      <c r="K29" s="380" t="n"/>
      <c r="L29" s="381" t="n"/>
      <c r="M29" s="382" t="n"/>
      <c r="N29" s="382" t="n"/>
      <c r="O29" s="382" t="n"/>
      <c r="P29" s="383" t="n"/>
      <c r="Q29" s="384">
        <f>SUM(Q9:Q28)</f>
        <v/>
      </c>
    </row>
    <row r="30" ht="9.949999999999999" customFormat="1" customHeight="1" s="385">
      <c r="A30" s="386" t="n"/>
      <c r="B30" s="387" t="n"/>
      <c r="C30" s="387" t="n"/>
      <c r="D30" s="388" t="n"/>
      <c r="E30" s="389" t="n"/>
      <c r="F30" s="390" t="n"/>
      <c r="G30" s="391" t="n"/>
      <c r="H30" s="390" t="n"/>
      <c r="I30" s="392" t="n"/>
      <c r="J30" s="393" t="inlineStr">
        <is>
          <t>Qs=</t>
        </is>
      </c>
      <c r="K30" s="392" t="inlineStr">
        <is>
          <t>S a</t>
        </is>
      </c>
      <c r="L30" s="390" t="inlineStr">
        <is>
          <t>L</t>
        </is>
      </c>
      <c r="M30" s="391" t="inlineStr">
        <is>
          <t>R</t>
        </is>
      </c>
      <c r="N30" s="394" t="inlineStr">
        <is>
          <t>H</t>
        </is>
      </c>
      <c r="O30" s="395" t="inlineStr">
        <is>
          <t>D  T</t>
        </is>
      </c>
      <c r="P30" s="391" t="inlineStr">
        <is>
          <t>Ze</t>
        </is>
      </c>
      <c r="Q30" s="396" t="n"/>
    </row>
    <row r="31" ht="9.949999999999999" customFormat="1" customHeight="1" s="385">
      <c r="A31" s="397" t="inlineStr">
        <is>
          <t xml:space="preserve"> </t>
        </is>
      </c>
      <c r="C31" s="398" t="n"/>
      <c r="D31" s="398" t="n"/>
      <c r="E31" s="399" t="n"/>
      <c r="F31" s="400" t="n"/>
      <c r="G31" s="401" t="n"/>
      <c r="H31" s="402" t="n"/>
      <c r="I31" s="403" t="n"/>
      <c r="J31" s="404" t="inlineStr">
        <is>
          <t>Qs  =</t>
        </is>
      </c>
      <c r="K31" s="405" t="n">
        <v>2</v>
      </c>
      <c r="L31" s="405">
        <f>(D11+E11)*2*G11+(D16+E16)*2*G16+(D12+E12)*2*G12+(D20+E20)*2*G20+(D21+E21)*2*G21+(D25+E25)*2*G25</f>
        <v/>
      </c>
      <c r="M31" s="405" t="n">
        <v>0.9</v>
      </c>
      <c r="N31" s="405" t="n">
        <v>0.67</v>
      </c>
      <c r="O31" s="382" t="n">
        <v>31</v>
      </c>
      <c r="P31" s="405" t="n">
        <v>1.2</v>
      </c>
      <c r="Q31" s="384">
        <f>K31*L31*M31*N31*O31*P31</f>
        <v/>
      </c>
    </row>
    <row r="32" ht="9.949999999999999" customFormat="1" customHeight="1" s="351">
      <c r="A32" s="406" t="n"/>
      <c r="B32" s="385" t="n"/>
      <c r="C32" s="398" t="n"/>
      <c r="D32" s="398" t="n"/>
      <c r="E32" s="379" t="n"/>
      <c r="F32" s="256" t="n"/>
      <c r="G32" s="407" t="n"/>
      <c r="H32" s="398" t="n"/>
      <c r="I32" s="398" t="n"/>
      <c r="J32" s="398" t="n"/>
      <c r="K32" s="407" t="n"/>
      <c r="L32" s="408" t="n"/>
      <c r="M32" s="409" t="inlineStr">
        <is>
          <t xml:space="preserve">   TOPLAM ISI KAYBI =</t>
        </is>
      </c>
      <c r="N32" s="409" t="n"/>
      <c r="O32" s="410" t="n"/>
      <c r="P32" s="409" t="n"/>
      <c r="Q32" s="411">
        <f>Q29+Q31</f>
        <v/>
      </c>
    </row>
    <row r="33" ht="9.75" customFormat="1" customHeight="1" s="356">
      <c r="A33" s="412" t="n"/>
      <c r="B33" s="413" t="n"/>
      <c r="C33" s="413" t="n"/>
      <c r="D33" s="413" t="n"/>
      <c r="E33" s="413" t="n"/>
      <c r="F33" s="361">
        <f>F8</f>
        <v/>
      </c>
      <c r="G33" s="414" t="inlineStr">
        <is>
          <t>0</t>
        </is>
      </c>
      <c r="H33" s="413" t="inlineStr">
        <is>
          <t>2</t>
        </is>
      </c>
      <c r="I33" s="414" t="inlineStr">
        <is>
          <t>BANYO</t>
        </is>
      </c>
      <c r="J33" s="364" t="n"/>
      <c r="K33" s="413" t="inlineStr">
        <is>
          <t>26ºC</t>
        </is>
      </c>
      <c r="L33" s="413" t="n"/>
      <c r="M33" s="413" t="n"/>
      <c r="N33" s="413" t="n"/>
      <c r="O33" s="413" t="n"/>
      <c r="P33" s="413" t="n"/>
      <c r="Q33" s="415" t="n"/>
    </row>
    <row r="34" ht="9.949999999999999" customFormat="1" customHeight="1" s="356">
      <c r="A34" s="366" t="inlineStr">
        <is>
          <t>DD</t>
        </is>
      </c>
      <c r="B34" s="367" t="inlineStr">
        <is>
          <t>B</t>
        </is>
      </c>
      <c r="C34" s="368" t="n"/>
      <c r="D34" s="369" t="n">
        <v>0.75</v>
      </c>
      <c r="E34" s="369" t="n">
        <v>2.8</v>
      </c>
      <c r="F34" s="370">
        <f>IF(D34=0," ",D34*E34)</f>
        <v/>
      </c>
      <c r="G34" s="371" t="n">
        <v>1</v>
      </c>
      <c r="H34" s="372">
        <f>F36*G36</f>
        <v/>
      </c>
      <c r="I34" s="370">
        <f>IF(F34=" "," ",F34*G34-H34)</f>
        <v/>
      </c>
      <c r="J34" s="369" t="n">
        <v>0.479</v>
      </c>
      <c r="K34" s="371" t="n">
        <v>35</v>
      </c>
      <c r="L34" s="373">
        <f>IF(I34=" "," ",I34*J34*K34)</f>
        <v/>
      </c>
      <c r="M34" s="374" t="n">
        <v>7</v>
      </c>
      <c r="N34" s="371" t="n">
        <v>0</v>
      </c>
      <c r="O34" s="374" t="n">
        <v>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DD25</t>
        </is>
      </c>
      <c r="B35" s="367" t="inlineStr">
        <is>
          <t>B</t>
        </is>
      </c>
      <c r="C35" s="368" t="n"/>
      <c r="D35" s="369">
        <f>D34</f>
        <v/>
      </c>
      <c r="E35" s="369" t="n">
        <v>0.37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0.577</v>
      </c>
      <c r="K35" s="371" t="n">
        <v>35</v>
      </c>
      <c r="L35" s="373">
        <f>IF(I35=" "," ",I35*J35*K35)</f>
        <v/>
      </c>
      <c r="M35" s="374" t="n">
        <v>7</v>
      </c>
      <c r="N35" s="371" t="n">
        <v>0</v>
      </c>
      <c r="O35" s="374" t="n">
        <v>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356">
      <c r="A36" s="366" t="inlineStr">
        <is>
          <t>ÇP</t>
        </is>
      </c>
      <c r="B36" s="367" t="inlineStr">
        <is>
          <t>B</t>
        </is>
      </c>
      <c r="C36" s="368" t="n"/>
      <c r="D36" s="369" t="n">
        <v>0.6</v>
      </c>
      <c r="E36" s="369" t="n">
        <v>0.6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2.4</v>
      </c>
      <c r="K36" s="371" t="n">
        <v>35</v>
      </c>
      <c r="L36" s="373">
        <f>IF(I36=" "," ",I36*J36*K36)</f>
        <v/>
      </c>
      <c r="M36" s="374" t="n">
        <v>7</v>
      </c>
      <c r="N36" s="371" t="n">
        <v>0</v>
      </c>
      <c r="O36" s="374" t="n">
        <v>5</v>
      </c>
      <c r="P36" s="370">
        <f>IF(M36=" "," ",(1+(M36+N36+O36)/100))</f>
        <v/>
      </c>
      <c r="Q36" s="376">
        <f>IF(L36=" "," ",L36*P36)</f>
        <v/>
      </c>
    </row>
    <row r="37" ht="9.949999999999999" customFormat="1" customHeight="1" s="356">
      <c r="A37" s="366" t="inlineStr">
        <is>
          <t>DD30</t>
        </is>
      </c>
      <c r="B37" s="367" t="inlineStr">
        <is>
          <t>B</t>
        </is>
      </c>
      <c r="C37" s="368" t="n"/>
      <c r="D37" s="369" t="n">
        <v>0.2</v>
      </c>
      <c r="E37" s="369" t="n">
        <v>3.17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0.57</v>
      </c>
      <c r="K37" s="371" t="n">
        <v>35</v>
      </c>
      <c r="L37" s="373">
        <f>IF(I37=" "," ",I37*J37*K37)</f>
        <v/>
      </c>
      <c r="M37" s="374" t="n">
        <v>7</v>
      </c>
      <c r="N37" s="371" t="n">
        <v>0</v>
      </c>
      <c r="O37" s="374" t="n">
        <v>5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6">
      <c r="A38" s="366" t="inlineStr">
        <is>
          <t>İD</t>
        </is>
      </c>
      <c r="B38" s="367" t="n"/>
      <c r="C38" s="368" t="n"/>
      <c r="D38" s="369" t="n">
        <v>4.9</v>
      </c>
      <c r="E38" s="369" t="n">
        <v>3.17</v>
      </c>
      <c r="F38" s="370">
        <f>IF(D38=0," ",D38*E38)</f>
        <v/>
      </c>
      <c r="G38" s="371" t="n">
        <v>1</v>
      </c>
      <c r="H38" s="372" t="n"/>
      <c r="I38" s="370">
        <f>IF(F38=" "," ",F38*G38-H38)</f>
        <v/>
      </c>
      <c r="J38" s="369" t="n">
        <v>0.8139999999999999</v>
      </c>
      <c r="K38" s="371" t="n">
        <v>6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66" t="inlineStr">
        <is>
          <t>Dö</t>
        </is>
      </c>
      <c r="B39" s="367" t="n"/>
      <c r="C39" s="368" t="n"/>
      <c r="D39" s="369" t="n">
        <v>1</v>
      </c>
      <c r="E39" s="369" t="n">
        <v>0.5</v>
      </c>
      <c r="F39" s="370">
        <f>IF(D39=0," ",D39*E39)</f>
        <v/>
      </c>
      <c r="G39" s="371" t="n">
        <v>1</v>
      </c>
      <c r="H39" s="372" t="n"/>
      <c r="I39" s="370">
        <f>IF(F39=" "," ",F39*G39-H39)</f>
        <v/>
      </c>
      <c r="J39" s="369" t="n">
        <v>0.269</v>
      </c>
      <c r="K39" s="371" t="n">
        <v>20</v>
      </c>
      <c r="L39" s="373">
        <f>IF(I39=" "," ",I39*J39*K39)</f>
        <v/>
      </c>
      <c r="M39" s="374" t="n">
        <v>7</v>
      </c>
      <c r="N39" s="371" t="n">
        <v>0</v>
      </c>
      <c r="O39" s="374" t="n">
        <v>0</v>
      </c>
      <c r="P39" s="370">
        <f>IF(M39=" "," ",(1+(M39+N39+O39)/100))</f>
        <v/>
      </c>
      <c r="Q39" s="376">
        <f>IF(L39=" "," ",L39*P39)</f>
        <v/>
      </c>
    </row>
    <row r="40" ht="9.949999999999999" customFormat="1" customHeight="1" s="356">
      <c r="A40" s="366" t="inlineStr">
        <is>
          <t>Dö</t>
        </is>
      </c>
      <c r="B40" s="367" t="n"/>
      <c r="C40" s="368" t="n"/>
      <c r="D40" s="369" t="n">
        <v>2.9</v>
      </c>
      <c r="E40" s="369" t="n">
        <v>2.3</v>
      </c>
      <c r="F40" s="370">
        <f>IF(D40=0," ",D40*E40)</f>
        <v/>
      </c>
      <c r="G40" s="371" t="n">
        <v>1</v>
      </c>
      <c r="H40" s="372" t="n"/>
      <c r="I40" s="370">
        <f>IF(F40=" "," ",F40*G40-H40)</f>
        <v/>
      </c>
      <c r="J40" s="369" t="n">
        <v>0.269</v>
      </c>
      <c r="K40" s="371" t="n">
        <v>20</v>
      </c>
      <c r="L40" s="373">
        <f>IF(I40=" "," ",I40*J40*K40)</f>
        <v/>
      </c>
      <c r="M40" s="374" t="n">
        <v>7</v>
      </c>
      <c r="N40" s="371" t="n">
        <v>0</v>
      </c>
      <c r="O40" s="374" t="n">
        <v>0</v>
      </c>
      <c r="P40" s="370">
        <f>IF(M40=" "," ",(1+(M40+N40+O40)/100))</f>
        <v/>
      </c>
      <c r="Q40" s="376">
        <f>IF(L40=" "," ",L40*P40)</f>
        <v/>
      </c>
    </row>
    <row r="41" ht="9.949999999999999" customFormat="1" customHeight="1" s="356">
      <c r="A41" s="377" t="n"/>
      <c r="B41" s="378" t="n"/>
      <c r="C41" s="378" t="n"/>
      <c r="D41" s="379" t="n"/>
      <c r="E41" s="379" t="n"/>
      <c r="F41" s="379">
        <f>IF(D41=0," ",D41*E41)</f>
        <v/>
      </c>
      <c r="G41" s="380" t="n"/>
      <c r="H41" s="379" t="n"/>
      <c r="I41" s="379">
        <f>IF(F41=" "," ",F41*G41-H41)</f>
        <v/>
      </c>
      <c r="J41" s="379" t="n"/>
      <c r="K41" s="380" t="n"/>
      <c r="L41" s="381" t="n"/>
      <c r="M41" s="382" t="n"/>
      <c r="N41" s="382" t="n"/>
      <c r="O41" s="382" t="n"/>
      <c r="P41" s="383" t="n"/>
      <c r="Q41" s="384">
        <f>SUM(Q34:Q40)</f>
        <v/>
      </c>
    </row>
    <row r="42" ht="9.949999999999999" customFormat="1" customHeight="1" s="385">
      <c r="A42" s="386" t="n"/>
      <c r="B42" s="387" t="n"/>
      <c r="C42" s="387" t="n"/>
      <c r="D42" s="388" t="n"/>
      <c r="E42" s="389" t="n"/>
      <c r="F42" s="390" t="n"/>
      <c r="G42" s="391" t="n"/>
      <c r="H42" s="390" t="n"/>
      <c r="I42" s="392" t="n"/>
      <c r="J42" s="393" t="inlineStr">
        <is>
          <t>Qs=</t>
        </is>
      </c>
      <c r="K42" s="392" t="inlineStr">
        <is>
          <t>S a</t>
        </is>
      </c>
      <c r="L42" s="390" t="inlineStr">
        <is>
          <t>L</t>
        </is>
      </c>
      <c r="M42" s="391" t="inlineStr">
        <is>
          <t>R</t>
        </is>
      </c>
      <c r="N42" s="394" t="inlineStr">
        <is>
          <t>H</t>
        </is>
      </c>
      <c r="O42" s="395" t="inlineStr">
        <is>
          <t>D  T</t>
        </is>
      </c>
      <c r="P42" s="391" t="inlineStr">
        <is>
          <t>Ze</t>
        </is>
      </c>
      <c r="Q42" s="396" t="n"/>
    </row>
    <row r="43" ht="9.949999999999999" customFormat="1" customHeight="1" s="385">
      <c r="A43" s="397" t="inlineStr">
        <is>
          <t xml:space="preserve"> </t>
        </is>
      </c>
      <c r="C43" s="398" t="n"/>
      <c r="D43" s="398" t="n"/>
      <c r="E43" s="399" t="n"/>
      <c r="F43" s="400" t="n"/>
      <c r="G43" s="401" t="n"/>
      <c r="H43" s="402" t="n"/>
      <c r="I43" s="403" t="n"/>
      <c r="J43" s="404" t="inlineStr">
        <is>
          <t>Qs  =</t>
        </is>
      </c>
      <c r="K43" s="405" t="n">
        <v>2</v>
      </c>
      <c r="L43" s="405">
        <f>(D36+E36)*2*G36</f>
        <v/>
      </c>
      <c r="M43" s="405" t="n">
        <v>0.9</v>
      </c>
      <c r="N43" s="405" t="n">
        <v>0.67</v>
      </c>
      <c r="O43" s="382" t="n">
        <v>35</v>
      </c>
      <c r="P43" s="405" t="n">
        <v>1.2</v>
      </c>
      <c r="Q43" s="384">
        <f>K43*L43*M43*N43*O43*P43</f>
        <v/>
      </c>
    </row>
    <row r="44" ht="9.949999999999999" customFormat="1" customHeight="1" s="351">
      <c r="A44" s="406" t="n"/>
      <c r="B44" s="385" t="n"/>
      <c r="C44" s="398" t="n"/>
      <c r="D44" s="398" t="n"/>
      <c r="E44" s="379" t="n"/>
      <c r="F44" s="256" t="n"/>
      <c r="G44" s="407" t="n"/>
      <c r="H44" s="398" t="n"/>
      <c r="I44" s="398" t="n"/>
      <c r="J44" s="398" t="n"/>
      <c r="K44" s="407" t="n"/>
      <c r="L44" s="408" t="n"/>
      <c r="M44" s="409" t="inlineStr">
        <is>
          <t xml:space="preserve">   TOPLAM ISI KAYBI =</t>
        </is>
      </c>
      <c r="N44" s="409" t="n"/>
      <c r="O44" s="410" t="n"/>
      <c r="P44" s="409" t="n"/>
      <c r="Q44" s="411">
        <f>Q41+Q43</f>
        <v/>
      </c>
    </row>
    <row r="45" ht="9.949999999999999" customFormat="1" customHeight="1" s="356">
      <c r="A45" s="412" t="n"/>
      <c r="B45" s="413" t="n"/>
      <c r="C45" s="413" t="n"/>
      <c r="D45" s="413" t="n"/>
      <c r="E45" s="413" t="n"/>
      <c r="F45" s="361">
        <f>F8</f>
        <v/>
      </c>
      <c r="G45" s="414" t="inlineStr">
        <is>
          <t>0</t>
        </is>
      </c>
      <c r="H45" s="413">
        <f>H33+1</f>
        <v/>
      </c>
      <c r="I45" s="414" t="inlineStr">
        <is>
          <t>KİLER</t>
        </is>
      </c>
      <c r="J45" s="364" t="n"/>
      <c r="K45" s="413" t="inlineStr">
        <is>
          <t>18ºC</t>
        </is>
      </c>
      <c r="L45" s="413" t="n"/>
      <c r="M45" s="413" t="n"/>
      <c r="N45" s="413" t="n"/>
      <c r="O45" s="413" t="n"/>
      <c r="P45" s="413" t="n"/>
      <c r="Q45" s="415" t="n"/>
    </row>
    <row r="46" ht="9.949999999999999" customFormat="1" customHeight="1" s="356">
      <c r="A46" s="366" t="inlineStr">
        <is>
          <t>DD</t>
        </is>
      </c>
      <c r="B46" s="367" t="inlineStr">
        <is>
          <t>B</t>
        </is>
      </c>
      <c r="C46" s="368" t="n"/>
      <c r="D46" s="369" t="n">
        <v>1.45</v>
      </c>
      <c r="E46" s="369" t="n">
        <v>2.8</v>
      </c>
      <c r="F46" s="370">
        <f>IF(D46=0," ",D46*E46)</f>
        <v/>
      </c>
      <c r="G46" s="371" t="n">
        <v>1</v>
      </c>
      <c r="H46" s="372" t="n"/>
      <c r="I46" s="370">
        <f>IF(F46=" "," ",F46*G46-H46)</f>
        <v/>
      </c>
      <c r="J46" s="369" t="n">
        <v>0.479</v>
      </c>
      <c r="K46" s="371" t="n">
        <v>27</v>
      </c>
      <c r="L46" s="373">
        <f>IF(I46=" "," ",I46*J46*K46)</f>
        <v/>
      </c>
      <c r="M46" s="374" t="n">
        <v>7</v>
      </c>
      <c r="N46" s="371" t="n">
        <v>0</v>
      </c>
      <c r="O46" s="374" t="n">
        <v>0</v>
      </c>
      <c r="P46" s="370">
        <f>IF(M46=" "," ",(1+(M46+N46+O46)/100))</f>
        <v/>
      </c>
      <c r="Q46" s="375">
        <f>IF(L46=" "," ",L46*P46)</f>
        <v/>
      </c>
    </row>
    <row r="47" ht="9.949999999999999" customFormat="1" customHeight="1" s="356">
      <c r="A47" s="366" t="inlineStr">
        <is>
          <t>DD25</t>
        </is>
      </c>
      <c r="B47" s="367" t="inlineStr">
        <is>
          <t>B</t>
        </is>
      </c>
      <c r="C47" s="368" t="n"/>
      <c r="D47" s="369">
        <f>D46</f>
        <v/>
      </c>
      <c r="E47" s="369" t="n">
        <v>0.37</v>
      </c>
      <c r="F47" s="370">
        <f>IF(D47=0," ",D47*E47)</f>
        <v/>
      </c>
      <c r="G47" s="371" t="n">
        <v>1</v>
      </c>
      <c r="H47" s="372" t="n"/>
      <c r="I47" s="370">
        <f>IF(F47=" "," ",F47*G47-H47)</f>
        <v/>
      </c>
      <c r="J47" s="369" t="n">
        <v>0.577</v>
      </c>
      <c r="K47" s="371" t="n">
        <v>27</v>
      </c>
      <c r="L47" s="373" t="n">
        <v>26</v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356">
      <c r="A48" s="366" t="inlineStr">
        <is>
          <t>DD30</t>
        </is>
      </c>
      <c r="B48" s="367" t="inlineStr">
        <is>
          <t>B</t>
        </is>
      </c>
      <c r="C48" s="368" t="n"/>
      <c r="D48" s="369" t="n">
        <v>0.15</v>
      </c>
      <c r="E48" s="369" t="n">
        <v>3.17</v>
      </c>
      <c r="F48" s="370">
        <f>IF(D48=0," ",D48*E48)</f>
        <v/>
      </c>
      <c r="G48" s="371" t="n">
        <v>1</v>
      </c>
      <c r="H48" s="372" t="n"/>
      <c r="I48" s="370">
        <f>IF(F48=" "," ",F48*G48-H48)</f>
        <v/>
      </c>
      <c r="J48" s="369" t="n">
        <v>0.57</v>
      </c>
      <c r="K48" s="371" t="n">
        <v>27</v>
      </c>
      <c r="L48" s="373" t="n">
        <v>26</v>
      </c>
      <c r="M48" s="374" t="n">
        <v>7</v>
      </c>
      <c r="N48" s="371" t="n">
        <v>0</v>
      </c>
      <c r="O48" s="374" t="n">
        <v>0</v>
      </c>
      <c r="P48" s="370">
        <f>IF(M48=" "," ",(1+(M48+N48+O48)/100))</f>
        <v/>
      </c>
      <c r="Q48" s="375">
        <f>IF(L48=" "," ",L48*P48)</f>
        <v/>
      </c>
    </row>
    <row r="49" ht="9.949999999999999" customFormat="1" customHeight="1" s="356">
      <c r="A49" s="366" t="inlineStr">
        <is>
          <t>DD</t>
        </is>
      </c>
      <c r="B49" s="367" t="inlineStr">
        <is>
          <t>G</t>
        </is>
      </c>
      <c r="C49" s="368" t="n"/>
      <c r="D49" s="369" t="n">
        <v>3.05</v>
      </c>
      <c r="E49" s="369" t="n">
        <v>2.8</v>
      </c>
      <c r="F49" s="370">
        <f>IF(D49=0," ",D49*E49)</f>
        <v/>
      </c>
      <c r="G49" s="371" t="n">
        <v>1</v>
      </c>
      <c r="H49" s="372" t="n"/>
      <c r="I49" s="370">
        <f>IF(F49=" "," ",F49*G49-H49)</f>
        <v/>
      </c>
      <c r="J49" s="369" t="n">
        <v>0.479</v>
      </c>
      <c r="K49" s="371" t="n">
        <v>27</v>
      </c>
      <c r="L49" s="373">
        <f>IF(I49=" "," ",I49*J49*K49)</f>
        <v/>
      </c>
      <c r="M49" s="374" t="n">
        <v>7</v>
      </c>
      <c r="N49" s="371" t="n">
        <v>0</v>
      </c>
      <c r="O49" s="374" t="n">
        <v>-5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6">
      <c r="A50" s="366" t="inlineStr">
        <is>
          <t>DD25</t>
        </is>
      </c>
      <c r="B50" s="367" t="inlineStr">
        <is>
          <t>G</t>
        </is>
      </c>
      <c r="C50" s="368" t="n"/>
      <c r="D50" s="369">
        <f>D49</f>
        <v/>
      </c>
      <c r="E50" s="369" t="n">
        <v>0.37</v>
      </c>
      <c r="F50" s="370">
        <f>IF(D50=0," ",D50*E50)</f>
        <v/>
      </c>
      <c r="G50" s="371" t="n">
        <v>1</v>
      </c>
      <c r="H50" s="372" t="n"/>
      <c r="I50" s="370">
        <f>IF(F50=" "," ",F50*G50-H50)</f>
        <v/>
      </c>
      <c r="J50" s="369" t="n">
        <v>0.577</v>
      </c>
      <c r="K50" s="371" t="n">
        <v>27</v>
      </c>
      <c r="L50" s="373" t="n">
        <v>26</v>
      </c>
      <c r="M50" s="374" t="n">
        <v>7</v>
      </c>
      <c r="N50" s="371" t="n">
        <v>0</v>
      </c>
      <c r="O50" s="374" t="n">
        <v>-5</v>
      </c>
      <c r="P50" s="370">
        <f>IF(M50=" "," ",(1+(M50+N50+O50)/100))</f>
        <v/>
      </c>
      <c r="Q50" s="375">
        <f>IF(L50=" "," ",L50*P50)</f>
        <v/>
      </c>
    </row>
    <row r="51" ht="9.949999999999999" customFormat="1" customHeight="1" s="356">
      <c r="A51" s="366" t="inlineStr">
        <is>
          <t>DD30</t>
        </is>
      </c>
      <c r="B51" s="367" t="inlineStr">
        <is>
          <t>G</t>
        </is>
      </c>
      <c r="C51" s="368" t="n"/>
      <c r="D51" s="369" t="n">
        <v>0.35</v>
      </c>
      <c r="E51" s="369" t="n">
        <v>3.17</v>
      </c>
      <c r="F51" s="370">
        <f>IF(D51=0," ",D51*E51)</f>
        <v/>
      </c>
      <c r="G51" s="371" t="n">
        <v>1</v>
      </c>
      <c r="H51" s="372" t="n"/>
      <c r="I51" s="370">
        <f>IF(F51=" "," ",F51*G51-H51)</f>
        <v/>
      </c>
      <c r="J51" s="369" t="n">
        <v>0.57</v>
      </c>
      <c r="K51" s="371" t="n">
        <v>27</v>
      </c>
      <c r="L51" s="373" t="n">
        <v>26</v>
      </c>
      <c r="M51" s="374" t="n">
        <v>7</v>
      </c>
      <c r="N51" s="371" t="n">
        <v>0</v>
      </c>
      <c r="O51" s="374" t="n">
        <v>-5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66" t="inlineStr">
        <is>
          <t>Dö</t>
        </is>
      </c>
      <c r="B52" s="367" t="n"/>
      <c r="C52" s="368" t="n"/>
      <c r="D52" s="369" t="n">
        <v>1</v>
      </c>
      <c r="E52" s="369" t="n">
        <v>0.5</v>
      </c>
      <c r="F52" s="370">
        <f>IF(D52=0," ",D52*E52)</f>
        <v/>
      </c>
      <c r="G52" s="371" t="n">
        <v>1</v>
      </c>
      <c r="H52" s="372" t="n"/>
      <c r="I52" s="370">
        <f>IF(F52=" "," ",F52*G52-H52)</f>
        <v/>
      </c>
      <c r="J52" s="369" t="n">
        <v>0.269</v>
      </c>
      <c r="K52" s="371" t="n">
        <v>12</v>
      </c>
      <c r="L52" s="373">
        <f>IF(I52=" "," ",I52*J52*K52)</f>
        <v/>
      </c>
      <c r="M52" s="374" t="n">
        <v>7</v>
      </c>
      <c r="N52" s="371" t="n">
        <v>0</v>
      </c>
      <c r="O52" s="374" t="n">
        <v>0</v>
      </c>
      <c r="P52" s="370">
        <f>IF(M52=" "," ",(1+(M52+N52+O52)/100))</f>
        <v/>
      </c>
      <c r="Q52" s="376">
        <f>IF(L52=" "," ",L52*P52)</f>
        <v/>
      </c>
    </row>
    <row r="53" ht="9.949999999999999" customFormat="1" customHeight="1" s="356">
      <c r="A53" s="366" t="inlineStr">
        <is>
          <t>Dö</t>
        </is>
      </c>
      <c r="B53" s="367" t="n"/>
      <c r="C53" s="368" t="n"/>
      <c r="D53" s="369" t="n">
        <v>2.9</v>
      </c>
      <c r="E53" s="369" t="n">
        <v>1.6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0.269</v>
      </c>
      <c r="K53" s="371" t="n">
        <v>12</v>
      </c>
      <c r="L53" s="373">
        <f>IF(I53=" "," ",I53*J53*K53)</f>
        <v/>
      </c>
      <c r="M53" s="374" t="n">
        <v>7</v>
      </c>
      <c r="N53" s="371" t="n">
        <v>0</v>
      </c>
      <c r="O53" s="374" t="n">
        <v>0</v>
      </c>
      <c r="P53" s="370">
        <f>IF(M53=" "," ",(1+(M53+N53+O53)/100))</f>
        <v/>
      </c>
      <c r="Q53" s="376">
        <f>IF(L53=" "," ",L53*P53)</f>
        <v/>
      </c>
    </row>
    <row r="54" ht="9.949999999999999" customFormat="1" customHeight="1" s="356">
      <c r="A54" s="377" t="n"/>
      <c r="B54" s="378" t="n"/>
      <c r="C54" s="378" t="n"/>
      <c r="D54" s="379" t="n"/>
      <c r="E54" s="379" t="n"/>
      <c r="F54" s="379">
        <f>IF(D54=0," ",D54*E54)</f>
        <v/>
      </c>
      <c r="G54" s="380" t="n"/>
      <c r="H54" s="379" t="n"/>
      <c r="I54" s="379">
        <f>IF(F54=" "," ",F54*G54-H54)</f>
        <v/>
      </c>
      <c r="J54" s="379" t="n"/>
      <c r="K54" s="380" t="n"/>
      <c r="L54" s="381" t="n"/>
      <c r="M54" s="382" t="n"/>
      <c r="N54" s="382" t="n"/>
      <c r="O54" s="382" t="n"/>
      <c r="P54" s="383" t="n"/>
      <c r="Q54" s="384">
        <f>SUM(Q47:Q53)</f>
        <v/>
      </c>
    </row>
    <row r="55" ht="9.949999999999999" customFormat="1" customHeight="1" s="385">
      <c r="A55" s="386" t="n"/>
      <c r="B55" s="387" t="n"/>
      <c r="C55" s="387" t="n"/>
      <c r="D55" s="388" t="n"/>
      <c r="E55" s="389" t="n"/>
      <c r="F55" s="390" t="n"/>
      <c r="G55" s="391" t="n"/>
      <c r="H55" s="390" t="n"/>
      <c r="I55" s="392" t="n"/>
      <c r="J55" s="393" t="inlineStr">
        <is>
          <t>Qs=</t>
        </is>
      </c>
      <c r="K55" s="392" t="inlineStr">
        <is>
          <t>S a</t>
        </is>
      </c>
      <c r="L55" s="390" t="inlineStr">
        <is>
          <t>L</t>
        </is>
      </c>
      <c r="M55" s="391" t="inlineStr">
        <is>
          <t>R</t>
        </is>
      </c>
      <c r="N55" s="394" t="inlineStr">
        <is>
          <t>H</t>
        </is>
      </c>
      <c r="O55" s="395" t="inlineStr">
        <is>
          <t>D  T</t>
        </is>
      </c>
      <c r="P55" s="391" t="inlineStr">
        <is>
          <t>Ze</t>
        </is>
      </c>
      <c r="Q55" s="396" t="n"/>
    </row>
    <row r="56" ht="9.949999999999999" customFormat="1" customHeight="1" s="385">
      <c r="A56" s="397" t="inlineStr">
        <is>
          <t xml:space="preserve"> </t>
        </is>
      </c>
      <c r="C56" s="398" t="n"/>
      <c r="D56" s="398" t="n"/>
      <c r="E56" s="399" t="n"/>
      <c r="F56" s="400" t="n"/>
      <c r="G56" s="401" t="n"/>
      <c r="H56" s="402" t="n"/>
      <c r="I56" s="403" t="n"/>
      <c r="J56" s="404" t="inlineStr">
        <is>
          <t>Qs  =</t>
        </is>
      </c>
      <c r="K56" s="405" t="n">
        <v>2</v>
      </c>
      <c r="L56" s="405" t="n">
        <v>0</v>
      </c>
      <c r="M56" s="405" t="n">
        <v>0.9</v>
      </c>
      <c r="N56" s="405" t="n">
        <v>0.67</v>
      </c>
      <c r="O56" s="382" t="n">
        <v>27</v>
      </c>
      <c r="P56" s="405" t="n">
        <v>1.2</v>
      </c>
      <c r="Q56" s="384">
        <f>K56*L56*M56*N56*O56*P56</f>
        <v/>
      </c>
    </row>
    <row r="57" ht="9.949999999999999" customFormat="1" customHeight="1" s="351">
      <c r="A57" s="406" t="n"/>
      <c r="B57" s="385" t="n"/>
      <c r="C57" s="398" t="n"/>
      <c r="D57" s="398" t="n"/>
      <c r="E57" s="416" t="n"/>
      <c r="G57" s="407" t="n"/>
      <c r="H57" s="398" t="n"/>
      <c r="I57" s="398" t="n"/>
      <c r="J57" s="398" t="n"/>
      <c r="K57" s="407" t="n"/>
      <c r="L57" s="408" t="n"/>
      <c r="M57" s="409" t="inlineStr">
        <is>
          <t xml:space="preserve">   TOPLAM ISI KAYBI =</t>
        </is>
      </c>
      <c r="N57" s="409" t="n"/>
      <c r="O57" s="410" t="n"/>
      <c r="P57" s="409" t="n"/>
      <c r="Q57" s="411">
        <f>Q54+Q56</f>
        <v/>
      </c>
    </row>
    <row r="58" ht="9.949999999999999" customFormat="1" customHeight="1" s="356">
      <c r="A58" s="412" t="n"/>
      <c r="B58" s="413" t="n"/>
      <c r="C58" s="413" t="n"/>
      <c r="D58" s="413" t="n"/>
      <c r="E58" s="413" t="n"/>
      <c r="F58" s="361" t="inlineStr">
        <is>
          <t>Z</t>
        </is>
      </c>
      <c r="G58" s="414" t="inlineStr">
        <is>
          <t>0</t>
        </is>
      </c>
      <c r="H58" s="413" t="inlineStr">
        <is>
          <t>4</t>
        </is>
      </c>
      <c r="I58" s="414" t="inlineStr">
        <is>
          <t>ODA</t>
        </is>
      </c>
      <c r="J58" s="364" t="n"/>
      <c r="K58" s="413" t="inlineStr">
        <is>
          <t>20ºC</t>
        </is>
      </c>
      <c r="L58" s="413" t="n"/>
      <c r="M58" s="413" t="n"/>
      <c r="N58" s="413" t="n"/>
      <c r="O58" s="413" t="n"/>
      <c r="P58" s="413" t="n"/>
      <c r="Q58" s="415" t="n"/>
    </row>
    <row r="59" ht="9.949999999999999" customFormat="1" customHeight="1" s="356">
      <c r="A59" s="366" t="inlineStr">
        <is>
          <t>DD</t>
        </is>
      </c>
      <c r="B59" s="367" t="inlineStr">
        <is>
          <t>K</t>
        </is>
      </c>
      <c r="C59" s="368" t="n"/>
      <c r="D59" s="369" t="n">
        <v>3.8</v>
      </c>
      <c r="E59" s="369" t="n">
        <v>2.8</v>
      </c>
      <c r="F59" s="370">
        <f>IF(D59=0," ",D59*E59)</f>
        <v/>
      </c>
      <c r="G59" s="371" t="n">
        <v>1</v>
      </c>
      <c r="H59" s="372">
        <f>F61*G61</f>
        <v/>
      </c>
      <c r="I59" s="370">
        <f>IF(F59=" "," ",F59*G59-H59)</f>
        <v/>
      </c>
      <c r="J59" s="369" t="n">
        <v>0.479</v>
      </c>
      <c r="K59" s="371" t="n">
        <v>29</v>
      </c>
      <c r="L59" s="373">
        <f>IF(I59=" "," ",I59*J59*K59)</f>
        <v/>
      </c>
      <c r="M59" s="374" t="n">
        <v>7</v>
      </c>
      <c r="N59" s="371" t="n">
        <v>0</v>
      </c>
      <c r="O59" s="374" t="n">
        <v>5</v>
      </c>
      <c r="P59" s="370">
        <f>IF(M59=" "," ",(1+(M59+N59+O59)/100))</f>
        <v/>
      </c>
      <c r="Q59" s="375">
        <f>IF(L59=" "," ",L59*P59)</f>
        <v/>
      </c>
    </row>
    <row r="60" ht="9.949999999999999" customFormat="1" customHeight="1" s="356">
      <c r="A60" s="366" t="inlineStr">
        <is>
          <t>DD25</t>
        </is>
      </c>
      <c r="B60" s="367" t="inlineStr">
        <is>
          <t>K</t>
        </is>
      </c>
      <c r="C60" s="368" t="n"/>
      <c r="D60" s="369">
        <f>D59</f>
        <v/>
      </c>
      <c r="E60" s="369" t="n">
        <v>0.37</v>
      </c>
      <c r="F60" s="370">
        <f>IF(D60=0," ",D60*E60)</f>
        <v/>
      </c>
      <c r="G60" s="371" t="n">
        <v>1</v>
      </c>
      <c r="H60" s="372" t="n"/>
      <c r="I60" s="370">
        <f>IF(F60=" "," ",F60*G60-H60)</f>
        <v/>
      </c>
      <c r="J60" s="369" t="n">
        <v>0.577</v>
      </c>
      <c r="K60" s="371" t="n">
        <v>29</v>
      </c>
      <c r="L60" s="373">
        <f>IF(I60=" "," ",I60*J60*K60)</f>
        <v/>
      </c>
      <c r="M60" s="374" t="n">
        <v>7</v>
      </c>
      <c r="N60" s="371" t="n">
        <v>0</v>
      </c>
      <c r="O60" s="374" t="n">
        <v>5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ÇP</t>
        </is>
      </c>
      <c r="B61" s="367" t="inlineStr">
        <is>
          <t>K</t>
        </is>
      </c>
      <c r="C61" s="368" t="n"/>
      <c r="D61" s="369" t="n">
        <v>1.8</v>
      </c>
      <c r="E61" s="369" t="n">
        <v>2.8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2.4</v>
      </c>
      <c r="K61" s="371" t="n">
        <v>29</v>
      </c>
      <c r="L61" s="373">
        <f>IF(I61=" "," ",I61*J61*K61)</f>
        <v/>
      </c>
      <c r="M61" s="374" t="n">
        <v>7</v>
      </c>
      <c r="N61" s="371" t="n">
        <v>0</v>
      </c>
      <c r="O61" s="374" t="n">
        <v>5</v>
      </c>
      <c r="P61" s="370">
        <f>IF(M61=" "," ",(1+(M61+N61+O61)/100))</f>
        <v/>
      </c>
      <c r="Q61" s="376">
        <f>IF(L61=" "," ",L61*P61)</f>
        <v/>
      </c>
    </row>
    <row r="62" ht="9.949999999999999" customFormat="1" customHeight="1" s="356">
      <c r="A62" s="366" t="inlineStr">
        <is>
          <t>DD30</t>
        </is>
      </c>
      <c r="B62" s="367" t="inlineStr">
        <is>
          <t>K</t>
        </is>
      </c>
      <c r="C62" s="368" t="n"/>
      <c r="D62" s="369" t="n">
        <v>0.15</v>
      </c>
      <c r="E62" s="369" t="n">
        <v>3.17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0.57</v>
      </c>
      <c r="K62" s="371" t="n">
        <v>29</v>
      </c>
      <c r="L62" s="373">
        <f>IF(I62=" "," ",I62*J62*K62)</f>
        <v/>
      </c>
      <c r="M62" s="374" t="n">
        <v>7</v>
      </c>
      <c r="N62" s="371" t="n">
        <v>0</v>
      </c>
      <c r="O62" s="374" t="n">
        <v>5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356">
      <c r="A63" s="366" t="inlineStr">
        <is>
          <t>DD</t>
        </is>
      </c>
      <c r="B63" s="367" t="inlineStr">
        <is>
          <t>B</t>
        </is>
      </c>
      <c r="C63" s="368" t="n"/>
      <c r="D63" s="369" t="n">
        <v>3.7</v>
      </c>
      <c r="E63" s="369" t="n">
        <v>2.8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0.479</v>
      </c>
      <c r="K63" s="371" t="n">
        <v>29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356">
      <c r="A64" s="366" t="inlineStr">
        <is>
          <t>DD25</t>
        </is>
      </c>
      <c r="B64" s="367" t="inlineStr">
        <is>
          <t>B</t>
        </is>
      </c>
      <c r="C64" s="368" t="n"/>
      <c r="D64" s="369">
        <f>D63</f>
        <v/>
      </c>
      <c r="E64" s="369" t="n">
        <v>0.37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0.577</v>
      </c>
      <c r="K64" s="371" t="n">
        <v>29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6">
      <c r="A65" s="366" t="inlineStr">
        <is>
          <t>DD30</t>
        </is>
      </c>
      <c r="B65" s="367" t="inlineStr">
        <is>
          <t>B</t>
        </is>
      </c>
      <c r="C65" s="368" t="n"/>
      <c r="D65" s="369" t="n">
        <v>0.35</v>
      </c>
      <c r="E65" s="369" t="n">
        <v>3.17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0.57</v>
      </c>
      <c r="K65" s="371" t="n">
        <v>29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 xml:space="preserve">Dö </t>
        </is>
      </c>
      <c r="B66" s="367" t="n"/>
      <c r="C66" s="368" t="n"/>
      <c r="D66" s="369" t="n">
        <v>1.05</v>
      </c>
      <c r="E66" s="369" t="n">
        <v>1.6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0.269</v>
      </c>
      <c r="K66" s="371" t="n">
        <v>14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6">
        <f>IF(L66=" "," ",L66*P66)</f>
        <v/>
      </c>
    </row>
    <row r="67" ht="9.949999999999999" customFormat="1" customHeight="1" s="356">
      <c r="A67" s="366" t="inlineStr">
        <is>
          <t xml:space="preserve">Dö </t>
        </is>
      </c>
      <c r="B67" s="367" t="n"/>
      <c r="C67" s="368" t="n"/>
      <c r="D67" s="369" t="n">
        <v>3.95</v>
      </c>
      <c r="E67" s="369" t="n">
        <v>4.05</v>
      </c>
      <c r="F67" s="370">
        <f>IF(D67=0," ",D67*E67)</f>
        <v/>
      </c>
      <c r="G67" s="371" t="n">
        <v>1</v>
      </c>
      <c r="H67" s="372" t="n"/>
      <c r="I67" s="370">
        <f>IF(F67=" "," ",F67*G67-H67)</f>
        <v/>
      </c>
      <c r="J67" s="369" t="n">
        <v>0.269</v>
      </c>
      <c r="K67" s="371" t="n">
        <v>14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6">
        <f>IF(L67=" "," ",L67*P67)</f>
        <v/>
      </c>
    </row>
    <row r="68" ht="9.949999999999999" customFormat="1" customHeight="1" s="356">
      <c r="A68" s="377" t="n"/>
      <c r="B68" s="378" t="n"/>
      <c r="C68" s="378" t="n"/>
      <c r="D68" s="379" t="n"/>
      <c r="E68" s="379" t="n"/>
      <c r="F68" s="379">
        <f>IF(D68=0," ",D68*E68)</f>
        <v/>
      </c>
      <c r="G68" s="380" t="n"/>
      <c r="H68" s="379" t="n"/>
      <c r="I68" s="379">
        <f>IF(F68=" "," ",F68*G68-H68)</f>
        <v/>
      </c>
      <c r="J68" s="379" t="n"/>
      <c r="K68" s="380" t="n"/>
      <c r="L68" s="381" t="n"/>
      <c r="M68" s="382" t="n"/>
      <c r="N68" s="382" t="n"/>
      <c r="O68" s="382" t="n"/>
      <c r="P68" s="383" t="n"/>
      <c r="Q68" s="384">
        <f>SUM(Q59:Q67)</f>
        <v/>
      </c>
    </row>
    <row r="69" ht="9.949999999999999" customFormat="1" customHeight="1" s="385">
      <c r="A69" s="386" t="n"/>
      <c r="B69" s="387" t="n"/>
      <c r="C69" s="387" t="n"/>
      <c r="D69" s="388" t="n"/>
      <c r="E69" s="389" t="n"/>
      <c r="F69" s="390" t="n"/>
      <c r="G69" s="391" t="n"/>
      <c r="H69" s="390" t="n"/>
      <c r="I69" s="392" t="n"/>
      <c r="J69" s="393" t="inlineStr">
        <is>
          <t>Qs=</t>
        </is>
      </c>
      <c r="K69" s="392" t="inlineStr">
        <is>
          <t>S a</t>
        </is>
      </c>
      <c r="L69" s="390" t="inlineStr">
        <is>
          <t>L</t>
        </is>
      </c>
      <c r="M69" s="391" t="inlineStr">
        <is>
          <t>R</t>
        </is>
      </c>
      <c r="N69" s="394" t="inlineStr">
        <is>
          <t>H</t>
        </is>
      </c>
      <c r="O69" s="395" t="inlineStr">
        <is>
          <t>D  T</t>
        </is>
      </c>
      <c r="P69" s="391" t="inlineStr">
        <is>
          <t>Ze</t>
        </is>
      </c>
      <c r="Q69" s="396" t="n"/>
    </row>
    <row r="70" ht="9.949999999999999" customFormat="1" customHeight="1" s="385">
      <c r="A70" s="397" t="inlineStr">
        <is>
          <t xml:space="preserve"> </t>
        </is>
      </c>
      <c r="C70" s="398" t="n"/>
      <c r="D70" s="398" t="n"/>
      <c r="E70" s="399" t="n"/>
      <c r="F70" s="400" t="n"/>
      <c r="G70" s="401" t="n"/>
      <c r="H70" s="402" t="n"/>
      <c r="I70" s="403" t="n"/>
      <c r="J70" s="404" t="inlineStr">
        <is>
          <t>Qs  =</t>
        </is>
      </c>
      <c r="K70" s="405" t="n">
        <v>2</v>
      </c>
      <c r="L70" s="405">
        <f>(D61+E61)*2*G61</f>
        <v/>
      </c>
      <c r="M70" s="405" t="n">
        <v>0.9</v>
      </c>
      <c r="N70" s="405" t="n">
        <v>0.67</v>
      </c>
      <c r="O70" s="382" t="n">
        <v>29</v>
      </c>
      <c r="P70" s="405" t="n">
        <v>1.2</v>
      </c>
      <c r="Q70" s="384">
        <f>K70*L70*M70*N70*O70*P70</f>
        <v/>
      </c>
    </row>
    <row r="71" ht="9.949999999999999" customFormat="1" customHeight="1" s="351">
      <c r="A71" s="406" t="n"/>
      <c r="B71" s="385" t="n"/>
      <c r="C71" s="398" t="n"/>
      <c r="D71" s="398" t="n"/>
      <c r="E71" s="379" t="n"/>
      <c r="F71" s="256" t="n"/>
      <c r="G71" s="407" t="n"/>
      <c r="H71" s="398" t="n"/>
      <c r="I71" s="398" t="n"/>
      <c r="J71" s="398" t="n"/>
      <c r="K71" s="407" t="n"/>
      <c r="L71" s="408" t="n"/>
      <c r="M71" s="409" t="inlineStr">
        <is>
          <t xml:space="preserve">   TOPLAM ISI KAYBI =</t>
        </is>
      </c>
      <c r="N71" s="409" t="n"/>
      <c r="O71" s="410" t="n"/>
      <c r="P71" s="409" t="n"/>
      <c r="Q71" s="411">
        <f>Q68+Q70</f>
        <v/>
      </c>
    </row>
    <row r="72" ht="9.949999999999999" customFormat="1" customHeight="1" s="351">
      <c r="A72" s="406" t="n"/>
      <c r="B72" s="385" t="n"/>
      <c r="C72" s="398" t="n"/>
      <c r="D72" s="398" t="n"/>
      <c r="E72" s="416" t="n"/>
      <c r="F72" s="416" t="n"/>
      <c r="G72" s="407" t="n"/>
      <c r="H72" s="398" t="n"/>
      <c r="I72" s="398" t="n"/>
      <c r="J72" s="398" t="n"/>
      <c r="K72" s="407" t="n"/>
      <c r="L72" s="408" t="n"/>
      <c r="M72" s="409" t="n"/>
      <c r="N72" s="409" t="n"/>
      <c r="O72" s="410" t="n"/>
      <c r="P72" s="409" t="n"/>
      <c r="Q72" s="411" t="n"/>
    </row>
    <row r="73" ht="9.949999999999999" customFormat="1" customHeight="1" s="351">
      <c r="A73" s="406" t="n"/>
      <c r="B73" s="385" t="n"/>
      <c r="C73" s="398" t="n"/>
      <c r="D73" s="398" t="n"/>
      <c r="E73" s="416" t="n"/>
      <c r="F73" s="416" t="n"/>
      <c r="G73" s="407" t="n"/>
      <c r="H73" s="398" t="n"/>
      <c r="I73" s="398" t="n"/>
      <c r="J73" s="398" t="n"/>
      <c r="K73" s="407" t="n"/>
      <c r="L73" s="408" t="n"/>
      <c r="M73" s="409" t="n"/>
      <c r="N73" s="409" t="n"/>
      <c r="O73" s="410" t="n"/>
      <c r="P73" s="409" t="n"/>
      <c r="Q73" s="411" t="n"/>
    </row>
    <row r="74" ht="9.949999999999999" customFormat="1" customHeight="1" s="351">
      <c r="A74" s="406" t="n"/>
      <c r="B74" s="385" t="n"/>
      <c r="C74" s="398" t="n"/>
      <c r="D74" s="398" t="n"/>
      <c r="E74" s="416" t="n"/>
      <c r="F74" s="416" t="n"/>
      <c r="G74" s="407" t="n"/>
      <c r="H74" s="398" t="n"/>
      <c r="I74" s="398" t="n"/>
      <c r="J74" s="398" t="n"/>
      <c r="K74" s="407" t="n"/>
      <c r="L74" s="408" t="n"/>
      <c r="M74" s="409" t="n"/>
      <c r="N74" s="409" t="n"/>
      <c r="O74" s="410" t="n"/>
      <c r="P74" s="409" t="n"/>
      <c r="Q74" s="411" t="n"/>
    </row>
    <row r="75" ht="9.949999999999999" customFormat="1" customHeight="1" s="351">
      <c r="A75" s="406" t="n"/>
      <c r="B75" s="385" t="n"/>
      <c r="C75" s="398" t="n"/>
      <c r="D75" s="398" t="n"/>
      <c r="E75" s="416" t="n"/>
      <c r="F75" s="416" t="n"/>
      <c r="G75" s="407" t="n"/>
      <c r="H75" s="398" t="n"/>
      <c r="I75" s="398" t="n"/>
      <c r="J75" s="398" t="n"/>
      <c r="K75" s="407" t="n"/>
      <c r="L75" s="408" t="n"/>
      <c r="M75" s="409" t="n"/>
      <c r="N75" s="409" t="n"/>
      <c r="O75" s="410" t="n"/>
      <c r="P75" s="409" t="n"/>
      <c r="Q75" s="411" t="n"/>
    </row>
    <row r="80" ht="9.75" customFormat="1" customHeight="1" s="329">
      <c r="A80" s="330" t="n"/>
      <c r="B80" s="331" t="n"/>
      <c r="C80" s="331" t="n"/>
      <c r="D80" s="331" t="n"/>
      <c r="E80" s="331" t="n"/>
      <c r="F80" s="332" t="n"/>
      <c r="G80" s="333" t="n"/>
      <c r="H80" s="334" t="inlineStr">
        <is>
          <t>ISI  KAYBI  HESABI</t>
        </is>
      </c>
      <c r="I80" s="333" t="n"/>
      <c r="J80" s="333" t="n"/>
      <c r="K80" s="331" t="n"/>
      <c r="L80" s="335" t="n"/>
      <c r="M80" s="331" t="n"/>
      <c r="N80" s="336" t="inlineStr">
        <is>
          <t>Kat :</t>
        </is>
      </c>
      <c r="O80" s="337">
        <f>O1</f>
        <v/>
      </c>
      <c r="P80" s="337" t="inlineStr">
        <is>
          <t>Tarih</t>
        </is>
      </c>
      <c r="Q80" s="338">
        <f>Q1</f>
        <v/>
      </c>
    </row>
    <row r="81" ht="10.5" customFormat="1" customHeight="1" s="339">
      <c r="A81" s="340" t="n"/>
      <c r="F81" s="341" t="inlineStr">
        <is>
          <t xml:space="preserve">   PROJE ADI :</t>
        </is>
      </c>
      <c r="G81" s="342" t="n"/>
      <c r="H81" s="343">
        <f>H2</f>
        <v/>
      </c>
      <c r="I81" s="343" t="n"/>
      <c r="J81" s="343" t="n"/>
      <c r="K81" s="344" t="n"/>
      <c r="L81" s="345" t="n"/>
      <c r="N81" s="346" t="inlineStr">
        <is>
          <t xml:space="preserve">  Sayfa :</t>
        </is>
      </c>
      <c r="O81" s="347">
        <f>O2+1</f>
        <v/>
      </c>
      <c r="P81" s="347" t="n"/>
      <c r="Q81" s="347" t="n"/>
    </row>
    <row r="82" ht="8.25" customFormat="1" customHeight="1" s="339">
      <c r="A82" s="348" t="inlineStr">
        <is>
          <t xml:space="preserve"> Yapı Bileşeni</t>
        </is>
      </c>
      <c r="B82" s="264" t="n"/>
      <c r="C82" s="264" t="n"/>
      <c r="D82" s="264" t="n"/>
      <c r="E82" s="349" t="inlineStr">
        <is>
          <t xml:space="preserve"> Alan Hesabı</t>
        </is>
      </c>
      <c r="F82" s="264" t="n"/>
      <c r="G82" s="264" t="n"/>
      <c r="H82" s="260" t="n"/>
      <c r="I82" s="350" t="inlineStr">
        <is>
          <t xml:space="preserve">                 Isı kaybı hesabı</t>
        </is>
      </c>
      <c r="J82" s="264" t="n"/>
      <c r="K82" s="264" t="n"/>
      <c r="L82" s="260" t="n"/>
      <c r="M82" s="350" t="inlineStr">
        <is>
          <t xml:space="preserve">            Zamlar</t>
        </is>
      </c>
      <c r="N82" s="264" t="n"/>
      <c r="O82" s="264" t="n"/>
      <c r="P82" s="260" t="n"/>
      <c r="Q82" s="350" t="inlineStr">
        <is>
          <t xml:space="preserve">Toplam </t>
        </is>
      </c>
    </row>
    <row r="83" ht="31.5" customFormat="1" customHeight="1" s="351">
      <c r="A83" s="352" t="inlineStr">
        <is>
          <t>İşaret</t>
        </is>
      </c>
      <c r="B83" s="352" t="inlineStr">
        <is>
          <t>Yön</t>
        </is>
      </c>
      <c r="C83" s="352" t="inlineStr">
        <is>
          <t>Kalınlık</t>
        </is>
      </c>
      <c r="D83" s="352" t="inlineStr">
        <is>
          <t>Uzunluk</t>
        </is>
      </c>
      <c r="E83" s="352" t="inlineStr">
        <is>
          <t>Yükseklik</t>
        </is>
      </c>
      <c r="F83" s="353" t="inlineStr">
        <is>
          <t xml:space="preserve">  Toplam Alan</t>
        </is>
      </c>
      <c r="G83" s="352" t="inlineStr">
        <is>
          <t>Miktar</t>
        </is>
      </c>
      <c r="H83" s="353" t="inlineStr">
        <is>
          <t>Çıkarıla alan</t>
        </is>
      </c>
      <c r="I83" s="353" t="inlineStr">
        <is>
          <t>Hesaba giren Alan</t>
        </is>
      </c>
      <c r="J83" s="353" t="inlineStr">
        <is>
          <t xml:space="preserve">    Isı İletim Katsayısı</t>
        </is>
      </c>
      <c r="K83" s="353" t="inlineStr">
        <is>
          <t xml:space="preserve">Sıcaklık Farkı </t>
        </is>
      </c>
      <c r="L83" s="353" t="inlineStr">
        <is>
          <t>Zamsız Isı Kaybı</t>
        </is>
      </c>
      <c r="M83" s="352" t="inlineStr">
        <is>
          <t>İşletme</t>
        </is>
      </c>
      <c r="N83" s="352" t="inlineStr">
        <is>
          <t>Kat Yük.</t>
        </is>
      </c>
      <c r="O83" s="352" t="inlineStr">
        <is>
          <t>Yön</t>
        </is>
      </c>
      <c r="P83" s="352" t="inlineStr">
        <is>
          <t>Toplam</t>
        </is>
      </c>
      <c r="Q83" s="353" t="inlineStr">
        <is>
          <t>Toplam Is
ı İhtiyacı</t>
        </is>
      </c>
    </row>
    <row r="84" ht="9.75" customFormat="1" customHeight="1" s="351">
      <c r="A84" s="354" t="n"/>
      <c r="B84" s="354" t="n"/>
      <c r="C84" s="354" t="n"/>
      <c r="D84" s="354" t="n"/>
      <c r="E84" s="354" t="n"/>
      <c r="F84" s="354" t="inlineStr">
        <is>
          <t>[Ao]</t>
        </is>
      </c>
      <c r="G84" s="354" t="n"/>
      <c r="H84" s="354" t="n"/>
      <c r="I84" s="354" t="inlineStr">
        <is>
          <t>[A]</t>
        </is>
      </c>
      <c r="J84" s="354" t="inlineStr">
        <is>
          <t>[k]</t>
        </is>
      </c>
      <c r="K84" s="355" t="inlineStr">
        <is>
          <t>D T</t>
        </is>
      </c>
      <c r="L84" s="354" t="inlineStr">
        <is>
          <t>Qo</t>
        </is>
      </c>
      <c r="M84" s="354" t="inlineStr">
        <is>
          <t>ZD</t>
        </is>
      </c>
      <c r="N84" s="354" t="inlineStr">
        <is>
          <t>ZW</t>
        </is>
      </c>
      <c r="O84" s="354" t="inlineStr">
        <is>
          <t>ZH</t>
        </is>
      </c>
      <c r="P84" s="354" t="inlineStr">
        <is>
          <t>Z</t>
        </is>
      </c>
      <c r="Q84" s="354" t="inlineStr">
        <is>
          <t>Qh=Qi+Qs</t>
        </is>
      </c>
    </row>
    <row r="85" ht="15.75" customFormat="1" customHeight="1" s="356">
      <c r="A85" s="346" t="n"/>
      <c r="B85" s="346" t="n"/>
      <c r="C85" s="346" t="inlineStr">
        <is>
          <t>cm</t>
        </is>
      </c>
      <c r="D85" s="346" t="inlineStr">
        <is>
          <t>m</t>
        </is>
      </c>
      <c r="E85" s="346" t="inlineStr">
        <is>
          <t>m</t>
        </is>
      </c>
      <c r="F85" s="346" t="inlineStr">
        <is>
          <t>m²</t>
        </is>
      </c>
      <c r="G85" s="346" t="inlineStr">
        <is>
          <t>ad</t>
        </is>
      </c>
      <c r="H85" s="346" t="inlineStr">
        <is>
          <t>m²</t>
        </is>
      </c>
      <c r="I85" s="346" t="inlineStr">
        <is>
          <t>m²</t>
        </is>
      </c>
      <c r="J85" s="357" t="inlineStr">
        <is>
          <t>watt  m²hºC</t>
        </is>
      </c>
      <c r="K85" s="346" t="inlineStr">
        <is>
          <t>ºC</t>
        </is>
      </c>
      <c r="L85" s="358" t="inlineStr">
        <is>
          <t>watt</t>
        </is>
      </c>
      <c r="M85" s="346" t="inlineStr">
        <is>
          <t>%</t>
        </is>
      </c>
      <c r="N85" s="346" t="inlineStr">
        <is>
          <t>%</t>
        </is>
      </c>
      <c r="O85" s="346" t="inlineStr">
        <is>
          <t>%</t>
        </is>
      </c>
      <c r="P85" s="346" t="inlineStr">
        <is>
          <t>1+%</t>
        </is>
      </c>
      <c r="Q85" s="358" t="inlineStr">
        <is>
          <t>watt</t>
        </is>
      </c>
    </row>
    <row r="86" ht="11.25" customFormat="1" customHeight="1" s="356">
      <c r="A86" s="346" t="n">
        <v>1</v>
      </c>
      <c r="B86" s="346" t="n">
        <v>2</v>
      </c>
      <c r="C86" s="346" t="n">
        <v>3</v>
      </c>
      <c r="D86" s="346" t="n">
        <v>4</v>
      </c>
      <c r="E86" s="346" t="n">
        <v>5</v>
      </c>
      <c r="F86" s="346" t="n">
        <v>6</v>
      </c>
      <c r="G86" s="346" t="n">
        <v>7</v>
      </c>
      <c r="H86" s="346" t="n">
        <v>8</v>
      </c>
      <c r="I86" s="346" t="n">
        <v>9</v>
      </c>
      <c r="J86" s="346" t="n">
        <v>10</v>
      </c>
      <c r="K86" s="346" t="n">
        <v>11</v>
      </c>
      <c r="L86" s="346" t="n">
        <v>12</v>
      </c>
      <c r="M86" s="346" t="n">
        <v>13</v>
      </c>
      <c r="N86" s="346" t="n">
        <v>14</v>
      </c>
      <c r="O86" s="346" t="n">
        <v>15</v>
      </c>
      <c r="P86" s="346" t="n">
        <v>16</v>
      </c>
      <c r="Q86" s="346" t="n">
        <v>17</v>
      </c>
    </row>
    <row r="87" ht="9.75" customFormat="1" customHeight="1" s="356">
      <c r="A87" s="412" t="n"/>
      <c r="B87" s="413" t="n"/>
      <c r="C87" s="413" t="n"/>
      <c r="D87" s="413" t="n"/>
      <c r="E87" s="413" t="n"/>
      <c r="F87" s="361">
        <f>F58</f>
        <v/>
      </c>
      <c r="G87" s="414" t="inlineStr">
        <is>
          <t>0</t>
        </is>
      </c>
      <c r="H87" s="413" t="inlineStr">
        <is>
          <t>5</t>
        </is>
      </c>
      <c r="I87" s="414" t="inlineStr">
        <is>
          <t>DUŞ</t>
        </is>
      </c>
      <c r="J87" s="364" t="n"/>
      <c r="K87" s="413" t="inlineStr">
        <is>
          <t>26ºC</t>
        </is>
      </c>
      <c r="L87" s="413" t="n"/>
      <c r="M87" s="413" t="n"/>
      <c r="N87" s="413" t="n"/>
      <c r="O87" s="413" t="n"/>
      <c r="P87" s="413" t="n"/>
      <c r="Q87" s="415" t="n"/>
    </row>
    <row r="88" ht="9.949999999999999" customFormat="1" customHeight="1" s="356">
      <c r="A88" s="366" t="inlineStr">
        <is>
          <t>DD</t>
        </is>
      </c>
      <c r="B88" s="367" t="inlineStr">
        <is>
          <t>B</t>
        </is>
      </c>
      <c r="C88" s="368" t="n"/>
      <c r="D88" s="369" t="n">
        <v>0.75</v>
      </c>
      <c r="E88" s="369" t="n">
        <v>2.8</v>
      </c>
      <c r="F88" s="370">
        <f>IF(D88=0," ",D88*E88)</f>
        <v/>
      </c>
      <c r="G88" s="371" t="n">
        <v>1</v>
      </c>
      <c r="H88" s="372">
        <f>F90*G90</f>
        <v/>
      </c>
      <c r="I88" s="370">
        <f>IF(F88=" "," ",F88*G88-H88)</f>
        <v/>
      </c>
      <c r="J88" s="369" t="n">
        <v>0.479</v>
      </c>
      <c r="K88" s="371" t="n">
        <v>35</v>
      </c>
      <c r="L88" s="373">
        <f>IF(I88=" "," ",I88*J88*K88)</f>
        <v/>
      </c>
      <c r="M88" s="374" t="n">
        <v>7</v>
      </c>
      <c r="N88" s="371" t="n">
        <v>0</v>
      </c>
      <c r="O88" s="374" t="n">
        <v>0</v>
      </c>
      <c r="P88" s="370">
        <f>IF(M88=" "," ",(1+(M88+N88+O88)/100))</f>
        <v/>
      </c>
      <c r="Q88" s="375">
        <f>IF(L88=" "," ",L88*P88)</f>
        <v/>
      </c>
    </row>
    <row r="89" ht="9.949999999999999" customFormat="1" customHeight="1" s="356">
      <c r="A89" s="366" t="inlineStr">
        <is>
          <t>DD25</t>
        </is>
      </c>
      <c r="B89" s="367" t="inlineStr">
        <is>
          <t>B</t>
        </is>
      </c>
      <c r="C89" s="368" t="n"/>
      <c r="D89" s="369">
        <f>D88</f>
        <v/>
      </c>
      <c r="E89" s="369" t="n">
        <v>0.37</v>
      </c>
      <c r="F89" s="370">
        <f>IF(D89=0," ",D89*E89)</f>
        <v/>
      </c>
      <c r="G89" s="371" t="n">
        <v>1</v>
      </c>
      <c r="H89" s="372" t="n"/>
      <c r="I89" s="370">
        <f>IF(F89=" "," ",F89*G89-H89)</f>
        <v/>
      </c>
      <c r="J89" s="369" t="n">
        <v>0.577</v>
      </c>
      <c r="K89" s="371" t="n">
        <v>35</v>
      </c>
      <c r="L89" s="373">
        <f>IF(I89=" "," ",I89*J89*K89)</f>
        <v/>
      </c>
      <c r="M89" s="374" t="n">
        <v>7</v>
      </c>
      <c r="N89" s="371" t="n">
        <v>0</v>
      </c>
      <c r="O89" s="374" t="n">
        <v>0</v>
      </c>
      <c r="P89" s="370">
        <f>IF(M89=" "," ",(1+(M89+N89+O89)/100))</f>
        <v/>
      </c>
      <c r="Q89" s="375">
        <f>IF(L89=" "," ",L89*P89)</f>
        <v/>
      </c>
    </row>
    <row r="90" ht="9.949999999999999" customFormat="1" customHeight="1" s="356">
      <c r="A90" s="366" t="inlineStr">
        <is>
          <t>ÇP</t>
        </is>
      </c>
      <c r="B90" s="367" t="inlineStr">
        <is>
          <t>B</t>
        </is>
      </c>
      <c r="C90" s="368" t="n"/>
      <c r="D90" s="369" t="n">
        <v>0.6</v>
      </c>
      <c r="E90" s="369" t="n">
        <v>0.6</v>
      </c>
      <c r="F90" s="370">
        <f>IF(D90=0," ",D90*E90)</f>
        <v/>
      </c>
      <c r="G90" s="371" t="n">
        <v>1</v>
      </c>
      <c r="H90" s="372" t="n"/>
      <c r="I90" s="370">
        <f>IF(F90=" "," ",F90*G90-H90)</f>
        <v/>
      </c>
      <c r="J90" s="369" t="n">
        <v>2.4</v>
      </c>
      <c r="K90" s="371" t="n">
        <v>35</v>
      </c>
      <c r="L90" s="373">
        <f>IF(I90=" "," ",I90*J90*K90)</f>
        <v/>
      </c>
      <c r="M90" s="374" t="n">
        <v>7</v>
      </c>
      <c r="N90" s="371" t="n">
        <v>0</v>
      </c>
      <c r="O90" s="374" t="n">
        <v>0</v>
      </c>
      <c r="P90" s="370">
        <f>IF(M90=" "," ",(1+(M90+N90+O90)/100))</f>
        <v/>
      </c>
      <c r="Q90" s="376">
        <f>IF(L90=" "," ",L90*P90)</f>
        <v/>
      </c>
    </row>
    <row r="91" ht="9.949999999999999" customFormat="1" customHeight="1" s="356">
      <c r="A91" s="366" t="inlineStr">
        <is>
          <t>DD30</t>
        </is>
      </c>
      <c r="B91" s="367" t="inlineStr">
        <is>
          <t>B</t>
        </is>
      </c>
      <c r="C91" s="368" t="n"/>
      <c r="D91" s="369" t="n">
        <v>0.2</v>
      </c>
      <c r="E91" s="369" t="n">
        <v>3.17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0.57</v>
      </c>
      <c r="K91" s="371" t="n">
        <v>35</v>
      </c>
      <c r="L91" s="373">
        <f>IF(I91=" "," ",I91*J91*K91)</f>
        <v/>
      </c>
      <c r="M91" s="374" t="n">
        <v>7</v>
      </c>
      <c r="N91" s="371" t="n">
        <v>0</v>
      </c>
      <c r="O91" s="374" t="n">
        <v>0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İD</t>
        </is>
      </c>
      <c r="B92" s="367" t="n"/>
      <c r="C92" s="368" t="n"/>
      <c r="D92" s="369" t="n">
        <v>3.3</v>
      </c>
      <c r="E92" s="369" t="n">
        <v>3.17</v>
      </c>
      <c r="F92" s="370">
        <f>IF(D92=0," ",D92*E92)</f>
        <v/>
      </c>
      <c r="G92" s="371" t="n">
        <v>1</v>
      </c>
      <c r="H92" s="372">
        <f>F93*G93</f>
        <v/>
      </c>
      <c r="I92" s="370">
        <f>IF(F92=" "," ",F92*G92-H92)</f>
        <v/>
      </c>
      <c r="J92" s="369" t="n">
        <v>2</v>
      </c>
      <c r="K92" s="371" t="n">
        <v>6</v>
      </c>
      <c r="L92" s="373">
        <f>IF(I92=" "," ",I92*J92*K92)</f>
        <v/>
      </c>
      <c r="M92" s="374" t="n">
        <v>7</v>
      </c>
      <c r="N92" s="371" t="n">
        <v>0</v>
      </c>
      <c r="O92" s="374" t="n">
        <v>0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66" t="inlineStr">
        <is>
          <t>İK</t>
        </is>
      </c>
      <c r="B93" s="367" t="n"/>
      <c r="C93" s="368" t="n"/>
      <c r="D93" s="369" t="n">
        <v>0.8</v>
      </c>
      <c r="E93" s="369" t="n">
        <v>2.2</v>
      </c>
      <c r="F93" s="370">
        <f>IF(D93=0," ",D93*E93)</f>
        <v/>
      </c>
      <c r="G93" s="371" t="n">
        <v>1</v>
      </c>
      <c r="H93" s="372" t="n"/>
      <c r="I93" s="370">
        <f>IF(F93=" "," ",F93*G93-H93)</f>
        <v/>
      </c>
      <c r="J93" s="369" t="n">
        <v>2</v>
      </c>
      <c r="K93" s="371" t="n">
        <v>6</v>
      </c>
      <c r="L93" s="373">
        <f>IF(I93=" "," ",I93*J93*K93)</f>
        <v/>
      </c>
      <c r="M93" s="374" t="n">
        <v>7</v>
      </c>
      <c r="N93" s="371" t="n">
        <v>0</v>
      </c>
      <c r="O93" s="374" t="n">
        <v>0</v>
      </c>
      <c r="P93" s="370">
        <f>IF(M93=" "," ",(1+(M93+N93+O93)/100))</f>
        <v/>
      </c>
      <c r="Q93" s="375">
        <f>IF(L93=" "," ",L93*P93)</f>
        <v/>
      </c>
    </row>
    <row r="94" ht="9.949999999999999" customFormat="1" customHeight="1" s="356">
      <c r="A94" s="366" t="inlineStr">
        <is>
          <t>Dö</t>
        </is>
      </c>
      <c r="B94" s="367" t="n"/>
      <c r="C94" s="368" t="n"/>
      <c r="D94" s="369" t="n">
        <v>1.25</v>
      </c>
      <c r="E94" s="369" t="n">
        <v>1.4</v>
      </c>
      <c r="F94" s="370">
        <f>IF(D94=0," ",D94*E94)</f>
        <v/>
      </c>
      <c r="G94" s="371" t="n">
        <v>1</v>
      </c>
      <c r="H94" s="372" t="n"/>
      <c r="I94" s="370">
        <f>IF(F94=" "," ",F94*G94-H94)</f>
        <v/>
      </c>
      <c r="J94" s="369" t="n">
        <v>0.269</v>
      </c>
      <c r="K94" s="371" t="n">
        <v>20</v>
      </c>
      <c r="L94" s="373">
        <f>IF(I94=" "," ",I94*J94*K94)</f>
        <v/>
      </c>
      <c r="M94" s="374" t="n">
        <v>7</v>
      </c>
      <c r="N94" s="371" t="n">
        <v>0</v>
      </c>
      <c r="O94" s="374" t="n">
        <v>0</v>
      </c>
      <c r="P94" s="370">
        <f>IF(M94=" "," ",(1+(M94+N94+O94)/100))</f>
        <v/>
      </c>
      <c r="Q94" s="376">
        <f>IF(L94=" "," ",L94*P94)</f>
        <v/>
      </c>
    </row>
    <row r="95" ht="9.949999999999999" customFormat="1" customHeight="1" s="356">
      <c r="A95" s="366" t="inlineStr">
        <is>
          <t>Dö</t>
        </is>
      </c>
      <c r="B95" s="367" t="n"/>
      <c r="C95" s="368" t="n"/>
      <c r="D95" s="369" t="n">
        <v>0.95</v>
      </c>
      <c r="E95" s="369" t="n">
        <v>2.25</v>
      </c>
      <c r="F95" s="370">
        <f>IF(D95=0," ",D95*E95)</f>
        <v/>
      </c>
      <c r="G95" s="371" t="n">
        <v>1</v>
      </c>
      <c r="H95" s="372" t="n"/>
      <c r="I95" s="370">
        <f>IF(F95=" "," ",F95*G95-H95)</f>
        <v/>
      </c>
      <c r="J95" s="369" t="n">
        <v>0.269</v>
      </c>
      <c r="K95" s="371" t="n">
        <v>20</v>
      </c>
      <c r="L95" s="373">
        <f>IF(I95=" "," ",I95*J95*K95)</f>
        <v/>
      </c>
      <c r="M95" s="374" t="n">
        <v>7</v>
      </c>
      <c r="N95" s="371" t="n">
        <v>0</v>
      </c>
      <c r="O95" s="374" t="n">
        <v>0</v>
      </c>
      <c r="P95" s="370">
        <f>IF(M95=" "," ",(1+(M95+N95+O95)/100))</f>
        <v/>
      </c>
      <c r="Q95" s="376">
        <f>IF(L95=" "," ",L95*P95)</f>
        <v/>
      </c>
    </row>
    <row r="96" ht="9.949999999999999" customFormat="1" customHeight="1" s="356">
      <c r="A96" s="377" t="n"/>
      <c r="B96" s="378" t="n"/>
      <c r="C96" s="378" t="n"/>
      <c r="D96" s="379" t="n"/>
      <c r="E96" s="379" t="n"/>
      <c r="F96" s="379">
        <f>IF(D96=0," ",D96*E96)</f>
        <v/>
      </c>
      <c r="G96" s="380" t="n"/>
      <c r="H96" s="379" t="n"/>
      <c r="I96" s="379">
        <f>IF(F96=" "," ",F96*G96-H96)</f>
        <v/>
      </c>
      <c r="J96" s="379" t="n"/>
      <c r="K96" s="380" t="n"/>
      <c r="L96" s="381" t="n"/>
      <c r="M96" s="382" t="n"/>
      <c r="N96" s="382" t="n"/>
      <c r="O96" s="382" t="n"/>
      <c r="P96" s="383" t="n"/>
      <c r="Q96" s="384">
        <f>SUM(Q88:Q95)</f>
        <v/>
      </c>
    </row>
    <row r="97" ht="9.949999999999999" customFormat="1" customHeight="1" s="385">
      <c r="A97" s="386" t="n"/>
      <c r="B97" s="387" t="n"/>
      <c r="C97" s="387" t="n"/>
      <c r="D97" s="388" t="n"/>
      <c r="E97" s="389" t="n"/>
      <c r="F97" s="390" t="n"/>
      <c r="G97" s="391" t="n"/>
      <c r="H97" s="390" t="n"/>
      <c r="I97" s="392" t="n"/>
      <c r="J97" s="393" t="inlineStr">
        <is>
          <t>Qs=</t>
        </is>
      </c>
      <c r="K97" s="392" t="inlineStr">
        <is>
          <t>S a</t>
        </is>
      </c>
      <c r="L97" s="390" t="inlineStr">
        <is>
          <t>L</t>
        </is>
      </c>
      <c r="M97" s="391" t="inlineStr">
        <is>
          <t>R</t>
        </is>
      </c>
      <c r="N97" s="394" t="inlineStr">
        <is>
          <t>H</t>
        </is>
      </c>
      <c r="O97" s="395" t="inlineStr">
        <is>
          <t>D  T</t>
        </is>
      </c>
      <c r="P97" s="391" t="inlineStr">
        <is>
          <t>Ze</t>
        </is>
      </c>
      <c r="Q97" s="396" t="n"/>
    </row>
    <row r="98" ht="9.949999999999999" customFormat="1" customHeight="1" s="385">
      <c r="A98" s="397" t="inlineStr">
        <is>
          <t xml:space="preserve"> </t>
        </is>
      </c>
      <c r="C98" s="398" t="n"/>
      <c r="D98" s="398" t="n"/>
      <c r="E98" s="399" t="n"/>
      <c r="F98" s="400" t="n"/>
      <c r="G98" s="401" t="n"/>
      <c r="H98" s="402" t="n"/>
      <c r="I98" s="403" t="n"/>
      <c r="J98" s="404" t="inlineStr">
        <is>
          <t>Qs  =</t>
        </is>
      </c>
      <c r="K98" s="405" t="n">
        <v>2</v>
      </c>
      <c r="L98" s="405">
        <f>(D90+E90)*2*G90</f>
        <v/>
      </c>
      <c r="M98" s="405" t="n">
        <v>0.9</v>
      </c>
      <c r="N98" s="405" t="n">
        <v>0.67</v>
      </c>
      <c r="O98" s="382" t="n">
        <v>35</v>
      </c>
      <c r="P98" s="405" t="n">
        <v>1.2</v>
      </c>
      <c r="Q98" s="384">
        <f>K98*L98*M98*N98*O98*P98</f>
        <v/>
      </c>
    </row>
    <row r="99" ht="9.949999999999999" customFormat="1" customHeight="1" s="351">
      <c r="A99" s="406" t="n"/>
      <c r="B99" s="385" t="n"/>
      <c r="C99" s="398" t="n"/>
      <c r="D99" s="398" t="n"/>
      <c r="E99" s="379" t="n"/>
      <c r="F99" s="256" t="n"/>
      <c r="G99" s="407" t="n"/>
      <c r="H99" s="398" t="n"/>
      <c r="I99" s="398" t="n"/>
      <c r="J99" s="398" t="n"/>
      <c r="K99" s="407" t="n"/>
      <c r="L99" s="408" t="n"/>
      <c r="M99" s="409" t="inlineStr">
        <is>
          <t xml:space="preserve">   TOPLAM ISI KAYBI =</t>
        </is>
      </c>
      <c r="N99" s="409" t="n"/>
      <c r="O99" s="410" t="n"/>
      <c r="P99" s="409" t="n"/>
      <c r="Q99" s="411">
        <f>Q96+Q98</f>
        <v/>
      </c>
    </row>
  </sheetData>
  <mergeCells count="18">
    <mergeCell ref="E57:F57"/>
    <mergeCell ref="I87:J87"/>
    <mergeCell ref="E99:F99"/>
    <mergeCell ref="M3:P3"/>
    <mergeCell ref="E3:H3"/>
    <mergeCell ref="I3:L3"/>
    <mergeCell ref="E32:F32"/>
    <mergeCell ref="I82:L82"/>
    <mergeCell ref="A3:D3"/>
    <mergeCell ref="E71:F71"/>
    <mergeCell ref="I33:J33"/>
    <mergeCell ref="E82:H82"/>
    <mergeCell ref="M82:P82"/>
    <mergeCell ref="A82:D82"/>
    <mergeCell ref="I45:J45"/>
    <mergeCell ref="I8:J8"/>
    <mergeCell ref="I58:J58"/>
    <mergeCell ref="E44:F44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Q131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 NK</t>
        </is>
      </c>
      <c r="P1" s="337" t="inlineStr">
        <is>
          <t>Tarih</t>
        </is>
      </c>
      <c r="Q1" s="338">
        <f>[1]kapak!G41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5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9.75" customFormat="1" customHeight="1" s="356">
      <c r="A8" s="359" t="n"/>
      <c r="B8" s="360" t="n"/>
      <c r="C8" s="360" t="n"/>
      <c r="D8" s="360" t="n"/>
      <c r="E8" s="360" t="n"/>
      <c r="F8" s="361" t="n">
        <v>1</v>
      </c>
      <c r="G8" s="362" t="inlineStr">
        <is>
          <t>0</t>
        </is>
      </c>
      <c r="H8" s="360" t="inlineStr">
        <is>
          <t>1</t>
        </is>
      </c>
      <c r="I8" s="362" t="inlineStr">
        <is>
          <t>YATAK ODASI+GİY.</t>
        </is>
      </c>
      <c r="J8" s="3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5" t="n"/>
    </row>
    <row r="9" ht="9.75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4.45</v>
      </c>
      <c r="E9" s="369" t="n">
        <v>2.8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0.479</v>
      </c>
      <c r="K9" s="371" t="n">
        <v>29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75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0.37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0.577</v>
      </c>
      <c r="K10" s="371" t="n">
        <v>29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75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0.75</v>
      </c>
      <c r="E11" s="369" t="n">
        <v>2.8</v>
      </c>
      <c r="F11" s="370">
        <f>IF(D11=0," ",D11*E11)</f>
        <v/>
      </c>
      <c r="G11" s="371" t="n">
        <v>2</v>
      </c>
      <c r="H11" s="372" t="n"/>
      <c r="I11" s="370">
        <f>IF(F11=" "," ",F11*G11-H11)</f>
        <v/>
      </c>
      <c r="J11" s="369" t="n">
        <v>2.4</v>
      </c>
      <c r="K11" s="371" t="n">
        <v>29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6">
        <f>IF(L11=" "," ",L11*P11)</f>
        <v/>
      </c>
    </row>
    <row r="12" ht="9.75" customFormat="1" customHeight="1" s="356">
      <c r="A12" s="366" t="inlineStr">
        <is>
          <t>DD30</t>
        </is>
      </c>
      <c r="B12" s="367" t="inlineStr">
        <is>
          <t>K</t>
        </is>
      </c>
      <c r="C12" s="368" t="n"/>
      <c r="D12" s="369" t="n">
        <v>0.15</v>
      </c>
      <c r="E12" s="369" t="n">
        <v>3.17</v>
      </c>
      <c r="F12" s="370">
        <f>IF(D12=0," ",D12*E12)</f>
        <v/>
      </c>
      <c r="G12" s="371" t="n">
        <v>1</v>
      </c>
      <c r="H12" s="372" t="n"/>
      <c r="I12" s="370">
        <f>IF(F12=" "," ",F12*G12-H12)</f>
        <v/>
      </c>
      <c r="J12" s="369" t="n">
        <v>0.57</v>
      </c>
      <c r="K12" s="371" t="n">
        <v>29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5">
        <f>IF(L12=" "," ",L12*P12)</f>
        <v/>
      </c>
    </row>
    <row r="13" ht="9.75" customFormat="1" customHeight="1" s="356">
      <c r="A13" s="366" t="inlineStr">
        <is>
          <t>DD</t>
        </is>
      </c>
      <c r="B13" s="367" t="inlineStr">
        <is>
          <t>D</t>
        </is>
      </c>
      <c r="C13" s="368" t="n"/>
      <c r="D13" s="369" t="n">
        <v>5.6</v>
      </c>
      <c r="E13" s="369" t="n">
        <v>2.8</v>
      </c>
      <c r="F13" s="370">
        <f>IF(D13=0," ",D13*E13)</f>
        <v/>
      </c>
      <c r="G13" s="371" t="n">
        <v>1</v>
      </c>
      <c r="H13" s="372">
        <f>F15*G15</f>
        <v/>
      </c>
      <c r="I13" s="370">
        <f>IF(F13=" "," ",F13*G13-H13)</f>
        <v/>
      </c>
      <c r="J13" s="369" t="n">
        <v>0.479</v>
      </c>
      <c r="K13" s="371" t="n">
        <v>29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75" customFormat="1" customHeight="1" s="356">
      <c r="A14" s="366" t="inlineStr">
        <is>
          <t>DD25</t>
        </is>
      </c>
      <c r="B14" s="367" t="inlineStr">
        <is>
          <t>D</t>
        </is>
      </c>
      <c r="C14" s="368" t="n"/>
      <c r="D14" s="369">
        <f>D13</f>
        <v/>
      </c>
      <c r="E14" s="369" t="n">
        <v>0.37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0.577</v>
      </c>
      <c r="K14" s="371" t="n">
        <v>29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75" customFormat="1" customHeight="1" s="356">
      <c r="A15" s="366" t="inlineStr">
        <is>
          <t>ÇP</t>
        </is>
      </c>
      <c r="B15" s="367" t="inlineStr">
        <is>
          <t>D</t>
        </is>
      </c>
      <c r="C15" s="368" t="n"/>
      <c r="D15" s="369" t="n">
        <v>4.65</v>
      </c>
      <c r="E15" s="369" t="n">
        <v>2.8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2.4</v>
      </c>
      <c r="K15" s="371" t="n">
        <v>29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6">
        <f>IF(L15=" "," ",L15*P15)</f>
        <v/>
      </c>
    </row>
    <row r="16" ht="9.75" customFormat="1" customHeight="1" s="356">
      <c r="A16" s="366" t="inlineStr">
        <is>
          <t>DD30</t>
        </is>
      </c>
      <c r="B16" s="367" t="inlineStr">
        <is>
          <t>D</t>
        </is>
      </c>
      <c r="C16" s="368" t="n"/>
      <c r="D16" s="369" t="n">
        <v>0.9</v>
      </c>
      <c r="E16" s="369" t="n">
        <v>2.67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0.57</v>
      </c>
      <c r="K16" s="371" t="n">
        <v>29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75" customFormat="1" customHeight="1" s="356">
      <c r="A17" s="366" t="inlineStr">
        <is>
          <t>DD</t>
        </is>
      </c>
      <c r="B17" s="367" t="inlineStr">
        <is>
          <t>G</t>
        </is>
      </c>
      <c r="C17" s="368" t="n"/>
      <c r="D17" s="369" t="n">
        <v>4.45</v>
      </c>
      <c r="E17" s="369" t="n">
        <v>2.8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0.479</v>
      </c>
      <c r="K17" s="371" t="n">
        <v>29</v>
      </c>
      <c r="L17" s="373">
        <f>IF(I17=" "," ",I17*J17*K17)</f>
        <v/>
      </c>
      <c r="M17" s="374" t="n">
        <v>7</v>
      </c>
      <c r="N17" s="371" t="n">
        <v>0</v>
      </c>
      <c r="O17" s="374" t="n">
        <v>-5</v>
      </c>
      <c r="P17" s="370">
        <f>IF(M17=" "," ",(1+(M17+N17+O17)/100))</f>
        <v/>
      </c>
      <c r="Q17" s="375">
        <f>IF(L17=" "," ",L17*P17)</f>
        <v/>
      </c>
    </row>
    <row r="18" ht="9.75" customFormat="1" customHeight="1" s="356">
      <c r="A18" s="366" t="inlineStr">
        <is>
          <t>DD25</t>
        </is>
      </c>
      <c r="B18" s="367" t="inlineStr">
        <is>
          <t>G</t>
        </is>
      </c>
      <c r="C18" s="368" t="n"/>
      <c r="D18" s="369">
        <f>D17</f>
        <v/>
      </c>
      <c r="E18" s="369" t="n">
        <v>0.37</v>
      </c>
      <c r="F18" s="370">
        <f>IF(D18=0," ",D18*E18)</f>
        <v/>
      </c>
      <c r="G18" s="371" t="n">
        <v>1</v>
      </c>
      <c r="H18" s="372" t="n"/>
      <c r="I18" s="370">
        <f>IF(F18=" "," ",F18*G18-H18)</f>
        <v/>
      </c>
      <c r="J18" s="369" t="n">
        <v>0.577</v>
      </c>
      <c r="K18" s="371" t="n">
        <v>29</v>
      </c>
      <c r="L18" s="373">
        <f>IF(I18=" "," ",I18*J18*K18)</f>
        <v/>
      </c>
      <c r="M18" s="374" t="n">
        <v>7</v>
      </c>
      <c r="N18" s="371" t="n">
        <v>0</v>
      </c>
      <c r="O18" s="374" t="n">
        <v>-5</v>
      </c>
      <c r="P18" s="370">
        <f>IF(M18=" "," ",(1+(M18+N18+O18)/100))</f>
        <v/>
      </c>
      <c r="Q18" s="375">
        <f>IF(L18=" "," ",L18*P18)</f>
        <v/>
      </c>
    </row>
    <row r="19" ht="9.75" customFormat="1" customHeight="1" s="356">
      <c r="A19" s="366" t="inlineStr">
        <is>
          <t>DD30</t>
        </is>
      </c>
      <c r="B19" s="367" t="inlineStr">
        <is>
          <t>G</t>
        </is>
      </c>
      <c r="C19" s="368" t="n"/>
      <c r="D19" s="369" t="n">
        <v>0.15</v>
      </c>
      <c r="E19" s="369" t="n">
        <v>3.17</v>
      </c>
      <c r="F19" s="370">
        <f>IF(D19=0," ",D19*E19)</f>
        <v/>
      </c>
      <c r="G19" s="371" t="n">
        <v>1</v>
      </c>
      <c r="H19" s="372" t="n"/>
      <c r="I19" s="370">
        <f>IF(F19=" "," ",F19*G19-H19)</f>
        <v/>
      </c>
      <c r="J19" s="369" t="n">
        <v>0.57</v>
      </c>
      <c r="K19" s="371" t="n">
        <v>29</v>
      </c>
      <c r="L19" s="373">
        <f>IF(I19=" "," ",I19*J19*K19)</f>
        <v/>
      </c>
      <c r="M19" s="374" t="n">
        <v>7</v>
      </c>
      <c r="N19" s="371" t="n">
        <v>0</v>
      </c>
      <c r="O19" s="374" t="n">
        <v>-5</v>
      </c>
      <c r="P19" s="370">
        <f>IF(M19=" "," ",(1+(M19+N19+O19)/100))</f>
        <v/>
      </c>
      <c r="Q19" s="375">
        <f>IF(L19=" "," ",L19*P19)</f>
        <v/>
      </c>
    </row>
    <row r="20" ht="9.75" customFormat="1" customHeight="1" s="356">
      <c r="A20" s="366" t="inlineStr">
        <is>
          <t>Ta</t>
        </is>
      </c>
      <c r="B20" s="367" t="n"/>
      <c r="C20" s="368" t="n"/>
      <c r="D20" s="369" t="n">
        <v>3.5</v>
      </c>
      <c r="E20" s="369" t="n">
        <v>2.8</v>
      </c>
      <c r="F20" s="370">
        <f>IF(D20=0," ",D20*E20)</f>
        <v/>
      </c>
      <c r="G20" s="371" t="n">
        <v>1</v>
      </c>
      <c r="H20" s="372" t="n"/>
      <c r="I20" s="370">
        <f>IF(F20=" "," ",F20*G20-H20)</f>
        <v/>
      </c>
      <c r="J20" s="369" t="n">
        <v>0.318</v>
      </c>
      <c r="K20" s="371" t="n">
        <v>20</v>
      </c>
      <c r="L20" s="373">
        <f>IF(I20=" "," ",I20*J20*K20)</f>
        <v/>
      </c>
      <c r="M20" s="374" t="n">
        <v>7</v>
      </c>
      <c r="N20" s="371" t="n">
        <v>0</v>
      </c>
      <c r="O20" s="374" t="n">
        <v>0</v>
      </c>
      <c r="P20" s="370">
        <f>IF(M20=" "," ",(1+(M20+N20+O20)/100))</f>
        <v/>
      </c>
      <c r="Q20" s="376">
        <f>IF(L20=" "," ",L20*P20)</f>
        <v/>
      </c>
    </row>
    <row r="21" ht="9.75" customFormat="1" customHeight="1" s="356">
      <c r="A21" s="366" t="inlineStr">
        <is>
          <t>Ta</t>
        </is>
      </c>
      <c r="B21" s="367" t="n"/>
      <c r="C21" s="368" t="n"/>
      <c r="D21" s="369" t="n">
        <v>1.4</v>
      </c>
      <c r="E21" s="369" t="n">
        <v>2.2</v>
      </c>
      <c r="F21" s="370">
        <f>IF(D21=0," ",D21*E21)</f>
        <v/>
      </c>
      <c r="G21" s="371" t="n">
        <v>1</v>
      </c>
      <c r="H21" s="372" t="n"/>
      <c r="I21" s="370">
        <f>IF(F21=" "," ",F21*G21-H21)</f>
        <v/>
      </c>
      <c r="J21" s="369" t="n">
        <v>0.318</v>
      </c>
      <c r="K21" s="371" t="n">
        <v>20</v>
      </c>
      <c r="L21" s="373">
        <f>IF(I21=" "," ",I21*J21*K21)</f>
        <v/>
      </c>
      <c r="M21" s="374" t="n">
        <v>7</v>
      </c>
      <c r="N21" s="371" t="n">
        <v>0</v>
      </c>
      <c r="O21" s="374" t="n">
        <v>0</v>
      </c>
      <c r="P21" s="370">
        <f>IF(M21=" "," ",(1+(M21+N21+O21)/100))</f>
        <v/>
      </c>
      <c r="Q21" s="376">
        <f>IF(L21=" "," ",L21*P21)</f>
        <v/>
      </c>
    </row>
    <row r="22" ht="9.75" customFormat="1" customHeight="1" s="356">
      <c r="A22" s="366" t="inlineStr">
        <is>
          <t>Ta</t>
        </is>
      </c>
      <c r="B22" s="367" t="n"/>
      <c r="C22" s="368" t="n"/>
      <c r="D22" s="369" t="n">
        <v>4.6</v>
      </c>
      <c r="E22" s="369" t="n">
        <v>6.5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0.318</v>
      </c>
      <c r="K22" s="371" t="n">
        <v>20</v>
      </c>
      <c r="L22" s="373">
        <f>IF(I22=" "," ",I22*J22*K22)</f>
        <v/>
      </c>
      <c r="M22" s="374" t="n">
        <v>7</v>
      </c>
      <c r="N22" s="371" t="n">
        <v>0</v>
      </c>
      <c r="O22" s="374" t="n">
        <v>0</v>
      </c>
      <c r="P22" s="370">
        <f>IF(M22=" "," ",(1+(M22+N22+O22)/100))</f>
        <v/>
      </c>
      <c r="Q22" s="376">
        <f>IF(L22=" "," ",L22*P22)</f>
        <v/>
      </c>
    </row>
    <row r="23" ht="9.75" customFormat="1" customHeight="1" s="356">
      <c r="A23" s="377" t="n"/>
      <c r="B23" s="378" t="n"/>
      <c r="C23" s="378" t="n"/>
      <c r="D23" s="379" t="n"/>
      <c r="E23" s="379" t="n"/>
      <c r="F23" s="379">
        <f>IF(D23=0," ",D23*E23)</f>
        <v/>
      </c>
      <c r="G23" s="380" t="n"/>
      <c r="H23" s="379" t="n"/>
      <c r="I23" s="379">
        <f>IF(F23=" "," ",F23*G23-H23)</f>
        <v/>
      </c>
      <c r="J23" s="379" t="n"/>
      <c r="K23" s="380" t="n"/>
      <c r="L23" s="381" t="n"/>
      <c r="M23" s="382" t="n"/>
      <c r="N23" s="382" t="n"/>
      <c r="O23" s="382" t="n"/>
      <c r="P23" s="383" t="n"/>
      <c r="Q23" s="384">
        <f>SUM(Q9:Q22)</f>
        <v/>
      </c>
    </row>
    <row r="24" ht="9.75" customFormat="1" customHeight="1" s="385">
      <c r="A24" s="386" t="n"/>
      <c r="B24" s="387" t="n"/>
      <c r="C24" s="387" t="n"/>
      <c r="D24" s="388" t="n"/>
      <c r="E24" s="389" t="n"/>
      <c r="F24" s="390" t="n"/>
      <c r="G24" s="391" t="n"/>
      <c r="H24" s="390" t="n"/>
      <c r="I24" s="392" t="n"/>
      <c r="J24" s="393" t="inlineStr">
        <is>
          <t>Qs=</t>
        </is>
      </c>
      <c r="K24" s="392" t="inlineStr">
        <is>
          <t>S a</t>
        </is>
      </c>
      <c r="L24" s="390" t="inlineStr">
        <is>
          <t>L</t>
        </is>
      </c>
      <c r="M24" s="391" t="inlineStr">
        <is>
          <t>R</t>
        </is>
      </c>
      <c r="N24" s="394" t="inlineStr">
        <is>
          <t>H</t>
        </is>
      </c>
      <c r="O24" s="395" t="inlineStr">
        <is>
          <t>D  T</t>
        </is>
      </c>
      <c r="P24" s="391" t="inlineStr">
        <is>
          <t>Ze</t>
        </is>
      </c>
      <c r="Q24" s="396" t="n"/>
    </row>
    <row r="25" ht="9.75" customFormat="1" customHeight="1" s="385">
      <c r="A25" s="397" t="inlineStr">
        <is>
          <t xml:space="preserve"> </t>
        </is>
      </c>
      <c r="C25" s="398" t="n"/>
      <c r="D25" s="398" t="n"/>
      <c r="E25" s="399" t="n"/>
      <c r="F25" s="400" t="n"/>
      <c r="G25" s="401" t="n"/>
      <c r="H25" s="402" t="n"/>
      <c r="I25" s="403" t="n"/>
      <c r="J25" s="404" t="inlineStr">
        <is>
          <t>Qs  =</t>
        </is>
      </c>
      <c r="K25" s="405" t="n">
        <v>2</v>
      </c>
      <c r="L25" s="405">
        <f>(D11+E11)*2*G11+(D15+E15)*2*G15</f>
        <v/>
      </c>
      <c r="M25" s="405" t="n">
        <v>0.9</v>
      </c>
      <c r="N25" s="405" t="n">
        <v>0.67</v>
      </c>
      <c r="O25" s="382" t="n">
        <v>29</v>
      </c>
      <c r="P25" s="405" t="n">
        <v>1.2</v>
      </c>
      <c r="Q25" s="384">
        <f>K25*L25*M25*N25*O25*P25</f>
        <v/>
      </c>
    </row>
    <row r="26" ht="9.75" customFormat="1" customHeight="1" s="351">
      <c r="A26" s="406" t="n"/>
      <c r="B26" s="385" t="n"/>
      <c r="C26" s="398" t="n"/>
      <c r="D26" s="398" t="n"/>
      <c r="E26" s="379" t="n"/>
      <c r="F26" s="256" t="n"/>
      <c r="G26" s="407" t="n"/>
      <c r="H26" s="398" t="n"/>
      <c r="I26" s="398" t="n"/>
      <c r="J26" s="398" t="n"/>
      <c r="K26" s="407" t="n"/>
      <c r="L26" s="408" t="n"/>
      <c r="M26" s="409" t="inlineStr">
        <is>
          <t xml:space="preserve">   TOPLAM ISI KAYBI =</t>
        </is>
      </c>
      <c r="N26" s="409" t="n"/>
      <c r="O26" s="410" t="n"/>
      <c r="P26" s="409" t="n"/>
      <c r="Q26" s="411">
        <f>Q23+Q25</f>
        <v/>
      </c>
    </row>
    <row r="27" ht="9.75" customFormat="1" customHeight="1" s="356">
      <c r="A27" s="412" t="n"/>
      <c r="B27" s="413" t="n"/>
      <c r="C27" s="413" t="n"/>
      <c r="D27" s="413" t="n"/>
      <c r="E27" s="413" t="n"/>
      <c r="F27" s="361">
        <f>F8</f>
        <v/>
      </c>
      <c r="G27" s="414" t="inlineStr">
        <is>
          <t>0</t>
        </is>
      </c>
      <c r="H27" s="413" t="inlineStr">
        <is>
          <t>2</t>
        </is>
      </c>
      <c r="I27" s="414" t="inlineStr">
        <is>
          <t>BANYO</t>
        </is>
      </c>
      <c r="J27" s="364" t="n"/>
      <c r="K27" s="413" t="inlineStr">
        <is>
          <t>26ºC</t>
        </is>
      </c>
      <c r="L27" s="413" t="n"/>
      <c r="M27" s="413" t="n"/>
      <c r="N27" s="413" t="n"/>
      <c r="O27" s="413" t="n"/>
      <c r="P27" s="413" t="n"/>
      <c r="Q27" s="415" t="n"/>
    </row>
    <row r="28" ht="9.75" customFormat="1" customHeight="1" s="356">
      <c r="A28" s="366" t="inlineStr">
        <is>
          <t>DD</t>
        </is>
      </c>
      <c r="B28" s="367" t="inlineStr">
        <is>
          <t>G</t>
        </is>
      </c>
      <c r="C28" s="368" t="n"/>
      <c r="D28" s="369" t="n">
        <v>1.7</v>
      </c>
      <c r="E28" s="369" t="n">
        <v>2.8</v>
      </c>
      <c r="F28" s="370">
        <f>IF(D28=0," ",D28*E28)</f>
        <v/>
      </c>
      <c r="G28" s="371" t="n">
        <v>1</v>
      </c>
      <c r="H28" s="372">
        <f>F30*G30</f>
        <v/>
      </c>
      <c r="I28" s="370">
        <f>IF(F28=" "," ",F28*G28-H28)</f>
        <v/>
      </c>
      <c r="J28" s="369" t="n">
        <v>0.479</v>
      </c>
      <c r="K28" s="371" t="n">
        <v>35</v>
      </c>
      <c r="L28" s="373">
        <f>IF(I28=" "," ",I28*J28*K28)</f>
        <v/>
      </c>
      <c r="M28" s="374" t="n">
        <v>7</v>
      </c>
      <c r="N28" s="371" t="n">
        <v>0</v>
      </c>
      <c r="O28" s="374" t="n">
        <v>-5</v>
      </c>
      <c r="P28" s="370">
        <f>IF(M28=" "," ",(1+(M28+N28+O28)/100))</f>
        <v/>
      </c>
      <c r="Q28" s="375">
        <f>IF(L28=" "," ",L28*P28)</f>
        <v/>
      </c>
    </row>
    <row r="29" ht="9.75" customFormat="1" customHeight="1" s="356">
      <c r="A29" s="366" t="inlineStr">
        <is>
          <t>DD25</t>
        </is>
      </c>
      <c r="B29" s="367" t="inlineStr">
        <is>
          <t>G</t>
        </is>
      </c>
      <c r="C29" s="368" t="n"/>
      <c r="D29" s="369">
        <f>D28</f>
        <v/>
      </c>
      <c r="E29" s="369" t="n">
        <v>0.37</v>
      </c>
      <c r="F29" s="370">
        <f>IF(D29=0," ",D29*E29)</f>
        <v/>
      </c>
      <c r="G29" s="371" t="n">
        <v>1</v>
      </c>
      <c r="H29" s="372" t="n"/>
      <c r="I29" s="370">
        <f>IF(F29=" "," ",F29*G29-H29)</f>
        <v/>
      </c>
      <c r="J29" s="369" t="n">
        <v>0.577</v>
      </c>
      <c r="K29" s="371" t="n">
        <v>35</v>
      </c>
      <c r="L29" s="373">
        <f>IF(I29=" "," ",I29*J29*K29)</f>
        <v/>
      </c>
      <c r="M29" s="374" t="n">
        <v>7</v>
      </c>
      <c r="N29" s="371" t="n">
        <v>0</v>
      </c>
      <c r="O29" s="374" t="n">
        <v>-5</v>
      </c>
      <c r="P29" s="370">
        <f>IF(M29=" "," ",(1+(M29+N29+O29)/100))</f>
        <v/>
      </c>
      <c r="Q29" s="375">
        <f>IF(L29=" "," ",L29*P29)</f>
        <v/>
      </c>
    </row>
    <row r="30" ht="9.75" customFormat="1" customHeight="1" s="356">
      <c r="A30" s="366" t="inlineStr">
        <is>
          <t>ÇP</t>
        </is>
      </c>
      <c r="B30" s="367" t="inlineStr">
        <is>
          <t>G</t>
        </is>
      </c>
      <c r="C30" s="368" t="n"/>
      <c r="D30" s="369" t="n">
        <v>0.6</v>
      </c>
      <c r="E30" s="369" t="n">
        <v>0.6</v>
      </c>
      <c r="F30" s="370">
        <f>IF(D30=0," ",D30*E30)</f>
        <v/>
      </c>
      <c r="G30" s="371" t="n">
        <v>1</v>
      </c>
      <c r="H30" s="372" t="n"/>
      <c r="I30" s="370">
        <f>IF(F30=" "," ",F30*G30-H30)</f>
        <v/>
      </c>
      <c r="J30" s="369" t="n">
        <v>2.4</v>
      </c>
      <c r="K30" s="371" t="n">
        <v>35</v>
      </c>
      <c r="L30" s="373">
        <f>IF(I30=" "," ",I30*J30*K30)</f>
        <v/>
      </c>
      <c r="M30" s="374" t="n">
        <v>7</v>
      </c>
      <c r="N30" s="371" t="n">
        <v>0</v>
      </c>
      <c r="O30" s="374" t="n">
        <v>-5</v>
      </c>
      <c r="P30" s="370">
        <f>IF(M30=" "," ",(1+(M30+N30+O30)/100))</f>
        <v/>
      </c>
      <c r="Q30" s="376">
        <f>IF(L30=" "," ",L30*P30)</f>
        <v/>
      </c>
    </row>
    <row r="31" ht="9.75" customFormat="1" customHeight="1" s="356">
      <c r="A31" s="366" t="inlineStr">
        <is>
          <t>DD30</t>
        </is>
      </c>
      <c r="B31" s="367" t="inlineStr">
        <is>
          <t>G</t>
        </is>
      </c>
      <c r="C31" s="368" t="n"/>
      <c r="D31" s="369" t="n">
        <v>0.4</v>
      </c>
      <c r="E31" s="369" t="n">
        <v>3.17</v>
      </c>
      <c r="F31" s="370">
        <f>IF(D31=0," ",D31*E31)</f>
        <v/>
      </c>
      <c r="G31" s="371" t="n">
        <v>1</v>
      </c>
      <c r="H31" s="372" t="n"/>
      <c r="I31" s="370">
        <f>IF(F31=" "," ",F31*G31-H31)</f>
        <v/>
      </c>
      <c r="J31" s="369" t="n">
        <v>0.57</v>
      </c>
      <c r="K31" s="371" t="n">
        <v>35</v>
      </c>
      <c r="L31" s="373">
        <f>IF(I31=" "," ",I31*J31*K31)</f>
        <v/>
      </c>
      <c r="M31" s="374" t="n">
        <v>7</v>
      </c>
      <c r="N31" s="371" t="n">
        <v>0</v>
      </c>
      <c r="O31" s="374" t="n">
        <v>-5</v>
      </c>
      <c r="P31" s="370">
        <f>IF(M31=" "," ",(1+(M31+N31+O31)/100))</f>
        <v/>
      </c>
      <c r="Q31" s="375">
        <f>IF(L31=" "," ",L31*P31)</f>
        <v/>
      </c>
    </row>
    <row r="32" ht="9.75" customFormat="1" customHeight="1" s="356">
      <c r="A32" s="366" t="inlineStr">
        <is>
          <t>İD</t>
        </is>
      </c>
      <c r="B32" s="367" t="n"/>
      <c r="C32" s="368" t="n"/>
      <c r="D32" s="369" t="n">
        <v>4.2</v>
      </c>
      <c r="E32" s="369" t="n">
        <v>3.17</v>
      </c>
      <c r="F32" s="370">
        <f>IF(D32=0," ",D32*E32)</f>
        <v/>
      </c>
      <c r="G32" s="371" t="n">
        <v>1</v>
      </c>
      <c r="H32" s="372">
        <f>F33*G33</f>
        <v/>
      </c>
      <c r="I32" s="370">
        <f>IF(F32=" "," ",F32*G32-H32)</f>
        <v/>
      </c>
      <c r="J32" s="369" t="n">
        <v>0.8139999999999999</v>
      </c>
      <c r="K32" s="371" t="n">
        <v>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75" customFormat="1" customHeight="1" s="356">
      <c r="A33" s="366" t="inlineStr">
        <is>
          <t>İK</t>
        </is>
      </c>
      <c r="B33" s="367" t="n"/>
      <c r="C33" s="368" t="n"/>
      <c r="D33" s="369" t="n">
        <v>0.8</v>
      </c>
      <c r="E33" s="369" t="n">
        <v>2.2</v>
      </c>
      <c r="F33" s="370">
        <f>D33*E33</f>
        <v/>
      </c>
      <c r="G33" s="371" t="n">
        <v>1</v>
      </c>
      <c r="H33" s="372" t="n"/>
      <c r="I33" s="370">
        <f>IF(F33=" "," ",F33*G33-H33)</f>
        <v/>
      </c>
      <c r="J33" s="369" t="n">
        <v>3.5</v>
      </c>
      <c r="K33" s="371" t="n">
        <v>6</v>
      </c>
      <c r="L33" s="373">
        <f>IF(I33=" "," ",I33*J33*K33)</f>
        <v/>
      </c>
      <c r="M33" s="374" t="n">
        <v>7</v>
      </c>
      <c r="N33" s="371" t="n">
        <v>0</v>
      </c>
      <c r="O33" s="374" t="n">
        <v>0</v>
      </c>
      <c r="P33" s="370">
        <f>IF(M33=" "," ",(1+(M33+N33+O33)/100))</f>
        <v/>
      </c>
      <c r="Q33" s="376">
        <f>IF(L33=" "," ",L33*P33)</f>
        <v/>
      </c>
    </row>
    <row r="34" ht="9.75" customFormat="1" customHeight="1" s="356">
      <c r="A34" s="366" t="inlineStr">
        <is>
          <t>Ta</t>
        </is>
      </c>
      <c r="B34" s="367" t="n"/>
      <c r="C34" s="368" t="n"/>
      <c r="D34" s="369" t="n">
        <v>2.1</v>
      </c>
      <c r="E34" s="369" t="n">
        <v>2.1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0.318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6">
        <f>IF(L34=" "," ",L34*P34)</f>
        <v/>
      </c>
    </row>
    <row r="35" ht="9.75" customFormat="1" customHeight="1" s="356">
      <c r="A35" s="377" t="n"/>
      <c r="B35" s="378" t="n"/>
      <c r="C35" s="378" t="n"/>
      <c r="D35" s="379" t="n"/>
      <c r="E35" s="379" t="n"/>
      <c r="F35" s="379">
        <f>IF(D35=0," ",D35*E35)</f>
        <v/>
      </c>
      <c r="G35" s="380" t="n"/>
      <c r="H35" s="379" t="n"/>
      <c r="I35" s="379">
        <f>IF(F35=" "," ",F35*G35-H35)</f>
        <v/>
      </c>
      <c r="J35" s="379" t="n"/>
      <c r="K35" s="380" t="n"/>
      <c r="L35" s="381" t="n"/>
      <c r="M35" s="382" t="n"/>
      <c r="N35" s="382" t="n"/>
      <c r="O35" s="382" t="n"/>
      <c r="P35" s="383" t="n"/>
      <c r="Q35" s="384">
        <f>SUM(Q28:Q34)</f>
        <v/>
      </c>
    </row>
    <row r="36" ht="9.75" customFormat="1" customHeight="1" s="385">
      <c r="A36" s="386" t="n"/>
      <c r="B36" s="387" t="n"/>
      <c r="C36" s="387" t="n"/>
      <c r="D36" s="388" t="n"/>
      <c r="E36" s="389" t="n"/>
      <c r="F36" s="390" t="n"/>
      <c r="G36" s="391" t="n"/>
      <c r="H36" s="390" t="n"/>
      <c r="I36" s="392" t="n"/>
      <c r="J36" s="393" t="inlineStr">
        <is>
          <t>Qs=</t>
        </is>
      </c>
      <c r="K36" s="392" t="inlineStr">
        <is>
          <t>S a</t>
        </is>
      </c>
      <c r="L36" s="390" t="inlineStr">
        <is>
          <t>L</t>
        </is>
      </c>
      <c r="M36" s="391" t="inlineStr">
        <is>
          <t>R</t>
        </is>
      </c>
      <c r="N36" s="394" t="inlineStr">
        <is>
          <t>H</t>
        </is>
      </c>
      <c r="O36" s="395" t="inlineStr">
        <is>
          <t>D  T</t>
        </is>
      </c>
      <c r="P36" s="391" t="inlineStr">
        <is>
          <t>Ze</t>
        </is>
      </c>
      <c r="Q36" s="396" t="n"/>
    </row>
    <row r="37" ht="9.75" customFormat="1" customHeight="1" s="385">
      <c r="A37" s="397" t="inlineStr">
        <is>
          <t xml:space="preserve"> </t>
        </is>
      </c>
      <c r="C37" s="398" t="n"/>
      <c r="D37" s="398" t="n"/>
      <c r="E37" s="399" t="n"/>
      <c r="F37" s="400" t="n"/>
      <c r="G37" s="401" t="n"/>
      <c r="H37" s="402" t="n"/>
      <c r="I37" s="403" t="n"/>
      <c r="J37" s="404" t="inlineStr">
        <is>
          <t>Qs  =</t>
        </is>
      </c>
      <c r="K37" s="405" t="n">
        <v>2</v>
      </c>
      <c r="L37" s="405">
        <f>(D30+E30)*2*G30</f>
        <v/>
      </c>
      <c r="M37" s="405" t="n">
        <v>0.9</v>
      </c>
      <c r="N37" s="405" t="n">
        <v>0.67</v>
      </c>
      <c r="O37" s="382" t="n">
        <v>35</v>
      </c>
      <c r="P37" s="405" t="n">
        <v>1</v>
      </c>
      <c r="Q37" s="384">
        <f>K37*L37*M37*N37*O37*P37</f>
        <v/>
      </c>
    </row>
    <row r="38" ht="9.75" customFormat="1" customHeight="1" s="351">
      <c r="A38" s="406" t="n"/>
      <c r="B38" s="385" t="n"/>
      <c r="C38" s="398" t="n"/>
      <c r="D38" s="398" t="n"/>
      <c r="E38" s="379" t="n"/>
      <c r="F38" s="256" t="n"/>
      <c r="G38" s="407" t="n"/>
      <c r="H38" s="398" t="n"/>
      <c r="I38" s="398" t="n"/>
      <c r="J38" s="398" t="n"/>
      <c r="K38" s="407" t="n"/>
      <c r="L38" s="408" t="n"/>
      <c r="M38" s="409" t="inlineStr">
        <is>
          <t xml:space="preserve">   TOPLAM ISI KAYBI =</t>
        </is>
      </c>
      <c r="N38" s="409" t="n"/>
      <c r="O38" s="410" t="n"/>
      <c r="P38" s="409" t="n"/>
      <c r="Q38" s="411">
        <f>Q35+Q37</f>
        <v/>
      </c>
    </row>
    <row r="39" ht="9.75" customFormat="1" customHeight="1" s="356">
      <c r="A39" s="412" t="n"/>
      <c r="B39" s="413" t="n"/>
      <c r="C39" s="413" t="n"/>
      <c r="D39" s="413" t="n"/>
      <c r="E39" s="413" t="n"/>
      <c r="F39" s="361">
        <f>F8</f>
        <v/>
      </c>
      <c r="G39" s="414" t="inlineStr">
        <is>
          <t>0</t>
        </is>
      </c>
      <c r="H39" s="413">
        <f>H27+1</f>
        <v/>
      </c>
      <c r="I39" s="414" t="inlineStr">
        <is>
          <t>ANTRE</t>
        </is>
      </c>
      <c r="J39" s="364" t="n"/>
      <c r="K39" s="413" t="inlineStr">
        <is>
          <t>18ºC</t>
        </is>
      </c>
      <c r="L39" s="413" t="n"/>
      <c r="M39" s="413" t="n"/>
      <c r="N39" s="413" t="n"/>
      <c r="O39" s="413" t="n"/>
      <c r="P39" s="413" t="n"/>
      <c r="Q39" s="415" t="n"/>
    </row>
    <row r="40" ht="9.75" customFormat="1" customHeight="1" s="356">
      <c r="A40" s="366" t="inlineStr">
        <is>
          <t>DD30</t>
        </is>
      </c>
      <c r="B40" s="367" t="inlineStr">
        <is>
          <t>K</t>
        </is>
      </c>
      <c r="C40" s="368" t="n"/>
      <c r="D40" s="369" t="n">
        <v>1</v>
      </c>
      <c r="E40" s="369" t="n">
        <v>3.17</v>
      </c>
      <c r="F40" s="370">
        <f>IF(D40=0," ",D40*E40)</f>
        <v/>
      </c>
      <c r="G40" s="371" t="n">
        <v>1</v>
      </c>
      <c r="H40" s="372" t="n"/>
      <c r="I40" s="370">
        <f>IF(F40=" "," ",F40*G40-H40)</f>
        <v/>
      </c>
      <c r="J40" s="369" t="n">
        <v>0.57</v>
      </c>
      <c r="K40" s="371" t="n">
        <v>27</v>
      </c>
      <c r="L40" s="373" t="n">
        <v>26</v>
      </c>
      <c r="M40" s="374" t="n">
        <v>7</v>
      </c>
      <c r="N40" s="371" t="n">
        <v>0</v>
      </c>
      <c r="O40" s="374" t="n">
        <v>5</v>
      </c>
      <c r="P40" s="370">
        <f>IF(M40=" "," ",(1+(M40+N40+O40)/100))</f>
        <v/>
      </c>
      <c r="Q40" s="375">
        <f>IF(L40=" "," ",L40*P40)</f>
        <v/>
      </c>
    </row>
    <row r="41" ht="9.75" customFormat="1" customHeight="1" s="356">
      <c r="A41" s="366" t="inlineStr">
        <is>
          <t>DD</t>
        </is>
      </c>
      <c r="B41" s="367" t="inlineStr">
        <is>
          <t>B</t>
        </is>
      </c>
      <c r="C41" s="368" t="n"/>
      <c r="D41" s="369" t="n">
        <v>2.4</v>
      </c>
      <c r="E41" s="369" t="n">
        <v>2.8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0.479</v>
      </c>
      <c r="K41" s="371" t="n">
        <v>27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75" customFormat="1" customHeight="1" s="356">
      <c r="A42" s="366" t="inlineStr">
        <is>
          <t>DD25</t>
        </is>
      </c>
      <c r="B42" s="367" t="inlineStr">
        <is>
          <t>B</t>
        </is>
      </c>
      <c r="C42" s="368" t="n"/>
      <c r="D42" s="369">
        <f>D41</f>
        <v/>
      </c>
      <c r="E42" s="369" t="n">
        <v>0.37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0.577</v>
      </c>
      <c r="K42" s="371" t="n">
        <v>27</v>
      </c>
      <c r="L42" s="373" t="n">
        <v>26</v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75" customFormat="1" customHeight="1" s="356">
      <c r="A43" s="366" t="inlineStr">
        <is>
          <t>ÇP</t>
        </is>
      </c>
      <c r="B43" s="367" t="inlineStr">
        <is>
          <t>B</t>
        </is>
      </c>
      <c r="C43" s="368" t="n"/>
      <c r="D43" s="369" t="n">
        <v>0.6</v>
      </c>
      <c r="E43" s="369" t="n">
        <v>2.8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2.4</v>
      </c>
      <c r="K43" s="371" t="n">
        <v>27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6">
        <f>IF(L43=" "," ",L43*P43)</f>
        <v/>
      </c>
    </row>
    <row r="44" ht="9.75" customFormat="1" customHeight="1" s="356">
      <c r="A44" s="366" t="inlineStr">
        <is>
          <t>Ta</t>
        </is>
      </c>
      <c r="B44" s="367" t="n"/>
      <c r="C44" s="368" t="n"/>
      <c r="D44" s="369" t="n">
        <v>1.2</v>
      </c>
      <c r="E44" s="369" t="n">
        <v>2.8</v>
      </c>
      <c r="F44" s="370">
        <f>IF(D44=0," ",D44*E44)</f>
        <v/>
      </c>
      <c r="G44" s="371" t="n">
        <v>1</v>
      </c>
      <c r="H44" s="372" t="n"/>
      <c r="I44" s="370">
        <f>IF(F44=" "," ",F44*G44-H44)</f>
        <v/>
      </c>
      <c r="J44" s="369" t="n">
        <v>0.318</v>
      </c>
      <c r="K44" s="371" t="n">
        <v>18</v>
      </c>
      <c r="L44" s="373">
        <f>IF(I44=" "," ",I44*J44*K44)</f>
        <v/>
      </c>
      <c r="M44" s="374" t="n">
        <v>7</v>
      </c>
      <c r="N44" s="371" t="n">
        <v>0</v>
      </c>
      <c r="O44" s="374" t="n">
        <v>0</v>
      </c>
      <c r="P44" s="370">
        <f>IF(M44=" "," ",(1+(M44+N44+O44)/100))</f>
        <v/>
      </c>
      <c r="Q44" s="376">
        <f>IF(L44=" "," ",L44*P44)</f>
        <v/>
      </c>
    </row>
    <row r="45" ht="9.75" customFormat="1" customHeight="1" s="356">
      <c r="A45" s="366" t="inlineStr">
        <is>
          <t>Ta</t>
        </is>
      </c>
      <c r="B45" s="367" t="n"/>
      <c r="C45" s="368" t="n"/>
      <c r="D45" s="369" t="n">
        <v>1.4</v>
      </c>
      <c r="E45" s="369" t="n">
        <v>1.4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0.318</v>
      </c>
      <c r="K45" s="371" t="n">
        <v>18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6">
        <f>IF(L45=" "," ",L45*P45)</f>
        <v/>
      </c>
    </row>
    <row r="46" ht="9.75" customFormat="1" customHeight="1" s="356">
      <c r="A46" s="366" t="inlineStr">
        <is>
          <t>Ta</t>
        </is>
      </c>
      <c r="B46" s="367" t="n"/>
      <c r="C46" s="368" t="n"/>
      <c r="D46" s="369" t="n">
        <v>2.4</v>
      </c>
      <c r="E46" s="369" t="n">
        <v>5.7</v>
      </c>
      <c r="F46" s="370">
        <f>IF(D46=0," ",D46*E46)</f>
        <v/>
      </c>
      <c r="G46" s="371" t="n">
        <v>1</v>
      </c>
      <c r="H46" s="372" t="n"/>
      <c r="I46" s="370">
        <f>IF(F46=" "," ",F46*G46-H46)</f>
        <v/>
      </c>
      <c r="J46" s="369" t="n">
        <v>0.318</v>
      </c>
      <c r="K46" s="371" t="n">
        <v>18</v>
      </c>
      <c r="L46" s="373">
        <f>IF(I46=" "," ",I46*J46*K46)</f>
        <v/>
      </c>
      <c r="M46" s="374" t="n">
        <v>7</v>
      </c>
      <c r="N46" s="371" t="n">
        <v>0</v>
      </c>
      <c r="O46" s="374" t="n">
        <v>0</v>
      </c>
      <c r="P46" s="370">
        <f>IF(M46=" "," ",(1+(M46+N46+O46)/100))</f>
        <v/>
      </c>
      <c r="Q46" s="376">
        <f>IF(L46=" "," ",L46*P46)</f>
        <v/>
      </c>
    </row>
    <row r="47" ht="9.75" customFormat="1" customHeight="1" s="356">
      <c r="A47" s="377" t="n"/>
      <c r="B47" s="378" t="n"/>
      <c r="C47" s="378" t="n"/>
      <c r="D47" s="379" t="n"/>
      <c r="E47" s="379" t="n"/>
      <c r="F47" s="379">
        <f>IF(D47=0," ",D47*E47)</f>
        <v/>
      </c>
      <c r="G47" s="380" t="n"/>
      <c r="H47" s="379" t="n"/>
      <c r="I47" s="379">
        <f>IF(F47=" "," ",F47*G47-H47)</f>
        <v/>
      </c>
      <c r="J47" s="379" t="n"/>
      <c r="K47" s="380" t="n"/>
      <c r="L47" s="381" t="n"/>
      <c r="M47" s="382" t="n"/>
      <c r="N47" s="382" t="n"/>
      <c r="O47" s="382" t="n"/>
      <c r="P47" s="383" t="n"/>
      <c r="Q47" s="384">
        <f>SUM(Q40:Q46)</f>
        <v/>
      </c>
    </row>
    <row r="48" ht="9.75" customFormat="1" customHeight="1" s="385">
      <c r="A48" s="386" t="n"/>
      <c r="B48" s="387" t="n"/>
      <c r="C48" s="387" t="n"/>
      <c r="D48" s="388" t="n"/>
      <c r="E48" s="389" t="n"/>
      <c r="F48" s="390" t="n"/>
      <c r="G48" s="391" t="n"/>
      <c r="H48" s="390" t="n"/>
      <c r="I48" s="392" t="n"/>
      <c r="J48" s="393" t="inlineStr">
        <is>
          <t>Qs=</t>
        </is>
      </c>
      <c r="K48" s="392" t="inlineStr">
        <is>
          <t>S a</t>
        </is>
      </c>
      <c r="L48" s="390" t="inlineStr">
        <is>
          <t>L</t>
        </is>
      </c>
      <c r="M48" s="391" t="inlineStr">
        <is>
          <t>R</t>
        </is>
      </c>
      <c r="N48" s="394" t="inlineStr">
        <is>
          <t>H</t>
        </is>
      </c>
      <c r="O48" s="395" t="inlineStr">
        <is>
          <t>D  T</t>
        </is>
      </c>
      <c r="P48" s="391" t="inlineStr">
        <is>
          <t>Ze</t>
        </is>
      </c>
      <c r="Q48" s="396" t="n"/>
    </row>
    <row r="49" ht="9.75" customFormat="1" customHeight="1" s="385">
      <c r="A49" s="397" t="inlineStr">
        <is>
          <t xml:space="preserve"> </t>
        </is>
      </c>
      <c r="C49" s="398" t="n"/>
      <c r="D49" s="398" t="n"/>
      <c r="E49" s="399" t="n"/>
      <c r="F49" s="400" t="n"/>
      <c r="G49" s="401" t="n"/>
      <c r="H49" s="402" t="n"/>
      <c r="I49" s="403" t="n"/>
      <c r="J49" s="404" t="inlineStr">
        <is>
          <t>Qs  =</t>
        </is>
      </c>
      <c r="K49" s="405" t="n">
        <v>2</v>
      </c>
      <c r="L49" s="405">
        <f>(D43+E43)*2*G43</f>
        <v/>
      </c>
      <c r="M49" s="405" t="n">
        <v>0.9</v>
      </c>
      <c r="N49" s="405" t="n">
        <v>0.67</v>
      </c>
      <c r="O49" s="382" t="n">
        <v>27</v>
      </c>
      <c r="P49" s="405" t="n">
        <v>1.2</v>
      </c>
      <c r="Q49" s="384">
        <f>K49*L49*M49*N49*O49*P49</f>
        <v/>
      </c>
    </row>
    <row r="50" ht="9.75" customFormat="1" customHeight="1" s="351">
      <c r="A50" s="406" t="n"/>
      <c r="B50" s="385" t="n"/>
      <c r="C50" s="398" t="n"/>
      <c r="D50" s="398" t="n"/>
      <c r="E50" s="416" t="n"/>
      <c r="G50" s="407" t="n"/>
      <c r="H50" s="398" t="n"/>
      <c r="I50" s="398" t="n"/>
      <c r="J50" s="398" t="n"/>
      <c r="K50" s="407" t="n"/>
      <c r="L50" s="408" t="n"/>
      <c r="M50" s="409" t="inlineStr">
        <is>
          <t xml:space="preserve">   TOPLAM ISI KAYBI =</t>
        </is>
      </c>
      <c r="N50" s="409" t="n"/>
      <c r="O50" s="410" t="n"/>
      <c r="P50" s="409" t="n"/>
      <c r="Q50" s="411">
        <f>Q47+Q49</f>
        <v/>
      </c>
    </row>
    <row r="51" ht="9.75" customFormat="1" customHeight="1" s="356">
      <c r="A51" s="412" t="n"/>
      <c r="B51" s="413" t="n"/>
      <c r="C51" s="413" t="n"/>
      <c r="D51" s="413" t="n"/>
      <c r="E51" s="413" t="n"/>
      <c r="F51" s="361" t="n">
        <v>1</v>
      </c>
      <c r="G51" s="414" t="inlineStr">
        <is>
          <t>0</t>
        </is>
      </c>
      <c r="H51" s="413" t="inlineStr">
        <is>
          <t>4</t>
        </is>
      </c>
      <c r="I51" s="414" t="inlineStr">
        <is>
          <t>ODA</t>
        </is>
      </c>
      <c r="J51" s="364" t="n"/>
      <c r="K51" s="413" t="inlineStr">
        <is>
          <t>20ºC</t>
        </is>
      </c>
      <c r="L51" s="413" t="n"/>
      <c r="M51" s="413" t="n"/>
      <c r="N51" s="413" t="n"/>
      <c r="O51" s="413" t="n"/>
      <c r="P51" s="413" t="n"/>
      <c r="Q51" s="415" t="n"/>
    </row>
    <row r="52" ht="9.75" customFormat="1" customHeight="1" s="356">
      <c r="A52" s="366" t="inlineStr">
        <is>
          <t>DD</t>
        </is>
      </c>
      <c r="B52" s="367" t="inlineStr">
        <is>
          <t>G</t>
        </is>
      </c>
      <c r="C52" s="368" t="n"/>
      <c r="D52" s="369" t="n">
        <v>3.45</v>
      </c>
      <c r="E52" s="369" t="n">
        <v>2.8</v>
      </c>
      <c r="F52" s="370">
        <f>IF(D52=0," ",D52*E52)</f>
        <v/>
      </c>
      <c r="G52" s="371" t="n">
        <v>1</v>
      </c>
      <c r="H52" s="372">
        <f>F54*G54</f>
        <v/>
      </c>
      <c r="I52" s="370">
        <f>IF(F52=" "," ",F52*G52-H52)</f>
        <v/>
      </c>
      <c r="J52" s="369" t="n">
        <v>0.479</v>
      </c>
      <c r="K52" s="371" t="n">
        <v>29</v>
      </c>
      <c r="L52" s="373">
        <f>IF(I52=" "," ",I52*J52*K52)</f>
        <v/>
      </c>
      <c r="M52" s="374" t="n">
        <v>7</v>
      </c>
      <c r="N52" s="371" t="n">
        <v>0</v>
      </c>
      <c r="O52" s="374" t="n">
        <v>-5</v>
      </c>
      <c r="P52" s="370">
        <f>IF(M52=" "," ",(1+(M52+N52+O52)/100))</f>
        <v/>
      </c>
      <c r="Q52" s="375">
        <f>IF(L52=" "," ",L52*P52)</f>
        <v/>
      </c>
    </row>
    <row r="53" ht="9.75" customFormat="1" customHeight="1" s="356">
      <c r="A53" s="366" t="inlineStr">
        <is>
          <t>DD25</t>
        </is>
      </c>
      <c r="B53" s="367" t="inlineStr">
        <is>
          <t>G</t>
        </is>
      </c>
      <c r="C53" s="368" t="n"/>
      <c r="D53" s="369">
        <f>D52</f>
        <v/>
      </c>
      <c r="E53" s="369" t="n">
        <v>0.37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0.577</v>
      </c>
      <c r="K53" s="371" t="n">
        <v>29</v>
      </c>
      <c r="L53" s="373">
        <f>IF(I53=" "," ",I53*J53*K53)</f>
        <v/>
      </c>
      <c r="M53" s="374" t="n">
        <v>7</v>
      </c>
      <c r="N53" s="371" t="n">
        <v>0</v>
      </c>
      <c r="O53" s="374" t="n">
        <v>-5</v>
      </c>
      <c r="P53" s="370">
        <f>IF(M53=" "," ",(1+(M53+N53+O53)/100))</f>
        <v/>
      </c>
      <c r="Q53" s="375">
        <f>IF(L53=" "," ",L53*P53)</f>
        <v/>
      </c>
    </row>
    <row r="54" ht="9.75" customFormat="1" customHeight="1" s="356">
      <c r="A54" s="366" t="inlineStr">
        <is>
          <t>ÇP</t>
        </is>
      </c>
      <c r="B54" s="367" t="inlineStr">
        <is>
          <t>G</t>
        </is>
      </c>
      <c r="C54" s="368" t="n"/>
      <c r="D54" s="369" t="n">
        <v>1.8</v>
      </c>
      <c r="E54" s="369" t="n">
        <v>2.8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2.4</v>
      </c>
      <c r="K54" s="371" t="n">
        <v>29</v>
      </c>
      <c r="L54" s="373">
        <f>IF(I54=" "," ",I54*J54*K54)</f>
        <v/>
      </c>
      <c r="M54" s="374" t="n">
        <v>7</v>
      </c>
      <c r="N54" s="371" t="n">
        <v>0</v>
      </c>
      <c r="O54" s="374" t="n">
        <v>-5</v>
      </c>
      <c r="P54" s="370">
        <f>IF(M54=" "," ",(1+(M54+N54+O54)/100))</f>
        <v/>
      </c>
      <c r="Q54" s="376">
        <f>IF(L54=" "," ",L54*P54)</f>
        <v/>
      </c>
    </row>
    <row r="55" ht="9.75" customFormat="1" customHeight="1" s="356">
      <c r="A55" s="366" t="inlineStr">
        <is>
          <t>DD30</t>
        </is>
      </c>
      <c r="B55" s="367" t="inlineStr">
        <is>
          <t>G</t>
        </is>
      </c>
      <c r="C55" s="368" t="n"/>
      <c r="D55" s="369" t="n">
        <v>0.35</v>
      </c>
      <c r="E55" s="369" t="n">
        <v>3.17</v>
      </c>
      <c r="F55" s="370">
        <f>IF(D55=0," ",D55*E55)</f>
        <v/>
      </c>
      <c r="G55" s="371" t="n">
        <v>1</v>
      </c>
      <c r="H55" s="372" t="n"/>
      <c r="I55" s="370">
        <f>IF(F55=" "," ",F55*G55-H55)</f>
        <v/>
      </c>
      <c r="J55" s="369" t="n">
        <v>0.57</v>
      </c>
      <c r="K55" s="371" t="n">
        <v>29</v>
      </c>
      <c r="L55" s="373">
        <f>IF(I55=" "," ",I55*J55*K55)</f>
        <v/>
      </c>
      <c r="M55" s="374" t="n">
        <v>7</v>
      </c>
      <c r="N55" s="371" t="n">
        <v>0</v>
      </c>
      <c r="O55" s="374" t="n">
        <v>-5</v>
      </c>
      <c r="P55" s="370">
        <f>IF(M55=" "," ",(1+(M55+N55+O55)/100))</f>
        <v/>
      </c>
      <c r="Q55" s="375">
        <f>IF(L55=" "," ",L55*P55)</f>
        <v/>
      </c>
    </row>
    <row r="56" ht="9.75" customFormat="1" customHeight="1" s="356">
      <c r="A56" s="366" t="inlineStr">
        <is>
          <t>DD</t>
        </is>
      </c>
      <c r="B56" s="367" t="inlineStr">
        <is>
          <t>B</t>
        </is>
      </c>
      <c r="C56" s="368" t="n"/>
      <c r="D56" s="369" t="n">
        <v>3.95</v>
      </c>
      <c r="E56" s="369" t="n">
        <v>2.3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0.479</v>
      </c>
      <c r="K56" s="371" t="n">
        <v>29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75" customFormat="1" customHeight="1" s="356">
      <c r="A57" s="366" t="inlineStr">
        <is>
          <t>DD25</t>
        </is>
      </c>
      <c r="B57" s="367" t="inlineStr">
        <is>
          <t>B</t>
        </is>
      </c>
      <c r="C57" s="368" t="n"/>
      <c r="D57" s="369">
        <f>D56</f>
        <v/>
      </c>
      <c r="E57" s="369" t="n">
        <v>0.37</v>
      </c>
      <c r="F57" s="370">
        <f>IF(D57=0," ",D57*E57)</f>
        <v/>
      </c>
      <c r="G57" s="371" t="n">
        <v>1</v>
      </c>
      <c r="H57" s="372" t="n"/>
      <c r="I57" s="370">
        <f>IF(F57=" "," ",F57*G57-H57)</f>
        <v/>
      </c>
      <c r="J57" s="369" t="n">
        <v>0.577</v>
      </c>
      <c r="K57" s="371" t="n">
        <v>29</v>
      </c>
      <c r="L57" s="373">
        <f>IF(I57=" "," ",I57*J57*K57)</f>
        <v/>
      </c>
      <c r="M57" s="374" t="n">
        <v>7</v>
      </c>
      <c r="N57" s="371" t="n">
        <v>0</v>
      </c>
      <c r="O57" s="374" t="n">
        <v>0</v>
      </c>
      <c r="P57" s="370">
        <f>IF(M57=" "," ",(1+(M57+N57+O57)/100))</f>
        <v/>
      </c>
      <c r="Q57" s="375">
        <f>IF(L57=" "," ",L57*P57)</f>
        <v/>
      </c>
    </row>
    <row r="58" ht="9.75" customFormat="1" customHeight="1" s="356">
      <c r="A58" s="366" t="inlineStr">
        <is>
          <t>DD</t>
        </is>
      </c>
      <c r="B58" s="367" t="inlineStr">
        <is>
          <t>K</t>
        </is>
      </c>
      <c r="C58" s="368" t="n"/>
      <c r="D58" s="369" t="n">
        <v>0.85</v>
      </c>
      <c r="E58" s="369" t="n">
        <v>2.8</v>
      </c>
      <c r="F58" s="370">
        <f>IF(D58=0," ",D58*E58)</f>
        <v/>
      </c>
      <c r="G58" s="371" t="n">
        <v>1</v>
      </c>
      <c r="H58" s="372" t="n"/>
      <c r="I58" s="370">
        <f>IF(F58=" "," ",F58*G58-H58)</f>
        <v/>
      </c>
      <c r="J58" s="369" t="n">
        <v>0.479</v>
      </c>
      <c r="K58" s="371" t="n">
        <v>29</v>
      </c>
      <c r="L58" s="373">
        <f>IF(I58=" "," ",I58*J58*K58)</f>
        <v/>
      </c>
      <c r="M58" s="374" t="n">
        <v>7</v>
      </c>
      <c r="N58" s="371" t="n">
        <v>0</v>
      </c>
      <c r="O58" s="374" t="n">
        <v>5</v>
      </c>
      <c r="P58" s="370">
        <f>IF(M58=" "," ",(1+(M58+N58+O58)/100))</f>
        <v/>
      </c>
      <c r="Q58" s="375">
        <f>IF(L58=" "," ",L58*P58)</f>
        <v/>
      </c>
    </row>
    <row r="59" ht="9.75" customFormat="1" customHeight="1" s="356">
      <c r="A59" s="366" t="inlineStr">
        <is>
          <t>DD25</t>
        </is>
      </c>
      <c r="B59" s="367" t="inlineStr">
        <is>
          <t>K</t>
        </is>
      </c>
      <c r="C59" s="368" t="n"/>
      <c r="D59" s="369">
        <f>D58</f>
        <v/>
      </c>
      <c r="E59" s="369" t="n">
        <v>0.37</v>
      </c>
      <c r="F59" s="370">
        <f>IF(D59=0," ",D59*E59)</f>
        <v/>
      </c>
      <c r="G59" s="371" t="n">
        <v>1</v>
      </c>
      <c r="H59" s="372" t="n"/>
      <c r="I59" s="370">
        <f>IF(F59=" "," ",F59*G59-H59)</f>
        <v/>
      </c>
      <c r="J59" s="369" t="n">
        <v>0.577</v>
      </c>
      <c r="K59" s="371" t="n">
        <v>29</v>
      </c>
      <c r="L59" s="373">
        <f>IF(I59=" "," ",I59*J59*K59)</f>
        <v/>
      </c>
      <c r="M59" s="374" t="n">
        <v>7</v>
      </c>
      <c r="N59" s="371" t="n">
        <v>0</v>
      </c>
      <c r="O59" s="374" t="n">
        <v>5</v>
      </c>
      <c r="P59" s="370">
        <f>IF(M59=" "," ",(1+(M59+N59+O59)/100))</f>
        <v/>
      </c>
      <c r="Q59" s="375">
        <f>IF(L59=" "," ",L59*P59)</f>
        <v/>
      </c>
    </row>
    <row r="60" ht="9.75" customFormat="1" customHeight="1" s="356">
      <c r="A60" s="366" t="inlineStr">
        <is>
          <t>DöAG</t>
        </is>
      </c>
      <c r="B60" s="367" t="n"/>
      <c r="C60" s="368" t="n"/>
      <c r="D60" s="369" t="n">
        <v>3.95</v>
      </c>
      <c r="E60" s="369" t="n">
        <v>0.85</v>
      </c>
      <c r="F60" s="370">
        <f>IF(D60=0," ",D60*E60)</f>
        <v/>
      </c>
      <c r="G60" s="371" t="n">
        <v>1</v>
      </c>
      <c r="H60" s="372" t="n"/>
      <c r="I60" s="370">
        <f>IF(F60=" "," ",F60*G60-H60)</f>
        <v/>
      </c>
      <c r="J60" s="369" t="n">
        <v>0.327</v>
      </c>
      <c r="K60" s="371" t="n">
        <v>29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6">
        <f>IF(L60=" "," ",L60*P60)</f>
        <v/>
      </c>
    </row>
    <row r="61" ht="9.75" customFormat="1" customHeight="1" s="356">
      <c r="A61" s="366" t="inlineStr">
        <is>
          <t>Ta</t>
        </is>
      </c>
      <c r="B61" s="367" t="n"/>
      <c r="C61" s="368" t="n"/>
      <c r="D61" s="369" t="n">
        <v>3.95</v>
      </c>
      <c r="E61" s="369" t="n">
        <v>3.8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0.318</v>
      </c>
      <c r="K61" s="371" t="n">
        <v>20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6">
        <f>IF(L61=" "," ",L61*P61)</f>
        <v/>
      </c>
    </row>
    <row r="62" ht="9.75" customFormat="1" customHeight="1" s="356">
      <c r="A62" s="377" t="n"/>
      <c r="B62" s="378" t="n"/>
      <c r="C62" s="378" t="n"/>
      <c r="D62" s="379" t="n"/>
      <c r="E62" s="379" t="n"/>
      <c r="F62" s="379">
        <f>IF(D62=0," ",D62*E62)</f>
        <v/>
      </c>
      <c r="G62" s="380" t="n"/>
      <c r="H62" s="379" t="n"/>
      <c r="I62" s="379">
        <f>IF(F62=" "," ",F62*G62-H62)</f>
        <v/>
      </c>
      <c r="J62" s="379" t="n"/>
      <c r="K62" s="380" t="n"/>
      <c r="L62" s="381" t="n"/>
      <c r="M62" s="382" t="n"/>
      <c r="N62" s="382" t="n"/>
      <c r="O62" s="382" t="n"/>
      <c r="P62" s="383" t="n"/>
      <c r="Q62" s="384">
        <f>SUM(Q52:Q61)</f>
        <v/>
      </c>
    </row>
    <row r="63" ht="9.75" customFormat="1" customHeight="1" s="385">
      <c r="A63" s="386" t="n"/>
      <c r="B63" s="387" t="n"/>
      <c r="C63" s="387" t="n"/>
      <c r="D63" s="388" t="n"/>
      <c r="E63" s="389" t="n"/>
      <c r="F63" s="390" t="n"/>
      <c r="G63" s="391" t="n"/>
      <c r="H63" s="390" t="n"/>
      <c r="I63" s="392" t="n"/>
      <c r="J63" s="393" t="inlineStr">
        <is>
          <t>Qs=</t>
        </is>
      </c>
      <c r="K63" s="392" t="inlineStr">
        <is>
          <t>S a</t>
        </is>
      </c>
      <c r="L63" s="390" t="inlineStr">
        <is>
          <t>L</t>
        </is>
      </c>
      <c r="M63" s="391" t="inlineStr">
        <is>
          <t>R</t>
        </is>
      </c>
      <c r="N63" s="394" t="inlineStr">
        <is>
          <t>H</t>
        </is>
      </c>
      <c r="O63" s="395" t="inlineStr">
        <is>
          <t>D  T</t>
        </is>
      </c>
      <c r="P63" s="391" t="inlineStr">
        <is>
          <t>Ze</t>
        </is>
      </c>
      <c r="Q63" s="396" t="n"/>
    </row>
    <row r="64" ht="9.75" customFormat="1" customHeight="1" s="385">
      <c r="A64" s="397" t="inlineStr">
        <is>
          <t xml:space="preserve"> </t>
        </is>
      </c>
      <c r="C64" s="398" t="n"/>
      <c r="D64" s="398" t="n"/>
      <c r="E64" s="399" t="n"/>
      <c r="F64" s="400" t="n"/>
      <c r="G64" s="401" t="n"/>
      <c r="H64" s="402" t="n"/>
      <c r="I64" s="403" t="n"/>
      <c r="J64" s="404" t="inlineStr">
        <is>
          <t>Qs  =</t>
        </is>
      </c>
      <c r="K64" s="405" t="n">
        <v>2</v>
      </c>
      <c r="L64" s="405">
        <f>(D54+E54)*2*G54</f>
        <v/>
      </c>
      <c r="M64" s="405" t="n">
        <v>0.9</v>
      </c>
      <c r="N64" s="405" t="n">
        <v>0.67</v>
      </c>
      <c r="O64" s="382" t="n">
        <v>29</v>
      </c>
      <c r="P64" s="405" t="n">
        <v>1.2</v>
      </c>
      <c r="Q64" s="384">
        <f>K64*L64*M64*N64*O64*P64</f>
        <v/>
      </c>
    </row>
    <row r="65" ht="9.75" customFormat="1" customHeight="1" s="351">
      <c r="A65" s="406" t="n"/>
      <c r="B65" s="385" t="n"/>
      <c r="C65" s="398" t="n"/>
      <c r="D65" s="398" t="n"/>
      <c r="E65" s="416" t="n"/>
      <c r="G65" s="407" t="n"/>
      <c r="H65" s="398" t="n"/>
      <c r="I65" s="398" t="n"/>
      <c r="J65" s="398" t="n"/>
      <c r="K65" s="407" t="n"/>
      <c r="L65" s="408" t="n"/>
      <c r="M65" s="409" t="inlineStr">
        <is>
          <t xml:space="preserve">   TOPLAM ISI KAYBI =</t>
        </is>
      </c>
      <c r="N65" s="409" t="n"/>
      <c r="O65" s="410" t="n"/>
      <c r="P65" s="409" t="n"/>
      <c r="Q65" s="411">
        <f>Q62+Q64</f>
        <v/>
      </c>
    </row>
    <row r="66" ht="9.75" customFormat="1" customHeight="1" s="356">
      <c r="A66" s="412" t="n"/>
      <c r="B66" s="413" t="n"/>
      <c r="C66" s="413" t="n"/>
      <c r="D66" s="413" t="n"/>
      <c r="E66" s="413" t="n"/>
      <c r="F66" s="361" t="n">
        <v>1</v>
      </c>
      <c r="G66" s="414" t="inlineStr">
        <is>
          <t>0</t>
        </is>
      </c>
      <c r="H66" s="413" t="inlineStr">
        <is>
          <t>5</t>
        </is>
      </c>
      <c r="I66" s="414" t="inlineStr">
        <is>
          <t>BANYO</t>
        </is>
      </c>
      <c r="J66" s="364" t="n"/>
      <c r="K66" s="413" t="inlineStr">
        <is>
          <t>26ºC</t>
        </is>
      </c>
      <c r="L66" s="413" t="n"/>
      <c r="M66" s="413" t="n"/>
      <c r="N66" s="413" t="n"/>
      <c r="O66" s="413" t="n"/>
      <c r="P66" s="413" t="n"/>
      <c r="Q66" s="415" t="n"/>
    </row>
    <row r="67" ht="9.75" customFormat="1" customHeight="1" s="356">
      <c r="A67" s="366" t="inlineStr">
        <is>
          <t>DD</t>
        </is>
      </c>
      <c r="B67" s="367" t="inlineStr">
        <is>
          <t>G</t>
        </is>
      </c>
      <c r="C67" s="368" t="n"/>
      <c r="D67" s="369" t="n">
        <v>2.6</v>
      </c>
      <c r="E67" s="369" t="n">
        <v>2.8</v>
      </c>
      <c r="F67" s="370">
        <f>IF(D67=0," ",D67*E67)</f>
        <v/>
      </c>
      <c r="G67" s="371" t="n">
        <v>1</v>
      </c>
      <c r="H67" s="372">
        <f>F69*G69</f>
        <v/>
      </c>
      <c r="I67" s="370">
        <f>IF(F67=" "," ",F67*G67-H67)</f>
        <v/>
      </c>
      <c r="J67" s="369" t="n">
        <v>0.479</v>
      </c>
      <c r="K67" s="371" t="n">
        <v>35</v>
      </c>
      <c r="L67" s="373">
        <f>IF(I67=" "," ",I67*J67*K67)</f>
        <v/>
      </c>
      <c r="M67" s="374" t="n">
        <v>7</v>
      </c>
      <c r="N67" s="371" t="n">
        <v>0</v>
      </c>
      <c r="O67" s="374" t="n">
        <v>-5</v>
      </c>
      <c r="P67" s="370">
        <f>IF(M67=" "," ",(1+(M67+N67+O67)/100))</f>
        <v/>
      </c>
      <c r="Q67" s="375">
        <f>IF(L67=" "," ",L67*P67)</f>
        <v/>
      </c>
    </row>
    <row r="68" ht="9.75" customFormat="1" customHeight="1" s="356">
      <c r="A68" s="366" t="inlineStr">
        <is>
          <t>DD25</t>
        </is>
      </c>
      <c r="B68" s="367" t="inlineStr">
        <is>
          <t>G</t>
        </is>
      </c>
      <c r="C68" s="368" t="n"/>
      <c r="D68" s="369">
        <f>D67</f>
        <v/>
      </c>
      <c r="E68" s="369" t="n">
        <v>0.37</v>
      </c>
      <c r="F68" s="370">
        <f>IF(D68=0," ",D68*E68)</f>
        <v/>
      </c>
      <c r="G68" s="371" t="n">
        <v>1</v>
      </c>
      <c r="H68" s="372" t="n"/>
      <c r="I68" s="370">
        <f>IF(F68=" "," ",F68*G68-H68)</f>
        <v/>
      </c>
      <c r="J68" s="369" t="n">
        <v>0.577</v>
      </c>
      <c r="K68" s="371" t="n">
        <v>35</v>
      </c>
      <c r="L68" s="373">
        <f>IF(I68=" "," ",I68*J68*K68)</f>
        <v/>
      </c>
      <c r="M68" s="374" t="n">
        <v>7</v>
      </c>
      <c r="N68" s="371" t="n">
        <v>0</v>
      </c>
      <c r="O68" s="374" t="n">
        <v>-5</v>
      </c>
      <c r="P68" s="370">
        <f>IF(M68=" "," ",(1+(M68+N68+O68)/100))</f>
        <v/>
      </c>
      <c r="Q68" s="375">
        <f>IF(L68=" "," ",L68*P68)</f>
        <v/>
      </c>
    </row>
    <row r="69" ht="9.75" customFormat="1" customHeight="1" s="356">
      <c r="A69" s="366" t="inlineStr">
        <is>
          <t>ÇP</t>
        </is>
      </c>
      <c r="B69" s="367" t="inlineStr">
        <is>
          <t>G</t>
        </is>
      </c>
      <c r="C69" s="368" t="n"/>
      <c r="D69" s="369" t="n">
        <v>0.6</v>
      </c>
      <c r="E69" s="369" t="n">
        <v>0.6</v>
      </c>
      <c r="F69" s="370">
        <f>IF(D69=0," ",D69*E69)</f>
        <v/>
      </c>
      <c r="G69" s="371" t="n">
        <v>1</v>
      </c>
      <c r="H69" s="372" t="n"/>
      <c r="I69" s="370">
        <f>IF(F69=" "," ",F69*G69-H69)</f>
        <v/>
      </c>
      <c r="J69" s="369" t="n">
        <v>2.4</v>
      </c>
      <c r="K69" s="371" t="n">
        <v>35</v>
      </c>
      <c r="L69" s="373">
        <f>IF(I69=" "," ",I69*J69*K69)</f>
        <v/>
      </c>
      <c r="M69" s="374" t="n">
        <v>7</v>
      </c>
      <c r="N69" s="371" t="n">
        <v>0</v>
      </c>
      <c r="O69" s="374" t="n">
        <v>-5</v>
      </c>
      <c r="P69" s="370">
        <f>IF(M69=" "," ",(1+(M69+N69+O69)/100))</f>
        <v/>
      </c>
      <c r="Q69" s="376">
        <f>IF(L69=" "," ",L69*P69)</f>
        <v/>
      </c>
    </row>
    <row r="70" ht="9.75" customFormat="1" customHeight="1" s="356">
      <c r="A70" s="366" t="inlineStr">
        <is>
          <t>DD30</t>
        </is>
      </c>
      <c r="B70" s="367" t="inlineStr">
        <is>
          <t>G</t>
        </is>
      </c>
      <c r="C70" s="368" t="n"/>
      <c r="D70" s="369" t="n">
        <v>0.2</v>
      </c>
      <c r="E70" s="369" t="n">
        <v>3.17</v>
      </c>
      <c r="F70" s="370">
        <f>IF(D70=0," ",D70*E70)</f>
        <v/>
      </c>
      <c r="G70" s="371" t="n">
        <v>1</v>
      </c>
      <c r="H70" s="372" t="n"/>
      <c r="I70" s="370">
        <f>IF(F70=" "," ",F70*G70-H70)</f>
        <v/>
      </c>
      <c r="J70" s="369" t="n">
        <v>0.57</v>
      </c>
      <c r="K70" s="371" t="n">
        <v>35</v>
      </c>
      <c r="L70" s="373">
        <f>IF(I70=" "," ",I70*J70*K70)</f>
        <v/>
      </c>
      <c r="M70" s="374" t="n">
        <v>7</v>
      </c>
      <c r="N70" s="371" t="n">
        <v>0</v>
      </c>
      <c r="O70" s="374" t="n">
        <v>-5</v>
      </c>
      <c r="P70" s="370">
        <f>IF(M70=" "," ",(1+(M70+N70+O70)/100))</f>
        <v/>
      </c>
      <c r="Q70" s="375">
        <f>IF(L70=" "," ",L70*P70)</f>
        <v/>
      </c>
    </row>
    <row r="71" ht="9.75" customFormat="1" customHeight="1" s="356">
      <c r="A71" s="366" t="inlineStr">
        <is>
          <t>İD</t>
        </is>
      </c>
      <c r="B71" s="367" t="n"/>
      <c r="C71" s="368" t="n"/>
      <c r="D71" s="369" t="n">
        <v>2.7</v>
      </c>
      <c r="E71" s="369" t="n">
        <v>3.17</v>
      </c>
      <c r="F71" s="370">
        <f>IF(D71=0," ",D71*E71)</f>
        <v/>
      </c>
      <c r="G71" s="371" t="n">
        <v>1</v>
      </c>
      <c r="H71" s="372">
        <f>F72*G72</f>
        <v/>
      </c>
      <c r="I71" s="370">
        <f>IF(F71=" "," ",F71*G71-H71)</f>
        <v/>
      </c>
      <c r="J71" s="369" t="n">
        <v>0.8139999999999999</v>
      </c>
      <c r="K71" s="371" t="n">
        <v>8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75" customFormat="1" customHeight="1" s="356">
      <c r="A72" s="366" t="inlineStr">
        <is>
          <t>İK</t>
        </is>
      </c>
      <c r="B72" s="367" t="n"/>
      <c r="C72" s="368" t="n"/>
      <c r="D72" s="369" t="n">
        <v>0.8</v>
      </c>
      <c r="E72" s="369" t="n">
        <v>2.2</v>
      </c>
      <c r="F72" s="370">
        <f>D72*E72</f>
        <v/>
      </c>
      <c r="G72" s="371" t="n">
        <v>1</v>
      </c>
      <c r="H72" s="372" t="n"/>
      <c r="I72" s="370">
        <f>IF(F72=" "," ",F72*G72-H72)</f>
        <v/>
      </c>
      <c r="J72" s="369" t="n">
        <v>3.5</v>
      </c>
      <c r="K72" s="371" t="n">
        <v>8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6">
        <f>IF(L72=" "," ",L72*P72)</f>
        <v/>
      </c>
    </row>
    <row r="73" ht="9.75" customFormat="1" customHeight="1" s="356">
      <c r="A73" s="366" t="inlineStr">
        <is>
          <t>İD</t>
        </is>
      </c>
      <c r="B73" s="367" t="n"/>
      <c r="C73" s="368" t="n"/>
      <c r="D73" s="369" t="n">
        <v>3.4</v>
      </c>
      <c r="E73" s="369" t="n">
        <v>3.17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0.8139999999999999</v>
      </c>
      <c r="K73" s="371" t="n">
        <v>6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75" customFormat="1" customHeight="1" s="356">
      <c r="A74" s="366" t="inlineStr">
        <is>
          <t>Ta</t>
        </is>
      </c>
      <c r="B74" s="367" t="n"/>
      <c r="C74" s="368" t="n"/>
      <c r="D74" s="369" t="n">
        <v>2.8</v>
      </c>
      <c r="E74" s="369" t="n">
        <v>2.8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0.318</v>
      </c>
      <c r="K74" s="371" t="n">
        <v>26</v>
      </c>
      <c r="L74" s="373">
        <f>IF(I74=" "," ",I74*J74*K74)</f>
        <v/>
      </c>
      <c r="M74" s="374" t="n">
        <v>7</v>
      </c>
      <c r="N74" s="371" t="n">
        <v>0</v>
      </c>
      <c r="O74" s="374" t="n">
        <v>0</v>
      </c>
      <c r="P74" s="370">
        <f>IF(M74=" "," ",(1+(M74+N74+O74)/100))</f>
        <v/>
      </c>
      <c r="Q74" s="376">
        <f>IF(L74=" "," ",L74*P74)</f>
        <v/>
      </c>
    </row>
    <row r="75" ht="9.75" customFormat="1" customHeight="1" s="356">
      <c r="A75" s="377" t="n"/>
      <c r="B75" s="378" t="n"/>
      <c r="C75" s="378" t="n"/>
      <c r="D75" s="379" t="n"/>
      <c r="E75" s="379" t="n"/>
      <c r="F75" s="379">
        <f>IF(D75=0," ",D75*E75)</f>
        <v/>
      </c>
      <c r="G75" s="380" t="n"/>
      <c r="H75" s="379" t="n"/>
      <c r="I75" s="379">
        <f>IF(F75=" "," ",F75*G75-H75)</f>
        <v/>
      </c>
      <c r="J75" s="379" t="n"/>
      <c r="K75" s="380" t="n"/>
      <c r="L75" s="381" t="n"/>
      <c r="M75" s="382" t="n"/>
      <c r="N75" s="382" t="n"/>
      <c r="O75" s="382" t="n"/>
      <c r="P75" s="383" t="n"/>
      <c r="Q75" s="384">
        <f>SUM(Q67:Q74)</f>
        <v/>
      </c>
    </row>
    <row r="76" ht="9.75" customFormat="1" customHeight="1" s="385">
      <c r="A76" s="386" t="n"/>
      <c r="B76" s="387" t="n"/>
      <c r="C76" s="387" t="n"/>
      <c r="D76" s="388" t="n"/>
      <c r="E76" s="389" t="n"/>
      <c r="F76" s="390" t="n"/>
      <c r="G76" s="391" t="n"/>
      <c r="H76" s="390" t="n"/>
      <c r="I76" s="392" t="n"/>
      <c r="J76" s="393" t="inlineStr">
        <is>
          <t>Qs=</t>
        </is>
      </c>
      <c r="K76" s="392" t="inlineStr">
        <is>
          <t>S a</t>
        </is>
      </c>
      <c r="L76" s="390" t="inlineStr">
        <is>
          <t>L</t>
        </is>
      </c>
      <c r="M76" s="391" t="inlineStr">
        <is>
          <t>R</t>
        </is>
      </c>
      <c r="N76" s="394" t="inlineStr">
        <is>
          <t>H</t>
        </is>
      </c>
      <c r="O76" s="395" t="inlineStr">
        <is>
          <t>D  T</t>
        </is>
      </c>
      <c r="P76" s="391" t="inlineStr">
        <is>
          <t>Ze</t>
        </is>
      </c>
      <c r="Q76" s="396" t="n"/>
    </row>
    <row r="77" ht="9.75" customFormat="1" customHeight="1" s="385">
      <c r="A77" s="397" t="inlineStr">
        <is>
          <t xml:space="preserve"> </t>
        </is>
      </c>
      <c r="C77" s="398" t="n"/>
      <c r="D77" s="398" t="n"/>
      <c r="E77" s="399" t="n"/>
      <c r="F77" s="400" t="n"/>
      <c r="G77" s="401" t="n"/>
      <c r="H77" s="402" t="n"/>
      <c r="I77" s="403" t="n"/>
      <c r="J77" s="404" t="inlineStr">
        <is>
          <t>Qs  =</t>
        </is>
      </c>
      <c r="K77" s="405" t="n">
        <v>2</v>
      </c>
      <c r="L77" s="405">
        <f>(D69+E69)*2*G69</f>
        <v/>
      </c>
      <c r="M77" s="405" t="n">
        <v>0.9</v>
      </c>
      <c r="N77" s="405" t="n">
        <v>0.67</v>
      </c>
      <c r="O77" s="382" t="n">
        <v>35</v>
      </c>
      <c r="P77" s="405" t="n">
        <v>1</v>
      </c>
      <c r="Q77" s="384">
        <f>K77*L77*M77*N77*O77*P77</f>
        <v/>
      </c>
    </row>
    <row r="78" ht="9.75" customFormat="1" customHeight="1" s="351">
      <c r="A78" s="406" t="n"/>
      <c r="B78" s="385" t="n"/>
      <c r="C78" s="398" t="n"/>
      <c r="D78" s="398" t="n"/>
      <c r="E78" s="379" t="n"/>
      <c r="F78" s="256" t="n"/>
      <c r="G78" s="407" t="n"/>
      <c r="H78" s="398" t="n"/>
      <c r="I78" s="398" t="n"/>
      <c r="J78" s="398" t="n"/>
      <c r="K78" s="407" t="n"/>
      <c r="L78" s="408" t="n"/>
      <c r="M78" s="409" t="inlineStr">
        <is>
          <t xml:space="preserve">   TOPLAM ISI KAYBI =</t>
        </is>
      </c>
      <c r="N78" s="409" t="n"/>
      <c r="O78" s="410" t="n"/>
      <c r="P78" s="409" t="n"/>
      <c r="Q78" s="411">
        <f>Q75+Q77</f>
        <v/>
      </c>
    </row>
    <row r="84" ht="9.75" customFormat="1" customHeight="1" s="329">
      <c r="A84" s="330" t="n"/>
      <c r="B84" s="331" t="n"/>
      <c r="C84" s="331" t="n"/>
      <c r="D84" s="331" t="n"/>
      <c r="E84" s="331" t="n"/>
      <c r="F84" s="332" t="n"/>
      <c r="G84" s="333" t="n"/>
      <c r="H84" s="334" t="inlineStr">
        <is>
          <t>ISI  KAYBI  HESABI</t>
        </is>
      </c>
      <c r="I84" s="333" t="n"/>
      <c r="J84" s="333" t="n"/>
      <c r="K84" s="331" t="n"/>
      <c r="L84" s="335" t="n"/>
      <c r="M84" s="331" t="n"/>
      <c r="N84" s="336" t="inlineStr">
        <is>
          <t>Kat :</t>
        </is>
      </c>
      <c r="O84" s="337" t="inlineStr">
        <is>
          <t>1 NK</t>
        </is>
      </c>
      <c r="P84" s="337" t="inlineStr">
        <is>
          <t>Tarih</t>
        </is>
      </c>
      <c r="Q84" s="338">
        <f>Q1</f>
        <v/>
      </c>
    </row>
    <row r="85" ht="10.5" customFormat="1" customHeight="1" s="339">
      <c r="A85" s="340" t="n"/>
      <c r="F85" s="341" t="inlineStr">
        <is>
          <t xml:space="preserve">   PROJE ADI :</t>
        </is>
      </c>
      <c r="G85" s="342" t="n"/>
      <c r="H85" s="343">
        <f>H2</f>
        <v/>
      </c>
      <c r="I85" s="343" t="n"/>
      <c r="J85" s="343" t="n"/>
      <c r="K85" s="344" t="n"/>
      <c r="L85" s="345" t="n"/>
      <c r="N85" s="346" t="inlineStr">
        <is>
          <t xml:space="preserve">  Sayfa :</t>
        </is>
      </c>
      <c r="O85" s="347" t="n">
        <v>6</v>
      </c>
      <c r="P85" s="347" t="n"/>
      <c r="Q85" s="347" t="n"/>
    </row>
    <row r="86" ht="8.25" customFormat="1" customHeight="1" s="339">
      <c r="A86" s="348" t="inlineStr">
        <is>
          <t xml:space="preserve"> Yapı Bileşeni</t>
        </is>
      </c>
      <c r="B86" s="264" t="n"/>
      <c r="C86" s="264" t="n"/>
      <c r="D86" s="264" t="n"/>
      <c r="E86" s="349" t="inlineStr">
        <is>
          <t xml:space="preserve"> Alan Hesabı</t>
        </is>
      </c>
      <c r="F86" s="264" t="n"/>
      <c r="G86" s="264" t="n"/>
      <c r="H86" s="260" t="n"/>
      <c r="I86" s="350" t="inlineStr">
        <is>
          <t xml:space="preserve">                 Isı kaybı hesabı</t>
        </is>
      </c>
      <c r="J86" s="264" t="n"/>
      <c r="K86" s="264" t="n"/>
      <c r="L86" s="260" t="n"/>
      <c r="M86" s="350" t="inlineStr">
        <is>
          <t xml:space="preserve">            Zamlar</t>
        </is>
      </c>
      <c r="N86" s="264" t="n"/>
      <c r="O86" s="264" t="n"/>
      <c r="P86" s="260" t="n"/>
      <c r="Q86" s="350" t="inlineStr">
        <is>
          <t xml:space="preserve">Toplam </t>
        </is>
      </c>
    </row>
    <row r="87" ht="31.5" customFormat="1" customHeight="1" s="351">
      <c r="A87" s="352" t="inlineStr">
        <is>
          <t>İşaret</t>
        </is>
      </c>
      <c r="B87" s="352" t="inlineStr">
        <is>
          <t>Yön</t>
        </is>
      </c>
      <c r="C87" s="352" t="inlineStr">
        <is>
          <t>Kalınlık</t>
        </is>
      </c>
      <c r="D87" s="352" t="inlineStr">
        <is>
          <t>Uzunluk</t>
        </is>
      </c>
      <c r="E87" s="352" t="inlineStr">
        <is>
          <t>Yükseklik</t>
        </is>
      </c>
      <c r="F87" s="353" t="inlineStr">
        <is>
          <t xml:space="preserve">  Toplam Alan</t>
        </is>
      </c>
      <c r="G87" s="352" t="inlineStr">
        <is>
          <t>Miktar</t>
        </is>
      </c>
      <c r="H87" s="353" t="inlineStr">
        <is>
          <t>Çıkarıla alan</t>
        </is>
      </c>
      <c r="I87" s="353" t="inlineStr">
        <is>
          <t>Hesaba giren Alan</t>
        </is>
      </c>
      <c r="J87" s="353" t="inlineStr">
        <is>
          <t xml:space="preserve">    Isı İletim Katsayısı</t>
        </is>
      </c>
      <c r="K87" s="353" t="inlineStr">
        <is>
          <t xml:space="preserve">Sıcaklık Farkı </t>
        </is>
      </c>
      <c r="L87" s="353" t="inlineStr">
        <is>
          <t>Zamsız Isı Kaybı</t>
        </is>
      </c>
      <c r="M87" s="352" t="inlineStr">
        <is>
          <t>İşletme</t>
        </is>
      </c>
      <c r="N87" s="352" t="inlineStr">
        <is>
          <t>Kat Yük.</t>
        </is>
      </c>
      <c r="O87" s="352" t="inlineStr">
        <is>
          <t>Yön</t>
        </is>
      </c>
      <c r="P87" s="352" t="inlineStr">
        <is>
          <t>Toplam</t>
        </is>
      </c>
      <c r="Q87" s="353" t="inlineStr">
        <is>
          <t>Toplam Is
ı İhtiyacı</t>
        </is>
      </c>
    </row>
    <row r="88" ht="9.75" customFormat="1" customHeight="1" s="351">
      <c r="A88" s="354" t="n"/>
      <c r="B88" s="354" t="n"/>
      <c r="C88" s="354" t="n"/>
      <c r="D88" s="354" t="n"/>
      <c r="E88" s="354" t="n"/>
      <c r="F88" s="354" t="inlineStr">
        <is>
          <t>[Ao]</t>
        </is>
      </c>
      <c r="G88" s="354" t="n"/>
      <c r="H88" s="354" t="n"/>
      <c r="I88" s="354" t="inlineStr">
        <is>
          <t>[A]</t>
        </is>
      </c>
      <c r="J88" s="354" t="inlineStr">
        <is>
          <t>[k]</t>
        </is>
      </c>
      <c r="K88" s="355" t="inlineStr">
        <is>
          <t>D T</t>
        </is>
      </c>
      <c r="L88" s="354" t="inlineStr">
        <is>
          <t>Qo</t>
        </is>
      </c>
      <c r="M88" s="354" t="inlineStr">
        <is>
          <t>ZD</t>
        </is>
      </c>
      <c r="N88" s="354" t="inlineStr">
        <is>
          <t>ZW</t>
        </is>
      </c>
      <c r="O88" s="354" t="inlineStr">
        <is>
          <t>ZH</t>
        </is>
      </c>
      <c r="P88" s="354" t="inlineStr">
        <is>
          <t>Z</t>
        </is>
      </c>
      <c r="Q88" s="354" t="inlineStr">
        <is>
          <t>Qh=Qi+Qs</t>
        </is>
      </c>
    </row>
    <row r="89" ht="15.75" customFormat="1" customHeight="1" s="356">
      <c r="A89" s="346" t="n"/>
      <c r="B89" s="346" t="n"/>
      <c r="C89" s="346" t="inlineStr">
        <is>
          <t>cm</t>
        </is>
      </c>
      <c r="D89" s="346" t="inlineStr">
        <is>
          <t>m</t>
        </is>
      </c>
      <c r="E89" s="346" t="inlineStr">
        <is>
          <t>m</t>
        </is>
      </c>
      <c r="F89" s="346" t="inlineStr">
        <is>
          <t>m²</t>
        </is>
      </c>
      <c r="G89" s="346" t="inlineStr">
        <is>
          <t>ad</t>
        </is>
      </c>
      <c r="H89" s="346" t="inlineStr">
        <is>
          <t>m²</t>
        </is>
      </c>
      <c r="I89" s="346" t="inlineStr">
        <is>
          <t>m²</t>
        </is>
      </c>
      <c r="J89" s="357" t="inlineStr">
        <is>
          <t>watt  m²hºC</t>
        </is>
      </c>
      <c r="K89" s="346" t="inlineStr">
        <is>
          <t>ºC</t>
        </is>
      </c>
      <c r="L89" s="358" t="inlineStr">
        <is>
          <t>watt</t>
        </is>
      </c>
      <c r="M89" s="346" t="inlineStr">
        <is>
          <t>%</t>
        </is>
      </c>
      <c r="N89" s="346" t="inlineStr">
        <is>
          <t>%</t>
        </is>
      </c>
      <c r="O89" s="346" t="inlineStr">
        <is>
          <t>%</t>
        </is>
      </c>
      <c r="P89" s="346" t="inlineStr">
        <is>
          <t>1+%</t>
        </is>
      </c>
      <c r="Q89" s="358" t="inlineStr">
        <is>
          <t>watt</t>
        </is>
      </c>
    </row>
    <row r="90" ht="9.75" customFormat="1" customHeight="1" s="356">
      <c r="A90" s="346" t="n">
        <v>1</v>
      </c>
      <c r="B90" s="346" t="n">
        <v>2</v>
      </c>
      <c r="C90" s="346" t="n">
        <v>3</v>
      </c>
      <c r="D90" s="346" t="n">
        <v>4</v>
      </c>
      <c r="E90" s="346" t="n">
        <v>5</v>
      </c>
      <c r="F90" s="346" t="n">
        <v>6</v>
      </c>
      <c r="G90" s="346" t="n">
        <v>7</v>
      </c>
      <c r="H90" s="346" t="n">
        <v>8</v>
      </c>
      <c r="I90" s="346" t="n">
        <v>9</v>
      </c>
      <c r="J90" s="346" t="n">
        <v>10</v>
      </c>
      <c r="K90" s="346" t="n">
        <v>11</v>
      </c>
      <c r="L90" s="346" t="n">
        <v>12</v>
      </c>
      <c r="M90" s="346" t="n">
        <v>13</v>
      </c>
      <c r="N90" s="346" t="n">
        <v>14</v>
      </c>
      <c r="O90" s="346" t="n">
        <v>15</v>
      </c>
      <c r="P90" s="346" t="n">
        <v>16</v>
      </c>
      <c r="Q90" s="346" t="n">
        <v>17</v>
      </c>
    </row>
    <row r="91" ht="9.75" customFormat="1" customHeight="1" s="356">
      <c r="A91" s="412" t="n"/>
      <c r="B91" s="413" t="n"/>
      <c r="C91" s="413" t="n"/>
      <c r="D91" s="413" t="n"/>
      <c r="E91" s="413" t="n"/>
      <c r="F91" s="361" t="n">
        <v>1</v>
      </c>
      <c r="G91" s="414" t="inlineStr">
        <is>
          <t>0</t>
        </is>
      </c>
      <c r="H91" s="413" t="inlineStr">
        <is>
          <t>6</t>
        </is>
      </c>
      <c r="I91" s="414" t="inlineStr">
        <is>
          <t>SAUNA</t>
        </is>
      </c>
      <c r="J91" s="364" t="n"/>
      <c r="K91" s="413" t="inlineStr">
        <is>
          <t>30ºC</t>
        </is>
      </c>
      <c r="L91" s="413" t="n"/>
      <c r="M91" s="413" t="n"/>
      <c r="N91" s="413" t="n"/>
      <c r="O91" s="413" t="n"/>
      <c r="P91" s="413" t="n"/>
      <c r="Q91" s="415" t="n"/>
    </row>
    <row r="92" ht="9.75" customFormat="1" customHeight="1" s="356">
      <c r="A92" s="366" t="inlineStr">
        <is>
          <t>DD</t>
        </is>
      </c>
      <c r="B92" s="367" t="inlineStr">
        <is>
          <t>G</t>
        </is>
      </c>
      <c r="C92" s="368" t="n"/>
      <c r="D92" s="369" t="n">
        <v>1.1</v>
      </c>
      <c r="E92" s="369" t="n">
        <v>2.8</v>
      </c>
      <c r="F92" s="370">
        <f>IF(D92=0," ",D92*E92)</f>
        <v/>
      </c>
      <c r="G92" s="371" t="n">
        <v>1</v>
      </c>
      <c r="H92" s="372">
        <f>F94*G94</f>
        <v/>
      </c>
      <c r="I92" s="370">
        <f>IF(F92=" "," ",F92*G92-H92)</f>
        <v/>
      </c>
      <c r="J92" s="369" t="n">
        <v>0.479</v>
      </c>
      <c r="K92" s="371" t="n">
        <v>30</v>
      </c>
      <c r="L92" s="373">
        <f>IF(I92=" "," ",I92*J92*K92)</f>
        <v/>
      </c>
      <c r="M92" s="374" t="n">
        <v>7</v>
      </c>
      <c r="N92" s="371" t="n">
        <v>0</v>
      </c>
      <c r="O92" s="374" t="n">
        <v>-5</v>
      </c>
      <c r="P92" s="370">
        <f>IF(M92=" "," ",(1+(M92+N92+O92)/100))</f>
        <v/>
      </c>
      <c r="Q92" s="375">
        <f>IF(L92=" "," ",L92*P92)</f>
        <v/>
      </c>
    </row>
    <row r="93" ht="9.75" customFormat="1" customHeight="1" s="356">
      <c r="A93" s="366" t="inlineStr">
        <is>
          <t>DD25</t>
        </is>
      </c>
      <c r="B93" s="367" t="inlineStr">
        <is>
          <t>G</t>
        </is>
      </c>
      <c r="C93" s="368" t="n"/>
      <c r="D93" s="369">
        <f>D92</f>
        <v/>
      </c>
      <c r="E93" s="369" t="n">
        <v>0.37</v>
      </c>
      <c r="F93" s="370">
        <f>IF(D93=0," ",D93*E93)</f>
        <v/>
      </c>
      <c r="G93" s="371" t="n">
        <v>1</v>
      </c>
      <c r="H93" s="372" t="n"/>
      <c r="I93" s="370">
        <f>IF(F93=" "," ",F93*G93-H93)</f>
        <v/>
      </c>
      <c r="J93" s="369" t="n">
        <v>0.577</v>
      </c>
      <c r="K93" s="371" t="n">
        <v>39</v>
      </c>
      <c r="L93" s="373">
        <f>IF(I93=" "," ",I93*J93*K93)</f>
        <v/>
      </c>
      <c r="M93" s="374" t="n">
        <v>7</v>
      </c>
      <c r="N93" s="371" t="n">
        <v>0</v>
      </c>
      <c r="O93" s="374" t="n">
        <v>-5</v>
      </c>
      <c r="P93" s="370">
        <f>IF(M93=" "," ",(1+(M93+N93+O93)/100))</f>
        <v/>
      </c>
      <c r="Q93" s="375">
        <f>IF(L93=" "," ",L93*P93)</f>
        <v/>
      </c>
    </row>
    <row r="94" ht="9.75" customFormat="1" customHeight="1" s="356">
      <c r="A94" s="366" t="inlineStr">
        <is>
          <t>ÇP</t>
        </is>
      </c>
      <c r="B94" s="367" t="inlineStr">
        <is>
          <t>G</t>
        </is>
      </c>
      <c r="C94" s="368" t="n"/>
      <c r="D94" s="369" t="n">
        <v>0.6</v>
      </c>
      <c r="E94" s="369" t="n">
        <v>0.6</v>
      </c>
      <c r="F94" s="370">
        <f>IF(D94=0," ",D94*E94)</f>
        <v/>
      </c>
      <c r="G94" s="371" t="n">
        <v>1</v>
      </c>
      <c r="H94" s="372" t="n"/>
      <c r="I94" s="370">
        <f>IF(F94=" "," ",F94*G94-H94)</f>
        <v/>
      </c>
      <c r="J94" s="369" t="n">
        <v>2.4</v>
      </c>
      <c r="K94" s="371" t="n">
        <v>39</v>
      </c>
      <c r="L94" s="373">
        <f>IF(I94=" "," ",I94*J94*K94)</f>
        <v/>
      </c>
      <c r="M94" s="374" t="n">
        <v>7</v>
      </c>
      <c r="N94" s="371" t="n">
        <v>0</v>
      </c>
      <c r="O94" s="374" t="n">
        <v>-5</v>
      </c>
      <c r="P94" s="370">
        <f>IF(M94=" "," ",(1+(M94+N94+O94)/100))</f>
        <v/>
      </c>
      <c r="Q94" s="376">
        <f>IF(L94=" "," ",L94*P94)</f>
        <v/>
      </c>
    </row>
    <row r="95" ht="9.75" customFormat="1" customHeight="1" s="356">
      <c r="A95" s="366" t="inlineStr">
        <is>
          <t>DD30</t>
        </is>
      </c>
      <c r="B95" s="367" t="inlineStr">
        <is>
          <t>G</t>
        </is>
      </c>
      <c r="C95" s="368" t="n"/>
      <c r="D95" s="369" t="n">
        <v>0.2</v>
      </c>
      <c r="E95" s="369" t="n">
        <v>3.17</v>
      </c>
      <c r="F95" s="370">
        <f>IF(D95=0," ",D95*E95)</f>
        <v/>
      </c>
      <c r="G95" s="371" t="n">
        <v>1</v>
      </c>
      <c r="H95" s="372" t="n"/>
      <c r="I95" s="370">
        <f>IF(F95=" "," ",F95*G95-H95)</f>
        <v/>
      </c>
      <c r="J95" s="369" t="n">
        <v>0.57</v>
      </c>
      <c r="K95" s="371" t="n">
        <v>39</v>
      </c>
      <c r="L95" s="373">
        <f>IF(I95=" "," ",I95*J95*K95)</f>
        <v/>
      </c>
      <c r="M95" s="374" t="n">
        <v>7</v>
      </c>
      <c r="N95" s="371" t="n">
        <v>0</v>
      </c>
      <c r="O95" s="374" t="n">
        <v>-5</v>
      </c>
      <c r="P95" s="370">
        <f>IF(M95=" "," ",(1+(M95+N95+O95)/100))</f>
        <v/>
      </c>
      <c r="Q95" s="375">
        <f>IF(L95=" "," ",L95*P95)</f>
        <v/>
      </c>
    </row>
    <row r="96" ht="9.75" customFormat="1" customHeight="1" s="356">
      <c r="A96" s="366" t="inlineStr">
        <is>
          <t>İD</t>
        </is>
      </c>
      <c r="B96" s="367" t="n"/>
      <c r="C96" s="368" t="n"/>
      <c r="D96" s="369" t="n">
        <v>4.2</v>
      </c>
      <c r="E96" s="369" t="n">
        <v>3.17</v>
      </c>
      <c r="F96" s="370">
        <f>IF(D96=0," ",D96*E96)</f>
        <v/>
      </c>
      <c r="G96" s="371" t="n">
        <v>1</v>
      </c>
      <c r="H96" s="372">
        <f>F97*G97</f>
        <v/>
      </c>
      <c r="I96" s="370">
        <f>IF(F96=" "," ",F96*G96-H96)</f>
        <v/>
      </c>
      <c r="J96" s="369" t="n">
        <v>0.8139999999999999</v>
      </c>
      <c r="K96" s="371" t="n">
        <v>4</v>
      </c>
      <c r="L96" s="373">
        <f>IF(I96=" "," ",I96*J96*K96)</f>
        <v/>
      </c>
      <c r="M96" s="374" t="n">
        <v>7</v>
      </c>
      <c r="N96" s="371" t="n">
        <v>0</v>
      </c>
      <c r="O96" s="374" t="n">
        <v>0</v>
      </c>
      <c r="P96" s="370">
        <f>IF(M96=" "," ",(1+(M96+N96+O96)/100))</f>
        <v/>
      </c>
      <c r="Q96" s="375">
        <f>IF(L96=" "," ",L96*P96)</f>
        <v/>
      </c>
    </row>
    <row r="97" ht="9.75" customFormat="1" customHeight="1" s="356">
      <c r="A97" s="366" t="inlineStr">
        <is>
          <t>İK</t>
        </is>
      </c>
      <c r="B97" s="367" t="n"/>
      <c r="C97" s="368" t="n"/>
      <c r="D97" s="369" t="n">
        <v>0.8</v>
      </c>
      <c r="E97" s="369" t="n">
        <v>2.2</v>
      </c>
      <c r="F97" s="370">
        <f>D97*E97</f>
        <v/>
      </c>
      <c r="G97" s="371" t="n">
        <v>1</v>
      </c>
      <c r="H97" s="372" t="n"/>
      <c r="I97" s="370">
        <f>IF(F97=" "," ",F97*G97-H97)</f>
        <v/>
      </c>
      <c r="J97" s="369" t="n">
        <v>3.5</v>
      </c>
      <c r="K97" s="371" t="n">
        <v>4</v>
      </c>
      <c r="L97" s="373">
        <f>IF(I97=" "," ",I97*J97*K97)</f>
        <v/>
      </c>
      <c r="M97" s="374" t="n">
        <v>7</v>
      </c>
      <c r="N97" s="371" t="n">
        <v>0</v>
      </c>
      <c r="O97" s="374" t="n">
        <v>0</v>
      </c>
      <c r="P97" s="370">
        <f>IF(M97=" "," ",(1+(M97+N97+O97)/100))</f>
        <v/>
      </c>
      <c r="Q97" s="376">
        <f>IF(L97=" "," ",L97*P97)</f>
        <v/>
      </c>
    </row>
    <row r="98" ht="9.75" customFormat="1" customHeight="1" s="356">
      <c r="A98" s="366" t="inlineStr">
        <is>
          <t>İD</t>
        </is>
      </c>
      <c r="B98" s="367" t="n"/>
      <c r="C98" s="368" t="n"/>
      <c r="D98" s="369" t="n">
        <v>1.3</v>
      </c>
      <c r="E98" s="369" t="n">
        <v>3.17</v>
      </c>
      <c r="F98" s="370">
        <f>IF(D98=0," ",D98*E98)</f>
        <v/>
      </c>
      <c r="G98" s="371" t="n">
        <v>1</v>
      </c>
      <c r="H98" s="372" t="n"/>
      <c r="I98" s="370">
        <f>IF(F98=" "," ",F98*G98-H98)</f>
        <v/>
      </c>
      <c r="J98" s="369" t="n">
        <v>0.8139999999999999</v>
      </c>
      <c r="K98" s="371" t="n">
        <v>12</v>
      </c>
      <c r="L98" s="373">
        <f>IF(I98=" "," ",I98*J98*K98)</f>
        <v/>
      </c>
      <c r="M98" s="374" t="n">
        <v>7</v>
      </c>
      <c r="N98" s="371" t="n">
        <v>0</v>
      </c>
      <c r="O98" s="374" t="n">
        <v>0</v>
      </c>
      <c r="P98" s="370">
        <f>IF(M98=" "," ",(1+(M98+N98+O98)/100))</f>
        <v/>
      </c>
      <c r="Q98" s="375">
        <f>IF(L98=" "," ",L98*P98)</f>
        <v/>
      </c>
    </row>
    <row r="99" ht="9.75" customFormat="1" customHeight="1" s="356">
      <c r="A99" s="366" t="inlineStr">
        <is>
          <t>Dö</t>
        </is>
      </c>
      <c r="B99" s="367" t="n"/>
      <c r="C99" s="368" t="n"/>
      <c r="D99" s="369" t="n">
        <v>1.3</v>
      </c>
      <c r="E99" s="369" t="n">
        <v>2.1</v>
      </c>
      <c r="F99" s="370">
        <f>IF(D99=0," ",D99*E99)</f>
        <v/>
      </c>
      <c r="G99" s="371" t="n">
        <v>1</v>
      </c>
      <c r="H99" s="372" t="n"/>
      <c r="I99" s="370">
        <f>IF(F99=" "," ",F99*G99-H99)</f>
        <v/>
      </c>
      <c r="J99" s="369" t="n">
        <v>0.5610000000000001</v>
      </c>
      <c r="K99" s="371" t="n">
        <v>8</v>
      </c>
      <c r="L99" s="373">
        <f>IF(I99=" "," ",I99*J99*K99)</f>
        <v/>
      </c>
      <c r="M99" s="374" t="n">
        <v>7</v>
      </c>
      <c r="N99" s="371" t="n">
        <v>0</v>
      </c>
      <c r="O99" s="374" t="n">
        <v>0</v>
      </c>
      <c r="P99" s="370">
        <f>IF(M99=" "," ",(1+(M99+N99+O99)/100))</f>
        <v/>
      </c>
      <c r="Q99" s="376">
        <f>IF(L99=" "," ",L99*P99)</f>
        <v/>
      </c>
    </row>
    <row r="100" ht="9.75" customFormat="1" customHeight="1" s="356">
      <c r="A100" s="366" t="inlineStr">
        <is>
          <t>Ta</t>
        </is>
      </c>
      <c r="B100" s="367" t="n"/>
      <c r="C100" s="368" t="n"/>
      <c r="D100" s="369" t="n">
        <v>1.3</v>
      </c>
      <c r="E100" s="369" t="n">
        <v>2.1</v>
      </c>
      <c r="F100" s="370">
        <f>IF(D100=0," ",D100*E100)</f>
        <v/>
      </c>
      <c r="G100" s="371" t="n">
        <v>1</v>
      </c>
      <c r="H100" s="372" t="n"/>
      <c r="I100" s="370">
        <f>IF(F100=" "," ",F100*G100-H100)</f>
        <v/>
      </c>
      <c r="J100" s="369" t="n">
        <v>0.318</v>
      </c>
      <c r="K100" s="371" t="n">
        <v>30</v>
      </c>
      <c r="L100" s="373">
        <f>IF(I100=" "," ",I100*J100*K100)</f>
        <v/>
      </c>
      <c r="M100" s="374" t="n">
        <v>7</v>
      </c>
      <c r="N100" s="371" t="n">
        <v>0</v>
      </c>
      <c r="O100" s="374" t="n">
        <v>0</v>
      </c>
      <c r="P100" s="370">
        <f>IF(M100=" "," ",(1+(M100+N100+O100)/100))</f>
        <v/>
      </c>
      <c r="Q100" s="376">
        <f>IF(L100=" "," ",L100*P100)</f>
        <v/>
      </c>
    </row>
    <row r="101" ht="9.75" customFormat="1" customHeight="1" s="356">
      <c r="A101" s="377" t="n"/>
      <c r="B101" s="378" t="n"/>
      <c r="C101" s="378" t="n"/>
      <c r="D101" s="379" t="n"/>
      <c r="E101" s="379" t="n"/>
      <c r="F101" s="379">
        <f>IF(D101=0," ",D101*E101)</f>
        <v/>
      </c>
      <c r="G101" s="380" t="n"/>
      <c r="H101" s="379" t="n"/>
      <c r="I101" s="379">
        <f>IF(F101=" "," ",F101*G101-H101)</f>
        <v/>
      </c>
      <c r="J101" s="379" t="n"/>
      <c r="K101" s="380" t="n"/>
      <c r="L101" s="381" t="n"/>
      <c r="M101" s="382" t="n"/>
      <c r="N101" s="382" t="n"/>
      <c r="O101" s="382" t="n"/>
      <c r="P101" s="383" t="n"/>
      <c r="Q101" s="384">
        <f>SUM(Q92:Q100)</f>
        <v/>
      </c>
    </row>
    <row r="102" ht="9.75" customFormat="1" customHeight="1" s="385">
      <c r="A102" s="386" t="n"/>
      <c r="B102" s="387" t="n"/>
      <c r="C102" s="387" t="n"/>
      <c r="D102" s="388" t="n"/>
      <c r="E102" s="389" t="n"/>
      <c r="F102" s="390" t="n"/>
      <c r="G102" s="391" t="n"/>
      <c r="H102" s="390" t="n"/>
      <c r="I102" s="392" t="n"/>
      <c r="J102" s="393" t="inlineStr">
        <is>
          <t>Qs=</t>
        </is>
      </c>
      <c r="K102" s="392" t="inlineStr">
        <is>
          <t>S a</t>
        </is>
      </c>
      <c r="L102" s="390" t="inlineStr">
        <is>
          <t>L</t>
        </is>
      </c>
      <c r="M102" s="391" t="inlineStr">
        <is>
          <t>R</t>
        </is>
      </c>
      <c r="N102" s="394" t="inlineStr">
        <is>
          <t>H</t>
        </is>
      </c>
      <c r="O102" s="395" t="inlineStr">
        <is>
          <t>D  T</t>
        </is>
      </c>
      <c r="P102" s="391" t="inlineStr">
        <is>
          <t>Ze</t>
        </is>
      </c>
      <c r="Q102" s="396" t="n"/>
    </row>
    <row r="103" ht="9.75" customFormat="1" customHeight="1" s="385">
      <c r="A103" s="397" t="inlineStr">
        <is>
          <t xml:space="preserve"> </t>
        </is>
      </c>
      <c r="C103" s="398" t="n"/>
      <c r="D103" s="398" t="n"/>
      <c r="E103" s="399" t="n"/>
      <c r="F103" s="400" t="n"/>
      <c r="G103" s="401" t="n"/>
      <c r="H103" s="402" t="n"/>
      <c r="I103" s="403" t="n"/>
      <c r="J103" s="404" t="inlineStr">
        <is>
          <t>Qs  =</t>
        </is>
      </c>
      <c r="K103" s="405" t="n">
        <v>2</v>
      </c>
      <c r="L103" s="405">
        <f>(D94+E94)*2*G94</f>
        <v/>
      </c>
      <c r="M103" s="405" t="n">
        <v>0.9</v>
      </c>
      <c r="N103" s="405" t="n">
        <v>0.67</v>
      </c>
      <c r="O103" s="382" t="n">
        <v>35</v>
      </c>
      <c r="P103" s="405" t="n">
        <v>1</v>
      </c>
      <c r="Q103" s="384">
        <f>K103*L103*M103*N103*O103*P103</f>
        <v/>
      </c>
    </row>
    <row r="104" ht="9.75" customFormat="1" customHeight="1" s="351">
      <c r="A104" s="406" t="n"/>
      <c r="B104" s="385" t="n"/>
      <c r="C104" s="398" t="n"/>
      <c r="D104" s="398" t="n"/>
      <c r="E104" s="379" t="n"/>
      <c r="F104" s="256" t="n"/>
      <c r="G104" s="407" t="n"/>
      <c r="H104" s="398" t="n"/>
      <c r="I104" s="398" t="n"/>
      <c r="J104" s="398" t="n"/>
      <c r="K104" s="407" t="n"/>
      <c r="L104" s="408" t="n"/>
      <c r="M104" s="409" t="inlineStr">
        <is>
          <t xml:space="preserve">   TOPLAM ISI KAYBI =</t>
        </is>
      </c>
      <c r="N104" s="409" t="n"/>
      <c r="O104" s="410" t="n"/>
      <c r="P104" s="409" t="n"/>
      <c r="Q104" s="411">
        <f>Q101+Q103</f>
        <v/>
      </c>
    </row>
    <row r="105" ht="9.949999999999999" customFormat="1" customHeight="1" s="356">
      <c r="A105" s="412" t="n"/>
      <c r="B105" s="413" t="n"/>
      <c r="C105" s="413" t="n"/>
      <c r="D105" s="413" t="n"/>
      <c r="E105" s="413" t="n"/>
      <c r="F105" s="361" t="n">
        <v>1</v>
      </c>
      <c r="G105" s="414" t="inlineStr">
        <is>
          <t>0</t>
        </is>
      </c>
      <c r="H105" s="413" t="inlineStr">
        <is>
          <t>7</t>
        </is>
      </c>
      <c r="I105" s="414" t="inlineStr">
        <is>
          <t>ODA</t>
        </is>
      </c>
      <c r="J105" s="364" t="n"/>
      <c r="K105" s="413" t="inlineStr">
        <is>
          <t>20ºC</t>
        </is>
      </c>
      <c r="L105" s="413" t="n"/>
      <c r="M105" s="413" t="n"/>
      <c r="N105" s="413" t="n"/>
      <c r="O105" s="413" t="n"/>
      <c r="P105" s="413" t="n"/>
      <c r="Q105" s="415" t="n"/>
    </row>
    <row r="106" ht="9.949999999999999" customFormat="1" customHeight="1" s="356">
      <c r="A106" s="366" t="inlineStr">
        <is>
          <t>DD</t>
        </is>
      </c>
      <c r="B106" s="367" t="inlineStr">
        <is>
          <t>K</t>
        </is>
      </c>
      <c r="C106" s="368" t="n"/>
      <c r="D106" s="369" t="n">
        <v>3.8</v>
      </c>
      <c r="E106" s="369" t="n">
        <v>2.8</v>
      </c>
      <c r="F106" s="370">
        <f>IF(D106=0," ",D106*E106)</f>
        <v/>
      </c>
      <c r="G106" s="371" t="n">
        <v>1</v>
      </c>
      <c r="H106" s="372">
        <f>F108*G108</f>
        <v/>
      </c>
      <c r="I106" s="370">
        <f>IF(F106=" "," ",F106*G106-H106)</f>
        <v/>
      </c>
      <c r="J106" s="369" t="n">
        <v>0.479</v>
      </c>
      <c r="K106" s="371" t="n">
        <v>29</v>
      </c>
      <c r="L106" s="373">
        <f>IF(I106=" "," ",I106*J106*K106)</f>
        <v/>
      </c>
      <c r="M106" s="374" t="n">
        <v>7</v>
      </c>
      <c r="N106" s="371" t="n">
        <v>0</v>
      </c>
      <c r="O106" s="374" t="n">
        <v>5</v>
      </c>
      <c r="P106" s="370">
        <f>IF(M106=" "," ",(1+(M106+N106+O106)/100))</f>
        <v/>
      </c>
      <c r="Q106" s="375">
        <f>IF(L106=" "," ",L106*P106)</f>
        <v/>
      </c>
    </row>
    <row r="107" ht="9.949999999999999" customFormat="1" customHeight="1" s="356">
      <c r="A107" s="366" t="inlineStr">
        <is>
          <t>DD25</t>
        </is>
      </c>
      <c r="B107" s="367" t="inlineStr">
        <is>
          <t>K</t>
        </is>
      </c>
      <c r="C107" s="368" t="n"/>
      <c r="D107" s="369">
        <f>D106</f>
        <v/>
      </c>
      <c r="E107" s="369" t="n">
        <v>0.37</v>
      </c>
      <c r="F107" s="370">
        <f>IF(D107=0," ",D107*E107)</f>
        <v/>
      </c>
      <c r="G107" s="371" t="n">
        <v>1</v>
      </c>
      <c r="H107" s="372" t="n"/>
      <c r="I107" s="370">
        <f>IF(F107=" "," ",F107*G107-H107)</f>
        <v/>
      </c>
      <c r="J107" s="369" t="n">
        <v>0.577</v>
      </c>
      <c r="K107" s="371" t="n">
        <v>29</v>
      </c>
      <c r="L107" s="373">
        <f>IF(I107=" "," ",I107*J107*K107)</f>
        <v/>
      </c>
      <c r="M107" s="374" t="n">
        <v>7</v>
      </c>
      <c r="N107" s="371" t="n">
        <v>0</v>
      </c>
      <c r="O107" s="374" t="n">
        <v>5</v>
      </c>
      <c r="P107" s="370">
        <f>IF(M107=" "," ",(1+(M107+N107+O107)/100))</f>
        <v/>
      </c>
      <c r="Q107" s="375">
        <f>IF(L107=" "," ",L107*P107)</f>
        <v/>
      </c>
    </row>
    <row r="108" ht="9.949999999999999" customFormat="1" customHeight="1" s="356">
      <c r="A108" s="366" t="inlineStr">
        <is>
          <t>ÇP</t>
        </is>
      </c>
      <c r="B108" s="367" t="inlineStr">
        <is>
          <t>K</t>
        </is>
      </c>
      <c r="C108" s="368" t="n"/>
      <c r="D108" s="369" t="n">
        <v>1.8</v>
      </c>
      <c r="E108" s="369" t="n">
        <v>2.8</v>
      </c>
      <c r="F108" s="370">
        <f>IF(D108=0," ",D108*E108)</f>
        <v/>
      </c>
      <c r="G108" s="371" t="n">
        <v>1</v>
      </c>
      <c r="H108" s="372" t="n"/>
      <c r="I108" s="370">
        <f>IF(F108=" "," ",F108*G108-H108)</f>
        <v/>
      </c>
      <c r="J108" s="369" t="n">
        <v>2.4</v>
      </c>
      <c r="K108" s="371" t="n">
        <v>29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5</v>
      </c>
      <c r="P108" s="370">
        <f>IF(M108=" "," ",(1+(M108+N108+O108)/100))</f>
        <v/>
      </c>
      <c r="Q108" s="376">
        <f>IF(L108=" "," ",L108*P108)</f>
        <v/>
      </c>
    </row>
    <row r="109" ht="9.949999999999999" customFormat="1" customHeight="1" s="356">
      <c r="A109" s="366" t="inlineStr">
        <is>
          <t>DD30</t>
        </is>
      </c>
      <c r="B109" s="367" t="inlineStr">
        <is>
          <t>K</t>
        </is>
      </c>
      <c r="C109" s="368" t="n"/>
      <c r="D109" s="369" t="n">
        <v>0.15</v>
      </c>
      <c r="E109" s="369" t="n">
        <v>3.17</v>
      </c>
      <c r="F109" s="370">
        <f>IF(D109=0," ",D109*E109)</f>
        <v/>
      </c>
      <c r="G109" s="371" t="n">
        <v>1</v>
      </c>
      <c r="H109" s="372" t="n"/>
      <c r="I109" s="370">
        <f>IF(F109=" "," ",F109*G109-H109)</f>
        <v/>
      </c>
      <c r="J109" s="369" t="n">
        <v>0.57</v>
      </c>
      <c r="K109" s="371" t="n">
        <v>29</v>
      </c>
      <c r="L109" s="373">
        <f>IF(I109=" "," ",I109*J109*K109)</f>
        <v/>
      </c>
      <c r="M109" s="374" t="n">
        <v>7</v>
      </c>
      <c r="N109" s="371" t="n">
        <v>0</v>
      </c>
      <c r="O109" s="374" t="n">
        <v>5</v>
      </c>
      <c r="P109" s="370">
        <f>IF(M109=" "," ",(1+(M109+N109+O109)/100))</f>
        <v/>
      </c>
      <c r="Q109" s="375">
        <f>IF(L109=" "," ",L109*P109)</f>
        <v/>
      </c>
    </row>
    <row r="110" ht="9.949999999999999" customFormat="1" customHeight="1" s="356">
      <c r="A110" s="366" t="inlineStr">
        <is>
          <t>DD</t>
        </is>
      </c>
      <c r="B110" s="367" t="inlineStr">
        <is>
          <t>B</t>
        </is>
      </c>
      <c r="C110" s="368" t="n"/>
      <c r="D110" s="369" t="n">
        <v>4.55</v>
      </c>
      <c r="E110" s="369" t="n">
        <v>2.8</v>
      </c>
      <c r="F110" s="370">
        <f>IF(D110=0," ",D110*E110)</f>
        <v/>
      </c>
      <c r="G110" s="371" t="n">
        <v>1</v>
      </c>
      <c r="H110" s="372">
        <f>F112*G112</f>
        <v/>
      </c>
      <c r="I110" s="370">
        <f>IF(F110=" "," ",F110*G110-H110)</f>
        <v/>
      </c>
      <c r="J110" s="369" t="n">
        <v>0.479</v>
      </c>
      <c r="K110" s="371" t="n">
        <v>29</v>
      </c>
      <c r="L110" s="373">
        <f>IF(I110=" "," ",I110*J110*K110)</f>
        <v/>
      </c>
      <c r="M110" s="374" t="n">
        <v>7</v>
      </c>
      <c r="N110" s="371" t="n">
        <v>0</v>
      </c>
      <c r="O110" s="374" t="n">
        <v>0</v>
      </c>
      <c r="P110" s="370">
        <f>IF(M110=" "," ",(1+(M110+N110+O110)/100))</f>
        <v/>
      </c>
      <c r="Q110" s="375">
        <f>IF(L110=" "," ",L110*P110)</f>
        <v/>
      </c>
    </row>
    <row r="111" ht="9.949999999999999" customFormat="1" customHeight="1" s="356">
      <c r="A111" s="366" t="inlineStr">
        <is>
          <t>DD25</t>
        </is>
      </c>
      <c r="B111" s="367" t="inlineStr">
        <is>
          <t>B</t>
        </is>
      </c>
      <c r="C111" s="368" t="n"/>
      <c r="D111" s="369">
        <f>D110</f>
        <v/>
      </c>
      <c r="E111" s="369" t="n">
        <v>0.37</v>
      </c>
      <c r="F111" s="370">
        <f>IF(D111=0," ",D111*E111)</f>
        <v/>
      </c>
      <c r="G111" s="371" t="n">
        <v>1</v>
      </c>
      <c r="H111" s="372" t="n"/>
      <c r="I111" s="370">
        <f>IF(F111=" "," ",F111*G111-H111)</f>
        <v/>
      </c>
      <c r="J111" s="369" t="n">
        <v>0.577</v>
      </c>
      <c r="K111" s="371" t="n">
        <v>29</v>
      </c>
      <c r="L111" s="373">
        <f>IF(I111=" "," ",I111*J111*K111)</f>
        <v/>
      </c>
      <c r="M111" s="374" t="n">
        <v>7</v>
      </c>
      <c r="N111" s="371" t="n">
        <v>0</v>
      </c>
      <c r="O111" s="374" t="n">
        <v>0</v>
      </c>
      <c r="P111" s="370">
        <f>IF(M111=" "," ",(1+(M111+N111+O111)/100))</f>
        <v/>
      </c>
      <c r="Q111" s="375">
        <f>IF(L111=" "," ",L111*P111)</f>
        <v/>
      </c>
    </row>
    <row r="112" ht="9.949999999999999" customFormat="1" customHeight="1" s="356">
      <c r="A112" s="366" t="inlineStr">
        <is>
          <t>ÇP</t>
        </is>
      </c>
      <c r="B112" s="367" t="inlineStr">
        <is>
          <t>B</t>
        </is>
      </c>
      <c r="C112" s="368" t="n"/>
      <c r="D112" s="369" t="n">
        <v>1</v>
      </c>
      <c r="E112" s="369" t="n">
        <v>2.8</v>
      </c>
      <c r="F112" s="370">
        <f>IF(D112=0," ",D112*E112)</f>
        <v/>
      </c>
      <c r="G112" s="371" t="n">
        <v>1</v>
      </c>
      <c r="H112" s="372" t="n"/>
      <c r="I112" s="370">
        <f>IF(F112=" "," ",F112*G112-H112)</f>
        <v/>
      </c>
      <c r="J112" s="369" t="n">
        <v>2.4</v>
      </c>
      <c r="K112" s="371" t="n">
        <v>29</v>
      </c>
      <c r="L112" s="373">
        <f>IF(I112=" "," ",I112*J112*K112)</f>
        <v/>
      </c>
      <c r="M112" s="374" t="n">
        <v>7</v>
      </c>
      <c r="N112" s="371" t="n">
        <v>0</v>
      </c>
      <c r="O112" s="374" t="n">
        <v>0</v>
      </c>
      <c r="P112" s="370">
        <f>IF(M112=" "," ",(1+(M112+N112+O112)/100))</f>
        <v/>
      </c>
      <c r="Q112" s="376">
        <f>IF(L112=" "," ",L112*P112)</f>
        <v/>
      </c>
    </row>
    <row r="113" ht="9.949999999999999" customFormat="1" customHeight="1" s="356">
      <c r="A113" s="366" t="inlineStr">
        <is>
          <t>DD30</t>
        </is>
      </c>
      <c r="B113" s="367" t="inlineStr">
        <is>
          <t>B</t>
        </is>
      </c>
      <c r="C113" s="368" t="n"/>
      <c r="D113" s="369" t="n">
        <v>1.55</v>
      </c>
      <c r="E113" s="369" t="n">
        <v>3.17</v>
      </c>
      <c r="F113" s="370">
        <f>IF(D113=0," ",D113*E113)</f>
        <v/>
      </c>
      <c r="G113" s="371" t="n">
        <v>1</v>
      </c>
      <c r="H113" s="372" t="n"/>
      <c r="I113" s="370">
        <f>IF(F113=" "," ",F113*G113-H113)</f>
        <v/>
      </c>
      <c r="J113" s="369" t="n">
        <v>0.57</v>
      </c>
      <c r="K113" s="371" t="n">
        <v>29</v>
      </c>
      <c r="L113" s="373">
        <f>IF(I113=" "," ",I113*J113*K113)</f>
        <v/>
      </c>
      <c r="M113" s="374" t="n">
        <v>7</v>
      </c>
      <c r="N113" s="371" t="n">
        <v>0</v>
      </c>
      <c r="O113" s="374" t="n">
        <v>0</v>
      </c>
      <c r="P113" s="370">
        <f>IF(M113=" "," ",(1+(M113+N113+O113)/100))</f>
        <v/>
      </c>
      <c r="Q113" s="375">
        <f>IF(L113=" "," ",L113*P113)</f>
        <v/>
      </c>
    </row>
    <row r="114" ht="9.949999999999999" customFormat="1" customHeight="1" s="356">
      <c r="A114" s="366" t="inlineStr">
        <is>
          <t>Ta</t>
        </is>
      </c>
      <c r="B114" s="367" t="n"/>
      <c r="C114" s="368" t="n"/>
      <c r="D114" s="369" t="n">
        <v>3.95</v>
      </c>
      <c r="E114" s="369" t="n">
        <v>5.1</v>
      </c>
      <c r="F114" s="370">
        <f>IF(D114=0," ",D114*E114)</f>
        <v/>
      </c>
      <c r="G114" s="371" t="n">
        <v>1</v>
      </c>
      <c r="H114" s="372" t="n"/>
      <c r="I114" s="370">
        <f>IF(F114=" "," ",F114*G114-H114)</f>
        <v/>
      </c>
      <c r="J114" s="369" t="n">
        <v>0.318</v>
      </c>
      <c r="K114" s="371" t="n">
        <v>20</v>
      </c>
      <c r="L114" s="373">
        <f>IF(I114=" "," ",I114*J114*K114)</f>
        <v/>
      </c>
      <c r="M114" s="374" t="n">
        <v>7</v>
      </c>
      <c r="N114" s="371" t="n">
        <v>0</v>
      </c>
      <c r="O114" s="374" t="n">
        <v>0</v>
      </c>
      <c r="P114" s="370">
        <f>IF(M114=" "," ",(1+(M114+N114+O114)/100))</f>
        <v/>
      </c>
      <c r="Q114" s="376">
        <f>IF(L114=" "," ",L114*P114)</f>
        <v/>
      </c>
    </row>
    <row r="115" ht="9.949999999999999" customFormat="1" customHeight="1" s="356">
      <c r="A115" s="377" t="n"/>
      <c r="B115" s="378" t="n"/>
      <c r="C115" s="378" t="n"/>
      <c r="D115" s="379" t="n"/>
      <c r="E115" s="379" t="n"/>
      <c r="F115" s="379">
        <f>IF(D115=0," ",D115*E115)</f>
        <v/>
      </c>
      <c r="G115" s="380" t="n"/>
      <c r="H115" s="379" t="n"/>
      <c r="I115" s="379">
        <f>IF(F115=" "," ",F115*G115-H115)</f>
        <v/>
      </c>
      <c r="J115" s="379" t="n"/>
      <c r="K115" s="380" t="n"/>
      <c r="L115" s="381" t="n"/>
      <c r="M115" s="382" t="n"/>
      <c r="N115" s="382" t="n"/>
      <c r="O115" s="382" t="n"/>
      <c r="P115" s="383" t="n"/>
      <c r="Q115" s="384">
        <f>SUM(Q106:Q114)</f>
        <v/>
      </c>
    </row>
    <row r="116" ht="9.949999999999999" customFormat="1" customHeight="1" s="385">
      <c r="A116" s="386" t="n"/>
      <c r="B116" s="387" t="n"/>
      <c r="C116" s="387" t="n"/>
      <c r="D116" s="388" t="n"/>
      <c r="E116" s="389" t="n"/>
      <c r="F116" s="390" t="n"/>
      <c r="G116" s="391" t="n"/>
      <c r="H116" s="390" t="n"/>
      <c r="I116" s="392" t="n"/>
      <c r="J116" s="393" t="inlineStr">
        <is>
          <t>Qs=</t>
        </is>
      </c>
      <c r="K116" s="392" t="inlineStr">
        <is>
          <t>S a</t>
        </is>
      </c>
      <c r="L116" s="390" t="inlineStr">
        <is>
          <t>L</t>
        </is>
      </c>
      <c r="M116" s="391" t="inlineStr">
        <is>
          <t>R</t>
        </is>
      </c>
      <c r="N116" s="394" t="inlineStr">
        <is>
          <t>H</t>
        </is>
      </c>
      <c r="O116" s="395" t="inlineStr">
        <is>
          <t>D  T</t>
        </is>
      </c>
      <c r="P116" s="391" t="inlineStr">
        <is>
          <t>Ze</t>
        </is>
      </c>
      <c r="Q116" s="396" t="n"/>
    </row>
    <row r="117" ht="9.949999999999999" customFormat="1" customHeight="1" s="385">
      <c r="A117" s="397" t="inlineStr">
        <is>
          <t xml:space="preserve"> </t>
        </is>
      </c>
      <c r="C117" s="398" t="n"/>
      <c r="D117" s="398" t="n"/>
      <c r="E117" s="399" t="n"/>
      <c r="F117" s="400" t="n"/>
      <c r="G117" s="401" t="n"/>
      <c r="H117" s="402" t="n"/>
      <c r="I117" s="403" t="n"/>
      <c r="J117" s="404" t="inlineStr">
        <is>
          <t>Qs  =</t>
        </is>
      </c>
      <c r="K117" s="405" t="n">
        <v>2</v>
      </c>
      <c r="L117" s="405">
        <f>(D108+E108)*2*G108+(D112+E112)*2*G112</f>
        <v/>
      </c>
      <c r="M117" s="405" t="n">
        <v>0.9</v>
      </c>
      <c r="N117" s="405" t="n">
        <v>0.67</v>
      </c>
      <c r="O117" s="382" t="n">
        <v>29</v>
      </c>
      <c r="P117" s="405" t="n">
        <v>1.2</v>
      </c>
      <c r="Q117" s="384">
        <f>K117*L117*M117*N117*O117*P117</f>
        <v/>
      </c>
    </row>
    <row r="118" ht="9.949999999999999" customFormat="1" customHeight="1" s="351">
      <c r="A118" s="406" t="n"/>
      <c r="B118" s="385" t="n"/>
      <c r="C118" s="398" t="n"/>
      <c r="D118" s="398" t="n"/>
      <c r="E118" s="379" t="n"/>
      <c r="F118" s="256" t="n"/>
      <c r="G118" s="407" t="n"/>
      <c r="H118" s="398" t="n"/>
      <c r="I118" s="398" t="n"/>
      <c r="J118" s="398" t="n"/>
      <c r="K118" s="407" t="n"/>
      <c r="L118" s="408" t="n"/>
      <c r="M118" s="409" t="inlineStr">
        <is>
          <t xml:space="preserve">   TOPLAM ISI KAYBI =</t>
        </is>
      </c>
      <c r="N118" s="409" t="n"/>
      <c r="O118" s="410" t="n"/>
      <c r="P118" s="409" t="n"/>
      <c r="Q118" s="411">
        <f>Q115+Q117</f>
        <v/>
      </c>
    </row>
    <row r="119" ht="9.949999999999999" customFormat="1" customHeight="1" s="356">
      <c r="A119" s="412" t="n"/>
      <c r="B119" s="413" t="n"/>
      <c r="C119" s="413" t="n"/>
      <c r="D119" s="413" t="n"/>
      <c r="E119" s="413" t="n"/>
      <c r="F119" s="361" t="n">
        <v>1</v>
      </c>
      <c r="G119" s="414" t="inlineStr">
        <is>
          <t>0</t>
        </is>
      </c>
      <c r="H119" s="413" t="inlineStr">
        <is>
          <t>8</t>
        </is>
      </c>
      <c r="I119" s="414" t="inlineStr">
        <is>
          <t>ODA</t>
        </is>
      </c>
      <c r="J119" s="364" t="n"/>
      <c r="K119" s="413" t="inlineStr">
        <is>
          <t>20ºC</t>
        </is>
      </c>
      <c r="L119" s="413" t="n"/>
      <c r="M119" s="413" t="n"/>
      <c r="N119" s="413" t="n"/>
      <c r="O119" s="413" t="n"/>
      <c r="P119" s="413" t="n"/>
      <c r="Q119" s="415" t="n"/>
    </row>
    <row r="120" ht="9.949999999999999" customFormat="1" customHeight="1" s="356">
      <c r="A120" s="366" t="inlineStr">
        <is>
          <t>DD</t>
        </is>
      </c>
      <c r="B120" s="367" t="inlineStr">
        <is>
          <t>K</t>
        </is>
      </c>
      <c r="C120" s="368" t="n"/>
      <c r="D120" s="369" t="n">
        <v>3.65</v>
      </c>
      <c r="E120" s="369" t="n">
        <v>2.8</v>
      </c>
      <c r="F120" s="370">
        <f>IF(D120=0," ",D120*E120)</f>
        <v/>
      </c>
      <c r="G120" s="371" t="n">
        <v>1</v>
      </c>
      <c r="H120" s="372" t="n"/>
      <c r="I120" s="370">
        <f>IF(F120=" "," ",F120*G120-H120)</f>
        <v/>
      </c>
      <c r="J120" s="369" t="n">
        <v>0.479</v>
      </c>
      <c r="K120" s="371" t="n">
        <v>29</v>
      </c>
      <c r="L120" s="373">
        <f>IF(I120=" "," ",I120*J120*K120)</f>
        <v/>
      </c>
      <c r="M120" s="374" t="n">
        <v>7</v>
      </c>
      <c r="N120" s="371" t="n">
        <v>0</v>
      </c>
      <c r="O120" s="374" t="n">
        <v>5</v>
      </c>
      <c r="P120" s="370">
        <f>IF(M120=" "," ",(1+(M120+N120+O120)/100))</f>
        <v/>
      </c>
      <c r="Q120" s="375">
        <f>IF(L120=" "," ",L120*P120)</f>
        <v/>
      </c>
    </row>
    <row r="121" ht="9.949999999999999" customFormat="1" customHeight="1" s="356">
      <c r="A121" s="366" t="inlineStr">
        <is>
          <t>DD25</t>
        </is>
      </c>
      <c r="B121" s="367" t="inlineStr">
        <is>
          <t>K</t>
        </is>
      </c>
      <c r="C121" s="368" t="n"/>
      <c r="D121" s="369">
        <f>D120</f>
        <v/>
      </c>
      <c r="E121" s="369" t="n">
        <v>0.37</v>
      </c>
      <c r="F121" s="370">
        <f>IF(D121=0," ",D121*E121)</f>
        <v/>
      </c>
      <c r="G121" s="371" t="n">
        <v>1</v>
      </c>
      <c r="H121" s="372" t="n"/>
      <c r="I121" s="370">
        <f>IF(F121=" "," ",F121*G121-H121)</f>
        <v/>
      </c>
      <c r="J121" s="369" t="n">
        <v>0.577</v>
      </c>
      <c r="K121" s="371" t="n">
        <v>29</v>
      </c>
      <c r="L121" s="373">
        <f>IF(I121=" "," ",I121*J121*K121)</f>
        <v/>
      </c>
      <c r="M121" s="374" t="n">
        <v>7</v>
      </c>
      <c r="N121" s="371" t="n">
        <v>0</v>
      </c>
      <c r="O121" s="374" t="n">
        <v>5</v>
      </c>
      <c r="P121" s="370">
        <f>IF(M121=" "," ",(1+(M121+N121+O121)/100))</f>
        <v/>
      </c>
      <c r="Q121" s="375">
        <f>IF(L121=" "," ",L121*P121)</f>
        <v/>
      </c>
    </row>
    <row r="122" ht="9.949999999999999" customFormat="1" customHeight="1" s="356">
      <c r="A122" s="366" t="inlineStr">
        <is>
          <t>DD30</t>
        </is>
      </c>
      <c r="B122" s="367" t="inlineStr">
        <is>
          <t>K</t>
        </is>
      </c>
      <c r="C122" s="368" t="n"/>
      <c r="D122" s="369" t="n">
        <v>0.55</v>
      </c>
      <c r="E122" s="369" t="n">
        <v>3.17</v>
      </c>
      <c r="F122" s="370">
        <f>IF(D122=0," ",D122*E122)</f>
        <v/>
      </c>
      <c r="G122" s="371" t="n">
        <v>1</v>
      </c>
      <c r="H122" s="372" t="n"/>
      <c r="I122" s="370">
        <f>IF(F122=" "," ",F122*G122-H122)</f>
        <v/>
      </c>
      <c r="J122" s="369" t="n">
        <v>0.57</v>
      </c>
      <c r="K122" s="371" t="n">
        <v>29</v>
      </c>
      <c r="L122" s="373">
        <f>IF(I122=" "," ",I122*J122*K122)</f>
        <v/>
      </c>
      <c r="M122" s="374" t="n">
        <v>7</v>
      </c>
      <c r="N122" s="371" t="n">
        <v>0</v>
      </c>
      <c r="O122" s="374" t="n">
        <v>5</v>
      </c>
      <c r="P122" s="370">
        <f>IF(M122=" "," ",(1+(M122+N122+O122)/100))</f>
        <v/>
      </c>
      <c r="Q122" s="375">
        <f>IF(L122=" "," ",L122*P122)</f>
        <v/>
      </c>
    </row>
    <row r="123" ht="9.949999999999999" customFormat="1" customHeight="1" s="356">
      <c r="A123" s="366" t="inlineStr">
        <is>
          <t>DD</t>
        </is>
      </c>
      <c r="B123" s="367" t="inlineStr">
        <is>
          <t>D</t>
        </is>
      </c>
      <c r="C123" s="368" t="n"/>
      <c r="D123" s="369" t="n">
        <v>3.95</v>
      </c>
      <c r="E123" s="369" t="n">
        <v>2.8</v>
      </c>
      <c r="F123" s="370">
        <f>IF(D123=0," ",D123*E123)</f>
        <v/>
      </c>
      <c r="G123" s="371" t="n">
        <v>1</v>
      </c>
      <c r="H123" s="372">
        <f>F125*G125</f>
        <v/>
      </c>
      <c r="I123" s="370">
        <f>IF(F123=" "," ",F123*G123-H123)</f>
        <v/>
      </c>
      <c r="J123" s="369" t="n">
        <v>0.479</v>
      </c>
      <c r="K123" s="371" t="n">
        <v>29</v>
      </c>
      <c r="L123" s="373">
        <f>IF(I123=" "," ",I123*J123*K123)</f>
        <v/>
      </c>
      <c r="M123" s="374" t="n">
        <v>7</v>
      </c>
      <c r="N123" s="371" t="n">
        <v>0</v>
      </c>
      <c r="O123" s="374" t="n">
        <v>0</v>
      </c>
      <c r="P123" s="370">
        <f>IF(M123=" "," ",(1+(M123+N123+O123)/100))</f>
        <v/>
      </c>
      <c r="Q123" s="375">
        <f>IF(L123=" "," ",L123*P123)</f>
        <v/>
      </c>
    </row>
    <row r="124" ht="9.949999999999999" customFormat="1" customHeight="1" s="356">
      <c r="A124" s="366" t="inlineStr">
        <is>
          <t>DD25</t>
        </is>
      </c>
      <c r="B124" s="367" t="inlineStr">
        <is>
          <t>D</t>
        </is>
      </c>
      <c r="C124" s="368" t="n"/>
      <c r="D124" s="369">
        <f>D123</f>
        <v/>
      </c>
      <c r="E124" s="369" t="n">
        <v>0.37</v>
      </c>
      <c r="F124" s="370">
        <f>IF(D124=0," ",D124*E124)</f>
        <v/>
      </c>
      <c r="G124" s="371" t="n">
        <v>1</v>
      </c>
      <c r="H124" s="372" t="n"/>
      <c r="I124" s="370">
        <f>IF(F124=" "," ",F124*G124-H124)</f>
        <v/>
      </c>
      <c r="J124" s="369" t="n">
        <v>0.577</v>
      </c>
      <c r="K124" s="371" t="n">
        <v>29</v>
      </c>
      <c r="L124" s="373">
        <f>IF(I124=" "," ",I124*J124*K124)</f>
        <v/>
      </c>
      <c r="M124" s="374" t="n">
        <v>7</v>
      </c>
      <c r="N124" s="371" t="n">
        <v>0</v>
      </c>
      <c r="O124" s="374" t="n">
        <v>0</v>
      </c>
      <c r="P124" s="370">
        <f>IF(M124=" "," ",(1+(M124+N124+O124)/100))</f>
        <v/>
      </c>
      <c r="Q124" s="375">
        <f>IF(L124=" "," ",L124*P124)</f>
        <v/>
      </c>
    </row>
    <row r="125" ht="9.949999999999999" customFormat="1" customHeight="1" s="356">
      <c r="A125" s="366" t="inlineStr">
        <is>
          <t>ÇP</t>
        </is>
      </c>
      <c r="B125" s="367" t="inlineStr">
        <is>
          <t>D</t>
        </is>
      </c>
      <c r="C125" s="368" t="n"/>
      <c r="D125" s="369" t="n">
        <v>3.2</v>
      </c>
      <c r="E125" s="369" t="n">
        <v>2.8</v>
      </c>
      <c r="F125" s="370">
        <f>IF(D125=0," ",D125*E125)</f>
        <v/>
      </c>
      <c r="G125" s="371" t="n">
        <v>1</v>
      </c>
      <c r="H125" s="372" t="n"/>
      <c r="I125" s="370">
        <f>IF(F125=" "," ",F125*G125-H125)</f>
        <v/>
      </c>
      <c r="J125" s="369" t="n">
        <v>2.4</v>
      </c>
      <c r="K125" s="371" t="n">
        <v>29</v>
      </c>
      <c r="L125" s="373">
        <f>IF(I125=" "," ",I125*J125*K125)</f>
        <v/>
      </c>
      <c r="M125" s="374" t="n">
        <v>7</v>
      </c>
      <c r="N125" s="371" t="n">
        <v>0</v>
      </c>
      <c r="O125" s="374" t="n">
        <v>0</v>
      </c>
      <c r="P125" s="370">
        <f>IF(M125=" "," ",(1+(M125+N125+O125)/100))</f>
        <v/>
      </c>
      <c r="Q125" s="376">
        <f>IF(L125=" "," ",L125*P125)</f>
        <v/>
      </c>
    </row>
    <row r="126" ht="9.949999999999999" customFormat="1" customHeight="1" s="356">
      <c r="A126" s="366" t="inlineStr">
        <is>
          <t>DD30</t>
        </is>
      </c>
      <c r="B126" s="367" t="inlineStr">
        <is>
          <t>D</t>
        </is>
      </c>
      <c r="C126" s="368" t="n"/>
      <c r="D126" s="369" t="n">
        <v>1.15</v>
      </c>
      <c r="E126" s="369" t="n">
        <v>3.17</v>
      </c>
      <c r="F126" s="370">
        <f>IF(D126=0," ",D126*E126)</f>
        <v/>
      </c>
      <c r="G126" s="371" t="n">
        <v>1</v>
      </c>
      <c r="H126" s="372" t="n"/>
      <c r="I126" s="370">
        <f>IF(F126=" "," ",F126*G126-H126)</f>
        <v/>
      </c>
      <c r="J126" s="369" t="n">
        <v>0.57</v>
      </c>
      <c r="K126" s="371" t="n">
        <v>29</v>
      </c>
      <c r="L126" s="373">
        <f>IF(I126=" "," ",I126*J126*K126)</f>
        <v/>
      </c>
      <c r="M126" s="374" t="n">
        <v>7</v>
      </c>
      <c r="N126" s="371" t="n">
        <v>0</v>
      </c>
      <c r="O126" s="374" t="n">
        <v>0</v>
      </c>
      <c r="P126" s="370">
        <f>IF(M126=" "," ",(1+(M126+N126+O126)/100))</f>
        <v/>
      </c>
      <c r="Q126" s="375">
        <f>IF(L126=" "," ",L126*P126)</f>
        <v/>
      </c>
    </row>
    <row r="127" ht="9.949999999999999" customFormat="1" customHeight="1" s="356">
      <c r="A127" s="366" t="inlineStr">
        <is>
          <t>Ta</t>
        </is>
      </c>
      <c r="B127" s="367" t="n"/>
      <c r="C127" s="368" t="n"/>
      <c r="D127" s="369" t="n">
        <v>4.2</v>
      </c>
      <c r="E127" s="369" t="n">
        <v>5.1</v>
      </c>
      <c r="F127" s="370">
        <f>IF(D127=0," ",D127*E127)</f>
        <v/>
      </c>
      <c r="G127" s="371" t="n">
        <v>1</v>
      </c>
      <c r="H127" s="372" t="n"/>
      <c r="I127" s="370">
        <f>IF(F127=" "," ",F127*G127-H127)</f>
        <v/>
      </c>
      <c r="J127" s="369" t="n">
        <v>0.318</v>
      </c>
      <c r="K127" s="371" t="n">
        <v>20</v>
      </c>
      <c r="L127" s="373">
        <f>IF(I127=" "," ",I127*J127*K127)</f>
        <v/>
      </c>
      <c r="M127" s="374" t="n">
        <v>7</v>
      </c>
      <c r="N127" s="371" t="n">
        <v>0</v>
      </c>
      <c r="O127" s="374" t="n">
        <v>0</v>
      </c>
      <c r="P127" s="370">
        <f>IF(M127=" "," ",(1+(M127+N127+O127)/100))</f>
        <v/>
      </c>
      <c r="Q127" s="376">
        <f>IF(L127=" "," ",L127*P127)</f>
        <v/>
      </c>
    </row>
    <row r="128" ht="9.949999999999999" customFormat="1" customHeight="1" s="356">
      <c r="A128" s="377" t="n"/>
      <c r="B128" s="378" t="n"/>
      <c r="C128" s="378" t="n"/>
      <c r="D128" s="379" t="n"/>
      <c r="E128" s="379" t="n"/>
      <c r="F128" s="379">
        <f>IF(D128=0," ",D128*E128)</f>
        <v/>
      </c>
      <c r="G128" s="380" t="n"/>
      <c r="H128" s="379" t="n"/>
      <c r="I128" s="379">
        <f>IF(F128=" "," ",F128*G128-H128)</f>
        <v/>
      </c>
      <c r="J128" s="379" t="n"/>
      <c r="K128" s="380" t="n"/>
      <c r="L128" s="381" t="n"/>
      <c r="M128" s="382" t="n"/>
      <c r="N128" s="382" t="n"/>
      <c r="O128" s="382" t="n"/>
      <c r="P128" s="383" t="n"/>
      <c r="Q128" s="384">
        <f>SUM(Q120:Q127)</f>
        <v/>
      </c>
    </row>
    <row r="129" ht="9.949999999999999" customFormat="1" customHeight="1" s="385">
      <c r="A129" s="386" t="n"/>
      <c r="B129" s="387" t="n"/>
      <c r="C129" s="387" t="n"/>
      <c r="D129" s="388" t="n"/>
      <c r="E129" s="389" t="n"/>
      <c r="F129" s="390" t="n"/>
      <c r="G129" s="391" t="n"/>
      <c r="H129" s="390" t="n"/>
      <c r="I129" s="392" t="n"/>
      <c r="J129" s="393" t="inlineStr">
        <is>
          <t>Qs=</t>
        </is>
      </c>
      <c r="K129" s="392" t="inlineStr">
        <is>
          <t>S a</t>
        </is>
      </c>
      <c r="L129" s="390" t="inlineStr">
        <is>
          <t>L</t>
        </is>
      </c>
      <c r="M129" s="391" t="inlineStr">
        <is>
          <t>R</t>
        </is>
      </c>
      <c r="N129" s="394" t="inlineStr">
        <is>
          <t>H</t>
        </is>
      </c>
      <c r="O129" s="395" t="inlineStr">
        <is>
          <t>D  T</t>
        </is>
      </c>
      <c r="P129" s="391" t="inlineStr">
        <is>
          <t>Ze</t>
        </is>
      </c>
      <c r="Q129" s="396" t="n"/>
    </row>
    <row r="130" ht="9.949999999999999" customFormat="1" customHeight="1" s="385">
      <c r="A130" s="397" t="inlineStr">
        <is>
          <t xml:space="preserve"> </t>
        </is>
      </c>
      <c r="C130" s="398" t="n"/>
      <c r="D130" s="398" t="n"/>
      <c r="E130" s="399" t="n"/>
      <c r="F130" s="400" t="n"/>
      <c r="G130" s="401" t="n"/>
      <c r="H130" s="402" t="n"/>
      <c r="I130" s="403" t="n"/>
      <c r="J130" s="404" t="inlineStr">
        <is>
          <t>Qs  =</t>
        </is>
      </c>
      <c r="K130" s="405" t="n">
        <v>2</v>
      </c>
      <c r="L130" s="405">
        <f>(D125+E125)*2*G125</f>
        <v/>
      </c>
      <c r="M130" s="405" t="n">
        <v>0.9</v>
      </c>
      <c r="N130" s="405" t="n">
        <v>0.67</v>
      </c>
      <c r="O130" s="382" t="n">
        <v>29</v>
      </c>
      <c r="P130" s="405" t="n">
        <v>1.2</v>
      </c>
      <c r="Q130" s="384">
        <f>K130*L130*M130*N130*O130*P130</f>
        <v/>
      </c>
    </row>
    <row r="131" ht="9.949999999999999" customFormat="1" customHeight="1" s="351">
      <c r="A131" s="406" t="n"/>
      <c r="B131" s="385" t="n"/>
      <c r="C131" s="398" t="n"/>
      <c r="D131" s="398" t="n"/>
      <c r="E131" s="379" t="n"/>
      <c r="F131" s="256" t="n"/>
      <c r="G131" s="407" t="n"/>
      <c r="H131" s="398" t="n"/>
      <c r="I131" s="398" t="n"/>
      <c r="J131" s="398" t="n"/>
      <c r="K131" s="407" t="n"/>
      <c r="L131" s="408" t="n"/>
      <c r="M131" s="409" t="inlineStr">
        <is>
          <t xml:space="preserve">   TOPLAM ISI KAYBI =</t>
        </is>
      </c>
      <c r="N131" s="409" t="n"/>
      <c r="O131" s="410" t="n"/>
      <c r="P131" s="409" t="n"/>
      <c r="Q131" s="411">
        <f>Q128+Q130</f>
        <v/>
      </c>
    </row>
  </sheetData>
  <mergeCells count="24">
    <mergeCell ref="E50:F50"/>
    <mergeCell ref="I105:J105"/>
    <mergeCell ref="M3:P3"/>
    <mergeCell ref="I27:J27"/>
    <mergeCell ref="E131:F131"/>
    <mergeCell ref="I91:J91"/>
    <mergeCell ref="E38:F38"/>
    <mergeCell ref="E3:H3"/>
    <mergeCell ref="I66:J66"/>
    <mergeCell ref="I86:L86"/>
    <mergeCell ref="E78:F78"/>
    <mergeCell ref="E118:F118"/>
    <mergeCell ref="E65:F65"/>
    <mergeCell ref="E104:F104"/>
    <mergeCell ref="I39:J39"/>
    <mergeCell ref="I8:J8"/>
    <mergeCell ref="E26:F26"/>
    <mergeCell ref="I51:J51"/>
    <mergeCell ref="I3:L3"/>
    <mergeCell ref="A3:D3"/>
    <mergeCell ref="A86:D86"/>
    <mergeCell ref="I119:J119"/>
    <mergeCell ref="E86:H86"/>
    <mergeCell ref="M86:P86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17" min="1" max="1"/>
    <col width="20.99" customWidth="1" style="417" min="2" max="2"/>
    <col width="11.85" customWidth="1" style="417" min="3" max="3"/>
    <col width="10.13" customWidth="1" style="417" min="4" max="4"/>
    <col width="9.99" customWidth="1" style="417" min="5" max="5"/>
    <col width="9.85" customWidth="1" style="417" min="6" max="6"/>
    <col width="16.99" customWidth="1" style="417" min="7" max="7"/>
    <col width="3.28" customWidth="1" style="417" min="8" max="8"/>
    <col width="4.14" customWidth="1" style="417" min="9" max="10"/>
    <col width="3.99" customWidth="1" style="417" min="11" max="11"/>
    <col width="4.14" customWidth="1" style="417" min="12" max="16"/>
    <col width="9.140000000000001" customWidth="1" style="418" min="17" max="21"/>
    <col width="16.7" customWidth="1" style="418" min="22" max="22"/>
    <col width="9.140000000000001" customWidth="1" style="418" min="23" max="257"/>
  </cols>
  <sheetData>
    <row r="1" ht="12.75" customHeight="1" s="244">
      <c r="A1" s="419" t="inlineStr">
        <is>
          <t>dcmmakina</t>
        </is>
      </c>
      <c r="B1" s="275" t="n"/>
      <c r="C1" s="420" t="inlineStr">
        <is>
          <t>RADYATÖR VE TEFERRUAT HESABI CETVELİ</t>
        </is>
      </c>
      <c r="D1" s="250" t="n"/>
      <c r="E1" s="250" t="n"/>
      <c r="F1" s="250" t="n"/>
      <c r="G1" s="275" t="n"/>
      <c r="H1" s="420" t="inlineStr">
        <is>
          <t>SAYFA</t>
        </is>
      </c>
      <c r="I1" s="250" t="n"/>
      <c r="J1" s="250" t="n"/>
      <c r="K1" s="250" t="n"/>
      <c r="L1" s="250" t="n"/>
      <c r="M1" s="275" t="n"/>
      <c r="N1" s="420" t="n">
        <v>7</v>
      </c>
      <c r="O1" s="250" t="n"/>
      <c r="P1" s="275" t="n"/>
    </row>
    <row r="2" ht="8.25" customHeight="1" s="244">
      <c r="A2" s="421" t="n"/>
      <c r="B2" s="422" t="n"/>
      <c r="C2" s="421" t="n"/>
      <c r="G2" s="422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21" t="n"/>
      <c r="B3" s="422" t="n"/>
      <c r="C3" s="421" t="n"/>
      <c r="G3" s="422" t="n"/>
      <c r="H3" s="420" t="inlineStr">
        <is>
          <t>TARİH</t>
        </is>
      </c>
      <c r="I3" s="250" t="n"/>
      <c r="J3" s="250" t="n"/>
      <c r="K3" s="250" t="n"/>
      <c r="L3" s="250" t="n"/>
      <c r="M3" s="275" t="n"/>
      <c r="N3" s="423" t="n">
        <v>43850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20" t="inlineStr">
        <is>
          <t>ODANIN</t>
        </is>
      </c>
      <c r="B5" s="260" t="n"/>
      <c r="C5" s="420" t="inlineStr">
        <is>
          <t>RADYATÖRLERİN</t>
        </is>
      </c>
      <c r="D5" s="264" t="n"/>
      <c r="E5" s="264" t="n"/>
      <c r="F5" s="264" t="n"/>
      <c r="G5" s="260" t="n"/>
      <c r="H5" s="420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20" t="inlineStr">
        <is>
          <t>NO</t>
        </is>
      </c>
      <c r="B6" s="420" t="inlineStr">
        <is>
          <t>ADI</t>
        </is>
      </c>
      <c r="C6" s="424" t="inlineStr">
        <is>
          <t>SICAKLIĞI</t>
        </is>
      </c>
      <c r="D6" s="419" t="inlineStr">
        <is>
          <t>ISI
KAYBI</t>
        </is>
      </c>
      <c r="E6" s="419" t="inlineStr">
        <is>
          <t>BİRİM 
VERİMİ</t>
        </is>
      </c>
      <c r="F6" s="420" t="inlineStr">
        <is>
          <t>VERİMİ</t>
        </is>
      </c>
      <c r="G6" s="420" t="inlineStr">
        <is>
          <t>BORU UZUNLUĞU</t>
        </is>
      </c>
      <c r="H6" s="425" t="inlineStr">
        <is>
          <t>GRUP</t>
        </is>
      </c>
      <c r="I6" s="425" t="inlineStr">
        <is>
          <t>KONSOL</t>
        </is>
      </c>
      <c r="J6" s="425" t="inlineStr">
        <is>
          <t>KELEPÇE</t>
        </is>
      </c>
      <c r="K6" s="420" t="inlineStr">
        <is>
          <t>MUSLUK</t>
        </is>
      </c>
      <c r="L6" s="264" t="n"/>
      <c r="M6" s="260" t="n"/>
      <c r="N6" s="420" t="inlineStr">
        <is>
          <t>REKOR</t>
        </is>
      </c>
      <c r="O6" s="264" t="n"/>
      <c r="P6" s="260" t="n"/>
    </row>
    <row r="7" ht="12.75" customHeight="1" s="244">
      <c r="A7" s="426" t="n"/>
      <c r="B7" s="426" t="n"/>
      <c r="C7" s="426" t="n"/>
      <c r="D7" s="426" t="n"/>
      <c r="E7" s="426" t="n"/>
      <c r="F7" s="426" t="n"/>
      <c r="G7" s="426" t="n"/>
      <c r="H7" s="426" t="n"/>
      <c r="I7" s="426" t="n"/>
      <c r="J7" s="426" t="n"/>
      <c r="K7" s="427" t="inlineStr">
        <is>
          <t>1/2"</t>
        </is>
      </c>
      <c r="L7" s="427" t="inlineStr">
        <is>
          <t>3/4"</t>
        </is>
      </c>
      <c r="M7" s="427" t="inlineStr">
        <is>
          <t>1"</t>
        </is>
      </c>
      <c r="N7" s="427" t="inlineStr">
        <is>
          <t>1/2"</t>
        </is>
      </c>
      <c r="O7" s="427" t="inlineStr">
        <is>
          <t>3/4"</t>
        </is>
      </c>
      <c r="P7" s="427" t="inlineStr">
        <is>
          <t>1"</t>
        </is>
      </c>
    </row>
    <row r="8" ht="6" customHeight="1" s="244">
      <c r="A8" s="426" t="n"/>
      <c r="B8" s="426" t="n"/>
      <c r="C8" s="303" t="n"/>
      <c r="D8" s="303" t="n"/>
      <c r="E8" s="303" t="n"/>
      <c r="F8" s="303" t="n"/>
      <c r="G8" s="303" t="n"/>
      <c r="H8" s="426" t="n"/>
      <c r="I8" s="426" t="n"/>
      <c r="J8" s="426" t="n"/>
      <c r="K8" s="426" t="n"/>
      <c r="L8" s="426" t="n"/>
      <c r="M8" s="426" t="n"/>
      <c r="N8" s="426" t="n"/>
      <c r="O8" s="426" t="n"/>
      <c r="P8" s="426" t="n"/>
    </row>
    <row r="9" ht="12.75" customHeight="1" s="244">
      <c r="A9" s="303" t="n"/>
      <c r="B9" s="303" t="n"/>
      <c r="C9" s="428" t="inlineStr">
        <is>
          <t>0c</t>
        </is>
      </c>
      <c r="D9" s="420" t="inlineStr">
        <is>
          <t>W/h</t>
        </is>
      </c>
      <c r="E9" s="420" t="inlineStr">
        <is>
          <t>W/m2K</t>
        </is>
      </c>
      <c r="F9" s="420" t="inlineStr">
        <is>
          <t>W/m2K</t>
        </is>
      </c>
      <c r="G9" s="420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29" t="inlineStr">
        <is>
          <t>Z01</t>
        </is>
      </c>
      <c r="B10" s="430" t="inlineStr">
        <is>
          <t>SALON+MUTFAK+ANTRE</t>
        </is>
      </c>
      <c r="C10" s="431" t="inlineStr">
        <is>
          <t>22</t>
        </is>
      </c>
      <c r="D10" s="432">
        <f>ZEMİN!Q32</f>
        <v/>
      </c>
      <c r="E10" s="433" t="n">
        <v>17.5</v>
      </c>
      <c r="F10" s="432">
        <f>'YERDEN ISITMA'!N10</f>
        <v/>
      </c>
      <c r="G10" s="429" t="n">
        <v>840</v>
      </c>
      <c r="H10" s="429" t="n">
        <v>1</v>
      </c>
      <c r="I10" s="429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29" t="inlineStr">
        <is>
          <t>Z02</t>
        </is>
      </c>
      <c r="B11" s="429" t="inlineStr">
        <is>
          <t>BANYO</t>
        </is>
      </c>
      <c r="C11" s="431" t="inlineStr">
        <is>
          <t>26</t>
        </is>
      </c>
      <c r="D11" s="432">
        <f>ZEMİN!Q44</f>
        <v/>
      </c>
      <c r="E11" s="433" t="n">
        <v>17.5</v>
      </c>
      <c r="F11" s="432">
        <f>'YERDEN ISITMA'!N11</f>
        <v/>
      </c>
      <c r="G11" s="429" t="n">
        <v>70</v>
      </c>
      <c r="H11" s="429" t="n">
        <v>1</v>
      </c>
      <c r="I11" s="429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29" t="inlineStr">
        <is>
          <t>Z03</t>
        </is>
      </c>
      <c r="B12" s="429" t="inlineStr">
        <is>
          <t>KİLER</t>
        </is>
      </c>
      <c r="C12" s="431" t="inlineStr">
        <is>
          <t>18</t>
        </is>
      </c>
      <c r="D12" s="432">
        <f>ZEMİN!Q57</f>
        <v/>
      </c>
      <c r="E12" s="433" t="n">
        <v>17.5</v>
      </c>
      <c r="F12" s="432">
        <f>'YERDEN ISITMA'!N12</f>
        <v/>
      </c>
      <c r="G12" s="429" t="n">
        <v>42</v>
      </c>
      <c r="H12" s="429" t="n">
        <v>1</v>
      </c>
      <c r="I12" s="429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29" t="inlineStr">
        <is>
          <t>Z04</t>
        </is>
      </c>
      <c r="B13" s="429" t="inlineStr">
        <is>
          <t>ODA</t>
        </is>
      </c>
      <c r="C13" s="431" t="inlineStr">
        <is>
          <t>20</t>
        </is>
      </c>
      <c r="D13" s="432">
        <f>ZEMİN!Q71</f>
        <v/>
      </c>
      <c r="E13" s="433" t="n">
        <v>17.5</v>
      </c>
      <c r="F13" s="432">
        <f>'YERDEN ISITMA'!N13</f>
        <v/>
      </c>
      <c r="G13" s="429" t="n">
        <v>135</v>
      </c>
      <c r="H13" s="429" t="n">
        <v>1</v>
      </c>
      <c r="I13" s="429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29" t="inlineStr">
        <is>
          <t>Z05</t>
        </is>
      </c>
      <c r="B14" s="429" t="inlineStr">
        <is>
          <t>DUŞ</t>
        </is>
      </c>
      <c r="C14" s="431" t="inlineStr">
        <is>
          <t>26</t>
        </is>
      </c>
      <c r="D14" s="432">
        <f>ZEMİN!Q99</f>
        <v/>
      </c>
      <c r="E14" s="433" t="n">
        <v>17.5</v>
      </c>
      <c r="F14" s="432">
        <f>'YERDEN ISITMA'!N14</f>
        <v/>
      </c>
      <c r="G14" s="429" t="n">
        <v>28</v>
      </c>
      <c r="H14" s="429" t="n">
        <v>1</v>
      </c>
      <c r="I14" s="429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29" t="n"/>
      <c r="B15" s="429" t="n"/>
      <c r="C15" s="431" t="n"/>
      <c r="D15" s="432" t="n"/>
      <c r="E15" s="434" t="inlineStr">
        <is>
          <t>TOPLAM =</t>
        </is>
      </c>
      <c r="F15" s="435">
        <f>SUM(F10:F14)</f>
        <v/>
      </c>
      <c r="G15" s="429" t="inlineStr">
        <is>
          <t>watt</t>
        </is>
      </c>
      <c r="H15" s="429" t="n"/>
      <c r="I15" s="429" t="n"/>
      <c r="J15" s="429" t="n"/>
      <c r="K15" s="429" t="n"/>
      <c r="L15" s="429" t="n"/>
      <c r="M15" s="429" t="n"/>
      <c r="N15" s="429" t="n"/>
      <c r="O15" s="429" t="n"/>
      <c r="P15" s="429" t="n"/>
    </row>
    <row r="16" ht="12.75" customHeight="1" s="244">
      <c r="A16" s="429" t="n">
        <v>101</v>
      </c>
      <c r="B16" s="429" t="inlineStr">
        <is>
          <t>EB.+GİYSİ ODASI</t>
        </is>
      </c>
      <c r="C16" s="431" t="inlineStr">
        <is>
          <t>20</t>
        </is>
      </c>
      <c r="D16" s="432">
        <f>'1 NK'!Q26</f>
        <v/>
      </c>
      <c r="E16" s="433" t="n">
        <v>17.5</v>
      </c>
      <c r="F16" s="432">
        <f>'YERDEN ISITMA'!N16</f>
        <v/>
      </c>
      <c r="G16" s="429" t="n">
        <v>252</v>
      </c>
      <c r="H16" s="429" t="n">
        <v>1</v>
      </c>
      <c r="I16" s="429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29" t="n">
        <v>102</v>
      </c>
      <c r="B17" s="429" t="inlineStr">
        <is>
          <t>BANYO</t>
        </is>
      </c>
      <c r="C17" s="431" t="inlineStr">
        <is>
          <t>26</t>
        </is>
      </c>
      <c r="D17" s="432">
        <f>'1 NK'!Q38</f>
        <v/>
      </c>
      <c r="E17" s="433" t="n">
        <v>17.5</v>
      </c>
      <c r="F17" s="432">
        <f>'YERDEN ISITMA'!N17</f>
        <v/>
      </c>
      <c r="G17" s="429" t="n">
        <v>40</v>
      </c>
      <c r="H17" s="429" t="n">
        <v>1</v>
      </c>
      <c r="I17" s="429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29" t="n">
        <v>103</v>
      </c>
      <c r="B18" s="429" t="inlineStr">
        <is>
          <t xml:space="preserve">ANTRE </t>
        </is>
      </c>
      <c r="C18" s="431" t="inlineStr">
        <is>
          <t>18</t>
        </is>
      </c>
      <c r="D18" s="432">
        <f>'1 NK'!Q50</f>
        <v/>
      </c>
      <c r="E18" s="433" t="n">
        <v>17.5</v>
      </c>
      <c r="F18" s="432">
        <f>'YERDEN ISITMA'!N18</f>
        <v/>
      </c>
      <c r="G18" s="429" t="n">
        <v>55</v>
      </c>
      <c r="H18" s="429" t="n">
        <v>1</v>
      </c>
      <c r="I18" s="429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429" t="n">
        <v>104</v>
      </c>
      <c r="B19" s="429" t="inlineStr">
        <is>
          <t>ODA</t>
        </is>
      </c>
      <c r="C19" s="431" t="inlineStr">
        <is>
          <t>20</t>
        </is>
      </c>
      <c r="D19" s="432">
        <f>'1 NK'!Q65</f>
        <v/>
      </c>
      <c r="E19" s="433" t="n">
        <v>17.5</v>
      </c>
      <c r="F19" s="432">
        <f>'YERDEN ISITMA'!N19</f>
        <v/>
      </c>
      <c r="G19" s="429" t="n">
        <v>133</v>
      </c>
      <c r="H19" s="429" t="n">
        <v>1</v>
      </c>
      <c r="I19" s="429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29" t="n">
        <v>105</v>
      </c>
      <c r="B20" s="429" t="inlineStr">
        <is>
          <t>BANYO</t>
        </is>
      </c>
      <c r="C20" s="431" t="inlineStr">
        <is>
          <t>26</t>
        </is>
      </c>
      <c r="D20" s="432">
        <f>'1 NK'!Q78</f>
        <v/>
      </c>
      <c r="E20" s="433" t="n">
        <v>17.5</v>
      </c>
      <c r="F20" s="432">
        <f>'YERDEN ISITMA'!N20</f>
        <v/>
      </c>
      <c r="G20" s="429" t="n">
        <v>75</v>
      </c>
      <c r="H20" s="429" t="n">
        <v>1</v>
      </c>
      <c r="I20" s="429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29" t="n">
        <v>106</v>
      </c>
      <c r="B21" s="429" t="inlineStr">
        <is>
          <t>SAUNA</t>
        </is>
      </c>
      <c r="C21" s="431" t="inlineStr">
        <is>
          <t>30</t>
        </is>
      </c>
      <c r="D21" s="432">
        <f>'1 NK'!Q104</f>
        <v/>
      </c>
      <c r="E21" s="433" t="n">
        <v>17.5</v>
      </c>
      <c r="F21" s="432">
        <f>'YERDEN ISITMA'!N21</f>
        <v/>
      </c>
      <c r="G21" s="429" t="n">
        <v>28</v>
      </c>
      <c r="H21" s="429" t="n">
        <v>1</v>
      </c>
      <c r="I21" s="429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29" t="n">
        <v>107</v>
      </c>
      <c r="B22" s="429" t="inlineStr">
        <is>
          <t>ODA</t>
        </is>
      </c>
      <c r="C22" s="431" t="inlineStr">
        <is>
          <t>20</t>
        </is>
      </c>
      <c r="D22" s="432">
        <f>'1 NK'!Q118</f>
        <v/>
      </c>
      <c r="E22" s="433" t="n">
        <v>17.5</v>
      </c>
      <c r="F22" s="432">
        <f>'YERDEN ISITMA'!N22</f>
        <v/>
      </c>
      <c r="G22" s="429" t="n">
        <v>173</v>
      </c>
      <c r="H22" s="429" t="n">
        <v>1</v>
      </c>
      <c r="I22" s="429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429" t="n">
        <v>108</v>
      </c>
      <c r="B23" s="429" t="inlineStr">
        <is>
          <t>ODA</t>
        </is>
      </c>
      <c r="C23" s="431" t="inlineStr">
        <is>
          <t>20</t>
        </is>
      </c>
      <c r="D23" s="432">
        <f>'1 NK'!Q131</f>
        <v/>
      </c>
      <c r="E23" s="433" t="n">
        <v>17.5</v>
      </c>
      <c r="F23" s="432">
        <f>'YERDEN ISITMA'!N23</f>
        <v/>
      </c>
      <c r="G23" s="429" t="n">
        <v>174</v>
      </c>
      <c r="H23" s="429" t="n">
        <v>1</v>
      </c>
      <c r="I23" s="429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29" t="n"/>
      <c r="B24" s="429" t="n"/>
      <c r="C24" s="431" t="n"/>
      <c r="D24" s="432" t="n"/>
      <c r="E24" s="434" t="inlineStr">
        <is>
          <t>TOPLAM =</t>
        </is>
      </c>
      <c r="F24" s="435">
        <f>SUM(F16:F23)</f>
        <v/>
      </c>
      <c r="G24" s="429" t="inlineStr">
        <is>
          <t>watt</t>
        </is>
      </c>
      <c r="H24" s="429" t="n"/>
      <c r="I24" s="429" t="n"/>
      <c r="J24" s="429" t="n"/>
      <c r="K24" s="429" t="n"/>
      <c r="L24" s="429" t="n"/>
      <c r="M24" s="429" t="n"/>
      <c r="N24" s="429" t="n"/>
      <c r="O24" s="429" t="n"/>
      <c r="P24" s="429" t="n"/>
    </row>
  </sheetData>
  <mergeCells count="40">
    <mergeCell ref="P7:P9"/>
    <mergeCell ref="I11:P11"/>
    <mergeCell ref="C5:G5"/>
    <mergeCell ref="H6:H9"/>
    <mergeCell ref="J6:J9"/>
    <mergeCell ref="H1:M2"/>
    <mergeCell ref="K7:K9"/>
    <mergeCell ref="O7:O9"/>
    <mergeCell ref="A6:A9"/>
    <mergeCell ref="I16:P16"/>
    <mergeCell ref="I22:P22"/>
    <mergeCell ref="C6:C8"/>
    <mergeCell ref="D6:D8"/>
    <mergeCell ref="N7:N9"/>
    <mergeCell ref="N6:P6"/>
    <mergeCell ref="F6:F8"/>
    <mergeCell ref="N3:P4"/>
    <mergeCell ref="I12:P12"/>
    <mergeCell ref="I18:P18"/>
    <mergeCell ref="I21:P21"/>
    <mergeCell ref="K6:M6"/>
    <mergeCell ref="L7:L9"/>
    <mergeCell ref="H5:P5"/>
    <mergeCell ref="A5:B5"/>
    <mergeCell ref="B6:B9"/>
    <mergeCell ref="I14:P14"/>
    <mergeCell ref="I17:P17"/>
    <mergeCell ref="I23:P23"/>
    <mergeCell ref="E6:E8"/>
    <mergeCell ref="I20:P20"/>
    <mergeCell ref="N1:P2"/>
    <mergeCell ref="M7:M9"/>
    <mergeCell ref="A1:B4"/>
    <mergeCell ref="I19:P19"/>
    <mergeCell ref="I10:P10"/>
    <mergeCell ref="G6:G8"/>
    <mergeCell ref="C1:G4"/>
    <mergeCell ref="I6:I9"/>
    <mergeCell ref="I13:P13"/>
    <mergeCell ref="H3:M4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U23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36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37" t="inlineStr">
        <is>
          <t>dcmmakina</t>
        </is>
      </c>
      <c r="B1" s="275" t="n"/>
      <c r="C1" s="438" t="inlineStr">
        <is>
          <t>ZEMİNDEN ISITMA MODÜLASYON HESABI</t>
        </is>
      </c>
      <c r="D1" s="250" t="n"/>
      <c r="E1" s="250" t="n"/>
      <c r="F1" s="250" t="n"/>
      <c r="G1" s="275" t="n"/>
      <c r="H1" s="420" t="inlineStr">
        <is>
          <t>SAYFA</t>
        </is>
      </c>
      <c r="I1" s="250" t="n"/>
      <c r="J1" s="250" t="n"/>
      <c r="K1" s="275" t="n"/>
      <c r="L1" s="420" t="n">
        <v>8</v>
      </c>
      <c r="M1" s="250" t="n"/>
      <c r="N1" s="275" t="n"/>
      <c r="O1" s="439" t="n"/>
      <c r="P1" s="439" t="n"/>
    </row>
    <row r="2" ht="12.75" customHeight="1" s="244">
      <c r="A2" s="421" t="n"/>
      <c r="B2" s="422" t="n"/>
      <c r="C2" s="421" t="n"/>
      <c r="G2" s="422" t="n"/>
      <c r="H2" s="278" t="n"/>
      <c r="I2" s="256" t="n"/>
      <c r="J2" s="256" t="n"/>
      <c r="K2" s="277" t="n"/>
      <c r="L2" s="278" t="n"/>
      <c r="M2" s="256" t="n"/>
      <c r="N2" s="277" t="n"/>
      <c r="O2" s="439" t="n"/>
      <c r="P2" s="439" t="n"/>
    </row>
    <row r="3" ht="14.25" customHeight="1" s="244">
      <c r="A3" s="421" t="n"/>
      <c r="B3" s="422" t="n"/>
      <c r="C3" s="421" t="n"/>
      <c r="G3" s="422" t="n"/>
      <c r="H3" s="438" t="inlineStr">
        <is>
          <t>TARİH</t>
        </is>
      </c>
      <c r="I3" s="250" t="n"/>
      <c r="J3" s="250" t="n"/>
      <c r="K3" s="275" t="n"/>
      <c r="L3" s="423">
        <f>kapak!G41</f>
        <v/>
      </c>
      <c r="M3" s="250" t="n"/>
      <c r="N3" s="275" t="n"/>
      <c r="O3" s="439" t="n"/>
      <c r="P3" s="439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0" t="n"/>
      <c r="AE3" s="440" t="n"/>
      <c r="AF3" s="440" t="n"/>
      <c r="AG3" s="440" t="n"/>
      <c r="AH3" s="440" t="n"/>
      <c r="AI3" s="440" t="n"/>
      <c r="AJ3" s="440" t="n"/>
      <c r="AK3" s="440" t="n"/>
      <c r="AL3" s="440" t="n"/>
      <c r="AM3" s="440" t="n"/>
      <c r="AN3" s="440" t="n"/>
      <c r="AO3" s="440" t="n"/>
      <c r="AP3" s="440" t="n"/>
      <c r="AQ3" s="440" t="n"/>
      <c r="AR3" s="440" t="n"/>
      <c r="AS3" s="440" t="n"/>
      <c r="AT3" s="440" t="n"/>
      <c r="AU3" s="440" t="n"/>
      <c r="AV3" s="440" t="n"/>
      <c r="AW3" s="440" t="n"/>
      <c r="AX3" s="440" t="n"/>
      <c r="AY3" s="440" t="n"/>
      <c r="AZ3" s="440" t="n"/>
      <c r="BA3" s="440" t="n"/>
      <c r="BB3" s="440" t="n"/>
      <c r="BC3" s="440" t="n"/>
      <c r="BD3" s="440" t="n"/>
      <c r="BE3" s="440" t="n"/>
      <c r="BF3" s="440" t="n"/>
      <c r="BG3" s="440" t="n"/>
      <c r="BH3" s="440" t="n"/>
      <c r="BI3" s="440" t="n"/>
      <c r="BJ3" s="440" t="n"/>
      <c r="BK3" s="440" t="n"/>
      <c r="BL3" s="440" t="n"/>
      <c r="BM3" s="440" t="n"/>
      <c r="BN3" s="440" t="n"/>
      <c r="BO3" s="440" t="n"/>
      <c r="BP3" s="440" t="n"/>
      <c r="BQ3" s="440" t="n"/>
      <c r="BR3" s="440" t="n"/>
      <c r="BS3" s="440" t="n"/>
      <c r="BT3" s="440" t="n"/>
      <c r="BU3" s="440" t="n"/>
      <c r="BV3" s="440" t="n"/>
      <c r="BW3" s="440" t="n"/>
      <c r="BX3" s="440" t="n"/>
      <c r="BY3" s="440" t="n"/>
      <c r="BZ3" s="440" t="n"/>
      <c r="CA3" s="440" t="n"/>
      <c r="CB3" s="440" t="n"/>
      <c r="CC3" s="440" t="n"/>
      <c r="CD3" s="440" t="n"/>
      <c r="CE3" s="440" t="n"/>
      <c r="CF3" s="440" t="n"/>
      <c r="CG3" s="440" t="n"/>
      <c r="CH3" s="440" t="n"/>
      <c r="CI3" s="440" t="n"/>
      <c r="CJ3" s="440" t="n"/>
      <c r="CK3" s="440" t="n"/>
      <c r="CL3" s="440" t="n"/>
      <c r="CM3" s="440" t="n"/>
      <c r="CN3" s="440" t="n"/>
      <c r="CO3" s="440" t="n"/>
      <c r="CP3" s="440" t="n"/>
      <c r="CQ3" s="440" t="n"/>
      <c r="CR3" s="440" t="n"/>
      <c r="CS3" s="440" t="n"/>
      <c r="CT3" s="440" t="n"/>
      <c r="CU3" s="440" t="n"/>
      <c r="CV3" s="440" t="n"/>
      <c r="CW3" s="440" t="n"/>
      <c r="CX3" s="440" t="n"/>
      <c r="CY3" s="440" t="n"/>
      <c r="CZ3" s="440" t="n"/>
      <c r="DA3" s="440" t="n"/>
      <c r="DB3" s="440" t="n"/>
      <c r="DC3" s="440" t="n"/>
      <c r="DD3" s="440" t="n"/>
      <c r="DE3" s="440" t="n"/>
      <c r="DF3" s="440" t="n"/>
      <c r="DG3" s="440" t="n"/>
      <c r="DH3" s="440" t="n"/>
      <c r="DI3" s="440" t="n"/>
      <c r="DJ3" s="440" t="n"/>
      <c r="DK3" s="440" t="n"/>
      <c r="DL3" s="440" t="n"/>
      <c r="DM3" s="440" t="n"/>
      <c r="DN3" s="440" t="n"/>
      <c r="DO3" s="440" t="n"/>
      <c r="DP3" s="440" t="n"/>
      <c r="DQ3" s="440" t="n"/>
      <c r="DR3" s="440" t="n"/>
      <c r="DS3" s="440" t="n"/>
      <c r="DT3" s="440" t="n"/>
      <c r="DU3" s="440" t="n"/>
      <c r="DV3" s="440" t="n"/>
      <c r="DW3" s="440" t="n"/>
      <c r="DX3" s="440" t="n"/>
      <c r="DY3" s="440" t="n"/>
      <c r="DZ3" s="440" t="n"/>
      <c r="EA3" s="440" t="n"/>
      <c r="EB3" s="440" t="n"/>
      <c r="EC3" s="440" t="n"/>
      <c r="ED3" s="440" t="n"/>
      <c r="EE3" s="440" t="n"/>
      <c r="EF3" s="440" t="n"/>
      <c r="EG3" s="440" t="n"/>
      <c r="EH3" s="440" t="n"/>
      <c r="EI3" s="440" t="n"/>
      <c r="EJ3" s="440" t="n"/>
      <c r="EK3" s="440" t="n"/>
      <c r="EL3" s="440" t="n"/>
      <c r="EM3" s="440" t="n"/>
      <c r="EN3" s="440" t="n"/>
      <c r="EO3" s="440" t="n"/>
      <c r="EP3" s="440" t="n"/>
      <c r="EQ3" s="440" t="n"/>
      <c r="ER3" s="440" t="n"/>
      <c r="ES3" s="440" t="n"/>
      <c r="ET3" s="440" t="n"/>
      <c r="EU3" s="440" t="n"/>
      <c r="EV3" s="440" t="n"/>
      <c r="EW3" s="440" t="n"/>
      <c r="EX3" s="440" t="n"/>
      <c r="EY3" s="440" t="n"/>
      <c r="EZ3" s="440" t="n"/>
      <c r="FA3" s="440" t="n"/>
      <c r="FB3" s="440" t="n"/>
      <c r="FC3" s="440" t="n"/>
      <c r="FD3" s="440" t="n"/>
      <c r="FE3" s="440" t="n"/>
      <c r="FF3" s="440" t="n"/>
      <c r="FG3" s="440" t="n"/>
      <c r="FH3" s="440" t="n"/>
      <c r="FI3" s="440" t="n"/>
      <c r="FJ3" s="440" t="n"/>
      <c r="FK3" s="440" t="n"/>
      <c r="FL3" s="440" t="n"/>
      <c r="FM3" s="440" t="n"/>
      <c r="FN3" s="440" t="n"/>
      <c r="FO3" s="440" t="n"/>
      <c r="FP3" s="440" t="n"/>
      <c r="FQ3" s="440" t="n"/>
      <c r="FR3" s="440" t="n"/>
      <c r="FS3" s="440" t="n"/>
      <c r="FT3" s="440" t="n"/>
      <c r="FU3" s="440" t="n"/>
      <c r="FV3" s="440" t="n"/>
      <c r="FW3" s="440" t="n"/>
      <c r="FX3" s="440" t="n"/>
      <c r="FY3" s="440" t="n"/>
      <c r="FZ3" s="440" t="n"/>
      <c r="GA3" s="440" t="n"/>
      <c r="GB3" s="440" t="n"/>
      <c r="GC3" s="440" t="n"/>
      <c r="GD3" s="440" t="n"/>
      <c r="GE3" s="440" t="n"/>
      <c r="GF3" s="440" t="n"/>
      <c r="GG3" s="440" t="n"/>
      <c r="GH3" s="440" t="n"/>
      <c r="GI3" s="440" t="n"/>
      <c r="GJ3" s="440" t="n"/>
      <c r="GK3" s="440" t="n"/>
      <c r="GL3" s="440" t="n"/>
      <c r="GM3" s="440" t="n"/>
      <c r="GN3" s="440" t="n"/>
      <c r="GO3" s="440" t="n"/>
      <c r="GP3" s="440" t="n"/>
      <c r="GQ3" s="440" t="n"/>
      <c r="GR3" s="440" t="n"/>
      <c r="GS3" s="440" t="n"/>
      <c r="GT3" s="440" t="n"/>
      <c r="GU3" s="440" t="n"/>
      <c r="GV3" s="440" t="n"/>
      <c r="GW3" s="440" t="n"/>
      <c r="GX3" s="440" t="n"/>
      <c r="GY3" s="440" t="n"/>
      <c r="GZ3" s="440" t="n"/>
      <c r="HA3" s="440" t="n"/>
      <c r="HB3" s="440" t="n"/>
      <c r="HC3" s="440" t="n"/>
      <c r="HD3" s="440" t="n"/>
      <c r="HE3" s="440" t="n"/>
      <c r="HF3" s="440" t="n"/>
      <c r="HG3" s="440" t="n"/>
      <c r="HH3" s="440" t="n"/>
      <c r="HI3" s="440" t="n"/>
      <c r="HJ3" s="440" t="n"/>
      <c r="HK3" s="440" t="n"/>
      <c r="HL3" s="440" t="n"/>
      <c r="HM3" s="440" t="n"/>
      <c r="HN3" s="440" t="n"/>
      <c r="HO3" s="440" t="n"/>
      <c r="HP3" s="440" t="n"/>
      <c r="HQ3" s="440" t="n"/>
      <c r="HR3" s="440" t="n"/>
      <c r="HS3" s="440" t="n"/>
      <c r="HT3" s="440" t="n"/>
      <c r="HU3" s="440" t="n"/>
      <c r="HV3" s="440" t="n"/>
      <c r="HW3" s="440" t="n"/>
      <c r="HX3" s="440" t="n"/>
      <c r="HY3" s="440" t="n"/>
      <c r="HZ3" s="440" t="n"/>
      <c r="IA3" s="440" t="n"/>
      <c r="IB3" s="440" t="n"/>
      <c r="IC3" s="440" t="n"/>
      <c r="ID3" s="440" t="n"/>
      <c r="IE3" s="440" t="n"/>
      <c r="IF3" s="440" t="n"/>
      <c r="IG3" s="440" t="n"/>
      <c r="IH3" s="440" t="n"/>
      <c r="II3" s="440" t="n"/>
      <c r="IJ3" s="440" t="n"/>
      <c r="IK3" s="440" t="n"/>
      <c r="IL3" s="440" t="n"/>
      <c r="IM3" s="440" t="n"/>
      <c r="IN3" s="440" t="n"/>
      <c r="IO3" s="440" t="n"/>
      <c r="IP3" s="440" t="n"/>
      <c r="IQ3" s="440" t="n"/>
      <c r="IR3" s="440" t="n"/>
      <c r="IS3" s="440" t="n"/>
      <c r="IT3" s="440" t="n"/>
      <c r="IU3" s="440" t="n"/>
    </row>
    <row r="4" ht="14.25" customHeight="1" s="244">
      <c r="A4" s="421" t="n"/>
      <c r="B4" s="422" t="n"/>
      <c r="C4" s="421" t="n"/>
      <c r="G4" s="422" t="n"/>
      <c r="H4" s="421" t="n"/>
      <c r="K4" s="422" t="n"/>
      <c r="L4" s="278" t="n"/>
      <c r="M4" s="256" t="n"/>
      <c r="N4" s="277" t="n"/>
      <c r="O4" s="439" t="n"/>
      <c r="P4" s="439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0" t="n"/>
      <c r="AE4" s="440" t="n"/>
      <c r="AF4" s="440" t="n"/>
      <c r="AG4" s="440" t="n"/>
      <c r="AH4" s="440" t="n"/>
      <c r="AI4" s="440" t="n"/>
      <c r="AJ4" s="440" t="n"/>
      <c r="AK4" s="440" t="n"/>
      <c r="AL4" s="440" t="n"/>
      <c r="AM4" s="440" t="n"/>
      <c r="AN4" s="440" t="n"/>
      <c r="AO4" s="440" t="n"/>
      <c r="AP4" s="440" t="n"/>
      <c r="AQ4" s="440" t="n"/>
      <c r="AR4" s="440" t="n"/>
      <c r="AS4" s="440" t="n"/>
      <c r="AT4" s="440" t="n"/>
      <c r="AU4" s="440" t="n"/>
      <c r="AV4" s="440" t="n"/>
      <c r="AW4" s="440" t="n"/>
      <c r="AX4" s="440" t="n"/>
      <c r="AY4" s="440" t="n"/>
      <c r="AZ4" s="440" t="n"/>
      <c r="BA4" s="440" t="n"/>
      <c r="BB4" s="440" t="n"/>
      <c r="BC4" s="440" t="n"/>
      <c r="BD4" s="440" t="n"/>
      <c r="BE4" s="440" t="n"/>
      <c r="BF4" s="440" t="n"/>
      <c r="BG4" s="440" t="n"/>
      <c r="BH4" s="440" t="n"/>
      <c r="BI4" s="440" t="n"/>
      <c r="BJ4" s="440" t="n"/>
      <c r="BK4" s="440" t="n"/>
      <c r="BL4" s="440" t="n"/>
      <c r="BM4" s="440" t="n"/>
      <c r="BN4" s="440" t="n"/>
      <c r="BO4" s="440" t="n"/>
      <c r="BP4" s="440" t="n"/>
      <c r="BQ4" s="440" t="n"/>
      <c r="BR4" s="440" t="n"/>
      <c r="BS4" s="440" t="n"/>
      <c r="BT4" s="440" t="n"/>
      <c r="BU4" s="440" t="n"/>
      <c r="BV4" s="440" t="n"/>
      <c r="BW4" s="440" t="n"/>
      <c r="BX4" s="440" t="n"/>
      <c r="BY4" s="440" t="n"/>
      <c r="BZ4" s="440" t="n"/>
      <c r="CA4" s="440" t="n"/>
      <c r="CB4" s="440" t="n"/>
      <c r="CC4" s="440" t="n"/>
      <c r="CD4" s="440" t="n"/>
      <c r="CE4" s="440" t="n"/>
      <c r="CF4" s="440" t="n"/>
      <c r="CG4" s="440" t="n"/>
      <c r="CH4" s="440" t="n"/>
      <c r="CI4" s="440" t="n"/>
      <c r="CJ4" s="440" t="n"/>
      <c r="CK4" s="440" t="n"/>
      <c r="CL4" s="440" t="n"/>
      <c r="CM4" s="440" t="n"/>
      <c r="CN4" s="440" t="n"/>
      <c r="CO4" s="440" t="n"/>
      <c r="CP4" s="440" t="n"/>
      <c r="CQ4" s="440" t="n"/>
      <c r="CR4" s="440" t="n"/>
      <c r="CS4" s="440" t="n"/>
      <c r="CT4" s="440" t="n"/>
      <c r="CU4" s="440" t="n"/>
      <c r="CV4" s="440" t="n"/>
      <c r="CW4" s="440" t="n"/>
      <c r="CX4" s="440" t="n"/>
      <c r="CY4" s="440" t="n"/>
      <c r="CZ4" s="440" t="n"/>
      <c r="DA4" s="440" t="n"/>
      <c r="DB4" s="440" t="n"/>
      <c r="DC4" s="440" t="n"/>
      <c r="DD4" s="440" t="n"/>
      <c r="DE4" s="440" t="n"/>
      <c r="DF4" s="440" t="n"/>
      <c r="DG4" s="440" t="n"/>
      <c r="DH4" s="440" t="n"/>
      <c r="DI4" s="440" t="n"/>
      <c r="DJ4" s="440" t="n"/>
      <c r="DK4" s="440" t="n"/>
      <c r="DL4" s="440" t="n"/>
      <c r="DM4" s="440" t="n"/>
      <c r="DN4" s="440" t="n"/>
      <c r="DO4" s="440" t="n"/>
      <c r="DP4" s="440" t="n"/>
      <c r="DQ4" s="440" t="n"/>
      <c r="DR4" s="440" t="n"/>
      <c r="DS4" s="440" t="n"/>
      <c r="DT4" s="440" t="n"/>
      <c r="DU4" s="440" t="n"/>
      <c r="DV4" s="440" t="n"/>
      <c r="DW4" s="440" t="n"/>
      <c r="DX4" s="440" t="n"/>
      <c r="DY4" s="440" t="n"/>
      <c r="DZ4" s="440" t="n"/>
      <c r="EA4" s="440" t="n"/>
      <c r="EB4" s="440" t="n"/>
      <c r="EC4" s="440" t="n"/>
      <c r="ED4" s="440" t="n"/>
      <c r="EE4" s="440" t="n"/>
      <c r="EF4" s="440" t="n"/>
      <c r="EG4" s="440" t="n"/>
      <c r="EH4" s="440" t="n"/>
      <c r="EI4" s="440" t="n"/>
      <c r="EJ4" s="440" t="n"/>
      <c r="EK4" s="440" t="n"/>
      <c r="EL4" s="440" t="n"/>
      <c r="EM4" s="440" t="n"/>
      <c r="EN4" s="440" t="n"/>
      <c r="EO4" s="440" t="n"/>
      <c r="EP4" s="440" t="n"/>
      <c r="EQ4" s="440" t="n"/>
      <c r="ER4" s="440" t="n"/>
      <c r="ES4" s="440" t="n"/>
      <c r="ET4" s="440" t="n"/>
      <c r="EU4" s="440" t="n"/>
      <c r="EV4" s="440" t="n"/>
      <c r="EW4" s="440" t="n"/>
      <c r="EX4" s="440" t="n"/>
      <c r="EY4" s="440" t="n"/>
      <c r="EZ4" s="440" t="n"/>
      <c r="FA4" s="440" t="n"/>
      <c r="FB4" s="440" t="n"/>
      <c r="FC4" s="440" t="n"/>
      <c r="FD4" s="440" t="n"/>
      <c r="FE4" s="440" t="n"/>
      <c r="FF4" s="440" t="n"/>
      <c r="FG4" s="440" t="n"/>
      <c r="FH4" s="440" t="n"/>
      <c r="FI4" s="440" t="n"/>
      <c r="FJ4" s="440" t="n"/>
      <c r="FK4" s="440" t="n"/>
      <c r="FL4" s="440" t="n"/>
      <c r="FM4" s="440" t="n"/>
      <c r="FN4" s="440" t="n"/>
      <c r="FO4" s="440" t="n"/>
      <c r="FP4" s="440" t="n"/>
      <c r="FQ4" s="440" t="n"/>
      <c r="FR4" s="440" t="n"/>
      <c r="FS4" s="440" t="n"/>
      <c r="FT4" s="440" t="n"/>
      <c r="FU4" s="440" t="n"/>
      <c r="FV4" s="440" t="n"/>
      <c r="FW4" s="440" t="n"/>
      <c r="FX4" s="440" t="n"/>
      <c r="FY4" s="440" t="n"/>
      <c r="FZ4" s="440" t="n"/>
      <c r="GA4" s="440" t="n"/>
      <c r="GB4" s="440" t="n"/>
      <c r="GC4" s="440" t="n"/>
      <c r="GD4" s="440" t="n"/>
      <c r="GE4" s="440" t="n"/>
      <c r="GF4" s="440" t="n"/>
      <c r="GG4" s="440" t="n"/>
      <c r="GH4" s="440" t="n"/>
      <c r="GI4" s="440" t="n"/>
      <c r="GJ4" s="440" t="n"/>
      <c r="GK4" s="440" t="n"/>
      <c r="GL4" s="440" t="n"/>
      <c r="GM4" s="440" t="n"/>
      <c r="GN4" s="440" t="n"/>
      <c r="GO4" s="440" t="n"/>
      <c r="GP4" s="440" t="n"/>
      <c r="GQ4" s="440" t="n"/>
      <c r="GR4" s="440" t="n"/>
      <c r="GS4" s="440" t="n"/>
      <c r="GT4" s="440" t="n"/>
      <c r="GU4" s="440" t="n"/>
      <c r="GV4" s="440" t="n"/>
      <c r="GW4" s="440" t="n"/>
      <c r="GX4" s="440" t="n"/>
      <c r="GY4" s="440" t="n"/>
      <c r="GZ4" s="440" t="n"/>
      <c r="HA4" s="440" t="n"/>
      <c r="HB4" s="440" t="n"/>
      <c r="HC4" s="440" t="n"/>
      <c r="HD4" s="440" t="n"/>
      <c r="HE4" s="440" t="n"/>
      <c r="HF4" s="440" t="n"/>
      <c r="HG4" s="440" t="n"/>
      <c r="HH4" s="440" t="n"/>
      <c r="HI4" s="440" t="n"/>
      <c r="HJ4" s="440" t="n"/>
      <c r="HK4" s="440" t="n"/>
      <c r="HL4" s="440" t="n"/>
      <c r="HM4" s="440" t="n"/>
      <c r="HN4" s="440" t="n"/>
      <c r="HO4" s="440" t="n"/>
      <c r="HP4" s="440" t="n"/>
      <c r="HQ4" s="440" t="n"/>
      <c r="HR4" s="440" t="n"/>
      <c r="HS4" s="440" t="n"/>
      <c r="HT4" s="440" t="n"/>
      <c r="HU4" s="440" t="n"/>
      <c r="HV4" s="440" t="n"/>
      <c r="HW4" s="440" t="n"/>
      <c r="HX4" s="440" t="n"/>
      <c r="HY4" s="440" t="n"/>
      <c r="HZ4" s="440" t="n"/>
      <c r="IA4" s="440" t="n"/>
      <c r="IB4" s="440" t="n"/>
      <c r="IC4" s="440" t="n"/>
      <c r="ID4" s="440" t="n"/>
      <c r="IE4" s="440" t="n"/>
      <c r="IF4" s="440" t="n"/>
      <c r="IG4" s="440" t="n"/>
      <c r="IH4" s="440" t="n"/>
      <c r="II4" s="440" t="n"/>
      <c r="IJ4" s="440" t="n"/>
      <c r="IK4" s="440" t="n"/>
      <c r="IL4" s="440" t="n"/>
      <c r="IM4" s="440" t="n"/>
      <c r="IN4" s="440" t="n"/>
      <c r="IO4" s="440" t="n"/>
      <c r="IP4" s="440" t="n"/>
      <c r="IQ4" s="440" t="n"/>
      <c r="IR4" s="440" t="n"/>
      <c r="IS4" s="440" t="n"/>
      <c r="IT4" s="440" t="n"/>
      <c r="IU4" s="440" t="n"/>
    </row>
    <row r="5" ht="14.25" customHeight="1" s="244">
      <c r="A5" s="441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41">
        <f>kapak!C31</f>
        <v/>
      </c>
      <c r="I5" s="264" t="n"/>
      <c r="J5" s="264" t="n"/>
      <c r="K5" s="264" t="n"/>
      <c r="L5" s="264" t="n"/>
      <c r="M5" s="264" t="n"/>
      <c r="N5" s="260" t="n"/>
      <c r="O5" s="440" t="n"/>
      <c r="P5" s="442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0" t="n"/>
      <c r="AO5" s="440" t="n"/>
      <c r="AP5" s="440" t="n"/>
      <c r="AQ5" s="440" t="n"/>
      <c r="AR5" s="440" t="n"/>
      <c r="AS5" s="440" t="n"/>
      <c r="AT5" s="440" t="n"/>
      <c r="AU5" s="440" t="n"/>
      <c r="AV5" s="440" t="n"/>
      <c r="AW5" s="440" t="n"/>
      <c r="AX5" s="440" t="n"/>
      <c r="AY5" s="440" t="n"/>
      <c r="AZ5" s="440" t="n"/>
      <c r="BA5" s="440" t="n"/>
      <c r="BB5" s="440" t="n"/>
      <c r="BC5" s="440" t="n"/>
      <c r="BD5" s="440" t="n"/>
      <c r="BE5" s="440" t="n"/>
      <c r="BF5" s="440" t="n"/>
      <c r="BG5" s="440" t="n"/>
      <c r="BH5" s="440" t="n"/>
      <c r="BI5" s="440" t="n"/>
      <c r="BJ5" s="440" t="n"/>
      <c r="BK5" s="440" t="n"/>
      <c r="BL5" s="440" t="n"/>
      <c r="BM5" s="440" t="n"/>
      <c r="BN5" s="440" t="n"/>
      <c r="BO5" s="440" t="n"/>
      <c r="BP5" s="440" t="n"/>
      <c r="BQ5" s="440" t="n"/>
      <c r="BR5" s="440" t="n"/>
      <c r="BS5" s="440" t="n"/>
      <c r="BT5" s="440" t="n"/>
      <c r="BU5" s="440" t="n"/>
      <c r="BV5" s="440" t="n"/>
      <c r="BW5" s="440" t="n"/>
      <c r="BX5" s="440" t="n"/>
      <c r="BY5" s="440" t="n"/>
      <c r="BZ5" s="440" t="n"/>
      <c r="CA5" s="440" t="n"/>
      <c r="CB5" s="440" t="n"/>
      <c r="CC5" s="440" t="n"/>
      <c r="CD5" s="440" t="n"/>
      <c r="CE5" s="440" t="n"/>
      <c r="CF5" s="440" t="n"/>
      <c r="CG5" s="440" t="n"/>
      <c r="CH5" s="440" t="n"/>
      <c r="CI5" s="440" t="n"/>
      <c r="CJ5" s="440" t="n"/>
      <c r="CK5" s="440" t="n"/>
      <c r="CL5" s="440" t="n"/>
      <c r="CM5" s="440" t="n"/>
      <c r="CN5" s="440" t="n"/>
      <c r="CO5" s="440" t="n"/>
      <c r="CP5" s="440" t="n"/>
      <c r="CQ5" s="440" t="n"/>
      <c r="CR5" s="440" t="n"/>
      <c r="CS5" s="440" t="n"/>
      <c r="CT5" s="440" t="n"/>
      <c r="CU5" s="440" t="n"/>
      <c r="CV5" s="440" t="n"/>
      <c r="CW5" s="440" t="n"/>
      <c r="CX5" s="440" t="n"/>
      <c r="CY5" s="440" t="n"/>
      <c r="CZ5" s="440" t="n"/>
      <c r="DA5" s="440" t="n"/>
      <c r="DB5" s="440" t="n"/>
      <c r="DC5" s="440" t="n"/>
      <c r="DD5" s="440" t="n"/>
      <c r="DE5" s="440" t="n"/>
      <c r="DF5" s="440" t="n"/>
      <c r="DG5" s="440" t="n"/>
      <c r="DH5" s="440" t="n"/>
      <c r="DI5" s="440" t="n"/>
      <c r="DJ5" s="440" t="n"/>
      <c r="DK5" s="440" t="n"/>
      <c r="DL5" s="440" t="n"/>
      <c r="DM5" s="440" t="n"/>
      <c r="DN5" s="440" t="n"/>
      <c r="DO5" s="440" t="n"/>
      <c r="DP5" s="440" t="n"/>
      <c r="DQ5" s="440" t="n"/>
      <c r="DR5" s="440" t="n"/>
      <c r="DS5" s="440" t="n"/>
      <c r="DT5" s="440" t="n"/>
      <c r="DU5" s="440" t="n"/>
      <c r="DV5" s="440" t="n"/>
      <c r="DW5" s="440" t="n"/>
      <c r="DX5" s="440" t="n"/>
      <c r="DY5" s="440" t="n"/>
      <c r="DZ5" s="440" t="n"/>
      <c r="EA5" s="440" t="n"/>
      <c r="EB5" s="440" t="n"/>
      <c r="EC5" s="440" t="n"/>
      <c r="ED5" s="440" t="n"/>
      <c r="EE5" s="440" t="n"/>
      <c r="EF5" s="440" t="n"/>
      <c r="EG5" s="440" t="n"/>
      <c r="EH5" s="440" t="n"/>
      <c r="EI5" s="440" t="n"/>
      <c r="EJ5" s="440" t="n"/>
      <c r="EK5" s="440" t="n"/>
      <c r="EL5" s="440" t="n"/>
      <c r="EM5" s="440" t="n"/>
      <c r="EN5" s="440" t="n"/>
      <c r="EO5" s="440" t="n"/>
      <c r="EP5" s="440" t="n"/>
      <c r="EQ5" s="440" t="n"/>
      <c r="ER5" s="440" t="n"/>
      <c r="ES5" s="440" t="n"/>
      <c r="ET5" s="440" t="n"/>
      <c r="EU5" s="440" t="n"/>
      <c r="EV5" s="440" t="n"/>
      <c r="EW5" s="440" t="n"/>
      <c r="EX5" s="440" t="n"/>
      <c r="EY5" s="440" t="n"/>
      <c r="EZ5" s="440" t="n"/>
      <c r="FA5" s="440" t="n"/>
      <c r="FB5" s="440" t="n"/>
      <c r="FC5" s="440" t="n"/>
      <c r="FD5" s="440" t="n"/>
      <c r="FE5" s="440" t="n"/>
      <c r="FF5" s="440" t="n"/>
      <c r="FG5" s="440" t="n"/>
      <c r="FH5" s="440" t="n"/>
      <c r="FI5" s="440" t="n"/>
      <c r="FJ5" s="440" t="n"/>
      <c r="FK5" s="440" t="n"/>
      <c r="FL5" s="440" t="n"/>
      <c r="FM5" s="440" t="n"/>
      <c r="FN5" s="440" t="n"/>
      <c r="FO5" s="440" t="n"/>
      <c r="FP5" s="440" t="n"/>
      <c r="FQ5" s="440" t="n"/>
      <c r="FR5" s="440" t="n"/>
      <c r="FS5" s="440" t="n"/>
      <c r="FT5" s="440" t="n"/>
      <c r="FU5" s="440" t="n"/>
      <c r="FV5" s="440" t="n"/>
      <c r="FW5" s="440" t="n"/>
      <c r="FX5" s="440" t="n"/>
      <c r="FY5" s="440" t="n"/>
      <c r="FZ5" s="440" t="n"/>
      <c r="GA5" s="440" t="n"/>
      <c r="GB5" s="440" t="n"/>
      <c r="GC5" s="440" t="n"/>
      <c r="GD5" s="440" t="n"/>
      <c r="GE5" s="440" t="n"/>
      <c r="GF5" s="440" t="n"/>
      <c r="GG5" s="440" t="n"/>
      <c r="GH5" s="440" t="n"/>
      <c r="GI5" s="440" t="n"/>
      <c r="GJ5" s="440" t="n"/>
      <c r="GK5" s="440" t="n"/>
      <c r="GL5" s="440" t="n"/>
      <c r="GM5" s="440" t="n"/>
      <c r="GN5" s="440" t="n"/>
      <c r="GO5" s="440" t="n"/>
      <c r="GP5" s="440" t="n"/>
      <c r="GQ5" s="440" t="n"/>
      <c r="GR5" s="440" t="n"/>
      <c r="GS5" s="440" t="n"/>
      <c r="GT5" s="440" t="n"/>
      <c r="GU5" s="440" t="n"/>
      <c r="GV5" s="440" t="n"/>
      <c r="GW5" s="440" t="n"/>
      <c r="GX5" s="440" t="n"/>
      <c r="GY5" s="440" t="n"/>
      <c r="GZ5" s="440" t="n"/>
      <c r="HA5" s="440" t="n"/>
      <c r="HB5" s="440" t="n"/>
      <c r="HC5" s="440" t="n"/>
      <c r="HD5" s="440" t="n"/>
      <c r="HE5" s="440" t="n"/>
      <c r="HF5" s="440" t="n"/>
      <c r="HG5" s="440" t="n"/>
      <c r="HH5" s="440" t="n"/>
      <c r="HI5" s="440" t="n"/>
      <c r="HJ5" s="440" t="n"/>
      <c r="HK5" s="440" t="n"/>
      <c r="HL5" s="440" t="n"/>
      <c r="HM5" s="440" t="n"/>
      <c r="HN5" s="440" t="n"/>
      <c r="HO5" s="440" t="n"/>
      <c r="HP5" s="440" t="n"/>
      <c r="HQ5" s="440" t="n"/>
      <c r="HR5" s="440" t="n"/>
      <c r="HS5" s="440" t="n"/>
      <c r="HT5" s="440" t="n"/>
      <c r="HU5" s="440" t="n"/>
      <c r="HV5" s="440" t="n"/>
      <c r="HW5" s="440" t="n"/>
      <c r="HX5" s="440" t="n"/>
      <c r="HY5" s="440" t="n"/>
      <c r="HZ5" s="440" t="n"/>
      <c r="IA5" s="440" t="n"/>
      <c r="IB5" s="440" t="n"/>
      <c r="IC5" s="440" t="n"/>
      <c r="ID5" s="440" t="n"/>
      <c r="IE5" s="440" t="n"/>
      <c r="IF5" s="440" t="n"/>
      <c r="IG5" s="440" t="n"/>
      <c r="IH5" s="440" t="n"/>
      <c r="II5" s="440" t="n"/>
      <c r="IJ5" s="440" t="n"/>
      <c r="IK5" s="440" t="n"/>
      <c r="IL5" s="440" t="n"/>
      <c r="IM5" s="440" t="n"/>
      <c r="IN5" s="440" t="n"/>
      <c r="IO5" s="440" t="n"/>
      <c r="IP5" s="440" t="n"/>
      <c r="IQ5" s="440" t="n"/>
      <c r="IR5" s="440" t="n"/>
      <c r="IS5" s="440" t="n"/>
      <c r="IT5" s="440" t="n"/>
      <c r="IU5" s="440" t="n"/>
    </row>
    <row r="6" ht="14.25" customHeight="1" s="244">
      <c r="A6" s="441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41" t="inlineStr">
        <is>
          <t>ÜMİT ÇAVUŞOĞLU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43" t="inlineStr">
        <is>
          <t>MAHAL NO</t>
        </is>
      </c>
      <c r="B8" s="443" t="inlineStr">
        <is>
          <t>MAHAL ADI</t>
        </is>
      </c>
      <c r="C8" s="443" t="inlineStr">
        <is>
          <t>MAHAL SICAKLIĞI</t>
        </is>
      </c>
      <c r="D8" s="444" t="inlineStr">
        <is>
          <t>Mahal ısı ihtiyacı Q</t>
        </is>
      </c>
      <c r="E8" s="443" t="inlineStr">
        <is>
          <t>MAHAL ALANI A</t>
        </is>
      </c>
      <c r="F8" s="443" t="inlineStr">
        <is>
          <t>1 m2 ' DEKİ TOPLAM ISI YÜKÜ Q/A</t>
        </is>
      </c>
      <c r="G8" s="443" t="inlineStr">
        <is>
          <t>MODÜL</t>
        </is>
      </c>
      <c r="H8" s="443" t="inlineStr">
        <is>
          <t>m2</t>
        </is>
      </c>
      <c r="I8" s="443" t="inlineStr">
        <is>
          <t>STANDART MODÜL</t>
        </is>
      </c>
      <c r="J8" s="443" t="inlineStr">
        <is>
          <t>BORU BOYU</t>
        </is>
      </c>
      <c r="K8" s="443" t="inlineStr">
        <is>
          <t>KOLLEKTÖR ADETİ</t>
        </is>
      </c>
      <c r="L8" s="443" t="inlineStr">
        <is>
          <t>TOPLAM OLMASI GEREKEN KOLLEKTÖR ADETİ</t>
        </is>
      </c>
      <c r="M8" s="443" t="inlineStr">
        <is>
          <t>BİRİM VERİM</t>
        </is>
      </c>
      <c r="N8" s="443" t="inlineStr">
        <is>
          <t>TOPLAM VERİM</t>
        </is>
      </c>
      <c r="O8" s="445" t="n"/>
      <c r="P8" s="445" t="n"/>
      <c r="Q8" s="445" t="n"/>
      <c r="R8" s="445" t="n"/>
      <c r="S8" s="445" t="n"/>
      <c r="T8" s="445" t="n"/>
      <c r="U8" s="445" t="n"/>
      <c r="V8" s="445" t="n"/>
      <c r="W8" s="445" t="n"/>
      <c r="X8" s="445" t="n"/>
      <c r="Y8" s="445" t="n"/>
      <c r="Z8" s="445" t="n"/>
      <c r="AA8" s="445" t="n"/>
      <c r="AB8" s="445" t="n"/>
      <c r="AC8" s="445" t="n"/>
      <c r="AD8" s="445" t="n"/>
      <c r="AE8" s="445" t="n"/>
      <c r="AF8" s="445" t="n"/>
      <c r="AG8" s="445" t="n"/>
      <c r="AH8" s="445" t="n"/>
      <c r="AI8" s="445" t="n"/>
      <c r="AJ8" s="445" t="n"/>
      <c r="AK8" s="445" t="n"/>
      <c r="AL8" s="445" t="n"/>
      <c r="AM8" s="445" t="n"/>
      <c r="AN8" s="445" t="n"/>
      <c r="AO8" s="445" t="n"/>
      <c r="AP8" s="445" t="n"/>
      <c r="AQ8" s="445" t="n"/>
      <c r="AR8" s="445" t="n"/>
      <c r="AS8" s="445" t="n"/>
      <c r="AT8" s="445" t="n"/>
      <c r="AU8" s="445" t="n"/>
      <c r="AV8" s="445" t="n"/>
      <c r="AW8" s="445" t="n"/>
      <c r="AX8" s="445" t="n"/>
      <c r="AY8" s="445" t="n"/>
      <c r="AZ8" s="445" t="n"/>
      <c r="BA8" s="445" t="n"/>
      <c r="BB8" s="445" t="n"/>
      <c r="BC8" s="445" t="n"/>
      <c r="BD8" s="445" t="n"/>
      <c r="BE8" s="445" t="n"/>
      <c r="BF8" s="445" t="n"/>
      <c r="BG8" s="445" t="n"/>
      <c r="BH8" s="445" t="n"/>
      <c r="BI8" s="445" t="n"/>
      <c r="BJ8" s="445" t="n"/>
      <c r="BK8" s="445" t="n"/>
      <c r="BL8" s="445" t="n"/>
      <c r="BM8" s="445" t="n"/>
      <c r="BN8" s="445" t="n"/>
      <c r="BO8" s="445" t="n"/>
      <c r="BP8" s="445" t="n"/>
      <c r="BQ8" s="445" t="n"/>
      <c r="BR8" s="445" t="n"/>
      <c r="BS8" s="445" t="n"/>
      <c r="BT8" s="445" t="n"/>
      <c r="BU8" s="445" t="n"/>
      <c r="BV8" s="445" t="n"/>
      <c r="BW8" s="445" t="n"/>
      <c r="BX8" s="445" t="n"/>
      <c r="BY8" s="445" t="n"/>
      <c r="BZ8" s="445" t="n"/>
      <c r="CA8" s="445" t="n"/>
      <c r="CB8" s="445" t="n"/>
      <c r="CC8" s="445" t="n"/>
      <c r="CD8" s="445" t="n"/>
      <c r="CE8" s="445" t="n"/>
      <c r="CF8" s="445" t="n"/>
      <c r="CG8" s="445" t="n"/>
      <c r="CH8" s="445" t="n"/>
      <c r="CI8" s="445" t="n"/>
      <c r="CJ8" s="445" t="n"/>
      <c r="CK8" s="445" t="n"/>
      <c r="CL8" s="445" t="n"/>
      <c r="CM8" s="445" t="n"/>
      <c r="CN8" s="445" t="n"/>
      <c r="CO8" s="445" t="n"/>
      <c r="CP8" s="445" t="n"/>
      <c r="CQ8" s="445" t="n"/>
      <c r="CR8" s="445" t="n"/>
      <c r="CS8" s="445" t="n"/>
      <c r="CT8" s="445" t="n"/>
      <c r="CU8" s="445" t="n"/>
      <c r="CV8" s="445" t="n"/>
      <c r="CW8" s="445" t="n"/>
      <c r="CX8" s="445" t="n"/>
      <c r="CY8" s="445" t="n"/>
      <c r="CZ8" s="445" t="n"/>
      <c r="DA8" s="445" t="n"/>
      <c r="DB8" s="445" t="n"/>
      <c r="DC8" s="445" t="n"/>
      <c r="DD8" s="445" t="n"/>
      <c r="DE8" s="445" t="n"/>
      <c r="DF8" s="445" t="n"/>
      <c r="DG8" s="445" t="n"/>
      <c r="DH8" s="445" t="n"/>
      <c r="DI8" s="445" t="n"/>
      <c r="DJ8" s="445" t="n"/>
      <c r="DK8" s="445" t="n"/>
      <c r="DL8" s="445" t="n"/>
      <c r="DM8" s="445" t="n"/>
      <c r="DN8" s="445" t="n"/>
      <c r="DO8" s="445" t="n"/>
      <c r="DP8" s="445" t="n"/>
      <c r="DQ8" s="445" t="n"/>
      <c r="DR8" s="445" t="n"/>
      <c r="DS8" s="445" t="n"/>
      <c r="DT8" s="445" t="n"/>
      <c r="DU8" s="445" t="n"/>
      <c r="DV8" s="445" t="n"/>
      <c r="DW8" s="445" t="n"/>
      <c r="DX8" s="445" t="n"/>
      <c r="DY8" s="445" t="n"/>
      <c r="DZ8" s="445" t="n"/>
      <c r="EA8" s="445" t="n"/>
      <c r="EB8" s="445" t="n"/>
      <c r="EC8" s="445" t="n"/>
      <c r="ED8" s="445" t="n"/>
      <c r="EE8" s="445" t="n"/>
      <c r="EF8" s="445" t="n"/>
      <c r="EG8" s="445" t="n"/>
      <c r="EH8" s="445" t="n"/>
      <c r="EI8" s="445" t="n"/>
      <c r="EJ8" s="445" t="n"/>
      <c r="EK8" s="445" t="n"/>
      <c r="EL8" s="445" t="n"/>
      <c r="EM8" s="445" t="n"/>
      <c r="EN8" s="445" t="n"/>
      <c r="EO8" s="445" t="n"/>
      <c r="EP8" s="445" t="n"/>
      <c r="EQ8" s="445" t="n"/>
      <c r="ER8" s="445" t="n"/>
      <c r="ES8" s="445" t="n"/>
      <c r="ET8" s="445" t="n"/>
      <c r="EU8" s="445" t="n"/>
      <c r="EV8" s="445" t="n"/>
      <c r="EW8" s="445" t="n"/>
      <c r="EX8" s="445" t="n"/>
      <c r="EY8" s="445" t="n"/>
      <c r="EZ8" s="445" t="n"/>
      <c r="FA8" s="445" t="n"/>
      <c r="FB8" s="445" t="n"/>
      <c r="FC8" s="445" t="n"/>
      <c r="FD8" s="445" t="n"/>
      <c r="FE8" s="445" t="n"/>
      <c r="FF8" s="445" t="n"/>
      <c r="FG8" s="445" t="n"/>
      <c r="FH8" s="445" t="n"/>
      <c r="FI8" s="445" t="n"/>
      <c r="FJ8" s="445" t="n"/>
      <c r="FK8" s="445" t="n"/>
      <c r="FL8" s="445" t="n"/>
      <c r="FM8" s="445" t="n"/>
      <c r="FN8" s="445" t="n"/>
      <c r="FO8" s="445" t="n"/>
      <c r="FP8" s="445" t="n"/>
      <c r="FQ8" s="445" t="n"/>
      <c r="FR8" s="445" t="n"/>
      <c r="FS8" s="445" t="n"/>
      <c r="FT8" s="445" t="n"/>
      <c r="FU8" s="445" t="n"/>
      <c r="FV8" s="445" t="n"/>
      <c r="FW8" s="445" t="n"/>
      <c r="FX8" s="445" t="n"/>
      <c r="FY8" s="445" t="n"/>
      <c r="FZ8" s="445" t="n"/>
      <c r="GA8" s="445" t="n"/>
      <c r="GB8" s="445" t="n"/>
      <c r="GC8" s="445" t="n"/>
      <c r="GD8" s="445" t="n"/>
      <c r="GE8" s="445" t="n"/>
      <c r="GF8" s="445" t="n"/>
      <c r="GG8" s="445" t="n"/>
      <c r="GH8" s="445" t="n"/>
      <c r="GI8" s="445" t="n"/>
      <c r="GJ8" s="445" t="n"/>
      <c r="GK8" s="445" t="n"/>
      <c r="GL8" s="445" t="n"/>
      <c r="GM8" s="445" t="n"/>
      <c r="GN8" s="445" t="n"/>
      <c r="GO8" s="445" t="n"/>
      <c r="GP8" s="445" t="n"/>
      <c r="GQ8" s="445" t="n"/>
      <c r="GR8" s="445" t="n"/>
      <c r="GS8" s="445" t="n"/>
      <c r="GT8" s="445" t="n"/>
      <c r="GU8" s="445" t="n"/>
      <c r="GV8" s="445" t="n"/>
      <c r="GW8" s="445" t="n"/>
      <c r="GX8" s="445" t="n"/>
      <c r="GY8" s="445" t="n"/>
      <c r="GZ8" s="445" t="n"/>
      <c r="HA8" s="445" t="n"/>
      <c r="HB8" s="445" t="n"/>
      <c r="HC8" s="445" t="n"/>
      <c r="HD8" s="445" t="n"/>
      <c r="HE8" s="445" t="n"/>
      <c r="HF8" s="445" t="n"/>
      <c r="HG8" s="445" t="n"/>
      <c r="HH8" s="445" t="n"/>
      <c r="HI8" s="445" t="n"/>
      <c r="HJ8" s="445" t="n"/>
      <c r="HK8" s="445" t="n"/>
      <c r="HL8" s="445" t="n"/>
      <c r="HM8" s="445" t="n"/>
      <c r="HN8" s="445" t="n"/>
      <c r="HO8" s="445" t="n"/>
      <c r="HP8" s="445" t="n"/>
      <c r="HQ8" s="445" t="n"/>
      <c r="HR8" s="445" t="n"/>
      <c r="HS8" s="445" t="n"/>
      <c r="HT8" s="445" t="n"/>
      <c r="HU8" s="445" t="n"/>
      <c r="HV8" s="445" t="n"/>
      <c r="HW8" s="445" t="n"/>
      <c r="HX8" s="445" t="n"/>
      <c r="HY8" s="445" t="n"/>
      <c r="HZ8" s="445" t="n"/>
      <c r="IA8" s="445" t="n"/>
      <c r="IB8" s="445" t="n"/>
      <c r="IC8" s="445" t="n"/>
      <c r="ID8" s="445" t="n"/>
      <c r="IE8" s="445" t="n"/>
      <c r="IF8" s="445" t="n"/>
      <c r="IG8" s="445" t="n"/>
      <c r="IH8" s="445" t="n"/>
      <c r="II8" s="445" t="n"/>
      <c r="IJ8" s="445" t="n"/>
      <c r="IK8" s="445" t="n"/>
      <c r="IL8" s="445" t="n"/>
      <c r="IM8" s="445" t="n"/>
      <c r="IN8" s="445" t="n"/>
      <c r="IO8" s="445" t="n"/>
      <c r="IP8" s="445" t="n"/>
      <c r="IQ8" s="445" t="n"/>
      <c r="IR8" s="445" t="n"/>
      <c r="IS8" s="445" t="n"/>
      <c r="IT8" s="445" t="n"/>
      <c r="IU8" s="445" t="n"/>
    </row>
    <row r="9" ht="12.75" customHeight="1" s="244">
      <c r="A9" s="446" t="n"/>
      <c r="B9" s="447" t="n"/>
      <c r="C9" s="447" t="inlineStr">
        <is>
          <t>C0</t>
        </is>
      </c>
      <c r="D9" s="448" t="inlineStr">
        <is>
          <t>watt/h</t>
        </is>
      </c>
      <c r="E9" s="446" t="inlineStr">
        <is>
          <t>m2</t>
        </is>
      </c>
      <c r="F9" s="449" t="inlineStr">
        <is>
          <t>watt/m2h</t>
        </is>
      </c>
      <c r="G9" s="449" t="inlineStr">
        <is>
          <t>watt/m2h</t>
        </is>
      </c>
      <c r="H9" s="446" t="inlineStr">
        <is>
          <t>m2</t>
        </is>
      </c>
      <c r="I9" s="446" t="n"/>
      <c r="J9" s="446" t="inlineStr">
        <is>
          <t>m</t>
        </is>
      </c>
      <c r="K9" s="446" t="inlineStr">
        <is>
          <t>Ad.</t>
        </is>
      </c>
      <c r="L9" s="446" t="inlineStr">
        <is>
          <t>Ad.</t>
        </is>
      </c>
      <c r="M9" s="446" t="inlineStr">
        <is>
          <t>m</t>
        </is>
      </c>
      <c r="N9" s="447" t="inlineStr">
        <is>
          <t>Watt</t>
        </is>
      </c>
      <c r="O9" s="450" t="n"/>
      <c r="P9" s="450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  <c r="AB9" s="451" t="n"/>
      <c r="AC9" s="451" t="n"/>
      <c r="AD9" s="451" t="n"/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1" t="n"/>
      <c r="AP9" s="451" t="n"/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1" t="n"/>
      <c r="BA9" s="451" t="n"/>
      <c r="BB9" s="451" t="n"/>
      <c r="BC9" s="451" t="n"/>
      <c r="BD9" s="451" t="n"/>
      <c r="BE9" s="451" t="n"/>
      <c r="BF9" s="451" t="n"/>
      <c r="BG9" s="451" t="n"/>
      <c r="BH9" s="451" t="n"/>
      <c r="BI9" s="451" t="n"/>
      <c r="BJ9" s="451" t="n"/>
      <c r="BK9" s="451" t="n"/>
      <c r="BL9" s="451" t="n"/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1" t="n"/>
      <c r="CC9" s="451" t="n"/>
      <c r="CD9" s="451" t="n"/>
      <c r="CE9" s="451" t="n"/>
      <c r="CF9" s="451" t="n"/>
      <c r="CG9" s="451" t="n"/>
      <c r="CH9" s="451" t="n"/>
      <c r="CI9" s="451" t="n"/>
      <c r="CJ9" s="451" t="n"/>
      <c r="CK9" s="451" t="n"/>
      <c r="CL9" s="451" t="n"/>
      <c r="CM9" s="451" t="n"/>
      <c r="CN9" s="451" t="n"/>
      <c r="CO9" s="451" t="n"/>
      <c r="CP9" s="451" t="n"/>
      <c r="CQ9" s="451" t="n"/>
      <c r="CR9" s="451" t="n"/>
      <c r="CS9" s="451" t="n"/>
      <c r="CT9" s="451" t="n"/>
      <c r="CU9" s="451" t="n"/>
      <c r="CV9" s="451" t="n"/>
      <c r="CW9" s="451" t="n"/>
      <c r="CX9" s="451" t="n"/>
      <c r="CY9" s="451" t="n"/>
      <c r="CZ9" s="451" t="n"/>
      <c r="DA9" s="451" t="n"/>
      <c r="DB9" s="451" t="n"/>
      <c r="DC9" s="451" t="n"/>
      <c r="DD9" s="451" t="n"/>
      <c r="DE9" s="451" t="n"/>
      <c r="DF9" s="451" t="n"/>
      <c r="DG9" s="451" t="n"/>
      <c r="DH9" s="451" t="n"/>
      <c r="DI9" s="451" t="n"/>
      <c r="DJ9" s="451" t="n"/>
      <c r="DK9" s="451" t="n"/>
      <c r="DL9" s="451" t="n"/>
      <c r="DM9" s="451" t="n"/>
      <c r="DN9" s="451" t="n"/>
      <c r="DO9" s="451" t="n"/>
      <c r="DP9" s="451" t="n"/>
      <c r="DQ9" s="451" t="n"/>
      <c r="DR9" s="451" t="n"/>
      <c r="DS9" s="451" t="n"/>
      <c r="DT9" s="451" t="n"/>
      <c r="DU9" s="451" t="n"/>
      <c r="DV9" s="451" t="n"/>
      <c r="DW9" s="451" t="n"/>
      <c r="DX9" s="451" t="n"/>
      <c r="DY9" s="451" t="n"/>
      <c r="DZ9" s="451" t="n"/>
      <c r="EA9" s="451" t="n"/>
      <c r="EB9" s="451" t="n"/>
      <c r="EC9" s="451" t="n"/>
      <c r="ED9" s="451" t="n"/>
      <c r="EE9" s="451" t="n"/>
      <c r="EF9" s="451" t="n"/>
      <c r="EG9" s="451" t="n"/>
      <c r="EH9" s="451" t="n"/>
      <c r="EI9" s="451" t="n"/>
      <c r="EJ9" s="451" t="n"/>
      <c r="EK9" s="451" t="n"/>
      <c r="EL9" s="451" t="n"/>
      <c r="EM9" s="451" t="n"/>
      <c r="EN9" s="451" t="n"/>
      <c r="EO9" s="451" t="n"/>
      <c r="EP9" s="451" t="n"/>
      <c r="EQ9" s="451" t="n"/>
      <c r="ER9" s="451" t="n"/>
      <c r="ES9" s="451" t="n"/>
      <c r="ET9" s="451" t="n"/>
      <c r="EU9" s="451" t="n"/>
      <c r="EV9" s="451" t="n"/>
      <c r="EW9" s="451" t="n"/>
      <c r="EX9" s="451" t="n"/>
      <c r="EY9" s="451" t="n"/>
      <c r="EZ9" s="451" t="n"/>
      <c r="FA9" s="451" t="n"/>
      <c r="FB9" s="451" t="n"/>
      <c r="FC9" s="451" t="n"/>
      <c r="FD9" s="451" t="n"/>
      <c r="FE9" s="451" t="n"/>
      <c r="FF9" s="451" t="n"/>
      <c r="FG9" s="451" t="n"/>
      <c r="FH9" s="451" t="n"/>
      <c r="FI9" s="451" t="n"/>
      <c r="FJ9" s="451" t="n"/>
      <c r="FK9" s="451" t="n"/>
      <c r="FL9" s="451" t="n"/>
      <c r="FM9" s="451" t="n"/>
      <c r="FN9" s="451" t="n"/>
      <c r="FO9" s="451" t="n"/>
      <c r="FP9" s="451" t="n"/>
      <c r="FQ9" s="451" t="n"/>
      <c r="FR9" s="451" t="n"/>
      <c r="FS9" s="451" t="n"/>
      <c r="FT9" s="451" t="n"/>
      <c r="FU9" s="451" t="n"/>
      <c r="FV9" s="451" t="n"/>
      <c r="FW9" s="451" t="n"/>
      <c r="FX9" s="451" t="n"/>
      <c r="FY9" s="451" t="n"/>
      <c r="FZ9" s="451" t="n"/>
      <c r="GA9" s="451" t="n"/>
      <c r="GB9" s="451" t="n"/>
      <c r="GC9" s="451" t="n"/>
      <c r="GD9" s="451" t="n"/>
      <c r="GE9" s="451" t="n"/>
      <c r="GF9" s="451" t="n"/>
      <c r="GG9" s="451" t="n"/>
      <c r="GH9" s="451" t="n"/>
      <c r="GI9" s="451" t="n"/>
      <c r="GJ9" s="451" t="n"/>
      <c r="GK9" s="451" t="n"/>
      <c r="GL9" s="451" t="n"/>
      <c r="GM9" s="451" t="n"/>
      <c r="GN9" s="451" t="n"/>
      <c r="GO9" s="451" t="n"/>
      <c r="GP9" s="451" t="n"/>
      <c r="GQ9" s="451" t="n"/>
      <c r="GR9" s="451" t="n"/>
      <c r="GS9" s="451" t="n"/>
      <c r="GT9" s="451" t="n"/>
      <c r="GU9" s="451" t="n"/>
      <c r="GV9" s="451" t="n"/>
      <c r="GW9" s="451" t="n"/>
      <c r="GX9" s="451" t="n"/>
      <c r="GY9" s="451" t="n"/>
      <c r="GZ9" s="451" t="n"/>
      <c r="HA9" s="451" t="n"/>
      <c r="HB9" s="451" t="n"/>
      <c r="HC9" s="451" t="n"/>
      <c r="HD9" s="451" t="n"/>
      <c r="HE9" s="451" t="n"/>
      <c r="HF9" s="451" t="n"/>
      <c r="HG9" s="451" t="n"/>
      <c r="HH9" s="451" t="n"/>
      <c r="HI9" s="451" t="n"/>
      <c r="HJ9" s="451" t="n"/>
      <c r="HK9" s="451" t="n"/>
      <c r="HL9" s="451" t="n"/>
      <c r="HM9" s="451" t="n"/>
      <c r="HN9" s="451" t="n"/>
      <c r="HO9" s="451" t="n"/>
      <c r="HP9" s="451" t="n"/>
      <c r="HQ9" s="451" t="n"/>
      <c r="HR9" s="451" t="n"/>
      <c r="HS9" s="451" t="n"/>
      <c r="HT9" s="451" t="n"/>
      <c r="HU9" s="451" t="n"/>
      <c r="HV9" s="451" t="n"/>
      <c r="HW9" s="451" t="n"/>
      <c r="HX9" s="451" t="n"/>
      <c r="HY9" s="451" t="n"/>
      <c r="HZ9" s="451" t="n"/>
      <c r="IA9" s="451" t="n"/>
      <c r="IB9" s="451" t="n"/>
      <c r="IC9" s="451" t="n"/>
      <c r="ID9" s="451" t="n"/>
      <c r="IE9" s="451" t="n"/>
      <c r="IF9" s="451" t="n"/>
      <c r="IG9" s="451" t="n"/>
      <c r="IH9" s="451" t="n"/>
      <c r="II9" s="451" t="n"/>
      <c r="IJ9" s="451" t="n"/>
      <c r="IK9" s="451" t="n"/>
      <c r="IL9" s="451" t="n"/>
      <c r="IM9" s="451" t="n"/>
      <c r="IN9" s="451" t="n"/>
      <c r="IO9" s="451" t="n"/>
      <c r="IP9" s="451" t="n"/>
      <c r="IQ9" s="451" t="n"/>
      <c r="IR9" s="451" t="n"/>
      <c r="IS9" s="451" t="n"/>
      <c r="IT9" s="451" t="n"/>
      <c r="IU9" s="451" t="n"/>
    </row>
    <row r="10" ht="12.75" customHeight="1" s="244">
      <c r="A10" s="261">
        <f>'PETEK LİST'!A10</f>
        <v/>
      </c>
      <c r="B10" s="452">
        <f>'PETEK LİST'!B10</f>
        <v/>
      </c>
      <c r="C10" s="453">
        <f>'PETEK LİST'!C10</f>
        <v/>
      </c>
      <c r="D10" s="432">
        <f>ZEMİN!Q32</f>
        <v/>
      </c>
      <c r="E10" s="282" t="n">
        <v>89</v>
      </c>
      <c r="F10" s="454">
        <f>D10/E10</f>
        <v/>
      </c>
      <c r="G10" s="454">
        <f>76.263-0.539*F10</f>
        <v/>
      </c>
      <c r="H10" s="454">
        <f>D10/G10</f>
        <v/>
      </c>
      <c r="I10" s="261" t="n">
        <v>20</v>
      </c>
      <c r="J10" s="429">
        <f>'PETEK LİST'!G10</f>
        <v/>
      </c>
      <c r="K10" s="454">
        <f>J10/80</f>
        <v/>
      </c>
      <c r="L10" s="261" t="n">
        <v>8</v>
      </c>
      <c r="M10" s="261" t="n">
        <v>17.5</v>
      </c>
      <c r="N10" s="455">
        <f>J10*M10</f>
        <v/>
      </c>
    </row>
    <row r="11" ht="12.75" customHeight="1" s="244">
      <c r="A11" s="261">
        <f>'PETEK LİST'!A11</f>
        <v/>
      </c>
      <c r="B11" s="261">
        <f>'PETEK LİST'!B11</f>
        <v/>
      </c>
      <c r="C11" s="453">
        <f>'PETEK LİST'!C11</f>
        <v/>
      </c>
      <c r="D11" s="432">
        <f>ZEMİN!Q44</f>
        <v/>
      </c>
      <c r="E11" s="282" t="n">
        <v>6.81</v>
      </c>
      <c r="F11" s="454">
        <f>D11/E11</f>
        <v/>
      </c>
      <c r="G11" s="454">
        <f>76.263-0.539*F11</f>
        <v/>
      </c>
      <c r="H11" s="454">
        <f>D11/G11</f>
        <v/>
      </c>
      <c r="I11" s="261" t="n">
        <v>20</v>
      </c>
      <c r="J11" s="429">
        <f>'PETEK LİST'!G11</f>
        <v/>
      </c>
      <c r="K11" s="454">
        <f>J11/80</f>
        <v/>
      </c>
      <c r="L11" s="261" t="n">
        <v>1</v>
      </c>
      <c r="M11" s="261" t="n">
        <v>17.5</v>
      </c>
      <c r="N11" s="455">
        <f>J11*M11</f>
        <v/>
      </c>
    </row>
    <row r="12" ht="12.75" customHeight="1" s="244">
      <c r="A12" s="261">
        <f>'PETEK LİST'!A12</f>
        <v/>
      </c>
      <c r="B12" s="261">
        <f>'PETEK LİST'!B12</f>
        <v/>
      </c>
      <c r="C12" s="453">
        <f>'PETEK LİST'!C12</f>
        <v/>
      </c>
      <c r="D12" s="432">
        <f>ZEMİN!Q57</f>
        <v/>
      </c>
      <c r="E12" s="282" t="n">
        <v>4.84</v>
      </c>
      <c r="F12" s="454">
        <f>D12/E12</f>
        <v/>
      </c>
      <c r="G12" s="454">
        <f>76.263-0.539*F12</f>
        <v/>
      </c>
      <c r="H12" s="454">
        <f>D12/G12</f>
        <v/>
      </c>
      <c r="I12" s="261" t="n">
        <v>20</v>
      </c>
      <c r="J12" s="429">
        <f>'PETEK LİST'!G12</f>
        <v/>
      </c>
      <c r="K12" s="454">
        <f>J12/80</f>
        <v/>
      </c>
      <c r="L12" s="261" t="n">
        <v>1</v>
      </c>
      <c r="M12" s="261" t="n">
        <v>17.5</v>
      </c>
      <c r="N12" s="455">
        <f>J12*M12</f>
        <v/>
      </c>
    </row>
    <row r="13" ht="12.75" customHeight="1" s="244">
      <c r="A13" s="261">
        <f>'PETEK LİST'!A13</f>
        <v/>
      </c>
      <c r="B13" s="261">
        <f>'PETEK LİST'!B13</f>
        <v/>
      </c>
      <c r="C13" s="453">
        <f>'PETEK LİST'!C13</f>
        <v/>
      </c>
      <c r="D13" s="432">
        <f>ZEMİN!Q71</f>
        <v/>
      </c>
      <c r="E13" s="282" t="n">
        <v>17.16</v>
      </c>
      <c r="F13" s="454">
        <f>D13/E13</f>
        <v/>
      </c>
      <c r="G13" s="454">
        <f>76.263-0.539*F13</f>
        <v/>
      </c>
      <c r="H13" s="454">
        <f>D13/G13</f>
        <v/>
      </c>
      <c r="I13" s="261" t="n">
        <v>20</v>
      </c>
      <c r="J13" s="429">
        <f>'PETEK LİST'!G13</f>
        <v/>
      </c>
      <c r="K13" s="454">
        <f>J13/80</f>
        <v/>
      </c>
      <c r="L13" s="261">
        <f>CEILING(K13,1)</f>
        <v/>
      </c>
      <c r="M13" s="261" t="n">
        <v>17.5</v>
      </c>
      <c r="N13" s="455">
        <f>J13*M13</f>
        <v/>
      </c>
    </row>
    <row r="14" ht="12.75" customHeight="1" s="244">
      <c r="A14" s="261">
        <f>'PETEK LİST'!A14</f>
        <v/>
      </c>
      <c r="B14" s="261">
        <f>'PETEK LİST'!B14</f>
        <v/>
      </c>
      <c r="C14" s="453">
        <f>'PETEK LİST'!C14</f>
        <v/>
      </c>
      <c r="D14" s="432">
        <f>ZEMİN!Q99</f>
        <v/>
      </c>
      <c r="E14" s="282" t="n">
        <v>3.66</v>
      </c>
      <c r="F14" s="454">
        <f>D14/E14</f>
        <v/>
      </c>
      <c r="G14" s="454">
        <f>76.263-0.539*F14</f>
        <v/>
      </c>
      <c r="H14" s="454" t="n">
        <v>2.8</v>
      </c>
      <c r="I14" s="261" t="n">
        <v>10</v>
      </c>
      <c r="J14" s="429">
        <f>'PETEK LİST'!G14</f>
        <v/>
      </c>
      <c r="K14" s="454">
        <f>J14/80</f>
        <v/>
      </c>
      <c r="L14" s="261">
        <f>CEILING(K14,1)</f>
        <v/>
      </c>
      <c r="M14" s="261" t="n">
        <v>17.5</v>
      </c>
      <c r="N14" s="455">
        <f>J14*M14</f>
        <v/>
      </c>
    </row>
    <row r="15" ht="12.75" customHeight="1" s="244">
      <c r="A15" s="261" t="n"/>
      <c r="B15" s="261" t="n"/>
      <c r="C15" s="453" t="n"/>
      <c r="D15" s="456" t="n"/>
      <c r="E15" s="282" t="n"/>
      <c r="F15" s="454" t="n"/>
      <c r="G15" s="454" t="n"/>
      <c r="H15" s="454" t="n"/>
      <c r="I15" s="261" t="n"/>
      <c r="J15" s="429" t="n"/>
      <c r="K15" s="454" t="n"/>
      <c r="L15" s="261" t="n"/>
      <c r="M15" s="261" t="n"/>
      <c r="N15" s="455" t="n"/>
    </row>
    <row r="16" ht="12.75" customHeight="1" s="244">
      <c r="A16" s="429" t="n">
        <v>101</v>
      </c>
      <c r="B16" s="429" t="inlineStr">
        <is>
          <t>EB.+GİYSİ ODASI</t>
        </is>
      </c>
      <c r="C16" s="431" t="inlineStr">
        <is>
          <t>20</t>
        </is>
      </c>
      <c r="D16" s="432">
        <f>'1 NK'!Q26</f>
        <v/>
      </c>
      <c r="E16" s="282" t="n">
        <v>41.48</v>
      </c>
      <c r="F16" s="454">
        <f>D16/E16</f>
        <v/>
      </c>
      <c r="G16" s="454">
        <f>76.263-0.539*F16</f>
        <v/>
      </c>
      <c r="H16" s="454">
        <f>D16/G16</f>
        <v/>
      </c>
      <c r="I16" s="261" t="n">
        <v>20</v>
      </c>
      <c r="J16" s="429">
        <f>'PETEK LİST'!G16</f>
        <v/>
      </c>
      <c r="K16" s="454">
        <f>J16/80</f>
        <v/>
      </c>
      <c r="L16" s="261" t="n">
        <v>2</v>
      </c>
      <c r="M16" s="261" t="n">
        <v>17.5</v>
      </c>
      <c r="N16" s="455">
        <f>J16*M16</f>
        <v/>
      </c>
    </row>
    <row r="17" ht="12.75" customHeight="1" s="244">
      <c r="A17" s="429" t="n">
        <v>102</v>
      </c>
      <c r="B17" s="429" t="inlineStr">
        <is>
          <t>BANYO</t>
        </is>
      </c>
      <c r="C17" s="431" t="inlineStr">
        <is>
          <t>26</t>
        </is>
      </c>
      <c r="D17" s="432">
        <f>'1 NK'!Q38</f>
        <v/>
      </c>
      <c r="E17" s="282" t="n">
        <v>4.14</v>
      </c>
      <c r="F17" s="454">
        <f>D17/E17</f>
        <v/>
      </c>
      <c r="G17" s="454">
        <f>76.263-0.539*F17</f>
        <v/>
      </c>
      <c r="H17" s="454">
        <f>D17/G17</f>
        <v/>
      </c>
      <c r="I17" s="261" t="n">
        <v>10</v>
      </c>
      <c r="J17" s="429">
        <f>'PETEK LİST'!G17</f>
        <v/>
      </c>
      <c r="K17" s="454">
        <f>J17/80</f>
        <v/>
      </c>
      <c r="L17" s="261">
        <f>CEILING(K17,1)</f>
        <v/>
      </c>
      <c r="M17" s="261" t="n">
        <v>17.5</v>
      </c>
      <c r="N17" s="455">
        <f>J17*M17</f>
        <v/>
      </c>
    </row>
    <row r="18" ht="12.75" customHeight="1" s="244">
      <c r="A18" s="429" t="n">
        <v>103</v>
      </c>
      <c r="B18" s="429" t="inlineStr">
        <is>
          <t xml:space="preserve">ANTRE </t>
        </is>
      </c>
      <c r="C18" s="431" t="inlineStr">
        <is>
          <t>18</t>
        </is>
      </c>
      <c r="D18" s="432">
        <f>'1 NK'!Q50</f>
        <v/>
      </c>
      <c r="E18" s="282" t="n">
        <v>10.35</v>
      </c>
      <c r="F18" s="454">
        <f>D18/E18</f>
        <v/>
      </c>
      <c r="G18" s="454">
        <f>76.263-0.539*F18</f>
        <v/>
      </c>
      <c r="H18" s="454" t="n">
        <v>4.68</v>
      </c>
      <c r="I18" s="261" t="n">
        <v>20</v>
      </c>
      <c r="J18" s="429">
        <f>'PETEK LİST'!G18</f>
        <v/>
      </c>
      <c r="K18" s="454">
        <f>J18/80</f>
        <v/>
      </c>
      <c r="L18" s="261">
        <f>CEILING(K18,1)</f>
        <v/>
      </c>
      <c r="M18" s="261" t="n">
        <v>17.5</v>
      </c>
      <c r="N18" s="455">
        <f>J18*M18</f>
        <v/>
      </c>
    </row>
    <row r="19" ht="12.75" customHeight="1" s="244">
      <c r="A19" s="429" t="n">
        <v>104</v>
      </c>
      <c r="B19" s="429" t="inlineStr">
        <is>
          <t>ODA</t>
        </is>
      </c>
      <c r="C19" s="431" t="inlineStr">
        <is>
          <t>20</t>
        </is>
      </c>
      <c r="D19" s="432">
        <f>'1 NK'!Q65</f>
        <v/>
      </c>
      <c r="E19" s="282" t="n">
        <v>14.58</v>
      </c>
      <c r="F19" s="454">
        <f>D19/E19</f>
        <v/>
      </c>
      <c r="G19" s="454">
        <f>76.263-0.539*F19</f>
        <v/>
      </c>
      <c r="H19" s="454">
        <f>D19/G19</f>
        <v/>
      </c>
      <c r="I19" s="261" t="n">
        <v>20</v>
      </c>
      <c r="J19" s="429">
        <f>'PETEK LİST'!G19</f>
        <v/>
      </c>
      <c r="K19" s="454">
        <f>J19/80</f>
        <v/>
      </c>
      <c r="L19" s="261" t="n">
        <v>1</v>
      </c>
      <c r="M19" s="261" t="n">
        <v>17.5</v>
      </c>
      <c r="N19" s="455">
        <f>J19*M19</f>
        <v/>
      </c>
    </row>
    <row r="20" ht="12.75" customHeight="1" s="244">
      <c r="A20" s="429" t="n">
        <v>105</v>
      </c>
      <c r="B20" s="429" t="inlineStr">
        <is>
          <t>BANYO</t>
        </is>
      </c>
      <c r="C20" s="431" t="inlineStr">
        <is>
          <t>26</t>
        </is>
      </c>
      <c r="D20" s="432">
        <f>'1 NK'!Q78</f>
        <v/>
      </c>
      <c r="E20" s="282" t="n">
        <v>7.53</v>
      </c>
      <c r="F20" s="454">
        <f>D20/E20</f>
        <v/>
      </c>
      <c r="G20" s="454">
        <f>76.263-0.539*F20</f>
        <v/>
      </c>
      <c r="H20" s="454">
        <f>D20/G20</f>
        <v/>
      </c>
      <c r="I20" s="261" t="n">
        <v>20</v>
      </c>
      <c r="J20" s="429">
        <f>'PETEK LİST'!G20</f>
        <v/>
      </c>
      <c r="K20" s="454">
        <f>J20/80</f>
        <v/>
      </c>
      <c r="L20" s="261">
        <f>CEILING(K20,1)</f>
        <v/>
      </c>
      <c r="M20" s="261" t="n">
        <v>17.5</v>
      </c>
      <c r="N20" s="455">
        <f>J20*M20</f>
        <v/>
      </c>
    </row>
    <row r="21" ht="12.75" customHeight="1" s="244">
      <c r="A21" s="429" t="n">
        <v>106</v>
      </c>
      <c r="B21" s="429" t="inlineStr">
        <is>
          <t>SAUNA</t>
        </is>
      </c>
      <c r="C21" s="431" t="inlineStr">
        <is>
          <t>30</t>
        </is>
      </c>
      <c r="D21" s="432">
        <f>'1 NK'!Q104</f>
        <v/>
      </c>
      <c r="E21" s="282" t="n">
        <v>2.53</v>
      </c>
      <c r="F21" s="454">
        <f>D21/E21</f>
        <v/>
      </c>
      <c r="G21" s="454">
        <f>76.263-0.539*F21</f>
        <v/>
      </c>
      <c r="H21" s="454">
        <f>D21/G21</f>
        <v/>
      </c>
      <c r="I21" s="261" t="n">
        <v>20</v>
      </c>
      <c r="J21" s="429">
        <f>'PETEK LİST'!G21</f>
        <v/>
      </c>
      <c r="K21" s="454">
        <f>J21/80</f>
        <v/>
      </c>
      <c r="L21" s="261">
        <f>CEILING(K21,1)</f>
        <v/>
      </c>
      <c r="M21" s="261" t="n">
        <v>17.5</v>
      </c>
      <c r="N21" s="455">
        <f>J21*M21</f>
        <v/>
      </c>
    </row>
    <row r="22" ht="12.75" customHeight="1" s="244">
      <c r="A22" s="429" t="n">
        <v>107</v>
      </c>
      <c r="B22" s="429" t="inlineStr">
        <is>
          <t>ODA</t>
        </is>
      </c>
      <c r="C22" s="431" t="inlineStr">
        <is>
          <t>20</t>
        </is>
      </c>
      <c r="D22" s="432">
        <f>'1 NK'!Q118</f>
        <v/>
      </c>
      <c r="E22" s="282" t="n">
        <v>19.62</v>
      </c>
      <c r="F22" s="454">
        <f>D22/E22</f>
        <v/>
      </c>
      <c r="G22" s="454">
        <f>76.263-0.539*F22</f>
        <v/>
      </c>
      <c r="H22" s="454">
        <f>D22/G22</f>
        <v/>
      </c>
      <c r="I22" s="261" t="n">
        <v>20</v>
      </c>
      <c r="J22" s="429">
        <f>'PETEK LİST'!G22</f>
        <v/>
      </c>
      <c r="K22" s="454">
        <f>J22/80</f>
        <v/>
      </c>
      <c r="L22" s="261" t="n">
        <v>2</v>
      </c>
      <c r="M22" s="261" t="n">
        <v>17.5</v>
      </c>
      <c r="N22" s="455">
        <f>J22*M22</f>
        <v/>
      </c>
    </row>
    <row r="23" ht="12.75" customHeight="1" s="244">
      <c r="A23" s="429" t="n">
        <v>108</v>
      </c>
      <c r="B23" s="429" t="inlineStr">
        <is>
          <t>ODA</t>
        </is>
      </c>
      <c r="C23" s="431" t="inlineStr">
        <is>
          <t>20</t>
        </is>
      </c>
      <c r="D23" s="432">
        <f>'1 NK'!Q131</f>
        <v/>
      </c>
      <c r="E23" s="282" t="n">
        <v>20.53</v>
      </c>
      <c r="F23" s="454">
        <f>D23/E23</f>
        <v/>
      </c>
      <c r="G23" s="454">
        <f>76.263-0.539*F23</f>
        <v/>
      </c>
      <c r="H23" s="454">
        <f>D23/G23</f>
        <v/>
      </c>
      <c r="I23" s="261" t="n">
        <v>10</v>
      </c>
      <c r="J23" s="429">
        <f>'PETEK LİST'!G23</f>
        <v/>
      </c>
      <c r="K23" s="454">
        <f>J23/80</f>
        <v/>
      </c>
      <c r="L23" s="261" t="n">
        <v>2</v>
      </c>
      <c r="M23" s="261" t="n">
        <v>17.5</v>
      </c>
      <c r="N23" s="455">
        <f>J23*M23</f>
        <v/>
      </c>
    </row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457" min="5" max="5"/>
    <col width="6.56" customWidth="1" style="457" min="6" max="6"/>
    <col width="6.41" customWidth="1" style="45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45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459" t="n"/>
      <c r="T1" s="459" t="n"/>
      <c r="U1" s="459" t="n"/>
    </row>
    <row r="2" ht="12.75" customFormat="1" customHeight="1" s="418">
      <c r="A2" s="460" t="inlineStr">
        <is>
          <t>ZEMİN ve 1.KAT</t>
        </is>
      </c>
      <c r="B2" s="422" t="n"/>
      <c r="C2" s="461" t="inlineStr">
        <is>
          <t>DÖŞEMEDEN ISITMA HESAP ÖZETİ</t>
        </is>
      </c>
      <c r="D2" s="462" t="inlineStr">
        <is>
          <t>Ts.g  = 50 °C</t>
        </is>
      </c>
      <c r="E2" s="463" t="inlineStr">
        <is>
          <t>TOPLAM ISI KAYBI</t>
        </is>
      </c>
      <c r="F2" s="264" t="n"/>
      <c r="G2" s="264" t="n"/>
      <c r="H2" s="264" t="n"/>
      <c r="I2" s="260" t="n"/>
      <c r="J2" s="464" t="n"/>
      <c r="K2" s="464" t="n"/>
      <c r="L2" s="464" t="n"/>
      <c r="M2" s="464" t="n"/>
      <c r="N2" s="464" t="n"/>
      <c r="O2" s="464" t="n"/>
      <c r="P2" s="464" t="n"/>
      <c r="Q2" s="464" t="n"/>
      <c r="R2" s="464" t="n"/>
      <c r="S2" s="464" t="n"/>
      <c r="T2" s="464" t="n"/>
      <c r="U2" s="464" t="n"/>
    </row>
    <row r="3" ht="8.25" customFormat="1" customHeight="1" s="418">
      <c r="A3" s="421" t="n"/>
      <c r="B3" s="422" t="n"/>
      <c r="C3" s="426" t="n"/>
      <c r="D3" s="465" t="inlineStr">
        <is>
          <t>Isıtma Çevrim Sayısı : 6</t>
        </is>
      </c>
      <c r="E3" s="463" t="inlineStr">
        <is>
          <t>MAX. BASINÇ KAYBI</t>
        </is>
      </c>
      <c r="F3" s="250" t="n"/>
      <c r="G3" s="250" t="n"/>
      <c r="H3" s="250" t="n"/>
      <c r="I3" s="275" t="n"/>
      <c r="J3" s="464" t="n"/>
      <c r="K3" s="464" t="n"/>
      <c r="L3" s="464" t="n"/>
      <c r="M3" s="464" t="n"/>
      <c r="N3" s="464" t="n"/>
      <c r="O3" s="464" t="n"/>
      <c r="P3" s="464" t="n"/>
      <c r="Q3" s="464" t="n"/>
      <c r="R3" s="464" t="n"/>
      <c r="S3" s="464" t="n"/>
      <c r="T3" s="464" t="n"/>
      <c r="U3" s="464" t="n"/>
    </row>
    <row r="4" ht="5.25" customFormat="1" customHeight="1" s="418">
      <c r="A4" s="421" t="n"/>
      <c r="B4" s="422" t="n"/>
      <c r="C4" s="426" t="n"/>
      <c r="D4" s="303" t="n"/>
      <c r="E4" s="278" t="n"/>
      <c r="F4" s="256" t="n"/>
      <c r="G4" s="256" t="n"/>
      <c r="H4" s="256" t="n"/>
      <c r="I4" s="277" t="n"/>
      <c r="J4" s="464" t="n"/>
      <c r="K4" s="464" t="n"/>
      <c r="L4" s="464" t="n"/>
      <c r="M4" s="464" t="n"/>
      <c r="N4" s="464" t="n"/>
      <c r="O4" s="464" t="n"/>
      <c r="P4" s="464" t="n"/>
      <c r="Q4" s="464" t="n"/>
      <c r="R4" s="464" t="n"/>
      <c r="S4" s="464" t="n"/>
      <c r="T4" s="464" t="n"/>
      <c r="U4" s="464" t="n"/>
    </row>
    <row r="5" ht="15" customFormat="1" customHeight="1" s="418">
      <c r="A5" s="278" t="n"/>
      <c r="B5" s="277" t="n"/>
      <c r="C5" s="303" t="n"/>
      <c r="D5" s="420" t="inlineStr">
        <is>
          <t>VEYSEL DANIŞ 3152-30</t>
        </is>
      </c>
      <c r="E5" s="264" t="n"/>
      <c r="F5" s="264" t="n"/>
      <c r="G5" s="264" t="n"/>
      <c r="H5" s="264" t="n"/>
      <c r="I5" s="260" t="n"/>
      <c r="J5" s="466" t="n"/>
      <c r="K5" s="466" t="n"/>
      <c r="L5" s="466" t="n"/>
      <c r="M5" s="466" t="n"/>
      <c r="N5" s="466" t="n"/>
      <c r="O5" s="466" t="n"/>
      <c r="P5" s="466" t="n"/>
      <c r="Q5" s="439" t="n"/>
      <c r="R5" s="439" t="n"/>
      <c r="S5" s="439" t="n"/>
      <c r="T5" s="439" t="n"/>
      <c r="U5" s="439" t="n"/>
    </row>
    <row r="6" ht="12" customHeight="1" s="244">
      <c r="A6" s="467" t="n"/>
      <c r="B6" s="467" t="n"/>
      <c r="C6" s="467" t="n"/>
      <c r="D6" s="467" t="n"/>
      <c r="E6" s="468" t="n"/>
      <c r="F6" s="468" t="n"/>
      <c r="G6" s="46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>
        <v>1</v>
      </c>
      <c r="B7" s="469" t="n"/>
      <c r="C7" s="470" t="inlineStr">
        <is>
          <t>ISITMA ÇEVRİM SIRASI</t>
        </is>
      </c>
      <c r="D7" s="469" t="n"/>
      <c r="E7" s="471" t="n"/>
      <c r="F7" s="471" t="inlineStr">
        <is>
          <t>Z1</t>
        </is>
      </c>
      <c r="G7" s="472" t="inlineStr">
        <is>
          <t>Z2</t>
        </is>
      </c>
      <c r="H7" s="471" t="inlineStr">
        <is>
          <t>Z1</t>
        </is>
      </c>
      <c r="I7" s="471" t="inlineStr">
        <is>
          <t>Z2</t>
        </is>
      </c>
      <c r="J7" s="471" t="inlineStr">
        <is>
          <t>Z3</t>
        </is>
      </c>
      <c r="K7" s="471" t="inlineStr">
        <is>
          <t>Z4</t>
        </is>
      </c>
      <c r="L7" s="471" t="inlineStr">
        <is>
          <t>Z5</t>
        </is>
      </c>
      <c r="M7" s="471" t="inlineStr">
        <is>
          <t>Z6</t>
        </is>
      </c>
      <c r="N7" s="471" t="inlineStr">
        <is>
          <t>Z7</t>
        </is>
      </c>
      <c r="O7" s="471" t="inlineStr">
        <is>
          <t>Z8</t>
        </is>
      </c>
      <c r="P7" s="471" t="inlineStr">
        <is>
          <t>Z9</t>
        </is>
      </c>
      <c r="Q7" s="472" t="inlineStr">
        <is>
          <t>Z10</t>
        </is>
      </c>
      <c r="R7" s="471" t="n"/>
      <c r="S7" s="471" t="n">
        <v>11</v>
      </c>
      <c r="T7" s="471" t="n">
        <v>12</v>
      </c>
      <c r="U7" s="471" t="n">
        <v>13</v>
      </c>
      <c r="V7" s="472" t="n">
        <v>14</v>
      </c>
      <c r="W7" s="472" t="n">
        <v>15</v>
      </c>
      <c r="X7" s="471" t="n">
        <v>16</v>
      </c>
      <c r="Y7" s="472" t="n">
        <v>17</v>
      </c>
      <c r="Z7" s="472" t="n">
        <v>18</v>
      </c>
    </row>
    <row r="8" ht="12" customHeight="1" s="244">
      <c r="A8" s="261" t="n">
        <v>2</v>
      </c>
      <c r="B8" s="469" t="n"/>
      <c r="C8" s="470" t="inlineStr">
        <is>
          <t>ODA NO</t>
        </is>
      </c>
      <c r="D8" s="469" t="n"/>
      <c r="E8" s="471" t="n"/>
      <c r="F8" s="473" t="inlineStr">
        <is>
          <t>1.1.</t>
        </is>
      </c>
      <c r="G8" s="473" t="inlineStr">
        <is>
          <t>1.2.</t>
        </is>
      </c>
      <c r="H8" s="471" t="inlineStr">
        <is>
          <t>Z01</t>
        </is>
      </c>
      <c r="I8" s="471" t="inlineStr">
        <is>
          <t>Z02</t>
        </is>
      </c>
      <c r="J8" s="471" t="inlineStr">
        <is>
          <t>Z03</t>
        </is>
      </c>
      <c r="K8" s="471" t="inlineStr">
        <is>
          <t>Z04</t>
        </is>
      </c>
      <c r="L8" s="471" t="inlineStr">
        <is>
          <t>Z05</t>
        </is>
      </c>
      <c r="M8" s="471" t="inlineStr">
        <is>
          <t>Z06</t>
        </is>
      </c>
      <c r="N8" s="471" t="inlineStr">
        <is>
          <t>Z02</t>
        </is>
      </c>
      <c r="O8" s="471" t="n"/>
      <c r="P8" s="473" t="inlineStr">
        <is>
          <t>Z03</t>
        </is>
      </c>
      <c r="Q8" s="473" t="inlineStr">
        <is>
          <t>Z04</t>
        </is>
      </c>
      <c r="R8" s="473" t="inlineStr">
        <is>
          <t>102.</t>
        </is>
      </c>
      <c r="S8" s="471" t="n">
        <v>101</v>
      </c>
      <c r="T8" s="471" t="n"/>
      <c r="U8" s="471" t="n"/>
      <c r="V8" s="473" t="inlineStr">
        <is>
          <t>102.</t>
        </is>
      </c>
      <c r="W8" s="471" t="n">
        <v>103</v>
      </c>
      <c r="X8" s="473" t="inlineStr">
        <is>
          <t>104.</t>
        </is>
      </c>
      <c r="Y8" s="473" t="inlineStr">
        <is>
          <t>105.</t>
        </is>
      </c>
      <c r="Z8" s="473" t="inlineStr">
        <is>
          <t>106.</t>
        </is>
      </c>
    </row>
    <row r="9" ht="30" customHeight="1" s="244">
      <c r="A9" s="261" t="n">
        <v>3</v>
      </c>
      <c r="B9" s="282" t="n"/>
      <c r="C9" s="474" t="inlineStr">
        <is>
          <t>ODA ADI</t>
        </is>
      </c>
      <c r="D9" s="261" t="n"/>
      <c r="E9" s="259" t="n"/>
      <c r="F9" s="475" t="inlineStr">
        <is>
          <t>Antre</t>
        </is>
      </c>
      <c r="G9" s="475" t="inlineStr">
        <is>
          <t>Mutfak</t>
        </is>
      </c>
      <c r="H9" s="476" t="inlineStr">
        <is>
          <t>Salon+Mutfak+ Hol</t>
        </is>
      </c>
      <c r="I9" s="476" t="n"/>
      <c r="J9" s="476" t="n"/>
      <c r="K9" s="476" t="n"/>
      <c r="L9" s="476" t="n"/>
      <c r="M9" s="476" t="n"/>
      <c r="N9" s="477" t="inlineStr">
        <is>
          <t>Oda 1</t>
        </is>
      </c>
      <c r="O9" s="476" t="n"/>
      <c r="P9" s="475" t="inlineStr">
        <is>
          <t>Antre</t>
        </is>
      </c>
      <c r="Q9" s="477" t="inlineStr">
        <is>
          <t>Banyo</t>
        </is>
      </c>
      <c r="R9" s="475" t="inlineStr">
        <is>
          <t>Antre</t>
        </is>
      </c>
      <c r="S9" s="476" t="inlineStr">
        <is>
          <t>Oda 2</t>
        </is>
      </c>
      <c r="T9" s="476" t="n"/>
      <c r="U9" s="476" t="n"/>
      <c r="V9" s="477" t="inlineStr">
        <is>
          <t>Yatak Odası</t>
        </is>
      </c>
      <c r="W9" s="477" t="inlineStr">
        <is>
          <t>Yatak Odası</t>
        </is>
      </c>
      <c r="X9" s="475" t="inlineStr">
        <is>
          <t>Antre</t>
        </is>
      </c>
      <c r="Y9" s="477" t="inlineStr">
        <is>
          <t>Banyo</t>
        </is>
      </c>
      <c r="Z9" s="477" t="inlineStr">
        <is>
          <t>Ebv. Banyo</t>
        </is>
      </c>
    </row>
    <row r="10" ht="12" customHeight="1" s="244">
      <c r="A10" s="261" t="n">
        <v>4</v>
      </c>
      <c r="B10" s="282" t="inlineStr">
        <is>
          <t>Th1</t>
        </is>
      </c>
      <c r="C10" s="474" t="inlineStr">
        <is>
          <t>ODA SICAKLIĞI</t>
        </is>
      </c>
      <c r="D10" s="261" t="n"/>
      <c r="E10" s="259" t="inlineStr">
        <is>
          <t>°C</t>
        </is>
      </c>
      <c r="F10" s="259" t="n">
        <v>18</v>
      </c>
      <c r="G10" s="259" t="n">
        <v>18</v>
      </c>
      <c r="H10" s="259" t="n">
        <v>20</v>
      </c>
      <c r="I10" s="259" t="n"/>
      <c r="J10" s="259" t="n"/>
      <c r="K10" s="259" t="n"/>
      <c r="L10" s="259" t="n"/>
      <c r="M10" s="259" t="n"/>
      <c r="N10" s="259" t="n">
        <v>20</v>
      </c>
      <c r="O10" s="259" t="n"/>
      <c r="P10" s="259" t="n">
        <v>18</v>
      </c>
      <c r="Q10" s="259" t="n">
        <v>24</v>
      </c>
      <c r="R10" s="259" t="n">
        <v>18</v>
      </c>
      <c r="S10" s="259" t="n">
        <v>20</v>
      </c>
      <c r="T10" s="259" t="n"/>
      <c r="U10" s="259" t="n"/>
      <c r="V10" s="259" t="n">
        <v>20</v>
      </c>
      <c r="W10" s="259" t="n">
        <v>20</v>
      </c>
      <c r="X10" s="259" t="n">
        <v>18</v>
      </c>
      <c r="Y10" s="259" t="n">
        <v>24</v>
      </c>
      <c r="Z10" s="259" t="n">
        <v>24</v>
      </c>
    </row>
    <row r="11" ht="12" customHeight="1" s="244">
      <c r="A11" s="261" t="n">
        <v>5</v>
      </c>
      <c r="B11" s="282" t="inlineStr">
        <is>
          <t>Th2</t>
        </is>
      </c>
      <c r="C11" s="474" t="inlineStr">
        <is>
          <t>DÖŞEME ALTI SICAKLIĞI</t>
        </is>
      </c>
      <c r="D11" s="261" t="n"/>
      <c r="E11" s="259" t="inlineStr">
        <is>
          <t>°C</t>
        </is>
      </c>
      <c r="F11" s="259" t="n">
        <v>6</v>
      </c>
      <c r="G11" s="259" t="n">
        <v>6</v>
      </c>
      <c r="H11" s="259" t="n">
        <v>6</v>
      </c>
      <c r="I11" s="259" t="n"/>
      <c r="J11" s="259" t="n"/>
      <c r="K11" s="259" t="n"/>
      <c r="L11" s="259" t="n"/>
      <c r="M11" s="259" t="n"/>
      <c r="N11" s="259" t="n">
        <v>6</v>
      </c>
      <c r="O11" s="259" t="n"/>
      <c r="P11" s="259" t="n">
        <v>6</v>
      </c>
      <c r="Q11" s="259" t="n">
        <v>6</v>
      </c>
      <c r="R11" s="259" t="n">
        <v>18</v>
      </c>
      <c r="S11" s="259" t="n">
        <v>20</v>
      </c>
      <c r="T11" s="259" t="n"/>
      <c r="U11" s="259" t="n"/>
      <c r="V11" s="259" t="n">
        <v>20</v>
      </c>
      <c r="W11" s="259" t="n">
        <v>20</v>
      </c>
      <c r="X11" s="259" t="n">
        <v>18</v>
      </c>
      <c r="Y11" s="259" t="n">
        <v>18</v>
      </c>
      <c r="Z11" s="259" t="n">
        <v>20</v>
      </c>
    </row>
    <row r="12" ht="12" customHeight="1" s="244">
      <c r="A12" s="261" t="n">
        <v>6</v>
      </c>
      <c r="B12" s="282" t="inlineStr">
        <is>
          <t>A</t>
        </is>
      </c>
      <c r="C12" s="474" t="inlineStr">
        <is>
          <t>NET DÖŞEME ALANI</t>
        </is>
      </c>
      <c r="D12" s="261" t="n"/>
      <c r="E12" s="259" t="inlineStr">
        <is>
          <t>m²</t>
        </is>
      </c>
      <c r="F12" s="478" t="n">
        <v>14.04</v>
      </c>
      <c r="G12" s="478" t="n">
        <v>15.9</v>
      </c>
      <c r="H12" s="478" t="n">
        <v>43.55</v>
      </c>
      <c r="I12" s="478" t="n"/>
      <c r="J12" s="478" t="n"/>
      <c r="K12" s="478" t="n"/>
      <c r="L12" s="478" t="n"/>
      <c r="M12" s="478" t="n"/>
      <c r="N12" s="478" t="n">
        <v>15</v>
      </c>
      <c r="O12" s="478" t="n"/>
      <c r="P12" s="478" t="n">
        <v>13.2</v>
      </c>
      <c r="Q12" s="478" t="n">
        <v>3.1</v>
      </c>
      <c r="R12" s="478" t="n">
        <v>14.04</v>
      </c>
      <c r="S12" s="478" t="n">
        <v>922</v>
      </c>
      <c r="T12" s="478" t="n"/>
      <c r="U12" s="478" t="n"/>
      <c r="V12" s="478" t="n">
        <v>14</v>
      </c>
      <c r="W12" s="478" t="n">
        <v>11.9</v>
      </c>
      <c r="X12" s="478" t="n">
        <v>9.699999999999999</v>
      </c>
      <c r="Y12" s="478" t="n">
        <v>5.15</v>
      </c>
      <c r="Z12" s="478" t="n">
        <v>5.55</v>
      </c>
    </row>
    <row r="13" ht="12" customHeight="1" s="244">
      <c r="A13" s="261" t="n">
        <v>7</v>
      </c>
      <c r="B13" s="282" t="inlineStr">
        <is>
          <t>qh</t>
        </is>
      </c>
      <c r="C13" s="474" t="inlineStr">
        <is>
          <t>ISI KAYBI</t>
        </is>
      </c>
      <c r="D13" s="261" t="inlineStr">
        <is>
          <t>TS 825 ve TS 2164 'e göre</t>
        </is>
      </c>
      <c r="E13" s="259" t="inlineStr">
        <is>
          <t>W</t>
        </is>
      </c>
      <c r="F13" s="479" t="n">
        <v>699</v>
      </c>
      <c r="G13" s="479" t="n">
        <v>653</v>
      </c>
      <c r="H13" s="479" t="n">
        <v>1782</v>
      </c>
      <c r="I13" s="479" t="n"/>
      <c r="J13" s="479" t="n"/>
      <c r="K13" s="479" t="n"/>
      <c r="L13" s="479" t="n"/>
      <c r="M13" s="479" t="n"/>
      <c r="N13" s="479" t="n">
        <v>769</v>
      </c>
      <c r="O13" s="479" t="n"/>
      <c r="P13" s="479" t="n">
        <v>692</v>
      </c>
      <c r="Q13" s="479" t="n">
        <v>107</v>
      </c>
      <c r="R13" s="479" t="n">
        <v>699</v>
      </c>
      <c r="S13" s="479" t="n">
        <v>16.5</v>
      </c>
      <c r="T13" s="479" t="n"/>
      <c r="U13" s="479" t="n"/>
      <c r="V13" s="479" t="n">
        <v>544</v>
      </c>
      <c r="W13" s="479" t="n">
        <v>466</v>
      </c>
      <c r="X13" s="479" t="n">
        <v>225</v>
      </c>
      <c r="Y13" s="479" t="n">
        <v>75</v>
      </c>
      <c r="Z13" s="479" t="n">
        <v>117</v>
      </c>
    </row>
    <row r="14" ht="12" customHeight="1" s="244">
      <c r="A14" s="261" t="n">
        <v>8</v>
      </c>
      <c r="B14" s="282" t="inlineStr">
        <is>
          <t>q"</t>
        </is>
      </c>
      <c r="C14" s="474" t="inlineStr">
        <is>
          <t>ISI AKISI</t>
        </is>
      </c>
      <c r="D14" s="261" t="inlineStr">
        <is>
          <t>qh/A</t>
        </is>
      </c>
      <c r="E14" s="259" t="inlineStr">
        <is>
          <t>W/m²</t>
        </is>
      </c>
      <c r="F14" s="480">
        <f>F13/F12</f>
        <v/>
      </c>
      <c r="G14" s="480">
        <f>G13/G12</f>
        <v/>
      </c>
      <c r="H14" s="480">
        <f>H13/H12</f>
        <v/>
      </c>
      <c r="I14" s="480" t="n"/>
      <c r="J14" s="480" t="n"/>
      <c r="K14" s="480" t="n"/>
      <c r="L14" s="480" t="n"/>
      <c r="M14" s="480" t="n"/>
      <c r="N14" s="480">
        <f>N13/N12</f>
        <v/>
      </c>
      <c r="O14" s="480" t="n"/>
      <c r="P14" s="480">
        <f>P13/P12</f>
        <v/>
      </c>
      <c r="Q14" s="480">
        <f>Q13/Q12</f>
        <v/>
      </c>
      <c r="R14" s="480">
        <f>R13/R12</f>
        <v/>
      </c>
      <c r="S14" s="480">
        <f>S13/S12</f>
        <v/>
      </c>
      <c r="T14" s="480" t="n"/>
      <c r="U14" s="480" t="n"/>
      <c r="V14" s="480">
        <f>V13/V12</f>
        <v/>
      </c>
      <c r="W14" s="480">
        <f>W13/W12</f>
        <v/>
      </c>
      <c r="X14" s="480">
        <f>X13/X12</f>
        <v/>
      </c>
      <c r="Y14" s="480">
        <f>Y13/Y12</f>
        <v/>
      </c>
      <c r="Z14" s="480">
        <f>Z13/Z12</f>
        <v/>
      </c>
    </row>
    <row r="15" ht="12" customHeight="1" s="244">
      <c r="A15" s="261" t="n">
        <v>9</v>
      </c>
      <c r="B15" s="282" t="inlineStr">
        <is>
          <t>Rd</t>
        </is>
      </c>
      <c r="C15" s="474" t="inlineStr">
        <is>
          <t>DÖŞEME ISIL DİRENCİ (1)</t>
        </is>
      </c>
      <c r="D15" s="261" t="inlineStr">
        <is>
          <t>Seramik fayans</t>
        </is>
      </c>
      <c r="E15" s="259" t="inlineStr">
        <is>
          <t>m²K/W</t>
        </is>
      </c>
      <c r="F15" s="259" t="n">
        <v>0.012</v>
      </c>
      <c r="G15" s="259" t="n">
        <v>0.012</v>
      </c>
      <c r="H15" s="259" t="n">
        <v>0.012</v>
      </c>
      <c r="I15" s="259" t="n"/>
      <c r="J15" s="259" t="n"/>
      <c r="K15" s="259" t="n"/>
      <c r="L15" s="259" t="n"/>
      <c r="M15" s="259" t="n"/>
      <c r="N15" s="259" t="n">
        <v>0.012</v>
      </c>
      <c r="O15" s="259" t="n"/>
      <c r="P15" s="259" t="n">
        <v>0.012</v>
      </c>
      <c r="Q15" s="259" t="n">
        <v>0.012</v>
      </c>
      <c r="R15" s="259" t="n">
        <v>0.012</v>
      </c>
      <c r="S15" s="259" t="n">
        <v>0.012</v>
      </c>
      <c r="T15" s="259" t="n"/>
      <c r="U15" s="259" t="n"/>
      <c r="V15" s="259" t="n">
        <v>0.012</v>
      </c>
      <c r="W15" s="259" t="n">
        <v>0.012</v>
      </c>
      <c r="X15" s="259" t="n">
        <v>0.012</v>
      </c>
      <c r="Y15" s="259" t="n">
        <v>0.012</v>
      </c>
      <c r="Z15" s="259" t="n">
        <v>0.012</v>
      </c>
    </row>
    <row r="16" ht="12" customHeight="1" s="244">
      <c r="A16" s="261" t="n">
        <v>10</v>
      </c>
      <c r="B16" s="282" t="n"/>
      <c r="C16" s="474" t="inlineStr">
        <is>
          <t>ISITMA ÇEVRİMİ SAYISI</t>
        </is>
      </c>
      <c r="D16" s="261" t="n"/>
      <c r="E16" s="259" t="n"/>
      <c r="F16" s="478" t="n">
        <v>1</v>
      </c>
      <c r="G16" s="478" t="n">
        <v>1</v>
      </c>
      <c r="H16" s="478" t="n">
        <v>6</v>
      </c>
      <c r="I16" s="478" t="n"/>
      <c r="J16" s="478" t="n"/>
      <c r="K16" s="478" t="n"/>
      <c r="L16" s="478" t="n"/>
      <c r="M16" s="478" t="n"/>
      <c r="N16" s="478" t="n">
        <v>2</v>
      </c>
      <c r="O16" s="478" t="n"/>
      <c r="P16" s="478" t="n">
        <v>1</v>
      </c>
      <c r="Q16" s="478" t="n">
        <v>1</v>
      </c>
      <c r="R16" s="478" t="n">
        <v>1</v>
      </c>
      <c r="S16" s="478" t="n">
        <v>24.9</v>
      </c>
      <c r="T16" s="478" t="n"/>
      <c r="U16" s="478" t="n"/>
      <c r="V16" s="478" t="n">
        <v>1</v>
      </c>
      <c r="W16" s="478" t="n">
        <v>2</v>
      </c>
      <c r="X16" s="478" t="n">
        <v>1</v>
      </c>
      <c r="Y16" s="478" t="n">
        <v>1</v>
      </c>
      <c r="Z16" s="478" t="n">
        <v>1</v>
      </c>
    </row>
    <row r="17" ht="12" customHeight="1" s="244">
      <c r="A17" s="261" t="n">
        <v>11</v>
      </c>
      <c r="B17" s="282" t="inlineStr">
        <is>
          <t>Ataban</t>
        </is>
      </c>
      <c r="C17" s="474" t="inlineStr">
        <is>
          <t>İÇ VEYA DIŞ ÇEVRİM ALANI</t>
        </is>
      </c>
      <c r="D17" s="261" t="n"/>
      <c r="E17" s="259" t="inlineStr">
        <is>
          <t>m²</t>
        </is>
      </c>
      <c r="F17" s="259">
        <f>F12</f>
        <v/>
      </c>
      <c r="G17" s="259">
        <f>G12</f>
        <v/>
      </c>
      <c r="H17" s="259" t="n">
        <v>7.26</v>
      </c>
      <c r="I17" s="259" t="n">
        <v>7.26</v>
      </c>
      <c r="J17" s="259" t="n">
        <v>7.26</v>
      </c>
      <c r="K17" s="259" t="n">
        <v>7.26</v>
      </c>
      <c r="L17" s="259" t="n">
        <v>7.26</v>
      </c>
      <c r="M17" s="259" t="n">
        <v>7.26</v>
      </c>
      <c r="N17" s="259" t="n">
        <v>7.5</v>
      </c>
      <c r="O17" s="259" t="n">
        <v>7.5</v>
      </c>
      <c r="P17" s="259">
        <f>P12</f>
        <v/>
      </c>
      <c r="Q17" s="259">
        <f>Q12</f>
        <v/>
      </c>
      <c r="R17" s="259">
        <f>R12</f>
        <v/>
      </c>
      <c r="S17" s="259" t="n">
        <v>8.300000000000001</v>
      </c>
      <c r="T17" s="259" t="n">
        <v>8.300000000000001</v>
      </c>
      <c r="U17" s="259" t="n">
        <v>8.300000000000001</v>
      </c>
      <c r="V17" s="259">
        <f>V12</f>
        <v/>
      </c>
      <c r="W17" s="259">
        <f>W12</f>
        <v/>
      </c>
      <c r="X17" s="259">
        <f>X12</f>
        <v/>
      </c>
      <c r="Y17" s="259">
        <f>Y12</f>
        <v/>
      </c>
      <c r="Z17" s="259">
        <f>Z12</f>
        <v/>
      </c>
    </row>
    <row r="18" ht="16.5" customHeight="1" s="244">
      <c r="A18" s="261" t="n">
        <v>12</v>
      </c>
      <c r="B18" s="282" t="inlineStr">
        <is>
          <t>qtaban</t>
        </is>
      </c>
      <c r="C18" s="474" t="inlineStr">
        <is>
          <t>İÇ VEya DIŞ ISI AKISI</t>
        </is>
      </c>
      <c r="D18" s="261" t="n"/>
      <c r="E18" s="259" t="inlineStr">
        <is>
          <t>W/m²</t>
        </is>
      </c>
      <c r="F18" s="481">
        <f>F13/F17</f>
        <v/>
      </c>
      <c r="G18" s="481">
        <f>G13/G17</f>
        <v/>
      </c>
      <c r="H18" s="481">
        <f>H13/H17</f>
        <v/>
      </c>
      <c r="I18" s="481">
        <f>H13/I17</f>
        <v/>
      </c>
      <c r="J18" s="481">
        <f>H13/J17</f>
        <v/>
      </c>
      <c r="K18" s="481">
        <f>H13/K17</f>
        <v/>
      </c>
      <c r="L18" s="481">
        <f>H13/L17</f>
        <v/>
      </c>
      <c r="M18" s="481">
        <f>H13/M17</f>
        <v/>
      </c>
      <c r="N18" s="481">
        <f>N13/N17</f>
        <v/>
      </c>
      <c r="O18" s="481">
        <f>N13/O17</f>
        <v/>
      </c>
      <c r="P18" s="481">
        <f>P13/P17</f>
        <v/>
      </c>
      <c r="Q18" s="481">
        <f>Q13/Q17</f>
        <v/>
      </c>
      <c r="R18" s="481">
        <f>R13/R17</f>
        <v/>
      </c>
      <c r="S18" s="481">
        <f>S13/S17</f>
        <v/>
      </c>
      <c r="T18" s="481">
        <f>S13/T17</f>
        <v/>
      </c>
      <c r="U18" s="481">
        <f>S13/U17</f>
        <v/>
      </c>
      <c r="V18" s="481">
        <f>V13/V17</f>
        <v/>
      </c>
      <c r="W18" s="481">
        <f>W13/W17</f>
        <v/>
      </c>
      <c r="X18" s="481">
        <f>X13/X17</f>
        <v/>
      </c>
      <c r="Y18" s="481">
        <f>Y13/Y17</f>
        <v/>
      </c>
      <c r="Z18" s="481">
        <f>Z13/Z17</f>
        <v/>
      </c>
    </row>
    <row r="19" ht="19.5" customHeight="1" s="244">
      <c r="A19" s="261" t="n">
        <v>13</v>
      </c>
      <c r="B19" s="282" t="inlineStr">
        <is>
          <t>Ty</t>
        </is>
      </c>
      <c r="C19" s="474" t="inlineStr">
        <is>
          <t>ORTALAMA DÖŞEME SICAKLIĞI</t>
        </is>
      </c>
      <c r="D19" s="261" t="n"/>
      <c r="E19" s="259" t="inlineStr">
        <is>
          <t>°C</t>
        </is>
      </c>
      <c r="F19" s="481">
        <f>F10+(F14/8.92)^0.91</f>
        <v/>
      </c>
      <c r="G19" s="481">
        <f>G10+(G14/8.92)^0.91</f>
        <v/>
      </c>
      <c r="H19" s="481">
        <f>H10+(H14/8.92)^0.91</f>
        <v/>
      </c>
      <c r="I19" s="481" t="n">
        <v>30</v>
      </c>
      <c r="J19" s="481" t="n">
        <v>30</v>
      </c>
      <c r="K19" s="481" t="n">
        <v>30</v>
      </c>
      <c r="L19" s="481" t="n">
        <v>30</v>
      </c>
      <c r="M19" s="481" t="n">
        <v>30</v>
      </c>
      <c r="N19" s="481">
        <f>N10+(N14/8.92)^0.91</f>
        <v/>
      </c>
      <c r="O19" s="481" t="n">
        <v>30</v>
      </c>
      <c r="P19" s="481">
        <f>P10+(P14/8.92)^0.91</f>
        <v/>
      </c>
      <c r="Q19" s="481">
        <f>Q10+(Q14/8.92)^0.91</f>
        <v/>
      </c>
      <c r="R19" s="481">
        <f>R10+(R14/8.92)^0.91</f>
        <v/>
      </c>
      <c r="S19" s="481">
        <f>S10+(S14/8.92)^0.91</f>
        <v/>
      </c>
      <c r="T19" s="481" t="n">
        <v>30</v>
      </c>
      <c r="U19" s="481" t="n">
        <v>30</v>
      </c>
      <c r="V19" s="481">
        <f>V10+(V14/8.92)^0.91</f>
        <v/>
      </c>
      <c r="W19" s="481">
        <f>W10+(W14/8.92)^0.91</f>
        <v/>
      </c>
      <c r="X19" s="481">
        <f>X10+(X14/8.92)^0.91</f>
        <v/>
      </c>
      <c r="Y19" s="481">
        <f>Y10+(Y14/8.92)^0.91</f>
        <v/>
      </c>
      <c r="Z19" s="481">
        <f>Z10+(Z14/8.92)^0.91</f>
        <v/>
      </c>
    </row>
    <row r="20" ht="12" customHeight="1" s="244">
      <c r="A20" s="261" t="n">
        <v>14</v>
      </c>
      <c r="B20" s="282" t="inlineStr">
        <is>
          <t>Ts.g</t>
        </is>
      </c>
      <c r="C20" s="474" t="inlineStr">
        <is>
          <t>SICAK SU GİRİŞ SICAKLIĞI  (2)</t>
        </is>
      </c>
      <c r="D20" s="261" t="n"/>
      <c r="E20" s="259" t="inlineStr">
        <is>
          <t>°C</t>
        </is>
      </c>
      <c r="F20" s="259" t="n">
        <v>50</v>
      </c>
      <c r="G20" s="259" t="n">
        <v>50</v>
      </c>
      <c r="H20" s="259" t="n">
        <v>50</v>
      </c>
      <c r="I20" s="259" t="n">
        <v>50</v>
      </c>
      <c r="J20" s="259" t="n">
        <v>50</v>
      </c>
      <c r="K20" s="259" t="n">
        <v>50</v>
      </c>
      <c r="L20" s="259" t="n">
        <v>50</v>
      </c>
      <c r="M20" s="259" t="n">
        <v>50</v>
      </c>
      <c r="N20" s="259" t="n">
        <v>50</v>
      </c>
      <c r="O20" s="259" t="n">
        <v>50</v>
      </c>
      <c r="P20" s="259" t="n">
        <v>50</v>
      </c>
      <c r="Q20" s="259" t="n">
        <v>50</v>
      </c>
      <c r="R20" s="259" t="n">
        <v>50</v>
      </c>
      <c r="S20" s="259" t="n">
        <v>50</v>
      </c>
      <c r="T20" s="259" t="n">
        <v>50</v>
      </c>
      <c r="U20" s="259" t="n">
        <v>50</v>
      </c>
      <c r="V20" s="259" t="n">
        <v>50</v>
      </c>
      <c r="W20" s="259" t="n">
        <v>50</v>
      </c>
      <c r="X20" s="259" t="n">
        <v>50</v>
      </c>
      <c r="Y20" s="259" t="n">
        <v>50</v>
      </c>
      <c r="Z20" s="259" t="n">
        <v>50</v>
      </c>
    </row>
    <row r="21" ht="12" customHeight="1" s="244">
      <c r="A21" s="261" t="n">
        <v>15</v>
      </c>
      <c r="B21" s="482" t="inlineStr">
        <is>
          <t>ΔTsg</t>
        </is>
      </c>
      <c r="C21" s="474" t="inlineStr">
        <is>
          <t>SICAK SU GİRİŞ - ODA SICAKLIĞI</t>
        </is>
      </c>
      <c r="D21" s="261" t="inlineStr">
        <is>
          <t>Tsg - Th1</t>
        </is>
      </c>
      <c r="E21" s="259" t="inlineStr">
        <is>
          <t>°C</t>
        </is>
      </c>
      <c r="F21" s="259">
        <f>F20-F10</f>
        <v/>
      </c>
      <c r="G21" s="259">
        <f>G20-G10</f>
        <v/>
      </c>
      <c r="H21" s="259">
        <f>H20-H10</f>
        <v/>
      </c>
      <c r="I21" s="259">
        <f>I20-H10</f>
        <v/>
      </c>
      <c r="J21" s="259">
        <f>J20-H10</f>
        <v/>
      </c>
      <c r="K21" s="259">
        <f>K20-H10</f>
        <v/>
      </c>
      <c r="L21" s="259">
        <f>L20-H10</f>
        <v/>
      </c>
      <c r="M21" s="259">
        <f>M20-H10</f>
        <v/>
      </c>
      <c r="N21" s="259">
        <f>N20-N10</f>
        <v/>
      </c>
      <c r="O21" s="259">
        <f>O20-N10</f>
        <v/>
      </c>
      <c r="P21" s="259">
        <f>P20-P10</f>
        <v/>
      </c>
      <c r="Q21" s="259">
        <f>Q20-Q10</f>
        <v/>
      </c>
      <c r="R21" s="259">
        <f>R20-R10</f>
        <v/>
      </c>
      <c r="S21" s="259">
        <f>S20-S10</f>
        <v/>
      </c>
      <c r="T21" s="259">
        <f>T20-S10</f>
        <v/>
      </c>
      <c r="U21" s="259">
        <f>U20-S10</f>
        <v/>
      </c>
      <c r="V21" s="259">
        <f>V20-V10</f>
        <v/>
      </c>
      <c r="W21" s="259">
        <f>W20-W10</f>
        <v/>
      </c>
      <c r="X21" s="259">
        <f>X20-X10</f>
        <v/>
      </c>
      <c r="Y21" s="259">
        <f>Y20-Y10</f>
        <v/>
      </c>
      <c r="Z21" s="259">
        <f>Z20-Z10</f>
        <v/>
      </c>
    </row>
    <row r="22" ht="12" customHeight="1" s="244">
      <c r="A22" s="261" t="n">
        <v>16</v>
      </c>
      <c r="B22" s="483" t="inlineStr">
        <is>
          <t>Lr</t>
        </is>
      </c>
      <c r="C22" s="474" t="inlineStr">
        <is>
          <t>BORU ARALIĞI (1)</t>
        </is>
      </c>
      <c r="D22" s="261" t="inlineStr">
        <is>
          <t>Kat Planından</t>
        </is>
      </c>
      <c r="E22" s="259" t="n"/>
      <c r="F22" s="259" t="n">
        <v>20</v>
      </c>
      <c r="G22" s="259" t="n">
        <v>25</v>
      </c>
      <c r="H22" s="259" t="n">
        <v>15</v>
      </c>
      <c r="I22" s="259" t="n">
        <v>15</v>
      </c>
      <c r="J22" s="259" t="n">
        <v>20</v>
      </c>
      <c r="K22" s="259" t="n">
        <v>20</v>
      </c>
      <c r="L22" s="259" t="n">
        <v>20</v>
      </c>
      <c r="M22" s="259" t="n">
        <v>20</v>
      </c>
      <c r="N22" s="259" t="n">
        <v>20</v>
      </c>
      <c r="O22" s="259" t="n">
        <v>20</v>
      </c>
      <c r="P22" s="259" t="n">
        <v>20</v>
      </c>
      <c r="Q22" s="259" t="n">
        <v>20</v>
      </c>
      <c r="R22" s="259" t="n">
        <v>20</v>
      </c>
      <c r="S22" s="259" t="n">
        <v>15</v>
      </c>
      <c r="T22" s="259" t="n">
        <v>15</v>
      </c>
      <c r="U22" s="259" t="n">
        <v>20</v>
      </c>
      <c r="V22" s="259" t="n">
        <v>15</v>
      </c>
      <c r="W22" s="259" t="n">
        <v>20</v>
      </c>
      <c r="X22" s="259" t="n">
        <v>15</v>
      </c>
      <c r="Y22" s="259" t="n">
        <v>20</v>
      </c>
      <c r="Z22" s="259" t="n">
        <v>20</v>
      </c>
    </row>
    <row r="23" ht="12" customHeight="1" s="244">
      <c r="A23" s="261" t="inlineStr">
        <is>
          <t>17a</t>
        </is>
      </c>
      <c r="B23" s="483" t="inlineStr">
        <is>
          <t>Ts.m</t>
        </is>
      </c>
      <c r="C23" s="474" t="inlineStr">
        <is>
          <t>ORTALAMA SU SICAKLIĞI (3)</t>
        </is>
      </c>
      <c r="D23" s="261" t="inlineStr">
        <is>
          <t>(Tsg-Tsç)/2</t>
        </is>
      </c>
      <c r="E23" s="259" t="inlineStr">
        <is>
          <t>°C</t>
        </is>
      </c>
      <c r="F23" s="484" t="n">
        <v>36</v>
      </c>
      <c r="G23" s="484" t="n">
        <v>36</v>
      </c>
      <c r="H23" s="484" t="n">
        <v>40</v>
      </c>
      <c r="I23" s="484" t="n">
        <v>40</v>
      </c>
      <c r="J23" s="484" t="n">
        <v>40</v>
      </c>
      <c r="K23" s="484" t="n">
        <v>40</v>
      </c>
      <c r="L23" s="484" t="n">
        <v>40</v>
      </c>
      <c r="M23" s="484" t="n">
        <v>40</v>
      </c>
      <c r="N23" s="484" t="n">
        <v>40</v>
      </c>
      <c r="O23" s="484" t="n">
        <v>40</v>
      </c>
      <c r="P23" s="484" t="n">
        <v>36</v>
      </c>
      <c r="Q23" s="484" t="n">
        <v>30</v>
      </c>
      <c r="R23" s="484" t="n">
        <v>36</v>
      </c>
      <c r="S23" s="484" t="n">
        <v>40</v>
      </c>
      <c r="T23" s="484" t="n">
        <v>40</v>
      </c>
      <c r="U23" s="484" t="n">
        <v>40</v>
      </c>
      <c r="V23" s="484" t="n">
        <v>40</v>
      </c>
      <c r="W23" s="484" t="n">
        <v>40</v>
      </c>
      <c r="X23" s="484" t="n">
        <v>36</v>
      </c>
      <c r="Y23" s="484" t="n">
        <v>30</v>
      </c>
      <c r="Z23" s="484" t="n">
        <v>30</v>
      </c>
    </row>
    <row r="24" ht="12" customHeight="1" s="244">
      <c r="A24" s="261" t="inlineStr">
        <is>
          <t>17b</t>
        </is>
      </c>
      <c r="B24" s="482" t="inlineStr">
        <is>
          <t>ΔTs.m</t>
        </is>
      </c>
      <c r="C24" s="474" t="inlineStr">
        <is>
          <t>ORTALAMA SICAK SU - ODA SICAKLIĞI</t>
        </is>
      </c>
      <c r="D24" s="261" t="n"/>
      <c r="E24" s="259" t="inlineStr">
        <is>
          <t>°C</t>
        </is>
      </c>
      <c r="F24" s="259">
        <f>F23-F10</f>
        <v/>
      </c>
      <c r="G24" s="259">
        <f>G23-G10</f>
        <v/>
      </c>
      <c r="H24" s="259">
        <f>H23-H10</f>
        <v/>
      </c>
      <c r="I24" s="259">
        <f>I23-H10</f>
        <v/>
      </c>
      <c r="J24" s="259">
        <f>J23-H10</f>
        <v/>
      </c>
      <c r="K24" s="259">
        <f>K23-H10</f>
        <v/>
      </c>
      <c r="L24" s="259">
        <f>L23-H10</f>
        <v/>
      </c>
      <c r="M24" s="259">
        <f>M23-H10</f>
        <v/>
      </c>
      <c r="N24" s="259">
        <f>N23-N10</f>
        <v/>
      </c>
      <c r="O24" s="259">
        <f>O23-N10</f>
        <v/>
      </c>
      <c r="P24" s="259">
        <f>P23-P10</f>
        <v/>
      </c>
      <c r="Q24" s="259">
        <f>Q23-Q10</f>
        <v/>
      </c>
      <c r="R24" s="259">
        <f>R23-R10</f>
        <v/>
      </c>
      <c r="S24" s="259">
        <f>S23-S10</f>
        <v/>
      </c>
      <c r="T24" s="259">
        <f>T23-S10</f>
        <v/>
      </c>
      <c r="U24" s="259">
        <f>U23-S10</f>
        <v/>
      </c>
      <c r="V24" s="259">
        <f>V23-V10</f>
        <v/>
      </c>
      <c r="W24" s="259">
        <f>W23-W10</f>
        <v/>
      </c>
      <c r="X24" s="259">
        <f>X23-X10</f>
        <v/>
      </c>
      <c r="Y24" s="259">
        <f>Y23-Y10</f>
        <v/>
      </c>
      <c r="Z24" s="259">
        <f>Z23-Z10</f>
        <v/>
      </c>
    </row>
    <row r="25" ht="12" customHeight="1" s="244">
      <c r="A25" s="261" t="n">
        <v>18</v>
      </c>
      <c r="B25" s="482" t="inlineStr">
        <is>
          <t>ΔTs</t>
        </is>
      </c>
      <c r="C25" s="474" t="inlineStr">
        <is>
          <t>SICAK SU GİDİŞ - DÖNÜŞ SICAKLIĞI</t>
        </is>
      </c>
      <c r="D25" s="261" t="inlineStr">
        <is>
          <t>2(ΔTsg - ΔTs.m)</t>
        </is>
      </c>
      <c r="E25" s="259" t="inlineStr">
        <is>
          <t>°C</t>
        </is>
      </c>
      <c r="F25" s="259">
        <f>2*(F21-F24)</f>
        <v/>
      </c>
      <c r="G25" s="259">
        <f>2*(G21-G24)</f>
        <v/>
      </c>
      <c r="H25" s="259">
        <f>2*(H21-H24)</f>
        <v/>
      </c>
      <c r="I25" s="259">
        <f>2*(I21-I24)</f>
        <v/>
      </c>
      <c r="J25" s="259">
        <f>2*(J21-J24)</f>
        <v/>
      </c>
      <c r="K25" s="259">
        <f>2*(K21-K24)</f>
        <v/>
      </c>
      <c r="L25" s="259">
        <f>2*(L21-L24)</f>
        <v/>
      </c>
      <c r="M25" s="259">
        <f>2*(M21-M24)</f>
        <v/>
      </c>
      <c r="N25" s="259">
        <f>2*(N21-N24)</f>
        <v/>
      </c>
      <c r="O25" s="259">
        <f>2*(O21-O24)</f>
        <v/>
      </c>
      <c r="P25" s="259">
        <f>2*(P21-P24)</f>
        <v/>
      </c>
      <c r="Q25" s="259">
        <f>2*(Q21-Q24)</f>
        <v/>
      </c>
      <c r="R25" s="259">
        <f>2*(R21-R24)</f>
        <v/>
      </c>
      <c r="S25" s="259">
        <f>2*(S21-S24)</f>
        <v/>
      </c>
      <c r="T25" s="259">
        <f>2*(T21-T24)</f>
        <v/>
      </c>
      <c r="U25" s="259">
        <f>2*(U21-U24)</f>
        <v/>
      </c>
      <c r="V25" s="259">
        <f>2*(V21-V24)</f>
        <v/>
      </c>
      <c r="W25" s="259">
        <f>2*(W21-W24)</f>
        <v/>
      </c>
      <c r="X25" s="259">
        <f>2*(X21-X24)</f>
        <v/>
      </c>
      <c r="Y25" s="259">
        <f>2*(Y21-Y24)</f>
        <v/>
      </c>
      <c r="Z25" s="259">
        <f>2*(Z21-Z24)</f>
        <v/>
      </c>
    </row>
    <row r="26" ht="12" customHeight="1" s="244">
      <c r="A26" s="261" t="n">
        <v>19</v>
      </c>
      <c r="B26" s="483" t="inlineStr">
        <is>
          <t>q"döşeme</t>
        </is>
      </c>
      <c r="C26" s="474" t="inlineStr">
        <is>
          <t>ALTA GEÇEN ISI AKISI (4)</t>
        </is>
      </c>
      <c r="D26" s="485" t="inlineStr">
        <is>
          <t>0,2 q değerinden küçük alınmıştır.</t>
        </is>
      </c>
      <c r="E26" s="259" t="inlineStr">
        <is>
          <t>W/m²</t>
        </is>
      </c>
      <c r="F26" s="481">
        <f>0.2*F14</f>
        <v/>
      </c>
      <c r="G26" s="481">
        <f>0.2*G14</f>
        <v/>
      </c>
      <c r="H26" s="481">
        <f>0.2*H14</f>
        <v/>
      </c>
      <c r="I26" s="481">
        <f>0.2*H14</f>
        <v/>
      </c>
      <c r="J26" s="481">
        <f>0.2*H14</f>
        <v/>
      </c>
      <c r="K26" s="481">
        <f>0.2*H14</f>
        <v/>
      </c>
      <c r="L26" s="481">
        <f>0.2*H14</f>
        <v/>
      </c>
      <c r="M26" s="481">
        <f>0.2*H14</f>
        <v/>
      </c>
      <c r="N26" s="481">
        <f>0.2*N14</f>
        <v/>
      </c>
      <c r="O26" s="481">
        <f>0.2*N14</f>
        <v/>
      </c>
      <c r="P26" s="481">
        <f>0.2*P14</f>
        <v/>
      </c>
      <c r="Q26" s="481">
        <f>0.2*Q14</f>
        <v/>
      </c>
      <c r="R26" s="481">
        <f>0.2*R14</f>
        <v/>
      </c>
      <c r="S26" s="481">
        <f>0.2*S14</f>
        <v/>
      </c>
      <c r="T26" s="481">
        <f>0.2*S14</f>
        <v/>
      </c>
      <c r="U26" s="481">
        <f>0.2*S14</f>
        <v/>
      </c>
      <c r="V26" s="481">
        <f>0.2*V14</f>
        <v/>
      </c>
      <c r="W26" s="481">
        <f>0.2*W14</f>
        <v/>
      </c>
      <c r="X26" s="481">
        <f>0.2*X14</f>
        <v/>
      </c>
      <c r="Y26" s="481">
        <f>0.2*Y14</f>
        <v/>
      </c>
      <c r="Z26" s="481">
        <f>0.2*Z14</f>
        <v/>
      </c>
    </row>
    <row r="27" ht="12" customHeight="1" s="244">
      <c r="A27" s="261" t="n">
        <v>20</v>
      </c>
      <c r="B27" s="483" t="inlineStr">
        <is>
          <t>q</t>
        </is>
      </c>
      <c r="C27" s="474" t="inlineStr">
        <is>
          <t>ÇEVRİMİN TOPLAM ISISI</t>
        </is>
      </c>
      <c r="D27" s="261" t="inlineStr">
        <is>
          <t>A(q"döşeme + q"tavan)</t>
        </is>
      </c>
      <c r="E27" s="259" t="inlineStr">
        <is>
          <t>w</t>
        </is>
      </c>
      <c r="F27" s="486">
        <f>F17*(F14+F26)</f>
        <v/>
      </c>
      <c r="G27" s="486">
        <f>G17*(G14+G26)</f>
        <v/>
      </c>
      <c r="H27" s="486">
        <f>H17*(H14+H26)</f>
        <v/>
      </c>
      <c r="I27" s="486">
        <f>I17*(H14+I26)</f>
        <v/>
      </c>
      <c r="J27" s="486">
        <f>J17*(I14+J26)</f>
        <v/>
      </c>
      <c r="K27" s="486">
        <f>K17*(J14+K26)</f>
        <v/>
      </c>
      <c r="L27" s="486">
        <f>L17*(K14+L26)</f>
        <v/>
      </c>
      <c r="M27" s="486">
        <f>M17*(L14+M26)</f>
        <v/>
      </c>
      <c r="N27" s="486">
        <f>N17*(N14+N26)</f>
        <v/>
      </c>
      <c r="O27" s="486">
        <f>O17*(N14+O26)</f>
        <v/>
      </c>
      <c r="P27" s="486">
        <f>P17*(P14+P26)</f>
        <v/>
      </c>
      <c r="Q27" s="486">
        <f>Q17*(Q14+Q26)</f>
        <v/>
      </c>
      <c r="R27" s="486">
        <f>R17*(R14+R26)</f>
        <v/>
      </c>
      <c r="S27" s="486">
        <f>S17*(S14+S26)</f>
        <v/>
      </c>
      <c r="T27" s="486">
        <f>T17*(S14+T26)</f>
        <v/>
      </c>
      <c r="U27" s="486">
        <f>U17*(T14+U26)</f>
        <v/>
      </c>
      <c r="V27" s="486">
        <f>V17*(V14+V26)</f>
        <v/>
      </c>
      <c r="W27" s="486">
        <f>W17*(W14+W26)</f>
        <v/>
      </c>
      <c r="X27" s="486">
        <f>X17*(X14+X26)</f>
        <v/>
      </c>
      <c r="Y27" s="486">
        <f>Y17*(Y14+Y26)</f>
        <v/>
      </c>
      <c r="Z27" s="486">
        <f>Z17*(Z14+Z26)</f>
        <v/>
      </c>
    </row>
    <row r="28" ht="12" customHeight="1" s="244">
      <c r="A28" s="261" t="n">
        <v>21</v>
      </c>
      <c r="B28" s="483" t="inlineStr">
        <is>
          <t>m</t>
        </is>
      </c>
      <c r="C28" s="474" t="inlineStr">
        <is>
          <t>SICAK SU DEBİSİ</t>
        </is>
      </c>
      <c r="D28" s="261" t="inlineStr">
        <is>
          <t>q/(1,163ΔTsg)</t>
        </is>
      </c>
      <c r="E28" s="259" t="inlineStr">
        <is>
          <t>kg/h</t>
        </is>
      </c>
      <c r="F28" s="487">
        <f>F27/(1.163*F21)</f>
        <v/>
      </c>
      <c r="G28" s="487">
        <f>G27/(1.163*G21)</f>
        <v/>
      </c>
      <c r="H28" s="487">
        <f>H27/(1.163*H21)</f>
        <v/>
      </c>
      <c r="I28" s="487">
        <f>I27/(1.163*I21)</f>
        <v/>
      </c>
      <c r="J28" s="487">
        <f>J27/(1.163*J21)</f>
        <v/>
      </c>
      <c r="K28" s="487">
        <f>K27/(1.163*K21)</f>
        <v/>
      </c>
      <c r="L28" s="487">
        <f>L27/(1.163*L21)</f>
        <v/>
      </c>
      <c r="M28" s="487">
        <f>M27/(1.163*M21)</f>
        <v/>
      </c>
      <c r="N28" s="487">
        <f>N27/(1.163*N21)</f>
        <v/>
      </c>
      <c r="O28" s="487">
        <f>O27/(1.163*O21)</f>
        <v/>
      </c>
      <c r="P28" s="487">
        <f>P27/(1.163*P21)</f>
        <v/>
      </c>
      <c r="Q28" s="487">
        <f>Q27/(1.163*Q21)</f>
        <v/>
      </c>
      <c r="R28" s="487">
        <f>R27/(1.163*R21)</f>
        <v/>
      </c>
      <c r="S28" s="487">
        <f>S27/(1.163*S21)</f>
        <v/>
      </c>
      <c r="T28" s="487">
        <f>T27/(1.163*T21)</f>
        <v/>
      </c>
      <c r="U28" s="487">
        <f>U27/(1.163*U21)</f>
        <v/>
      </c>
      <c r="V28" s="487">
        <f>V27/(1.163*V21)</f>
        <v/>
      </c>
      <c r="W28" s="487">
        <f>W27/(1.163*W21)</f>
        <v/>
      </c>
      <c r="X28" s="487">
        <f>X27/(1.163*X21)</f>
        <v/>
      </c>
      <c r="Y28" s="487">
        <f>Y27/(1.163*Y21)</f>
        <v/>
      </c>
      <c r="Z28" s="487">
        <f>Z27/(1.163*Z21)</f>
        <v/>
      </c>
    </row>
    <row r="29" ht="12" customHeight="1" s="244">
      <c r="A29" s="261" t="n">
        <v>22</v>
      </c>
      <c r="B29" s="483" t="inlineStr">
        <is>
          <t>Lç</t>
        </is>
      </c>
      <c r="C29" s="474" t="inlineStr">
        <is>
          <t>BORU UZUNLUĞU</t>
        </is>
      </c>
      <c r="D29" s="261" t="inlineStr">
        <is>
          <t>A/Lr</t>
        </is>
      </c>
      <c r="E29" s="259" t="inlineStr">
        <is>
          <t>m</t>
        </is>
      </c>
      <c r="F29" s="488">
        <f>F17/(F22*0.01)</f>
        <v/>
      </c>
      <c r="G29" s="488">
        <f>G17/(G22*0.01)</f>
        <v/>
      </c>
      <c r="H29" s="488">
        <f>H17/(H22*0.01)</f>
        <v/>
      </c>
      <c r="I29" s="488">
        <f>I17/(I22*0.01)</f>
        <v/>
      </c>
      <c r="J29" s="488">
        <f>J17/(J22*0.01)</f>
        <v/>
      </c>
      <c r="K29" s="488">
        <f>K17/(K22*0.01)</f>
        <v/>
      </c>
      <c r="L29" s="488">
        <f>L17/(L22*0.01)</f>
        <v/>
      </c>
      <c r="M29" s="488">
        <f>M17/(M22*0.01)</f>
        <v/>
      </c>
      <c r="N29" s="488">
        <f>N17/(N22*0.01)</f>
        <v/>
      </c>
      <c r="O29" s="488">
        <f>O17/(O22*0.01)</f>
        <v/>
      </c>
      <c r="P29" s="488">
        <f>P17/(P22*0.01)</f>
        <v/>
      </c>
      <c r="Q29" s="488">
        <f>Q17/(Q22*0.01)</f>
        <v/>
      </c>
      <c r="R29" s="488">
        <f>R17/(R22*0.01)</f>
        <v/>
      </c>
      <c r="S29" s="488">
        <f>S17/(S22*0.01)</f>
        <v/>
      </c>
      <c r="T29" s="488">
        <f>T17/(T22*0.01)</f>
        <v/>
      </c>
      <c r="U29" s="488">
        <f>U17/(U22*0.01)</f>
        <v/>
      </c>
      <c r="V29" s="488">
        <f>V17/(V22*0.01)</f>
        <v/>
      </c>
      <c r="W29" s="488">
        <f>W17/(W22*0.01)</f>
        <v/>
      </c>
      <c r="X29" s="488">
        <f>X17/(X22*0.01)</f>
        <v/>
      </c>
      <c r="Y29" s="488">
        <f>Y17/(Y22*0.01)</f>
        <v/>
      </c>
      <c r="Z29" s="488">
        <f>Z17/(Z22*0.01)</f>
        <v/>
      </c>
    </row>
    <row r="30" ht="12" customHeight="1" s="244">
      <c r="A30" s="261" t="n">
        <v>23</v>
      </c>
      <c r="B30" s="483" t="inlineStr">
        <is>
          <t>Lb</t>
        </is>
      </c>
      <c r="C30" s="474" t="inlineStr">
        <is>
          <t>BAĞLANTI BORULARI</t>
        </is>
      </c>
      <c r="D30" s="261" t="inlineStr">
        <is>
          <t>Kat Planından</t>
        </is>
      </c>
      <c r="E30" s="259" t="inlineStr">
        <is>
          <t>m</t>
        </is>
      </c>
      <c r="F30" s="489" t="n"/>
      <c r="G30" s="489" t="n"/>
      <c r="H30" s="490" t="inlineStr">
        <is>
          <t>bağlantı boruları toplam boru boyuna ilave edilmiştir.</t>
        </is>
      </c>
      <c r="I30" s="489" t="n"/>
      <c r="J30" s="489" t="n"/>
      <c r="K30" s="489" t="n"/>
      <c r="L30" s="489" t="n"/>
      <c r="M30" s="489" t="n"/>
      <c r="N30" s="490" t="n"/>
      <c r="O30" s="489" t="n"/>
      <c r="P30" s="489" t="n"/>
      <c r="Q30" s="489" t="n"/>
      <c r="R30" s="489" t="n"/>
      <c r="S30" s="490" t="inlineStr">
        <is>
          <t>bağlantı boruları toplam boru boyuna ilave edilmiştir.</t>
        </is>
      </c>
      <c r="T30" s="489" t="n"/>
      <c r="U30" s="489" t="n"/>
      <c r="V30" s="489" t="n"/>
      <c r="W30" s="490" t="n"/>
      <c r="X30" s="489" t="n"/>
      <c r="Y30" s="489" t="n"/>
      <c r="Z30" s="489" t="n"/>
    </row>
    <row r="31" ht="12" customHeight="1" s="244">
      <c r="A31" s="261" t="n">
        <v>24</v>
      </c>
      <c r="B31" s="483" t="inlineStr">
        <is>
          <t>L</t>
        </is>
      </c>
      <c r="C31" s="474" t="inlineStr">
        <is>
          <t>TOPLAM BORU UZUNLUĞU</t>
        </is>
      </c>
      <c r="D31" s="261" t="inlineStr">
        <is>
          <t>Lç + Lb</t>
        </is>
      </c>
      <c r="E31" s="259" t="inlineStr">
        <is>
          <t>m</t>
        </is>
      </c>
      <c r="F31" s="259">
        <f>F29+0</f>
        <v/>
      </c>
      <c r="G31" s="259">
        <f>G29+0</f>
        <v/>
      </c>
      <c r="H31" s="259">
        <f>H29+0</f>
        <v/>
      </c>
      <c r="I31" s="259">
        <f>I29+0</f>
        <v/>
      </c>
      <c r="J31" s="259">
        <f>J29+0</f>
        <v/>
      </c>
      <c r="K31" s="259">
        <f>K29+0</f>
        <v/>
      </c>
      <c r="L31" s="259">
        <f>L29+0</f>
        <v/>
      </c>
      <c r="M31" s="259">
        <f>M29+0</f>
        <v/>
      </c>
      <c r="N31" s="259">
        <f>N29+0</f>
        <v/>
      </c>
      <c r="O31" s="259">
        <f>O29+0</f>
        <v/>
      </c>
      <c r="P31" s="259">
        <f>P29+0</f>
        <v/>
      </c>
      <c r="Q31" s="259">
        <f>Q29+0</f>
        <v/>
      </c>
      <c r="R31" s="259">
        <f>R29+0</f>
        <v/>
      </c>
      <c r="S31" s="259">
        <f>S29+0</f>
        <v/>
      </c>
      <c r="T31" s="259">
        <f>T29+0</f>
        <v/>
      </c>
      <c r="U31" s="259">
        <f>U29+0</f>
        <v/>
      </c>
      <c r="V31" s="259">
        <f>V29+0</f>
        <v/>
      </c>
      <c r="W31" s="259">
        <f>W29+0</f>
        <v/>
      </c>
      <c r="X31" s="259">
        <f>X29+0</f>
        <v/>
      </c>
      <c r="Y31" s="259">
        <f>Y29+0</f>
        <v/>
      </c>
      <c r="Z31" s="259">
        <f>Z29+0</f>
        <v/>
      </c>
    </row>
    <row r="32" ht="12" customHeight="1" s="244">
      <c r="A32" s="261" t="n">
        <v>25</v>
      </c>
      <c r="B32" s="482" t="inlineStr">
        <is>
          <t>ΔPs</t>
        </is>
      </c>
      <c r="C32" s="474" t="inlineStr">
        <is>
          <t>DÜZ BORU BASINÇ KAYBI (5)</t>
        </is>
      </c>
      <c r="D32" s="261" t="inlineStr">
        <is>
          <t>Kısım 9.4  , EK VI-14i</t>
        </is>
      </c>
      <c r="E32" s="259" t="inlineStr">
        <is>
          <t>Pa</t>
        </is>
      </c>
      <c r="F32" s="488" t="n">
        <v>2825</v>
      </c>
      <c r="G32" s="488" t="n">
        <v>2870</v>
      </c>
      <c r="H32" s="488" t="n">
        <v>3060</v>
      </c>
      <c r="I32" s="488" t="n">
        <v>3000</v>
      </c>
      <c r="J32" s="488" t="n">
        <v>3000</v>
      </c>
      <c r="K32" s="488" t="n">
        <v>3000</v>
      </c>
      <c r="L32" s="488" t="n">
        <v>3000</v>
      </c>
      <c r="M32" s="488" t="n">
        <v>3000</v>
      </c>
      <c r="N32" s="488" t="n">
        <v>3060</v>
      </c>
      <c r="O32" s="488" t="n">
        <v>3000</v>
      </c>
      <c r="P32" s="488" t="n">
        <v>2825</v>
      </c>
      <c r="Q32" s="488" t="n">
        <v>2960</v>
      </c>
      <c r="R32" s="488" t="n">
        <v>2825</v>
      </c>
      <c r="S32" s="488" t="n">
        <v>3060</v>
      </c>
      <c r="T32" s="488" t="n">
        <v>3000</v>
      </c>
      <c r="U32" s="488" t="n">
        <v>3000</v>
      </c>
      <c r="V32" s="488" t="n">
        <v>2870</v>
      </c>
      <c r="W32" s="488" t="n">
        <v>3060</v>
      </c>
      <c r="X32" s="488" t="n">
        <v>2825</v>
      </c>
      <c r="Y32" s="488" t="n">
        <v>2960</v>
      </c>
      <c r="Z32" s="488" t="n">
        <v>2960</v>
      </c>
    </row>
    <row r="33" ht="12" customHeight="1" s="244">
      <c r="A33" s="261" t="n">
        <v>26</v>
      </c>
      <c r="B33" s="482" t="inlineStr">
        <is>
          <t>Δpö</t>
        </is>
      </c>
      <c r="C33" s="474" t="inlineStr">
        <is>
          <t>ÖZEL BASINÇ KAYIPLARI (6)</t>
        </is>
      </c>
      <c r="D33" s="261" t="inlineStr">
        <is>
          <t>Kısım 9.4  , Denk. (8.7.22)</t>
        </is>
      </c>
      <c r="E33" s="259" t="inlineStr">
        <is>
          <t>Pa</t>
        </is>
      </c>
      <c r="F33" s="259">
        <f>F32*0.05</f>
        <v/>
      </c>
      <c r="G33" s="259">
        <f>G32*0.05</f>
        <v/>
      </c>
      <c r="H33" s="259">
        <f>H32*0.05</f>
        <v/>
      </c>
      <c r="I33" s="259">
        <f>I32*0.05</f>
        <v/>
      </c>
      <c r="J33" s="259">
        <f>J32*0.05</f>
        <v/>
      </c>
      <c r="K33" s="259">
        <f>K32*0.05</f>
        <v/>
      </c>
      <c r="L33" s="259">
        <f>L32*0.05</f>
        <v/>
      </c>
      <c r="M33" s="259">
        <f>M32*0.05</f>
        <v/>
      </c>
      <c r="N33" s="259">
        <f>N32*0.05</f>
        <v/>
      </c>
      <c r="O33" s="259">
        <f>O32*0.05</f>
        <v/>
      </c>
      <c r="P33" s="259">
        <f>P32*0.05</f>
        <v/>
      </c>
      <c r="Q33" s="259">
        <f>Q32*0.05</f>
        <v/>
      </c>
      <c r="R33" s="259">
        <f>R32*0.05</f>
        <v/>
      </c>
      <c r="S33" s="259">
        <f>S32*0.05</f>
        <v/>
      </c>
      <c r="T33" s="259">
        <f>T32*0.05</f>
        <v/>
      </c>
      <c r="U33" s="259">
        <f>U32*0.05</f>
        <v/>
      </c>
      <c r="V33" s="259">
        <f>V32*0.05</f>
        <v/>
      </c>
      <c r="W33" s="259">
        <f>W32*0.05</f>
        <v/>
      </c>
      <c r="X33" s="259">
        <f>X32*0.05</f>
        <v/>
      </c>
      <c r="Y33" s="259">
        <f>Y32*0.05</f>
        <v/>
      </c>
      <c r="Z33" s="259">
        <f>Z32*0.05</f>
        <v/>
      </c>
    </row>
    <row r="34" ht="12" customHeight="1" s="244">
      <c r="A34" s="261" t="n">
        <v>27</v>
      </c>
      <c r="B34" s="482" t="inlineStr">
        <is>
          <t>ΔP</t>
        </is>
      </c>
      <c r="C34" s="474" t="inlineStr">
        <is>
          <t>TOPLAM BASINÇ KAYBI</t>
        </is>
      </c>
      <c r="D34" s="261" t="inlineStr">
        <is>
          <t>ΔPs + Δpö</t>
        </is>
      </c>
      <c r="E34" s="259" t="inlineStr">
        <is>
          <t>Pa</t>
        </is>
      </c>
      <c r="F34" s="259">
        <f>F32+F33</f>
        <v/>
      </c>
      <c r="G34" s="259">
        <f>G32+G33</f>
        <v/>
      </c>
      <c r="H34" s="259">
        <f>H32+H33</f>
        <v/>
      </c>
      <c r="I34" s="259">
        <f>I32+I33</f>
        <v/>
      </c>
      <c r="J34" s="259">
        <f>J32+J33</f>
        <v/>
      </c>
      <c r="K34" s="259">
        <f>K32+K33</f>
        <v/>
      </c>
      <c r="L34" s="259">
        <f>L32+L33</f>
        <v/>
      </c>
      <c r="M34" s="259">
        <f>M32+M33</f>
        <v/>
      </c>
      <c r="N34" s="259">
        <f>N32+N33</f>
        <v/>
      </c>
      <c r="O34" s="259">
        <f>O32+O33</f>
        <v/>
      </c>
      <c r="P34" s="259">
        <f>P32+P33</f>
        <v/>
      </c>
      <c r="Q34" s="259">
        <f>Q32+Q33</f>
        <v/>
      </c>
      <c r="R34" s="259">
        <f>R32+R33</f>
        <v/>
      </c>
      <c r="S34" s="259">
        <f>S32+S33</f>
        <v/>
      </c>
      <c r="T34" s="259">
        <f>T32+T33</f>
        <v/>
      </c>
      <c r="U34" s="259">
        <f>U32+U33</f>
        <v/>
      </c>
      <c r="V34" s="259">
        <f>V32+V33</f>
        <v/>
      </c>
      <c r="W34" s="259">
        <f>W32+W33</f>
        <v/>
      </c>
      <c r="X34" s="259">
        <f>X32+X33</f>
        <v/>
      </c>
      <c r="Y34" s="259">
        <f>Y32+Y33</f>
        <v/>
      </c>
      <c r="Z34" s="259">
        <f>Z32+Z33</f>
        <v/>
      </c>
    </row>
    <row r="35" ht="12" customHeight="1" s="244">
      <c r="A35" s="261" t="n">
        <v>28</v>
      </c>
      <c r="B35" s="482" t="inlineStr">
        <is>
          <t>ΔPd</t>
        </is>
      </c>
      <c r="C35" s="282" t="inlineStr">
        <is>
          <t>DENGELENMESİ GEREKEN BASINÇ(7)</t>
        </is>
      </c>
      <c r="D35" s="261" t="inlineStr">
        <is>
          <t>Δpmax - ΔP</t>
        </is>
      </c>
      <c r="E35" s="259" t="inlineStr">
        <is>
          <t>Pa</t>
        </is>
      </c>
      <c r="F35" s="491">
        <f>9828-F34</f>
        <v/>
      </c>
      <c r="G35" s="491">
        <f>9828-G34</f>
        <v/>
      </c>
      <c r="H35" s="491">
        <f>9828-H34</f>
        <v/>
      </c>
      <c r="I35" s="491">
        <f>9828-I34</f>
        <v/>
      </c>
      <c r="J35" s="491">
        <f>9828-J34</f>
        <v/>
      </c>
      <c r="K35" s="491">
        <f>9828-K34</f>
        <v/>
      </c>
      <c r="L35" s="491">
        <f>9828-L34</f>
        <v/>
      </c>
      <c r="M35" s="491">
        <f>9828-M34</f>
        <v/>
      </c>
      <c r="N35" s="491">
        <f>9828-N34</f>
        <v/>
      </c>
      <c r="O35" s="491">
        <f>9828-O34</f>
        <v/>
      </c>
      <c r="P35" s="491">
        <f>9828-P34</f>
        <v/>
      </c>
      <c r="Q35" s="491">
        <f>9828-Q34</f>
        <v/>
      </c>
      <c r="R35" s="491">
        <f>9828-R34</f>
        <v/>
      </c>
      <c r="S35" s="491">
        <f>9828-S34</f>
        <v/>
      </c>
      <c r="T35" s="491">
        <f>9828-T34</f>
        <v/>
      </c>
      <c r="U35" s="491">
        <f>9828-U34</f>
        <v/>
      </c>
      <c r="V35" s="491">
        <f>9828-V34</f>
        <v/>
      </c>
      <c r="W35" s="491">
        <f>9828-W34</f>
        <v/>
      </c>
      <c r="X35" s="491">
        <f>9828-X34</f>
        <v/>
      </c>
      <c r="Y35" s="491">
        <f>9828-Y34</f>
        <v/>
      </c>
      <c r="Z35" s="491">
        <f>9828-Z34</f>
        <v/>
      </c>
    </row>
    <row r="36" ht="18" customHeight="1" s="244">
      <c r="D36" s="266" t="inlineStr">
        <is>
          <t>Δpmax = 9828 Pa</t>
        </is>
      </c>
      <c r="H36" s="243" t="inlineStr">
        <is>
          <t>BASINÇ AYARLI KOLLEKTÖRDEN HERBİR</t>
        </is>
      </c>
    </row>
    <row r="37" ht="18" customHeight="1" s="244">
      <c r="H37" s="243" t="inlineStr">
        <is>
          <t>HATTA GİDEN BASINÇ BU BASINÇ DEĞERLERİNE</t>
        </is>
      </c>
    </row>
    <row r="38" ht="12.75" customHeight="1" s="244">
      <c r="H38" s="243" t="inlineStr">
        <is>
          <t>GÖRE AYARLANMALIDIR….</t>
        </is>
      </c>
    </row>
    <row r="39" ht="12.75" customHeight="1" s="244">
      <c r="H39" s="492" t="inlineStr">
        <is>
          <t>Δpö</t>
        </is>
      </c>
      <c r="I39" s="492" t="inlineStr">
        <is>
          <t xml:space="preserve">EK VI-14i Tablosundan q değeri m³/h çevrilir DN10 borusu </t>
        </is>
      </c>
      <c r="J39" s="492" t="n"/>
      <c r="K39" s="492" t="n"/>
      <c r="L39" s="492" t="n"/>
      <c r="M39" s="492" t="n"/>
      <c r="N39" s="492" t="n"/>
      <c r="O39" s="492" t="n"/>
      <c r="P39" s="492" t="n"/>
    </row>
    <row r="40" ht="12.75" customHeight="1" s="244">
      <c r="A40" s="493" t="inlineStr">
        <is>
          <t xml:space="preserve"> (1)</t>
        </is>
      </c>
      <c r="B40" s="243" t="inlineStr">
        <is>
          <t>Şek. 19.7.1 den seçilmiştir.</t>
        </is>
      </c>
      <c r="H40" s="492" t="n"/>
      <c r="I40" s="492" t="inlineStr">
        <is>
          <t>için R (Pa/m) 1metre borudaki basın. Kaybı bulunur..</t>
        </is>
      </c>
      <c r="J40" s="492" t="n"/>
      <c r="K40" s="492" t="n"/>
      <c r="L40" s="492" t="n"/>
      <c r="M40" s="492" t="n"/>
      <c r="N40" s="492" t="n"/>
      <c r="O40" s="492" t="n"/>
      <c r="P40" s="492" t="n"/>
    </row>
    <row r="41" ht="12.75" customHeight="1" s="244">
      <c r="A41" s="493" t="inlineStr">
        <is>
          <t xml:space="preserve"> (2)</t>
        </is>
      </c>
      <c r="B41" s="243" t="inlineStr">
        <is>
          <t>Sıcak su girişi ( kazan çıkış suyu sıcaklığı ) 50 °C  olarak seçilmiştir.</t>
        </is>
      </c>
      <c r="H41" s="492" t="n"/>
      <c r="I41" s="492" t="inlineStr">
        <is>
          <t xml:space="preserve">toplam boru boyu ile çarpımından Δpö (Pa) bulunur.  </t>
        </is>
      </c>
      <c r="J41" s="492" t="n"/>
      <c r="K41" s="492" t="n"/>
      <c r="L41" s="492" t="n"/>
      <c r="M41" s="492" t="n"/>
      <c r="N41" s="492" t="n"/>
      <c r="O41" s="492" t="n"/>
      <c r="P41" s="492" t="n"/>
    </row>
    <row r="42" ht="12.75" customHeight="1" s="244">
      <c r="A42" s="493" t="inlineStr">
        <is>
          <t xml:space="preserve"> (3)</t>
        </is>
      </c>
      <c r="B42" s="243" t="inlineStr">
        <is>
          <t>Şek. 19.7.1 den bulunmuştur..</t>
        </is>
      </c>
    </row>
    <row r="43" ht="12.75" customHeight="1" s="244">
      <c r="A43" s="493" t="inlineStr">
        <is>
          <t xml:space="preserve"> (4)</t>
        </is>
      </c>
      <c r="B43" s="243" t="inlineStr">
        <is>
          <t>Bu ısı , geçiş bağlantılarından hesaplanabildiği gibi maksimum 0,2 q" olarak alınmıştır.</t>
        </is>
      </c>
    </row>
    <row r="44" ht="12.75" customHeight="1" s="244">
      <c r="A44" s="493" t="inlineStr">
        <is>
          <t xml:space="preserve"> (5)</t>
        </is>
      </c>
      <c r="B44" s="243" t="inlineStr">
        <is>
          <t>R ( Pa/m) özgül basın. Kayıpları EK VI-14f ' de 15x1 çapındakiboru çapına göre alınmıştır.</t>
        </is>
      </c>
    </row>
    <row r="45" ht="12.75" customHeight="1" s="244">
      <c r="A45" s="493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93" t="inlineStr">
        <is>
          <t xml:space="preserve"> (7)</t>
        </is>
      </c>
      <c r="B46" s="243" t="inlineStr">
        <is>
          <t>Isıtma çevriminin basıncı , kollektördeki reglaj vanası ile ayarlanmalıdır…</t>
        </is>
      </c>
    </row>
    <row r="47" ht="12.75" customHeight="1" s="244">
      <c r="A47" s="494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W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45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45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95" t="n"/>
      <c r="Q1" s="496" t="n"/>
      <c r="R1" s="496" t="n"/>
      <c r="S1" s="496" t="n"/>
      <c r="T1" s="496" t="n"/>
      <c r="U1" s="496" t="n"/>
      <c r="V1" s="496" t="n"/>
      <c r="W1" s="496" t="n"/>
      <c r="X1" s="497" t="n"/>
      <c r="Y1" s="497" t="n"/>
    </row>
    <row r="2" ht="12.75" customFormat="1" customHeight="1" s="418">
      <c r="A2" s="460" t="inlineStr">
        <is>
          <t>2. ve 3. KAT</t>
        </is>
      </c>
      <c r="B2" s="422" t="n"/>
      <c r="C2" s="461" t="inlineStr">
        <is>
          <t>DÖŞEMEDEN ISITMA HESAP ÖZETİ</t>
        </is>
      </c>
      <c r="D2" s="462" t="inlineStr">
        <is>
          <t>Ts.g  = 50 °C</t>
        </is>
      </c>
      <c r="E2" s="463" t="inlineStr">
        <is>
          <t>TOPLAM ISI KAYBI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39" t="n"/>
      <c r="AA2" s="439" t="n"/>
      <c r="AB2" s="439" t="n"/>
      <c r="AC2" s="439" t="n"/>
    </row>
    <row r="3" ht="8.25" customFormat="1" customHeight="1" s="418">
      <c r="A3" s="421" t="n"/>
      <c r="B3" s="422" t="n"/>
      <c r="C3" s="426" t="n"/>
      <c r="D3" s="465" t="inlineStr">
        <is>
          <t>Isıtma Çevrim Sayısı : 6</t>
        </is>
      </c>
      <c r="E3" s="463" t="inlineStr">
        <is>
          <t>MAX. BASINÇ KAYBI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39" t="n"/>
      <c r="AA3" s="439" t="n"/>
      <c r="AB3" s="439" t="n"/>
      <c r="AC3" s="439" t="n"/>
    </row>
    <row r="4" ht="5.25" customFormat="1" customHeight="1" s="418">
      <c r="A4" s="421" t="n"/>
      <c r="B4" s="422" t="n"/>
      <c r="C4" s="426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39" t="n"/>
      <c r="AA4" s="439" t="n"/>
      <c r="AB4" s="439" t="n"/>
      <c r="AC4" s="439" t="n"/>
    </row>
    <row r="5" ht="15" customFormat="1" customHeight="1" s="418">
      <c r="A5" s="278" t="n"/>
      <c r="B5" s="277" t="n"/>
      <c r="C5" s="303" t="n"/>
      <c r="D5" s="420" t="n"/>
      <c r="E5" s="264" t="n"/>
      <c r="F5" s="264" t="n"/>
      <c r="G5" s="264" t="n"/>
      <c r="H5" s="264" t="n"/>
      <c r="I5" s="264" t="n"/>
      <c r="J5" s="260" t="n"/>
      <c r="K5" s="420" t="n"/>
      <c r="L5" s="420" t="n"/>
      <c r="M5" s="498" t="inlineStr">
        <is>
          <t>KAT</t>
        </is>
      </c>
      <c r="N5" s="498" t="n"/>
      <c r="O5" s="499" t="n"/>
      <c r="P5" s="499" t="n"/>
      <c r="Q5" s="499" t="n"/>
      <c r="R5" s="499" t="n"/>
      <c r="S5" s="499" t="n"/>
      <c r="T5" s="499" t="n"/>
      <c r="U5" s="499" t="n"/>
      <c r="V5" s="499" t="n"/>
      <c r="W5" s="499" t="n"/>
      <c r="X5" s="500" t="n"/>
      <c r="Y5" s="500" t="n"/>
      <c r="Z5" s="439" t="n"/>
      <c r="AA5" s="439" t="n"/>
      <c r="AB5" s="439" t="n"/>
      <c r="AC5" s="439" t="n"/>
    </row>
    <row r="6" ht="12" customHeight="1" s="244">
      <c r="A6" s="467" t="n"/>
      <c r="B6" s="467" t="n"/>
      <c r="C6" s="467" t="n"/>
      <c r="D6" s="467" t="n"/>
      <c r="E6" s="46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>
        <v>1</v>
      </c>
      <c r="B7" s="469" t="n"/>
      <c r="C7" s="470" t="inlineStr">
        <is>
          <t>ISITMA ÇEVRİM SIRASI</t>
        </is>
      </c>
      <c r="D7" s="469" t="n"/>
      <c r="E7" s="471" t="n"/>
      <c r="F7" s="471" t="inlineStr">
        <is>
          <t>Z01</t>
        </is>
      </c>
      <c r="G7" s="471" t="inlineStr">
        <is>
          <t>Z02</t>
        </is>
      </c>
      <c r="H7" s="471" t="inlineStr">
        <is>
          <t>Z03</t>
        </is>
      </c>
      <c r="I7" s="471" t="n"/>
      <c r="J7" s="471" t="n"/>
      <c r="K7" s="471" t="n"/>
      <c r="L7" s="471" t="n"/>
      <c r="M7" s="471" t="n"/>
      <c r="N7" s="471" t="inlineStr">
        <is>
          <t>Z04</t>
        </is>
      </c>
      <c r="O7" s="471" t="n">
        <v>201</v>
      </c>
      <c r="P7" s="471" t="n">
        <v>201</v>
      </c>
      <c r="Q7" s="471" t="n">
        <v>202</v>
      </c>
      <c r="R7" s="471" t="n">
        <v>203</v>
      </c>
      <c r="S7" s="471" t="n">
        <v>204</v>
      </c>
      <c r="T7" s="471" t="n">
        <v>205</v>
      </c>
      <c r="U7" s="471" t="n">
        <v>206</v>
      </c>
      <c r="V7" s="471" t="n">
        <v>207</v>
      </c>
      <c r="W7" s="471" t="n">
        <v>208</v>
      </c>
      <c r="X7" s="471" t="n">
        <v>209</v>
      </c>
      <c r="Y7" s="471" t="n">
        <v>103</v>
      </c>
      <c r="Z7" s="471" t="n">
        <v>104</v>
      </c>
      <c r="AA7" s="471" t="n"/>
      <c r="AB7" s="471" t="n"/>
      <c r="AC7" s="471" t="n"/>
      <c r="AD7" s="471" t="n"/>
      <c r="AE7" s="471" t="n"/>
      <c r="AF7" s="471" t="n"/>
      <c r="AG7" s="471" t="n"/>
      <c r="AH7" s="471" t="n">
        <v>103</v>
      </c>
      <c r="AI7" s="471" t="n"/>
      <c r="AJ7" s="471" t="n"/>
      <c r="AK7" s="471" t="n"/>
      <c r="AL7" s="471" t="n"/>
      <c r="AM7" s="471" t="n"/>
      <c r="AN7" s="471" t="n"/>
      <c r="AO7" s="471" t="n">
        <v>301</v>
      </c>
      <c r="AP7" s="471" t="n">
        <v>302</v>
      </c>
      <c r="AQ7" s="471" t="n">
        <v>303</v>
      </c>
      <c r="AR7" s="471" t="n">
        <v>304</v>
      </c>
      <c r="AS7" s="471" t="n">
        <v>305</v>
      </c>
      <c r="AT7" s="471" t="n">
        <v>306</v>
      </c>
      <c r="AU7" s="471" t="n">
        <v>307</v>
      </c>
      <c r="AV7" s="471" t="n">
        <v>308</v>
      </c>
      <c r="AW7" s="471" t="n">
        <v>309</v>
      </c>
    </row>
    <row r="8" ht="12" customHeight="1" s="244">
      <c r="A8" s="261" t="n">
        <v>2</v>
      </c>
      <c r="B8" s="469" t="n"/>
      <c r="C8" s="470" t="inlineStr">
        <is>
          <t>ODA NO</t>
        </is>
      </c>
      <c r="D8" s="469" t="n"/>
      <c r="E8" s="471" t="n"/>
      <c r="F8" s="471" t="inlineStr">
        <is>
          <t>1.1.</t>
        </is>
      </c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inlineStr">
        <is>
          <t>3.1.</t>
        </is>
      </c>
      <c r="P8" s="471" t="inlineStr">
        <is>
          <t>3.1.</t>
        </is>
      </c>
      <c r="Q8" s="471" t="inlineStr">
        <is>
          <t>3.9.</t>
        </is>
      </c>
      <c r="R8" s="471" t="n"/>
      <c r="S8" s="473" t="inlineStr">
        <is>
          <t>3.3.</t>
        </is>
      </c>
      <c r="T8" s="471" t="inlineStr">
        <is>
          <t>3.8.</t>
        </is>
      </c>
      <c r="U8" s="471" t="inlineStr">
        <is>
          <t>3.4.</t>
        </is>
      </c>
      <c r="V8" s="471" t="inlineStr">
        <is>
          <t>3.5.</t>
        </is>
      </c>
      <c r="W8" s="471" t="inlineStr">
        <is>
          <t>3.10.</t>
        </is>
      </c>
      <c r="X8" s="473" t="inlineStr">
        <is>
          <t>3.7.</t>
        </is>
      </c>
      <c r="Y8" s="471" t="inlineStr">
        <is>
          <t>2.6.</t>
        </is>
      </c>
      <c r="Z8" s="471" t="n"/>
      <c r="AA8" s="471" t="n"/>
      <c r="AB8" s="473" t="inlineStr">
        <is>
          <t>2.2.</t>
        </is>
      </c>
      <c r="AC8" s="471" t="n">
        <v>101</v>
      </c>
      <c r="AD8" s="471" t="n"/>
      <c r="AE8" s="473" t="inlineStr">
        <is>
          <t>2.6.</t>
        </is>
      </c>
      <c r="AF8" s="473" t="n"/>
      <c r="AG8" s="471" t="inlineStr">
        <is>
          <t>2.7.</t>
        </is>
      </c>
      <c r="AH8" s="471" t="inlineStr">
        <is>
          <t>2.8.</t>
        </is>
      </c>
      <c r="AI8" s="471" t="n">
        <v>105</v>
      </c>
      <c r="AJ8" s="471" t="n">
        <v>106</v>
      </c>
      <c r="AK8" s="471" t="n">
        <v>107</v>
      </c>
      <c r="AL8" s="471" t="n"/>
      <c r="AM8" s="471" t="n">
        <v>108</v>
      </c>
      <c r="AN8" s="471" t="n"/>
      <c r="AO8" s="471" t="inlineStr">
        <is>
          <t>4.4.</t>
        </is>
      </c>
      <c r="AP8" s="471" t="inlineStr">
        <is>
          <t>4.3.</t>
        </is>
      </c>
      <c r="AQ8" s="471" t="n"/>
      <c r="AR8" s="473" t="inlineStr">
        <is>
          <t>4.1.</t>
        </is>
      </c>
      <c r="AS8" s="471" t="inlineStr">
        <is>
          <t>4.2.</t>
        </is>
      </c>
      <c r="AT8" s="471" t="inlineStr">
        <is>
          <t>4.6.</t>
        </is>
      </c>
      <c r="AU8" s="471" t="inlineStr">
        <is>
          <t>4.7.</t>
        </is>
      </c>
      <c r="AV8" s="471" t="inlineStr">
        <is>
          <t>4.10.</t>
        </is>
      </c>
      <c r="AW8" s="473" t="inlineStr">
        <is>
          <t>4.9.</t>
        </is>
      </c>
    </row>
    <row r="9" ht="30" customHeight="1" s="244">
      <c r="A9" s="261" t="n">
        <v>3</v>
      </c>
      <c r="B9" s="282" t="n"/>
      <c r="C9" s="474" t="inlineStr">
        <is>
          <t>ODA ADI</t>
        </is>
      </c>
      <c r="D9" s="261" t="n"/>
      <c r="E9" s="259" t="n"/>
      <c r="F9" s="476" t="inlineStr">
        <is>
          <t>İşyeri</t>
        </is>
      </c>
      <c r="G9" s="476" t="inlineStr">
        <is>
          <t>İşyeri</t>
        </is>
      </c>
      <c r="H9" s="476" t="inlineStr">
        <is>
          <t>İşyeri</t>
        </is>
      </c>
      <c r="I9" s="471" t="inlineStr">
        <is>
          <t>Salon</t>
        </is>
      </c>
      <c r="J9" s="471" t="inlineStr">
        <is>
          <t>Salon</t>
        </is>
      </c>
      <c r="K9" s="471" t="inlineStr">
        <is>
          <t>Salon</t>
        </is>
      </c>
      <c r="L9" s="471" t="inlineStr">
        <is>
          <t>Salon</t>
        </is>
      </c>
      <c r="M9" s="471" t="inlineStr">
        <is>
          <t>Salon</t>
        </is>
      </c>
      <c r="N9" s="476" t="inlineStr">
        <is>
          <t>İşyeri</t>
        </is>
      </c>
      <c r="O9" s="475" t="inlineStr">
        <is>
          <t>Koridor</t>
        </is>
      </c>
      <c r="P9" s="475" t="inlineStr">
        <is>
          <t>Mutfak</t>
        </is>
      </c>
      <c r="Q9" s="475" t="inlineStr">
        <is>
          <t>Salon</t>
        </is>
      </c>
      <c r="R9" s="475" t="n"/>
      <c r="S9" s="477" t="inlineStr">
        <is>
          <t>Yatak Odası</t>
        </is>
      </c>
      <c r="T9" s="477" t="inlineStr">
        <is>
          <t>Yatak Odası</t>
        </is>
      </c>
      <c r="U9" s="475" t="inlineStr">
        <is>
          <t>Hol</t>
        </is>
      </c>
      <c r="V9" s="475" t="inlineStr">
        <is>
          <t>Salon</t>
        </is>
      </c>
      <c r="W9" s="475" t="inlineStr">
        <is>
          <t>Mutfak</t>
        </is>
      </c>
      <c r="X9" s="475" t="inlineStr">
        <is>
          <t>Yatak Odası</t>
        </is>
      </c>
      <c r="Y9" s="475" t="inlineStr">
        <is>
          <t>Hol</t>
        </is>
      </c>
      <c r="Z9" s="501" t="inlineStr">
        <is>
          <t>Yatak Odası</t>
        </is>
      </c>
      <c r="AA9" s="501" t="inlineStr">
        <is>
          <t>SalonMutfak</t>
        </is>
      </c>
      <c r="AB9" s="471" t="inlineStr">
        <is>
          <t>Oda</t>
        </is>
      </c>
      <c r="AC9" s="501" t="inlineStr">
        <is>
          <t>Çocuk Odası</t>
        </is>
      </c>
      <c r="AD9" s="471" t="inlineStr">
        <is>
          <t>Eb.Od</t>
        </is>
      </c>
      <c r="AE9" s="501" t="inlineStr">
        <is>
          <t>Oda</t>
        </is>
      </c>
      <c r="AF9" s="501" t="inlineStr">
        <is>
          <t>Oda</t>
        </is>
      </c>
      <c r="AG9" s="501" t="inlineStr">
        <is>
          <t>Oda</t>
        </is>
      </c>
      <c r="AH9" s="501" t="inlineStr">
        <is>
          <t>Çocuk Odası</t>
        </is>
      </c>
      <c r="AI9" s="501" t="inlineStr">
        <is>
          <t>Oturma Odası</t>
        </is>
      </c>
      <c r="AJ9" s="471" t="inlineStr">
        <is>
          <t>Sauna</t>
        </is>
      </c>
      <c r="AK9" s="471" t="inlineStr">
        <is>
          <t>Oda</t>
        </is>
      </c>
      <c r="AL9" s="471" t="inlineStr">
        <is>
          <t>Oda</t>
        </is>
      </c>
      <c r="AM9" s="471" t="inlineStr">
        <is>
          <t>Oda</t>
        </is>
      </c>
      <c r="AN9" s="471" t="inlineStr">
        <is>
          <t>Oda</t>
        </is>
      </c>
      <c r="AO9" s="475" t="inlineStr">
        <is>
          <t>Hol</t>
        </is>
      </c>
      <c r="AP9" s="475" t="inlineStr">
        <is>
          <t>Salon+Mutfak</t>
        </is>
      </c>
      <c r="AQ9" s="475" t="n"/>
      <c r="AR9" s="477" t="inlineStr">
        <is>
          <t>Yatak Odası</t>
        </is>
      </c>
      <c r="AS9" s="477" t="inlineStr">
        <is>
          <t>Yatak Odası</t>
        </is>
      </c>
      <c r="AT9" s="475" t="inlineStr">
        <is>
          <t>Hol</t>
        </is>
      </c>
      <c r="AU9" s="475" t="inlineStr">
        <is>
          <t>Salon</t>
        </is>
      </c>
      <c r="AV9" s="475" t="inlineStr">
        <is>
          <t>Mutfak</t>
        </is>
      </c>
      <c r="AW9" s="475" t="inlineStr">
        <is>
          <t>Yatak Odası</t>
        </is>
      </c>
    </row>
    <row r="10" ht="12" customHeight="1" s="244">
      <c r="A10" s="261" t="n">
        <v>4</v>
      </c>
      <c r="B10" s="282" t="inlineStr">
        <is>
          <t>Th1</t>
        </is>
      </c>
      <c r="C10" s="474" t="inlineStr">
        <is>
          <t>ODA SICAKLIĞI</t>
        </is>
      </c>
      <c r="D10" s="261" t="n"/>
      <c r="E10" s="259" t="inlineStr">
        <is>
          <t>°C</t>
        </is>
      </c>
      <c r="F10" s="259" t="n">
        <v>20</v>
      </c>
      <c r="G10" s="259" t="n"/>
      <c r="H10" s="259" t="n"/>
      <c r="I10" s="259" t="n"/>
      <c r="J10" s="502" t="n"/>
      <c r="K10" s="502" t="n"/>
      <c r="L10" s="502" t="n"/>
      <c r="M10" s="259" t="n"/>
      <c r="N10" s="259" t="n"/>
      <c r="O10" s="259" t="n">
        <v>18</v>
      </c>
      <c r="P10" s="259" t="n">
        <v>18</v>
      </c>
      <c r="Q10" s="259" t="n">
        <v>22</v>
      </c>
      <c r="R10" s="259" t="n"/>
      <c r="S10" s="259" t="n">
        <v>20</v>
      </c>
      <c r="T10" s="259" t="n">
        <v>20</v>
      </c>
      <c r="U10" s="259" t="n">
        <v>18</v>
      </c>
      <c r="V10" s="259" t="n">
        <v>22</v>
      </c>
      <c r="W10" s="259" t="n">
        <v>18</v>
      </c>
      <c r="X10" s="259" t="n">
        <v>20</v>
      </c>
      <c r="Y10" s="259" t="n">
        <v>18</v>
      </c>
      <c r="Z10" s="259" t="n"/>
      <c r="AA10" s="259" t="n"/>
      <c r="AB10" s="259" t="n">
        <v>20</v>
      </c>
      <c r="AC10" s="259" t="n">
        <v>20</v>
      </c>
      <c r="AD10" s="259" t="n"/>
      <c r="AE10" s="259" t="n">
        <v>20</v>
      </c>
      <c r="AF10" s="259" t="n"/>
      <c r="AG10" s="259" t="n">
        <v>20</v>
      </c>
      <c r="AH10" s="259" t="n">
        <v>20</v>
      </c>
      <c r="AI10" s="259" t="n">
        <v>22</v>
      </c>
      <c r="AJ10" s="259" t="n">
        <v>30</v>
      </c>
      <c r="AK10" s="259" t="n">
        <v>20</v>
      </c>
      <c r="AL10" s="259" t="n"/>
      <c r="AM10" s="259" t="n">
        <v>20</v>
      </c>
      <c r="AN10" s="259" t="n"/>
      <c r="AO10" s="259" t="n">
        <v>18</v>
      </c>
      <c r="AP10" s="259" t="n">
        <v>20</v>
      </c>
      <c r="AQ10" s="259" t="n"/>
      <c r="AR10" s="259" t="n">
        <v>20</v>
      </c>
      <c r="AS10" s="259" t="n">
        <v>20</v>
      </c>
      <c r="AT10" s="259" t="n">
        <v>18</v>
      </c>
      <c r="AU10" s="259" t="n">
        <v>22</v>
      </c>
      <c r="AV10" s="259" t="n">
        <v>18</v>
      </c>
      <c r="AW10" s="259" t="n">
        <v>20</v>
      </c>
    </row>
    <row r="11" ht="12" customHeight="1" s="244">
      <c r="A11" s="261" t="n">
        <v>5</v>
      </c>
      <c r="B11" s="282" t="inlineStr">
        <is>
          <t>Th2</t>
        </is>
      </c>
      <c r="C11" s="474" t="inlineStr">
        <is>
          <t>DÖŞEME ALTI SICAKLIĞI</t>
        </is>
      </c>
      <c r="D11" s="261" t="n"/>
      <c r="E11" s="259" t="inlineStr">
        <is>
          <t>°C</t>
        </is>
      </c>
      <c r="F11" s="259" t="n">
        <v>6</v>
      </c>
      <c r="G11" s="259" t="n"/>
      <c r="H11" s="259" t="n"/>
      <c r="I11" s="259" t="n"/>
      <c r="J11" s="259" t="n"/>
      <c r="K11" s="259" t="n"/>
      <c r="L11" s="259" t="n"/>
      <c r="M11" s="259" t="n"/>
      <c r="N11" s="259" t="n"/>
      <c r="O11" s="259" t="n">
        <v>18</v>
      </c>
      <c r="P11" s="259" t="n">
        <v>18</v>
      </c>
      <c r="Q11" s="259" t="n">
        <v>22</v>
      </c>
      <c r="R11" s="259" t="n"/>
      <c r="S11" s="259" t="n">
        <v>20</v>
      </c>
      <c r="T11" s="259" t="n">
        <v>20</v>
      </c>
      <c r="U11" s="259" t="n">
        <v>18</v>
      </c>
      <c r="V11" s="259" t="n">
        <v>22</v>
      </c>
      <c r="W11" s="259" t="n">
        <v>18</v>
      </c>
      <c r="X11" s="259" t="n">
        <v>20</v>
      </c>
      <c r="Y11" s="259" t="n">
        <v>20</v>
      </c>
      <c r="Z11" s="259" t="n"/>
      <c r="AA11" s="259" t="n"/>
      <c r="AB11" s="259" t="n">
        <v>20</v>
      </c>
      <c r="AC11" s="259" t="n">
        <v>22</v>
      </c>
      <c r="AD11" s="259" t="n"/>
      <c r="AE11" s="259" t="n">
        <v>22</v>
      </c>
      <c r="AF11" s="259" t="n"/>
      <c r="AG11" s="259" t="n">
        <v>18</v>
      </c>
      <c r="AH11" s="259" t="n">
        <v>20</v>
      </c>
      <c r="AI11" s="259" t="n">
        <v>20</v>
      </c>
      <c r="AJ11" s="259" t="n">
        <v>22</v>
      </c>
      <c r="AK11" s="259" t="n">
        <v>20</v>
      </c>
      <c r="AL11" s="259" t="n"/>
      <c r="AM11" s="259" t="n">
        <v>20</v>
      </c>
      <c r="AN11" s="259" t="n"/>
      <c r="AO11" s="259" t="n">
        <v>18</v>
      </c>
      <c r="AP11" s="259" t="n">
        <v>20</v>
      </c>
      <c r="AQ11" s="259" t="n"/>
      <c r="AR11" s="259" t="n">
        <v>20</v>
      </c>
      <c r="AS11" s="259" t="n">
        <v>20</v>
      </c>
      <c r="AT11" s="259" t="n">
        <v>18</v>
      </c>
      <c r="AU11" s="259" t="n">
        <v>22</v>
      </c>
      <c r="AV11" s="259" t="n">
        <v>18</v>
      </c>
      <c r="AW11" s="259" t="n">
        <v>20</v>
      </c>
    </row>
    <row r="12" ht="12" customHeight="1" s="244">
      <c r="A12" s="261" t="n">
        <v>6</v>
      </c>
      <c r="B12" s="282" t="inlineStr">
        <is>
          <t>A</t>
        </is>
      </c>
      <c r="C12" s="474" t="inlineStr">
        <is>
          <t>NET DÖŞEME ALANI</t>
        </is>
      </c>
      <c r="D12" s="261" t="n"/>
      <c r="E12" s="259" t="inlineStr">
        <is>
          <t>m²</t>
        </is>
      </c>
      <c r="F12" s="478" t="n">
        <v>114.76</v>
      </c>
      <c r="G12" s="478" t="n"/>
      <c r="H12" s="478" t="n"/>
      <c r="I12" s="478" t="n"/>
      <c r="J12" s="478" t="n"/>
      <c r="K12" s="478" t="n"/>
      <c r="L12" s="478" t="n"/>
      <c r="M12" s="478" t="n"/>
      <c r="N12" s="478" t="n"/>
      <c r="O12" s="478" t="n">
        <v>5.64</v>
      </c>
      <c r="P12" s="478" t="n">
        <v>5.64</v>
      </c>
      <c r="Q12" s="478" t="n">
        <v>25.49</v>
      </c>
      <c r="R12" s="478" t="n"/>
      <c r="S12" s="478" t="n">
        <v>11.69</v>
      </c>
      <c r="T12" s="478" t="n">
        <v>12.11</v>
      </c>
      <c r="U12" s="478" t="n">
        <v>7.03</v>
      </c>
      <c r="V12" s="478" t="n">
        <v>22.4</v>
      </c>
      <c r="W12" s="478" t="n">
        <v>12.39</v>
      </c>
      <c r="X12" s="478" t="n">
        <v>16.96</v>
      </c>
      <c r="Y12" s="478" t="n">
        <v>7.03</v>
      </c>
      <c r="Z12" s="478" t="n"/>
      <c r="AA12" s="478" t="n"/>
      <c r="AB12" s="478" t="n">
        <v>15.47</v>
      </c>
      <c r="AC12" s="479" t="n">
        <v>46</v>
      </c>
      <c r="AD12" s="478" t="n"/>
      <c r="AE12" s="478" t="n">
        <v>28.62</v>
      </c>
      <c r="AF12" s="478" t="n"/>
      <c r="AG12" s="478" t="n">
        <v>17.21</v>
      </c>
      <c r="AH12" s="478" t="n">
        <v>14.15</v>
      </c>
      <c r="AI12" s="478" t="n">
        <v>23.9</v>
      </c>
      <c r="AJ12" s="478">
        <f>'YERDEN ISITMA'!E21</f>
        <v/>
      </c>
      <c r="AK12" s="503">
        <f>'YERDEN ISITMA'!E22</f>
        <v/>
      </c>
      <c r="AL12" s="503" t="n"/>
      <c r="AM12" s="503">
        <f>'YERDEN ISITMA'!E23</f>
        <v/>
      </c>
      <c r="AN12" s="478" t="n"/>
      <c r="AO12" s="478" t="n">
        <v>5.64</v>
      </c>
      <c r="AP12" s="478" t="n">
        <v>25.49</v>
      </c>
      <c r="AQ12" s="478" t="n"/>
      <c r="AR12" s="478" t="n">
        <v>11.69</v>
      </c>
      <c r="AS12" s="478" t="n">
        <v>12.11</v>
      </c>
      <c r="AT12" s="478" t="n">
        <v>7.03</v>
      </c>
      <c r="AU12" s="478" t="n">
        <v>22.4</v>
      </c>
      <c r="AV12" s="478" t="n">
        <v>12.39</v>
      </c>
      <c r="AW12" s="478" t="n">
        <v>16.96</v>
      </c>
    </row>
    <row r="13" ht="12" customHeight="1" s="244">
      <c r="A13" s="261" t="n">
        <v>7</v>
      </c>
      <c r="B13" s="282" t="inlineStr">
        <is>
          <t>qh</t>
        </is>
      </c>
      <c r="C13" s="474" t="inlineStr">
        <is>
          <t>ISI KAYBI</t>
        </is>
      </c>
      <c r="D13" s="261" t="inlineStr">
        <is>
          <t>TS 825 ve TS 2164 'e göre</t>
        </is>
      </c>
      <c r="E13" s="259" t="inlineStr">
        <is>
          <t>W</t>
        </is>
      </c>
      <c r="F13" s="479" t="n">
        <v>5661</v>
      </c>
      <c r="G13" s="479" t="n"/>
      <c r="H13" s="479" t="n"/>
      <c r="I13" s="479" t="n"/>
      <c r="J13" s="479" t="n"/>
      <c r="K13" s="479" t="n"/>
      <c r="L13" s="479" t="n"/>
      <c r="M13" s="479" t="n"/>
      <c r="N13" s="479" t="n"/>
      <c r="O13" s="479" t="n">
        <v>120</v>
      </c>
      <c r="P13" s="479" t="n">
        <v>120</v>
      </c>
      <c r="Q13" s="479" t="n">
        <v>731</v>
      </c>
      <c r="R13" s="479" t="n"/>
      <c r="S13" s="479" t="n">
        <v>351</v>
      </c>
      <c r="T13" s="479" t="n">
        <v>924</v>
      </c>
      <c r="U13" s="479" t="n">
        <v>136</v>
      </c>
      <c r="V13" s="479" t="n">
        <v>849</v>
      </c>
      <c r="W13" s="479" t="n">
        <v>348</v>
      </c>
      <c r="X13" s="479" t="n">
        <v>486</v>
      </c>
      <c r="Y13" s="479" t="n">
        <v>2426</v>
      </c>
      <c r="Z13" s="479" t="n"/>
      <c r="AA13" s="479" t="n"/>
      <c r="AB13" s="479" t="n">
        <v>1057</v>
      </c>
      <c r="AC13" s="479">
        <f>'PETEK LİST'!D16</f>
        <v/>
      </c>
      <c r="AD13" s="479" t="n"/>
      <c r="AE13" s="479" t="n">
        <v>2146</v>
      </c>
      <c r="AF13" s="479" t="n"/>
      <c r="AG13" s="479" t="n">
        <v>1115</v>
      </c>
      <c r="AH13" s="479" t="n">
        <v>932</v>
      </c>
      <c r="AI13" s="479" t="n">
        <v>1883</v>
      </c>
      <c r="AJ13" s="479">
        <f>'PETEK LİST'!D21</f>
        <v/>
      </c>
      <c r="AK13" s="479">
        <f>'PETEK LİST'!D22</f>
        <v/>
      </c>
      <c r="AL13" s="479" t="n"/>
      <c r="AM13" s="479">
        <f>'PETEK LİST'!D23</f>
        <v/>
      </c>
      <c r="AN13" s="479" t="n"/>
      <c r="AO13" s="479" t="n">
        <v>161</v>
      </c>
      <c r="AP13" s="479" t="n">
        <v>945</v>
      </c>
      <c r="AQ13" s="479" t="n"/>
      <c r="AR13" s="479" t="n">
        <v>448</v>
      </c>
      <c r="AS13" s="479" t="n">
        <v>1040</v>
      </c>
      <c r="AT13" s="479" t="n">
        <v>187</v>
      </c>
      <c r="AU13" s="479" t="n">
        <v>1049</v>
      </c>
      <c r="AV13" s="479" t="n">
        <v>356</v>
      </c>
      <c r="AW13" s="479" t="n">
        <v>619</v>
      </c>
    </row>
    <row r="14" ht="12" customHeight="1" s="244">
      <c r="A14" s="261" t="n">
        <v>8</v>
      </c>
      <c r="B14" s="282" t="inlineStr">
        <is>
          <t>q"</t>
        </is>
      </c>
      <c r="C14" s="474" t="inlineStr">
        <is>
          <t>ISI AKISI</t>
        </is>
      </c>
      <c r="D14" s="261" t="inlineStr">
        <is>
          <t>qh/A</t>
        </is>
      </c>
      <c r="E14" s="259" t="inlineStr">
        <is>
          <t>W/m²</t>
        </is>
      </c>
      <c r="F14" s="480">
        <f>F13/F12</f>
        <v/>
      </c>
      <c r="G14" s="480" t="n"/>
      <c r="H14" s="480" t="n"/>
      <c r="I14" s="480" t="n"/>
      <c r="J14" s="480" t="n"/>
      <c r="K14" s="480" t="n"/>
      <c r="L14" s="480" t="n"/>
      <c r="M14" s="480" t="n"/>
      <c r="N14" s="480" t="n"/>
      <c r="O14" s="480">
        <f>O13/O12</f>
        <v/>
      </c>
      <c r="P14" s="480">
        <f>P13/P12</f>
        <v/>
      </c>
      <c r="Q14" s="480">
        <f>Q13/Q12</f>
        <v/>
      </c>
      <c r="R14" s="480" t="n"/>
      <c r="S14" s="480">
        <f>S13/S12</f>
        <v/>
      </c>
      <c r="T14" s="480">
        <f>T13/T12</f>
        <v/>
      </c>
      <c r="U14" s="480">
        <f>U13/U12</f>
        <v/>
      </c>
      <c r="V14" s="480">
        <f>V13/V12</f>
        <v/>
      </c>
      <c r="W14" s="480">
        <f>W13/W12</f>
        <v/>
      </c>
      <c r="X14" s="480">
        <f>X13/X12</f>
        <v/>
      </c>
      <c r="Y14" s="480">
        <f>Y13/Y12</f>
        <v/>
      </c>
      <c r="Z14" s="480" t="n"/>
      <c r="AA14" s="480" t="n"/>
      <c r="AB14" s="480">
        <f>AB13/AB12</f>
        <v/>
      </c>
      <c r="AC14" s="480">
        <f>AC13/AC12</f>
        <v/>
      </c>
      <c r="AD14" s="480" t="n"/>
      <c r="AE14" s="480">
        <f>AE13/AE12</f>
        <v/>
      </c>
      <c r="AF14" s="480" t="n"/>
      <c r="AG14" s="480">
        <f>AG13/AG12</f>
        <v/>
      </c>
      <c r="AH14" s="480">
        <f>AH13/AH12</f>
        <v/>
      </c>
      <c r="AI14" s="480">
        <f>AI13/AI12</f>
        <v/>
      </c>
      <c r="AJ14" s="480">
        <f>AJ13/AJ12</f>
        <v/>
      </c>
      <c r="AK14" s="480">
        <f>AK13/AK12</f>
        <v/>
      </c>
      <c r="AL14" s="480" t="n"/>
      <c r="AM14" s="480">
        <f>AM13/AM12</f>
        <v/>
      </c>
      <c r="AN14" s="480" t="n"/>
      <c r="AO14" s="480">
        <f>AO13/AO12</f>
        <v/>
      </c>
      <c r="AP14" s="480">
        <f>AP13/AP12</f>
        <v/>
      </c>
      <c r="AQ14" s="480" t="n"/>
      <c r="AR14" s="480">
        <f>AR13/AR12</f>
        <v/>
      </c>
      <c r="AS14" s="480">
        <f>AS13/AS12</f>
        <v/>
      </c>
      <c r="AT14" s="480">
        <f>AT13/AT12</f>
        <v/>
      </c>
      <c r="AU14" s="480">
        <f>AU13/AU12</f>
        <v/>
      </c>
      <c r="AV14" s="480">
        <f>AV13/AV12</f>
        <v/>
      </c>
      <c r="AW14" s="480">
        <f>AW13/AW12</f>
        <v/>
      </c>
    </row>
    <row r="15" ht="12" customHeight="1" s="244">
      <c r="A15" s="261" t="n">
        <v>9</v>
      </c>
      <c r="B15" s="282" t="inlineStr">
        <is>
          <t>Rd</t>
        </is>
      </c>
      <c r="C15" s="474" t="inlineStr">
        <is>
          <t>DÖŞEME ISIL DİRENCİ (1)</t>
        </is>
      </c>
      <c r="D15" s="261" t="inlineStr">
        <is>
          <t>Seramik fayans</t>
        </is>
      </c>
      <c r="E15" s="259" t="inlineStr">
        <is>
          <t>m²K/W</t>
        </is>
      </c>
      <c r="F15" s="259" t="n">
        <v>0.012</v>
      </c>
      <c r="G15" s="259" t="n"/>
      <c r="H15" s="259" t="n"/>
      <c r="I15" s="259" t="n"/>
      <c r="J15" s="259" t="n"/>
      <c r="K15" s="259" t="n"/>
      <c r="L15" s="259" t="n"/>
      <c r="M15" s="259" t="n"/>
      <c r="N15" s="259" t="n"/>
      <c r="O15" s="259" t="n">
        <v>0.012</v>
      </c>
      <c r="P15" s="259" t="n">
        <v>0.012</v>
      </c>
      <c r="Q15" s="259" t="n">
        <v>0.012</v>
      </c>
      <c r="R15" s="259" t="n"/>
      <c r="S15" s="259" t="n">
        <v>0.012</v>
      </c>
      <c r="T15" s="259" t="n">
        <v>0.012</v>
      </c>
      <c r="U15" s="259" t="n">
        <v>0.012</v>
      </c>
      <c r="V15" s="259" t="n">
        <v>0.012</v>
      </c>
      <c r="W15" s="259" t="n">
        <v>0.012</v>
      </c>
      <c r="X15" s="259" t="n">
        <v>0.012</v>
      </c>
      <c r="Y15" s="259" t="n">
        <v>0.012</v>
      </c>
      <c r="Z15" s="259" t="n"/>
      <c r="AA15" s="259" t="n"/>
      <c r="AB15" s="259" t="n">
        <v>0.012</v>
      </c>
      <c r="AC15" s="259" t="n">
        <v>0.012</v>
      </c>
      <c r="AD15" s="259" t="n"/>
      <c r="AE15" s="259" t="n">
        <v>0.012</v>
      </c>
      <c r="AF15" s="259" t="n"/>
      <c r="AG15" s="259" t="n">
        <v>0.012</v>
      </c>
      <c r="AH15" s="259" t="n">
        <v>0.012</v>
      </c>
      <c r="AI15" s="259" t="n">
        <v>0.012</v>
      </c>
      <c r="AJ15" s="259" t="n">
        <v>0.012</v>
      </c>
      <c r="AK15" s="259" t="n">
        <v>0.012</v>
      </c>
      <c r="AL15" s="259" t="n"/>
      <c r="AM15" s="259" t="n">
        <v>0.012</v>
      </c>
      <c r="AN15" s="259" t="n"/>
      <c r="AO15" s="259" t="n">
        <v>0.012</v>
      </c>
      <c r="AP15" s="259" t="n">
        <v>0.012</v>
      </c>
      <c r="AQ15" s="259" t="n"/>
      <c r="AR15" s="259" t="n">
        <v>0.012</v>
      </c>
      <c r="AS15" s="259" t="n">
        <v>0.012</v>
      </c>
      <c r="AT15" s="259" t="n">
        <v>0.012</v>
      </c>
      <c r="AU15" s="259" t="n">
        <v>0.012</v>
      </c>
      <c r="AV15" s="259" t="n">
        <v>0.012</v>
      </c>
      <c r="AW15" s="259" t="n">
        <v>0.012</v>
      </c>
    </row>
    <row r="16" ht="12" customHeight="1" s="244">
      <c r="A16" s="261" t="n">
        <v>10</v>
      </c>
      <c r="B16" s="282" t="n"/>
      <c r="C16" s="474" t="inlineStr">
        <is>
          <t>ISITMA ÇEVRİMİ SAYISI</t>
        </is>
      </c>
      <c r="D16" s="261" t="n"/>
      <c r="E16" s="259" t="n"/>
      <c r="F16" s="478" t="n">
        <v>4</v>
      </c>
      <c r="G16" s="478" t="n"/>
      <c r="H16" s="478" t="n"/>
      <c r="I16" s="478" t="n"/>
      <c r="J16" s="478" t="n"/>
      <c r="K16" s="478" t="n"/>
      <c r="L16" s="478" t="n"/>
      <c r="M16" s="478" t="n"/>
      <c r="N16" s="478" t="n"/>
      <c r="O16" s="478" t="n">
        <v>1</v>
      </c>
      <c r="P16" s="478" t="n">
        <v>1</v>
      </c>
      <c r="Q16" s="478" t="n">
        <v>2</v>
      </c>
      <c r="R16" s="478" t="n"/>
      <c r="S16" s="478" t="n">
        <v>1</v>
      </c>
      <c r="T16" s="478" t="n">
        <v>1</v>
      </c>
      <c r="U16" s="478" t="n">
        <v>1</v>
      </c>
      <c r="V16" s="478" t="n">
        <v>1</v>
      </c>
      <c r="W16" s="478" t="n">
        <v>1</v>
      </c>
      <c r="X16" s="478" t="n">
        <v>1</v>
      </c>
      <c r="Y16" s="478" t="n">
        <v>2</v>
      </c>
      <c r="Z16" s="478" t="n"/>
      <c r="AA16" s="478" t="n"/>
      <c r="AB16" s="478" t="n">
        <v>1</v>
      </c>
      <c r="AC16" s="478" t="n">
        <v>2</v>
      </c>
      <c r="AD16" s="478" t="n"/>
      <c r="AE16" s="478" t="n">
        <v>1</v>
      </c>
      <c r="AF16" s="478" t="n"/>
      <c r="AG16" s="478" t="n">
        <v>1</v>
      </c>
      <c r="AH16" s="478" t="n">
        <v>1</v>
      </c>
      <c r="AI16" s="478" t="n">
        <v>1</v>
      </c>
      <c r="AJ16" s="478" t="n">
        <v>1</v>
      </c>
      <c r="AK16" s="478" t="n">
        <v>2</v>
      </c>
      <c r="AL16" s="478" t="n"/>
      <c r="AM16" s="478" t="n">
        <v>2</v>
      </c>
      <c r="AN16" s="478" t="n"/>
      <c r="AO16" s="478" t="n">
        <v>1</v>
      </c>
      <c r="AP16" s="478" t="n">
        <v>2</v>
      </c>
      <c r="AQ16" s="478" t="n"/>
      <c r="AR16" s="478" t="n">
        <v>1</v>
      </c>
      <c r="AS16" s="478" t="n">
        <v>1</v>
      </c>
      <c r="AT16" s="478" t="n">
        <v>1</v>
      </c>
      <c r="AU16" s="478" t="n">
        <v>1</v>
      </c>
      <c r="AV16" s="478" t="n">
        <v>1</v>
      </c>
      <c r="AW16" s="478" t="n">
        <v>1</v>
      </c>
    </row>
    <row r="17" ht="12" customHeight="1" s="244">
      <c r="A17" s="261" t="n">
        <v>11</v>
      </c>
      <c r="B17" s="282" t="inlineStr">
        <is>
          <t>Ataban</t>
        </is>
      </c>
      <c r="C17" s="474" t="inlineStr">
        <is>
          <t>İÇ VEYA DIŞ ÇEVRİM ALANI</t>
        </is>
      </c>
      <c r="D17" s="261" t="n"/>
      <c r="E17" s="259" t="inlineStr">
        <is>
          <t>m²</t>
        </is>
      </c>
      <c r="F17" s="259" t="n">
        <v>28.9</v>
      </c>
      <c r="G17" s="259" t="n">
        <v>28.4</v>
      </c>
      <c r="H17" s="259" t="n">
        <v>26.9</v>
      </c>
      <c r="I17" s="259" t="n">
        <v>0</v>
      </c>
      <c r="J17" s="259" t="n">
        <v>0</v>
      </c>
      <c r="K17" s="259" t="n">
        <v>0</v>
      </c>
      <c r="L17" s="259" t="n">
        <v>0</v>
      </c>
      <c r="M17" s="259" t="n">
        <v>0</v>
      </c>
      <c r="N17" s="259" t="n">
        <v>30.56</v>
      </c>
      <c r="O17" s="259" t="n">
        <v>5.64</v>
      </c>
      <c r="P17" s="259" t="n">
        <v>5.64</v>
      </c>
      <c r="Q17" s="259" t="n">
        <v>14.1</v>
      </c>
      <c r="R17" s="259" t="n">
        <v>11.39</v>
      </c>
      <c r="S17" s="259">
        <f>S12</f>
        <v/>
      </c>
      <c r="T17" s="259">
        <f>T12</f>
        <v/>
      </c>
      <c r="U17" s="259">
        <f>U12</f>
        <v/>
      </c>
      <c r="V17" s="259">
        <f>V12</f>
        <v/>
      </c>
      <c r="W17" s="259">
        <f>W12</f>
        <v/>
      </c>
      <c r="X17" s="259">
        <f>X12</f>
        <v/>
      </c>
      <c r="Y17" s="259" t="n">
        <v>13.1</v>
      </c>
      <c r="Z17" s="259" t="n">
        <v>14.9</v>
      </c>
      <c r="AA17" s="259" t="n">
        <v>0</v>
      </c>
      <c r="AB17" s="259">
        <f>AB12</f>
        <v/>
      </c>
      <c r="AC17" s="259" t="n">
        <v>20</v>
      </c>
      <c r="AD17" s="259" t="n">
        <v>0</v>
      </c>
      <c r="AE17" s="259" t="n">
        <v>13.62</v>
      </c>
      <c r="AF17" s="259" t="n">
        <v>15</v>
      </c>
      <c r="AG17" s="259">
        <f>AG12</f>
        <v/>
      </c>
      <c r="AH17" s="259">
        <f>AH12</f>
        <v/>
      </c>
      <c r="AI17" s="259">
        <f>AI12</f>
        <v/>
      </c>
      <c r="AJ17" s="259">
        <f>AJ12</f>
        <v/>
      </c>
      <c r="AK17" s="259" t="n">
        <v>9</v>
      </c>
      <c r="AL17" s="259" t="n">
        <v>11</v>
      </c>
      <c r="AM17" s="259" t="n">
        <v>9</v>
      </c>
      <c r="AN17" s="259" t="n">
        <v>11.5</v>
      </c>
      <c r="AO17" s="259" t="n">
        <v>5.64</v>
      </c>
      <c r="AP17" s="259" t="n">
        <v>14.1</v>
      </c>
      <c r="AQ17" s="259" t="n">
        <v>11.39</v>
      </c>
      <c r="AR17" s="259">
        <f>AR12</f>
        <v/>
      </c>
      <c r="AS17" s="259">
        <f>AS12</f>
        <v/>
      </c>
      <c r="AT17" s="259">
        <f>AT12</f>
        <v/>
      </c>
      <c r="AU17" s="259">
        <f>AU12</f>
        <v/>
      </c>
      <c r="AV17" s="259">
        <f>AV12</f>
        <v/>
      </c>
      <c r="AW17" s="259">
        <f>AW12</f>
        <v/>
      </c>
    </row>
    <row r="18" ht="16.5" customHeight="1" s="244">
      <c r="A18" s="261" t="n">
        <v>12</v>
      </c>
      <c r="B18" s="282" t="inlineStr">
        <is>
          <t>qtaban</t>
        </is>
      </c>
      <c r="C18" s="474" t="inlineStr">
        <is>
          <t>İÇ VEya DIŞ ISI AKISI</t>
        </is>
      </c>
      <c r="D18" s="261" t="n"/>
      <c r="E18" s="259" t="inlineStr">
        <is>
          <t>W/m²</t>
        </is>
      </c>
      <c r="F18" s="481">
        <f>F13/F17</f>
        <v/>
      </c>
      <c r="G18" s="481">
        <f>F13/G17</f>
        <v/>
      </c>
      <c r="H18" s="481">
        <f>F13/H17</f>
        <v/>
      </c>
      <c r="I18" s="481">
        <f>F13/I17</f>
        <v/>
      </c>
      <c r="J18" s="481">
        <f>F13/J17</f>
        <v/>
      </c>
      <c r="K18" s="481">
        <f>F13/K17</f>
        <v/>
      </c>
      <c r="L18" s="481">
        <f>F13/L17</f>
        <v/>
      </c>
      <c r="M18" s="481">
        <f>F13/M17</f>
        <v/>
      </c>
      <c r="N18" s="481">
        <f>F13/N17</f>
        <v/>
      </c>
      <c r="O18" s="481">
        <f>O13/O17</f>
        <v/>
      </c>
      <c r="P18" s="481">
        <f>P13/P17</f>
        <v/>
      </c>
      <c r="Q18" s="481">
        <f>Q13/Q17</f>
        <v/>
      </c>
      <c r="R18" s="481">
        <f>Q13/R17</f>
        <v/>
      </c>
      <c r="S18" s="481">
        <f>S13/S17</f>
        <v/>
      </c>
      <c r="T18" s="481">
        <f>T13/T17</f>
        <v/>
      </c>
      <c r="U18" s="481">
        <f>U13/U17</f>
        <v/>
      </c>
      <c r="V18" s="481">
        <f>V13/V17</f>
        <v/>
      </c>
      <c r="W18" s="481">
        <f>W13/W17</f>
        <v/>
      </c>
      <c r="X18" s="481">
        <f>X13/X17</f>
        <v/>
      </c>
      <c r="Y18" s="481">
        <f>Y13/Y17</f>
        <v/>
      </c>
      <c r="Z18" s="481">
        <f>Y13/Z17</f>
        <v/>
      </c>
      <c r="AA18" s="481">
        <f>Y13/AA17</f>
        <v/>
      </c>
      <c r="AB18" s="481">
        <f>AB13/AB17</f>
        <v/>
      </c>
      <c r="AC18" s="481">
        <f>AC13/AC17</f>
        <v/>
      </c>
      <c r="AD18" s="481">
        <f>AC13/AD17</f>
        <v/>
      </c>
      <c r="AE18" s="481">
        <f>AE13/AE17</f>
        <v/>
      </c>
      <c r="AF18" s="481">
        <f>AE13/AF17</f>
        <v/>
      </c>
      <c r="AG18" s="481">
        <f>AG13/AG17</f>
        <v/>
      </c>
      <c r="AH18" s="481">
        <f>AH13/AH17</f>
        <v/>
      </c>
      <c r="AI18" s="481">
        <f>AI13/AI17</f>
        <v/>
      </c>
      <c r="AJ18" s="481">
        <f>AJ13/AJ17</f>
        <v/>
      </c>
      <c r="AK18" s="481">
        <f>AK13/AK17</f>
        <v/>
      </c>
      <c r="AL18" s="481">
        <f>AK13/AL17</f>
        <v/>
      </c>
      <c r="AM18" s="481">
        <f>AM13/AM17</f>
        <v/>
      </c>
      <c r="AN18" s="481">
        <f>AM13/AN17</f>
        <v/>
      </c>
      <c r="AO18" s="481">
        <f>AO13/AO17</f>
        <v/>
      </c>
      <c r="AP18" s="481">
        <f>AP13/AP17</f>
        <v/>
      </c>
      <c r="AQ18" s="481">
        <f>AP13/AQ17</f>
        <v/>
      </c>
      <c r="AR18" s="481">
        <f>AR13/AR17</f>
        <v/>
      </c>
      <c r="AS18" s="481">
        <f>AS13/AS17</f>
        <v/>
      </c>
      <c r="AT18" s="481">
        <f>AT13/AT17</f>
        <v/>
      </c>
      <c r="AU18" s="481">
        <f>AU13/AU17</f>
        <v/>
      </c>
      <c r="AV18" s="481">
        <f>AV13/AV17</f>
        <v/>
      </c>
      <c r="AW18" s="481">
        <f>AW13/AW17</f>
        <v/>
      </c>
    </row>
    <row r="19" ht="19.5" customHeight="1" s="244">
      <c r="A19" s="261" t="n">
        <v>13</v>
      </c>
      <c r="B19" s="282" t="inlineStr">
        <is>
          <t>Ty</t>
        </is>
      </c>
      <c r="C19" s="474" t="inlineStr">
        <is>
          <t>ORTALAMA DÖŞEME SICAKLIĞI</t>
        </is>
      </c>
      <c r="D19" s="261" t="n"/>
      <c r="E19" s="259" t="inlineStr">
        <is>
          <t>°C</t>
        </is>
      </c>
      <c r="F19" s="481">
        <f>F10+(F14/8.92)^0.91</f>
        <v/>
      </c>
      <c r="G19" s="481" t="n">
        <v>30</v>
      </c>
      <c r="H19" s="481" t="n">
        <v>30</v>
      </c>
      <c r="I19" s="481" t="n">
        <v>30</v>
      </c>
      <c r="J19" s="481" t="n">
        <v>30</v>
      </c>
      <c r="K19" s="481" t="n">
        <v>30</v>
      </c>
      <c r="L19" s="481" t="n">
        <v>30</v>
      </c>
      <c r="M19" s="481" t="n">
        <v>30</v>
      </c>
      <c r="N19" s="481" t="n">
        <v>30</v>
      </c>
      <c r="O19" s="481">
        <f>O10+(O14/8.92)^0.91</f>
        <v/>
      </c>
      <c r="P19" s="481">
        <f>P10+(P14/8.92)^0.91</f>
        <v/>
      </c>
      <c r="Q19" s="481">
        <f>Q10+(Q14/8.92)^0.91</f>
        <v/>
      </c>
      <c r="R19" s="481">
        <f>Q10+(Q14/8.92)^0.91</f>
        <v/>
      </c>
      <c r="S19" s="481">
        <f>S10+(S14/8.92)^0.91</f>
        <v/>
      </c>
      <c r="T19" s="481">
        <f>T10+(T14/8.92)^0.91</f>
        <v/>
      </c>
      <c r="U19" s="481">
        <f>U10+(U14/8.92)^0.91</f>
        <v/>
      </c>
      <c r="V19" s="481">
        <f>V10+(V14/8.92)^0.91</f>
        <v/>
      </c>
      <c r="W19" s="481">
        <f>W10+(W14/8.92)^0.91</f>
        <v/>
      </c>
      <c r="X19" s="481">
        <f>X10+(X14/8.92)^0.91</f>
        <v/>
      </c>
      <c r="Y19" s="481">
        <f>Y10+(Y14/8.92)^0.91</f>
        <v/>
      </c>
      <c r="Z19" s="481">
        <f>Y10+(Y14/8.92)^0.91</f>
        <v/>
      </c>
      <c r="AA19" s="481">
        <f>Y10+(Y14/8.92)^0.91</f>
        <v/>
      </c>
      <c r="AB19" s="481">
        <f>AB10+(AB14/8.92)^0.91</f>
        <v/>
      </c>
      <c r="AC19" s="481">
        <f>AC10+(AC14/8.92)^0.91</f>
        <v/>
      </c>
      <c r="AD19" s="481">
        <f>AC10+(AC14/8.92)^0.91</f>
        <v/>
      </c>
      <c r="AE19" s="481">
        <f>AE10+(AE14/8.92)^0.91</f>
        <v/>
      </c>
      <c r="AF19" s="481">
        <f>AE10+(AE14/8.92)^0.91</f>
        <v/>
      </c>
      <c r="AG19" s="481">
        <f>AG10+(AG14/8.92)^0.91</f>
        <v/>
      </c>
      <c r="AH19" s="481">
        <f>AH10+(AH14/8.92)^0.91</f>
        <v/>
      </c>
      <c r="AI19" s="481">
        <f>AI10+(AI14/8.92)^0.91</f>
        <v/>
      </c>
      <c r="AJ19" s="481">
        <f>AJ10+(AJ14/8.92)^0.91</f>
        <v/>
      </c>
      <c r="AK19" s="481">
        <f>AK10+(AK14/8.92)^0.91</f>
        <v/>
      </c>
      <c r="AL19" s="481">
        <f>AK10+(AK14/8.92)^0.91</f>
        <v/>
      </c>
      <c r="AM19" s="481">
        <f>AM10+(AM14/8.92)^0.91</f>
        <v/>
      </c>
      <c r="AN19" s="481">
        <f>AM10+(AM14/8.92)^0.91</f>
        <v/>
      </c>
      <c r="AO19" s="481">
        <f>AO10+(AO14/8.92)^0.91</f>
        <v/>
      </c>
      <c r="AP19" s="481">
        <f>AP10+(AP14/8.92)^0.91</f>
        <v/>
      </c>
      <c r="AQ19" s="481">
        <f>AP10+(AP14/8.92)^0.91</f>
        <v/>
      </c>
      <c r="AR19" s="481">
        <f>AR10+(AR14/8.92)^0.91</f>
        <v/>
      </c>
      <c r="AS19" s="481">
        <f>AS10+(AS14/8.92)^0.91</f>
        <v/>
      </c>
      <c r="AT19" s="481">
        <f>AT10+(AT14/8.92)^0.91</f>
        <v/>
      </c>
      <c r="AU19" s="481">
        <f>AU10+(AU14/8.92)^0.91</f>
        <v/>
      </c>
      <c r="AV19" s="481">
        <f>AV10+(AV14/8.92)^0.91</f>
        <v/>
      </c>
      <c r="AW19" s="481">
        <f>AW10+(AW14/8.92)^0.91</f>
        <v/>
      </c>
    </row>
    <row r="20" ht="12" customHeight="1" s="244">
      <c r="A20" s="261" t="n">
        <v>14</v>
      </c>
      <c r="B20" s="282" t="inlineStr">
        <is>
          <t>Ts.g</t>
        </is>
      </c>
      <c r="C20" s="474" t="inlineStr">
        <is>
          <t>SICAK SU GİRİŞ SICAKLIĞI  (2)</t>
        </is>
      </c>
      <c r="D20" s="261" t="n"/>
      <c r="E20" s="259" t="inlineStr">
        <is>
          <t>°C</t>
        </is>
      </c>
      <c r="F20" s="259" t="n">
        <v>50</v>
      </c>
      <c r="G20" s="259" t="n">
        <v>50</v>
      </c>
      <c r="H20" s="259" t="n">
        <v>50</v>
      </c>
      <c r="I20" s="259" t="n">
        <v>50</v>
      </c>
      <c r="J20" s="259" t="n">
        <v>50</v>
      </c>
      <c r="K20" s="259" t="n">
        <v>50</v>
      </c>
      <c r="L20" s="259" t="n">
        <v>50</v>
      </c>
      <c r="M20" s="259" t="n">
        <v>50</v>
      </c>
      <c r="N20" s="259" t="n">
        <v>50</v>
      </c>
      <c r="O20" s="259" t="n">
        <v>50</v>
      </c>
      <c r="P20" s="259" t="n">
        <v>50</v>
      </c>
      <c r="Q20" s="259" t="n">
        <v>50</v>
      </c>
      <c r="R20" s="259" t="n">
        <v>50</v>
      </c>
      <c r="S20" s="259" t="n">
        <v>50</v>
      </c>
      <c r="T20" s="259" t="n">
        <v>50</v>
      </c>
      <c r="U20" s="259" t="n">
        <v>50</v>
      </c>
      <c r="V20" s="259" t="n">
        <v>50</v>
      </c>
      <c r="W20" s="259" t="n">
        <v>50</v>
      </c>
      <c r="X20" s="259" t="n">
        <v>50</v>
      </c>
      <c r="Y20" s="259" t="n">
        <v>50</v>
      </c>
      <c r="Z20" s="259" t="n">
        <v>50</v>
      </c>
      <c r="AA20" s="259" t="n">
        <v>50</v>
      </c>
      <c r="AB20" s="259" t="n">
        <v>50</v>
      </c>
      <c r="AC20" s="259" t="n">
        <v>50</v>
      </c>
      <c r="AD20" s="259" t="n">
        <v>50</v>
      </c>
      <c r="AE20" s="259" t="n">
        <v>50</v>
      </c>
      <c r="AF20" s="259" t="n">
        <v>50</v>
      </c>
      <c r="AG20" s="259" t="n">
        <v>50</v>
      </c>
      <c r="AH20" s="259" t="n">
        <v>50</v>
      </c>
      <c r="AI20" s="259" t="n">
        <v>50</v>
      </c>
      <c r="AJ20" s="259" t="n">
        <v>50</v>
      </c>
      <c r="AK20" s="259" t="n">
        <v>50</v>
      </c>
      <c r="AL20" s="259" t="n">
        <v>50</v>
      </c>
      <c r="AM20" s="259" t="n">
        <v>50</v>
      </c>
      <c r="AN20" s="259" t="n">
        <v>50</v>
      </c>
      <c r="AO20" s="259" t="n">
        <v>50</v>
      </c>
      <c r="AP20" s="259" t="n">
        <v>50</v>
      </c>
      <c r="AQ20" s="259" t="n">
        <v>50</v>
      </c>
      <c r="AR20" s="259" t="n">
        <v>50</v>
      </c>
      <c r="AS20" s="259" t="n">
        <v>50</v>
      </c>
      <c r="AT20" s="259" t="n">
        <v>50</v>
      </c>
      <c r="AU20" s="259" t="n">
        <v>50</v>
      </c>
      <c r="AV20" s="259" t="n">
        <v>50</v>
      </c>
      <c r="AW20" s="259" t="n">
        <v>50</v>
      </c>
    </row>
    <row r="21" ht="12" customHeight="1" s="244">
      <c r="A21" s="261" t="n">
        <v>15</v>
      </c>
      <c r="B21" s="482" t="inlineStr">
        <is>
          <t>ΔTsg</t>
        </is>
      </c>
      <c r="C21" s="474" t="inlineStr">
        <is>
          <t>SICAK SU GİRİŞ - ODA SICAKLIĞI</t>
        </is>
      </c>
      <c r="D21" s="261" t="inlineStr">
        <is>
          <t>Tsg - Th1</t>
        </is>
      </c>
      <c r="E21" s="259" t="inlineStr">
        <is>
          <t>°C</t>
        </is>
      </c>
      <c r="F21" s="259">
        <f>F20-F10</f>
        <v/>
      </c>
      <c r="G21" s="259">
        <f>G20-F10</f>
        <v/>
      </c>
      <c r="H21" s="259">
        <f>H20-F10</f>
        <v/>
      </c>
      <c r="I21" s="259">
        <f>I20-F10</f>
        <v/>
      </c>
      <c r="J21" s="259">
        <f>J20-F10</f>
        <v/>
      </c>
      <c r="K21" s="259">
        <f>K20-F10</f>
        <v/>
      </c>
      <c r="L21" s="259">
        <f>L20-F10</f>
        <v/>
      </c>
      <c r="M21" s="259">
        <f>M20-F10</f>
        <v/>
      </c>
      <c r="N21" s="259">
        <f>N20-F10</f>
        <v/>
      </c>
      <c r="O21" s="259">
        <f>O20-O10</f>
        <v/>
      </c>
      <c r="P21" s="259">
        <f>P20-P10</f>
        <v/>
      </c>
      <c r="Q21" s="259">
        <f>Q20-Q10</f>
        <v/>
      </c>
      <c r="R21" s="259">
        <f>R20-Q10</f>
        <v/>
      </c>
      <c r="S21" s="259">
        <f>S20-S10</f>
        <v/>
      </c>
      <c r="T21" s="259">
        <f>T20-T10</f>
        <v/>
      </c>
      <c r="U21" s="259">
        <f>U20-U10</f>
        <v/>
      </c>
      <c r="V21" s="259">
        <f>V20-V10</f>
        <v/>
      </c>
      <c r="W21" s="259">
        <f>W20-W10</f>
        <v/>
      </c>
      <c r="X21" s="259">
        <f>X20-X10</f>
        <v/>
      </c>
      <c r="Y21" s="259">
        <f>Y20-Y10</f>
        <v/>
      </c>
      <c r="Z21" s="259">
        <f>Z20-Y10</f>
        <v/>
      </c>
      <c r="AA21" s="259">
        <f>AA20-Z10</f>
        <v/>
      </c>
      <c r="AB21" s="259">
        <f>AB20-AB10</f>
        <v/>
      </c>
      <c r="AC21" s="259">
        <f>AC20-AC10</f>
        <v/>
      </c>
      <c r="AD21" s="259">
        <f>AD20-AC10</f>
        <v/>
      </c>
      <c r="AE21" s="259">
        <f>AE20-AE10</f>
        <v/>
      </c>
      <c r="AF21" s="259">
        <f>AF20-AE10</f>
        <v/>
      </c>
      <c r="AG21" s="259">
        <f>AG20-AG10</f>
        <v/>
      </c>
      <c r="AH21" s="259">
        <f>AH20-AH10</f>
        <v/>
      </c>
      <c r="AI21" s="259">
        <f>AI20-AI10</f>
        <v/>
      </c>
      <c r="AJ21" s="259">
        <f>AJ20-AJ10</f>
        <v/>
      </c>
      <c r="AK21" s="259">
        <f>AK20-AK10</f>
        <v/>
      </c>
      <c r="AL21" s="259">
        <f>AL20-AK10</f>
        <v/>
      </c>
      <c r="AM21" s="259">
        <f>AM20-AM10</f>
        <v/>
      </c>
      <c r="AN21" s="259">
        <f>AN20-AM10</f>
        <v/>
      </c>
      <c r="AO21" s="259">
        <f>AO20-AO10</f>
        <v/>
      </c>
      <c r="AP21" s="259">
        <f>AP20-AP10</f>
        <v/>
      </c>
      <c r="AQ21" s="259">
        <f>AQ20-AP10</f>
        <v/>
      </c>
      <c r="AR21" s="259">
        <f>AR20-AR10</f>
        <v/>
      </c>
      <c r="AS21" s="259">
        <f>AS20-AS10</f>
        <v/>
      </c>
      <c r="AT21" s="259">
        <f>AT20-AT10</f>
        <v/>
      </c>
      <c r="AU21" s="259">
        <f>AU20-AU10</f>
        <v/>
      </c>
      <c r="AV21" s="259">
        <f>AV20-AV10</f>
        <v/>
      </c>
      <c r="AW21" s="259">
        <f>AW20-AW10</f>
        <v/>
      </c>
    </row>
    <row r="22" ht="12" customHeight="1" s="244">
      <c r="A22" s="261" t="n">
        <v>16</v>
      </c>
      <c r="B22" s="483" t="inlineStr">
        <is>
          <t>Lr</t>
        </is>
      </c>
      <c r="C22" s="474" t="inlineStr">
        <is>
          <t>BORU ARALIĞI (1)</t>
        </is>
      </c>
      <c r="D22" s="261" t="inlineStr">
        <is>
          <t>Kat Planından</t>
        </is>
      </c>
      <c r="E22" s="259" t="n"/>
      <c r="F22" s="259" t="n">
        <v>30</v>
      </c>
      <c r="G22" s="259" t="n">
        <v>30</v>
      </c>
      <c r="H22" s="259" t="n">
        <v>30</v>
      </c>
      <c r="I22" s="259" t="n">
        <v>10</v>
      </c>
      <c r="J22" s="259" t="n">
        <v>10</v>
      </c>
      <c r="K22" s="259" t="n">
        <v>10</v>
      </c>
      <c r="L22" s="259" t="n">
        <v>10</v>
      </c>
      <c r="M22" s="259" t="n">
        <v>10</v>
      </c>
      <c r="N22" s="259" t="n">
        <v>30</v>
      </c>
      <c r="O22" s="259" t="n">
        <v>20</v>
      </c>
      <c r="P22" s="259" t="n">
        <v>20</v>
      </c>
      <c r="Q22" s="259" t="n">
        <v>20</v>
      </c>
      <c r="R22" s="259" t="n">
        <v>20</v>
      </c>
      <c r="S22" s="259" t="n">
        <v>20</v>
      </c>
      <c r="T22" s="259" t="n">
        <v>20</v>
      </c>
      <c r="U22" s="259" t="n">
        <v>20</v>
      </c>
      <c r="V22" s="259" t="n">
        <v>30</v>
      </c>
      <c r="W22" s="259" t="n">
        <v>20</v>
      </c>
      <c r="X22" s="259" t="n">
        <v>20</v>
      </c>
      <c r="Y22" s="259" t="n">
        <v>20</v>
      </c>
      <c r="Z22" s="259" t="n">
        <v>20</v>
      </c>
      <c r="AA22" s="259" t="n">
        <v>20</v>
      </c>
      <c r="AB22" s="259" t="n">
        <v>20</v>
      </c>
      <c r="AC22" s="259" t="n">
        <v>10</v>
      </c>
      <c r="AD22" s="259" t="n">
        <v>10</v>
      </c>
      <c r="AE22" s="259" t="n">
        <v>20</v>
      </c>
      <c r="AF22" s="259" t="n">
        <v>20</v>
      </c>
      <c r="AG22" s="259" t="n">
        <v>20</v>
      </c>
      <c r="AH22" s="259" t="n">
        <v>20</v>
      </c>
      <c r="AI22" s="259" t="n">
        <v>20</v>
      </c>
      <c r="AJ22" s="259" t="n">
        <v>10</v>
      </c>
      <c r="AK22" s="259" t="n">
        <v>10</v>
      </c>
      <c r="AL22" s="259" t="n">
        <v>10</v>
      </c>
      <c r="AM22" s="259" t="n">
        <v>10</v>
      </c>
      <c r="AN22" s="259" t="n">
        <v>10</v>
      </c>
      <c r="AO22" s="259" t="n">
        <v>20</v>
      </c>
      <c r="AP22" s="259" t="n">
        <v>20</v>
      </c>
      <c r="AQ22" s="259" t="n">
        <v>20</v>
      </c>
      <c r="AR22" s="259" t="n">
        <v>20</v>
      </c>
      <c r="AS22" s="259" t="n">
        <v>20</v>
      </c>
      <c r="AT22" s="259" t="n">
        <v>20</v>
      </c>
      <c r="AU22" s="259" t="n">
        <v>30</v>
      </c>
      <c r="AV22" s="259" t="n">
        <v>20</v>
      </c>
      <c r="AW22" s="259" t="n">
        <v>20</v>
      </c>
    </row>
    <row r="23" ht="12" customHeight="1" s="244">
      <c r="A23" s="261" t="inlineStr">
        <is>
          <t>17a</t>
        </is>
      </c>
      <c r="B23" s="483" t="inlineStr">
        <is>
          <t>Ts.m</t>
        </is>
      </c>
      <c r="C23" s="474" t="inlineStr">
        <is>
          <t>ORTALAMA SU SICAKLIĞI (3)</t>
        </is>
      </c>
      <c r="D23" s="261" t="inlineStr">
        <is>
          <t>(Tsg-Tsç)/2</t>
        </is>
      </c>
      <c r="E23" s="259" t="inlineStr">
        <is>
          <t>°C</t>
        </is>
      </c>
      <c r="F23" s="484" t="n">
        <v>40</v>
      </c>
      <c r="G23" s="484" t="n">
        <v>40</v>
      </c>
      <c r="H23" s="484" t="n">
        <v>40</v>
      </c>
      <c r="I23" s="484" t="n">
        <v>40</v>
      </c>
      <c r="J23" s="484" t="n">
        <v>40</v>
      </c>
      <c r="K23" s="484" t="n">
        <v>40</v>
      </c>
      <c r="L23" s="484" t="n">
        <v>40</v>
      </c>
      <c r="M23" s="484" t="n">
        <v>40</v>
      </c>
      <c r="N23" s="484" t="n">
        <v>40</v>
      </c>
      <c r="O23" s="484" t="n">
        <v>36</v>
      </c>
      <c r="P23" s="484" t="n">
        <v>36</v>
      </c>
      <c r="Q23" s="484" t="n">
        <v>40</v>
      </c>
      <c r="R23" s="484" t="n">
        <v>40</v>
      </c>
      <c r="S23" s="484" t="n">
        <v>40</v>
      </c>
      <c r="T23" s="484" t="n">
        <v>40</v>
      </c>
      <c r="U23" s="484" t="n">
        <v>36</v>
      </c>
      <c r="V23" s="484" t="n">
        <v>44</v>
      </c>
      <c r="W23" s="484" t="n">
        <v>36</v>
      </c>
      <c r="X23" s="484" t="n">
        <v>40</v>
      </c>
      <c r="Y23" s="484" t="n">
        <v>40</v>
      </c>
      <c r="Z23" s="484" t="n">
        <v>40</v>
      </c>
      <c r="AA23" s="484" t="n">
        <v>40</v>
      </c>
      <c r="AB23" s="484" t="n">
        <v>40</v>
      </c>
      <c r="AC23" s="484" t="n">
        <v>40</v>
      </c>
      <c r="AD23" s="484" t="n">
        <v>40</v>
      </c>
      <c r="AE23" s="484" t="n">
        <v>40</v>
      </c>
      <c r="AF23" s="484" t="n">
        <v>40</v>
      </c>
      <c r="AG23" s="484" t="n">
        <v>40</v>
      </c>
      <c r="AH23" s="484" t="n">
        <v>40</v>
      </c>
      <c r="AI23" s="484" t="n">
        <v>44</v>
      </c>
      <c r="AJ23" s="484" t="n">
        <v>50</v>
      </c>
      <c r="AK23" s="484" t="n">
        <v>42</v>
      </c>
      <c r="AL23" s="484" t="n">
        <v>42</v>
      </c>
      <c r="AM23" s="484" t="n">
        <v>42</v>
      </c>
      <c r="AN23" s="484" t="n">
        <v>42</v>
      </c>
      <c r="AO23" s="484" t="n">
        <v>36</v>
      </c>
      <c r="AP23" s="484" t="n">
        <v>40</v>
      </c>
      <c r="AQ23" s="484" t="n">
        <v>40</v>
      </c>
      <c r="AR23" s="484" t="n">
        <v>40</v>
      </c>
      <c r="AS23" s="484" t="n">
        <v>40</v>
      </c>
      <c r="AT23" s="484" t="n">
        <v>36</v>
      </c>
      <c r="AU23" s="484" t="n">
        <v>44</v>
      </c>
      <c r="AV23" s="484" t="n">
        <v>36</v>
      </c>
      <c r="AW23" s="484" t="n">
        <v>40</v>
      </c>
    </row>
    <row r="24" ht="12" customHeight="1" s="244">
      <c r="A24" s="261" t="inlineStr">
        <is>
          <t>17b</t>
        </is>
      </c>
      <c r="B24" s="482" t="inlineStr">
        <is>
          <t>ΔTs.m</t>
        </is>
      </c>
      <c r="C24" s="474" t="inlineStr">
        <is>
          <t>ORTALAMA SICAK SU - ODA SICAKLIĞI</t>
        </is>
      </c>
      <c r="D24" s="261" t="n"/>
      <c r="E24" s="259" t="inlineStr">
        <is>
          <t>°C</t>
        </is>
      </c>
      <c r="F24" s="259">
        <f>F23-F10</f>
        <v/>
      </c>
      <c r="G24" s="259">
        <f>G23-F10</f>
        <v/>
      </c>
      <c r="H24" s="259">
        <f>H23-F10</f>
        <v/>
      </c>
      <c r="I24" s="259">
        <f>I23-F10</f>
        <v/>
      </c>
      <c r="J24" s="259">
        <f>J23-F10</f>
        <v/>
      </c>
      <c r="K24" s="259">
        <f>K23-F10</f>
        <v/>
      </c>
      <c r="L24" s="259">
        <f>L23-F10</f>
        <v/>
      </c>
      <c r="M24" s="259">
        <f>M23-F10</f>
        <v/>
      </c>
      <c r="N24" s="259">
        <f>N23-F10</f>
        <v/>
      </c>
      <c r="O24" s="259">
        <f>O23-O10</f>
        <v/>
      </c>
      <c r="P24" s="259">
        <f>P23-P10</f>
        <v/>
      </c>
      <c r="Q24" s="259">
        <f>Q23-Q10</f>
        <v/>
      </c>
      <c r="R24" s="259">
        <f>R23-Q10</f>
        <v/>
      </c>
      <c r="S24" s="259">
        <f>S23-S10</f>
        <v/>
      </c>
      <c r="T24" s="259">
        <f>T23-T10</f>
        <v/>
      </c>
      <c r="U24" s="259">
        <f>U23-U10</f>
        <v/>
      </c>
      <c r="V24" s="259">
        <f>V23-V10</f>
        <v/>
      </c>
      <c r="W24" s="259">
        <f>W23-W10</f>
        <v/>
      </c>
      <c r="X24" s="259">
        <f>X23-X10</f>
        <v/>
      </c>
      <c r="Y24" s="259">
        <f>Y23-Y10</f>
        <v/>
      </c>
      <c r="Z24" s="259">
        <f>Z23-Y10</f>
        <v/>
      </c>
      <c r="AA24" s="259">
        <f>Z23-Y10</f>
        <v/>
      </c>
      <c r="AB24" s="259">
        <f>AB23-AB10</f>
        <v/>
      </c>
      <c r="AC24" s="259">
        <f>AC23-AC10</f>
        <v/>
      </c>
      <c r="AD24" s="259">
        <f>AD23-AC10</f>
        <v/>
      </c>
      <c r="AE24" s="259">
        <f>AE23-AE10</f>
        <v/>
      </c>
      <c r="AF24" s="259">
        <f>AF23-AE10</f>
        <v/>
      </c>
      <c r="AG24" s="259">
        <f>AG23-AG10</f>
        <v/>
      </c>
      <c r="AH24" s="259">
        <f>AH23-AH10</f>
        <v/>
      </c>
      <c r="AI24" s="259">
        <f>AI23-AI10</f>
        <v/>
      </c>
      <c r="AJ24" s="259">
        <f>AJ23-AJ10</f>
        <v/>
      </c>
      <c r="AK24" s="259">
        <f>AK23-AK10</f>
        <v/>
      </c>
      <c r="AL24" s="259">
        <f>AL23-AK10</f>
        <v/>
      </c>
      <c r="AM24" s="259">
        <f>AM23-AM10</f>
        <v/>
      </c>
      <c r="AN24" s="259">
        <f>AN23-AM10</f>
        <v/>
      </c>
      <c r="AO24" s="259">
        <f>AO23-AO10</f>
        <v/>
      </c>
      <c r="AP24" s="259">
        <f>AP23-AP10</f>
        <v/>
      </c>
      <c r="AQ24" s="259">
        <f>AQ23-AP10</f>
        <v/>
      </c>
      <c r="AR24" s="259">
        <f>AR23-AR10</f>
        <v/>
      </c>
      <c r="AS24" s="259">
        <f>AS23-AS10</f>
        <v/>
      </c>
      <c r="AT24" s="259">
        <f>AT23-AT10</f>
        <v/>
      </c>
      <c r="AU24" s="259">
        <f>AU23-AU10</f>
        <v/>
      </c>
      <c r="AV24" s="259">
        <f>AV23-AV10</f>
        <v/>
      </c>
      <c r="AW24" s="259">
        <f>AW23-AW10</f>
        <v/>
      </c>
    </row>
    <row r="25" ht="12" customHeight="1" s="244">
      <c r="A25" s="261" t="n">
        <v>18</v>
      </c>
      <c r="B25" s="482" t="inlineStr">
        <is>
          <t>ΔTs</t>
        </is>
      </c>
      <c r="C25" s="474" t="inlineStr">
        <is>
          <t>SICAK SU GİDİŞ - DÖNÜŞ SICAKLIĞI</t>
        </is>
      </c>
      <c r="D25" s="261" t="inlineStr">
        <is>
          <t>2(ΔTsg - ΔTs.m)</t>
        </is>
      </c>
      <c r="E25" s="259" t="inlineStr">
        <is>
          <t>°C</t>
        </is>
      </c>
      <c r="F25" s="259">
        <f>2*(F21-F24)</f>
        <v/>
      </c>
      <c r="G25" s="259">
        <f>2*(G21-G24)</f>
        <v/>
      </c>
      <c r="H25" s="259">
        <f>2*(H21-H24)</f>
        <v/>
      </c>
      <c r="I25" s="259">
        <f>2*(I21-I24)</f>
        <v/>
      </c>
      <c r="J25" s="259">
        <f>2*(J21-J24)</f>
        <v/>
      </c>
      <c r="K25" s="259">
        <f>2*(K21-K24)</f>
        <v/>
      </c>
      <c r="L25" s="259">
        <f>2*(L21-L24)</f>
        <v/>
      </c>
      <c r="M25" s="259">
        <f>2*(M21-M24)</f>
        <v/>
      </c>
      <c r="N25" s="259">
        <f>2*(N21-N24)</f>
        <v/>
      </c>
      <c r="O25" s="259">
        <f>2*(O21-O24)</f>
        <v/>
      </c>
      <c r="P25" s="259">
        <f>2*(P21-P24)</f>
        <v/>
      </c>
      <c r="Q25" s="259">
        <f>2*(Q21-Q24)</f>
        <v/>
      </c>
      <c r="R25" s="259">
        <f>2*(R21-R24)</f>
        <v/>
      </c>
      <c r="S25" s="259">
        <f>2*(S21-S24)</f>
        <v/>
      </c>
      <c r="T25" s="259">
        <f>2*(T21-T24)</f>
        <v/>
      </c>
      <c r="U25" s="259">
        <f>2*(U21-U24)</f>
        <v/>
      </c>
      <c r="V25" s="259">
        <f>2*(V21-V24)</f>
        <v/>
      </c>
      <c r="W25" s="259">
        <f>2*(W21-W24)</f>
        <v/>
      </c>
      <c r="X25" s="259">
        <f>2*(X21-X24)</f>
        <v/>
      </c>
      <c r="Y25" s="259">
        <f>2*(Y21-Y24)</f>
        <v/>
      </c>
      <c r="Z25" s="259">
        <f>2*(Z21-Z24)</f>
        <v/>
      </c>
      <c r="AA25" s="259">
        <f>2*(AA21-AA24)</f>
        <v/>
      </c>
      <c r="AB25" s="259">
        <f>2*(AB21-AB24)</f>
        <v/>
      </c>
      <c r="AC25" s="259">
        <f>2*(AC21-AC24)</f>
        <v/>
      </c>
      <c r="AD25" s="259">
        <f>2*(AD21-AD24)</f>
        <v/>
      </c>
      <c r="AE25" s="259">
        <f>2*(AE21-AE24)</f>
        <v/>
      </c>
      <c r="AF25" s="259">
        <f>2*(AF21-AF24)</f>
        <v/>
      </c>
      <c r="AG25" s="259">
        <f>2*(AG21-AG24)</f>
        <v/>
      </c>
      <c r="AH25" s="259">
        <f>2*(AH21-AH24)</f>
        <v/>
      </c>
      <c r="AI25" s="259">
        <f>2*(AI21-AI24)</f>
        <v/>
      </c>
      <c r="AJ25" s="259">
        <f>2*(AJ21-AJ24)</f>
        <v/>
      </c>
      <c r="AK25" s="259">
        <f>2*(AK21-AK24)</f>
        <v/>
      </c>
      <c r="AL25" s="259">
        <f>2*(AL21-AL24)</f>
        <v/>
      </c>
      <c r="AM25" s="259">
        <f>2*(AM21-AM24)</f>
        <v/>
      </c>
      <c r="AN25" s="259">
        <f>2*(AN21-AN24)</f>
        <v/>
      </c>
      <c r="AO25" s="259">
        <f>2*(AO21-AO24)</f>
        <v/>
      </c>
      <c r="AP25" s="259">
        <f>2*(AP21-AP24)</f>
        <v/>
      </c>
      <c r="AQ25" s="259">
        <f>2*(AQ21-AQ24)</f>
        <v/>
      </c>
      <c r="AR25" s="259">
        <f>2*(AR21-AR24)</f>
        <v/>
      </c>
      <c r="AS25" s="259">
        <f>2*(AS21-AS24)</f>
        <v/>
      </c>
      <c r="AT25" s="259">
        <f>2*(AT21-AT24)</f>
        <v/>
      </c>
      <c r="AU25" s="259">
        <f>2*(AU21-AU24)</f>
        <v/>
      </c>
      <c r="AV25" s="259">
        <f>2*(AV21-AV24)</f>
        <v/>
      </c>
      <c r="AW25" s="259">
        <f>2*(AW21-AW24)</f>
        <v/>
      </c>
    </row>
    <row r="26" ht="12" customHeight="1" s="244">
      <c r="A26" s="261" t="n">
        <v>19</v>
      </c>
      <c r="B26" s="483" t="inlineStr">
        <is>
          <t>q"döşeme</t>
        </is>
      </c>
      <c r="C26" s="474" t="inlineStr">
        <is>
          <t>ALTA GEÇEN ISI AKISI (4)</t>
        </is>
      </c>
      <c r="D26" s="485" t="inlineStr">
        <is>
          <t>0,2 q değerinden küçük alınmıştır.</t>
        </is>
      </c>
      <c r="E26" s="259" t="inlineStr">
        <is>
          <t>W/m²</t>
        </is>
      </c>
      <c r="F26" s="481">
        <f>0.2*F14</f>
        <v/>
      </c>
      <c r="G26" s="481">
        <f>0.2*F14</f>
        <v/>
      </c>
      <c r="H26" s="481">
        <f>0.2*F14</f>
        <v/>
      </c>
      <c r="I26" s="481">
        <f>0.2*F14</f>
        <v/>
      </c>
      <c r="J26" s="481">
        <f>0.2*F14</f>
        <v/>
      </c>
      <c r="K26" s="481">
        <f>0.2*F14</f>
        <v/>
      </c>
      <c r="L26" s="481">
        <f>0.2*F14</f>
        <v/>
      </c>
      <c r="M26" s="481">
        <f>0.2*F14</f>
        <v/>
      </c>
      <c r="N26" s="481">
        <f>0.2*F14</f>
        <v/>
      </c>
      <c r="O26" s="481">
        <f>0.2*O14</f>
        <v/>
      </c>
      <c r="P26" s="481">
        <f>0.2*P14</f>
        <v/>
      </c>
      <c r="Q26" s="481">
        <f>0.2*Q14</f>
        <v/>
      </c>
      <c r="R26" s="481">
        <f>0.2*Q14</f>
        <v/>
      </c>
      <c r="S26" s="481">
        <f>0.2*M14</f>
        <v/>
      </c>
      <c r="T26" s="481">
        <f>0.2*O14</f>
        <v/>
      </c>
      <c r="U26" s="481">
        <f>0.2*Q14</f>
        <v/>
      </c>
      <c r="V26" s="481">
        <f>0.2*R14</f>
        <v/>
      </c>
      <c r="W26" s="481">
        <f>0.2*S14</f>
        <v/>
      </c>
      <c r="X26" s="481">
        <f>0.2*T14</f>
        <v/>
      </c>
      <c r="Y26" s="481">
        <f>0.2*Y14</f>
        <v/>
      </c>
      <c r="Z26" s="481">
        <f>0.2*Y14</f>
        <v/>
      </c>
      <c r="AA26" s="481">
        <f>0.2*Y14</f>
        <v/>
      </c>
      <c r="AB26" s="481">
        <f>0.2*Y14</f>
        <v/>
      </c>
      <c r="AC26" s="481">
        <f>0.2*AC14</f>
        <v/>
      </c>
      <c r="AD26" s="481">
        <f>0.2*AC14</f>
        <v/>
      </c>
      <c r="AE26" s="481">
        <f>0.2*AE14</f>
        <v/>
      </c>
      <c r="AF26" s="481">
        <f>0.2*AE14</f>
        <v/>
      </c>
      <c r="AG26" s="481">
        <f>0.2*AG14</f>
        <v/>
      </c>
      <c r="AH26" s="481">
        <f>0.2*AH14</f>
        <v/>
      </c>
      <c r="AI26" s="481">
        <f>0.2*AI14</f>
        <v/>
      </c>
      <c r="AJ26" s="481">
        <f>0.2*AJ14</f>
        <v/>
      </c>
      <c r="AK26" s="481">
        <f>0.2*AK14</f>
        <v/>
      </c>
      <c r="AL26" s="481">
        <f>0.2*AK14</f>
        <v/>
      </c>
      <c r="AM26" s="481">
        <f>0.2*AM14</f>
        <v/>
      </c>
      <c r="AN26" s="481">
        <f>0.2*AM14</f>
        <v/>
      </c>
      <c r="AO26" s="481">
        <f>0.2*AO14</f>
        <v/>
      </c>
      <c r="AP26" s="481">
        <f>0.2*AP14</f>
        <v/>
      </c>
      <c r="AQ26" s="481">
        <f>0.2*AP14</f>
        <v/>
      </c>
      <c r="AR26" s="481">
        <f>0.2*AM14</f>
        <v/>
      </c>
      <c r="AS26" s="481">
        <f>0.2*AO14</f>
        <v/>
      </c>
      <c r="AT26" s="481">
        <f>0.2*AP14</f>
        <v/>
      </c>
      <c r="AU26" s="481">
        <f>0.2*AQ14</f>
        <v/>
      </c>
      <c r="AV26" s="481">
        <f>0.2*AR14</f>
        <v/>
      </c>
      <c r="AW26" s="481">
        <f>0.2*AS14</f>
        <v/>
      </c>
    </row>
    <row r="27" ht="12" customHeight="1" s="244">
      <c r="A27" s="261" t="n">
        <v>20</v>
      </c>
      <c r="B27" s="483" t="inlineStr">
        <is>
          <t>q</t>
        </is>
      </c>
      <c r="C27" s="474" t="inlineStr">
        <is>
          <t>ÇEVRİMİN TOPLAM ISISI</t>
        </is>
      </c>
      <c r="D27" s="261" t="inlineStr">
        <is>
          <t>A(q"döşeme + q"tavan)</t>
        </is>
      </c>
      <c r="E27" s="259" t="inlineStr">
        <is>
          <t>w</t>
        </is>
      </c>
      <c r="F27" s="486">
        <f>F17*(F14+F26)</f>
        <v/>
      </c>
      <c r="G27" s="486">
        <f>G17*(F14+G26)</f>
        <v/>
      </c>
      <c r="H27" s="486">
        <f>H17*(F14+H26)</f>
        <v/>
      </c>
      <c r="I27" s="486">
        <f>F17*(F14+I26)</f>
        <v/>
      </c>
      <c r="J27" s="486">
        <f>F12*(F14+J26)</f>
        <v/>
      </c>
      <c r="K27" s="486">
        <f>F17*(F14+K26)</f>
        <v/>
      </c>
      <c r="L27" s="486">
        <f>F17*(F14+L26)</f>
        <v/>
      </c>
      <c r="M27" s="486">
        <f>F17*(F14+M26)</f>
        <v/>
      </c>
      <c r="N27" s="486">
        <f>N17*(F14+N26)</f>
        <v/>
      </c>
      <c r="O27" s="486">
        <f>O17*(O14+O26)</f>
        <v/>
      </c>
      <c r="P27" s="486">
        <f>P17*(P14+P26)</f>
        <v/>
      </c>
      <c r="Q27" s="486">
        <f>Q17*(Q14+Q26)</f>
        <v/>
      </c>
      <c r="R27" s="486">
        <f>R17*(Q14+R26)</f>
        <v/>
      </c>
      <c r="S27" s="486">
        <f>S17*(S14+S26)</f>
        <v/>
      </c>
      <c r="T27" s="486">
        <f>T17*(T14+T26)</f>
        <v/>
      </c>
      <c r="U27" s="486">
        <f>U17*(U14+U26)</f>
        <v/>
      </c>
      <c r="V27" s="486">
        <f>V17*(V14+V26)</f>
        <v/>
      </c>
      <c r="W27" s="486">
        <f>W17*(W14+W26)</f>
        <v/>
      </c>
      <c r="X27" s="486">
        <f>X17*(X14+X26)</f>
        <v/>
      </c>
      <c r="Y27" s="486">
        <f>Y17*(Y14+Y26)</f>
        <v/>
      </c>
      <c r="Z27" s="486">
        <f>Z17*(Y14+Z26)</f>
        <v/>
      </c>
      <c r="AA27" s="486">
        <f>AA17*(Z14+AA26)</f>
        <v/>
      </c>
      <c r="AB27" s="486">
        <f>AB17*(AB14+AB26)</f>
        <v/>
      </c>
      <c r="AC27" s="486">
        <f>AC17*(AC14+AC26)</f>
        <v/>
      </c>
      <c r="AD27" s="486">
        <f>AD17*(AD14+AD26)</f>
        <v/>
      </c>
      <c r="AE27" s="486">
        <f>AE17*(AE14+AE26)</f>
        <v/>
      </c>
      <c r="AF27" s="486">
        <f>AF17*(AE14+AF26)</f>
        <v/>
      </c>
      <c r="AG27" s="486">
        <f>AG17*(AG14+AG26)</f>
        <v/>
      </c>
      <c r="AH27" s="486">
        <f>AH17*(AH14+AH26)</f>
        <v/>
      </c>
      <c r="AI27" s="486">
        <f>AI17*(AI14+AI26)</f>
        <v/>
      </c>
      <c r="AJ27" s="486">
        <f>AJ17*(AJ14+AJ26)</f>
        <v/>
      </c>
      <c r="AK27" s="486">
        <f>AK17*(AK14+AK26)</f>
        <v/>
      </c>
      <c r="AL27" s="486">
        <f>AL17*(AL14+AL26)</f>
        <v/>
      </c>
      <c r="AM27" s="486">
        <f>AM17*(AM14+AM26)</f>
        <v/>
      </c>
      <c r="AN27" s="486">
        <f>AN17*(AN14+AN26)</f>
        <v/>
      </c>
      <c r="AO27" s="486">
        <f>AO17*(AO14+AO26)</f>
        <v/>
      </c>
      <c r="AP27" s="486">
        <f>AP17*(AP14+AP26)</f>
        <v/>
      </c>
      <c r="AQ27" s="486">
        <f>AQ17*(AP14+AQ26)</f>
        <v/>
      </c>
      <c r="AR27" s="486">
        <f>AR17*(AR14+AR26)</f>
        <v/>
      </c>
      <c r="AS27" s="486">
        <f>AS17*(AS14+AS26)</f>
        <v/>
      </c>
      <c r="AT27" s="486">
        <f>AT17*(AT14+AT26)</f>
        <v/>
      </c>
      <c r="AU27" s="486">
        <f>AU17*(AU14+AU26)</f>
        <v/>
      </c>
      <c r="AV27" s="486">
        <f>AV17*(AV14+AV26)</f>
        <v/>
      </c>
      <c r="AW27" s="486">
        <f>AW17*(AW14+AW26)</f>
        <v/>
      </c>
    </row>
    <row r="28" ht="12" customHeight="1" s="244">
      <c r="A28" s="261" t="n">
        <v>21</v>
      </c>
      <c r="B28" s="483" t="inlineStr">
        <is>
          <t>m</t>
        </is>
      </c>
      <c r="C28" s="474" t="inlineStr">
        <is>
          <t>SICAK SU DEBİSİ</t>
        </is>
      </c>
      <c r="D28" s="261" t="inlineStr">
        <is>
          <t>q/(1,163ΔTsg)</t>
        </is>
      </c>
      <c r="E28" s="259" t="inlineStr">
        <is>
          <t>kg/h</t>
        </is>
      </c>
      <c r="F28" s="487">
        <f>F27/(1.163*F21)</f>
        <v/>
      </c>
      <c r="G28" s="487">
        <f>G27/(1.163*G21)</f>
        <v/>
      </c>
      <c r="H28" s="487">
        <f>H27/(1.163*H21)</f>
        <v/>
      </c>
      <c r="I28" s="487">
        <f>I27/(1.163*I21)</f>
        <v/>
      </c>
      <c r="J28" s="487">
        <f>J27/(1.163*J21)</f>
        <v/>
      </c>
      <c r="K28" s="487">
        <f>K27/(1.163*K21)</f>
        <v/>
      </c>
      <c r="L28" s="487">
        <f>L27/(1.163*L21)</f>
        <v/>
      </c>
      <c r="M28" s="487">
        <f>M27/(1.163*M21)</f>
        <v/>
      </c>
      <c r="N28" s="487">
        <f>N27/(1.163*N21)</f>
        <v/>
      </c>
      <c r="O28" s="487">
        <f>O27/(1.163*O21)</f>
        <v/>
      </c>
      <c r="P28" s="487">
        <f>P27/(1.163*P21)</f>
        <v/>
      </c>
      <c r="Q28" s="487">
        <f>Q27/(1.163*Q21)</f>
        <v/>
      </c>
      <c r="R28" s="487">
        <f>R27/(1.163*R21)</f>
        <v/>
      </c>
      <c r="S28" s="487">
        <f>S27/(1.163*S21)</f>
        <v/>
      </c>
      <c r="T28" s="487">
        <f>T27/(1.163*T21)</f>
        <v/>
      </c>
      <c r="U28" s="487">
        <f>U27/(1.163*U21)</f>
        <v/>
      </c>
      <c r="V28" s="487">
        <f>V27/(1.163*V21)</f>
        <v/>
      </c>
      <c r="W28" s="487">
        <f>W27/(1.163*W21)</f>
        <v/>
      </c>
      <c r="X28" s="487">
        <f>X27/(1.163*X21)</f>
        <v/>
      </c>
      <c r="Y28" s="487">
        <f>Y27/(1.163*Y21)</f>
        <v/>
      </c>
      <c r="Z28" s="487">
        <f>Z27/(1.163*Z21)</f>
        <v/>
      </c>
      <c r="AA28" s="487">
        <f>AA27/(1.163*AA21)</f>
        <v/>
      </c>
      <c r="AB28" s="487">
        <f>AB27/(1.163*AB21)</f>
        <v/>
      </c>
      <c r="AC28" s="487">
        <f>AC27/(1.163*AC21)</f>
        <v/>
      </c>
      <c r="AD28" s="487">
        <f>AD27/(1.163*AD21)</f>
        <v/>
      </c>
      <c r="AE28" s="487">
        <f>AE27/(1.163*AE21)</f>
        <v/>
      </c>
      <c r="AF28" s="487">
        <f>AF27/(1.163*AF21)</f>
        <v/>
      </c>
      <c r="AG28" s="487">
        <f>AG27/(1.163*AG21)</f>
        <v/>
      </c>
      <c r="AH28" s="487">
        <f>AH27/(1.163*AH21)</f>
        <v/>
      </c>
      <c r="AI28" s="487">
        <f>AI27/(1.163*AI21)</f>
        <v/>
      </c>
      <c r="AJ28" s="487">
        <f>AJ27/(1.163*AJ21)</f>
        <v/>
      </c>
      <c r="AK28" s="487">
        <f>AK27/(1.163*AK21)</f>
        <v/>
      </c>
      <c r="AL28" s="487">
        <f>AL27/(1.163*AL21)</f>
        <v/>
      </c>
      <c r="AM28" s="487">
        <f>AM27/(1.163*AM21)</f>
        <v/>
      </c>
      <c r="AN28" s="487">
        <f>AN27/(1.163*AN21)</f>
        <v/>
      </c>
      <c r="AO28" s="487">
        <f>AO27/(1.163*AO21)</f>
        <v/>
      </c>
      <c r="AP28" s="487">
        <f>AP27/(1.163*AP21)</f>
        <v/>
      </c>
      <c r="AQ28" s="487">
        <f>AQ27/(1.163*AQ21)</f>
        <v/>
      </c>
      <c r="AR28" s="487">
        <f>AR27/(1.163*AR21)</f>
        <v/>
      </c>
      <c r="AS28" s="487">
        <f>AS27/(1.163*AS21)</f>
        <v/>
      </c>
      <c r="AT28" s="487">
        <f>AT27/(1.163*AT21)</f>
        <v/>
      </c>
      <c r="AU28" s="487">
        <f>AU27/(1.163*AU21)</f>
        <v/>
      </c>
      <c r="AV28" s="487">
        <f>AV27/(1.163*AV21)</f>
        <v/>
      </c>
      <c r="AW28" s="487">
        <f>AW27/(1.163*AW21)</f>
        <v/>
      </c>
    </row>
    <row r="29" ht="12" customHeight="1" s="244">
      <c r="A29" s="261" t="n">
        <v>22</v>
      </c>
      <c r="B29" s="483" t="inlineStr">
        <is>
          <t>Lç</t>
        </is>
      </c>
      <c r="C29" s="474" t="inlineStr">
        <is>
          <t>BORU UZUNLUĞU</t>
        </is>
      </c>
      <c r="D29" s="261" t="inlineStr">
        <is>
          <t>A/Lr</t>
        </is>
      </c>
      <c r="E29" s="259" t="inlineStr">
        <is>
          <t>m</t>
        </is>
      </c>
      <c r="F29" s="488">
        <f>F17/(F22*0.01)</f>
        <v/>
      </c>
      <c r="G29" s="488">
        <f>G17/(G22*0.01)</f>
        <v/>
      </c>
      <c r="H29" s="488">
        <f>H17/(H22*0.01)</f>
        <v/>
      </c>
      <c r="I29" s="488">
        <f>I17/(I22*0.01)</f>
        <v/>
      </c>
      <c r="J29" s="488">
        <f>J17/(J22*0.01)</f>
        <v/>
      </c>
      <c r="K29" s="488">
        <f>K17/(K22*0.01)</f>
        <v/>
      </c>
      <c r="L29" s="488">
        <f>L17/(L22*0.01)</f>
        <v/>
      </c>
      <c r="M29" s="488">
        <f>M17/(M22*0.01)</f>
        <v/>
      </c>
      <c r="N29" s="488">
        <f>N17/(N22*0.01)</f>
        <v/>
      </c>
      <c r="O29" s="488">
        <f>O17/(O22*0.01)</f>
        <v/>
      </c>
      <c r="P29" s="488">
        <f>P17/(P22*0.01)</f>
        <v/>
      </c>
      <c r="Q29" s="488">
        <f>Q17/(Q22*0.01)</f>
        <v/>
      </c>
      <c r="R29" s="488">
        <f>R17/(R22*0.01)</f>
        <v/>
      </c>
      <c r="S29" s="488">
        <f>S17/(S22*0.01)</f>
        <v/>
      </c>
      <c r="T29" s="488">
        <f>T17/(T22*0.01)</f>
        <v/>
      </c>
      <c r="U29" s="488">
        <f>U17/(U22*0.01)</f>
        <v/>
      </c>
      <c r="V29" s="488">
        <f>V17/(V22*0.01)</f>
        <v/>
      </c>
      <c r="W29" s="488">
        <f>W17/(W22*0.01)</f>
        <v/>
      </c>
      <c r="X29" s="488">
        <f>X17/(X22*0.01)</f>
        <v/>
      </c>
      <c r="Y29" s="488">
        <f>Y17/(Y22*0.01)</f>
        <v/>
      </c>
      <c r="Z29" s="488">
        <f>Z17/(Z22*0.01)</f>
        <v/>
      </c>
      <c r="AA29" s="488">
        <f>AA17/(AA22*0.01)</f>
        <v/>
      </c>
      <c r="AB29" s="488">
        <f>AB17/(AB22*0.01)</f>
        <v/>
      </c>
      <c r="AC29" s="488">
        <f>AC17/(AC22*0.01)</f>
        <v/>
      </c>
      <c r="AD29" s="488">
        <f>AD17/(AD22*0.01)</f>
        <v/>
      </c>
      <c r="AE29" s="488">
        <f>AE17/(AE22*0.01)</f>
        <v/>
      </c>
      <c r="AF29" s="488">
        <f>AF17/(AF22*0.01)</f>
        <v/>
      </c>
      <c r="AG29" s="488">
        <f>AG17/(AG22*0.01)</f>
        <v/>
      </c>
      <c r="AH29" s="488">
        <f>AH17/(AH22*0.01)</f>
        <v/>
      </c>
      <c r="AI29" s="488">
        <f>AI17/(AI22*0.01)</f>
        <v/>
      </c>
      <c r="AJ29" s="488">
        <f>AJ17/(AJ22*0.01)</f>
        <v/>
      </c>
      <c r="AK29" s="488">
        <f>AK17/(AK22*0.01)</f>
        <v/>
      </c>
      <c r="AL29" s="488">
        <f>AL17/(AL22*0.01)</f>
        <v/>
      </c>
      <c r="AM29" s="488">
        <f>AM17/(AM22*0.01)</f>
        <v/>
      </c>
      <c r="AN29" s="488">
        <f>AN17/(AN22*0.01)</f>
        <v/>
      </c>
      <c r="AO29" s="488">
        <f>AO17/(AO22*0.01)</f>
        <v/>
      </c>
      <c r="AP29" s="488">
        <f>AP17/(AP22*0.01)</f>
        <v/>
      </c>
      <c r="AQ29" s="488">
        <f>AQ17/(AQ22*0.01)</f>
        <v/>
      </c>
      <c r="AR29" s="488">
        <f>AR17/(AR22*0.01)</f>
        <v/>
      </c>
      <c r="AS29" s="488">
        <f>AS17/(AS22*0.01)</f>
        <v/>
      </c>
      <c r="AT29" s="488">
        <f>AT17/(AT22*0.01)</f>
        <v/>
      </c>
      <c r="AU29" s="488">
        <f>AU17/(AU22*0.01)</f>
        <v/>
      </c>
      <c r="AV29" s="488">
        <f>AV17/(AV22*0.01)</f>
        <v/>
      </c>
      <c r="AW29" s="488">
        <f>AW17/(AW22*0.01)</f>
        <v/>
      </c>
    </row>
    <row r="30" ht="12" customHeight="1" s="244">
      <c r="A30" s="261" t="n">
        <v>23</v>
      </c>
      <c r="B30" s="483" t="inlineStr">
        <is>
          <t>Lb</t>
        </is>
      </c>
      <c r="C30" s="474" t="inlineStr">
        <is>
          <t>BAĞLANTI BORULARI</t>
        </is>
      </c>
      <c r="D30" s="261" t="inlineStr">
        <is>
          <t>Kat Planından</t>
        </is>
      </c>
      <c r="E30" s="259" t="inlineStr">
        <is>
          <t>m</t>
        </is>
      </c>
      <c r="F30" s="490" t="inlineStr">
        <is>
          <t>bağlantı boruları toplam boru boyuna ilave edilmiştir.</t>
        </is>
      </c>
      <c r="G30" s="489" t="n"/>
      <c r="H30" s="489" t="n"/>
      <c r="I30" s="489" t="n"/>
      <c r="J30" s="489" t="n"/>
      <c r="K30" s="489" t="n"/>
      <c r="L30" s="489" t="n"/>
      <c r="M30" s="489" t="n"/>
      <c r="N30" s="489" t="n"/>
      <c r="O30" s="489" t="inlineStr">
        <is>
          <t>bağlantı boruları toplam boru boyuna ilave edilmiştir.</t>
        </is>
      </c>
      <c r="P30" s="489" t="inlineStr">
        <is>
          <t>bağlantı boruları toplam boru boyuna ilave edilmiştir.</t>
        </is>
      </c>
      <c r="Q30" s="489" t="n"/>
      <c r="R30" s="489" t="n"/>
      <c r="S30" s="489" t="n"/>
      <c r="T30" s="489" t="n"/>
      <c r="U30" s="489" t="n"/>
      <c r="V30" s="489" t="n"/>
      <c r="W30" s="489" t="n"/>
      <c r="X30" s="489" t="n"/>
      <c r="Y30" s="489" t="n"/>
      <c r="Z30" s="489" t="n"/>
      <c r="AA30" s="489" t="n"/>
      <c r="AB30" s="489" t="n"/>
      <c r="AC30" s="489" t="n"/>
      <c r="AD30" s="489" t="n"/>
      <c r="AE30" s="489" t="n"/>
      <c r="AF30" s="489" t="n"/>
      <c r="AG30" s="489" t="n"/>
      <c r="AO30" s="489" t="inlineStr">
        <is>
          <t>bağlantı boruları toplam boru boyuna ilave edilmiştir.</t>
        </is>
      </c>
      <c r="AP30" s="489" t="n"/>
      <c r="AQ30" s="489" t="n"/>
      <c r="AR30" s="489" t="n"/>
      <c r="AS30" s="489" t="n"/>
      <c r="AT30" s="489" t="n"/>
      <c r="AU30" s="489" t="n"/>
      <c r="AV30" s="489" t="n"/>
      <c r="AW30" s="489" t="n"/>
    </row>
    <row r="31" ht="12" customHeight="1" s="244">
      <c r="A31" s="261" t="n">
        <v>24</v>
      </c>
      <c r="B31" s="483" t="inlineStr">
        <is>
          <t>L</t>
        </is>
      </c>
      <c r="C31" s="474" t="inlineStr">
        <is>
          <t>TOPLAM BORU UZUNLUĞU</t>
        </is>
      </c>
      <c r="D31" s="261" t="inlineStr">
        <is>
          <t>Lç + Lb</t>
        </is>
      </c>
      <c r="E31" s="259" t="inlineStr">
        <is>
          <t>m</t>
        </is>
      </c>
      <c r="F31" s="259">
        <f>F29+0</f>
        <v/>
      </c>
      <c r="G31" s="259">
        <f>G29+0</f>
        <v/>
      </c>
      <c r="H31" s="259">
        <f>H29+0</f>
        <v/>
      </c>
      <c r="I31" s="259">
        <f>I29+0</f>
        <v/>
      </c>
      <c r="J31" s="259">
        <f>J29+0</f>
        <v/>
      </c>
      <c r="K31" s="259">
        <f>K29+0</f>
        <v/>
      </c>
      <c r="L31" s="259">
        <f>L29+0</f>
        <v/>
      </c>
      <c r="M31" s="259">
        <f>M29+0</f>
        <v/>
      </c>
      <c r="N31" s="259">
        <f>N29+0</f>
        <v/>
      </c>
      <c r="O31" s="259">
        <f>O29+0</f>
        <v/>
      </c>
      <c r="P31" s="259">
        <f>P29+0</f>
        <v/>
      </c>
      <c r="Q31" s="259">
        <f>Q29+0</f>
        <v/>
      </c>
      <c r="R31" s="259">
        <f>R29+0</f>
        <v/>
      </c>
      <c r="S31" s="259">
        <f>S29+0</f>
        <v/>
      </c>
      <c r="T31" s="259">
        <f>T29+0</f>
        <v/>
      </c>
      <c r="U31" s="259">
        <f>U29+0</f>
        <v/>
      </c>
      <c r="V31" s="259">
        <f>V29+0</f>
        <v/>
      </c>
      <c r="W31" s="259">
        <f>W29+0</f>
        <v/>
      </c>
      <c r="X31" s="259">
        <f>X29+0</f>
        <v/>
      </c>
      <c r="Y31" s="259">
        <f>Y29+0</f>
        <v/>
      </c>
      <c r="Z31" s="259">
        <f>Z29+0</f>
        <v/>
      </c>
      <c r="AA31" s="259">
        <f>AA29+0</f>
        <v/>
      </c>
      <c r="AB31" s="259">
        <f>AB29+0</f>
        <v/>
      </c>
      <c r="AC31" s="259">
        <f>AC29+0</f>
        <v/>
      </c>
      <c r="AD31" s="259">
        <f>AD29+0</f>
        <v/>
      </c>
      <c r="AE31" s="259">
        <f>AE29+0</f>
        <v/>
      </c>
      <c r="AF31" s="259">
        <f>AF29+0</f>
        <v/>
      </c>
      <c r="AG31" s="259">
        <f>AG29+0</f>
        <v/>
      </c>
      <c r="AH31" s="259">
        <f>AH29+0</f>
        <v/>
      </c>
      <c r="AI31" s="259">
        <f>AI29+0</f>
        <v/>
      </c>
      <c r="AJ31" s="259">
        <f>AJ29+0</f>
        <v/>
      </c>
      <c r="AK31" s="259">
        <f>AK29+0</f>
        <v/>
      </c>
      <c r="AL31" s="259">
        <f>AL29+0</f>
        <v/>
      </c>
      <c r="AM31" s="259">
        <f>AM29+0</f>
        <v/>
      </c>
      <c r="AN31" s="259">
        <f>AN29+0</f>
        <v/>
      </c>
      <c r="AO31" s="259">
        <f>AO29+0</f>
        <v/>
      </c>
      <c r="AP31" s="259">
        <f>AP29+0</f>
        <v/>
      </c>
      <c r="AQ31" s="259">
        <f>AQ29+0</f>
        <v/>
      </c>
      <c r="AR31" s="259">
        <f>AR29+0</f>
        <v/>
      </c>
      <c r="AS31" s="259">
        <f>AS29+0</f>
        <v/>
      </c>
      <c r="AT31" s="259">
        <f>AT29+0</f>
        <v/>
      </c>
      <c r="AU31" s="259">
        <f>AU29+0</f>
        <v/>
      </c>
      <c r="AV31" s="259">
        <f>AV29+0</f>
        <v/>
      </c>
      <c r="AW31" s="259">
        <f>AW29+0</f>
        <v/>
      </c>
    </row>
    <row r="32" ht="12" customHeight="1" s="244">
      <c r="A32" s="261" t="n">
        <v>25</v>
      </c>
      <c r="B32" s="482" t="inlineStr">
        <is>
          <t>ΔPs</t>
        </is>
      </c>
      <c r="C32" s="474" t="inlineStr">
        <is>
          <t>DÜZ BORU BASINÇ KAYBI (5)</t>
        </is>
      </c>
      <c r="D32" s="261" t="inlineStr">
        <is>
          <t>Kısım 9.4  , EK VI-14i</t>
        </is>
      </c>
      <c r="E32" s="259" t="inlineStr">
        <is>
          <t>Pa</t>
        </is>
      </c>
      <c r="F32" s="488" t="n">
        <v>3060</v>
      </c>
      <c r="G32" s="488" t="n">
        <v>3000</v>
      </c>
      <c r="H32" s="488" t="n">
        <v>3040</v>
      </c>
      <c r="I32" s="488" t="n">
        <v>3060</v>
      </c>
      <c r="J32" s="488" t="n">
        <v>2646</v>
      </c>
      <c r="K32" s="488" t="n">
        <v>3060</v>
      </c>
      <c r="L32" s="488" t="n">
        <v>3060</v>
      </c>
      <c r="M32" s="488" t="n">
        <v>858</v>
      </c>
      <c r="N32" s="488" t="n">
        <v>3080</v>
      </c>
      <c r="O32" s="488" t="n">
        <v>3800</v>
      </c>
      <c r="P32" s="488" t="n">
        <v>3800</v>
      </c>
      <c r="Q32" s="488" t="n">
        <v>2450</v>
      </c>
      <c r="R32" s="488" t="n">
        <v>2450</v>
      </c>
      <c r="S32" s="488" t="n">
        <v>2820</v>
      </c>
      <c r="T32" s="488" t="n">
        <v>2480</v>
      </c>
      <c r="U32" s="488" t="n">
        <v>2520</v>
      </c>
      <c r="V32" s="488" t="n">
        <v>2740</v>
      </c>
      <c r="W32" s="488" t="n">
        <v>2430</v>
      </c>
      <c r="X32" s="488" t="n">
        <v>2650</v>
      </c>
      <c r="Y32" s="488" t="n">
        <v>2840</v>
      </c>
      <c r="Z32" s="488" t="n">
        <v>2840</v>
      </c>
      <c r="AA32" s="488" t="n">
        <v>2800</v>
      </c>
      <c r="AB32" s="488" t="n">
        <v>3400</v>
      </c>
      <c r="AC32" s="488" t="n">
        <v>2800</v>
      </c>
      <c r="AD32" s="488" t="n">
        <v>2800</v>
      </c>
      <c r="AE32" s="488" t="n">
        <v>2950</v>
      </c>
      <c r="AF32" s="488" t="n">
        <v>2900</v>
      </c>
      <c r="AG32" s="488" t="n">
        <v>2450</v>
      </c>
      <c r="AH32" s="488" t="n">
        <v>3150</v>
      </c>
      <c r="AI32" s="488" t="n">
        <v>3400</v>
      </c>
      <c r="AJ32" s="488" t="n">
        <v>3800</v>
      </c>
      <c r="AK32" s="488" t="n">
        <v>2800</v>
      </c>
      <c r="AL32" s="488" t="n">
        <v>2800</v>
      </c>
      <c r="AM32" s="488" t="n">
        <v>2800</v>
      </c>
      <c r="AN32" s="488" t="n">
        <v>2800</v>
      </c>
      <c r="AO32" s="488" t="n">
        <v>3720</v>
      </c>
      <c r="AP32" s="488" t="n">
        <v>2450</v>
      </c>
      <c r="AQ32" s="488" t="n">
        <v>2450</v>
      </c>
      <c r="AR32" s="488" t="n">
        <v>2820</v>
      </c>
      <c r="AS32" s="488" t="n">
        <v>2480</v>
      </c>
      <c r="AT32" s="488" t="n">
        <v>2520</v>
      </c>
      <c r="AU32" s="488" t="n">
        <v>2740</v>
      </c>
      <c r="AV32" s="488" t="n">
        <v>2430</v>
      </c>
      <c r="AW32" s="488" t="n">
        <v>2650</v>
      </c>
    </row>
    <row r="33" ht="12" customHeight="1" s="244">
      <c r="A33" s="261" t="n">
        <v>26</v>
      </c>
      <c r="B33" s="482" t="inlineStr">
        <is>
          <t>Δpö</t>
        </is>
      </c>
      <c r="C33" s="474" t="inlineStr">
        <is>
          <t>ÖZEL BASINÇ KAYIPLARI (6)</t>
        </is>
      </c>
      <c r="D33" s="261" t="inlineStr">
        <is>
          <t>Kısım 9.4  , Denk. (8.7.22)</t>
        </is>
      </c>
      <c r="E33" s="259" t="inlineStr">
        <is>
          <t>Pa</t>
        </is>
      </c>
      <c r="F33" s="259">
        <f>F32*0.05</f>
        <v/>
      </c>
      <c r="G33" s="259">
        <f>G32*0.05</f>
        <v/>
      </c>
      <c r="H33" s="259">
        <f>H32*0.05</f>
        <v/>
      </c>
      <c r="I33" s="259">
        <f>I32*0.05</f>
        <v/>
      </c>
      <c r="J33" s="259">
        <f>J32*0.05</f>
        <v/>
      </c>
      <c r="K33" s="259">
        <f>K32*0.05</f>
        <v/>
      </c>
      <c r="L33" s="259">
        <f>L32*0.05</f>
        <v/>
      </c>
      <c r="M33" s="259">
        <f>M32*0.05</f>
        <v/>
      </c>
      <c r="N33" s="259">
        <f>N32*0.05</f>
        <v/>
      </c>
      <c r="O33" s="259">
        <f>O32*0.05</f>
        <v/>
      </c>
      <c r="P33" s="259">
        <f>P32*0.05</f>
        <v/>
      </c>
      <c r="Q33" s="259">
        <f>Q32*0.05</f>
        <v/>
      </c>
      <c r="R33" s="259">
        <f>R32*0.05</f>
        <v/>
      </c>
      <c r="S33" s="259">
        <f>S32*0.05</f>
        <v/>
      </c>
      <c r="T33" s="259">
        <f>T32*0.05</f>
        <v/>
      </c>
      <c r="U33" s="259">
        <f>U32*0.05</f>
        <v/>
      </c>
      <c r="V33" s="259">
        <f>V32*0.05</f>
        <v/>
      </c>
      <c r="W33" s="259">
        <f>W32*0.05</f>
        <v/>
      </c>
      <c r="X33" s="259">
        <f>X32*0.05</f>
        <v/>
      </c>
      <c r="Y33" s="259">
        <f>Y32*0.05</f>
        <v/>
      </c>
      <c r="Z33" s="259">
        <f>Z32*0.05</f>
        <v/>
      </c>
      <c r="AA33" s="259">
        <f>AA32*0.05</f>
        <v/>
      </c>
      <c r="AB33" s="259">
        <f>AB32*0.05</f>
        <v/>
      </c>
      <c r="AC33" s="259">
        <f>AC32*0.05</f>
        <v/>
      </c>
      <c r="AD33" s="259">
        <f>AD32*0.05</f>
        <v/>
      </c>
      <c r="AE33" s="481">
        <f>AE32*0.05</f>
        <v/>
      </c>
      <c r="AF33" s="259">
        <f>AF32*0.05</f>
        <v/>
      </c>
      <c r="AG33" s="259">
        <f>AG32*0.05</f>
        <v/>
      </c>
      <c r="AH33" s="259">
        <f>AH32*0.05</f>
        <v/>
      </c>
      <c r="AI33" s="259">
        <f>AI32*0.05</f>
        <v/>
      </c>
      <c r="AJ33" s="259">
        <f>AJ32*0.05</f>
        <v/>
      </c>
      <c r="AK33" s="259">
        <f>AK32*0.05</f>
        <v/>
      </c>
      <c r="AL33" s="259">
        <f>AL32*0.05</f>
        <v/>
      </c>
      <c r="AM33" s="259">
        <f>AM32*0.05</f>
        <v/>
      </c>
      <c r="AN33" s="259">
        <f>AN32*0.05</f>
        <v/>
      </c>
      <c r="AO33" s="259">
        <f>AO32*0.05</f>
        <v/>
      </c>
      <c r="AP33" s="259">
        <f>AP32*0.05</f>
        <v/>
      </c>
      <c r="AQ33" s="259">
        <f>AQ32*0.05</f>
        <v/>
      </c>
      <c r="AR33" s="259">
        <f>AR32*0.05</f>
        <v/>
      </c>
      <c r="AS33" s="259">
        <f>AS32*0.05</f>
        <v/>
      </c>
      <c r="AT33" s="259">
        <f>AT32*0.05</f>
        <v/>
      </c>
      <c r="AU33" s="259">
        <f>AU32*0.05</f>
        <v/>
      </c>
      <c r="AV33" s="259">
        <f>AV32*0.05</f>
        <v/>
      </c>
      <c r="AW33" s="259">
        <f>AW32*0.05</f>
        <v/>
      </c>
    </row>
    <row r="34" ht="12" customHeight="1" s="244">
      <c r="A34" s="261" t="n">
        <v>27</v>
      </c>
      <c r="B34" s="482" t="inlineStr">
        <is>
          <t>ΔP</t>
        </is>
      </c>
      <c r="C34" s="474" t="inlineStr">
        <is>
          <t>TOPLAM BASINÇ KAYBI</t>
        </is>
      </c>
      <c r="D34" s="261" t="inlineStr">
        <is>
          <t>ΔPs + Δpö</t>
        </is>
      </c>
      <c r="E34" s="259" t="inlineStr">
        <is>
          <t>Pa</t>
        </is>
      </c>
      <c r="F34" s="259">
        <f>F32+F33</f>
        <v/>
      </c>
      <c r="G34" s="259">
        <f>G32+G33</f>
        <v/>
      </c>
      <c r="H34" s="259">
        <f>H32+H33</f>
        <v/>
      </c>
      <c r="I34" s="259">
        <f>I32+I33</f>
        <v/>
      </c>
      <c r="J34" s="259">
        <f>J32+J33</f>
        <v/>
      </c>
      <c r="K34" s="259">
        <f>K32+K33</f>
        <v/>
      </c>
      <c r="L34" s="259">
        <f>L32+L33</f>
        <v/>
      </c>
      <c r="M34" s="259">
        <f>M32+M33</f>
        <v/>
      </c>
      <c r="N34" s="259">
        <f>N32+N33</f>
        <v/>
      </c>
      <c r="O34" s="259">
        <f>O32+O33</f>
        <v/>
      </c>
      <c r="P34" s="259">
        <f>P32+P33</f>
        <v/>
      </c>
      <c r="Q34" s="259">
        <f>Q32+Q33</f>
        <v/>
      </c>
      <c r="R34" s="259">
        <f>R32+R33</f>
        <v/>
      </c>
      <c r="S34" s="259">
        <f>S32+S33</f>
        <v/>
      </c>
      <c r="T34" s="259">
        <f>T32+T33</f>
        <v/>
      </c>
      <c r="U34" s="259">
        <f>U32+U33</f>
        <v/>
      </c>
      <c r="V34" s="259">
        <f>V32+V33</f>
        <v/>
      </c>
      <c r="W34" s="259">
        <f>W32+W33</f>
        <v/>
      </c>
      <c r="X34" s="259">
        <f>X32+X33</f>
        <v/>
      </c>
      <c r="Y34" s="259">
        <f>Y32+Y33</f>
        <v/>
      </c>
      <c r="Z34" s="259">
        <f>Z32+Z33</f>
        <v/>
      </c>
      <c r="AA34" s="259">
        <f>AA32+AA33</f>
        <v/>
      </c>
      <c r="AB34" s="259">
        <f>AB32+AB33</f>
        <v/>
      </c>
      <c r="AC34" s="259">
        <f>AC32+AC33</f>
        <v/>
      </c>
      <c r="AD34" s="259">
        <f>AD32+AD33</f>
        <v/>
      </c>
      <c r="AE34" s="259">
        <f>AE32+AE33</f>
        <v/>
      </c>
      <c r="AF34" s="259">
        <f>AF32+AF33</f>
        <v/>
      </c>
      <c r="AG34" s="481">
        <f>AG32+AG33</f>
        <v/>
      </c>
      <c r="AH34" s="259">
        <f>AH32+AH33</f>
        <v/>
      </c>
      <c r="AI34" s="259">
        <f>AI32+AI33</f>
        <v/>
      </c>
      <c r="AJ34" s="259">
        <f>AJ32+AJ33</f>
        <v/>
      </c>
      <c r="AK34" s="259">
        <f>AK32+AK33</f>
        <v/>
      </c>
      <c r="AL34" s="259">
        <f>AL32+AL33</f>
        <v/>
      </c>
      <c r="AM34" s="259">
        <f>AM32+AM33</f>
        <v/>
      </c>
      <c r="AN34" s="259">
        <f>AN32+AN33</f>
        <v/>
      </c>
      <c r="AO34" s="259">
        <f>AO32+AO33</f>
        <v/>
      </c>
      <c r="AP34" s="259">
        <f>AP32+AP33</f>
        <v/>
      </c>
      <c r="AQ34" s="259">
        <f>AQ32+AQ33</f>
        <v/>
      </c>
      <c r="AR34" s="259">
        <f>AR32+AR33</f>
        <v/>
      </c>
      <c r="AS34" s="259">
        <f>AS32+AS33</f>
        <v/>
      </c>
      <c r="AT34" s="259">
        <f>AT32+AT33</f>
        <v/>
      </c>
      <c r="AU34" s="259">
        <f>AU32+AU33</f>
        <v/>
      </c>
      <c r="AV34" s="259">
        <f>AV32+AV33</f>
        <v/>
      </c>
      <c r="AW34" s="259">
        <f>AW32+AW33</f>
        <v/>
      </c>
    </row>
    <row r="35" ht="12" customHeight="1" s="244">
      <c r="A35" s="261" t="n">
        <v>28</v>
      </c>
      <c r="B35" s="482" t="inlineStr">
        <is>
          <t>ΔPd</t>
        </is>
      </c>
      <c r="C35" s="282" t="inlineStr">
        <is>
          <t>DENGELENMESİ GEREKEN BASINÇ(7)</t>
        </is>
      </c>
      <c r="D35" s="261" t="inlineStr">
        <is>
          <t>Δpmax - ΔP</t>
        </is>
      </c>
      <c r="E35" s="259" t="inlineStr">
        <is>
          <t>Pa</t>
        </is>
      </c>
      <c r="F35" s="491">
        <f>9828-F34</f>
        <v/>
      </c>
      <c r="G35" s="491">
        <f>9828-G34</f>
        <v/>
      </c>
      <c r="H35" s="491">
        <f>9828-H34</f>
        <v/>
      </c>
      <c r="I35" s="491">
        <f>9828-I34</f>
        <v/>
      </c>
      <c r="J35" s="491">
        <f>9828-J34</f>
        <v/>
      </c>
      <c r="K35" s="491">
        <f>9828-K34</f>
        <v/>
      </c>
      <c r="L35" s="491">
        <f>9828-L34</f>
        <v/>
      </c>
      <c r="M35" s="491">
        <f>9828-M34</f>
        <v/>
      </c>
      <c r="N35" s="491">
        <f>9828-N34</f>
        <v/>
      </c>
      <c r="O35" s="491">
        <f>9828-O34</f>
        <v/>
      </c>
      <c r="P35" s="491">
        <f>9828-P34</f>
        <v/>
      </c>
      <c r="Q35" s="491">
        <f>9828-Q34</f>
        <v/>
      </c>
      <c r="R35" s="491">
        <f>9828-R34</f>
        <v/>
      </c>
      <c r="S35" s="491">
        <f>9828-S34</f>
        <v/>
      </c>
      <c r="T35" s="491">
        <f>9828-T34</f>
        <v/>
      </c>
      <c r="U35" s="491">
        <f>9828-U34</f>
        <v/>
      </c>
      <c r="V35" s="491">
        <f>9828-V34</f>
        <v/>
      </c>
      <c r="W35" s="491">
        <f>9828-W34</f>
        <v/>
      </c>
      <c r="X35" s="491">
        <f>9828-X34</f>
        <v/>
      </c>
      <c r="Y35" s="491">
        <f>9828-Y34</f>
        <v/>
      </c>
      <c r="Z35" s="491">
        <f>9828-Z34</f>
        <v/>
      </c>
      <c r="AA35" s="491">
        <f>9828-AA34</f>
        <v/>
      </c>
      <c r="AB35" s="491">
        <f>9828-AB34</f>
        <v/>
      </c>
      <c r="AC35" s="491">
        <f>9828-AC34</f>
        <v/>
      </c>
      <c r="AD35" s="491">
        <f>9828-AD34</f>
        <v/>
      </c>
      <c r="AE35" s="491">
        <f>9828-AE34</f>
        <v/>
      </c>
      <c r="AF35" s="491">
        <f>9828-AF34</f>
        <v/>
      </c>
      <c r="AG35" s="491">
        <f>9828-AG34</f>
        <v/>
      </c>
      <c r="AH35" s="491">
        <f>9828-AH34</f>
        <v/>
      </c>
      <c r="AI35" s="491">
        <f>9828-AI34</f>
        <v/>
      </c>
      <c r="AJ35" s="491">
        <f>9828-AJ34</f>
        <v/>
      </c>
      <c r="AK35" s="491">
        <f>9828-AK34</f>
        <v/>
      </c>
      <c r="AL35" s="491">
        <f>9828-AL34</f>
        <v/>
      </c>
      <c r="AM35" s="491">
        <f>9828-AM34</f>
        <v/>
      </c>
      <c r="AN35" s="491">
        <f>9828-AN34</f>
        <v/>
      </c>
      <c r="AO35" s="491">
        <f>9828-AO34</f>
        <v/>
      </c>
      <c r="AP35" s="491">
        <f>9828-AP34</f>
        <v/>
      </c>
      <c r="AQ35" s="491">
        <f>9828-AQ34</f>
        <v/>
      </c>
      <c r="AR35" s="491">
        <f>9828-AR34</f>
        <v/>
      </c>
      <c r="AS35" s="491">
        <f>9828-AS34</f>
        <v/>
      </c>
      <c r="AT35" s="491">
        <f>9828-AT34</f>
        <v/>
      </c>
      <c r="AU35" s="491">
        <f>9828-AU34</f>
        <v/>
      </c>
      <c r="AV35" s="491">
        <f>9828-AV34</f>
        <v/>
      </c>
      <c r="AW35" s="491">
        <f>9828-AW34</f>
        <v/>
      </c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92" t="inlineStr">
        <is>
          <t>Δpö</t>
        </is>
      </c>
      <c r="G39" s="492" t="inlineStr">
        <is>
          <t>EK VI-14i Tablosundan q değeri m³/h çevrilir DN10 borusu için</t>
        </is>
      </c>
      <c r="H39" s="492" t="n"/>
      <c r="I39" s="492" t="n"/>
    </row>
    <row r="40" ht="12.75" customHeight="1" s="244">
      <c r="A40" s="493" t="inlineStr">
        <is>
          <t xml:space="preserve"> (1)</t>
        </is>
      </c>
      <c r="B40" s="243" t="inlineStr">
        <is>
          <t>Şek. 19.7.1 den seçilmiştir.</t>
        </is>
      </c>
      <c r="F40" s="492" t="n"/>
      <c r="G40" s="492" t="inlineStr">
        <is>
          <t>R (Pa/m) 1metre borudaki basın. Kaybı bulunur..</t>
        </is>
      </c>
      <c r="H40" s="492" t="n"/>
      <c r="I40" s="492" t="n"/>
    </row>
    <row r="41" ht="12.75" customHeight="1" s="244">
      <c r="A41" s="493" t="inlineStr">
        <is>
          <t xml:space="preserve"> (2)</t>
        </is>
      </c>
      <c r="B41" s="243" t="inlineStr">
        <is>
          <t>Sıcak su girişi ( kazan çıkış suyu sıcaklığı ) 50 °C  olarak seçilmiştir.</t>
        </is>
      </c>
      <c r="F41" s="492" t="n"/>
      <c r="G41" s="492" t="inlineStr">
        <is>
          <t xml:space="preserve">toplam boru boyu ile çarpımından Δpö (Pa) bulunur.  </t>
        </is>
      </c>
      <c r="H41" s="492" t="n"/>
      <c r="I41" s="492" t="n"/>
    </row>
    <row r="42" ht="12.75" customHeight="1" s="244">
      <c r="A42" s="493" t="inlineStr">
        <is>
          <t xml:space="preserve"> (3)</t>
        </is>
      </c>
      <c r="B42" s="243" t="inlineStr">
        <is>
          <t>Şek. 19.7.1 den bulunmuştur..</t>
        </is>
      </c>
    </row>
    <row r="43" ht="12.75" customHeight="1" s="244">
      <c r="A43" s="493" t="inlineStr">
        <is>
          <t xml:space="preserve"> (4)</t>
        </is>
      </c>
      <c r="B43" s="243" t="inlineStr">
        <is>
          <t>Bu ısı , geçiş bağlantılarından hesaplanabildiği gibi maksimum 0,2 q" olarak alınmıştır.</t>
        </is>
      </c>
    </row>
    <row r="44" ht="12.75" customHeight="1" s="244">
      <c r="A44" s="493" t="inlineStr">
        <is>
          <t xml:space="preserve"> (5)</t>
        </is>
      </c>
      <c r="B44" s="243" t="inlineStr">
        <is>
          <t>R ( Pa/m) özgül basın. Kayıpları EK VI-14f ' de 15x1 çapındakiboru çapına göre alınmıştır.</t>
        </is>
      </c>
    </row>
    <row r="45" ht="12.75" customHeight="1" s="244">
      <c r="A45" s="493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93" t="inlineStr">
        <is>
          <t xml:space="preserve"> (7)</t>
        </is>
      </c>
      <c r="B46" s="243" t="inlineStr">
        <is>
          <t>Isıtma çevriminin basıncı , kollektördeki reglaj vanası ile ayarlanmalıdır…</t>
        </is>
      </c>
    </row>
    <row r="47" ht="12.75" customHeight="1" s="244">
      <c r="A47" s="494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cols>
    <col width="42" customWidth="1" style="244" min="1" max="1"/>
    <col width="12" customWidth="1" style="244" min="2" max="2"/>
    <col width="13" customWidth="1" style="244" min="3" max="3"/>
    <col width="12" customWidth="1" style="244" min="4" max="4"/>
    <col width="9" customWidth="1" style="244" min="5" max="5"/>
    <col width="12" customWidth="1" style="244" min="6" max="6"/>
    <col width="12" customWidth="1" style="244" min="7" max="7"/>
    <col width="10" customWidth="1" style="244" min="8" max="8"/>
    <col width="8" customWidth="1" style="244" min="9" max="9"/>
  </cols>
  <sheetData>
    <row r="1">
      <c r="A1" s="504" t="inlineStr">
        <is>
          <t>ROTAŞ MÜHENDİSLİK - VOYAP - MEKANİK TESİSAT HESAPLARI</t>
        </is>
      </c>
    </row>
    <row r="2">
      <c r="A2" s="505" t="inlineStr">
        <is>
          <t>ISI KAYBI HESABI - TS EN 12831 basitleştirilmiş (Td = -3.0 °C, Ti = 20 °C, ısıtılmayan ortak alan 10 °C, otopark 5 °C)</t>
        </is>
      </c>
    </row>
    <row r="3">
      <c r="A3" t="inlineStr">
        <is>
          <t>U değerleri (W/m²K, ısı köprüsü dahil): dış duvar 0.5, pencere 1.7, çatı 0.35, otopark üstü döşeme 0.5, iç duvar 1.2.  Yön zammı K +%5 / G -%5, işletme zammı %7.</t>
        </is>
      </c>
    </row>
    <row r="4">
      <c r="A4" s="506" t="inlineStr">
        <is>
          <t>OFİSLER: mahal bazlı ısı kaybı (TS 2164 / örnek şablon) ve yerden ısıtma devre hesabı ayrı dosyada: VOYAP_ISI_KAYBI_YERDEN_ISITMA.xlsx</t>
        </is>
      </c>
    </row>
    <row r="5">
      <c r="A5" s="506" t="inlineStr">
        <is>
          <t>ZEMİN KAT İŞYERİ 1</t>
        </is>
      </c>
      <c r="D5" t="inlineStr">
        <is>
          <t>Net alan 144.8 m², hacim 477.9 m³</t>
        </is>
      </c>
    </row>
    <row r="6">
      <c r="A6" s="507" t="inlineStr">
        <is>
          <t>Eleman</t>
        </is>
      </c>
      <c r="B6" s="507" t="inlineStr">
        <is>
          <t>Uzunluk (m)</t>
        </is>
      </c>
      <c r="C6" s="507" t="inlineStr">
        <is>
          <t>Alan / Hacim</t>
        </is>
      </c>
      <c r="D6" s="507" t="inlineStr">
        <is>
          <t>U / katsayı</t>
        </is>
      </c>
      <c r="E6" s="507" t="inlineStr">
        <is>
          <t>ΔT (K)</t>
        </is>
      </c>
      <c r="F6" s="507" t="inlineStr">
        <is>
          <t>Zam çarpanı</t>
        </is>
      </c>
      <c r="G6" s="507" t="inlineStr">
        <is>
          <t>Q (W)</t>
        </is>
      </c>
    </row>
    <row r="7">
      <c r="A7" s="508" t="inlineStr">
        <is>
          <t>İç duvar (ısıtılmayan hol/geçit)</t>
        </is>
      </c>
      <c r="B7" s="508" t="n">
        <v>4.281366604251498</v>
      </c>
      <c r="C7" s="508" t="n">
        <v>14.13</v>
      </c>
      <c r="D7" s="508" t="n">
        <v>1.2</v>
      </c>
      <c r="E7" s="508" t="n">
        <v>10</v>
      </c>
      <c r="F7" s="508" t="n">
        <v>1.067</v>
      </c>
      <c r="G7" s="508">
        <f>ROUND(C7*D7*E7*F7,0)</f>
        <v/>
      </c>
    </row>
    <row r="8">
      <c r="A8" s="508" t="inlineStr">
        <is>
          <t>Dış duvar (cephe K)</t>
        </is>
      </c>
      <c r="B8" s="508" t="n">
        <v>5.04</v>
      </c>
      <c r="C8" s="508" t="n">
        <v>4.99</v>
      </c>
      <c r="D8" s="508" t="n">
        <v>0.5</v>
      </c>
      <c r="E8" s="508" t="n">
        <v>23</v>
      </c>
      <c r="F8" s="508" t="n">
        <v>1.115</v>
      </c>
      <c r="G8" s="508">
        <f>ROUND(C8*D8*E8*F8,0)</f>
        <v/>
      </c>
    </row>
    <row r="9">
      <c r="A9" s="508" t="inlineStr">
        <is>
          <t>Vitrin / kapı (K)</t>
        </is>
      </c>
      <c r="B9" s="508" t="n">
        <v>5.04</v>
      </c>
      <c r="C9" s="508" t="n">
        <v>11.64</v>
      </c>
      <c r="D9" s="508" t="n">
        <v>1.6</v>
      </c>
      <c r="E9" s="508" t="n">
        <v>23</v>
      </c>
      <c r="F9" s="508" t="n">
        <v>1.121</v>
      </c>
      <c r="G9" s="508">
        <f>ROUND(C9*D9*E9*F9,0)</f>
        <v/>
      </c>
    </row>
    <row r="10">
      <c r="A10" s="508" t="inlineStr">
        <is>
          <t>Döşeme (kapalı otopark üstü)</t>
        </is>
      </c>
      <c r="B10" s="508" t="n"/>
      <c r="C10" s="508" t="n">
        <v>144.83</v>
      </c>
      <c r="D10" s="508" t="n">
        <v>0.5</v>
      </c>
      <c r="E10" s="508" t="n">
        <v>15</v>
      </c>
      <c r="F10" s="508" t="n">
        <v>1.07</v>
      </c>
      <c r="G10" s="508">
        <f>ROUND(C10*D10*E10*F10,0)</f>
        <v/>
      </c>
    </row>
    <row r="11">
      <c r="A11" s="508" t="inlineStr">
        <is>
          <t>Tavan (ışıklık altı, çatı)</t>
        </is>
      </c>
      <c r="B11" s="508" t="n"/>
      <c r="C11" s="508" t="n">
        <v>16.64</v>
      </c>
      <c r="D11" s="508" t="n">
        <v>0.35</v>
      </c>
      <c r="E11" s="508" t="n">
        <v>23</v>
      </c>
      <c r="F11" s="508" t="n">
        <v>1.068</v>
      </c>
      <c r="G11" s="508">
        <f>ROUND(C11*D11*E11*F11,0)</f>
        <v/>
      </c>
    </row>
    <row r="12">
      <c r="A12" s="508" t="inlineStr">
        <is>
          <t>Havalandırma/sızıntı n=1.5</t>
        </is>
      </c>
      <c r="B12" s="508" t="n"/>
      <c r="C12" s="508" t="n">
        <v>477.9</v>
      </c>
      <c r="D12" s="508" t="n">
        <v>0.51</v>
      </c>
      <c r="E12" s="508" t="n">
        <v>23</v>
      </c>
      <c r="F12" s="508" t="n">
        <v>1</v>
      </c>
      <c r="G12" s="508">
        <f>ROUND(C12*D12*E12*F12,0)</f>
        <v/>
      </c>
    </row>
    <row r="13">
      <c r="A13" s="508" t="inlineStr">
        <is>
          <t>Yeniden ısıtma payı (kesintili, 11 W/m²)</t>
        </is>
      </c>
      <c r="B13" s="508" t="n"/>
      <c r="C13" s="508" t="n">
        <v>144.83</v>
      </c>
      <c r="D13" s="508" t="n">
        <v>11</v>
      </c>
      <c r="E13" s="508" t="n">
        <v>1</v>
      </c>
      <c r="F13" s="508" t="n">
        <v>1</v>
      </c>
      <c r="G13" s="508">
        <f>ROUND(C13*D13*E13*F13,0)</f>
        <v/>
      </c>
    </row>
    <row r="14">
      <c r="F14" s="506" t="inlineStr">
        <is>
          <t>TOPLAM</t>
        </is>
      </c>
      <c r="G14" s="506">
        <f>SUM(G7:G13)</f>
        <v/>
      </c>
      <c r="H14">
        <f>G14/144.8</f>
        <v/>
      </c>
      <c r="I14" t="inlineStr">
        <is>
          <t>W/m²</t>
        </is>
      </c>
    </row>
    <row r="16">
      <c r="A16" s="506" t="inlineStr">
        <is>
          <t>ZEMİN KAT İŞYERİ 2</t>
        </is>
      </c>
      <c r="D16" t="inlineStr">
        <is>
          <t>Net alan 151.4 m², hacim 499.6 m³</t>
        </is>
      </c>
    </row>
    <row r="17">
      <c r="A17" s="507" t="inlineStr">
        <is>
          <t>Eleman</t>
        </is>
      </c>
      <c r="B17" s="507" t="inlineStr">
        <is>
          <t>Uzunluk (m)</t>
        </is>
      </c>
      <c r="C17" s="507" t="inlineStr">
        <is>
          <t>Alan / Hacim</t>
        </is>
      </c>
      <c r="D17" s="507" t="inlineStr">
        <is>
          <t>U / katsayı</t>
        </is>
      </c>
      <c r="E17" s="507" t="inlineStr">
        <is>
          <t>ΔT (K)</t>
        </is>
      </c>
      <c r="F17" s="507" t="inlineStr">
        <is>
          <t>Zam çarpanı</t>
        </is>
      </c>
      <c r="G17" s="507" t="inlineStr">
        <is>
          <t>Q (W)</t>
        </is>
      </c>
    </row>
    <row r="18">
      <c r="A18" s="508" t="inlineStr">
        <is>
          <t>İç duvar (ısıtılmayan hol/geçit)</t>
        </is>
      </c>
      <c r="B18" s="508" t="n">
        <v>5</v>
      </c>
      <c r="C18" s="508" t="n">
        <v>16.5</v>
      </c>
      <c r="D18" s="508" t="n">
        <v>1.2</v>
      </c>
      <c r="E18" s="508" t="n">
        <v>10</v>
      </c>
      <c r="F18" s="508" t="n">
        <v>1.071</v>
      </c>
      <c r="G18" s="508">
        <f>ROUND(C18*D18*E18*F18,0)</f>
        <v/>
      </c>
    </row>
    <row r="19">
      <c r="A19" s="508" t="inlineStr">
        <is>
          <t>Dış duvar (cephe K)</t>
        </is>
      </c>
      <c r="B19" s="508" t="n">
        <v>5.030039761274258</v>
      </c>
      <c r="C19" s="508" t="n">
        <v>4.98</v>
      </c>
      <c r="D19" s="508" t="n">
        <v>0.5</v>
      </c>
      <c r="E19" s="508" t="n">
        <v>23</v>
      </c>
      <c r="F19" s="508" t="n">
        <v>1.118</v>
      </c>
      <c r="G19" s="508">
        <f>ROUND(C19*D19*E19*F19,0)</f>
        <v/>
      </c>
    </row>
    <row r="20">
      <c r="A20" s="508" t="inlineStr">
        <is>
          <t>Vitrin / kapı (K)</t>
        </is>
      </c>
      <c r="B20" s="508" t="n">
        <v>5.030039761274258</v>
      </c>
      <c r="C20" s="508" t="n">
        <v>11.62</v>
      </c>
      <c r="D20" s="508" t="n">
        <v>1.6</v>
      </c>
      <c r="E20" s="508" t="n">
        <v>23</v>
      </c>
      <c r="F20" s="508" t="n">
        <v>1.12</v>
      </c>
      <c r="G20" s="508">
        <f>ROUND(C20*D20*E20*F20,0)</f>
        <v/>
      </c>
    </row>
    <row r="21">
      <c r="A21" s="508" t="inlineStr">
        <is>
          <t>Döşeme (kapalı otopark üstü)</t>
        </is>
      </c>
      <c r="B21" s="508" t="n"/>
      <c r="C21" s="508" t="n">
        <v>151.4</v>
      </c>
      <c r="D21" s="508" t="n">
        <v>0.5</v>
      </c>
      <c r="E21" s="508" t="n">
        <v>15</v>
      </c>
      <c r="F21" s="508" t="n">
        <v>1.07</v>
      </c>
      <c r="G21" s="508">
        <f>ROUND(C21*D21*E21*F21,0)</f>
        <v/>
      </c>
    </row>
    <row r="22">
      <c r="A22" s="508" t="inlineStr">
        <is>
          <t>Tavan (ışıklık altı, çatı)</t>
        </is>
      </c>
      <c r="B22" s="508" t="n"/>
      <c r="C22" s="508" t="n">
        <v>18.53</v>
      </c>
      <c r="D22" s="508" t="n">
        <v>0.35</v>
      </c>
      <c r="E22" s="508" t="n">
        <v>23</v>
      </c>
      <c r="F22" s="508" t="n">
        <v>1.073</v>
      </c>
      <c r="G22" s="508">
        <f>ROUND(C22*D22*E22*F22,0)</f>
        <v/>
      </c>
    </row>
    <row r="23">
      <c r="A23" s="508" t="inlineStr">
        <is>
          <t>Havalandırma/sızıntı n=1.5</t>
        </is>
      </c>
      <c r="B23" s="508" t="n"/>
      <c r="C23" s="508" t="n">
        <v>499.6</v>
      </c>
      <c r="D23" s="508" t="n">
        <v>0.51</v>
      </c>
      <c r="E23" s="508" t="n">
        <v>23</v>
      </c>
      <c r="F23" s="508" t="n">
        <v>1</v>
      </c>
      <c r="G23" s="508">
        <f>ROUND(C23*D23*E23*F23,0)</f>
        <v/>
      </c>
    </row>
    <row r="24">
      <c r="A24" s="508" t="inlineStr">
        <is>
          <t>Yeniden ısıtma payı (kesintili, 11 W/m²)</t>
        </is>
      </c>
      <c r="B24" s="508" t="n"/>
      <c r="C24" s="508" t="n">
        <v>151.4</v>
      </c>
      <c r="D24" s="508" t="n">
        <v>11</v>
      </c>
      <c r="E24" s="508" t="n">
        <v>1</v>
      </c>
      <c r="F24" s="508" t="n">
        <v>1</v>
      </c>
      <c r="G24" s="508">
        <f>ROUND(C24*D24*E24*F24,0)</f>
        <v/>
      </c>
    </row>
    <row r="25">
      <c r="F25" s="506" t="inlineStr">
        <is>
          <t>TOPLAM</t>
        </is>
      </c>
      <c r="G25" s="506">
        <f>SUM(G18:G24)</f>
        <v/>
      </c>
      <c r="H25">
        <f>G25/151.4</f>
        <v/>
      </c>
      <c r="I25" t="inlineStr">
        <is>
          <t>W/m²</t>
        </is>
      </c>
    </row>
    <row r="27">
      <c r="A27" s="506" t="inlineStr">
        <is>
          <t>ZEMİN KAT İŞYERİ 3</t>
        </is>
      </c>
      <c r="D27" t="inlineStr">
        <is>
          <t>Net alan 150.6 m², hacim 497.1 m³</t>
        </is>
      </c>
    </row>
    <row r="28">
      <c r="A28" s="507" t="inlineStr">
        <is>
          <t>Eleman</t>
        </is>
      </c>
      <c r="B28" s="507" t="inlineStr">
        <is>
          <t>Uzunluk (m)</t>
        </is>
      </c>
      <c r="C28" s="507" t="inlineStr">
        <is>
          <t>Alan / Hacim</t>
        </is>
      </c>
      <c r="D28" s="507" t="inlineStr">
        <is>
          <t>U / katsayı</t>
        </is>
      </c>
      <c r="E28" s="507" t="inlineStr">
        <is>
          <t>ΔT (K)</t>
        </is>
      </c>
      <c r="F28" s="507" t="inlineStr">
        <is>
          <t>Zam çarpanı</t>
        </is>
      </c>
      <c r="G28" s="507" t="inlineStr">
        <is>
          <t>Q (W)</t>
        </is>
      </c>
    </row>
    <row r="29">
      <c r="A29" s="508" t="inlineStr">
        <is>
          <t>İç duvar (ısıtılmayan hol/geçit)</t>
        </is>
      </c>
      <c r="B29" s="508" t="n">
        <v>12.62</v>
      </c>
      <c r="C29" s="508" t="n">
        <v>41.65</v>
      </c>
      <c r="D29" s="508" t="n">
        <v>1.2</v>
      </c>
      <c r="E29" s="508" t="n">
        <v>10</v>
      </c>
      <c r="F29" s="508" t="n">
        <v>1.07</v>
      </c>
      <c r="G29" s="508">
        <f>ROUND(C29*D29*E29*F29,0)</f>
        <v/>
      </c>
    </row>
    <row r="30">
      <c r="A30" s="508" t="inlineStr">
        <is>
          <t>İç duvar (ısıtılmayan hol/geçit)</t>
        </is>
      </c>
      <c r="B30" s="508" t="n">
        <v>1.5</v>
      </c>
      <c r="C30" s="508" t="n">
        <v>4.95</v>
      </c>
      <c r="D30" s="508" t="n">
        <v>1.2</v>
      </c>
      <c r="E30" s="508" t="n">
        <v>10</v>
      </c>
      <c r="F30" s="508" t="n">
        <v>1.077</v>
      </c>
      <c r="G30" s="508">
        <f>ROUND(C30*D30*E30*F30,0)</f>
        <v/>
      </c>
    </row>
    <row r="31">
      <c r="A31" s="508" t="inlineStr">
        <is>
          <t>İç duvar (ısıtılmayan hol/geçit)</t>
        </is>
      </c>
      <c r="B31" s="508" t="n">
        <v>9</v>
      </c>
      <c r="C31" s="508" t="n">
        <v>29.7</v>
      </c>
      <c r="D31" s="508" t="n">
        <v>1.2</v>
      </c>
      <c r="E31" s="508" t="n">
        <v>10</v>
      </c>
      <c r="F31" s="508" t="n">
        <v>1.069</v>
      </c>
      <c r="G31" s="508">
        <f>ROUND(C31*D31*E31*F31,0)</f>
        <v/>
      </c>
    </row>
    <row r="32">
      <c r="A32" s="508" t="inlineStr">
        <is>
          <t>İç duvar (ısıtılmayan hol/geçit)</t>
        </is>
      </c>
      <c r="B32" s="508" t="n">
        <v>1.69</v>
      </c>
      <c r="C32" s="508" t="n">
        <v>5.58</v>
      </c>
      <c r="D32" s="508" t="n">
        <v>1.2</v>
      </c>
      <c r="E32" s="508" t="n">
        <v>10</v>
      </c>
      <c r="F32" s="508" t="n">
        <v>1.075</v>
      </c>
      <c r="G32" s="508">
        <f>ROUND(C32*D32*E32*F32,0)</f>
        <v/>
      </c>
    </row>
    <row r="33">
      <c r="A33" s="508" t="inlineStr">
        <is>
          <t>İç duvar (ısıtılmayan hol/geçit)</t>
        </is>
      </c>
      <c r="B33" s="508" t="n">
        <v>10.19276704334991</v>
      </c>
      <c r="C33" s="508" t="n">
        <v>33.64</v>
      </c>
      <c r="D33" s="508" t="n">
        <v>1.2</v>
      </c>
      <c r="E33" s="508" t="n">
        <v>10</v>
      </c>
      <c r="F33" s="508" t="n">
        <v>1.07</v>
      </c>
      <c r="G33" s="508">
        <f>ROUND(C33*D33*E33*F33,0)</f>
        <v/>
      </c>
    </row>
    <row r="34">
      <c r="A34" s="508" t="inlineStr">
        <is>
          <t>İç duvar (ısıtılmayan hol/geçit)</t>
        </is>
      </c>
      <c r="B34" s="508" t="n">
        <v>4.02</v>
      </c>
      <c r="C34" s="508" t="n">
        <v>13.27</v>
      </c>
      <c r="D34" s="508" t="n">
        <v>1.2</v>
      </c>
      <c r="E34" s="508" t="n">
        <v>10</v>
      </c>
      <c r="F34" s="508" t="n">
        <v>1.068</v>
      </c>
      <c r="G34" s="508">
        <f>ROUND(C34*D34*E34*F34,0)</f>
        <v/>
      </c>
    </row>
    <row r="35">
      <c r="A35" s="508" t="inlineStr">
        <is>
          <t>Dış duvar (cephe K)</t>
        </is>
      </c>
      <c r="B35" s="508" t="n">
        <v>6</v>
      </c>
      <c r="C35" s="508" t="n">
        <v>5.94</v>
      </c>
      <c r="D35" s="508" t="n">
        <v>0.5</v>
      </c>
      <c r="E35" s="508" t="n">
        <v>23</v>
      </c>
      <c r="F35" s="508" t="n">
        <v>1.127</v>
      </c>
      <c r="G35" s="508">
        <f>ROUND(C35*D35*E35*F35,0)</f>
        <v/>
      </c>
    </row>
    <row r="36">
      <c r="A36" s="508" t="inlineStr">
        <is>
          <t>Vitrin / kapı (K)</t>
        </is>
      </c>
      <c r="B36" s="508" t="n">
        <v>6</v>
      </c>
      <c r="C36" s="508" t="n">
        <v>13.86</v>
      </c>
      <c r="D36" s="508" t="n">
        <v>1.6</v>
      </c>
      <c r="E36" s="508" t="n">
        <v>23</v>
      </c>
      <c r="F36" s="508" t="n">
        <v>1.12</v>
      </c>
      <c r="G36" s="508">
        <f>ROUND(C36*D36*E36*F36,0)</f>
        <v/>
      </c>
    </row>
    <row r="37">
      <c r="A37" s="508" t="inlineStr">
        <is>
          <t>Döşeme (kapalı otopark üstü)</t>
        </is>
      </c>
      <c r="B37" s="508" t="n"/>
      <c r="C37" s="508" t="n">
        <v>150.62</v>
      </c>
      <c r="D37" s="508" t="n">
        <v>0.5</v>
      </c>
      <c r="E37" s="508" t="n">
        <v>15</v>
      </c>
      <c r="F37" s="508" t="n">
        <v>1.07</v>
      </c>
      <c r="G37" s="508">
        <f>ROUND(C37*D37*E37*F37,0)</f>
        <v/>
      </c>
    </row>
    <row r="38">
      <c r="A38" s="508" t="inlineStr">
        <is>
          <t>Tavan (ışıklık altı, çatı)</t>
        </is>
      </c>
      <c r="B38" s="508" t="n"/>
      <c r="C38" s="508" t="n">
        <v>12.77</v>
      </c>
      <c r="D38" s="508" t="n">
        <v>0.35</v>
      </c>
      <c r="E38" s="508" t="n">
        <v>23</v>
      </c>
      <c r="F38" s="508" t="n">
        <v>1.07</v>
      </c>
      <c r="G38" s="508">
        <f>ROUND(C38*D38*E38*F38,0)</f>
        <v/>
      </c>
    </row>
    <row r="39">
      <c r="A39" s="508" t="inlineStr">
        <is>
          <t>Havalandırma/sızıntı n=1.5</t>
        </is>
      </c>
      <c r="B39" s="508" t="n"/>
      <c r="C39" s="508" t="n">
        <v>497.1</v>
      </c>
      <c r="D39" s="508" t="n">
        <v>0.51</v>
      </c>
      <c r="E39" s="508" t="n">
        <v>23</v>
      </c>
      <c r="F39" s="508" t="n">
        <v>1</v>
      </c>
      <c r="G39" s="508">
        <f>ROUND(C39*D39*E39*F39,0)</f>
        <v/>
      </c>
    </row>
    <row r="40">
      <c r="A40" s="508" t="inlineStr">
        <is>
          <t>Yeniden ısıtma payı (kesintili, 11 W/m²)</t>
        </is>
      </c>
      <c r="B40" s="508" t="n"/>
      <c r="C40" s="508" t="n">
        <v>150.62</v>
      </c>
      <c r="D40" s="508" t="n">
        <v>11</v>
      </c>
      <c r="E40" s="508" t="n">
        <v>1</v>
      </c>
      <c r="F40" s="508" t="n">
        <v>1</v>
      </c>
      <c r="G40" s="508">
        <f>ROUND(C40*D40*E40*F40,0)</f>
        <v/>
      </c>
    </row>
    <row r="41">
      <c r="F41" s="506" t="inlineStr">
        <is>
          <t>TOPLAM</t>
        </is>
      </c>
      <c r="G41" s="506">
        <f>SUM(G29:G40)</f>
        <v/>
      </c>
      <c r="H41">
        <f>G41/150.6</f>
        <v/>
      </c>
      <c r="I41" t="inlineStr">
        <is>
          <t>W/m²</t>
        </is>
      </c>
    </row>
    <row r="43">
      <c r="A43" s="506" t="inlineStr">
        <is>
          <t>ZEMİN KAT İŞYERİ 4</t>
        </is>
      </c>
      <c r="D43" t="inlineStr">
        <is>
          <t>Net alan 190.8 m², hacim 629.5 m³</t>
        </is>
      </c>
    </row>
    <row r="44">
      <c r="A44" s="507" t="inlineStr">
        <is>
          <t>Eleman</t>
        </is>
      </c>
      <c r="B44" s="507" t="inlineStr">
        <is>
          <t>Uzunluk (m)</t>
        </is>
      </c>
      <c r="C44" s="507" t="inlineStr">
        <is>
          <t>Alan / Hacim</t>
        </is>
      </c>
      <c r="D44" s="507" t="inlineStr">
        <is>
          <t>U / katsayı</t>
        </is>
      </c>
      <c r="E44" s="507" t="inlineStr">
        <is>
          <t>ΔT (K)</t>
        </is>
      </c>
      <c r="F44" s="507" t="inlineStr">
        <is>
          <t>Zam çarpanı</t>
        </is>
      </c>
      <c r="G44" s="507" t="inlineStr">
        <is>
          <t>Q (W)</t>
        </is>
      </c>
    </row>
    <row r="45">
      <c r="A45" s="508" t="inlineStr">
        <is>
          <t>İç duvar (ısıtılmayan hol/geçit)</t>
        </is>
      </c>
      <c r="B45" s="508" t="n">
        <v>3.781124171460123</v>
      </c>
      <c r="C45" s="508" t="n">
        <v>12.48</v>
      </c>
      <c r="D45" s="508" t="n">
        <v>1.2</v>
      </c>
      <c r="E45" s="508" t="n">
        <v>10</v>
      </c>
      <c r="F45" s="508" t="n">
        <v>1.068</v>
      </c>
      <c r="G45" s="508">
        <f>ROUND(C45*D45*E45*F45,0)</f>
        <v/>
      </c>
    </row>
    <row r="46">
      <c r="A46" s="508" t="inlineStr">
        <is>
          <t>İç duvar (ısıtılmayan hol/geçit)</t>
        </is>
      </c>
      <c r="B46" s="508" t="n">
        <v>11.35776826669747</v>
      </c>
      <c r="C46" s="508" t="n">
        <v>37.48</v>
      </c>
      <c r="D46" s="508" t="n">
        <v>1.2</v>
      </c>
      <c r="E46" s="508" t="n">
        <v>10</v>
      </c>
      <c r="F46" s="508" t="n">
        <v>1.069</v>
      </c>
      <c r="G46" s="508">
        <f>ROUND(C46*D46*E46*F46,0)</f>
        <v/>
      </c>
    </row>
    <row r="47">
      <c r="A47" s="508" t="inlineStr">
        <is>
          <t>Dış duvar (cephe G)</t>
        </is>
      </c>
      <c r="B47" s="508" t="n">
        <v>5.259781364277416</v>
      </c>
      <c r="C47" s="508" t="n">
        <v>5.21</v>
      </c>
      <c r="D47" s="508" t="n">
        <v>0.5</v>
      </c>
      <c r="E47" s="508" t="n">
        <v>23</v>
      </c>
      <c r="F47" s="508" t="n">
        <v>1.018</v>
      </c>
      <c r="G47" s="508">
        <f>ROUND(C47*D47*E47*F47,0)</f>
        <v/>
      </c>
    </row>
    <row r="48">
      <c r="A48" s="508" t="inlineStr">
        <is>
          <t>Vitrin / kapı (G)</t>
        </is>
      </c>
      <c r="B48" s="508" t="n">
        <v>5.259781364277416</v>
      </c>
      <c r="C48" s="508" t="n">
        <v>12.15</v>
      </c>
      <c r="D48" s="508" t="n">
        <v>1.6</v>
      </c>
      <c r="E48" s="508" t="n">
        <v>23</v>
      </c>
      <c r="F48" s="508" t="n">
        <v>1.02</v>
      </c>
      <c r="G48" s="508">
        <f>ROUND(C48*D48*E48*F48,0)</f>
        <v/>
      </c>
    </row>
    <row r="49">
      <c r="A49" s="508" t="inlineStr">
        <is>
          <t>İç duvar (ısıtılmayan hol/geçit)</t>
        </is>
      </c>
      <c r="B49" s="508" t="n">
        <v>7.57</v>
      </c>
      <c r="C49" s="508" t="n">
        <v>24.98</v>
      </c>
      <c r="D49" s="508" t="n">
        <v>1.2</v>
      </c>
      <c r="E49" s="508" t="n">
        <v>10</v>
      </c>
      <c r="F49" s="508" t="n">
        <v>1.071</v>
      </c>
      <c r="G49" s="508">
        <f>ROUND(C49*D49*E49*F49,0)</f>
        <v/>
      </c>
    </row>
    <row r="50">
      <c r="A50" s="508" t="inlineStr">
        <is>
          <t>Döşeme (kapalı otopark üstü)</t>
        </is>
      </c>
      <c r="B50" s="508" t="n"/>
      <c r="C50" s="508" t="n">
        <v>190.76</v>
      </c>
      <c r="D50" s="508" t="n">
        <v>0.5</v>
      </c>
      <c r="E50" s="508" t="n">
        <v>15</v>
      </c>
      <c r="F50" s="508" t="n">
        <v>1.07</v>
      </c>
      <c r="G50" s="508">
        <f>ROUND(C50*D50*E50*F50,0)</f>
        <v/>
      </c>
    </row>
    <row r="51">
      <c r="A51" s="508" t="inlineStr">
        <is>
          <t>Tavan (ışıklık altı, çatı)</t>
        </is>
      </c>
      <c r="B51" s="508" t="n"/>
      <c r="C51" s="508" t="n">
        <v>5.61</v>
      </c>
      <c r="D51" s="508" t="n">
        <v>0.35</v>
      </c>
      <c r="E51" s="508" t="n">
        <v>23</v>
      </c>
      <c r="F51" s="508" t="n">
        <v>1.063</v>
      </c>
      <c r="G51" s="508">
        <f>ROUND(C51*D51*E51*F51,0)</f>
        <v/>
      </c>
    </row>
    <row r="52">
      <c r="A52" s="508" t="inlineStr">
        <is>
          <t>Havalandırma/sızıntı n=1.5</t>
        </is>
      </c>
      <c r="B52" s="508" t="n"/>
      <c r="C52" s="508" t="n">
        <v>629.5</v>
      </c>
      <c r="D52" s="508" t="n">
        <v>0.51</v>
      </c>
      <c r="E52" s="508" t="n">
        <v>23</v>
      </c>
      <c r="F52" s="508" t="n">
        <v>1</v>
      </c>
      <c r="G52" s="508">
        <f>ROUND(C52*D52*E52*F52,0)</f>
        <v/>
      </c>
    </row>
    <row r="53">
      <c r="A53" s="508" t="inlineStr">
        <is>
          <t>Yeniden ısıtma payı (kesintili, 11 W/m²)</t>
        </is>
      </c>
      <c r="B53" s="508" t="n"/>
      <c r="C53" s="508" t="n">
        <v>190.76</v>
      </c>
      <c r="D53" s="508" t="n">
        <v>11</v>
      </c>
      <c r="E53" s="508" t="n">
        <v>1</v>
      </c>
      <c r="F53" s="508" t="n">
        <v>1</v>
      </c>
      <c r="G53" s="508">
        <f>ROUND(C53*D53*E53*F53,0)</f>
        <v/>
      </c>
    </row>
    <row r="54">
      <c r="F54" s="506" t="inlineStr">
        <is>
          <t>TOPLAM</t>
        </is>
      </c>
      <c r="G54" s="506">
        <f>SUM(G45:G53)</f>
        <v/>
      </c>
      <c r="H54">
        <f>G54/190.8</f>
        <v/>
      </c>
      <c r="I54" t="inlineStr">
        <is>
          <t>W/m²</t>
        </is>
      </c>
    </row>
    <row r="56">
      <c r="A56" s="506" t="inlineStr">
        <is>
          <t>ZEMİN KAT İŞYERİ 5</t>
        </is>
      </c>
      <c r="D56" t="inlineStr">
        <is>
          <t>Net alan 188.7 m², hacim 622.7 m³</t>
        </is>
      </c>
    </row>
    <row r="57">
      <c r="A57" s="507" t="inlineStr">
        <is>
          <t>Eleman</t>
        </is>
      </c>
      <c r="B57" s="507" t="inlineStr">
        <is>
          <t>Uzunluk (m)</t>
        </is>
      </c>
      <c r="C57" s="507" t="inlineStr">
        <is>
          <t>Alan / Hacim</t>
        </is>
      </c>
      <c r="D57" s="507" t="inlineStr">
        <is>
          <t>U / katsayı</t>
        </is>
      </c>
      <c r="E57" s="507" t="inlineStr">
        <is>
          <t>ΔT (K)</t>
        </is>
      </c>
      <c r="F57" s="507" t="inlineStr">
        <is>
          <t>Zam çarpanı</t>
        </is>
      </c>
      <c r="G57" s="507" t="inlineStr">
        <is>
          <t>Q (W)</t>
        </is>
      </c>
    </row>
    <row r="58">
      <c r="A58" s="508" t="inlineStr">
        <is>
          <t>Dış duvar (cephe G)</t>
        </is>
      </c>
      <c r="B58" s="508" t="n">
        <v>5.269326332653919</v>
      </c>
      <c r="C58" s="508" t="n">
        <v>5.22</v>
      </c>
      <c r="D58" s="508" t="n">
        <v>0.5</v>
      </c>
      <c r="E58" s="508" t="n">
        <v>23</v>
      </c>
      <c r="F58" s="508" t="n">
        <v>1.016</v>
      </c>
      <c r="G58" s="508">
        <f>ROUND(C58*D58*E58*F58,0)</f>
        <v/>
      </c>
    </row>
    <row r="59">
      <c r="A59" s="508" t="inlineStr">
        <is>
          <t>Vitrin / kapı (G)</t>
        </is>
      </c>
      <c r="B59" s="508" t="n">
        <v>5.269326332653919</v>
      </c>
      <c r="C59" s="508" t="n">
        <v>12.17</v>
      </c>
      <c r="D59" s="508" t="n">
        <v>1.6</v>
      </c>
      <c r="E59" s="508" t="n">
        <v>23</v>
      </c>
      <c r="F59" s="508" t="n">
        <v>1.02</v>
      </c>
      <c r="G59" s="508">
        <f>ROUND(C59*D59*E59*F59,0)</f>
        <v/>
      </c>
    </row>
    <row r="60">
      <c r="A60" s="508" t="inlineStr">
        <is>
          <t>İç duvar (ısıtılmayan hol/geçit)</t>
        </is>
      </c>
      <c r="B60" s="508" t="n">
        <v>7.2</v>
      </c>
      <c r="C60" s="508" t="n">
        <v>23.76</v>
      </c>
      <c r="D60" s="508" t="n">
        <v>1.2</v>
      </c>
      <c r="E60" s="508" t="n">
        <v>10</v>
      </c>
      <c r="F60" s="508" t="n">
        <v>1.07</v>
      </c>
      <c r="G60" s="508">
        <f>ROUND(C60*D60*E60*F60,0)</f>
        <v/>
      </c>
    </row>
    <row r="61">
      <c r="A61" s="508" t="inlineStr">
        <is>
          <t>Döşeme (kapalı otopark üstü)</t>
        </is>
      </c>
      <c r="B61" s="508" t="n"/>
      <c r="C61" s="508" t="n">
        <v>188.68</v>
      </c>
      <c r="D61" s="508" t="n">
        <v>0.5</v>
      </c>
      <c r="E61" s="508" t="n">
        <v>15</v>
      </c>
      <c r="F61" s="508" t="n">
        <v>1.07</v>
      </c>
      <c r="G61" s="508">
        <f>ROUND(C61*D61*E61*F61,0)</f>
        <v/>
      </c>
    </row>
    <row r="62">
      <c r="A62" s="508" t="inlineStr">
        <is>
          <t>Tavan (ışıklık altı, çatı)</t>
        </is>
      </c>
      <c r="B62" s="508" t="n"/>
      <c r="C62" s="508" t="n">
        <v>21.72</v>
      </c>
      <c r="D62" s="508" t="n">
        <v>0.35</v>
      </c>
      <c r="E62" s="508" t="n">
        <v>23</v>
      </c>
      <c r="F62" s="508" t="n">
        <v>1.07</v>
      </c>
      <c r="G62" s="508">
        <f>ROUND(C62*D62*E62*F62,0)</f>
        <v/>
      </c>
    </row>
    <row r="63">
      <c r="A63" s="508" t="inlineStr">
        <is>
          <t>Havalandırma/sızıntı n=1.5</t>
        </is>
      </c>
      <c r="B63" s="508" t="n"/>
      <c r="C63" s="508" t="n">
        <v>622.7</v>
      </c>
      <c r="D63" s="508" t="n">
        <v>0.51</v>
      </c>
      <c r="E63" s="508" t="n">
        <v>23</v>
      </c>
      <c r="F63" s="508" t="n">
        <v>1</v>
      </c>
      <c r="G63" s="508">
        <f>ROUND(C63*D63*E63*F63,0)</f>
        <v/>
      </c>
    </row>
    <row r="64">
      <c r="A64" s="508" t="inlineStr">
        <is>
          <t>Yeniden ısıtma payı (kesintili, 11 W/m²)</t>
        </is>
      </c>
      <c r="B64" s="508" t="n"/>
      <c r="C64" s="508" t="n">
        <v>188.68</v>
      </c>
      <c r="D64" s="508" t="n">
        <v>11</v>
      </c>
      <c r="E64" s="508" t="n">
        <v>1</v>
      </c>
      <c r="F64" s="508" t="n">
        <v>1</v>
      </c>
      <c r="G64" s="508">
        <f>ROUND(C64*D64*E64*F64,0)</f>
        <v/>
      </c>
    </row>
    <row r="65">
      <c r="F65" s="506" t="inlineStr">
        <is>
          <t>TOPLAM</t>
        </is>
      </c>
      <c r="G65" s="506">
        <f>SUM(G58:G64)</f>
        <v/>
      </c>
      <c r="H65">
        <f>G65/188.7</f>
        <v/>
      </c>
      <c r="I65" t="inlineStr">
        <is>
          <t>W/m²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30" customWidth="1" style="244" min="1" max="1"/>
    <col width="9" customWidth="1" style="244" min="2" max="2"/>
    <col width="9" customWidth="1" style="244" min="3" max="3"/>
    <col width="8" customWidth="1" style="244" min="4" max="4"/>
    <col width="52" customWidth="1" style="244" min="5" max="5"/>
    <col width="36" customWidth="1" style="244" min="6" max="6"/>
    <col width="9" customWidth="1" style="244" min="7" max="7"/>
  </cols>
  <sheetData>
    <row r="1">
      <c r="A1" s="504" t="inlineStr">
        <is>
          <t>ROTAŞ MÜHENDİSLİK - VOYAP - MEKANİK TESİSAT HESAPLARI</t>
        </is>
      </c>
    </row>
    <row r="2">
      <c r="A2" s="505" t="inlineStr">
        <is>
          <t>ISITMA SİSTEMİ: KAZAN, DEVRELER, POMPALAR, GENLEŞME, BACA, YERDEN ISITMA / RADYATÖR</t>
        </is>
      </c>
    </row>
    <row r="4">
      <c r="A4" s="507" t="inlineStr">
        <is>
          <t>Bağımsız bölüm</t>
        </is>
      </c>
      <c r="B4" s="507" t="inlineStr">
        <is>
          <t>Alan m²</t>
        </is>
      </c>
      <c r="C4" s="507" t="inlineStr">
        <is>
          <t>Q (W)</t>
        </is>
      </c>
      <c r="D4" s="507" t="inlineStr">
        <is>
          <t>W/m²</t>
        </is>
      </c>
      <c r="E4" s="507" t="inlineStr">
        <is>
          <t>Isıtıcı</t>
        </is>
      </c>
      <c r="F4" s="507" t="inlineStr">
        <is>
          <t>Isı sayacı</t>
        </is>
      </c>
      <c r="G4" s="507" t="inlineStr">
        <is>
          <t>Kontrol</t>
        </is>
      </c>
    </row>
    <row r="5">
      <c r="A5" s="508" t="inlineStr">
        <is>
          <t>1. KAT OFİS A1</t>
        </is>
      </c>
      <c r="B5" s="508" t="n">
        <v>65.09999999999999</v>
      </c>
      <c r="C5" s="508" t="n">
        <v>764</v>
      </c>
      <c r="D5" s="508" t="n">
        <v>11.7</v>
      </c>
      <c r="E5" s="508" t="inlineStr">
        <is>
          <t>Yerden ısıtma 45/35 °C, PEX 16x2,0 / 10-15 cm (mahal bazlı devreler)</t>
        </is>
      </c>
      <c r="F5" s="508" t="inlineStr">
        <is>
          <t>Ultrasonik kalorimetre DN15, qp 0,6 m³/h</t>
        </is>
      </c>
      <c r="G5" s="508" t="inlineStr">
        <is>
          <t>UYGUN</t>
        </is>
      </c>
    </row>
    <row r="6">
      <c r="A6" s="508" t="inlineStr">
        <is>
          <t>1. KAT OFİS A2</t>
        </is>
      </c>
      <c r="B6" s="508" t="n">
        <v>65.09999999999999</v>
      </c>
      <c r="C6" s="508" t="n">
        <v>601</v>
      </c>
      <c r="D6" s="508" t="n">
        <v>9.199999999999999</v>
      </c>
      <c r="E6" s="508" t="inlineStr">
        <is>
          <t>Yerden ısıtma 45/35 °C, PEX 16x2,0 / 10-15 cm (mahal bazlı devreler)</t>
        </is>
      </c>
      <c r="F6" s="508" t="inlineStr">
        <is>
          <t>Ultrasonik kalorimetre DN15, qp 0,6 m³/h</t>
        </is>
      </c>
      <c r="G6" s="508" t="inlineStr">
        <is>
          <t>UYGUN</t>
        </is>
      </c>
    </row>
    <row r="7">
      <c r="A7" s="508" t="inlineStr">
        <is>
          <t>1. KAT OFİS A3</t>
        </is>
      </c>
      <c r="B7" s="508" t="n">
        <v>66.09999999999999</v>
      </c>
      <c r="C7" s="508" t="n">
        <v>671</v>
      </c>
      <c r="D7" s="508" t="n">
        <v>10.2</v>
      </c>
      <c r="E7" s="508" t="inlineStr">
        <is>
          <t>Yerden ısıtma 45/35 °C, PEX 16x2,0 / 10-15 cm (mahal bazlı devreler)</t>
        </is>
      </c>
      <c r="F7" s="508" t="inlineStr">
        <is>
          <t>Ultrasonik kalorimetre DN15, qp 0,6 m³/h</t>
        </is>
      </c>
      <c r="G7" s="508" t="inlineStr">
        <is>
          <t>UYGUN</t>
        </is>
      </c>
    </row>
    <row r="8">
      <c r="A8" s="508" t="inlineStr">
        <is>
          <t>1. KAT OFİS B1</t>
        </is>
      </c>
      <c r="B8" s="508" t="n">
        <v>36.6</v>
      </c>
      <c r="C8" s="508" t="n">
        <v>615</v>
      </c>
      <c r="D8" s="508" t="n">
        <v>16.8</v>
      </c>
      <c r="E8" s="508" t="inlineStr">
        <is>
          <t>Yerden ısıtma 45/35 °C, PEX 16x2,0 / 10-15 cm (mahal bazlı devreler)</t>
        </is>
      </c>
      <c r="F8" s="508" t="inlineStr">
        <is>
          <t>Ultrasonik kalorimetre DN15, qp 0,6 m³/h</t>
        </is>
      </c>
      <c r="G8" s="508" t="inlineStr">
        <is>
          <t>UYGUN</t>
        </is>
      </c>
    </row>
    <row r="9">
      <c r="A9" s="508" t="inlineStr">
        <is>
          <t>1. KAT OFİS B2</t>
        </is>
      </c>
      <c r="B9" s="508" t="n">
        <v>36.6</v>
      </c>
      <c r="C9" s="508" t="n">
        <v>540</v>
      </c>
      <c r="D9" s="508" t="n">
        <v>14.8</v>
      </c>
      <c r="E9" s="508" t="inlineStr">
        <is>
          <t>Yerden ısıtma 45/35 °C, PEX 16x2,0 / 10-15 cm (mahal bazlı devreler)</t>
        </is>
      </c>
      <c r="F9" s="508" t="inlineStr">
        <is>
          <t>Ultrasonik kalorimetre DN15, qp 0,6 m³/h</t>
        </is>
      </c>
      <c r="G9" s="508" t="inlineStr">
        <is>
          <t>UYGUN</t>
        </is>
      </c>
    </row>
    <row r="10">
      <c r="A10" s="508" t="inlineStr">
        <is>
          <t>1. KAT OFİS B3</t>
        </is>
      </c>
      <c r="B10" s="508" t="n">
        <v>37.1</v>
      </c>
      <c r="C10" s="508" t="n">
        <v>570</v>
      </c>
      <c r="D10" s="508" t="n">
        <v>15.4</v>
      </c>
      <c r="E10" s="508" t="inlineStr">
        <is>
          <t>Yerden ısıtma 45/35 °C, PEX 16x2,0 / 10-15 cm (mahal bazlı devreler)</t>
        </is>
      </c>
      <c r="F10" s="508" t="inlineStr">
        <is>
          <t>Ultrasonik kalorimetre DN15, qp 0,6 m³/h</t>
        </is>
      </c>
      <c r="G10" s="508" t="inlineStr">
        <is>
          <t>UYGUN</t>
        </is>
      </c>
    </row>
    <row r="11">
      <c r="A11" s="508" t="inlineStr">
        <is>
          <t>1. KAT OFİS C1</t>
        </is>
      </c>
      <c r="B11" s="508" t="n">
        <v>37.5</v>
      </c>
      <c r="C11" s="508" t="n">
        <v>485</v>
      </c>
      <c r="D11" s="508" t="n">
        <v>12.9</v>
      </c>
      <c r="E11" s="508" t="inlineStr">
        <is>
          <t>Yerden ısıtma 45/35 °C, PEX 16x2,0 / 10-15 cm (mahal bazlı devreler)</t>
        </is>
      </c>
      <c r="F11" s="508" t="inlineStr">
        <is>
          <t>Ultrasonik kalorimetre DN15, qp 0,6 m³/h</t>
        </is>
      </c>
      <c r="G11" s="508" t="inlineStr">
        <is>
          <t>UYGUN</t>
        </is>
      </c>
    </row>
    <row r="12">
      <c r="A12" s="508" t="inlineStr">
        <is>
          <t>1. KAT OFİS C2</t>
        </is>
      </c>
      <c r="B12" s="508" t="n">
        <v>40.8</v>
      </c>
      <c r="C12" s="508" t="n">
        <v>504</v>
      </c>
      <c r="D12" s="508" t="n">
        <v>12.4</v>
      </c>
      <c r="E12" s="508" t="inlineStr">
        <is>
          <t>Yerden ısıtma 45/35 °C, PEX 16x2,0 / 10-15 cm (mahal bazlı devreler)</t>
        </is>
      </c>
      <c r="F12" s="508" t="inlineStr">
        <is>
          <t>Ultrasonik kalorimetre DN15, qp 0,6 m³/h</t>
        </is>
      </c>
      <c r="G12" s="508" t="inlineStr">
        <is>
          <t>UYGUN</t>
        </is>
      </c>
    </row>
    <row r="13">
      <c r="A13" s="508" t="inlineStr">
        <is>
          <t>1. KAT OFİS C3</t>
        </is>
      </c>
      <c r="B13" s="508" t="n">
        <v>37</v>
      </c>
      <c r="C13" s="508" t="n">
        <v>514</v>
      </c>
      <c r="D13" s="508" t="n">
        <v>13.9</v>
      </c>
      <c r="E13" s="508" t="inlineStr">
        <is>
          <t>Yerden ısıtma 45/35 °C, PEX 16x2,0 / 10-15 cm (mahal bazlı devreler)</t>
        </is>
      </c>
      <c r="F13" s="508" t="inlineStr">
        <is>
          <t>Ultrasonik kalorimetre DN15, qp 0,6 m³/h</t>
        </is>
      </c>
      <c r="G13" s="508" t="inlineStr">
        <is>
          <t>UYGUN</t>
        </is>
      </c>
    </row>
    <row r="14">
      <c r="A14" s="508" t="inlineStr">
        <is>
          <t>1. KAT OFİS D1</t>
        </is>
      </c>
      <c r="B14" s="508" t="n">
        <v>51.1</v>
      </c>
      <c r="C14" s="508" t="n">
        <v>172</v>
      </c>
      <c r="D14" s="508" t="n">
        <v>3.4</v>
      </c>
      <c r="E14" s="508" t="inlineStr">
        <is>
          <t>Yerden ısıtma 45/35 °C, PEX 16x2,0 / 10-15 cm (mahal bazlı devreler)</t>
        </is>
      </c>
      <c r="F14" s="508" t="inlineStr">
        <is>
          <t>Ultrasonik kalorimetre DN15, qp 0,6 m³/h</t>
        </is>
      </c>
      <c r="G14" s="508" t="inlineStr">
        <is>
          <t>UYGUN</t>
        </is>
      </c>
    </row>
    <row r="15">
      <c r="A15" s="508" t="inlineStr">
        <is>
          <t>1. KAT OFİS D2</t>
        </is>
      </c>
      <c r="B15" s="508" t="n">
        <v>37.4</v>
      </c>
      <c r="C15" s="508" t="n">
        <v>461</v>
      </c>
      <c r="D15" s="508" t="n">
        <v>12.3</v>
      </c>
      <c r="E15" s="508" t="inlineStr">
        <is>
          <t>Yerden ısıtma 45/35 °C, PEX 16x2,0 / 10-15 cm (mahal bazlı devreler)</t>
        </is>
      </c>
      <c r="F15" s="508" t="inlineStr">
        <is>
          <t>Ultrasonik kalorimetre DN15, qp 0,6 m³/h</t>
        </is>
      </c>
      <c r="G15" s="508" t="inlineStr">
        <is>
          <t>UYGUN</t>
        </is>
      </c>
    </row>
    <row r="16">
      <c r="A16" s="508" t="inlineStr">
        <is>
          <t>1. KAT OFİS D3</t>
        </is>
      </c>
      <c r="B16" s="508" t="n">
        <v>39.7</v>
      </c>
      <c r="C16" s="508" t="n">
        <v>484</v>
      </c>
      <c r="D16" s="508" t="n">
        <v>12.2</v>
      </c>
      <c r="E16" s="508" t="inlineStr">
        <is>
          <t>Yerden ısıtma 45/35 °C, PEX 16x2,0 / 10-15 cm (mahal bazlı devreler)</t>
        </is>
      </c>
      <c r="F16" s="508" t="inlineStr">
        <is>
          <t>Ultrasonik kalorimetre DN15, qp 0,6 m³/h</t>
        </is>
      </c>
      <c r="G16" s="508" t="inlineStr">
        <is>
          <t>UYGUN</t>
        </is>
      </c>
    </row>
    <row r="17">
      <c r="A17" s="508" t="inlineStr">
        <is>
          <t>1. KAT OFİS E1</t>
        </is>
      </c>
      <c r="B17" s="508" t="n">
        <v>69.5</v>
      </c>
      <c r="C17" s="508" t="n">
        <v>733</v>
      </c>
      <c r="D17" s="508" t="n">
        <v>10.5</v>
      </c>
      <c r="E17" s="508" t="inlineStr">
        <is>
          <t>Yerden ısıtma 45/35 °C, PEX 16x2,0 / 10-15 cm (mahal bazlı devreler)</t>
        </is>
      </c>
      <c r="F17" s="508" t="inlineStr">
        <is>
          <t>Ultrasonik kalorimetre DN15, qp 0,6 m³/h</t>
        </is>
      </c>
      <c r="G17" s="508" t="inlineStr">
        <is>
          <t>UYGUN</t>
        </is>
      </c>
    </row>
    <row r="18">
      <c r="A18" s="508" t="inlineStr">
        <is>
          <t>1. KAT OFİS E2</t>
        </is>
      </c>
      <c r="B18" s="508" t="n">
        <v>69.59999999999999</v>
      </c>
      <c r="C18" s="508" t="n">
        <v>921</v>
      </c>
      <c r="D18" s="508" t="n">
        <v>13.2</v>
      </c>
      <c r="E18" s="508" t="inlineStr">
        <is>
          <t>Yerden ısıtma 45/35 °C, PEX 16x2,0 / 10-15 cm (mahal bazlı devreler)</t>
        </is>
      </c>
      <c r="F18" s="508" t="inlineStr">
        <is>
          <t>Ultrasonik kalorimetre DN15, qp 0,6 m³/h</t>
        </is>
      </c>
      <c r="G18" s="508" t="inlineStr">
        <is>
          <t>UYGUN</t>
        </is>
      </c>
    </row>
    <row r="19">
      <c r="A19" s="508" t="inlineStr">
        <is>
          <t>2. KAT OFİS A1</t>
        </is>
      </c>
      <c r="B19" s="508" t="n">
        <v>65.09999999999999</v>
      </c>
      <c r="C19" s="508" t="n">
        <v>1212</v>
      </c>
      <c r="D19" s="508" t="n">
        <v>18.6</v>
      </c>
      <c r="E19" s="508" t="inlineStr">
        <is>
          <t>Yerden ısıtma 45/35 °C, PEX 16x2,0 / 10-15 cm (mahal bazlı devreler)</t>
        </is>
      </c>
      <c r="F19" s="508" t="inlineStr">
        <is>
          <t>Ultrasonik kalorimetre DN15, qp 0,6 m³/h</t>
        </is>
      </c>
      <c r="G19" s="508" t="inlineStr">
        <is>
          <t>UYGUN</t>
        </is>
      </c>
    </row>
    <row r="20">
      <c r="A20" s="508" t="inlineStr">
        <is>
          <t>2. KAT OFİS A2</t>
        </is>
      </c>
      <c r="B20" s="508" t="n">
        <v>65.09999999999999</v>
      </c>
      <c r="C20" s="508" t="n">
        <v>1040</v>
      </c>
      <c r="D20" s="508" t="n">
        <v>16</v>
      </c>
      <c r="E20" s="508" t="inlineStr">
        <is>
          <t>Yerden ısıtma 45/35 °C, PEX 16x2,0 / 10-15 cm (mahal bazlı devreler)</t>
        </is>
      </c>
      <c r="F20" s="508" t="inlineStr">
        <is>
          <t>Ultrasonik kalorimetre DN15, qp 0,6 m³/h</t>
        </is>
      </c>
      <c r="G20" s="508" t="inlineStr">
        <is>
          <t>UYGUN</t>
        </is>
      </c>
    </row>
    <row r="21">
      <c r="A21" s="508" t="inlineStr">
        <is>
          <t>2. KAT OFİS A3</t>
        </is>
      </c>
      <c r="B21" s="508" t="n">
        <v>66.09999999999999</v>
      </c>
      <c r="C21" s="508" t="n">
        <v>1128</v>
      </c>
      <c r="D21" s="508" t="n">
        <v>17.1</v>
      </c>
      <c r="E21" s="508" t="inlineStr">
        <is>
          <t>Yerden ısıtma 45/35 °C, PEX 16x2,0 / 10-15 cm (mahal bazlı devreler)</t>
        </is>
      </c>
      <c r="F21" s="508" t="inlineStr">
        <is>
          <t>Ultrasonik kalorimetre DN15, qp 0,6 m³/h</t>
        </is>
      </c>
      <c r="G21" s="508" t="inlineStr">
        <is>
          <t>UYGUN</t>
        </is>
      </c>
    </row>
    <row r="22">
      <c r="A22" s="508" t="inlineStr">
        <is>
          <t>2. KAT OFİS B1</t>
        </is>
      </c>
      <c r="B22" s="508" t="n">
        <v>36.6</v>
      </c>
      <c r="C22" s="508" t="n">
        <v>865</v>
      </c>
      <c r="D22" s="508" t="n">
        <v>23.6</v>
      </c>
      <c r="E22" s="508" t="inlineStr">
        <is>
          <t>Yerden ısıtma 45/35 °C, PEX 16x2,0 / 10-15 cm (mahal bazlı devreler)</t>
        </is>
      </c>
      <c r="F22" s="508" t="inlineStr">
        <is>
          <t>Ultrasonik kalorimetre DN15, qp 0,6 m³/h</t>
        </is>
      </c>
      <c r="G22" s="508" t="inlineStr">
        <is>
          <t>UYGUN</t>
        </is>
      </c>
    </row>
    <row r="23">
      <c r="A23" s="508" t="inlineStr">
        <is>
          <t>2. KAT OFİS B2</t>
        </is>
      </c>
      <c r="B23" s="508" t="n">
        <v>36.6</v>
      </c>
      <c r="C23" s="508" t="n">
        <v>768</v>
      </c>
      <c r="D23" s="508" t="n">
        <v>21</v>
      </c>
      <c r="E23" s="508" t="inlineStr">
        <is>
          <t>Yerden ısıtma 45/35 °C, PEX 16x2,0 / 10-15 cm (mahal bazlı devreler)</t>
        </is>
      </c>
      <c r="F23" s="508" t="inlineStr">
        <is>
          <t>Ultrasonik kalorimetre DN15, qp 0,6 m³/h</t>
        </is>
      </c>
      <c r="G23" s="508" t="inlineStr">
        <is>
          <t>UYGUN</t>
        </is>
      </c>
    </row>
    <row r="24">
      <c r="A24" s="508" t="inlineStr">
        <is>
          <t>2. KAT OFİS B3</t>
        </is>
      </c>
      <c r="B24" s="508" t="n">
        <v>37.1</v>
      </c>
      <c r="C24" s="508" t="n">
        <v>818</v>
      </c>
      <c r="D24" s="508" t="n">
        <v>22</v>
      </c>
      <c r="E24" s="508" t="inlineStr">
        <is>
          <t>Yerden ısıtma 45/35 °C, PEX 16x2,0 / 10-15 cm (mahal bazlı devreler)</t>
        </is>
      </c>
      <c r="F24" s="508" t="inlineStr">
        <is>
          <t>Ultrasonik kalorimetre DN15, qp 0,6 m³/h</t>
        </is>
      </c>
      <c r="G24" s="508" t="inlineStr">
        <is>
          <t>UYGUN</t>
        </is>
      </c>
    </row>
    <row r="25">
      <c r="A25" s="508" t="inlineStr">
        <is>
          <t>2. KAT OFİS C1</t>
        </is>
      </c>
      <c r="B25" s="508" t="n">
        <v>37.5</v>
      </c>
      <c r="C25" s="508" t="n">
        <v>734</v>
      </c>
      <c r="D25" s="508" t="n">
        <v>19.6</v>
      </c>
      <c r="E25" s="508" t="inlineStr">
        <is>
          <t>Yerden ısıtma 45/35 °C, PEX 16x2,0 / 10-15 cm (mahal bazlı devreler)</t>
        </is>
      </c>
      <c r="F25" s="508" t="inlineStr">
        <is>
          <t>Ultrasonik kalorimetre DN15, qp 0,6 m³/h</t>
        </is>
      </c>
      <c r="G25" s="508" t="inlineStr">
        <is>
          <t>UYGUN</t>
        </is>
      </c>
    </row>
    <row r="26">
      <c r="A26" s="508" t="inlineStr">
        <is>
          <t>2. KAT OFİS C2</t>
        </is>
      </c>
      <c r="B26" s="508" t="n">
        <v>40.8</v>
      </c>
      <c r="C26" s="508" t="n">
        <v>768</v>
      </c>
      <c r="D26" s="508" t="n">
        <v>18.8</v>
      </c>
      <c r="E26" s="508" t="inlineStr">
        <is>
          <t>Yerden ısıtma 45/35 °C, PEX 16x2,0 / 10-15 cm (mahal bazlı devreler)</t>
        </is>
      </c>
      <c r="F26" s="508" t="inlineStr">
        <is>
          <t>Ultrasonik kalorimetre DN15, qp 0,6 m³/h</t>
        </is>
      </c>
      <c r="G26" s="508" t="inlineStr">
        <is>
          <t>UYGUN</t>
        </is>
      </c>
    </row>
    <row r="27">
      <c r="A27" s="508" t="inlineStr">
        <is>
          <t>2. KAT OFİS C3</t>
        </is>
      </c>
      <c r="B27" s="508" t="n">
        <v>37</v>
      </c>
      <c r="C27" s="508" t="n">
        <v>749</v>
      </c>
      <c r="D27" s="508" t="n">
        <v>20.2</v>
      </c>
      <c r="E27" s="508" t="inlineStr">
        <is>
          <t>Yerden ısıtma 45/35 °C, PEX 16x2,0 / 10-15 cm (mahal bazlı devreler)</t>
        </is>
      </c>
      <c r="F27" s="508" t="inlineStr">
        <is>
          <t>Ultrasonik kalorimetre DN15, qp 0,6 m³/h</t>
        </is>
      </c>
      <c r="G27" s="508" t="inlineStr">
        <is>
          <t>UYGUN</t>
        </is>
      </c>
    </row>
    <row r="28">
      <c r="A28" s="508" t="inlineStr">
        <is>
          <t>2. KAT OFİS D1</t>
        </is>
      </c>
      <c r="B28" s="508" t="n">
        <v>51.1</v>
      </c>
      <c r="C28" s="508" t="n">
        <v>418</v>
      </c>
      <c r="D28" s="508" t="n">
        <v>8.199999999999999</v>
      </c>
      <c r="E28" s="508" t="inlineStr">
        <is>
          <t>Yerden ısıtma 45/35 °C, PEX 16x2,0 / 10-15 cm (mahal bazlı devreler)</t>
        </is>
      </c>
      <c r="F28" s="508" t="inlineStr">
        <is>
          <t>Ultrasonik kalorimetre DN15, qp 0,6 m³/h</t>
        </is>
      </c>
      <c r="G28" s="508" t="inlineStr">
        <is>
          <t>UYGUN</t>
        </is>
      </c>
    </row>
    <row r="29">
      <c r="A29" s="508" t="inlineStr">
        <is>
          <t>2. KAT OFİS D2</t>
        </is>
      </c>
      <c r="B29" s="508" t="n">
        <v>37.4</v>
      </c>
      <c r="C29" s="508" t="n">
        <v>713</v>
      </c>
      <c r="D29" s="508" t="n">
        <v>19.1</v>
      </c>
      <c r="E29" s="508" t="inlineStr">
        <is>
          <t>Yerden ısıtma 45/35 °C, PEX 16x2,0 / 10-15 cm (mahal bazlı devreler)</t>
        </is>
      </c>
      <c r="F29" s="508" t="inlineStr">
        <is>
          <t>Ultrasonik kalorimetre DN15, qp 0,6 m³/h</t>
        </is>
      </c>
      <c r="G29" s="508" t="inlineStr">
        <is>
          <t>UYGUN</t>
        </is>
      </c>
    </row>
    <row r="30">
      <c r="A30" s="508" t="inlineStr">
        <is>
          <t>2. KAT OFİS D3</t>
        </is>
      </c>
      <c r="B30" s="508" t="n">
        <v>39.7</v>
      </c>
      <c r="C30" s="508" t="n">
        <v>760</v>
      </c>
      <c r="D30" s="508" t="n">
        <v>19.1</v>
      </c>
      <c r="E30" s="508" t="inlineStr">
        <is>
          <t>Yerden ısıtma 45/35 °C, PEX 16x2,0 / 10-15 cm (mahal bazlı devreler)</t>
        </is>
      </c>
      <c r="F30" s="508" t="inlineStr">
        <is>
          <t>Ultrasonik kalorimetre DN15, qp 0,6 m³/h</t>
        </is>
      </c>
      <c r="G30" s="508" t="inlineStr">
        <is>
          <t>UYGUN</t>
        </is>
      </c>
    </row>
    <row r="31">
      <c r="A31" s="508" t="inlineStr">
        <is>
          <t>2. KAT OFİS E1</t>
        </is>
      </c>
      <c r="B31" s="508" t="n">
        <v>69.5</v>
      </c>
      <c r="C31" s="508" t="n">
        <v>1204</v>
      </c>
      <c r="D31" s="508" t="n">
        <v>17.3</v>
      </c>
      <c r="E31" s="508" t="inlineStr">
        <is>
          <t>Yerden ısıtma 45/35 °C, PEX 16x2,0 / 10-15 cm (mahal bazlı devreler)</t>
        </is>
      </c>
      <c r="F31" s="508" t="inlineStr">
        <is>
          <t>Ultrasonik kalorimetre DN15, qp 0,6 m³/h</t>
        </is>
      </c>
      <c r="G31" s="508" t="inlineStr">
        <is>
          <t>UYGUN</t>
        </is>
      </c>
    </row>
    <row r="32">
      <c r="A32" s="508" t="inlineStr">
        <is>
          <t>2. KAT OFİS E2</t>
        </is>
      </c>
      <c r="B32" s="508" t="n">
        <v>69.59999999999999</v>
      </c>
      <c r="C32" s="508" t="n">
        <v>1430</v>
      </c>
      <c r="D32" s="508" t="n">
        <v>20.5</v>
      </c>
      <c r="E32" s="508" t="inlineStr">
        <is>
          <t>Yerden ısıtma 45/35 °C, PEX 16x2,0 / 10-15 cm (mahal bazlı devreler)</t>
        </is>
      </c>
      <c r="F32" s="508" t="inlineStr">
        <is>
          <t>Ultrasonik kalorimetre DN15, qp 0,6 m³/h</t>
        </is>
      </c>
      <c r="G32" s="508" t="inlineStr">
        <is>
          <t>UYGUN</t>
        </is>
      </c>
    </row>
    <row r="33">
      <c r="A33" s="508" t="inlineStr">
        <is>
          <t>ZEMİN KAT İŞYERİ 1</t>
        </is>
      </c>
      <c r="B33" s="508" t="n">
        <v>144.8</v>
      </c>
      <c r="C33" s="508" t="n">
        <v>9230</v>
      </c>
      <c r="D33" s="508" t="n">
        <v>63.7</v>
      </c>
      <c r="E33" s="508" t="inlineStr">
        <is>
          <t>4 ad. PKKP 600 (Tip 22) / 160 mm (1473 W/m, 70/50/20)</t>
        </is>
      </c>
      <c r="F33" s="508" t="inlineStr">
        <is>
          <t>Ultrasonik kalorimetre DN20, qp 1,5 m³/h</t>
        </is>
      </c>
      <c r="G33" s="508" t="inlineStr">
        <is>
          <t>UYGUN</t>
        </is>
      </c>
    </row>
    <row r="34">
      <c r="A34" s="508" t="inlineStr">
        <is>
          <t>ZEMİN KAT İŞYERİ 2</t>
        </is>
      </c>
      <c r="B34" s="508" t="n">
        <v>151.4</v>
      </c>
      <c r="C34" s="508" t="n">
        <v>9655</v>
      </c>
      <c r="D34" s="508" t="n">
        <v>63.8</v>
      </c>
      <c r="E34" s="508" t="inlineStr">
        <is>
          <t>4 ad. PKKKP 600 (Tip 33) / 120 mm (2092 W/m, 70/50/20)</t>
        </is>
      </c>
      <c r="F34" s="508" t="inlineStr">
        <is>
          <t>Ultrasonik kalorimetre DN20, qp 1,5 m³/h</t>
        </is>
      </c>
      <c r="G34" s="508" t="inlineStr">
        <is>
          <t>UYGUN</t>
        </is>
      </c>
    </row>
    <row r="35">
      <c r="A35" s="508" t="inlineStr">
        <is>
          <t>ZEMİN KAT İŞYERİ 3</t>
        </is>
      </c>
      <c r="B35" s="508" t="n">
        <v>150.6</v>
      </c>
      <c r="C35" s="508" t="n">
        <v>11107</v>
      </c>
      <c r="D35" s="508" t="n">
        <v>73.7</v>
      </c>
      <c r="E35" s="508" t="inlineStr">
        <is>
          <t>4 ad. PKKKP 600 (Tip 33) / 140 mm (2092 W/m, 70/50/20)</t>
        </is>
      </c>
      <c r="F35" s="508" t="inlineStr">
        <is>
          <t>Ultrasonik kalorimetre DN20, qp 1,5 m³/h</t>
        </is>
      </c>
      <c r="G35" s="508" t="inlineStr">
        <is>
          <t>UYGUN</t>
        </is>
      </c>
    </row>
    <row r="36">
      <c r="A36" s="508" t="inlineStr">
        <is>
          <t>ZEMİN KAT İŞYERİ 4</t>
        </is>
      </c>
      <c r="B36" s="508" t="n">
        <v>190.8</v>
      </c>
      <c r="C36" s="508" t="n">
        <v>12541</v>
      </c>
      <c r="D36" s="508" t="n">
        <v>65.7</v>
      </c>
      <c r="E36" s="508" t="inlineStr">
        <is>
          <t>4 ad. PKKKP 600 (Tip 33) / 150 mm (2092 W/m, 70/50/20)</t>
        </is>
      </c>
      <c r="F36" s="508" t="inlineStr">
        <is>
          <t>Ultrasonik kalorimetre DN20, qp 1,5 m³/h</t>
        </is>
      </c>
      <c r="G36" s="508" t="inlineStr">
        <is>
          <t>UYGUN</t>
        </is>
      </c>
    </row>
    <row r="37">
      <c r="A37" s="508" t="inlineStr">
        <is>
          <t>ZEMİN KAT İŞYERİ 5</t>
        </is>
      </c>
      <c r="B37" s="508" t="n">
        <v>188.7</v>
      </c>
      <c r="C37" s="508" t="n">
        <v>11904</v>
      </c>
      <c r="D37" s="508" t="n">
        <v>63.1</v>
      </c>
      <c r="E37" s="508" t="inlineStr">
        <is>
          <t>4 ad. PKKKP 600 (Tip 33) / 150 mm (2092 W/m, 70/50/20)</t>
        </is>
      </c>
      <c r="F37" s="508" t="inlineStr">
        <is>
          <t>Ultrasonik kalorimetre DN20, qp 1,5 m³/h</t>
        </is>
      </c>
      <c r="G37" s="508" t="inlineStr">
        <is>
          <t>UYGUN</t>
        </is>
      </c>
    </row>
    <row r="39">
      <c r="A39" s="507" t="inlineStr">
        <is>
          <t>Kalem</t>
        </is>
      </c>
      <c r="B39" s="507" t="inlineStr">
        <is>
          <t>Sembol</t>
        </is>
      </c>
      <c r="C39" s="507" t="inlineStr">
        <is>
          <t>Değer</t>
        </is>
      </c>
      <c r="D39" s="507" t="inlineStr">
        <is>
          <t>Birim</t>
        </is>
      </c>
      <c r="E39" s="507" t="inlineStr">
        <is>
          <t>Açıklama</t>
        </is>
      </c>
    </row>
    <row r="40">
      <c r="A40" s="508" t="inlineStr">
        <is>
          <t>Ofis ısı kaybı toplamı</t>
        </is>
      </c>
      <c r="B40" s="508" t="inlineStr">
        <is>
          <t>Qo</t>
        </is>
      </c>
      <c r="C40" s="508" t="n">
        <v>20.6</v>
      </c>
      <c r="D40" s="508" t="inlineStr">
        <is>
          <t>kW</t>
        </is>
      </c>
      <c r="E40" s="508" t="inlineStr"/>
    </row>
    <row r="41">
      <c r="A41" s="508" t="inlineStr">
        <is>
          <t>Dükkân ısı kaybı toplamı</t>
        </is>
      </c>
      <c r="B41" s="508" t="inlineStr">
        <is>
          <t>Qd</t>
        </is>
      </c>
      <c r="C41" s="508" t="n">
        <v>54.4</v>
      </c>
      <c r="D41" s="508" t="inlineStr">
        <is>
          <t>kW</t>
        </is>
      </c>
      <c r="E41" s="508" t="inlineStr"/>
    </row>
    <row r="42">
      <c r="A42" s="508" t="inlineStr">
        <is>
          <t>Boyler serpantin gücü</t>
        </is>
      </c>
      <c r="B42" s="508" t="inlineStr">
        <is>
          <t>Qb</t>
        </is>
      </c>
      <c r="C42" s="508" t="n">
        <v>48.4</v>
      </c>
      <c r="D42" s="508" t="inlineStr">
        <is>
          <t>kW</t>
        </is>
      </c>
      <c r="E42" s="508" t="inlineStr">
        <is>
          <t>Sıhhi sayfası</t>
        </is>
      </c>
    </row>
    <row r="43">
      <c r="A43" s="508" t="inlineStr">
        <is>
          <t>Kazan hesap gücü</t>
        </is>
      </c>
      <c r="B43" s="508" t="inlineStr">
        <is>
          <t>Qk</t>
        </is>
      </c>
      <c r="C43" s="508">
        <f>ROUND((C40+C41)*1.1+C42*0.5,1)</f>
        <v/>
      </c>
      <c r="D43" s="508" t="inlineStr">
        <is>
          <t>kW</t>
        </is>
      </c>
      <c r="E43" s="508" t="inlineStr">
        <is>
          <t>1,10 x ısıtma + 0,5 x boyler (öncelikli değil)</t>
        </is>
      </c>
    </row>
    <row r="44">
      <c r="A44" s="508" t="inlineStr">
        <is>
          <t>Seçilen kazan</t>
        </is>
      </c>
      <c r="B44" s="508" t="inlineStr"/>
      <c r="C44" s="508" t="inlineStr">
        <is>
          <t>3 x 45 kW = 135 kW</t>
        </is>
      </c>
      <c r="D44" s="508" t="inlineStr"/>
      <c r="E44" s="508" t="inlineStr">
        <is>
          <t>Duvar tipi yoğuşmalı kaskad kazan (doğalgaz)</t>
        </is>
      </c>
    </row>
    <row r="45">
      <c r="A45" s="508" t="inlineStr">
        <is>
          <t>Doğalgaz tüketimi</t>
        </is>
      </c>
      <c r="B45" s="508" t="inlineStr">
        <is>
          <t>Vg</t>
        </is>
      </c>
      <c r="C45" s="508" t="n">
        <v>14.4</v>
      </c>
      <c r="D45" s="508" t="inlineStr">
        <is>
          <t>m³/h</t>
        </is>
      </c>
      <c r="E45" s="508" t="inlineStr">
        <is>
          <t>Q / (8250 x 0,98)</t>
        </is>
      </c>
    </row>
    <row r="46">
      <c r="A46" s="508" t="inlineStr">
        <is>
          <t>Baca kesiti (F = 0,012 Q/√h)</t>
        </is>
      </c>
      <c r="B46" s="508" t="inlineStr">
        <is>
          <t>F</t>
        </is>
      </c>
      <c r="C46" s="508" t="n">
        <v>366</v>
      </c>
      <c r="D46" s="508" t="inlineStr">
        <is>
          <t>cm²</t>
        </is>
      </c>
      <c r="E46" s="508" t="inlineStr">
        <is>
          <t>h=14.5 m → Ø250 (TS EN 13384 ile teyit)</t>
        </is>
      </c>
    </row>
    <row r="47">
      <c r="A47" s="508" t="inlineStr">
        <is>
          <t>Kazan dairesi alt menfez</t>
        </is>
      </c>
      <c r="B47" s="508" t="inlineStr"/>
      <c r="C47" s="508" t="n">
        <v>675</v>
      </c>
      <c r="D47" s="508" t="inlineStr">
        <is>
          <t>cm²</t>
        </is>
      </c>
      <c r="E47" s="508" t="inlineStr">
        <is>
          <t>5 cm²/kW, min 300 (gaz şartnamesiyle kesinleşir)</t>
        </is>
      </c>
    </row>
    <row r="48">
      <c r="A48" s="508" t="inlineStr">
        <is>
          <t>Kazan dairesi üst menfez</t>
        </is>
      </c>
      <c r="B48" s="508" t="inlineStr"/>
      <c r="C48" s="508" t="n">
        <v>338</v>
      </c>
      <c r="D48" s="508" t="inlineStr">
        <is>
          <t>cm²</t>
        </is>
      </c>
      <c r="E48" s="508" t="inlineStr">
        <is>
          <t>alt menfezin %50si</t>
        </is>
      </c>
    </row>
    <row r="49">
      <c r="A49" s="508" t="inlineStr">
        <is>
          <t>Tesisat su hacmi</t>
        </is>
      </c>
      <c r="B49" s="508" t="inlineStr">
        <is>
          <t>Vs</t>
        </is>
      </c>
      <c r="C49" s="508" t="n">
        <v>1299</v>
      </c>
      <c r="D49" s="508" t="inlineStr">
        <is>
          <t>l</t>
        </is>
      </c>
      <c r="E49" s="508" t="inlineStr">
        <is>
          <t>Y.I. 18,5 l/kW, panel 8,3 l/kW, kazan 3 l/kW</t>
        </is>
      </c>
    </row>
    <row r="50">
      <c r="A50" s="508" t="inlineStr">
        <is>
          <t>Genleşme hacmi (70 °C)</t>
        </is>
      </c>
      <c r="B50" s="508" t="inlineStr">
        <is>
          <t>ΔV</t>
        </is>
      </c>
      <c r="C50" s="508" t="n">
        <v>29.1</v>
      </c>
      <c r="D50" s="508" t="inlineStr">
        <is>
          <t>l</t>
        </is>
      </c>
      <c r="E50" s="508" t="inlineStr">
        <is>
          <t>n = 0,0224</t>
        </is>
      </c>
    </row>
    <row r="51">
      <c r="A51" s="508" t="inlineStr">
        <is>
          <t>Ön basınç</t>
        </is>
      </c>
      <c r="B51" s="508" t="inlineStr">
        <is>
          <t>Po</t>
        </is>
      </c>
      <c r="C51" s="508" t="n">
        <v>1.4</v>
      </c>
      <c r="D51" s="508" t="inlineStr">
        <is>
          <t>bar</t>
        </is>
      </c>
      <c r="E51" s="508" t="inlineStr">
        <is>
          <t>statik yükseklik/10</t>
        </is>
      </c>
    </row>
    <row r="52">
      <c r="A52" s="508" t="inlineStr">
        <is>
          <t>Genleşme tankı</t>
        </is>
      </c>
      <c r="B52" s="508" t="inlineStr">
        <is>
          <t>Vn</t>
        </is>
      </c>
      <c r="C52" s="508" t="n">
        <v>113</v>
      </c>
      <c r="D52" s="508" t="inlineStr">
        <is>
          <t>l</t>
        </is>
      </c>
      <c r="E52" s="508" t="inlineStr">
        <is>
          <t>seçilen 150 L, emniyet 3 bar</t>
        </is>
      </c>
    </row>
    <row r="54">
      <c r="A54" s="507" t="inlineStr">
        <is>
          <t>Devre</t>
        </is>
      </c>
      <c r="B54" s="507" t="inlineStr">
        <is>
          <t>Q (kW)</t>
        </is>
      </c>
      <c r="C54" s="507" t="inlineStr">
        <is>
          <t>ΔT (K)</t>
        </is>
      </c>
      <c r="D54" s="507" t="inlineStr">
        <is>
          <t>Debi (m³/h)</t>
        </is>
      </c>
      <c r="E54" s="507" t="inlineStr">
        <is>
          <t>Ana boru</t>
        </is>
      </c>
      <c r="F54" s="507" t="inlineStr">
        <is>
          <t>Pompa H (mSS)</t>
        </is>
      </c>
      <c r="G54" s="507" t="inlineStr">
        <is>
          <t>Pompa P (kW)</t>
        </is>
      </c>
    </row>
    <row r="55">
      <c r="A55" s="508" t="inlineStr">
        <is>
          <t>OFİS YERDEN ISITMA (45/35 °C, karışım vanalı)</t>
        </is>
      </c>
      <c r="B55" s="508" t="n">
        <v>20.6</v>
      </c>
      <c r="C55" s="508" t="n">
        <v>10</v>
      </c>
      <c r="D55" s="508" t="n">
        <v>1.78</v>
      </c>
      <c r="E55" s="508" t="inlineStr">
        <is>
          <t>DN32</t>
        </is>
      </c>
      <c r="F55" s="508" t="n">
        <v>11.6</v>
      </c>
      <c r="G55" s="508" t="n">
        <v>0.11</v>
      </c>
    </row>
    <row r="56">
      <c r="A56" s="508" t="inlineStr">
        <is>
          <t>DÜKKÂN RADYATÖR (70/50 °C)</t>
        </is>
      </c>
      <c r="B56" s="508" t="n">
        <v>54.4</v>
      </c>
      <c r="C56" s="508" t="n">
        <v>20</v>
      </c>
      <c r="D56" s="508" t="n">
        <v>2.34</v>
      </c>
      <c r="E56" s="508" t="inlineStr">
        <is>
          <t>DN32</t>
        </is>
      </c>
      <c r="F56" s="508" t="n">
        <v>7.7</v>
      </c>
      <c r="G56" s="508" t="n">
        <v>0.1</v>
      </c>
    </row>
    <row r="57">
      <c r="A57" s="508" t="inlineStr">
        <is>
          <t>BOYLER SERPANTİNİ (75/55 °C)</t>
        </is>
      </c>
      <c r="B57" s="508" t="n">
        <v>48.4</v>
      </c>
      <c r="C57" s="508" t="n">
        <v>20</v>
      </c>
      <c r="D57" s="508" t="n">
        <v>2.08</v>
      </c>
      <c r="E57" s="508" t="inlineStr">
        <is>
          <t>DN32</t>
        </is>
      </c>
      <c r="F57" s="508" t="n">
        <v>3.3</v>
      </c>
      <c r="G57" s="508" t="n">
        <v>0.04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64" customWidth="1" style="244" min="1" max="1"/>
    <col width="10" customWidth="1" style="244" min="2" max="2"/>
    <col width="10" customWidth="1" style="244" min="3" max="3"/>
    <col width="12" customWidth="1" style="244" min="4" max="4"/>
    <col width="30" customWidth="1" style="244" min="5" max="5"/>
  </cols>
  <sheetData>
    <row r="1">
      <c r="A1" s="504" t="inlineStr">
        <is>
          <t>ROTAŞ MÜHENDİSLİK - VOYAP - MEKANİK TESİSAT HESAPLARI</t>
        </is>
      </c>
    </row>
    <row r="2">
      <c r="A2" s="505" t="inlineStr">
        <is>
          <t>TEMİZ SU / SICAK SU / SİRKÜLASYON / HİDROFOR / DEPO / BOYLER (TS 1258, kullanıcının MTY yük birimleri)</t>
        </is>
      </c>
    </row>
    <row r="4">
      <c r="A4" s="507" t="inlineStr">
        <is>
          <t>Hat</t>
        </is>
      </c>
      <c r="B4" s="507" t="inlineStr">
        <is>
          <t>YB</t>
        </is>
      </c>
      <c r="C4" s="507" t="inlineStr">
        <is>
          <t>Çap</t>
        </is>
      </c>
    </row>
    <row r="5">
      <c r="A5" s="508" t="inlineStr">
        <is>
          <t>Ofis soğuk su YB (lavabo 0,5 + klozet 0,5 + duş 2,5 + eviye 1,0)</t>
        </is>
      </c>
      <c r="B5" s="508" t="n">
        <v>4.5</v>
      </c>
      <c r="C5" s="508" t="inlineStr">
        <is>
          <t>1"</t>
        </is>
      </c>
    </row>
    <row r="6">
      <c r="A6" s="508" t="inlineStr">
        <is>
          <t>Ofis sıcak su YB (lavabo 0,5 + duş 2,5 + eviye 1,0)</t>
        </is>
      </c>
      <c r="B6" s="508" t="n">
        <v>4</v>
      </c>
      <c r="C6" s="508" t="inlineStr">
        <is>
          <t>1"</t>
        </is>
      </c>
    </row>
    <row r="7">
      <c r="A7" s="508" t="inlineStr">
        <is>
          <t>Kat başına Ş1 (6 ofis) soğuk</t>
        </is>
      </c>
      <c r="B7" s="508" t="n">
        <v>27</v>
      </c>
      <c r="C7" s="508" t="inlineStr">
        <is>
          <t>1 1/2"</t>
        </is>
      </c>
    </row>
    <row r="8">
      <c r="A8" s="508" t="inlineStr">
        <is>
          <t>Kat başına Ş2 (8 ofis) soğuk</t>
        </is>
      </c>
      <c r="B8" s="508" t="n">
        <v>36</v>
      </c>
      <c r="C8" s="508" t="inlineStr">
        <is>
          <t>1 1/2"</t>
        </is>
      </c>
    </row>
    <row r="9">
      <c r="A9" s="508" t="inlineStr">
        <is>
          <t>Ş1 kolon (2 kat) soğuk</t>
        </is>
      </c>
      <c r="B9" s="508" t="n">
        <v>54</v>
      </c>
      <c r="C9" s="508" t="inlineStr">
        <is>
          <t>2"</t>
        </is>
      </c>
    </row>
    <row r="10">
      <c r="A10" s="508" t="inlineStr">
        <is>
          <t>Ş2 kolon (2 kat) soğuk</t>
        </is>
      </c>
      <c r="B10" s="508" t="n">
        <v>72</v>
      </c>
      <c r="C10" s="508" t="inlineStr">
        <is>
          <t>2"</t>
        </is>
      </c>
    </row>
    <row r="11">
      <c r="A11" s="508" t="inlineStr">
        <is>
          <t>Ş1 kolon sıcak</t>
        </is>
      </c>
      <c r="B11" s="508" t="n">
        <v>48</v>
      </c>
      <c r="C11" s="508" t="inlineStr">
        <is>
          <t>2"</t>
        </is>
      </c>
    </row>
    <row r="12">
      <c r="A12" s="508" t="inlineStr">
        <is>
          <t>Ş2 kolon sıcak</t>
        </is>
      </c>
      <c r="B12" s="508" t="n">
        <v>64</v>
      </c>
      <c r="C12" s="508" t="inlineStr">
        <is>
          <t>2"</t>
        </is>
      </c>
    </row>
    <row r="13">
      <c r="A13" s="508" t="inlineStr">
        <is>
          <t>Dükkân bekleme ucu (5 ad.)</t>
        </is>
      </c>
      <c r="B13" s="508" t="n">
        <v>5</v>
      </c>
      <c r="C13" s="508" t="inlineStr">
        <is>
          <t>1"</t>
        </is>
      </c>
    </row>
    <row r="14">
      <c r="A14" s="508" t="inlineStr">
        <is>
          <t>Bina toplam soğuk</t>
        </is>
      </c>
      <c r="B14" s="508" t="n">
        <v>131</v>
      </c>
      <c r="C14" s="508" t="inlineStr">
        <is>
          <t>2 1/2"</t>
        </is>
      </c>
    </row>
    <row r="16">
      <c r="A16" s="507" t="inlineStr">
        <is>
          <t>Hidrofor / depo</t>
        </is>
      </c>
      <c r="B16" s="507" t="inlineStr">
        <is>
          <t>Değer</t>
        </is>
      </c>
      <c r="C16" s="507" t="inlineStr">
        <is>
          <t>Birim</t>
        </is>
      </c>
    </row>
    <row r="17">
      <c r="A17" s="508" t="inlineStr">
        <is>
          <t>Eşzamanlı debi Q = 0,25√ΣYB</t>
        </is>
      </c>
      <c r="B17" s="508">
        <f>ROUND(0.25*SQRT(131.0)*3.6,2)</f>
        <v/>
      </c>
      <c r="C17" s="508" t="inlineStr">
        <is>
          <t>m³/h</t>
        </is>
      </c>
    </row>
    <row r="18">
      <c r="A18" s="508" t="inlineStr">
        <is>
          <t>Geometrik yükseklik (depo tabanı → en üst armatür)</t>
        </is>
      </c>
      <c r="B18" s="508" t="n">
        <v>14.5</v>
      </c>
      <c r="C18" s="508" t="inlineStr">
        <is>
          <t>mSS</t>
        </is>
      </c>
    </row>
    <row r="19">
      <c r="A19" s="508" t="inlineStr">
        <is>
          <t>Pompa alt basınç (akma 15 mSS + kayıp)</t>
        </is>
      </c>
      <c r="B19" s="508" t="n">
        <v>31.9</v>
      </c>
      <c r="C19" s="508" t="inlineStr">
        <is>
          <t>mSS</t>
        </is>
      </c>
    </row>
    <row r="20">
      <c r="A20" s="508" t="inlineStr">
        <is>
          <t>Pompa üst basınç (frekans konvertörlü +1 bar)</t>
        </is>
      </c>
      <c r="B20" s="508" t="n">
        <v>41.9</v>
      </c>
      <c r="C20" s="508" t="inlineStr">
        <is>
          <t>mSS</t>
        </is>
      </c>
    </row>
    <row r="21">
      <c r="A21" s="508" t="inlineStr">
        <is>
          <t>Pompa gücü (η=0,55)</t>
        </is>
      </c>
      <c r="B21" s="508" t="n">
        <v>2.14</v>
      </c>
      <c r="C21" s="508" t="inlineStr">
        <is>
          <t>kW</t>
        </is>
      </c>
    </row>
    <row r="22">
      <c r="A22" s="508" t="inlineStr">
        <is>
          <t>Membranlı tank</t>
        </is>
      </c>
      <c r="B22" s="508" t="n">
        <v>100</v>
      </c>
      <c r="C22" s="508" t="inlineStr">
        <is>
          <t>l</t>
        </is>
      </c>
    </row>
    <row r="23">
      <c r="A23" s="508" t="inlineStr">
        <is>
          <t>Hidrofor tipi</t>
        </is>
      </c>
      <c r="B23" s="508" t="inlineStr">
        <is>
          <t>Frekans konvertörlü çift pompalı paket hidrofor (1 asil + 1 yedek)</t>
        </is>
      </c>
      <c r="C23" s="508" t="inlineStr"/>
    </row>
    <row r="24">
      <c r="A24" s="508" t="inlineStr">
        <is>
          <t>Kullanım suyu deposu</t>
        </is>
      </c>
      <c r="B24" s="508" t="inlineStr">
        <is>
          <t>180 kişi x 30 l + 5 dükkân x 100 l = 5.9 m³</t>
        </is>
      </c>
      <c r="C24" s="508" t="inlineStr">
        <is>
          <t>seçilen 6 m³ (1 ad.)</t>
        </is>
      </c>
    </row>
    <row r="26">
      <c r="A26" s="507" t="inlineStr">
        <is>
          <t>Cihaz (sıcak su, 60 °C)</t>
        </is>
      </c>
      <c r="B26" s="507" t="inlineStr">
        <is>
          <t>Adet</t>
        </is>
      </c>
      <c r="C26" s="507" t="inlineStr">
        <is>
          <t>l/h</t>
        </is>
      </c>
      <c r="D26" s="507" t="inlineStr">
        <is>
          <t>Toplam l/h</t>
        </is>
      </c>
    </row>
    <row r="27">
      <c r="A27" s="508" t="inlineStr">
        <is>
          <t>Lavabo</t>
        </is>
      </c>
      <c r="B27" s="508" t="n">
        <v>28</v>
      </c>
      <c r="C27" s="508" t="n">
        <v>8</v>
      </c>
      <c r="D27" s="508" t="n">
        <v>224</v>
      </c>
    </row>
    <row r="28">
      <c r="A28" s="508" t="inlineStr">
        <is>
          <t>Eviye (mutfak)</t>
        </is>
      </c>
      <c r="B28" s="508" t="n">
        <v>28</v>
      </c>
      <c r="C28" s="508" t="n">
        <v>40</v>
      </c>
      <c r="D28" s="508" t="n">
        <v>1120</v>
      </c>
    </row>
    <row r="29">
      <c r="A29" s="508" t="inlineStr">
        <is>
          <t>Duş</t>
        </is>
      </c>
      <c r="B29" s="508" t="n">
        <v>28</v>
      </c>
      <c r="C29" s="508" t="n">
        <v>150</v>
      </c>
      <c r="D29" s="508" t="n">
        <v>4200</v>
      </c>
    </row>
    <row r="31">
      <c r="A31" s="507" t="inlineStr">
        <is>
          <t>Boyler</t>
        </is>
      </c>
      <c r="B31" s="507" t="inlineStr">
        <is>
          <t>Değer</t>
        </is>
      </c>
      <c r="C31" s="507" t="inlineStr">
        <is>
          <t>Birim</t>
        </is>
      </c>
    </row>
    <row r="32">
      <c r="A32" s="508" t="inlineStr">
        <is>
          <t>Anlık toplam</t>
        </is>
      </c>
      <c r="B32" s="508">
        <f>SUM(D27:D29)</f>
        <v/>
      </c>
      <c r="C32" s="508" t="inlineStr">
        <is>
          <t>l/h</t>
        </is>
      </c>
    </row>
    <row r="33">
      <c r="A33" s="508" t="inlineStr">
        <is>
          <t>Kullanma katsayısı (ofis)</t>
        </is>
      </c>
      <c r="B33" s="508" t="n">
        <v>0.2</v>
      </c>
      <c r="C33" s="508" t="inlineStr"/>
    </row>
    <row r="34">
      <c r="A34" s="508" t="inlineStr">
        <is>
          <t>Saatlik ihtiyaç</t>
        </is>
      </c>
      <c r="B34" s="508">
        <f>ROUND(B32*B33,0)</f>
        <v/>
      </c>
      <c r="C34" s="508" t="inlineStr">
        <is>
          <t>l/h</t>
        </is>
      </c>
    </row>
    <row r="35">
      <c r="A35" s="508" t="inlineStr">
        <is>
          <t>Depolama katsayısı</t>
        </is>
      </c>
      <c r="B35" s="508" t="n">
        <v>0.8</v>
      </c>
      <c r="C35" s="508" t="inlineStr"/>
    </row>
    <row r="36">
      <c r="A36" s="508" t="inlineStr">
        <is>
          <t>Boyler hacmi</t>
        </is>
      </c>
      <c r="B36" s="508">
        <f>ROUND(B34*B35,0)</f>
        <v/>
      </c>
      <c r="C36" s="508" t="inlineStr">
        <is>
          <t>l</t>
        </is>
      </c>
    </row>
    <row r="37">
      <c r="A37" s="508" t="inlineStr">
        <is>
          <t>Seçilen boyler</t>
        </is>
      </c>
      <c r="B37" s="508" t="inlineStr">
        <is>
          <t>1000 L çift serpantinli</t>
        </is>
      </c>
      <c r="C37" s="508" t="inlineStr"/>
    </row>
    <row r="38">
      <c r="A38" s="508" t="inlineStr">
        <is>
          <t>Isıtma gücü (60-10 °C)</t>
        </is>
      </c>
      <c r="B38" s="508" t="n">
        <v>64.5</v>
      </c>
      <c r="C38" s="508" t="inlineStr">
        <is>
          <t>kW</t>
        </is>
      </c>
    </row>
    <row r="39">
      <c r="A39" s="508" t="inlineStr">
        <is>
          <t>Serpantin (depolama payı x0,75)</t>
        </is>
      </c>
      <c r="B39" s="508" t="n">
        <v>48.4</v>
      </c>
      <c r="C39" s="508" t="inlineStr">
        <is>
          <t>kW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8" customWidth="1" style="244" min="1" max="1"/>
    <col width="8" customWidth="1" style="244" min="2" max="2"/>
    <col width="10" customWidth="1" style="244" min="3" max="3"/>
    <col width="16" customWidth="1" style="244" min="4" max="4"/>
    <col width="12" customWidth="1" style="244" min="5" max="5"/>
    <col width="56" customWidth="1" style="244" min="6" max="6"/>
  </cols>
  <sheetData>
    <row r="1">
      <c r="A1" s="504" t="inlineStr">
        <is>
          <t>ROTAŞ MÜHENDİSLİK - VOYAP - MEKANİK TESİSAT HESAPLARI</t>
        </is>
      </c>
    </row>
    <row r="2">
      <c r="A2" s="505" t="inlineStr">
        <is>
          <t>PİS SU KOLONLARI (TS EN 12056-2, K = 0,5 ofis) - kullanıcının MTY bağlantılarındaki SB değerleri</t>
        </is>
      </c>
    </row>
    <row r="4">
      <c r="A4" s="507" t="inlineStr">
        <is>
          <t>Kolon</t>
        </is>
      </c>
      <c r="B4" s="507" t="inlineStr">
        <is>
          <t>Çap</t>
        </is>
      </c>
      <c r="C4" s="507" t="inlineStr">
        <is>
          <t>Kat SB</t>
        </is>
      </c>
      <c r="D4" s="507" t="inlineStr">
        <is>
          <t>Toplam SB (2 kat)</t>
        </is>
      </c>
      <c r="E4" s="507" t="inlineStr">
        <is>
          <t>Qww (l/s)</t>
        </is>
      </c>
      <c r="F4" s="507" t="inlineStr">
        <is>
          <t>Bağlantı</t>
        </is>
      </c>
    </row>
    <row r="5">
      <c r="A5" s="508" t="inlineStr">
        <is>
          <t>P1</t>
        </is>
      </c>
      <c r="B5" s="508" t="inlineStr">
        <is>
          <t>Ø100</t>
        </is>
      </c>
      <c r="C5" s="508" t="n">
        <v>14</v>
      </c>
      <c r="D5" s="508" t="n">
        <v>28</v>
      </c>
      <c r="E5" s="508">
        <f>ROUND(0.5*SQRT(D5),2)</f>
        <v/>
      </c>
      <c r="F5" s="508" t="inlineStr">
        <is>
          <t>zemin asma tavanı → bodrum tavanı → ön cephe rögarı</t>
        </is>
      </c>
    </row>
    <row r="6">
      <c r="A6" s="508" t="inlineStr">
        <is>
          <t>P2</t>
        </is>
      </c>
      <c r="B6" s="508" t="inlineStr">
        <is>
          <t>Ø100</t>
        </is>
      </c>
      <c r="C6" s="508" t="n">
        <v>21</v>
      </c>
      <c r="D6" s="508" t="n">
        <v>42</v>
      </c>
      <c r="E6" s="508">
        <f>ROUND(0.5*SQRT(D6),2)</f>
        <v/>
      </c>
      <c r="F6" s="508" t="inlineStr">
        <is>
          <t>zemin asma tavanı → bodrum tavanı → ön cephe rögarı</t>
        </is>
      </c>
    </row>
    <row r="7">
      <c r="A7" s="508" t="inlineStr">
        <is>
          <t>P3</t>
        </is>
      </c>
      <c r="B7" s="508" t="inlineStr">
        <is>
          <t>Ø100</t>
        </is>
      </c>
      <c r="C7" s="508" t="n">
        <v>21</v>
      </c>
      <c r="D7" s="508" t="n">
        <v>42</v>
      </c>
      <c r="E7" s="508">
        <f>ROUND(0.5*SQRT(D7),2)</f>
        <v/>
      </c>
      <c r="F7" s="508" t="inlineStr">
        <is>
          <t>zemin asma tavanı → bodrum tavanı → ön cephe rögarı</t>
        </is>
      </c>
    </row>
    <row r="8">
      <c r="A8" s="508" t="inlineStr">
        <is>
          <t>P4</t>
        </is>
      </c>
      <c r="B8" s="508" t="inlineStr">
        <is>
          <t>Ø50</t>
        </is>
      </c>
      <c r="C8" s="508" t="n">
        <v>4</v>
      </c>
      <c r="D8" s="508" t="n">
        <v>8</v>
      </c>
      <c r="E8" s="508">
        <f>ROUND(0.5*SQRT(D8),2)</f>
        <v/>
      </c>
      <c r="F8" s="508" t="inlineStr">
        <is>
          <t>zemin asma tavanı → bodrum tavanı → ön cephe rögarı</t>
        </is>
      </c>
    </row>
    <row r="9">
      <c r="A9" s="508" t="inlineStr">
        <is>
          <t>P5</t>
        </is>
      </c>
      <c r="B9" s="508" t="inlineStr">
        <is>
          <t>Ø100</t>
        </is>
      </c>
      <c r="C9" s="508" t="n">
        <v>21</v>
      </c>
      <c r="D9" s="508" t="n">
        <v>42</v>
      </c>
      <c r="E9" s="508">
        <f>ROUND(0.5*SQRT(D9),2)</f>
        <v/>
      </c>
      <c r="F9" s="508" t="inlineStr">
        <is>
          <t>zemin asma tavanı → bodrum tavanı → ön cephe rögarı</t>
        </is>
      </c>
    </row>
    <row r="10">
      <c r="A10" s="508" t="inlineStr">
        <is>
          <t>P6</t>
        </is>
      </c>
      <c r="B10" s="508" t="inlineStr">
        <is>
          <t>Ø50</t>
        </is>
      </c>
      <c r="C10" s="508" t="n">
        <v>4</v>
      </c>
      <c r="D10" s="508" t="n">
        <v>8</v>
      </c>
      <c r="E10" s="508">
        <f>ROUND(0.5*SQRT(D10),2)</f>
        <v/>
      </c>
      <c r="F10" s="508" t="inlineStr">
        <is>
          <t>zemin asma tavanı → bodrum tavanı → ön cephe rögarı</t>
        </is>
      </c>
    </row>
    <row r="11">
      <c r="A11" s="508" t="inlineStr">
        <is>
          <t>P7</t>
        </is>
      </c>
      <c r="B11" s="508" t="inlineStr">
        <is>
          <t>Ø100</t>
        </is>
      </c>
      <c r="C11" s="508" t="n">
        <v>21</v>
      </c>
      <c r="D11" s="508" t="n">
        <v>42</v>
      </c>
      <c r="E11" s="508">
        <f>ROUND(0.5*SQRT(D11),2)</f>
        <v/>
      </c>
      <c r="F11" s="508" t="inlineStr">
        <is>
          <t>zemin asma tavanı → bodrum tavanı → ön cephe rögarı</t>
        </is>
      </c>
    </row>
    <row r="12">
      <c r="A12" s="508" t="inlineStr">
        <is>
          <t>P8</t>
        </is>
      </c>
      <c r="B12" s="508" t="inlineStr">
        <is>
          <t>Ø50</t>
        </is>
      </c>
      <c r="C12" s="508" t="n">
        <v>4</v>
      </c>
      <c r="D12" s="508" t="n">
        <v>8</v>
      </c>
      <c r="E12" s="508">
        <f>ROUND(0.5*SQRT(D12),2)</f>
        <v/>
      </c>
      <c r="F12" s="508" t="inlineStr">
        <is>
          <t>zemin asma tavanı → bodrum tavanı → ön cephe rögarı</t>
        </is>
      </c>
    </row>
    <row r="13">
      <c r="A13" s="508" t="inlineStr">
        <is>
          <t>P9</t>
        </is>
      </c>
      <c r="B13" s="508" t="inlineStr">
        <is>
          <t>Ø100</t>
        </is>
      </c>
      <c r="C13" s="508" t="n">
        <v>21</v>
      </c>
      <c r="D13" s="508" t="n">
        <v>42</v>
      </c>
      <c r="E13" s="508">
        <f>ROUND(0.5*SQRT(D13),2)</f>
        <v/>
      </c>
      <c r="F13" s="508" t="inlineStr">
        <is>
          <t>zemin asma tavanı → bodrum tavanı → ön cephe rögarı</t>
        </is>
      </c>
    </row>
    <row r="14">
      <c r="A14" s="508" t="inlineStr">
        <is>
          <t>P10</t>
        </is>
      </c>
      <c r="B14" s="508" t="inlineStr">
        <is>
          <t>Ø50</t>
        </is>
      </c>
      <c r="C14" s="508" t="n">
        <v>4</v>
      </c>
      <c r="D14" s="508" t="n">
        <v>8</v>
      </c>
      <c r="E14" s="508">
        <f>ROUND(0.5*SQRT(D14),2)</f>
        <v/>
      </c>
      <c r="F14" s="508" t="inlineStr">
        <is>
          <t>zemin asma tavanı → bodrum tavanı → ön cephe rögarı</t>
        </is>
      </c>
    </row>
    <row r="15">
      <c r="A15" s="508" t="inlineStr">
        <is>
          <t>P11</t>
        </is>
      </c>
      <c r="B15" s="508" t="inlineStr">
        <is>
          <t>Ø100</t>
        </is>
      </c>
      <c r="C15" s="508" t="n">
        <v>21</v>
      </c>
      <c r="D15" s="508" t="n">
        <v>42</v>
      </c>
      <c r="E15" s="508">
        <f>ROUND(0.5*SQRT(D15),2)</f>
        <v/>
      </c>
      <c r="F15" s="508" t="inlineStr">
        <is>
          <t>zemin asma tavanı → bodrum tavanı → ön cephe rögarı</t>
        </is>
      </c>
    </row>
    <row r="16">
      <c r="A16" s="508" t="inlineStr">
        <is>
          <t>P12</t>
        </is>
      </c>
      <c r="B16" s="508" t="inlineStr">
        <is>
          <t>Ø50</t>
        </is>
      </c>
      <c r="C16" s="508" t="n">
        <v>4</v>
      </c>
      <c r="D16" s="508" t="n">
        <v>8</v>
      </c>
      <c r="E16" s="508">
        <f>ROUND(0.5*SQRT(D16),2)</f>
        <v/>
      </c>
      <c r="F16" s="508" t="inlineStr">
        <is>
          <t>zemin asma tavanı → bodrum tavanı → ön cephe rögarı</t>
        </is>
      </c>
    </row>
    <row r="17">
      <c r="A17" s="508" t="inlineStr">
        <is>
          <t>P13</t>
        </is>
      </c>
      <c r="B17" s="508" t="inlineStr">
        <is>
          <t>Ø100</t>
        </is>
      </c>
      <c r="C17" s="508" t="n">
        <v>21</v>
      </c>
      <c r="D17" s="508" t="n">
        <v>42</v>
      </c>
      <c r="E17" s="508">
        <f>ROUND(0.5*SQRT(D17),2)</f>
        <v/>
      </c>
      <c r="F17" s="508" t="inlineStr">
        <is>
          <t>zemin asma tavanı → bodrum tavanı → ön cephe rögarı</t>
        </is>
      </c>
    </row>
    <row r="18">
      <c r="A18" s="508" t="inlineStr">
        <is>
          <t>P14</t>
        </is>
      </c>
      <c r="B18" s="508" t="inlineStr">
        <is>
          <t>Ø50</t>
        </is>
      </c>
      <c r="C18" s="508" t="n">
        <v>4</v>
      </c>
      <c r="D18" s="508" t="n">
        <v>8</v>
      </c>
      <c r="E18" s="508">
        <f>ROUND(0.5*SQRT(D18),2)</f>
        <v/>
      </c>
      <c r="F18" s="508" t="inlineStr">
        <is>
          <t>zemin asma tavanı → bodrum tavanı → ön cephe rögarı</t>
        </is>
      </c>
    </row>
    <row r="19">
      <c r="A19" s="508" t="inlineStr">
        <is>
          <t>P15</t>
        </is>
      </c>
      <c r="B19" s="508" t="inlineStr">
        <is>
          <t>Ø50</t>
        </is>
      </c>
      <c r="C19" s="508" t="n">
        <v>4</v>
      </c>
      <c r="D19" s="508" t="n">
        <v>8</v>
      </c>
      <c r="E19" s="508">
        <f>ROUND(0.5*SQRT(D19),2)</f>
        <v/>
      </c>
      <c r="F19" s="508" t="inlineStr">
        <is>
          <t>zemin asma tavanı → bodrum tavanı → ön cephe rögarı</t>
        </is>
      </c>
    </row>
    <row r="20">
      <c r="A20" s="508" t="inlineStr">
        <is>
          <t>P16</t>
        </is>
      </c>
      <c r="B20" s="508" t="inlineStr">
        <is>
          <t>Ø100</t>
        </is>
      </c>
      <c r="C20" s="508" t="n">
        <v>21</v>
      </c>
      <c r="D20" s="508" t="n">
        <v>42</v>
      </c>
      <c r="E20" s="508">
        <f>ROUND(0.5*SQRT(D20),2)</f>
        <v/>
      </c>
      <c r="F20" s="508" t="inlineStr">
        <is>
          <t>zemin asma tavanı → bodrum tavanı → ön cephe rögarı</t>
        </is>
      </c>
    </row>
    <row r="21">
      <c r="A21" s="508" t="inlineStr">
        <is>
          <t>P17</t>
        </is>
      </c>
      <c r="B21" s="508" t="inlineStr">
        <is>
          <t>Ø50</t>
        </is>
      </c>
      <c r="C21" s="508" t="n">
        <v>4</v>
      </c>
      <c r="D21" s="508" t="n">
        <v>8</v>
      </c>
      <c r="E21" s="508">
        <f>ROUND(0.5*SQRT(D21),2)</f>
        <v/>
      </c>
      <c r="F21" s="508" t="inlineStr">
        <is>
          <t>zemin asma tavanı → bodrum tavanı → ön cephe rögarı</t>
        </is>
      </c>
    </row>
    <row r="22">
      <c r="A22" s="508" t="inlineStr">
        <is>
          <t>P18</t>
        </is>
      </c>
      <c r="B22" s="508" t="inlineStr">
        <is>
          <t>Ø100</t>
        </is>
      </c>
      <c r="C22" s="508" t="n">
        <v>21</v>
      </c>
      <c r="D22" s="508" t="n">
        <v>42</v>
      </c>
      <c r="E22" s="508">
        <f>ROUND(0.5*SQRT(D22),2)</f>
        <v/>
      </c>
      <c r="F22" s="508" t="inlineStr">
        <is>
          <t>zemin asma tavanı → bodrum tavanı → ön cephe rögarı</t>
        </is>
      </c>
    </row>
    <row r="23">
      <c r="A23" s="508" t="inlineStr">
        <is>
          <t>P19</t>
        </is>
      </c>
      <c r="B23" s="508" t="inlineStr">
        <is>
          <t>Ø50</t>
        </is>
      </c>
      <c r="C23" s="508" t="n">
        <v>4</v>
      </c>
      <c r="D23" s="508" t="n">
        <v>8</v>
      </c>
      <c r="E23" s="508">
        <f>ROUND(0.5*SQRT(D23),2)</f>
        <v/>
      </c>
      <c r="F23" s="508" t="inlineStr">
        <is>
          <t>zemin asma tavanı → bodrum tavanı → ön cephe rögarı</t>
        </is>
      </c>
    </row>
    <row r="24">
      <c r="A24" s="508" t="inlineStr">
        <is>
          <t>P20</t>
        </is>
      </c>
      <c r="B24" s="508" t="inlineStr">
        <is>
          <t>Ø100</t>
        </is>
      </c>
      <c r="C24" s="508" t="n">
        <v>21</v>
      </c>
      <c r="D24" s="508" t="n">
        <v>42</v>
      </c>
      <c r="E24" s="508">
        <f>ROUND(0.5*SQRT(D24),2)</f>
        <v/>
      </c>
      <c r="F24" s="508" t="inlineStr">
        <is>
          <t>zemin asma tavanı → bodrum tavanı → ön cephe rögarı</t>
        </is>
      </c>
    </row>
    <row r="25">
      <c r="A25" s="508" t="inlineStr">
        <is>
          <t>P21</t>
        </is>
      </c>
      <c r="B25" s="508" t="inlineStr">
        <is>
          <t>Ø100</t>
        </is>
      </c>
      <c r="C25" s="508" t="n">
        <v>21</v>
      </c>
      <c r="D25" s="508" t="n">
        <v>42</v>
      </c>
      <c r="E25" s="508">
        <f>ROUND(0.5*SQRT(D25),2)</f>
        <v/>
      </c>
      <c r="F25" s="508" t="inlineStr">
        <is>
          <t>zemin asma tavanı → bodrum tavanı → ön cephe rögarı</t>
        </is>
      </c>
    </row>
    <row r="26">
      <c r="A26" s="508" t="inlineStr">
        <is>
          <t>P22</t>
        </is>
      </c>
      <c r="B26" s="508" t="inlineStr">
        <is>
          <t>Ø100</t>
        </is>
      </c>
      <c r="C26" s="508" t="n">
        <v>21</v>
      </c>
      <c r="D26" s="508" t="n">
        <v>42</v>
      </c>
      <c r="E26" s="508">
        <f>ROUND(0.5*SQRT(D26),2)</f>
        <v/>
      </c>
      <c r="F26" s="508" t="inlineStr">
        <is>
          <t>zemin asma tavanı → bodrum tavanı → ön cephe rögarı</t>
        </is>
      </c>
    </row>
    <row r="27">
      <c r="A27" s="508" t="inlineStr">
        <is>
          <t>P23</t>
        </is>
      </c>
      <c r="B27" s="508" t="inlineStr">
        <is>
          <t>Ø100</t>
        </is>
      </c>
      <c r="C27" s="508" t="n">
        <v>21</v>
      </c>
      <c r="D27" s="508" t="n">
        <v>42</v>
      </c>
      <c r="E27" s="508">
        <f>ROUND(0.5*SQRT(D27),2)</f>
        <v/>
      </c>
      <c r="F27" s="508" t="inlineStr">
        <is>
          <t>zemin asma tavanı → bodrum tavanı → ön cephe rögarı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2026-10-13T09:17:33Z</dcterms:modified>
  <cp:lastModifiedBy>Can Özkaya</cp:lastModifiedBy>
  <cp:revision>0</cp:revision>
  <cp:lastPrinted>2022-06-03T11:29:57Z</cp:lastPrinted>
</cp:coreProperties>
</file>