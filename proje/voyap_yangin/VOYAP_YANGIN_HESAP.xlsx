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MPA-DEPO" sheetId="1" state="visible" r:id="rId1"/>
    <sheet xmlns:r="http://schemas.openxmlformats.org/officeDocument/2006/relationships" name="HİDROLİK" sheetId="2" state="visible" r:id="rId2"/>
    <sheet xmlns:r="http://schemas.openxmlformats.org/officeDocument/2006/relationships" name="METRA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0" fontId="3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14" customWidth="1" min="4" max="4"/>
    <col width="8" customWidth="1" min="5" max="5"/>
    <col width="40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TASARIM ESASLARI, POMPA VE DEPO HESABI (TS EN 12845, BYKHY md. 94, TS EN 671-1)</t>
        </is>
      </c>
    </row>
    <row r="3">
      <c r="A3" s="3" t="inlineStr">
        <is>
          <t>NO</t>
        </is>
      </c>
      <c r="B3" s="3" t="inlineStr">
        <is>
          <t>KALEM</t>
        </is>
      </c>
      <c r="C3" s="3" t="inlineStr">
        <is>
          <t>SEMBOL</t>
        </is>
      </c>
      <c r="D3" s="3" t="inlineStr">
        <is>
          <t>DEĞER</t>
        </is>
      </c>
      <c r="E3" s="3" t="inlineStr">
        <is>
          <t>BİRİM</t>
        </is>
      </c>
      <c r="F3" s="3" t="inlineStr">
        <is>
          <t>AÇIKLAMA</t>
        </is>
      </c>
    </row>
    <row r="4">
      <c r="A4" s="4" t="n">
        <v>1</v>
      </c>
      <c r="B4" s="4" t="inlineStr">
        <is>
          <t>En elverişsiz sprinkler alanı</t>
        </is>
      </c>
      <c r="C4" s="4" t="inlineStr">
        <is>
          <t>Qsp</t>
        </is>
      </c>
      <c r="D4" s="5" t="n">
        <v>1044</v>
      </c>
      <c r="E4" s="4" t="inlineStr">
        <is>
          <t>l/dk</t>
        </is>
      </c>
      <c r="F4" s="4" t="inlineStr">
        <is>
          <t>BODRUM KAT OH2 (HİDROLİK sayfası)</t>
        </is>
      </c>
    </row>
    <row r="5">
      <c r="A5" s="4" t="n">
        <v>2</v>
      </c>
      <c r="B5" s="4" t="inlineStr">
        <is>
          <t>Yangın dolabı eş zamanlı adet</t>
        </is>
      </c>
      <c r="C5" s="4" t="inlineStr">
        <is>
          <t>n</t>
        </is>
      </c>
      <c r="D5" s="5" t="n">
        <v>2</v>
      </c>
      <c r="E5" s="4" t="inlineStr">
        <is>
          <t>adet</t>
        </is>
      </c>
      <c r="F5" s="4" t="inlineStr">
        <is>
          <t>en uzak iki dolap</t>
        </is>
      </c>
    </row>
    <row r="6">
      <c r="A6" s="4" t="n">
        <v>3</v>
      </c>
      <c r="B6" s="4" t="inlineStr">
        <is>
          <t>Dolap debisi (TS EN 671-1, Ø25)</t>
        </is>
      </c>
      <c r="C6" s="4" t="inlineStr">
        <is>
          <t>qd</t>
        </is>
      </c>
      <c r="D6" s="5" t="n">
        <v>100</v>
      </c>
      <c r="E6" s="4" t="inlineStr">
        <is>
          <t>l/dk</t>
        </is>
      </c>
      <c r="F6" s="4" t="inlineStr">
        <is>
          <t>BYKHY md. 94</t>
        </is>
      </c>
    </row>
    <row r="7">
      <c r="A7" s="4" t="n">
        <v>4</v>
      </c>
      <c r="B7" s="4" t="inlineStr">
        <is>
          <t>Dolap toplam debi</t>
        </is>
      </c>
      <c r="C7" s="4" t="inlineStr">
        <is>
          <t>Qd</t>
        </is>
      </c>
      <c r="D7" s="5">
        <f>D5*D6</f>
        <v/>
      </c>
      <c r="E7" s="4" t="inlineStr">
        <is>
          <t>l/dk</t>
        </is>
      </c>
      <c r="F7" s="4" t="inlineStr"/>
    </row>
    <row r="8">
      <c r="A8" s="4" t="n">
        <v>5</v>
      </c>
      <c r="B8" s="4" t="inlineStr">
        <is>
          <t>Toplam debi</t>
        </is>
      </c>
      <c r="C8" s="4" t="inlineStr">
        <is>
          <t>Q</t>
        </is>
      </c>
      <c r="D8" s="5">
        <f>D4+D7</f>
        <v/>
      </c>
      <c r="E8" s="4" t="inlineStr">
        <is>
          <t>l/dk</t>
        </is>
      </c>
      <c r="F8" s="4" t="inlineStr"/>
    </row>
    <row r="9">
      <c r="A9" s="4" t="n">
        <v>6</v>
      </c>
      <c r="B9" s="4" t="inlineStr">
        <is>
          <t>Toplam debi</t>
        </is>
      </c>
      <c r="C9" s="4" t="inlineStr">
        <is>
          <t>Q</t>
        </is>
      </c>
      <c r="D9" s="5">
        <f>D8*0.06</f>
        <v/>
      </c>
      <c r="E9" s="4" t="inlineStr">
        <is>
          <t>m³/h</t>
        </is>
      </c>
      <c r="F9" s="4" t="inlineStr"/>
    </row>
    <row r="10">
      <c r="A10" s="4" t="n">
        <v>7</v>
      </c>
      <c r="B10" s="4" t="inlineStr">
        <is>
          <t>Çalışma süresi (OH)</t>
        </is>
      </c>
      <c r="C10" s="4" t="inlineStr">
        <is>
          <t>t</t>
        </is>
      </c>
      <c r="D10" s="5" t="n">
        <v>60</v>
      </c>
      <c r="E10" s="4" t="inlineStr">
        <is>
          <t>dk</t>
        </is>
      </c>
      <c r="F10" s="4" t="inlineStr">
        <is>
          <t>TS EN 12845</t>
        </is>
      </c>
    </row>
    <row r="11">
      <c r="A11" s="4" t="n">
        <v>8</v>
      </c>
      <c r="B11" s="4" t="inlineStr">
        <is>
          <t>Gerekli su hacmi</t>
        </is>
      </c>
      <c r="C11" s="4" t="inlineStr">
        <is>
          <t>V</t>
        </is>
      </c>
      <c r="D11" s="5">
        <f>D8*D10/1000</f>
        <v/>
      </c>
      <c r="E11" s="4" t="inlineStr">
        <is>
          <t>m³</t>
        </is>
      </c>
      <c r="F11" s="4" t="inlineStr"/>
    </row>
    <row r="12">
      <c r="A12" s="4" t="n">
        <v>9</v>
      </c>
      <c r="B12" s="4" t="inlineStr">
        <is>
          <t>Mevcut depo net hacmi</t>
        </is>
      </c>
      <c r="C12" s="4" t="inlineStr">
        <is>
          <t>Vd</t>
        </is>
      </c>
      <c r="D12" s="5" t="n">
        <v>80</v>
      </c>
      <c r="E12" s="4" t="inlineStr">
        <is>
          <t>m³</t>
        </is>
      </c>
      <c r="F12" s="4" t="inlineStr">
        <is>
          <t>4,00 x 8,50 x 2,35 m</t>
        </is>
      </c>
    </row>
    <row r="13">
      <c r="A13" s="4" t="n">
        <v>10</v>
      </c>
      <c r="B13" s="4" t="inlineStr">
        <is>
          <t>Kontrol</t>
        </is>
      </c>
      <c r="C13" s="4" t="inlineStr"/>
      <c r="D13" s="5">
        <f>IF(D12&gt;=D11,"UYGUN","YETERSİZ")</f>
        <v/>
      </c>
      <c r="E13" s="4" t="inlineStr"/>
      <c r="F13" s="4" t="inlineStr"/>
    </row>
    <row r="14">
      <c r="A14" s="4" t="n">
        <v>11</v>
      </c>
      <c r="B14" s="4" t="inlineStr">
        <is>
          <t>Sprinkler için pompa basıncı (en elverişsiz)</t>
        </is>
      </c>
      <c r="C14" s="4" t="inlineStr">
        <is>
          <t>Psp</t>
        </is>
      </c>
      <c r="D14" s="5" t="n">
        <v>29.7</v>
      </c>
      <c r="E14" s="4" t="inlineStr">
        <is>
          <t>mSS</t>
        </is>
      </c>
      <c r="F14" s="4" t="inlineStr">
        <is>
          <t>HİDROLİK sayfası</t>
        </is>
      </c>
    </row>
    <row r="15">
      <c r="A15" s="4" t="n">
        <v>12</v>
      </c>
      <c r="B15" s="4" t="inlineStr">
        <is>
          <t>Dolap lüle basıncı</t>
        </is>
      </c>
      <c r="C15" s="4" t="inlineStr">
        <is>
          <t>pl</t>
        </is>
      </c>
      <c r="D15" s="5" t="n">
        <v>4</v>
      </c>
      <c r="E15" s="4" t="inlineStr">
        <is>
          <t>bar</t>
        </is>
      </c>
      <c r="F15" s="4" t="inlineStr">
        <is>
          <t>BYKHY md. 94</t>
        </is>
      </c>
    </row>
    <row r="16">
      <c r="A16" s="4" t="n">
        <v>13</v>
      </c>
      <c r="B16" s="4" t="inlineStr">
        <is>
          <t>2. kat dolap kotu (pompa ekseninden)</t>
        </is>
      </c>
      <c r="C16" s="4" t="inlineStr">
        <is>
          <t>z</t>
        </is>
      </c>
      <c r="D16" s="5" t="n">
        <v>11.3</v>
      </c>
      <c r="E16" s="4" t="inlineStr">
        <is>
          <t>m</t>
        </is>
      </c>
      <c r="F16" s="4" t="inlineStr">
        <is>
          <t>kat yükseklikleri kabulü</t>
        </is>
      </c>
    </row>
    <row r="17">
      <c r="A17" s="4" t="n">
        <v>14</v>
      </c>
      <c r="B17" s="4" t="inlineStr">
        <is>
          <t>Dolap hattı kayıpları (2" 25 m + 2½" 30 m + vana)</t>
        </is>
      </c>
      <c r="C17" s="4" t="inlineStr">
        <is>
          <t>Δp</t>
        </is>
      </c>
      <c r="D17" s="5" t="n">
        <v>0.41</v>
      </c>
      <c r="E17" s="4" t="inlineStr">
        <is>
          <t>bar</t>
        </is>
      </c>
      <c r="F17" s="4" t="inlineStr">
        <is>
          <t>Hazen-Williams C=120</t>
        </is>
      </c>
    </row>
    <row r="18">
      <c r="A18" s="4" t="n">
        <v>15</v>
      </c>
      <c r="B18" s="4" t="inlineStr">
        <is>
          <t>Dolap için pompa basıncı</t>
        </is>
      </c>
      <c r="C18" s="4" t="inlineStr">
        <is>
          <t>Pd</t>
        </is>
      </c>
      <c r="D18" s="5">
        <f>(D15+D17)*10.2+D16</f>
        <v/>
      </c>
      <c r="E18" s="4" t="inlineStr">
        <is>
          <t>mSS</t>
        </is>
      </c>
      <c r="F18" s="4" t="inlineStr"/>
    </row>
    <row r="19">
      <c r="A19" s="4" t="n">
        <v>16</v>
      </c>
      <c r="B19" s="4" t="inlineStr">
        <is>
          <t>Gerekli pompa basıncı</t>
        </is>
      </c>
      <c r="C19" s="4" t="inlineStr">
        <is>
          <t>H</t>
        </is>
      </c>
      <c r="D19" s="5">
        <f>MAX(D14,D18)</f>
        <v/>
      </c>
      <c r="E19" s="4" t="inlineStr">
        <is>
          <t>mSS</t>
        </is>
      </c>
      <c r="F19" s="4" t="inlineStr"/>
    </row>
    <row r="20">
      <c r="A20" s="4" t="n">
        <v>17</v>
      </c>
      <c r="B20" s="4" t="inlineStr">
        <is>
          <t>Seçilen pompa (elektrikli ana + dizel yedek)</t>
        </is>
      </c>
      <c r="C20" s="4" t="inlineStr">
        <is>
          <t>Qp</t>
        </is>
      </c>
      <c r="D20" s="5" t="n">
        <v>70</v>
      </c>
      <c r="E20" s="4" t="inlineStr">
        <is>
          <t>m³/h</t>
        </is>
      </c>
      <c r="F20" s="4" t="inlineStr">
        <is>
          <t>H=60 mSS</t>
        </is>
      </c>
    </row>
    <row r="21">
      <c r="A21" s="4" t="n">
        <v>18</v>
      </c>
      <c r="B21" s="4" t="inlineStr">
        <is>
          <t>Seçilen pompa basma yüksekliği</t>
        </is>
      </c>
      <c r="C21" s="4" t="inlineStr">
        <is>
          <t>Hp</t>
        </is>
      </c>
      <c r="D21" s="5" t="n">
        <v>60</v>
      </c>
      <c r="E21" s="4" t="inlineStr">
        <is>
          <t>mSS</t>
        </is>
      </c>
      <c r="F21" s="4" t="inlineStr"/>
    </row>
    <row r="22">
      <c r="A22" s="4" t="n">
        <v>19</v>
      </c>
      <c r="B22" s="4" t="inlineStr">
        <is>
          <t>Kontrol: eğride Q=D9 için basınç ≥ D19</t>
        </is>
      </c>
      <c r="C22" s="4" t="inlineStr"/>
      <c r="D22" s="5">
        <f>IF(AND(D21&gt;=D19,D20*1.4&gt;=D9),"UYGUN (eğriden teyit)","POMPA BÜYÜT")</f>
        <v/>
      </c>
      <c r="E22" s="4" t="inlineStr"/>
      <c r="F22" s="4" t="inlineStr">
        <is>
          <t>%140 debide ≥%70 basma</t>
        </is>
      </c>
    </row>
    <row r="23">
      <c r="A23" s="4" t="n">
        <v>20</v>
      </c>
      <c r="B23" s="4" t="inlineStr">
        <is>
          <t>Hidrolik güç</t>
        </is>
      </c>
      <c r="C23" s="4" t="inlineStr">
        <is>
          <t>Ph</t>
        </is>
      </c>
      <c r="D23" s="5">
        <f>1000*9.81*D20/3600*D21/1000</f>
        <v/>
      </c>
      <c r="E23" s="4" t="inlineStr">
        <is>
          <t>kW</t>
        </is>
      </c>
      <c r="F23" s="4" t="inlineStr"/>
    </row>
    <row r="24">
      <c r="A24" s="4" t="n">
        <v>21</v>
      </c>
      <c r="B24" s="4" t="inlineStr">
        <is>
          <t>Mil gücü (η=0,70)</t>
        </is>
      </c>
      <c r="C24" s="4" t="inlineStr">
        <is>
          <t>Pm</t>
        </is>
      </c>
      <c r="D24" s="5">
        <f>D23/0.7</f>
        <v/>
      </c>
      <c r="E24" s="4" t="inlineStr">
        <is>
          <t>kW</t>
        </is>
      </c>
      <c r="F24" s="4" t="inlineStr"/>
    </row>
    <row r="25">
      <c r="A25" s="4" t="n">
        <v>22</v>
      </c>
      <c r="B25" s="4" t="inlineStr">
        <is>
          <t>%150 debide güç (≈1,25 Pm)</t>
        </is>
      </c>
      <c r="C25" s="4" t="inlineStr">
        <is>
          <t>P150</t>
        </is>
      </c>
      <c r="D25" s="5">
        <f>D24*1.25</f>
        <v/>
      </c>
      <c r="E25" s="4" t="inlineStr">
        <is>
          <t>kW</t>
        </is>
      </c>
      <c r="F25" s="4" t="inlineStr">
        <is>
          <t>elektrikli 22 kW / dizel 30 kW</t>
        </is>
      </c>
    </row>
    <row r="26">
      <c r="A26" s="4" t="n">
        <v>23</v>
      </c>
      <c r="B26" s="4" t="inlineStr">
        <is>
          <t>Jokey pompa</t>
        </is>
      </c>
      <c r="C26" s="4" t="inlineStr">
        <is>
          <t>Qj</t>
        </is>
      </c>
      <c r="D26" s="5" t="n">
        <v>3</v>
      </c>
      <c r="E26" s="4" t="inlineStr">
        <is>
          <t>m³/h</t>
        </is>
      </c>
      <c r="F26" s="4" t="inlineStr">
        <is>
          <t>H=70 mSS, 1,5 kW</t>
        </is>
      </c>
    </row>
    <row r="27">
      <c r="A27" s="4" t="n">
        <v>24</v>
      </c>
      <c r="B27" s="4" t="inlineStr">
        <is>
          <t>Dizel yakıt (3 saat, 0,25 l/kWh x 30 kW)</t>
        </is>
      </c>
      <c r="C27" s="4" t="inlineStr">
        <is>
          <t>Vy</t>
        </is>
      </c>
      <c r="D27" s="5">
        <f>0.25*30*3</f>
        <v/>
      </c>
      <c r="E27" s="4" t="inlineStr">
        <is>
          <t>L</t>
        </is>
      </c>
      <c r="F27" s="4" t="inlineStr">
        <is>
          <t>seçim 100 L</t>
        </is>
      </c>
    </row>
    <row r="29">
      <c r="A29" t="inlineStr">
        <is>
          <t>NOT: Kat yükseklikleri bodrum 3,50 / zemin 3,50 / normal katlar 3,00 m kabul edilmiştir; mimari kesitten teyit edilecektir.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10" customWidth="1" min="7" max="7"/>
    <col width="9" customWidth="1" min="8" max="8"/>
    <col width="9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SPRİNKLER HİDROLİK HESABI - Hazen-Williams C=120, K80, pmin=0,35 bar, bağlantı payı %20 (ağaç üzerinde dengeli çözüm)</t>
        </is>
      </c>
    </row>
    <row r="3">
      <c r="A3" s="3" t="inlineStr">
        <is>
          <t>KAT</t>
        </is>
      </c>
      <c r="B3" s="3" t="inlineStr">
        <is>
          <t>SINIF</t>
        </is>
      </c>
      <c r="C3" s="3" t="inlineStr">
        <is>
          <t>mm/dk</t>
        </is>
      </c>
      <c r="D3" s="3" t="inlineStr">
        <is>
          <t>Alan m²</t>
        </is>
      </c>
      <c r="E3" s="3" t="inlineStr">
        <is>
          <t>Başlık</t>
        </is>
      </c>
      <c r="F3" s="3" t="inlineStr">
        <is>
          <t>Ara sev.</t>
        </is>
      </c>
      <c r="G3" s="3" t="inlineStr">
        <is>
          <t>q min l/dk</t>
        </is>
      </c>
      <c r="H3" s="3" t="inlineStr">
        <is>
          <t>p uç bar</t>
        </is>
      </c>
      <c r="I3" s="3" t="inlineStr">
        <is>
          <t>Q l/dk</t>
        </is>
      </c>
      <c r="J3" s="3" t="inlineStr">
        <is>
          <t>P kat girişi bar</t>
        </is>
      </c>
      <c r="K3" s="3" t="inlineStr">
        <is>
          <t>P pompa bar</t>
        </is>
      </c>
      <c r="L3" s="3" t="inlineStr">
        <is>
          <t>En uzak yol m</t>
        </is>
      </c>
    </row>
    <row r="4">
      <c r="A4" s="4" t="inlineStr">
        <is>
          <t>BODRUM KAT</t>
        </is>
      </c>
      <c r="B4" s="4" t="inlineStr">
        <is>
          <t>OH2</t>
        </is>
      </c>
      <c r="C4" s="4" t="n">
        <v>5</v>
      </c>
      <c r="D4" s="4" t="n">
        <v>144</v>
      </c>
      <c r="E4" s="4" t="n">
        <v>19</v>
      </c>
      <c r="F4" s="4" t="n">
        <v>3</v>
      </c>
      <c r="G4" s="4" t="n">
        <v>47.3</v>
      </c>
      <c r="H4" s="4" t="n">
        <v>0.35</v>
      </c>
      <c r="I4" s="4" t="n">
        <v>1044</v>
      </c>
      <c r="J4" s="4" t="n">
        <v>1.21</v>
      </c>
      <c r="K4" s="4" t="n">
        <v>1.92</v>
      </c>
      <c r="L4" s="4" t="n">
        <v>61</v>
      </c>
    </row>
    <row r="5">
      <c r="A5" s="4" t="inlineStr">
        <is>
          <t>ZEMİN KAT</t>
        </is>
      </c>
      <c r="B5" s="4" t="inlineStr">
        <is>
          <t>OH2</t>
        </is>
      </c>
      <c r="C5" s="4" t="n">
        <v>5</v>
      </c>
      <c r="D5" s="4" t="n">
        <v>144</v>
      </c>
      <c r="E5" s="4" t="n">
        <v>12</v>
      </c>
      <c r="F5" s="4" t="n">
        <v>0</v>
      </c>
      <c r="G5" s="4" t="n">
        <v>60</v>
      </c>
      <c r="H5" s="4" t="n">
        <v>0.5600000000000001</v>
      </c>
      <c r="I5" s="4" t="n">
        <v>867</v>
      </c>
      <c r="J5" s="4" t="n">
        <v>1.59</v>
      </c>
      <c r="K5" s="4" t="n">
        <v>2.65</v>
      </c>
      <c r="L5" s="4" t="n">
        <v>63</v>
      </c>
    </row>
    <row r="6">
      <c r="A6" s="4" t="inlineStr">
        <is>
          <t>1. KAT</t>
        </is>
      </c>
      <c r="B6" s="4" t="inlineStr">
        <is>
          <t>OH1</t>
        </is>
      </c>
      <c r="C6" s="4" t="n">
        <v>5</v>
      </c>
      <c r="D6" s="4" t="n">
        <v>72</v>
      </c>
      <c r="E6" s="4" t="n">
        <v>6</v>
      </c>
      <c r="F6" s="4" t="n">
        <v>0</v>
      </c>
      <c r="G6" s="4" t="n">
        <v>60</v>
      </c>
      <c r="H6" s="4" t="n">
        <v>0.5600000000000001</v>
      </c>
      <c r="I6" s="4" t="n">
        <v>424</v>
      </c>
      <c r="J6" s="4" t="n">
        <v>1.3</v>
      </c>
      <c r="K6" s="4" t="n">
        <v>2.62</v>
      </c>
      <c r="L6" s="4" t="n">
        <v>67</v>
      </c>
    </row>
    <row r="7">
      <c r="A7" s="4" t="inlineStr">
        <is>
          <t>2. KAT</t>
        </is>
      </c>
      <c r="B7" s="4" t="inlineStr">
        <is>
          <t>OH1</t>
        </is>
      </c>
      <c r="C7" s="4" t="n">
        <v>5</v>
      </c>
      <c r="D7" s="4" t="n">
        <v>72</v>
      </c>
      <c r="E7" s="4" t="n">
        <v>6</v>
      </c>
      <c r="F7" s="4" t="n">
        <v>0</v>
      </c>
      <c r="G7" s="4" t="n">
        <v>60</v>
      </c>
      <c r="H7" s="4" t="n">
        <v>0.5600000000000001</v>
      </c>
      <c r="I7" s="4" t="n">
        <v>424</v>
      </c>
      <c r="J7" s="4" t="n">
        <v>1.3</v>
      </c>
      <c r="K7" s="4" t="n">
        <v>2.92</v>
      </c>
      <c r="L7" s="4" t="n">
        <v>67</v>
      </c>
    </row>
    <row r="9">
      <c r="A9" s="6" t="inlineStr">
        <is>
          <t>BODRUM KAT - kat girişinden en uzak başlığa boru yolu</t>
        </is>
      </c>
    </row>
    <row r="10">
      <c r="A10" s="7" t="inlineStr">
        <is>
          <t>Çap</t>
        </is>
      </c>
      <c r="B10" s="7" t="inlineStr">
        <is>
          <t>DN</t>
        </is>
      </c>
      <c r="C10" s="7" t="inlineStr">
        <is>
          <t>İç çap mm</t>
        </is>
      </c>
      <c r="D10" s="7" t="inlineStr">
        <is>
          <t>L m</t>
        </is>
      </c>
      <c r="E10" s="7" t="inlineStr">
        <is>
          <t>Q l/dk</t>
        </is>
      </c>
      <c r="F10" s="7" t="inlineStr">
        <is>
          <t>Δp bar</t>
        </is>
      </c>
      <c r="G10" s="7" t="inlineStr">
        <is>
          <t>v m/s</t>
        </is>
      </c>
    </row>
    <row r="11">
      <c r="A11" s="4" t="inlineStr">
        <is>
          <t>4"</t>
        </is>
      </c>
      <c r="B11" s="4" t="n">
        <v>100</v>
      </c>
      <c r="C11" s="4" t="n">
        <v>105.3</v>
      </c>
      <c r="D11" s="4" t="n">
        <v>32.27</v>
      </c>
      <c r="E11" s="4" t="n">
        <v>1044</v>
      </c>
      <c r="F11" s="8">
        <f>6.05E5*E11^1.85/(120^1.85*C11^4.87)*D11*1.2</f>
        <v/>
      </c>
      <c r="G11" s="8">
        <f>E11/60000/(PI()*(C11/1000)^2/4)</f>
        <v/>
      </c>
    </row>
    <row r="12">
      <c r="A12" s="4" t="inlineStr">
        <is>
          <t>3"</t>
        </is>
      </c>
      <c r="B12" s="4" t="n">
        <v>80</v>
      </c>
      <c r="C12" s="4" t="n">
        <v>80.90000000000001</v>
      </c>
      <c r="D12" s="4" t="n">
        <v>12</v>
      </c>
      <c r="E12" s="4" t="n">
        <v>1044</v>
      </c>
      <c r="F12" s="8">
        <f>6.05E5*E12^1.85/(120^1.85*C12^4.87)*D12*1.2</f>
        <v/>
      </c>
      <c r="G12" s="8">
        <f>E12/60000/(PI()*(C12/1000)^2/4)</f>
        <v/>
      </c>
    </row>
    <row r="13">
      <c r="A13" s="4" t="inlineStr">
        <is>
          <t>2 1/2"</t>
        </is>
      </c>
      <c r="B13" s="4" t="n">
        <v>65</v>
      </c>
      <c r="C13" s="4" t="n">
        <v>68.90000000000001</v>
      </c>
      <c r="D13" s="4" t="n">
        <v>3</v>
      </c>
      <c r="E13" s="4" t="n">
        <v>927.9</v>
      </c>
      <c r="F13" s="8">
        <f>6.05E5*E13^1.85/(120^1.85*C13^4.87)*D13*1.2</f>
        <v/>
      </c>
      <c r="G13" s="8">
        <f>E13/60000/(PI()*(C13/1000)^2/4)</f>
        <v/>
      </c>
    </row>
    <row r="14">
      <c r="A14" s="4" t="inlineStr">
        <is>
          <t>2 1/2"</t>
        </is>
      </c>
      <c r="B14" s="4" t="n">
        <v>65</v>
      </c>
      <c r="C14" s="4" t="n">
        <v>68.90000000000001</v>
      </c>
      <c r="D14" s="4" t="n">
        <v>3</v>
      </c>
      <c r="E14" s="4" t="n">
        <v>692.6</v>
      </c>
      <c r="F14" s="8">
        <f>6.05E5*E14^1.85/(120^1.85*C14^4.87)*D14*1.2</f>
        <v/>
      </c>
      <c r="G14" s="8">
        <f>E14/60000/(PI()*(C14/1000)^2/4)</f>
        <v/>
      </c>
    </row>
    <row r="15">
      <c r="A15" s="4" t="inlineStr">
        <is>
          <t>2"</t>
        </is>
      </c>
      <c r="B15" s="4" t="n">
        <v>50</v>
      </c>
      <c r="C15" s="4" t="n">
        <v>53.1</v>
      </c>
      <c r="D15" s="4" t="n">
        <v>3</v>
      </c>
      <c r="E15" s="4" t="n">
        <v>407.7</v>
      </c>
      <c r="F15" s="8">
        <f>6.05E5*E15^1.85/(120^1.85*C15^4.87)*D15*1.2</f>
        <v/>
      </c>
      <c r="G15" s="8">
        <f>E15/60000/(PI()*(C15/1000)^2/4)</f>
        <v/>
      </c>
    </row>
    <row r="16">
      <c r="A16" s="4" t="inlineStr">
        <is>
          <t>2"</t>
        </is>
      </c>
      <c r="B16" s="4" t="n">
        <v>50</v>
      </c>
      <c r="C16" s="4" t="n">
        <v>53.1</v>
      </c>
      <c r="D16" s="4" t="n">
        <v>0.72</v>
      </c>
      <c r="E16" s="4" t="n">
        <v>351.6</v>
      </c>
      <c r="F16" s="8">
        <f>6.05E5*E16^1.85/(120^1.85*C16^4.87)*D16*1.2</f>
        <v/>
      </c>
      <c r="G16" s="8">
        <f>E16/60000/(PI()*(C16/1000)^2/4)</f>
        <v/>
      </c>
    </row>
    <row r="17">
      <c r="A17" s="4" t="inlineStr">
        <is>
          <t>2"</t>
        </is>
      </c>
      <c r="B17" s="4" t="n">
        <v>50</v>
      </c>
      <c r="C17" s="4" t="n">
        <v>53.1</v>
      </c>
      <c r="D17" s="4" t="n">
        <v>0.62</v>
      </c>
      <c r="E17" s="4" t="n">
        <v>294</v>
      </c>
      <c r="F17" s="8">
        <f>6.05E5*E17^1.85/(120^1.85*C17^4.87)*D17*1.2</f>
        <v/>
      </c>
      <c r="G17" s="8">
        <f>E17/60000/(PI()*(C17/1000)^2/4)</f>
        <v/>
      </c>
    </row>
    <row r="18">
      <c r="A18" s="4" t="inlineStr">
        <is>
          <t>1 1/2"</t>
        </is>
      </c>
      <c r="B18" s="4" t="n">
        <v>40</v>
      </c>
      <c r="C18" s="4" t="n">
        <v>41.9</v>
      </c>
      <c r="D18" s="4" t="n">
        <v>3</v>
      </c>
      <c r="E18" s="4" t="n">
        <v>192.8</v>
      </c>
      <c r="F18" s="8">
        <f>6.05E5*E18^1.85/(120^1.85*C18^4.87)*D18*1.2</f>
        <v/>
      </c>
      <c r="G18" s="8">
        <f>E18/60000/(PI()*(C18/1000)^2/4)</f>
        <v/>
      </c>
    </row>
    <row r="19">
      <c r="A19" s="4" t="inlineStr">
        <is>
          <t>1"</t>
        </is>
      </c>
      <c r="B19" s="4" t="n">
        <v>25</v>
      </c>
      <c r="C19" s="4" t="n">
        <v>27.3</v>
      </c>
      <c r="D19" s="4" t="n">
        <v>0.61</v>
      </c>
      <c r="E19" s="4" t="n">
        <v>97.3</v>
      </c>
      <c r="F19" s="8">
        <f>6.05E5*E19^1.85/(120^1.85*C19^4.87)*D19*1.2</f>
        <v/>
      </c>
      <c r="G19" s="8">
        <f>E19/60000/(PI()*(C19/1000)^2/4)</f>
        <v/>
      </c>
    </row>
    <row r="20">
      <c r="A20" s="4" t="inlineStr">
        <is>
          <t>1"</t>
        </is>
      </c>
      <c r="B20" s="4" t="n">
        <v>25</v>
      </c>
      <c r="C20" s="4" t="n">
        <v>27.3</v>
      </c>
      <c r="D20" s="4" t="n">
        <v>3.02</v>
      </c>
      <c r="E20" s="4" t="n">
        <v>47.3</v>
      </c>
      <c r="F20" s="8">
        <f>6.05E5*E20^1.85/(120^1.85*C20^4.87)*D20*1.2</f>
        <v/>
      </c>
      <c r="G20" s="8">
        <f>E20/60000/(PI()*(C20/1000)^2/4)</f>
        <v/>
      </c>
    </row>
    <row r="21">
      <c r="E21" t="inlineStr">
        <is>
          <t>Toplam</t>
        </is>
      </c>
      <c r="F21" s="9">
        <f>SUM(F11:F20)</f>
        <v/>
      </c>
    </row>
    <row r="23">
      <c r="A23" s="6" t="inlineStr">
        <is>
          <t>ZEMİN KAT - kat girişinden en uzak başlığa boru yolu</t>
        </is>
      </c>
    </row>
    <row r="24">
      <c r="A24" s="7" t="inlineStr">
        <is>
          <t>Çap</t>
        </is>
      </c>
      <c r="B24" s="7" t="inlineStr">
        <is>
          <t>DN</t>
        </is>
      </c>
      <c r="C24" s="7" t="inlineStr">
        <is>
          <t>İç çap mm</t>
        </is>
      </c>
      <c r="D24" s="7" t="inlineStr">
        <is>
          <t>L m</t>
        </is>
      </c>
      <c r="E24" s="7" t="inlineStr">
        <is>
          <t>Q l/dk</t>
        </is>
      </c>
      <c r="F24" s="7" t="inlineStr">
        <is>
          <t>Δp bar</t>
        </is>
      </c>
      <c r="G24" s="7" t="inlineStr">
        <is>
          <t>v m/s</t>
        </is>
      </c>
    </row>
    <row r="25">
      <c r="A25" s="4" t="inlineStr">
        <is>
          <t>4"</t>
        </is>
      </c>
      <c r="B25" s="4" t="n">
        <v>100</v>
      </c>
      <c r="C25" s="4" t="n">
        <v>105.3</v>
      </c>
      <c r="D25" s="4" t="n">
        <v>30.71</v>
      </c>
      <c r="E25" s="4" t="n">
        <v>867.3</v>
      </c>
      <c r="F25" s="8">
        <f>6.05E5*E25^1.85/(120^1.85*C25^4.87)*D25*1.2</f>
        <v/>
      </c>
      <c r="G25" s="8">
        <f>E25/60000/(PI()*(C25/1000)^2/4)</f>
        <v/>
      </c>
    </row>
    <row r="26">
      <c r="A26" s="4" t="inlineStr">
        <is>
          <t>3"</t>
        </is>
      </c>
      <c r="B26" s="4" t="n">
        <v>80</v>
      </c>
      <c r="C26" s="4" t="n">
        <v>80.90000000000001</v>
      </c>
      <c r="D26" s="4" t="n">
        <v>9</v>
      </c>
      <c r="E26" s="4" t="n">
        <v>867.3</v>
      </c>
      <c r="F26" s="8">
        <f>6.05E5*E26^1.85/(120^1.85*C26^4.87)*D26*1.2</f>
        <v/>
      </c>
      <c r="G26" s="8">
        <f>E26/60000/(PI()*(C26/1000)^2/4)</f>
        <v/>
      </c>
    </row>
    <row r="27">
      <c r="A27" s="4" t="inlineStr">
        <is>
          <t>2 1/2"</t>
        </is>
      </c>
      <c r="B27" s="4" t="n">
        <v>65</v>
      </c>
      <c r="C27" s="4" t="n">
        <v>68.90000000000001</v>
      </c>
      <c r="D27" s="4" t="n">
        <v>12</v>
      </c>
      <c r="E27" s="4" t="n">
        <v>717.5</v>
      </c>
      <c r="F27" s="8">
        <f>6.05E5*E27^1.85/(120^1.85*C27^4.87)*D27*1.2</f>
        <v/>
      </c>
      <c r="G27" s="8">
        <f>E27/60000/(PI()*(C27/1000)^2/4)</f>
        <v/>
      </c>
    </row>
    <row r="28">
      <c r="A28" s="4" t="inlineStr">
        <is>
          <t>2"</t>
        </is>
      </c>
      <c r="B28" s="4" t="n">
        <v>50</v>
      </c>
      <c r="C28" s="4" t="n">
        <v>53.1</v>
      </c>
      <c r="D28" s="4" t="n">
        <v>3</v>
      </c>
      <c r="E28" s="4" t="n">
        <v>493.7</v>
      </c>
      <c r="F28" s="8">
        <f>6.05E5*E28^1.85/(120^1.85*C28^4.87)*D28*1.2</f>
        <v/>
      </c>
      <c r="G28" s="8">
        <f>E28/60000/(PI()*(C28/1000)^2/4)</f>
        <v/>
      </c>
    </row>
    <row r="29">
      <c r="A29" s="4" t="inlineStr">
        <is>
          <t>2"</t>
        </is>
      </c>
      <c r="B29" s="4" t="n">
        <v>50</v>
      </c>
      <c r="C29" s="4" t="n">
        <v>53.1</v>
      </c>
      <c r="D29" s="4" t="n">
        <v>0.12</v>
      </c>
      <c r="E29" s="4" t="n">
        <v>419.4</v>
      </c>
      <c r="F29" s="8">
        <f>6.05E5*E29^1.85/(120^1.85*C29^4.87)*D29*1.2</f>
        <v/>
      </c>
      <c r="G29" s="8">
        <f>E29/60000/(PI()*(C29/1000)^2/4)</f>
        <v/>
      </c>
    </row>
    <row r="30">
      <c r="A30" s="4" t="inlineStr">
        <is>
          <t>1 1/2"</t>
        </is>
      </c>
      <c r="B30" s="4" t="n">
        <v>40</v>
      </c>
      <c r="C30" s="4" t="n">
        <v>41.9</v>
      </c>
      <c r="D30" s="4" t="n">
        <v>2.4</v>
      </c>
      <c r="E30" s="4" t="n">
        <v>267.3</v>
      </c>
      <c r="F30" s="8">
        <f>6.05E5*E30^1.85/(120^1.85*C30^4.87)*D30*1.2</f>
        <v/>
      </c>
      <c r="G30" s="8">
        <f>E30/60000/(PI()*(C30/1000)^2/4)</f>
        <v/>
      </c>
    </row>
    <row r="31">
      <c r="A31" s="4" t="inlineStr">
        <is>
          <t>1"</t>
        </is>
      </c>
      <c r="B31" s="4" t="n">
        <v>25</v>
      </c>
      <c r="C31" s="4" t="n">
        <v>27.3</v>
      </c>
      <c r="D31" s="4" t="n">
        <v>2.98</v>
      </c>
      <c r="E31" s="4" t="n">
        <v>123.2</v>
      </c>
      <c r="F31" s="8">
        <f>6.05E5*E31^1.85/(120^1.85*C31^4.87)*D31*1.2</f>
        <v/>
      </c>
      <c r="G31" s="8">
        <f>E31/60000/(PI()*(C31/1000)^2/4)</f>
        <v/>
      </c>
    </row>
    <row r="32">
      <c r="A32" s="4" t="inlineStr">
        <is>
          <t>1"</t>
        </is>
      </c>
      <c r="B32" s="4" t="n">
        <v>25</v>
      </c>
      <c r="C32" s="4" t="n">
        <v>27.3</v>
      </c>
      <c r="D32" s="4" t="n">
        <v>3.02</v>
      </c>
      <c r="E32" s="4" t="n">
        <v>60</v>
      </c>
      <c r="F32" s="8">
        <f>6.05E5*E32^1.85/(120^1.85*C32^4.87)*D32*1.2</f>
        <v/>
      </c>
      <c r="G32" s="8">
        <f>E32/60000/(PI()*(C32/1000)^2/4)</f>
        <v/>
      </c>
    </row>
    <row r="33">
      <c r="E33" t="inlineStr">
        <is>
          <t>Toplam</t>
        </is>
      </c>
      <c r="F33" s="9">
        <f>SUM(F25:F32)</f>
        <v/>
      </c>
    </row>
    <row r="35">
      <c r="A35" s="6" t="inlineStr">
        <is>
          <t>1. KAT - kat girişinden en uzak başlığa boru yolu</t>
        </is>
      </c>
    </row>
    <row r="36">
      <c r="A36" s="7" t="inlineStr">
        <is>
          <t>Çap</t>
        </is>
      </c>
      <c r="B36" s="7" t="inlineStr">
        <is>
          <t>DN</t>
        </is>
      </c>
      <c r="C36" s="7" t="inlineStr">
        <is>
          <t>İç çap mm</t>
        </is>
      </c>
      <c r="D36" s="7" t="inlineStr">
        <is>
          <t>L m</t>
        </is>
      </c>
      <c r="E36" s="7" t="inlineStr">
        <is>
          <t>Q l/dk</t>
        </is>
      </c>
      <c r="F36" s="7" t="inlineStr">
        <is>
          <t>Δp bar</t>
        </is>
      </c>
      <c r="G36" s="7" t="inlineStr">
        <is>
          <t>v m/s</t>
        </is>
      </c>
    </row>
    <row r="37">
      <c r="A37" s="4" t="inlineStr">
        <is>
          <t>4"</t>
        </is>
      </c>
      <c r="B37" s="4" t="n">
        <v>100</v>
      </c>
      <c r="C37" s="4" t="n">
        <v>105.3</v>
      </c>
      <c r="D37" s="4" t="n">
        <v>30.98</v>
      </c>
      <c r="E37" s="4" t="n">
        <v>424.3</v>
      </c>
      <c r="F37" s="8">
        <f>6.05E5*E37^1.85/(120^1.85*C37^4.87)*D37*1.2</f>
        <v/>
      </c>
      <c r="G37" s="8">
        <f>E37/60000/(PI()*(C37/1000)^2/4)</f>
        <v/>
      </c>
    </row>
    <row r="38">
      <c r="A38" s="4" t="inlineStr">
        <is>
          <t>3"</t>
        </is>
      </c>
      <c r="B38" s="4" t="n">
        <v>80</v>
      </c>
      <c r="C38" s="4" t="n">
        <v>80.90000000000001</v>
      </c>
      <c r="D38" s="4" t="n">
        <v>11.26</v>
      </c>
      <c r="E38" s="4" t="n">
        <v>424.3</v>
      </c>
      <c r="F38" s="8">
        <f>6.05E5*E38^1.85/(120^1.85*C38^4.87)*D38*1.2</f>
        <v/>
      </c>
      <c r="G38" s="8">
        <f>E38/60000/(PI()*(C38/1000)^2/4)</f>
        <v/>
      </c>
    </row>
    <row r="39">
      <c r="A39" s="4" t="inlineStr">
        <is>
          <t>2 1/2"</t>
        </is>
      </c>
      <c r="B39" s="4" t="n">
        <v>65</v>
      </c>
      <c r="C39" s="4" t="n">
        <v>68.90000000000001</v>
      </c>
      <c r="D39" s="4" t="n">
        <v>7.13</v>
      </c>
      <c r="E39" s="4" t="n">
        <v>345.6</v>
      </c>
      <c r="F39" s="8">
        <f>6.05E5*E39^1.85/(120^1.85*C39^4.87)*D39*1.2</f>
        <v/>
      </c>
      <c r="G39" s="8">
        <f>E39/60000/(PI()*(C39/1000)^2/4)</f>
        <v/>
      </c>
    </row>
    <row r="40">
      <c r="A40" s="4" t="inlineStr">
        <is>
          <t>2"</t>
        </is>
      </c>
      <c r="B40" s="4" t="n">
        <v>50</v>
      </c>
      <c r="C40" s="4" t="n">
        <v>53.1</v>
      </c>
      <c r="D40" s="4" t="n">
        <v>8.44</v>
      </c>
      <c r="E40" s="4" t="n">
        <v>345.6</v>
      </c>
      <c r="F40" s="8">
        <f>6.05E5*E40^1.85/(120^1.85*C40^4.87)*D40*1.2</f>
        <v/>
      </c>
      <c r="G40" s="8">
        <f>E40/60000/(PI()*(C40/1000)^2/4)</f>
        <v/>
      </c>
    </row>
    <row r="41">
      <c r="A41" s="4" t="inlineStr">
        <is>
          <t>1 1/2"</t>
        </is>
      </c>
      <c r="B41" s="4" t="n">
        <v>40</v>
      </c>
      <c r="C41" s="4" t="n">
        <v>41.9</v>
      </c>
      <c r="D41" s="4" t="n">
        <v>3.28</v>
      </c>
      <c r="E41" s="4" t="n">
        <v>269.2</v>
      </c>
      <c r="F41" s="8">
        <f>6.05E5*E41^1.85/(120^1.85*C41^4.87)*D41*1.2</f>
        <v/>
      </c>
      <c r="G41" s="8">
        <f>E41/60000/(PI()*(C41/1000)^2/4)</f>
        <v/>
      </c>
    </row>
    <row r="42">
      <c r="A42" s="4" t="inlineStr">
        <is>
          <t>1"</t>
        </is>
      </c>
      <c r="B42" s="4" t="n">
        <v>25</v>
      </c>
      <c r="C42" s="4" t="n">
        <v>27.3</v>
      </c>
      <c r="D42" s="4" t="n">
        <v>3.27</v>
      </c>
      <c r="E42" s="4" t="n">
        <v>123.2</v>
      </c>
      <c r="F42" s="8">
        <f>6.05E5*E42^1.85/(120^1.85*C42^4.87)*D42*1.2</f>
        <v/>
      </c>
      <c r="G42" s="8">
        <f>E42/60000/(PI()*(C42/1000)^2/4)</f>
        <v/>
      </c>
    </row>
    <row r="43">
      <c r="A43" s="4" t="inlineStr">
        <is>
          <t>1"</t>
        </is>
      </c>
      <c r="B43" s="4" t="n">
        <v>25</v>
      </c>
      <c r="C43" s="4" t="n">
        <v>27.3</v>
      </c>
      <c r="D43" s="4" t="n">
        <v>3.02</v>
      </c>
      <c r="E43" s="4" t="n">
        <v>60</v>
      </c>
      <c r="F43" s="8">
        <f>6.05E5*E43^1.85/(120^1.85*C43^4.87)*D43*1.2</f>
        <v/>
      </c>
      <c r="G43" s="8">
        <f>E43/60000/(PI()*(C43/1000)^2/4)</f>
        <v/>
      </c>
    </row>
    <row r="44">
      <c r="E44" t="inlineStr">
        <is>
          <t>Toplam</t>
        </is>
      </c>
      <c r="F44" s="9">
        <f>SUM(F37:F43)</f>
        <v/>
      </c>
    </row>
    <row r="46">
      <c r="A46" s="6" t="inlineStr">
        <is>
          <t>2. KAT - kat girişinden en uzak başlığa boru yolu</t>
        </is>
      </c>
    </row>
    <row r="47">
      <c r="A47" s="7" t="inlineStr">
        <is>
          <t>Çap</t>
        </is>
      </c>
      <c r="B47" s="7" t="inlineStr">
        <is>
          <t>DN</t>
        </is>
      </c>
      <c r="C47" s="7" t="inlineStr">
        <is>
          <t>İç çap mm</t>
        </is>
      </c>
      <c r="D47" s="7" t="inlineStr">
        <is>
          <t>L m</t>
        </is>
      </c>
      <c r="E47" s="7" t="inlineStr">
        <is>
          <t>Q l/dk</t>
        </is>
      </c>
      <c r="F47" s="7" t="inlineStr">
        <is>
          <t>Δp bar</t>
        </is>
      </c>
      <c r="G47" s="7" t="inlineStr">
        <is>
          <t>v m/s</t>
        </is>
      </c>
    </row>
    <row r="48">
      <c r="A48" s="4" t="inlineStr">
        <is>
          <t>4"</t>
        </is>
      </c>
      <c r="B48" s="4" t="n">
        <v>100</v>
      </c>
      <c r="C48" s="4" t="n">
        <v>105.3</v>
      </c>
      <c r="D48" s="4" t="n">
        <v>30.98</v>
      </c>
      <c r="E48" s="4" t="n">
        <v>424.3</v>
      </c>
      <c r="F48" s="8">
        <f>6.05E5*E48^1.85/(120^1.85*C48^4.87)*D48*1.2</f>
        <v/>
      </c>
      <c r="G48" s="8">
        <f>E48/60000/(PI()*(C48/1000)^2/4)</f>
        <v/>
      </c>
    </row>
    <row r="49">
      <c r="A49" s="4" t="inlineStr">
        <is>
          <t>3"</t>
        </is>
      </c>
      <c r="B49" s="4" t="n">
        <v>80</v>
      </c>
      <c r="C49" s="4" t="n">
        <v>80.90000000000001</v>
      </c>
      <c r="D49" s="4" t="n">
        <v>11.26</v>
      </c>
      <c r="E49" s="4" t="n">
        <v>424.3</v>
      </c>
      <c r="F49" s="8">
        <f>6.05E5*E49^1.85/(120^1.85*C49^4.87)*D49*1.2</f>
        <v/>
      </c>
      <c r="G49" s="8">
        <f>E49/60000/(PI()*(C49/1000)^2/4)</f>
        <v/>
      </c>
    </row>
    <row r="50">
      <c r="A50" s="4" t="inlineStr">
        <is>
          <t>2 1/2"</t>
        </is>
      </c>
      <c r="B50" s="4" t="n">
        <v>65</v>
      </c>
      <c r="C50" s="4" t="n">
        <v>68.90000000000001</v>
      </c>
      <c r="D50" s="4" t="n">
        <v>7.13</v>
      </c>
      <c r="E50" s="4" t="n">
        <v>345.6</v>
      </c>
      <c r="F50" s="8">
        <f>6.05E5*E50^1.85/(120^1.85*C50^4.87)*D50*1.2</f>
        <v/>
      </c>
      <c r="G50" s="8">
        <f>E50/60000/(PI()*(C50/1000)^2/4)</f>
        <v/>
      </c>
    </row>
    <row r="51">
      <c r="A51" s="4" t="inlineStr">
        <is>
          <t>2"</t>
        </is>
      </c>
      <c r="B51" s="4" t="n">
        <v>50</v>
      </c>
      <c r="C51" s="4" t="n">
        <v>53.1</v>
      </c>
      <c r="D51" s="4" t="n">
        <v>8.44</v>
      </c>
      <c r="E51" s="4" t="n">
        <v>345.6</v>
      </c>
      <c r="F51" s="8">
        <f>6.05E5*E51^1.85/(120^1.85*C51^4.87)*D51*1.2</f>
        <v/>
      </c>
      <c r="G51" s="8">
        <f>E51/60000/(PI()*(C51/1000)^2/4)</f>
        <v/>
      </c>
    </row>
    <row r="52">
      <c r="A52" s="4" t="inlineStr">
        <is>
          <t>1 1/2"</t>
        </is>
      </c>
      <c r="B52" s="4" t="n">
        <v>40</v>
      </c>
      <c r="C52" s="4" t="n">
        <v>41.9</v>
      </c>
      <c r="D52" s="4" t="n">
        <v>3.28</v>
      </c>
      <c r="E52" s="4" t="n">
        <v>269.2</v>
      </c>
      <c r="F52" s="8">
        <f>6.05E5*E52^1.85/(120^1.85*C52^4.87)*D52*1.2</f>
        <v/>
      </c>
      <c r="G52" s="8">
        <f>E52/60000/(PI()*(C52/1000)^2/4)</f>
        <v/>
      </c>
    </row>
    <row r="53">
      <c r="A53" s="4" t="inlineStr">
        <is>
          <t>1"</t>
        </is>
      </c>
      <c r="B53" s="4" t="n">
        <v>25</v>
      </c>
      <c r="C53" s="4" t="n">
        <v>27.3</v>
      </c>
      <c r="D53" s="4" t="n">
        <v>3.27</v>
      </c>
      <c r="E53" s="4" t="n">
        <v>123.2</v>
      </c>
      <c r="F53" s="8">
        <f>6.05E5*E53^1.85/(120^1.85*C53^4.87)*D53*1.2</f>
        <v/>
      </c>
      <c r="G53" s="8">
        <f>E53/60000/(PI()*(C53/1000)^2/4)</f>
        <v/>
      </c>
    </row>
    <row r="54">
      <c r="A54" s="4" t="inlineStr">
        <is>
          <t>1"</t>
        </is>
      </c>
      <c r="B54" s="4" t="n">
        <v>25</v>
      </c>
      <c r="C54" s="4" t="n">
        <v>27.3</v>
      </c>
      <c r="D54" s="4" t="n">
        <v>3.02</v>
      </c>
      <c r="E54" s="4" t="n">
        <v>60</v>
      </c>
      <c r="F54" s="8">
        <f>6.05E5*E54^1.85/(120^1.85*C54^4.87)*D54*1.2</f>
        <v/>
      </c>
      <c r="G54" s="8">
        <f>E54/60000/(PI()*(C54/1000)^2/4)</f>
        <v/>
      </c>
    </row>
    <row r="55">
      <c r="E55" t="inlineStr">
        <is>
          <t>Toplam</t>
        </is>
      </c>
      <c r="F55" s="9">
        <f>SUM(F48:F54)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ROTAŞ MÜHENDİSLİK - VOYAP - YANGIN TESİSATI (SPRİNKLER + YANGIN DOLABI)</t>
        </is>
      </c>
    </row>
    <row r="2">
      <c r="A2" s="2" t="inlineStr">
        <is>
          <t>BORU VE MALZEME METRAJI (%10 fire hariç)</t>
        </is>
      </c>
    </row>
    <row r="3">
      <c r="A3" s="3" t="inlineStr">
        <is>
          <t>Çap</t>
        </is>
      </c>
      <c r="B3" s="3" t="inlineStr">
        <is>
          <t>BODRUM</t>
        </is>
      </c>
      <c r="C3" s="3" t="inlineStr">
        <is>
          <t>ZEMİN</t>
        </is>
      </c>
      <c r="D3" s="3" t="inlineStr">
        <is>
          <t>1. KAT</t>
        </is>
      </c>
      <c r="E3" s="3" t="inlineStr">
        <is>
          <t>2. KAT</t>
        </is>
      </c>
      <c r="F3" s="3" t="inlineStr">
        <is>
          <t>TOPLAM m</t>
        </is>
      </c>
    </row>
    <row r="4">
      <c r="A4" s="4" t="inlineStr">
        <is>
          <t>1"</t>
        </is>
      </c>
      <c r="B4" s="4" t="n">
        <v>191.1</v>
      </c>
      <c r="C4" s="4" t="n">
        <v>197.9</v>
      </c>
      <c r="D4" s="4" t="n">
        <v>188.6</v>
      </c>
      <c r="E4" s="4" t="n">
        <v>188.6</v>
      </c>
      <c r="F4" s="10">
        <f>SUM(B4:E4)</f>
        <v/>
      </c>
    </row>
    <row r="5">
      <c r="A5" s="4" t="inlineStr">
        <is>
          <t>1 1/4"</t>
        </is>
      </c>
      <c r="B5" s="4" t="n">
        <v>43.8</v>
      </c>
      <c r="C5" s="4" t="n">
        <v>17.1</v>
      </c>
      <c r="D5" s="4" t="n">
        <v>19.6</v>
      </c>
      <c r="E5" s="4" t="n">
        <v>19.6</v>
      </c>
      <c r="F5" s="10">
        <f>SUM(B5:E5)</f>
        <v/>
      </c>
    </row>
    <row r="6">
      <c r="A6" s="4" t="inlineStr">
        <is>
          <t>1 1/2"</t>
        </is>
      </c>
      <c r="B6" s="4" t="n">
        <v>25.5</v>
      </c>
      <c r="C6" s="4" t="n">
        <v>35.1</v>
      </c>
      <c r="D6" s="4" t="n">
        <v>43.4</v>
      </c>
      <c r="E6" s="4" t="n">
        <v>43.4</v>
      </c>
      <c r="F6" s="10">
        <f>SUM(B6:E6)</f>
        <v/>
      </c>
    </row>
    <row r="7">
      <c r="A7" s="4" t="inlineStr">
        <is>
          <t>2"</t>
        </is>
      </c>
      <c r="B7" s="4" t="n">
        <v>14.2</v>
      </c>
      <c r="C7" s="4" t="n">
        <v>28.7</v>
      </c>
      <c r="D7" s="4" t="n">
        <v>38.1</v>
      </c>
      <c r="E7" s="4" t="n">
        <v>38.1</v>
      </c>
      <c r="F7" s="10">
        <f>SUM(B7:E7)</f>
        <v/>
      </c>
    </row>
    <row r="8">
      <c r="A8" s="4" t="inlineStr">
        <is>
          <t>2 1/2"</t>
        </is>
      </c>
      <c r="B8" s="4" t="n">
        <v>9.9</v>
      </c>
      <c r="C8" s="4" t="n">
        <v>23.6</v>
      </c>
      <c r="D8" s="4" t="n">
        <v>25</v>
      </c>
      <c r="E8" s="4" t="n">
        <v>25</v>
      </c>
      <c r="F8" s="10">
        <f>SUM(B8:E8)</f>
        <v/>
      </c>
    </row>
    <row r="9">
      <c r="A9" s="4" t="inlineStr">
        <is>
          <t>3"</t>
        </is>
      </c>
      <c r="B9" s="4" t="n">
        <v>12</v>
      </c>
      <c r="C9" s="4" t="n">
        <v>15.7</v>
      </c>
      <c r="D9" s="4" t="n">
        <v>15.8</v>
      </c>
      <c r="E9" s="4" t="n">
        <v>15.8</v>
      </c>
      <c r="F9" s="10">
        <f>SUM(B9:E9)</f>
        <v/>
      </c>
    </row>
    <row r="10">
      <c r="A10" s="4" t="inlineStr">
        <is>
          <t>4"</t>
        </is>
      </c>
      <c r="B10" s="4" t="n">
        <v>32.3</v>
      </c>
      <c r="C10" s="4" t="n">
        <v>30.7</v>
      </c>
      <c r="D10" s="4" t="n">
        <v>31</v>
      </c>
      <c r="E10" s="4" t="n">
        <v>31</v>
      </c>
      <c r="F10" s="10">
        <f>SUM(B10:E10)</f>
        <v/>
      </c>
    </row>
    <row r="12">
      <c r="A12" s="3" t="inlineStr">
        <is>
          <t>MALZEME</t>
        </is>
      </c>
      <c r="B12" s="3" t="inlineStr">
        <is>
          <t>MİKTAR</t>
        </is>
      </c>
      <c r="C12" s="3" t="inlineStr">
        <is>
          <t>BİRİM</t>
        </is>
      </c>
    </row>
    <row r="13">
      <c r="A13" s="4" t="inlineStr">
        <is>
          <t>Sprinkler upright K80 68°C</t>
        </is>
      </c>
      <c r="B13" s="4" t="n">
        <v>214</v>
      </c>
      <c r="C13" s="4" t="inlineStr">
        <is>
          <t>adet</t>
        </is>
      </c>
    </row>
    <row r="14">
      <c r="A14" s="4" t="inlineStr">
        <is>
          <t>Sprinkler pendant K80 68°C</t>
        </is>
      </c>
      <c r="B14" s="4" t="n">
        <v>244</v>
      </c>
      <c r="C14" s="4" t="inlineStr">
        <is>
          <t>adet</t>
        </is>
      </c>
    </row>
    <row r="15">
      <c r="A15" s="4" t="inlineStr">
        <is>
          <t>Ara seviye sprinkler (lift)</t>
        </is>
      </c>
      <c r="B15" s="4" t="n">
        <v>22</v>
      </c>
      <c r="C15" s="4" t="inlineStr">
        <is>
          <t>adet</t>
        </is>
      </c>
    </row>
    <row r="16">
      <c r="A16" s="4" t="inlineStr">
        <is>
          <t>Yangın dolabı TS EN 671-1</t>
        </is>
      </c>
      <c r="B16" s="4" t="n">
        <v>8</v>
      </c>
      <c r="C16" s="4" t="inlineStr">
        <is>
          <t>adet</t>
        </is>
      </c>
    </row>
    <row r="17">
      <c r="A17" s="4" t="inlineStr">
        <is>
          <t>Islak alarm vanası DN100</t>
        </is>
      </c>
      <c r="B17" s="4" t="n">
        <v>2</v>
      </c>
      <c r="C17" s="4" t="inlineStr">
        <is>
          <t>adet</t>
        </is>
      </c>
    </row>
    <row r="18">
      <c r="A18" s="4" t="inlineStr">
        <is>
          <t>Kat kontrol istasyonu DN100</t>
        </is>
      </c>
      <c r="B18" s="4" t="n">
        <v>3</v>
      </c>
      <c r="C18" s="4" t="inlineStr">
        <is>
          <t>takım</t>
        </is>
      </c>
    </row>
    <row r="19">
      <c r="A19" s="4" t="inlineStr">
        <is>
          <t>İtfaiye bağlantısı 2x2½"</t>
        </is>
      </c>
      <c r="B19" s="4" t="n">
        <v>1</v>
      </c>
      <c r="C19" s="4" t="inlineStr">
        <is>
          <t>adet</t>
        </is>
      </c>
    </row>
    <row r="20">
      <c r="A20" s="4" t="inlineStr">
        <is>
          <t>Yangın pompa grubu (E+D+J)</t>
        </is>
      </c>
      <c r="B20" s="4" t="n">
        <v>1</v>
      </c>
      <c r="C20" s="4" t="inlineStr">
        <is>
          <t>takım</t>
        </is>
      </c>
    </row>
    <row r="21">
      <c r="A21" s="4" t="inlineStr">
        <is>
          <t>Yangın suyu deposu 80 m³</t>
        </is>
      </c>
      <c r="B21" s="4" t="n">
        <v>1</v>
      </c>
      <c r="C21" s="4" t="inlineStr">
        <is>
          <t>adet</t>
        </is>
      </c>
    </row>
    <row r="22">
      <c r="A22" s="4" t="inlineStr">
        <is>
          <t>Yedek sprinkler dolabı (6 adet başlık + anahtar)</t>
        </is>
      </c>
      <c r="B22" s="4" t="n">
        <v>1</v>
      </c>
      <c r="C22" s="4" t="inlineStr">
        <is>
          <t>adet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2026-10-12T22:10:59Z</dcterms:created>
  <dcterms:modified xmlns:dcterms="http://purl.org/dc/terms/" xmlns:xsi="http://www.w3.org/2001/XMLSchema-instance" xsi:type="dcterms:W3CDTF">2026-10-12T22:10:59Z</dcterms:modified>
</cp:coreProperties>
</file>