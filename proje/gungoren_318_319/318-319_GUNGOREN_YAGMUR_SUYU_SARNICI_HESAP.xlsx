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ĞMUR SUYU SARNICI" sheetId="1" state="visible" r:id="rId1"/>
  </sheets>
  <definedNames>
    <definedName name="_xlnm.Print_Area" localSheetId="0">'YAĞMUR SUYU SARNICI'!$A$1:$F$41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8" customWidth="1" min="3" max="3"/>
    <col width="12" customWidth="1" min="4" max="4"/>
    <col width="9" customWidth="1" min="5" max="5"/>
    <col width="40" customWidth="1" min="6" max="6"/>
  </cols>
  <sheetData>
    <row r="1">
      <c r="A1" s="1" t="inlineStr">
        <is>
          <t>ROTAŞ MÜHENDİSLİK - 318-319 PARSEL GÜNGÖREN A-B BLOK</t>
        </is>
      </c>
    </row>
    <row r="2">
      <c r="A2" s="2" t="inlineStr">
        <is>
          <t>YAĞMUR SUYU SARNICI (YALNIZ BAHÇE SULAMA) - DEPO, FİLTRE, HİDROFOR, TAŞMA HESABI  (PAİY m.57/7-a, TS EN 16941-1, TS EN 12056-3)</t>
        </is>
      </c>
    </row>
    <row r="4">
      <c r="A4" s="3" t="inlineStr">
        <is>
          <t>NO</t>
        </is>
      </c>
      <c r="B4" s="3" t="inlineStr">
        <is>
          <t>KALEM</t>
        </is>
      </c>
      <c r="C4" s="3" t="inlineStr">
        <is>
          <t>SEMBOL</t>
        </is>
      </c>
      <c r="D4" s="3" t="inlineStr">
        <is>
          <t>DEĞER</t>
        </is>
      </c>
      <c r="E4" s="3" t="inlineStr">
        <is>
          <t>BİRİM</t>
        </is>
      </c>
      <c r="F4" s="3" t="inlineStr">
        <is>
          <t>AÇIKLAMA</t>
        </is>
      </c>
    </row>
    <row r="5">
      <c r="A5" s="4" t="n">
        <v>1</v>
      </c>
      <c r="B5" s="4" t="inlineStr">
        <is>
          <t>Yıllık yağış (İstanbul, MGM aylık ort. toplamı)</t>
        </is>
      </c>
      <c r="C5" s="4" t="inlineStr">
        <is>
          <t>h</t>
        </is>
      </c>
      <c r="D5" s="5" t="n">
        <v>659.4</v>
      </c>
      <c r="E5" s="4" t="inlineStr">
        <is>
          <t>mm</t>
        </is>
      </c>
      <c r="F5" s="4" t="inlineStr">
        <is>
          <t>MGM 1950-2025</t>
        </is>
      </c>
    </row>
    <row r="6">
      <c r="A6" s="4" t="n">
        <v>2</v>
      </c>
      <c r="B6" s="4" t="inlineStr">
        <is>
          <t>A Blok çatı iz düşümü (saçak dahil)</t>
        </is>
      </c>
      <c r="C6" s="4" t="inlineStr">
        <is>
          <t>A_A</t>
        </is>
      </c>
      <c r="D6" s="5" t="n">
        <v>365</v>
      </c>
      <c r="E6" s="4" t="inlineStr">
        <is>
          <t>m²</t>
        </is>
      </c>
      <c r="F6" s="4" t="inlineStr">
        <is>
          <t>çatı planından</t>
        </is>
      </c>
    </row>
    <row r="7">
      <c r="A7" s="4" t="n">
        <v>3</v>
      </c>
      <c r="B7" s="4" t="inlineStr">
        <is>
          <t>B Blok çatı iz düşümü (saçak dahil)</t>
        </is>
      </c>
      <c r="C7" s="4" t="inlineStr">
        <is>
          <t>A_B</t>
        </is>
      </c>
      <c r="D7" s="5" t="n">
        <v>337.7</v>
      </c>
      <c r="E7" s="4" t="inlineStr">
        <is>
          <t>m²</t>
        </is>
      </c>
      <c r="F7" s="4" t="inlineStr">
        <is>
          <t>çatı planından</t>
        </is>
      </c>
    </row>
    <row r="8">
      <c r="A8" s="4" t="n">
        <v>4</v>
      </c>
      <c r="B8" s="4" t="inlineStr">
        <is>
          <t>Toplam toplama alanı</t>
        </is>
      </c>
      <c r="C8" s="4" t="inlineStr">
        <is>
          <t>A</t>
        </is>
      </c>
      <c r="D8" s="5">
        <f>D6+D7</f>
        <v/>
      </c>
      <c r="E8" s="4" t="inlineStr">
        <is>
          <t>m²</t>
        </is>
      </c>
      <c r="F8" s="4" t="inlineStr"/>
    </row>
    <row r="9">
      <c r="A9" s="4" t="n">
        <v>5</v>
      </c>
      <c r="B9" s="4" t="inlineStr">
        <is>
          <t>Çatı verim katsayısı (kiremit)</t>
        </is>
      </c>
      <c r="C9" s="4" t="inlineStr">
        <is>
          <t>e</t>
        </is>
      </c>
      <c r="D9" s="5" t="n">
        <v>0.8</v>
      </c>
      <c r="E9" s="4" t="inlineStr">
        <is>
          <t>-</t>
        </is>
      </c>
      <c r="F9" s="4" t="inlineStr">
        <is>
          <t>TS EN 16941-1</t>
        </is>
      </c>
    </row>
    <row r="10">
      <c r="A10" s="4" t="n">
        <v>6</v>
      </c>
      <c r="B10" s="4" t="inlineStr">
        <is>
          <t>Filtre hidrolik verimi</t>
        </is>
      </c>
      <c r="C10" s="4" t="inlineStr">
        <is>
          <t>η</t>
        </is>
      </c>
      <c r="D10" s="5" t="n">
        <v>0.9</v>
      </c>
      <c r="E10" s="4" t="inlineStr">
        <is>
          <t>-</t>
        </is>
      </c>
      <c r="F10" s="4" t="inlineStr">
        <is>
          <t>F1 girdap filtre</t>
        </is>
      </c>
    </row>
    <row r="11">
      <c r="A11" s="4" t="n">
        <v>7</v>
      </c>
      <c r="B11" s="4" t="inlineStr">
        <is>
          <t>Yıllık toplanabilir su E = A·h·e·η</t>
        </is>
      </c>
      <c r="C11" s="4" t="inlineStr">
        <is>
          <t>E</t>
        </is>
      </c>
      <c r="D11" s="5">
        <f>D8*D5/1000*D9*D10</f>
        <v/>
      </c>
      <c r="E11" s="4" t="inlineStr">
        <is>
          <t>m³/yıl</t>
        </is>
      </c>
      <c r="F11" s="4" t="inlineStr"/>
    </row>
    <row r="12">
      <c r="A12" s="4" t="n">
        <v>8</v>
      </c>
      <c r="B12" s="4" t="inlineStr">
        <is>
          <t>Asgari depo hacmi Vmin = %6·E</t>
        </is>
      </c>
      <c r="C12" s="4" t="inlineStr">
        <is>
          <t>Vmin</t>
        </is>
      </c>
      <c r="D12" s="5">
        <f>0.06*D11</f>
        <v/>
      </c>
      <c r="E12" s="4" t="inlineStr">
        <is>
          <t>m³</t>
        </is>
      </c>
      <c r="F12" s="4" t="inlineStr">
        <is>
          <t>PAİY m.57/7-a</t>
        </is>
      </c>
    </row>
    <row r="13">
      <c r="A13" s="4" t="n">
        <v>9</v>
      </c>
      <c r="B13" s="4" t="inlineStr">
        <is>
          <t>Sarnıç iç ölçü (mimari: yağmur hasadı deposu) - en</t>
        </is>
      </c>
      <c r="C13" s="4" t="inlineStr">
        <is>
          <t>a</t>
        </is>
      </c>
      <c r="D13" s="5" t="n">
        <v>3.74</v>
      </c>
      <c r="E13" s="4" t="inlineStr">
        <is>
          <t>m</t>
        </is>
      </c>
      <c r="F13" s="4" t="inlineStr"/>
    </row>
    <row r="14">
      <c r="A14" s="4" t="n">
        <v>10</v>
      </c>
      <c r="B14" s="4" t="inlineStr">
        <is>
          <t>Sarnıç iç ölçü - boy</t>
        </is>
      </c>
      <c r="C14" s="4" t="inlineStr">
        <is>
          <t>b</t>
        </is>
      </c>
      <c r="D14" s="5" t="n">
        <v>5.05</v>
      </c>
      <c r="E14" s="4" t="inlineStr">
        <is>
          <t>m</t>
        </is>
      </c>
      <c r="F14" s="4" t="inlineStr"/>
    </row>
    <row r="15">
      <c r="A15" s="4" t="n">
        <v>11</v>
      </c>
      <c r="B15" s="4" t="inlineStr">
        <is>
          <t>Faydalı su yüksekliği</t>
        </is>
      </c>
      <c r="C15" s="4" t="inlineStr">
        <is>
          <t>hs</t>
        </is>
      </c>
      <c r="D15" s="5" t="n">
        <v>1.5</v>
      </c>
      <c r="E15" s="4" t="inlineStr">
        <is>
          <t>m</t>
        </is>
      </c>
      <c r="F15" s="4" t="inlineStr"/>
    </row>
    <row r="16">
      <c r="A16" s="4" t="n">
        <v>12</v>
      </c>
      <c r="B16" s="4" t="inlineStr">
        <is>
          <t>Sarnıç faydalı hacmi</t>
        </is>
      </c>
      <c r="C16" s="4" t="inlineStr">
        <is>
          <t>V</t>
        </is>
      </c>
      <c r="D16" s="5">
        <f>D13*D14*D15</f>
        <v/>
      </c>
      <c r="E16" s="4" t="inlineStr">
        <is>
          <t>m³</t>
        </is>
      </c>
      <c r="F16" s="4" t="inlineStr"/>
    </row>
    <row r="17">
      <c r="A17" s="4" t="n">
        <v>13</v>
      </c>
      <c r="B17" s="4" t="inlineStr">
        <is>
          <t>Kontrol V ≥ Vmin</t>
        </is>
      </c>
      <c r="C17" s="4" t="inlineStr"/>
      <c r="D17" s="4">
        <f>IF(D16&gt;=D12,"UYGUN","YETERSİZ")</f>
        <v/>
      </c>
      <c r="E17" s="4" t="inlineStr"/>
      <c r="F17" s="4" t="inlineStr"/>
    </row>
    <row r="18">
      <c r="A18" s="4" t="n">
        <v>14</v>
      </c>
      <c r="B18" s="4" t="inlineStr">
        <is>
          <t>Sulanan bahçe alanı</t>
        </is>
      </c>
      <c r="C18" s="4" t="inlineStr">
        <is>
          <t>Ab</t>
        </is>
      </c>
      <c r="D18" s="5" t="n">
        <v>181.6</v>
      </c>
      <c r="E18" s="4" t="inlineStr">
        <is>
          <t>m²</t>
        </is>
      </c>
      <c r="F18" s="4" t="inlineStr">
        <is>
          <t>vaziyet planından</t>
        </is>
      </c>
    </row>
    <row r="19">
      <c r="A19" s="4" t="n">
        <v>15</v>
      </c>
      <c r="B19" s="4" t="inlineStr">
        <is>
          <t>Yıllık sulama suyu (60 l/m²·yıl)</t>
        </is>
      </c>
      <c r="C19" s="4" t="inlineStr">
        <is>
          <t>Ds</t>
        </is>
      </c>
      <c r="D19" s="5">
        <f>D18*60/1000</f>
        <v/>
      </c>
      <c r="E19" s="4" t="inlineStr">
        <is>
          <t>m³/yıl</t>
        </is>
      </c>
      <c r="F19" s="4" t="inlineStr">
        <is>
          <t>DIN 1989-1</t>
        </is>
      </c>
    </row>
    <row r="20">
      <c r="A20" s="4" t="n">
        <v>16</v>
      </c>
      <c r="B20" s="4" t="inlineStr">
        <is>
          <t>Kontrol Ds ≤ E</t>
        </is>
      </c>
      <c r="C20" s="4" t="inlineStr"/>
      <c r="D20" s="4">
        <f>IF(D19&lt;=D11,"UYGUN","ŞEBEKE TAKVİYESİ ARTAR")</f>
        <v/>
      </c>
      <c r="E20" s="4" t="inlineStr"/>
      <c r="F20" s="4" t="inlineStr"/>
    </row>
    <row r="21">
      <c r="A21" s="4" t="n">
        <v>17</v>
      </c>
      <c r="B21" s="4" t="inlineStr">
        <is>
          <t>Yaz günlük sulama (5 l/m²·gün)</t>
        </is>
      </c>
      <c r="C21" s="4" t="inlineStr">
        <is>
          <t>qg</t>
        </is>
      </c>
      <c r="D21" s="5">
        <f>D18*5/1000</f>
        <v/>
      </c>
      <c r="E21" s="4" t="inlineStr">
        <is>
          <t>m³/gün</t>
        </is>
      </c>
      <c r="F21" s="4" t="inlineStr"/>
    </row>
    <row r="22">
      <c r="A22" s="4" t="n">
        <v>18</v>
      </c>
      <c r="B22" s="4" t="inlineStr">
        <is>
          <t>Depo karşılama süresi</t>
        </is>
      </c>
      <c r="C22" s="4" t="inlineStr">
        <is>
          <t>t</t>
        </is>
      </c>
      <c r="D22" s="5">
        <f>D16/D21</f>
        <v/>
      </c>
      <c r="E22" s="4" t="inlineStr">
        <is>
          <t>gün</t>
        </is>
      </c>
      <c r="F22" s="4" t="inlineStr"/>
    </row>
    <row r="23">
      <c r="A23" s="4" t="n">
        <v>19</v>
      </c>
      <c r="B23" s="4" t="inlineStr">
        <is>
          <t>Tasarım yağış debisi Qr = A·r·C (r=0,030 l/s·m², C=1)</t>
        </is>
      </c>
      <c r="C23" s="4" t="inlineStr">
        <is>
          <t>Qr</t>
        </is>
      </c>
      <c r="D23" s="5">
        <f>D8*0.03</f>
        <v/>
      </c>
      <c r="E23" s="4" t="inlineStr">
        <is>
          <t>l/s</t>
        </is>
      </c>
      <c r="F23" s="4" t="inlineStr">
        <is>
          <t>TS EN 12056-3</t>
        </is>
      </c>
    </row>
    <row r="24">
      <c r="A24" s="4" t="n">
        <v>20</v>
      </c>
      <c r="B24" s="4" t="inlineStr">
        <is>
          <t>Taşma hattı Ø200 PVC %1 kapasitesi (Manning n=0,010, di=190 mm)</t>
        </is>
      </c>
      <c r="C24" s="4" t="inlineStr">
        <is>
          <t>Qt</t>
        </is>
      </c>
      <c r="D24" s="5">
        <f>PI()*0.19^2/4*(1/0.01)*(0.19/4)^(2/3)*0.01^0.5*1000</f>
        <v/>
      </c>
      <c r="E24" s="4" t="inlineStr">
        <is>
          <t>l/s</t>
        </is>
      </c>
      <c r="F24" s="4" t="inlineStr">
        <is>
          <t>cazibe, pompa yok</t>
        </is>
      </c>
    </row>
    <row r="25">
      <c r="A25" s="4" t="n">
        <v>21</v>
      </c>
      <c r="B25" s="4" t="inlineStr">
        <is>
          <t>Kontrol Qt ≥ Qr</t>
        </is>
      </c>
      <c r="C25" s="4" t="inlineStr"/>
      <c r="D25" s="4">
        <f>IF(D24&gt;=D23,"UYGUN","ÇAP ARTIR")</f>
        <v/>
      </c>
      <c r="E25" s="4" t="inlineStr"/>
      <c r="F25" s="4" t="inlineStr">
        <is>
          <t>taşma → yağmur suyu kanalı</t>
        </is>
      </c>
    </row>
    <row r="26">
      <c r="A26" s="4" t="n">
        <v>22</v>
      </c>
      <c r="B26" s="4" t="inlineStr">
        <is>
          <t>Hidrofor debisi (1 zon, 6 rotor x 0,25 m³/h)</t>
        </is>
      </c>
      <c r="C26" s="4" t="inlineStr">
        <is>
          <t>Q</t>
        </is>
      </c>
      <c r="D26" s="5" t="n">
        <v>1.5</v>
      </c>
      <c r="E26" s="4" t="inlineStr">
        <is>
          <t>m³/h</t>
        </is>
      </c>
      <c r="F26" s="4" t="inlineStr"/>
    </row>
    <row r="27">
      <c r="A27" s="4" t="n">
        <v>23</v>
      </c>
      <c r="B27" s="4" t="inlineStr">
        <is>
          <t>Geometrik yükseklik</t>
        </is>
      </c>
      <c r="C27" s="4" t="inlineStr">
        <is>
          <t>Hg</t>
        </is>
      </c>
      <c r="D27" s="5" t="n">
        <v>5.3</v>
      </c>
      <c r="E27" s="4" t="inlineStr">
        <is>
          <t>mSS</t>
        </is>
      </c>
      <c r="F27" s="4" t="inlineStr">
        <is>
          <t>2. bodrum min. su seviyesi → bahçe</t>
        </is>
      </c>
    </row>
    <row r="28">
      <c r="A28" s="4" t="n">
        <v>24</v>
      </c>
      <c r="B28" s="4" t="inlineStr">
        <is>
          <t>Sürtünme + filtre + vana kayıpları</t>
        </is>
      </c>
      <c r="C28" s="4" t="inlineStr">
        <is>
          <t>Hk</t>
        </is>
      </c>
      <c r="D28" s="5" t="n">
        <v>5.7</v>
      </c>
      <c r="E28" s="4" t="inlineStr">
        <is>
          <t>mSS</t>
        </is>
      </c>
      <c r="F28" s="4" t="inlineStr"/>
    </row>
    <row r="29">
      <c r="A29" s="4" t="n">
        <v>25</v>
      </c>
      <c r="B29" s="4" t="inlineStr">
        <is>
          <t>Çıkış basıncı (rotor sprinkler)</t>
        </is>
      </c>
      <c r="C29" s="4" t="inlineStr">
        <is>
          <t>Hç</t>
        </is>
      </c>
      <c r="D29" s="5" t="n">
        <v>25</v>
      </c>
      <c r="E29" s="4" t="inlineStr">
        <is>
          <t>mSS</t>
        </is>
      </c>
      <c r="F29" s="4" t="inlineStr"/>
    </row>
    <row r="30">
      <c r="A30" s="4" t="n">
        <v>26</v>
      </c>
      <c r="B30" s="4" t="inlineStr">
        <is>
          <t>Basma yüksekliği</t>
        </is>
      </c>
      <c r="C30" s="4" t="inlineStr">
        <is>
          <t>H</t>
        </is>
      </c>
      <c r="D30" s="5">
        <f>D27+D28+D29</f>
        <v/>
      </c>
      <c r="E30" s="4" t="inlineStr">
        <is>
          <t>mSS</t>
        </is>
      </c>
      <c r="F30" s="4" t="inlineStr"/>
    </row>
    <row r="31">
      <c r="A31" s="4" t="n">
        <v>27</v>
      </c>
      <c r="B31" s="4" t="inlineStr">
        <is>
          <t>Pompa verimi</t>
        </is>
      </c>
      <c r="C31" s="4" t="inlineStr">
        <is>
          <t>ηp</t>
        </is>
      </c>
      <c r="D31" s="5" t="n">
        <v>0.4</v>
      </c>
      <c r="E31" s="4" t="inlineStr">
        <is>
          <t>-</t>
        </is>
      </c>
      <c r="F31" s="4" t="inlineStr"/>
    </row>
    <row r="32">
      <c r="A32" s="4" t="n">
        <v>28</v>
      </c>
      <c r="B32" s="4" t="inlineStr">
        <is>
          <t>Pompa gücü P = ρ·g·Q·H/η</t>
        </is>
      </c>
      <c r="C32" s="4" t="inlineStr">
        <is>
          <t>P</t>
        </is>
      </c>
      <c r="D32" s="5">
        <f>1000*9.81*D26/3600*D30/D31/1000</f>
        <v/>
      </c>
      <c r="E32" s="4" t="inlineStr">
        <is>
          <t>kW</t>
        </is>
      </c>
      <c r="F32" s="4" t="inlineStr">
        <is>
          <t>seçim 0,55 kW (1 asıl + 1 yedek)</t>
        </is>
      </c>
    </row>
    <row r="33">
      <c r="A33" s="4" t="n">
        <v>29</v>
      </c>
      <c r="B33" s="4" t="inlineStr">
        <is>
          <t>Devreye girme basıncı</t>
        </is>
      </c>
      <c r="C33" s="4" t="inlineStr">
        <is>
          <t>Pd</t>
        </is>
      </c>
      <c r="D33" s="5" t="n">
        <v>3.6</v>
      </c>
      <c r="E33" s="4" t="inlineStr">
        <is>
          <t>bar</t>
        </is>
      </c>
      <c r="F33" s="4" t="inlineStr"/>
    </row>
    <row r="34">
      <c r="A34" s="4" t="n">
        <v>30</v>
      </c>
      <c r="B34" s="4" t="inlineStr">
        <is>
          <t>Devreden çıkma basıncı</t>
        </is>
      </c>
      <c r="C34" s="4" t="inlineStr">
        <is>
          <t>Pk</t>
        </is>
      </c>
      <c r="D34" s="5" t="n">
        <v>5</v>
      </c>
      <c r="E34" s="4" t="inlineStr">
        <is>
          <t>bar</t>
        </is>
      </c>
      <c r="F34" s="4" t="inlineStr"/>
    </row>
    <row r="35">
      <c r="A35" s="4" t="n">
        <v>31</v>
      </c>
      <c r="B35" s="4" t="inlineStr">
        <is>
          <t>Saatlik devreye girme</t>
        </is>
      </c>
      <c r="C35" s="4" t="inlineStr">
        <is>
          <t>Z</t>
        </is>
      </c>
      <c r="D35" s="5" t="n">
        <v>20</v>
      </c>
      <c r="E35" s="4" t="inlineStr">
        <is>
          <t>1/h</t>
        </is>
      </c>
      <c r="F35" s="4" t="inlineStr"/>
    </row>
    <row r="36">
      <c r="A36" s="4" t="n">
        <v>32</v>
      </c>
      <c r="B36" s="4" t="inlineStr">
        <is>
          <t>Membranlı tank V = 1000·Q/(4Z)·(Pk+1)/(Pk−Pd)</t>
        </is>
      </c>
      <c r="C36" s="4" t="inlineStr">
        <is>
          <t>Vt</t>
        </is>
      </c>
      <c r="D36" s="5">
        <f>1000*D26/(4*D35)*(D34+1)/(D34-D33)</f>
        <v/>
      </c>
      <c r="E36" s="4" t="inlineStr">
        <is>
          <t>L</t>
        </is>
      </c>
      <c r="F36" s="4" t="inlineStr">
        <is>
          <t>seçim 100 L, ön basınç 3,4 bar</t>
        </is>
      </c>
    </row>
    <row r="37">
      <c r="A37" s="4" t="n">
        <v>33</v>
      </c>
      <c r="B37" s="4" t="inlineStr">
        <is>
          <t>Kartuş filtre (hidrofor çıkışı)</t>
        </is>
      </c>
      <c r="C37" s="4" t="inlineStr"/>
      <c r="D37" s="5" t="n">
        <v>100</v>
      </c>
      <c r="E37" s="4" t="inlineStr">
        <is>
          <t>µm</t>
        </is>
      </c>
      <c r="F37" s="4" t="inlineStr">
        <is>
          <t>yıkanabilir</t>
        </is>
      </c>
    </row>
    <row r="38">
      <c r="A38" s="4" t="n">
        <v>34</v>
      </c>
      <c r="B38" s="4" t="inlineStr">
        <is>
          <t>F1 girdap filtre</t>
        </is>
      </c>
      <c r="C38" s="4" t="inlineStr"/>
      <c r="D38" s="5" t="n">
        <v>200</v>
      </c>
      <c r="E38" s="4" t="inlineStr">
        <is>
          <t>DN</t>
        </is>
      </c>
      <c r="F38" s="4" t="inlineStr">
        <is>
          <t>0,35 mm elek, çatı ≥ 750 m², kirli su taşma hattına</t>
        </is>
      </c>
    </row>
    <row r="40">
      <c r="A40" t="inlineStr">
        <is>
          <t>NOT: Sarnıç taşması depo içindeki taşma sifonundan, F1 kirli suyu ile birlikte cazibeyle YSR rögarı üzerinden yağmur suyu kanalına gider; taşma pompası yoktur.</t>
        </is>
      </c>
    </row>
    <row r="41">
      <c r="A41" t="inlineStr">
        <is>
          <t>NOT: Yağmur suyu yalnızca bahçe sulamasında kullanılır, içilemez; pis su şebekesine bağlanmaz. Şebeke takviyesi TS EN 1717 AB hava boşluğu ile yapılır.</t>
        </is>
      </c>
    </row>
  </sheetData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2026-10-12T19:33:42Z</dcterms:created>
  <dcterms:modified xmlns:dcterms="http://purl.org/dc/terms/" xmlns:xsi="http://www.w3.org/2001/XMLSchema-instance" xsi:type="dcterms:W3CDTF">2026-10-12T19:33:42Z</dcterms:modified>
</cp:coreProperties>
</file>