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kapak" sheetId="1" state="visible" r:id="rId1"/>
    <sheet xmlns:r="http://schemas.openxmlformats.org/officeDocument/2006/relationships" name="TEKNİK RAPOR" sheetId="2" state="visible" r:id="rId2"/>
    <sheet xmlns:r="http://schemas.openxmlformats.org/officeDocument/2006/relationships" name="ZEMİN" sheetId="3" state="visible" r:id="rId3"/>
    <sheet xmlns:r="http://schemas.openxmlformats.org/officeDocument/2006/relationships" name="1 NK" sheetId="4" state="visible" r:id="rId4"/>
    <sheet xmlns:r="http://schemas.openxmlformats.org/officeDocument/2006/relationships" name="2 NK" sheetId="5" state="visible" r:id="rId5"/>
    <sheet xmlns:r="http://schemas.openxmlformats.org/officeDocument/2006/relationships" name="PETEK LİST" sheetId="6" state="visible" r:id="rId6"/>
    <sheet xmlns:r="http://schemas.openxmlformats.org/officeDocument/2006/relationships" name="YERDEN ISITMA" sheetId="7" state="visible" r:id="rId7"/>
    <sheet xmlns:r="http://schemas.openxmlformats.org/officeDocument/2006/relationships" name="MMO YERDEN ISITMA" sheetId="8" state="visible" r:id="rId8"/>
    <sheet xmlns:r="http://schemas.openxmlformats.org/officeDocument/2006/relationships" name="YERDEN ISITMA- DEVAMI" sheetId="9" state="visible" r:id="rId9"/>
    <sheet xmlns:r="http://schemas.openxmlformats.org/officeDocument/2006/relationships" name="KLİMA HESABI" sheetId="10" state="visible" r:id="rId10"/>
    <sheet xmlns:r="http://schemas.openxmlformats.org/officeDocument/2006/relationships" name="YAĞMUR SUYU" sheetId="11" state="visible" r:id="rId11"/>
    <sheet xmlns:r="http://schemas.openxmlformats.org/officeDocument/2006/relationships" name="KOMBİ-POMPA-GENLEŞME" sheetId="12" state="visible" r:id="rId12"/>
  </sheets>
  <externalReferences>
    <externalReference xmlns:r="http://schemas.openxmlformats.org/officeDocument/2006/relationships" r:id="rId13"/>
  </externalReferences>
  <definedNames>
    <definedName name="_xlnm.Print_Area" localSheetId="1">'TEKNİK RAPOR'!$A$1:$N$65</definedName>
    <definedName name="_xlnm.Print_Area" localSheetId="2">'ZEMİN'!$A$1:$Q$41</definedName>
    <definedName name="_xlnm.Print_Area" localSheetId="3">'1 NK'!$A$1:$Q$122</definedName>
    <definedName name="_xlnm.Print_Area" localSheetId="4">'2 NK'!$A$1:$Q$134</definedName>
    <definedName name="_xlnm.Print_Area" localSheetId="5">'PETEK LİST'!$A$1:$P$36</definedName>
    <definedName name="_xlnm.Print_Area" localSheetId="6">'YERDEN ISITMA'!$A$1:$N$36</definedName>
    <definedName name="_xlnm.Print_Area" localSheetId="7">'MMO YERDEN ISITMA'!$A$1:$R$47</definedName>
    <definedName name="_xlnm.Print_Area" localSheetId="8">'YERDEN ISITMA- DEVAMI'!$A$1:$R$47</definedName>
    <definedName name="_xlnm.Print_Area" localSheetId="9">'KLİMA HESABI'!$A$1:$G$78</definedName>
    <definedName name="_xlnm.Print_Area" localSheetId="10">'YAĞMUR SUYU'!$A$1:$D$13</definedName>
    <definedName name="_xlnm.Print_Area" localSheetId="11">'KOMBİ-POMPA-GENLEŞME'!$A$1:$L$22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8">
    <numFmt numFmtId="164" formatCode="[$-409]d\-mmm"/>
    <numFmt numFmtId="165" formatCode="[$-409]m/d/yyyy"/>
    <numFmt numFmtId="166" formatCode="General&quot; W/m²K&quot;"/>
    <numFmt numFmtId="167" formatCode="00000"/>
    <numFmt numFmtId="168" formatCode="#,##0&quot;  &quot;"/>
    <numFmt numFmtId="169" formatCode="&quot;  &quot;@"/>
    <numFmt numFmtId="170" formatCode="0.000"/>
    <numFmt numFmtId="171" formatCode="0.0000"/>
  </numFmts>
  <fonts count="59">
    <font>
      <name val="Arial Tur"/>
      <charset val="162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62"/>
      <family val="2"/>
      <sz val="10"/>
    </font>
    <font>
      <name val="Calibri"/>
      <charset val="162"/>
      <family val="2"/>
      <color rgb="FF000000"/>
      <sz val="12"/>
    </font>
    <font>
      <name val="Swis721 Cn BT"/>
      <family val="2"/>
      <b val="1"/>
      <color rgb="FF000000"/>
      <sz val="40"/>
    </font>
    <font>
      <name val="Swis721 Cn BT"/>
      <family val="2"/>
      <b val="1"/>
      <color rgb="FF000000"/>
      <sz val="16"/>
    </font>
    <font>
      <name val="Times New Roman"/>
      <charset val="162"/>
      <family val="1"/>
      <b val="1"/>
      <color rgb="FF000000"/>
      <sz val="10"/>
    </font>
    <font>
      <name val="Times New Roman"/>
      <charset val="162"/>
      <family val="1"/>
      <b val="1"/>
      <color rgb="FF000000"/>
      <sz val="12"/>
    </font>
    <font>
      <name val="Calibri"/>
      <charset val="162"/>
      <family val="2"/>
      <color rgb="FF000000"/>
      <sz val="20"/>
    </font>
    <font>
      <name val="Calibri"/>
      <charset val="162"/>
      <family val="2"/>
      <b val="1"/>
      <color rgb="FF000000"/>
      <sz val="28"/>
    </font>
    <font>
      <name val="Calibri"/>
      <charset val="162"/>
      <family val="2"/>
      <color rgb="FF000000"/>
      <sz val="16"/>
    </font>
    <font>
      <name val="Calibri"/>
      <charset val="162"/>
      <family val="2"/>
      <color rgb="FF000000"/>
      <sz val="14"/>
    </font>
    <font>
      <name val="Arial Tur"/>
      <charset val="162"/>
      <family val="0"/>
      <b val="1"/>
      <sz val="14"/>
    </font>
    <font>
      <name val="Arial Tur"/>
      <charset val="162"/>
      <family val="2"/>
      <b val="1"/>
      <sz val="14"/>
    </font>
    <font>
      <name val="Arial Tur"/>
      <charset val="162"/>
      <family val="0"/>
      <b val="1"/>
      <sz val="10"/>
    </font>
    <font>
      <name val="Arial Tur"/>
      <charset val="162"/>
      <family val="2"/>
      <b val="1"/>
      <sz val="12"/>
    </font>
    <font>
      <name val="Arial Tur"/>
      <charset val="162"/>
      <family val="2"/>
      <sz val="12"/>
    </font>
    <font>
      <name val="Arial Tur"/>
      <charset val="162"/>
      <family val="0"/>
      <b val="1"/>
      <sz val="12"/>
    </font>
    <font>
      <name val="Arial Tur"/>
      <charset val="162"/>
      <family val="2"/>
      <sz val="11"/>
    </font>
    <font>
      <name val="Arial Tur"/>
      <charset val="162"/>
      <family val="0"/>
      <color rgb="FFFF0000"/>
      <sz val="12"/>
    </font>
    <font>
      <name val="Arial Tur"/>
      <charset val="162"/>
      <family val="0"/>
      <color rgb="FFFF0000"/>
      <sz val="9"/>
    </font>
    <font>
      <name val="Arial Tur"/>
      <charset val="162"/>
      <family val="2"/>
      <color rgb="FFFF0000"/>
      <sz val="9"/>
    </font>
    <font>
      <name val="Arial Tur"/>
      <charset val="162"/>
      <family val="0"/>
      <sz val="9"/>
    </font>
    <font>
      <name val="Arial Tur"/>
      <charset val="162"/>
      <family val="0"/>
      <sz val="8"/>
    </font>
    <font>
      <name val="Arial"/>
      <charset val="162"/>
      <family val="2"/>
      <sz val="8"/>
    </font>
    <font>
      <name val="Arial Tur"/>
      <charset val="162"/>
      <family val="2"/>
      <b val="1"/>
      <sz val="11"/>
    </font>
    <font>
      <name val="Arial Tur"/>
      <charset val="162"/>
      <family val="0"/>
      <sz val="7.5"/>
    </font>
    <font>
      <name val="Arial"/>
      <charset val="162"/>
      <family val="2"/>
      <sz val="7.5"/>
    </font>
    <font>
      <name val="Arial Tur"/>
      <charset val="162"/>
      <family val="0"/>
      <b val="1"/>
      <sz val="7.5"/>
    </font>
    <font>
      <name val="Symbol"/>
      <charset val="2"/>
      <family val="1"/>
      <sz val="7.5"/>
    </font>
    <font>
      <name val="Arial Tur"/>
      <charset val="162"/>
      <family val="2"/>
      <sz val="7.5"/>
    </font>
    <font>
      <name val="Arial Tur"/>
      <charset val="162"/>
      <family val="0"/>
      <sz val="7.5"/>
      <u val="single"/>
    </font>
    <font>
      <name val="Arial Tur"/>
      <charset val="162"/>
      <family val="0"/>
      <sz val="5"/>
    </font>
    <font>
      <name val="Arial Tur"/>
      <charset val="162"/>
      <family val="2"/>
      <i val="1"/>
      <sz val="7.5"/>
    </font>
    <font>
      <name val="Symbol"/>
      <charset val="2"/>
      <family val="1"/>
      <i val="1"/>
      <sz val="7.5"/>
    </font>
    <font>
      <name val="Arial Tur"/>
      <charset val="162"/>
      <family val="0"/>
      <i val="1"/>
      <sz val="7.5"/>
    </font>
    <font>
      <name val="Arial Tur"/>
      <charset val="162"/>
      <family val="2"/>
      <b val="1"/>
      <sz val="7.5"/>
    </font>
    <font>
      <name val="Arial"/>
      <charset val="162"/>
      <family val="2"/>
      <sz val="9"/>
    </font>
    <font>
      <name val="Arial"/>
      <charset val="162"/>
      <family val="2"/>
      <sz val="10"/>
      <vertAlign val="superscript"/>
    </font>
    <font>
      <name val="Arial"/>
      <charset val="162"/>
      <family val="2"/>
      <sz val="14"/>
    </font>
    <font>
      <name val="Arial Tur"/>
      <charset val="162"/>
      <family val="2"/>
      <sz val="8"/>
    </font>
    <font>
      <name val="Arial Tur"/>
      <charset val="162"/>
      <family val="0"/>
      <sz val="8"/>
      <vertAlign val="superscript"/>
    </font>
    <font>
      <name val="Arial Tur"/>
      <charset val="162"/>
      <family val="2"/>
      <sz val="8"/>
      <vertAlign val="superscript"/>
    </font>
    <font>
      <name val="Arial Tur"/>
      <charset val="162"/>
      <family val="2"/>
      <sz val="9"/>
    </font>
    <font>
      <name val="Arial Tur"/>
      <charset val="162"/>
      <family val="0"/>
      <sz val="6.5"/>
    </font>
    <font>
      <name val="Arial Tur"/>
      <charset val="162"/>
      <family val="0"/>
      <b val="1"/>
      <sz val="11"/>
    </font>
    <font>
      <name val="Arial Tur"/>
      <charset val="162"/>
      <family val="0"/>
      <b val="1"/>
      <sz val="9"/>
    </font>
    <font>
      <name val="Arial Tur"/>
      <charset val="162"/>
      <family val="2"/>
      <sz val="10"/>
    </font>
    <font>
      <name val="Arial Tur"/>
      <charset val="162"/>
      <family val="0"/>
      <sz val="8.5"/>
    </font>
    <font>
      <name val="Arial Tur"/>
      <charset val="162"/>
      <family val="0"/>
      <color rgb="FFFF0000"/>
      <sz val="10"/>
    </font>
    <font>
      <name val="Arial Tur"/>
      <family val="0"/>
      <color rgb="FF000000"/>
      <sz val="11"/>
    </font>
    <font>
      <name val="DejaVu Sans"/>
      <family val="2"/>
      <color rgb="FF000000"/>
      <sz val="11"/>
    </font>
    <font>
      <name val="Cambria Math"/>
      <family val="0"/>
      <color rgb="FF000000"/>
      <sz val="11"/>
    </font>
    <font>
      <name val="Arial"/>
      <b val="1"/>
      <sz val="12"/>
    </font>
    <font>
      <name val="Arial"/>
      <sz val="8"/>
    </font>
    <font>
      <name val="Arial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993300"/>
      </patternFill>
    </fill>
    <fill>
      <patternFill patternType="solid">
        <fgColor rgb="FF99CC00"/>
        <bgColor rgb="FFFFCC00"/>
      </patternFill>
    </fill>
    <fill>
      <patternFill patternType="solid">
        <fgColor rgb="00D9E1F2"/>
      </patternFill>
    </fill>
  </fills>
  <borders count="59">
    <border>
      <left/>
      <right/>
      <top/>
      <bottom/>
      <diagonal/>
    </border>
    <border>
      <left style="double"/>
      <right style="double"/>
      <top style="double"/>
      <bottom style="thin"/>
      <diagonal/>
    </border>
    <border>
      <left style="double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double"/>
      <top style="thin"/>
      <bottom style="thin"/>
      <diagonal/>
    </border>
    <border>
      <left style="double"/>
      <right/>
      <top/>
      <bottom/>
      <diagonal/>
    </border>
    <border>
      <left/>
      <right style="double"/>
      <top/>
      <bottom/>
      <diagonal/>
    </border>
    <border>
      <left style="double"/>
      <right style="double"/>
      <top style="thin"/>
      <bottom/>
      <diagonal/>
    </border>
    <border>
      <left style="double"/>
      <right style="thin"/>
      <top style="thin"/>
      <bottom style="double"/>
      <diagonal/>
    </border>
    <border>
      <left style="thin"/>
      <right style="thin"/>
      <top style="thin"/>
      <bottom style="double"/>
      <diagonal/>
    </border>
    <border>
      <left style="thin"/>
      <right style="double"/>
      <top style="thin"/>
      <bottom style="double"/>
      <diagonal/>
    </border>
    <border>
      <left style="double"/>
      <right style="thin"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double"/>
      <bottom style="thin"/>
      <diagonal/>
    </border>
    <border>
      <left style="double"/>
      <right/>
      <top/>
      <bottom style="double"/>
      <diagonal/>
    </border>
    <border>
      <left/>
      <right/>
      <top/>
      <bottom style="double"/>
      <diagonal/>
    </border>
    <border>
      <left/>
      <right style="double"/>
      <top/>
      <bottom style="double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 style="hair"/>
      <top/>
      <bottom style="hair"/>
      <diagonal/>
    </border>
    <border>
      <left style="hair"/>
      <right style="hair"/>
      <top/>
      <bottom style="hair"/>
      <diagonal/>
    </border>
    <border>
      <left style="hair"/>
      <right style="thin"/>
      <top/>
      <bottom style="hair"/>
      <diagonal/>
    </border>
    <border>
      <left style="hair"/>
      <right/>
      <top/>
      <bottom style="hair"/>
      <diagonal/>
    </border>
    <border>
      <left style="hair"/>
      <right style="hair"/>
      <top/>
      <bottom/>
      <diagonal/>
    </border>
    <border>
      <left style="hair"/>
      <right style="thin"/>
      <top style="hair"/>
      <bottom style="hair"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 style="thin"/>
      <top style="thin"/>
      <bottom/>
      <diagonal/>
    </border>
    <border>
      <left/>
      <right/>
      <top style="double"/>
      <bottom/>
      <diagonal/>
    </border>
    <border>
      <left/>
      <right style="double"/>
      <top style="double"/>
      <bottom/>
      <diagonal/>
    </border>
    <border>
      <left/>
      <right/>
      <top style="double"/>
      <bottom style="thin"/>
      <diagonal/>
    </border>
    <border>
      <left/>
      <right style="double"/>
      <top style="double"/>
      <bottom style="thin"/>
      <diagonal/>
    </border>
    <border>
      <left/>
      <right style="double"/>
      <top style="thin"/>
      <bottom/>
      <diagonal/>
    </border>
    <border>
      <left style="double"/>
      <right/>
      <top/>
      <bottom style="thin"/>
      <diagonal/>
    </border>
    <border>
      <left/>
      <right style="double"/>
      <top/>
      <bottom style="thin"/>
      <diagonal/>
    </border>
    <border>
      <left/>
      <right style="double"/>
      <top style="thin"/>
      <bottom style="thin"/>
      <diagonal/>
    </border>
    <border>
      <left style="double"/>
      <right style="thin"/>
      <top/>
      <bottom/>
      <diagonal/>
    </border>
    <border>
      <left style="double"/>
      <right style="thin"/>
      <top/>
      <bottom style="double"/>
      <diagonal/>
    </border>
    <border>
      <left style="thin"/>
      <right style="thin"/>
      <top/>
      <bottom/>
      <diagonal/>
    </border>
    <border>
      <left style="thin"/>
      <right style="thin"/>
      <top/>
      <bottom style="double"/>
      <diagonal/>
    </border>
    <border>
      <left style="thin"/>
      <right/>
      <top/>
      <bottom style="double"/>
      <diagonal/>
    </border>
    <border>
      <left/>
      <right style="thin"/>
      <top/>
      <bottom style="double"/>
      <diagonal/>
    </border>
    <border>
      <left/>
      <right style="thin"/>
      <top style="double"/>
      <bottom/>
      <diagonal/>
    </border>
    <border>
      <left style="thin"/>
      <right style="double"/>
      <top/>
      <bottom/>
      <diagonal/>
    </border>
    <border>
      <left style="thin"/>
      <right style="double"/>
      <top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  <xf numFmtId="9" fontId="0" fillId="0" borderId="0"/>
  </cellStyleXfs>
  <cellXfs count="597">
    <xf numFmtId="0" fontId="0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2" applyAlignment="1" pivotButton="0" quotePrefix="0" xfId="0">
      <alignment horizontal="center" vertical="bottom" wrapText="1"/>
    </xf>
    <xf numFmtId="0" fontId="10" fillId="0" borderId="0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center"/>
    </xf>
    <xf numFmtId="0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bottom"/>
    </xf>
    <xf numFmtId="0" fontId="0" fillId="0" borderId="4" applyAlignment="1" pivotButton="0" quotePrefix="0" xfId="0">
      <alignment horizontal="general" vertical="bottom" wrapText="1"/>
    </xf>
    <xf numFmtId="0" fontId="0" fillId="0" borderId="5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3" applyAlignment="1" pivotButton="0" quotePrefix="0" xfId="0">
      <alignment horizontal="general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top"/>
    </xf>
    <xf numFmtId="0" fontId="5" fillId="0" borderId="2" applyAlignment="1" pivotButton="0" quotePrefix="0" xfId="0">
      <alignment horizontal="center" vertical="bottom"/>
    </xf>
    <xf numFmtId="0" fontId="0" fillId="0" borderId="3" applyAlignment="1" pivotButton="0" quotePrefix="0" xfId="0">
      <alignment horizontal="center" vertical="bottom"/>
    </xf>
    <xf numFmtId="0" fontId="12" fillId="0" borderId="5" applyAlignment="1" pivotButton="0" quotePrefix="0" xfId="0">
      <alignment horizontal="left" vertical="bottom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5" applyAlignment="1" pivotButton="0" quotePrefix="0" xfId="0">
      <alignment horizontal="center" vertical="bottom"/>
    </xf>
    <xf numFmtId="0" fontId="13" fillId="0" borderId="8" applyAlignment="1" pivotButton="0" quotePrefix="0" xfId="0">
      <alignment horizontal="center" vertical="bottom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general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 wrapText="1"/>
    </xf>
    <xf numFmtId="165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14" fillId="0" borderId="12" applyAlignment="1" pivotButton="0" quotePrefix="0" xfId="0">
      <alignment horizontal="center" vertical="bottom"/>
    </xf>
    <xf numFmtId="0" fontId="0" fillId="0" borderId="13" applyAlignment="1" pivotButton="0" quotePrefix="0" xfId="0">
      <alignment horizontal="center" vertical="bottom"/>
    </xf>
    <xf numFmtId="0" fontId="0" fillId="0" borderId="14" applyAlignment="1" pivotButton="0" quotePrefix="0" xfId="0">
      <alignment horizontal="center" vertical="bottom"/>
    </xf>
    <xf numFmtId="0" fontId="0" fillId="0" borderId="3" applyAlignment="1" pivotButton="0" quotePrefix="0" xfId="0">
      <alignment horizontal="left" vertical="bottom"/>
    </xf>
    <xf numFmtId="0" fontId="0" fillId="0" borderId="4" applyAlignment="1" pivotButton="0" quotePrefix="0" xfId="0">
      <alignment horizontal="left" vertical="bottom"/>
    </xf>
    <xf numFmtId="165" fontId="0" fillId="0" borderId="5" applyAlignment="1" pivotButton="0" quotePrefix="0" xfId="0">
      <alignment horizontal="center" vertical="bottom"/>
    </xf>
    <xf numFmtId="0" fontId="15" fillId="0" borderId="0" applyAlignment="1" pivotButton="0" quotePrefix="0" xfId="0">
      <alignment horizontal="general" vertical="bottom"/>
    </xf>
    <xf numFmtId="0" fontId="15" fillId="0" borderId="7" applyAlignment="1" pivotButton="0" quotePrefix="0" xfId="0">
      <alignment horizontal="general" vertical="bottom"/>
    </xf>
    <xf numFmtId="0" fontId="16" fillId="0" borderId="6" applyAlignment="1" pivotButton="0" quotePrefix="0" xfId="0">
      <alignment horizontal="general" vertical="bottom"/>
    </xf>
    <xf numFmtId="0" fontId="17" fillId="0" borderId="0" applyAlignment="1" pivotButton="0" quotePrefix="0" xfId="0">
      <alignment horizontal="center" vertical="bottom"/>
    </xf>
    <xf numFmtId="0" fontId="17" fillId="0" borderId="7" applyAlignment="1" pivotButton="0" quotePrefix="0" xfId="0">
      <alignment horizontal="center" vertical="bottom"/>
    </xf>
    <xf numFmtId="0" fontId="18" fillId="0" borderId="0" applyAlignment="1" pivotButton="0" quotePrefix="0" xfId="0">
      <alignment horizontal="general" vertical="bottom"/>
    </xf>
    <xf numFmtId="0" fontId="18" fillId="0" borderId="7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left" vertical="bottom"/>
    </xf>
    <xf numFmtId="0" fontId="1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19" fillId="0" borderId="0" applyAlignment="1" pivotButton="0" quotePrefix="0" xfId="0">
      <alignment horizontal="left" vertical="bottom" wrapText="1"/>
    </xf>
    <xf numFmtId="0" fontId="18" fillId="0" borderId="7" applyAlignment="1" pivotButton="0" quotePrefix="0" xfId="0">
      <alignment horizontal="left" vertical="bottom"/>
    </xf>
    <xf numFmtId="0" fontId="23" fillId="0" borderId="0" applyAlignment="1" pivotButton="0" quotePrefix="0" xfId="0">
      <alignment horizontal="left" vertical="bottom"/>
    </xf>
    <xf numFmtId="166" fontId="24" fillId="0" borderId="0" applyAlignment="1" pivotButton="0" quotePrefix="0" xfId="0">
      <alignment horizontal="left" vertical="bottom" wrapText="1"/>
    </xf>
    <xf numFmtId="0" fontId="18" fillId="0" borderId="0" applyAlignment="1" pivotButton="0" quotePrefix="0" xfId="0">
      <alignment horizontal="right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5" fillId="0" borderId="18" applyAlignment="1" pivotButton="0" quotePrefix="0" xfId="0">
      <alignment horizontal="general" vertical="center"/>
    </xf>
    <xf numFmtId="0" fontId="25" fillId="0" borderId="19" applyAlignment="1" pivotButton="0" quotePrefix="0" xfId="0">
      <alignment horizontal="general" vertical="center"/>
    </xf>
    <xf numFmtId="0" fontId="26" fillId="0" borderId="18" applyAlignment="1" pivotButton="0" quotePrefix="0" xfId="0">
      <alignment horizontal="general" vertical="center"/>
    </xf>
    <xf numFmtId="0" fontId="26" fillId="0" borderId="19" applyAlignment="1" pivotButton="0" quotePrefix="0" xfId="0">
      <alignment horizontal="general" vertical="center"/>
    </xf>
    <xf numFmtId="0" fontId="27" fillId="0" borderId="19" applyAlignment="1" pivotButton="0" quotePrefix="0" xfId="0">
      <alignment horizontal="left" vertical="center"/>
    </xf>
    <xf numFmtId="0" fontId="25" fillId="0" borderId="20" applyAlignment="1" pivotButton="0" quotePrefix="0" xfId="0">
      <alignment horizontal="general" vertical="center"/>
    </xf>
    <xf numFmtId="0" fontId="25" fillId="0" borderId="4" applyAlignment="1" pivotButton="0" quotePrefix="0" xfId="0">
      <alignment horizontal="center" vertical="center"/>
    </xf>
    <xf numFmtId="0" fontId="25" fillId="0" borderId="4" applyAlignment="1" applyProtection="1" pivotButton="0" quotePrefix="0" xfId="0">
      <alignment horizontal="center" vertical="center"/>
      <protection locked="0" hidden="0"/>
    </xf>
    <xf numFmtId="165" fontId="25" fillId="0" borderId="4" applyAlignment="1" applyProtection="1" pivotButton="0" quotePrefix="0" xfId="0">
      <alignment horizontal="center" vertical="center"/>
      <protection locked="0" hidden="0"/>
    </xf>
    <xf numFmtId="0" fontId="25" fillId="0" borderId="0" applyAlignment="1" pivotButton="0" quotePrefix="0" xfId="0">
      <alignment horizontal="general" vertical="center"/>
    </xf>
    <xf numFmtId="0" fontId="28" fillId="0" borderId="21" applyAlignment="1" pivotButton="0" quotePrefix="0" xfId="0">
      <alignment horizontal="general" vertical="center"/>
    </xf>
    <xf numFmtId="0" fontId="28" fillId="0" borderId="0" applyAlignment="1" pivotButton="0" quotePrefix="0" xfId="0">
      <alignment horizontal="general" vertical="center"/>
    </xf>
    <xf numFmtId="0" fontId="29" fillId="0" borderId="22" applyAlignment="1" pivotButton="0" quotePrefix="0" xfId="0">
      <alignment horizontal="general" vertical="center"/>
    </xf>
    <xf numFmtId="0" fontId="29" fillId="0" borderId="23" applyAlignment="1" pivotButton="0" quotePrefix="0" xfId="0">
      <alignment horizontal="general" vertical="center"/>
    </xf>
    <xf numFmtId="0" fontId="29" fillId="0" borderId="23" applyAlignment="1" applyProtection="1" pivotButton="0" quotePrefix="0" xfId="0">
      <alignment horizontal="general" vertical="center"/>
      <protection locked="0" hidden="0"/>
    </xf>
    <xf numFmtId="0" fontId="28" fillId="0" borderId="23" applyAlignment="1" applyProtection="1" pivotButton="0" quotePrefix="0" xfId="0">
      <alignment horizontal="general" vertical="center"/>
      <protection locked="0" hidden="0"/>
    </xf>
    <xf numFmtId="0" fontId="28" fillId="0" borderId="24" applyAlignment="1" applyProtection="1" pivotButton="0" quotePrefix="0" xfId="0">
      <alignment horizontal="general" vertical="center"/>
      <protection locked="0" hidden="0"/>
    </xf>
    <xf numFmtId="0" fontId="28" fillId="0" borderId="4" applyAlignment="1" pivotButton="0" quotePrefix="0" xfId="0">
      <alignment horizontal="center" vertical="center"/>
    </xf>
    <xf numFmtId="0" fontId="28" fillId="0" borderId="4" applyAlignment="1" applyProtection="1" pivotButton="0" quotePrefix="0" xfId="0">
      <alignment horizontal="center" vertical="center"/>
      <protection locked="0" hidden="0"/>
    </xf>
    <xf numFmtId="0" fontId="30" fillId="0" borderId="25" applyAlignment="1" pivotButton="0" quotePrefix="0" xfId="0">
      <alignment horizontal="center" vertical="center"/>
    </xf>
    <xf numFmtId="0" fontId="30" fillId="0" borderId="26" applyAlignment="1" pivotButton="0" quotePrefix="0" xfId="0">
      <alignment horizontal="center" vertical="center"/>
    </xf>
    <xf numFmtId="0" fontId="30" fillId="0" borderId="4" applyAlignment="1" pivotButton="0" quotePrefix="0" xfId="0">
      <alignment horizontal="center" vertical="center"/>
    </xf>
    <xf numFmtId="0" fontId="28" fillId="0" borderId="4" applyAlignment="1" pivotButton="0" quotePrefix="0" xfId="0">
      <alignment horizontal="center" vertical="center" textRotation="90"/>
    </xf>
    <xf numFmtId="0" fontId="28" fillId="0" borderId="4" applyAlignment="1" pivotButton="0" quotePrefix="0" xfId="0">
      <alignment horizontal="center" vertical="center" textRotation="90" wrapText="1"/>
    </xf>
    <xf numFmtId="0" fontId="28" fillId="0" borderId="0" applyAlignment="1" pivotButton="0" quotePrefix="0" xfId="0">
      <alignment horizontal="general" vertical="bottom"/>
    </xf>
    <xf numFmtId="0" fontId="28" fillId="0" borderId="4" applyAlignment="1" pivotButton="0" quotePrefix="0" xfId="0">
      <alignment horizontal="center" vertical="bottom"/>
    </xf>
    <xf numFmtId="0" fontId="31" fillId="0" borderId="4" applyAlignment="1" pivotButton="0" quotePrefix="0" xfId="0">
      <alignment horizontal="center" vertical="bottom"/>
    </xf>
    <xf numFmtId="0" fontId="33" fillId="0" borderId="4" applyAlignment="1" pivotButton="0" quotePrefix="0" xfId="0">
      <alignment horizontal="center" vertical="center" wrapText="1"/>
    </xf>
    <xf numFmtId="0" fontId="32" fillId="0" borderId="4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/>
    </xf>
    <xf numFmtId="0" fontId="28" fillId="0" borderId="25" applyAlignment="1" applyProtection="1" pivotButton="0" quotePrefix="0" xfId="0">
      <alignment horizontal="general" vertical="center"/>
      <protection locked="0" hidden="0"/>
    </xf>
    <xf numFmtId="0" fontId="28" fillId="0" borderId="27" applyAlignment="1" applyProtection="1" pivotButton="0" quotePrefix="0" xfId="0">
      <alignment horizontal="general" vertical="center"/>
      <protection locked="0" hidden="0"/>
    </xf>
    <xf numFmtId="0" fontId="28" fillId="0" borderId="27" applyAlignment="1" applyProtection="1" pivotButton="0" quotePrefix="0" xfId="0">
      <alignment horizontal="right" vertical="center"/>
      <protection locked="0" hidden="0"/>
    </xf>
    <xf numFmtId="0" fontId="28" fillId="0" borderId="27" applyAlignment="1" applyProtection="1" pivotButton="0" quotePrefix="0" xfId="0">
      <alignment horizontal="center" vertical="center"/>
      <protection locked="0" hidden="0"/>
    </xf>
    <xf numFmtId="0" fontId="34" fillId="0" borderId="27" applyAlignment="1" applyProtection="1" pivotButton="0" quotePrefix="0" xfId="0">
      <alignment horizontal="center" vertical="center"/>
      <protection locked="0" hidden="0"/>
    </xf>
    <xf numFmtId="0" fontId="28" fillId="0" borderId="26" applyAlignment="1" applyProtection="1" pivotButton="0" quotePrefix="0" xfId="0">
      <alignment horizontal="general" vertical="center"/>
      <protection locked="0" hidden="0"/>
    </xf>
    <xf numFmtId="0" fontId="28" fillId="0" borderId="28" applyAlignment="1" applyProtection="1" pivotButton="0" quotePrefix="0" xfId="0">
      <alignment horizontal="center" vertical="center"/>
      <protection locked="0" hidden="0"/>
    </xf>
    <xf numFmtId="167" fontId="28" fillId="0" borderId="29" applyAlignment="1" applyProtection="1" pivotButton="0" quotePrefix="0" xfId="0">
      <alignment horizontal="center" vertical="center"/>
      <protection locked="0" hidden="0"/>
    </xf>
    <xf numFmtId="167" fontId="28" fillId="0" borderId="30" applyAlignment="1" applyProtection="1" pivotButton="0" quotePrefix="0" xfId="0">
      <alignment horizontal="center" vertical="center"/>
      <protection locked="0" hidden="0"/>
    </xf>
    <xf numFmtId="4" fontId="28" fillId="0" borderId="29" applyAlignment="1" applyProtection="1" pivotButton="0" quotePrefix="0" xfId="0">
      <alignment horizontal="center" vertical="center"/>
      <protection locked="0" hidden="0"/>
    </xf>
    <xf numFmtId="4" fontId="28" fillId="0" borderId="29" applyAlignment="1" pivotButton="0" quotePrefix="0" xfId="0">
      <alignment horizontal="center" vertical="center"/>
    </xf>
    <xf numFmtId="3" fontId="28" fillId="0" borderId="29" applyAlignment="1" applyProtection="1" pivotButton="0" quotePrefix="0" xfId="0">
      <alignment horizontal="center" vertical="center"/>
      <protection locked="0" hidden="0"/>
    </xf>
    <xf numFmtId="4" fontId="28" fillId="0" borderId="30" applyAlignment="1" applyProtection="1" pivotButton="0" quotePrefix="0" xfId="0">
      <alignment horizontal="center" vertical="center"/>
      <protection locked="0" hidden="0"/>
    </xf>
    <xf numFmtId="168" fontId="28" fillId="0" borderId="31" applyAlignment="1" pivotButton="0" quotePrefix="0" xfId="0">
      <alignment horizontal="right" vertical="center"/>
    </xf>
    <xf numFmtId="3" fontId="28" fillId="0" borderId="32" applyAlignment="1" applyProtection="1" pivotButton="0" quotePrefix="0" xfId="0">
      <alignment horizontal="center" vertical="center"/>
      <protection locked="0" hidden="0"/>
    </xf>
    <xf numFmtId="168" fontId="28" fillId="0" borderId="30" applyAlignment="1" pivotButton="0" quotePrefix="0" xfId="0">
      <alignment horizontal="right" vertical="center"/>
    </xf>
    <xf numFmtId="168" fontId="28" fillId="0" borderId="33" applyAlignment="1" pivotButton="0" quotePrefix="0" xfId="0">
      <alignment horizontal="right" vertical="center"/>
    </xf>
    <xf numFmtId="0" fontId="28" fillId="0" borderId="22" applyAlignment="1" pivotButton="0" quotePrefix="0" xfId="0">
      <alignment horizontal="center" vertical="center"/>
    </xf>
    <xf numFmtId="167" fontId="28" fillId="0" borderId="23" applyAlignment="1" pivotButton="0" quotePrefix="0" xfId="0">
      <alignment horizontal="center" vertical="center"/>
    </xf>
    <xf numFmtId="4" fontId="28" fillId="0" borderId="23" applyAlignment="1" pivotButton="0" quotePrefix="0" xfId="0">
      <alignment horizontal="center" vertical="center"/>
    </xf>
    <xf numFmtId="3" fontId="28" fillId="0" borderId="23" applyAlignment="1" pivotButton="0" quotePrefix="0" xfId="0">
      <alignment horizontal="center" vertical="center"/>
    </xf>
    <xf numFmtId="168" fontId="28" fillId="0" borderId="34" applyAlignment="1" pivotButton="0" quotePrefix="0" xfId="0">
      <alignment horizontal="right" vertical="center"/>
    </xf>
    <xf numFmtId="3" fontId="28" fillId="0" borderId="4" applyAlignment="1" applyProtection="1" pivotButton="0" quotePrefix="0" xfId="0">
      <alignment horizontal="center" vertical="center"/>
      <protection locked="0" hidden="0"/>
    </xf>
    <xf numFmtId="4" fontId="28" fillId="0" borderId="4" applyAlignment="1" pivotButton="0" quotePrefix="0" xfId="0">
      <alignment horizontal="center" vertical="center"/>
    </xf>
    <xf numFmtId="168" fontId="28" fillId="0" borderId="4" applyAlignment="1" pivotButton="0" quotePrefix="0" xfId="0">
      <alignment horizontal="right" vertical="center"/>
    </xf>
    <xf numFmtId="0" fontId="28" fillId="0" borderId="18" applyAlignment="1" pivotButton="0" quotePrefix="0" xfId="0">
      <alignment horizontal="center" vertical="center"/>
    </xf>
    <xf numFmtId="49" fontId="28" fillId="0" borderId="19" applyAlignment="1" pivotButton="0" quotePrefix="0" xfId="0">
      <alignment horizontal="center" vertical="center"/>
    </xf>
    <xf numFmtId="4" fontId="28" fillId="0" borderId="19" applyAlignment="1" pivotButton="0" quotePrefix="0" xfId="0">
      <alignment horizontal="left" vertical="center"/>
    </xf>
    <xf numFmtId="4" fontId="35" fillId="0" borderId="19" applyAlignment="1" pivotButton="0" quotePrefix="0" xfId="0">
      <alignment horizontal="left" vertical="center"/>
    </xf>
    <xf numFmtId="4" fontId="28" fillId="0" borderId="19" applyAlignment="1" pivotButton="0" quotePrefix="0" xfId="0">
      <alignment horizontal="center" vertical="center"/>
    </xf>
    <xf numFmtId="3" fontId="28" fillId="0" borderId="19" applyAlignment="1" pivotButton="0" quotePrefix="0" xfId="0">
      <alignment horizontal="center" vertical="center"/>
    </xf>
    <xf numFmtId="4" fontId="31" fillId="0" borderId="19" applyAlignment="1" pivotButton="0" quotePrefix="0" xfId="0">
      <alignment horizontal="right" vertical="center"/>
    </xf>
    <xf numFmtId="4" fontId="32" fillId="0" borderId="0" applyAlignment="1" pivotButton="0" quotePrefix="0" xfId="0">
      <alignment horizontal="right" vertical="center"/>
    </xf>
    <xf numFmtId="168" fontId="28" fillId="0" borderId="19" applyAlignment="1" pivotButton="0" quotePrefix="0" xfId="0">
      <alignment horizontal="center" vertical="center"/>
    </xf>
    <xf numFmtId="0" fontId="31" fillId="0" borderId="19" applyAlignment="1" pivotButton="0" quotePrefix="0" xfId="0">
      <alignment horizontal="center" vertical="center"/>
    </xf>
    <xf numFmtId="168" fontId="28" fillId="0" borderId="2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35" fillId="0" borderId="21" applyAlignment="1" pivotButton="0" quotePrefix="0" xfId="0">
      <alignment horizontal="left" vertical="center"/>
    </xf>
    <xf numFmtId="4" fontId="28" fillId="0" borderId="0" applyAlignment="1" pivotButton="0" quotePrefix="0" xfId="0">
      <alignment horizontal="left" vertical="center"/>
    </xf>
    <xf numFmtId="4" fontId="36" fillId="0" borderId="0" applyAlignment="1" pivotButton="0" quotePrefix="0" xfId="0">
      <alignment horizontal="right" vertical="center"/>
    </xf>
    <xf numFmtId="4" fontId="37" fillId="0" borderId="0" applyAlignment="1" pivotButton="0" quotePrefix="0" xfId="0">
      <alignment horizontal="left" vertical="center"/>
    </xf>
    <xf numFmtId="3" fontId="37" fillId="0" borderId="25" applyAlignment="1" pivotButton="0" quotePrefix="0" xfId="0">
      <alignment horizontal="left" vertical="center"/>
    </xf>
    <xf numFmtId="4" fontId="37" fillId="0" borderId="27" applyAlignment="1" pivotButton="0" quotePrefix="0" xfId="0">
      <alignment horizontal="left" vertical="center"/>
    </xf>
    <xf numFmtId="4" fontId="28" fillId="0" borderId="27" applyAlignment="1" pivotButton="0" quotePrefix="0" xfId="0">
      <alignment horizontal="center" vertical="center"/>
    </xf>
    <xf numFmtId="4" fontId="32" fillId="0" borderId="26" applyAlignment="1" pivotButton="0" quotePrefix="0" xfId="0">
      <alignment horizontal="right" vertical="center"/>
    </xf>
    <xf numFmtId="4" fontId="28" fillId="0" borderId="4" applyAlignment="1" applyProtection="1" pivotButton="0" quotePrefix="0" xfId="0">
      <alignment horizontal="center" vertical="center"/>
      <protection locked="0" hidden="0"/>
    </xf>
    <xf numFmtId="0" fontId="28" fillId="0" borderId="21" applyAlignment="1" pivotButton="0" quotePrefix="0" xfId="0">
      <alignment horizontal="left" vertical="center"/>
    </xf>
    <xf numFmtId="3" fontId="28" fillId="0" borderId="0" applyAlignment="1" pivotButton="0" quotePrefix="0" xfId="0">
      <alignment horizontal="left" vertical="center"/>
    </xf>
    <xf numFmtId="3" fontId="38" fillId="0" borderId="0" applyAlignment="1" pivotButton="0" quotePrefix="0" xfId="0">
      <alignment horizontal="right" vertical="center"/>
    </xf>
    <xf numFmtId="4" fontId="38" fillId="0" borderId="0" applyAlignment="1" pivotButton="0" quotePrefix="0" xfId="0">
      <alignment horizontal="left" vertical="center"/>
    </xf>
    <xf numFmtId="3" fontId="38" fillId="0" borderId="0" applyAlignment="1" pivotButton="0" quotePrefix="0" xfId="0">
      <alignment horizontal="left" vertical="center"/>
    </xf>
    <xf numFmtId="168" fontId="38" fillId="0" borderId="35" applyAlignment="1" pivotButton="0" quotePrefix="0" xfId="0">
      <alignment horizontal="right" vertical="center"/>
    </xf>
    <xf numFmtId="169" fontId="28" fillId="0" borderId="25" applyAlignment="1" applyProtection="1" pivotButton="0" quotePrefix="0" xfId="0">
      <alignment horizontal="general" vertical="center"/>
      <protection locked="0" hidden="0"/>
    </xf>
    <xf numFmtId="169" fontId="28" fillId="0" borderId="27" applyAlignment="1" applyProtection="1" pivotButton="0" quotePrefix="0" xfId="0">
      <alignment horizontal="general" vertical="center"/>
      <protection locked="0" hidden="0"/>
    </xf>
    <xf numFmtId="169" fontId="28" fillId="0" borderId="27" applyAlignment="1" applyProtection="1" pivotButton="0" quotePrefix="0" xfId="0">
      <alignment horizontal="center" vertical="center"/>
      <protection locked="0" hidden="0"/>
    </xf>
    <xf numFmtId="169" fontId="28" fillId="0" borderId="26" applyAlignment="1" applyProtection="1" pivotButton="0" quotePrefix="0" xfId="0">
      <alignment horizontal="general" vertical="center"/>
      <protection locked="0" hidden="0"/>
    </xf>
    <xf numFmtId="4" fontId="28" fillId="0" borderId="0" applyAlignment="1" pivotButton="0" quotePrefix="0" xfId="0">
      <alignment horizontal="center" vertical="center"/>
    </xf>
    <xf numFmtId="4" fontId="28" fillId="0" borderId="0" applyAlignment="1" pivotButton="0" quotePrefix="0" xfId="0">
      <alignment horizontal="center" vertical="center"/>
    </xf>
    <xf numFmtId="0" fontId="4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/>
    </xf>
    <xf numFmtId="0" fontId="4" fillId="0" borderId="4" applyAlignment="1" pivotButton="0" quotePrefix="0" xfId="20">
      <alignment horizontal="center" vertical="center" wrapText="1"/>
    </xf>
    <xf numFmtId="0" fontId="4" fillId="0" borderId="4" applyAlignment="1" pivotButton="0" quotePrefix="0" xfId="20">
      <alignment horizontal="center" vertical="center"/>
    </xf>
    <xf numFmtId="0" fontId="4" fillId="0" borderId="4" applyAlignment="1" pivotButton="0" quotePrefix="0" xfId="20">
      <alignment horizontal="center" vertical="center"/>
    </xf>
    <xf numFmtId="165" fontId="4" fillId="0" borderId="4" applyAlignment="1" pivotButton="0" quotePrefix="0" xfId="20">
      <alignment horizontal="center" vertical="center"/>
    </xf>
    <xf numFmtId="0" fontId="26" fillId="0" borderId="4" applyAlignment="1" pivotButton="0" quotePrefix="0" xfId="20">
      <alignment horizontal="center" vertical="center" textRotation="90"/>
    </xf>
    <xf numFmtId="0" fontId="4" fillId="0" borderId="4" applyAlignment="1" pivotButton="0" quotePrefix="0" xfId="20">
      <alignment horizontal="center" vertical="center" textRotation="90"/>
    </xf>
    <xf numFmtId="0" fontId="39" fillId="0" borderId="4" applyAlignment="1" pivotButton="0" quotePrefix="0" xfId="20">
      <alignment horizontal="center" vertical="center"/>
    </xf>
    <xf numFmtId="0" fontId="40" fillId="0" borderId="4" applyAlignment="1" pivotButton="0" quotePrefix="0" xfId="20">
      <alignment horizontal="center" vertical="center"/>
    </xf>
    <xf numFmtId="0" fontId="4" fillId="0" borderId="4" applyAlignment="1" pivotButton="0" quotePrefix="0" xfId="20">
      <alignment horizontal="center" vertical="bottom"/>
    </xf>
    <xf numFmtId="0" fontId="26" fillId="0" borderId="4" applyAlignment="1" pivotButton="0" quotePrefix="0" xfId="20">
      <alignment horizontal="center" vertical="bottom"/>
    </xf>
    <xf numFmtId="49" fontId="4" fillId="0" borderId="4" applyAlignment="1" pivotButton="0" quotePrefix="0" xfId="20">
      <alignment horizontal="center" vertical="bottom"/>
    </xf>
    <xf numFmtId="3" fontId="4" fillId="0" borderId="4" applyAlignment="1" pivotButton="0" quotePrefix="0" xfId="20">
      <alignment horizontal="center" vertical="bottom"/>
    </xf>
    <xf numFmtId="4" fontId="4" fillId="0" borderId="4" applyAlignment="1" pivotButton="0" quotePrefix="0" xfId="20">
      <alignment horizontal="left" vertical="bottom"/>
    </xf>
    <xf numFmtId="0" fontId="4" fillId="0" borderId="4" applyAlignment="1" pivotButton="0" quotePrefix="0" xfId="20">
      <alignment horizontal="center" vertical="bottom"/>
    </xf>
    <xf numFmtId="4" fontId="4" fillId="2" borderId="4" applyAlignment="1" pivotButton="0" quotePrefix="0" xfId="20">
      <alignment horizontal="left" vertical="bottom"/>
    </xf>
    <xf numFmtId="0" fontId="4" fillId="2" borderId="4" applyAlignment="1" pivotButton="0" quotePrefix="0" xfId="20">
      <alignment horizontal="center" vertical="bottom"/>
    </xf>
    <xf numFmtId="3" fontId="0" fillId="0" borderId="0" applyAlignment="1" pivotButton="0" quotePrefix="0" xfId="0">
      <alignment horizontal="general" vertical="bottom"/>
    </xf>
    <xf numFmtId="0" fontId="4" fillId="0" borderId="36" applyAlignment="1" pivotButton="0" quotePrefix="0" xfId="20">
      <alignment horizontal="center" vertical="center" wrapText="1"/>
    </xf>
    <xf numFmtId="0" fontId="4" fillId="0" borderId="36" applyAlignment="1" pivotButton="0" quotePrefix="0" xfId="20">
      <alignment horizontal="center" vertical="center"/>
    </xf>
    <xf numFmtId="0" fontId="4" fillId="0" borderId="0" applyAlignment="1" pivotButton="0" quotePrefix="0" xfId="20">
      <alignment horizontal="general" vertical="center"/>
    </xf>
    <xf numFmtId="0" fontId="20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1" fontId="20" fillId="0" borderId="0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 textRotation="90" wrapText="1"/>
    </xf>
    <xf numFmtId="3" fontId="17" fillId="0" borderId="4" applyAlignment="1" pivotButton="0" quotePrefix="0" xfId="0">
      <alignment horizontal="center" vertical="center" textRotation="90" wrapText="1"/>
    </xf>
    <xf numFmtId="0" fontId="0" fillId="0" borderId="0" applyAlignment="1" pivotButton="0" quotePrefix="0" xfId="0">
      <alignment horizontal="general" vertical="bottom" wrapText="1"/>
    </xf>
    <xf numFmtId="0" fontId="42" fillId="0" borderId="4" applyAlignment="1" pivotButton="0" quotePrefix="0" xfId="0">
      <alignment horizontal="center" vertical="center"/>
    </xf>
    <xf numFmtId="1" fontId="42" fillId="0" borderId="4" applyAlignment="1" pivotButton="0" quotePrefix="0" xfId="0">
      <alignment horizontal="center" vertical="center"/>
    </xf>
    <xf numFmtId="3" fontId="42" fillId="0" borderId="4" applyAlignment="1" pivotButton="0" quotePrefix="0" xfId="0">
      <alignment horizontal="center" vertical="center"/>
    </xf>
    <xf numFmtId="0" fontId="42" fillId="0" borderId="4" applyAlignment="1" pivotButton="0" quotePrefix="0" xfId="0">
      <alignment horizontal="center" vertical="center" wrapText="1"/>
    </xf>
    <xf numFmtId="0" fontId="45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bottom"/>
    </xf>
    <xf numFmtId="0" fontId="46" fillId="0" borderId="4" applyAlignment="1" pivotButton="0" quotePrefix="0" xfId="0">
      <alignment horizontal="center" vertical="bottom"/>
    </xf>
    <xf numFmtId="49" fontId="0" fillId="0" borderId="4" applyAlignment="1" pivotButton="0" quotePrefix="0" xfId="0">
      <alignment horizontal="center" vertical="bottom"/>
    </xf>
    <xf numFmtId="4" fontId="0" fillId="0" borderId="4" applyAlignment="1" pivotButton="0" quotePrefix="0" xfId="0">
      <alignment horizontal="center" vertical="bottom"/>
    </xf>
    <xf numFmtId="3" fontId="0" fillId="0" borderId="4" applyAlignment="1" pivotButton="0" quotePrefix="0" xfId="0">
      <alignment horizontal="center" vertical="bottom"/>
    </xf>
    <xf numFmtId="0" fontId="4" fillId="0" borderId="4" applyAlignment="1" pivotButton="0" quotePrefix="0" xfId="20">
      <alignment horizontal="center" vertical="bottom"/>
    </xf>
    <xf numFmtId="3" fontId="0" fillId="0" borderId="4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16" fillId="0" borderId="25" applyAlignment="1" pivotButton="0" quotePrefix="0" xfId="0">
      <alignment horizontal="center" vertical="bottom"/>
    </xf>
    <xf numFmtId="0" fontId="16" fillId="0" borderId="0" applyAlignment="1" pivotButton="0" quotePrefix="0" xfId="0">
      <alignment horizontal="center" vertical="bottom"/>
    </xf>
    <xf numFmtId="0" fontId="4" fillId="0" borderId="34" applyAlignment="1" pivotButton="0" quotePrefix="0" xfId="20">
      <alignment horizontal="center" vertical="center" wrapText="1"/>
    </xf>
    <xf numFmtId="0" fontId="4" fillId="0" borderId="34" applyAlignment="1" pivotButton="0" quotePrefix="0" xfId="20">
      <alignment horizontal="center" vertical="center"/>
    </xf>
    <xf numFmtId="0" fontId="4" fillId="0" borderId="34" applyAlignment="1" pivotButton="0" quotePrefix="0" xfId="20">
      <alignment horizontal="left" vertical="center"/>
    </xf>
    <xf numFmtId="0" fontId="26" fillId="0" borderId="4" applyAlignment="1" pivotButton="0" quotePrefix="0" xfId="20">
      <alignment horizontal="left" vertical="center"/>
    </xf>
    <xf numFmtId="0" fontId="26" fillId="0" borderId="0" applyAlignment="1" pivotButton="0" quotePrefix="0" xfId="20">
      <alignment horizontal="left" vertical="center"/>
    </xf>
    <xf numFmtId="0" fontId="4" fillId="0" borderId="4" applyAlignment="1" pivotButton="0" quotePrefix="0" xfId="20">
      <alignment horizontal="left" vertical="center"/>
    </xf>
    <xf numFmtId="0" fontId="4" fillId="0" borderId="0" applyAlignment="1" pivotButton="0" quotePrefix="0" xfId="20">
      <alignment horizontal="center" vertical="center"/>
    </xf>
    <xf numFmtId="0" fontId="19" fillId="0" borderId="0" applyAlignment="1" pivotButton="0" quotePrefix="0" xfId="0">
      <alignment horizontal="center" vertical="bottom"/>
    </xf>
    <xf numFmtId="0" fontId="1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19" fillId="0" borderId="4" applyAlignment="1" pivotButton="0" quotePrefix="0" xfId="0">
      <alignment horizontal="center" vertical="bottom"/>
    </xf>
    <xf numFmtId="0" fontId="24" fillId="0" borderId="4" applyAlignment="1" pivotButton="0" quotePrefix="0" xfId="0">
      <alignment horizontal="left" vertical="bottom"/>
    </xf>
    <xf numFmtId="0" fontId="19" fillId="0" borderId="4" applyAlignment="1" pivotButton="0" quotePrefix="0" xfId="0">
      <alignment horizontal="center" vertical="center"/>
    </xf>
    <xf numFmtId="0" fontId="47" fillId="0" borderId="4" applyAlignment="1" pivotButton="0" quotePrefix="0" xfId="0">
      <alignment horizontal="center" vertical="center"/>
    </xf>
    <xf numFmtId="164" fontId="19" fillId="0" borderId="4" applyAlignment="1" pivotButton="0" quotePrefix="0" xfId="0">
      <alignment horizontal="center" vertical="center"/>
    </xf>
    <xf numFmtId="0" fontId="24" fillId="0" borderId="4" applyAlignment="1" pivotButton="0" quotePrefix="0" xfId="0">
      <alignment horizontal="general" vertical="bottom"/>
    </xf>
    <xf numFmtId="0" fontId="0" fillId="0" borderId="4" applyAlignment="1" pivotButton="0" quotePrefix="0" xfId="0">
      <alignment horizontal="center" vertical="center"/>
    </xf>
    <xf numFmtId="0" fontId="48" fillId="0" borderId="4" applyAlignment="1" pivotButton="0" quotePrefix="0" xfId="0">
      <alignment horizontal="center" vertical="center" wrapText="1"/>
    </xf>
    <xf numFmtId="0" fontId="47" fillId="0" borderId="4" applyAlignment="1" pivotButton="0" quotePrefix="0" xfId="0">
      <alignment horizontal="center" vertical="center" wrapText="1"/>
    </xf>
    <xf numFmtId="0" fontId="16" fillId="0" borderId="4" applyAlignment="1" pivotButton="0" quotePrefix="0" xfId="0">
      <alignment horizontal="center" vertical="center" wrapText="1"/>
    </xf>
    <xf numFmtId="0" fontId="0" fillId="3" borderId="4" applyAlignment="1" pivotButton="0" quotePrefix="0" xfId="0">
      <alignment horizontal="center" vertical="center"/>
    </xf>
    <xf numFmtId="3" fontId="0" fillId="3" borderId="4" applyAlignment="1" pivotButton="0" quotePrefix="0" xfId="0">
      <alignment horizontal="center" vertical="center"/>
    </xf>
    <xf numFmtId="3" fontId="0" fillId="2" borderId="4" applyAlignment="1" pivotButton="0" quotePrefix="0" xfId="0">
      <alignment horizontal="center" vertical="center"/>
    </xf>
    <xf numFmtId="1" fontId="0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general" vertical="bottom"/>
    </xf>
    <xf numFmtId="0" fontId="49" fillId="0" borderId="4" applyAlignment="1" pivotButton="0" quotePrefix="0" xfId="0">
      <alignment horizontal="general" vertical="bottom"/>
    </xf>
    <xf numFmtId="0" fontId="0" fillId="2" borderId="4" applyAlignment="1" pivotButton="0" quotePrefix="0" xfId="0">
      <alignment horizontal="center" vertical="center"/>
    </xf>
    <xf numFmtId="0" fontId="50" fillId="0" borderId="4" applyAlignment="1" pivotButton="0" quotePrefix="0" xfId="0">
      <alignment horizontal="center" vertical="bottom"/>
    </xf>
    <xf numFmtId="1" fontId="0" fillId="4" borderId="4" applyAlignment="1" pivotButton="0" quotePrefix="0" xfId="0">
      <alignment horizontal="center" vertical="center"/>
    </xf>
    <xf numFmtId="1" fontId="0" fillId="5" borderId="4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0" fontId="50" fillId="0" borderId="27" applyAlignment="1" pivotButton="0" quotePrefix="0" xfId="0">
      <alignment horizontal="general" vertical="center"/>
    </xf>
    <xf numFmtId="0" fontId="50" fillId="0" borderId="25" applyAlignment="1" pivotButton="0" quotePrefix="0" xfId="0">
      <alignment horizontal="general" vertical="center"/>
    </xf>
    <xf numFmtId="0" fontId="0" fillId="0" borderId="4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0" fontId="51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center" vertical="bottom"/>
    </xf>
    <xf numFmtId="49" fontId="0" fillId="0" borderId="0" applyAlignment="1" pivotButton="0" quotePrefix="0" xfId="0">
      <alignment horizontal="general" vertical="bottom"/>
    </xf>
    <xf numFmtId="0" fontId="16" fillId="0" borderId="27" applyAlignment="1" pivotButton="0" quotePrefix="0" xfId="0">
      <alignment horizontal="center" vertical="bottom"/>
    </xf>
    <xf numFmtId="0" fontId="0" fillId="0" borderId="27" applyAlignment="1" pivotButton="0" quotePrefix="0" xfId="0">
      <alignment horizontal="general" vertical="bottom"/>
    </xf>
    <xf numFmtId="0" fontId="0" fillId="0" borderId="26" applyAlignment="1" pivotButton="0" quotePrefix="0" xfId="0">
      <alignment horizontal="general" vertical="bottom"/>
    </xf>
    <xf numFmtId="0" fontId="4" fillId="0" borderId="25" applyAlignment="1" pivotButton="0" quotePrefix="0" xfId="20">
      <alignment horizontal="general" vertical="center"/>
    </xf>
    <xf numFmtId="0" fontId="4" fillId="0" borderId="27" applyAlignment="1" pivotButton="0" quotePrefix="0" xfId="20">
      <alignment horizontal="general" vertical="center"/>
    </xf>
    <xf numFmtId="0" fontId="4" fillId="0" borderId="26" applyAlignment="1" pivotButton="0" quotePrefix="0" xfId="20">
      <alignment horizontal="general" vertical="center"/>
    </xf>
    <xf numFmtId="0" fontId="19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/>
    </xf>
    <xf numFmtId="2" fontId="0" fillId="3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1" applyAlignment="1" pivotButton="0" quotePrefix="0" xfId="0">
      <alignment horizontal="center" vertical="bottom"/>
    </xf>
    <xf numFmtId="0" fontId="0" fillId="0" borderId="39" pivotButton="0" quotePrefix="0" xfId="0"/>
    <xf numFmtId="0" fontId="0" fillId="0" borderId="40" pivotButton="0" quotePrefix="0" xfId="0"/>
    <xf numFmtId="0" fontId="5" fillId="0" borderId="0" applyAlignment="1" pivotButton="0" quotePrefix="0" xfId="0">
      <alignment horizontal="general" vertical="bottom"/>
    </xf>
    <xf numFmtId="0" fontId="6" fillId="0" borderId="2" applyAlignment="1" pivotButton="0" quotePrefix="0" xfId="0">
      <alignment horizontal="center" vertical="bottom" wrapText="1"/>
    </xf>
    <xf numFmtId="0" fontId="0" fillId="0" borderId="19" pivotButton="0" quotePrefix="0" xfId="0"/>
    <xf numFmtId="0" fontId="0" fillId="0" borderId="41" pivotButton="0" quotePrefix="0" xfId="0"/>
    <xf numFmtId="0" fontId="10" fillId="0" borderId="0" applyAlignment="1" pivotButton="0" quotePrefix="0" xfId="0">
      <alignment horizontal="general" vertical="bottom"/>
    </xf>
    <xf numFmtId="0" fontId="0" fillId="0" borderId="6" pivotButton="0" quotePrefix="0" xfId="0"/>
    <xf numFmtId="0" fontId="0" fillId="0" borderId="7" pivotButton="0" quotePrefix="0" xfId="0"/>
    <xf numFmtId="0" fontId="0" fillId="0" borderId="42" pivotButton="0" quotePrefix="0" xfId="0"/>
    <xf numFmtId="0" fontId="0" fillId="0" borderId="23" pivotButton="0" quotePrefix="0" xfId="0"/>
    <xf numFmtId="0" fontId="0" fillId="0" borderId="43" pivotButton="0" quotePrefix="0" xfId="0"/>
    <xf numFmtId="0" fontId="0" fillId="0" borderId="3" applyAlignment="1" pivotButton="0" quotePrefix="0" xfId="0">
      <alignment horizontal="general" vertical="center"/>
    </xf>
    <xf numFmtId="0" fontId="0" fillId="0" borderId="4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4" applyAlignment="1" pivotButton="0" quotePrefix="0" xfId="0">
      <alignment horizontal="center" vertical="bottom"/>
    </xf>
    <xf numFmtId="0" fontId="0" fillId="0" borderId="4" applyAlignment="1" pivotButton="0" quotePrefix="0" xfId="0">
      <alignment horizontal="general" vertical="bottom" wrapText="1"/>
    </xf>
    <xf numFmtId="0" fontId="0" fillId="0" borderId="5" applyAlignment="1" pivotButton="0" quotePrefix="0" xfId="0">
      <alignment horizontal="center" vertical="bottom"/>
    </xf>
    <xf numFmtId="0" fontId="0" fillId="0" borderId="27" pivotButton="0" quotePrefix="0" xfId="0"/>
    <xf numFmtId="0" fontId="0" fillId="0" borderId="44" pivotButton="0" quotePrefix="0" xfId="0"/>
    <xf numFmtId="0" fontId="0" fillId="0" borderId="0" applyAlignment="1" pivotButton="0" quotePrefix="0" xfId="0">
      <alignment horizontal="center" vertical="bottom"/>
    </xf>
    <xf numFmtId="0" fontId="0" fillId="0" borderId="3" applyAlignment="1" pivotButton="0" quotePrefix="0" xfId="0">
      <alignment horizontal="general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top"/>
    </xf>
    <xf numFmtId="0" fontId="5" fillId="0" borderId="2" applyAlignment="1" pivotButton="0" quotePrefix="0" xfId="0">
      <alignment horizontal="center" vertical="bottom"/>
    </xf>
    <xf numFmtId="0" fontId="0" fillId="0" borderId="3" applyAlignment="1" pivotButton="0" quotePrefix="0" xfId="0">
      <alignment horizontal="center" vertical="bottom"/>
    </xf>
    <xf numFmtId="0" fontId="0" fillId="0" borderId="20" pivotButton="0" quotePrefix="0" xfId="0"/>
    <xf numFmtId="0" fontId="12" fillId="0" borderId="5" applyAlignment="1" pivotButton="0" quotePrefix="0" xfId="0">
      <alignment horizontal="left" vertical="bottom"/>
    </xf>
    <xf numFmtId="0" fontId="0" fillId="0" borderId="24" pivotButton="0" quotePrefix="0" xfId="0"/>
    <xf numFmtId="0" fontId="0" fillId="0" borderId="22" pivotButton="0" quotePrefix="0" xfId="0"/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3" fillId="0" borderId="8" applyAlignment="1" pivotButton="0" quotePrefix="0" xfId="0">
      <alignment horizontal="center" vertical="bottom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general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 wrapText="1"/>
    </xf>
    <xf numFmtId="165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17" pivotButton="0" quotePrefix="0" xfId="0"/>
    <xf numFmtId="0" fontId="14" fillId="0" borderId="12" applyAlignment="1" pivotButton="0" quotePrefix="0" xfId="0">
      <alignment horizontal="center" vertical="bottom"/>
    </xf>
    <xf numFmtId="0" fontId="0" fillId="0" borderId="37" pivotButton="0" quotePrefix="0" xfId="0"/>
    <xf numFmtId="0" fontId="0" fillId="0" borderId="51" pivotButton="0" quotePrefix="0" xfId="0"/>
    <xf numFmtId="0" fontId="0" fillId="0" borderId="13" applyAlignment="1" pivotButton="0" quotePrefix="0" xfId="0">
      <alignment horizontal="center" vertical="bottom"/>
    </xf>
    <xf numFmtId="0" fontId="0" fillId="0" borderId="14" applyAlignment="1" pivotButton="0" quotePrefix="0" xfId="0">
      <alignment horizontal="center" vertical="bottom"/>
    </xf>
    <xf numFmtId="0" fontId="0" fillId="0" borderId="34" pivotButton="0" quotePrefix="0" xfId="0"/>
    <xf numFmtId="0" fontId="0" fillId="0" borderId="53" pivotButton="0" quotePrefix="0" xfId="0"/>
    <xf numFmtId="0" fontId="0" fillId="0" borderId="3" applyAlignment="1" pivotButton="0" quotePrefix="0" xfId="0">
      <alignment horizontal="left" vertical="bottom"/>
    </xf>
    <xf numFmtId="0" fontId="0" fillId="0" borderId="4" applyAlignment="1" pivotButton="0" quotePrefix="0" xfId="0">
      <alignment horizontal="left" vertical="bottom"/>
    </xf>
    <xf numFmtId="165" fontId="0" fillId="0" borderId="5" applyAlignment="1" pivotButton="0" quotePrefix="0" xfId="0">
      <alignment horizontal="center" vertical="bottom"/>
    </xf>
    <xf numFmtId="0" fontId="15" fillId="0" borderId="0" applyAlignment="1" pivotButton="0" quotePrefix="0" xfId="0">
      <alignment horizontal="general" vertical="bottom"/>
    </xf>
    <xf numFmtId="0" fontId="15" fillId="0" borderId="7" applyAlignment="1" pivotButton="0" quotePrefix="0" xfId="0">
      <alignment horizontal="general" vertical="bottom"/>
    </xf>
    <xf numFmtId="0" fontId="16" fillId="0" borderId="6" applyAlignment="1" pivotButton="0" quotePrefix="0" xfId="0">
      <alignment horizontal="general" vertical="bottom"/>
    </xf>
    <xf numFmtId="0" fontId="17" fillId="0" borderId="0" applyAlignment="1" pivotButton="0" quotePrefix="0" xfId="0">
      <alignment horizontal="center" vertical="bottom"/>
    </xf>
    <xf numFmtId="0" fontId="17" fillId="0" borderId="7" applyAlignment="1" pivotButton="0" quotePrefix="0" xfId="0">
      <alignment horizontal="center" vertical="bottom"/>
    </xf>
    <xf numFmtId="0" fontId="18" fillId="0" borderId="0" applyAlignment="1" pivotButton="0" quotePrefix="0" xfId="0">
      <alignment horizontal="general" vertical="bottom"/>
    </xf>
    <xf numFmtId="0" fontId="18" fillId="0" borderId="7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left" vertical="bottom"/>
    </xf>
    <xf numFmtId="0" fontId="1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19" fillId="0" borderId="0" applyAlignment="1" pivotButton="0" quotePrefix="0" xfId="0">
      <alignment horizontal="left" vertical="bottom" wrapText="1"/>
    </xf>
    <xf numFmtId="0" fontId="18" fillId="0" borderId="7" applyAlignment="1" pivotButton="0" quotePrefix="0" xfId="0">
      <alignment horizontal="left" vertical="bottom"/>
    </xf>
    <xf numFmtId="0" fontId="23" fillId="0" borderId="0" applyAlignment="1" pivotButton="0" quotePrefix="0" xfId="0">
      <alignment horizontal="left" vertical="bottom"/>
    </xf>
    <xf numFmtId="166" fontId="24" fillId="0" borderId="0" applyAlignment="1" pivotButton="0" quotePrefix="0" xfId="0">
      <alignment horizontal="left" vertical="bottom" wrapText="1"/>
    </xf>
    <xf numFmtId="0" fontId="18" fillId="0" borderId="0" applyAlignment="1" pivotButton="0" quotePrefix="0" xfId="0">
      <alignment horizontal="right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25" fillId="0" borderId="18" applyAlignment="1" pivotButton="0" quotePrefix="0" xfId="0">
      <alignment horizontal="general" vertical="center"/>
    </xf>
    <xf numFmtId="0" fontId="25" fillId="0" borderId="19" applyAlignment="1" pivotButton="0" quotePrefix="0" xfId="0">
      <alignment horizontal="general" vertical="center"/>
    </xf>
    <xf numFmtId="0" fontId="26" fillId="0" borderId="18" applyAlignment="1" pivotButton="0" quotePrefix="0" xfId="0">
      <alignment horizontal="general" vertical="center"/>
    </xf>
    <xf numFmtId="0" fontId="26" fillId="0" borderId="19" applyAlignment="1" pivotButton="0" quotePrefix="0" xfId="0">
      <alignment horizontal="general" vertical="center"/>
    </xf>
    <xf numFmtId="0" fontId="27" fillId="0" borderId="19" applyAlignment="1" pivotButton="0" quotePrefix="0" xfId="0">
      <alignment horizontal="left" vertical="center"/>
    </xf>
    <xf numFmtId="0" fontId="25" fillId="0" borderId="20" applyAlignment="1" pivotButton="0" quotePrefix="0" xfId="0">
      <alignment horizontal="general" vertical="center"/>
    </xf>
    <xf numFmtId="0" fontId="25" fillId="0" borderId="4" applyAlignment="1" pivotButton="0" quotePrefix="0" xfId="0">
      <alignment horizontal="center" vertical="center"/>
    </xf>
    <xf numFmtId="0" fontId="25" fillId="0" borderId="4" applyAlignment="1" applyProtection="1" pivotButton="0" quotePrefix="0" xfId="0">
      <alignment horizontal="center" vertical="center"/>
      <protection locked="0" hidden="0"/>
    </xf>
    <xf numFmtId="165" fontId="25" fillId="0" borderId="4" applyAlignment="1" applyProtection="1" pivotButton="0" quotePrefix="0" xfId="0">
      <alignment horizontal="center" vertical="center"/>
      <protection locked="0" hidden="0"/>
    </xf>
    <xf numFmtId="0" fontId="28" fillId="0" borderId="0" applyAlignment="1" pivotButton="0" quotePrefix="0" xfId="0">
      <alignment horizontal="general" vertical="center"/>
    </xf>
    <xf numFmtId="0" fontId="28" fillId="0" borderId="21" applyAlignment="1" pivotButton="0" quotePrefix="0" xfId="0">
      <alignment horizontal="general" vertical="center"/>
    </xf>
    <xf numFmtId="0" fontId="29" fillId="0" borderId="22" applyAlignment="1" pivotButton="0" quotePrefix="0" xfId="0">
      <alignment horizontal="general" vertical="center"/>
    </xf>
    <xf numFmtId="0" fontId="29" fillId="0" borderId="23" applyAlignment="1" pivotButton="0" quotePrefix="0" xfId="0">
      <alignment horizontal="general" vertical="center"/>
    </xf>
    <xf numFmtId="0" fontId="29" fillId="0" borderId="23" applyAlignment="1" applyProtection="1" pivotButton="0" quotePrefix="0" xfId="0">
      <alignment horizontal="general" vertical="center"/>
      <protection locked="0" hidden="0"/>
    </xf>
    <xf numFmtId="0" fontId="28" fillId="0" borderId="23" applyAlignment="1" applyProtection="1" pivotButton="0" quotePrefix="0" xfId="0">
      <alignment horizontal="general" vertical="center"/>
      <protection locked="0" hidden="0"/>
    </xf>
    <xf numFmtId="0" fontId="28" fillId="0" borderId="24" applyAlignment="1" applyProtection="1" pivotButton="0" quotePrefix="0" xfId="0">
      <alignment horizontal="general" vertical="center"/>
      <protection locked="0" hidden="0"/>
    </xf>
    <xf numFmtId="0" fontId="28" fillId="0" borderId="4" applyAlignment="1" pivotButton="0" quotePrefix="0" xfId="0">
      <alignment horizontal="center" vertical="center"/>
    </xf>
    <xf numFmtId="0" fontId="28" fillId="0" borderId="4" applyAlignment="1" applyProtection="1" pivotButton="0" quotePrefix="0" xfId="0">
      <alignment horizontal="center" vertical="center"/>
      <protection locked="0" hidden="0"/>
    </xf>
    <xf numFmtId="0" fontId="30" fillId="0" borderId="25" applyAlignment="1" pivotButton="0" quotePrefix="0" xfId="0">
      <alignment horizontal="center" vertical="center"/>
    </xf>
    <xf numFmtId="0" fontId="30" fillId="0" borderId="26" applyAlignment="1" pivotButton="0" quotePrefix="0" xfId="0">
      <alignment horizontal="center" vertical="center"/>
    </xf>
    <xf numFmtId="0" fontId="30" fillId="0" borderId="4" applyAlignment="1" pivotButton="0" quotePrefix="0" xfId="0">
      <alignment horizontal="center" vertical="center"/>
    </xf>
    <xf numFmtId="0" fontId="28" fillId="0" borderId="0" applyAlignment="1" pivotButton="0" quotePrefix="0" xfId="0">
      <alignment horizontal="general" vertical="bottom"/>
    </xf>
    <xf numFmtId="0" fontId="28" fillId="0" borderId="4" applyAlignment="1" pivotButton="0" quotePrefix="0" xfId="0">
      <alignment horizontal="center" vertical="center" textRotation="90"/>
    </xf>
    <xf numFmtId="0" fontId="28" fillId="0" borderId="4" applyAlignment="1" pivotButton="0" quotePrefix="0" xfId="0">
      <alignment horizontal="center" vertical="center" textRotation="90" wrapText="1"/>
    </xf>
    <xf numFmtId="0" fontId="28" fillId="0" borderId="4" applyAlignment="1" pivotButton="0" quotePrefix="0" xfId="0">
      <alignment horizontal="center" vertical="bottom"/>
    </xf>
    <xf numFmtId="0" fontId="31" fillId="0" borderId="4" applyAlignment="1" pivotButton="0" quotePrefix="0" xfId="0">
      <alignment horizontal="center" vertical="bottom"/>
    </xf>
    <xf numFmtId="0" fontId="28" fillId="0" borderId="0" applyAlignment="1" pivotButton="0" quotePrefix="0" xfId="0">
      <alignment horizontal="center" vertical="center"/>
    </xf>
    <xf numFmtId="0" fontId="33" fillId="0" borderId="4" applyAlignment="1" pivotButton="0" quotePrefix="0" xfId="0">
      <alignment horizontal="center" vertical="center" wrapText="1"/>
    </xf>
    <xf numFmtId="0" fontId="32" fillId="0" borderId="4" applyAlignment="1" pivotButton="0" quotePrefix="0" xfId="0">
      <alignment horizontal="center" vertical="center" wrapText="1"/>
    </xf>
    <xf numFmtId="0" fontId="28" fillId="0" borderId="25" applyAlignment="1" applyProtection="1" pivotButton="0" quotePrefix="0" xfId="0">
      <alignment horizontal="general" vertical="center"/>
      <protection locked="0" hidden="0"/>
    </xf>
    <xf numFmtId="0" fontId="28" fillId="0" borderId="27" applyAlignment="1" applyProtection="1" pivotButton="0" quotePrefix="0" xfId="0">
      <alignment horizontal="general" vertical="center"/>
      <protection locked="0" hidden="0"/>
    </xf>
    <xf numFmtId="0" fontId="28" fillId="0" borderId="27" applyAlignment="1" applyProtection="1" pivotButton="0" quotePrefix="0" xfId="0">
      <alignment horizontal="right" vertical="center"/>
      <protection locked="0" hidden="0"/>
    </xf>
    <xf numFmtId="0" fontId="28" fillId="0" borderId="27" applyAlignment="1" applyProtection="1" pivotButton="0" quotePrefix="0" xfId="0">
      <alignment horizontal="center" vertical="center"/>
      <protection locked="0" hidden="0"/>
    </xf>
    <xf numFmtId="0" fontId="34" fillId="0" borderId="27" applyAlignment="1" applyProtection="1" pivotButton="0" quotePrefix="0" xfId="0">
      <alignment horizontal="center" vertical="center"/>
      <protection locked="0" hidden="0"/>
    </xf>
    <xf numFmtId="0" fontId="0" fillId="0" borderId="27" applyProtection="1" pivotButton="0" quotePrefix="0" xfId="0">
      <protection locked="0" hidden="0"/>
    </xf>
    <xf numFmtId="0" fontId="28" fillId="0" borderId="26" applyAlignment="1" applyProtection="1" pivotButton="0" quotePrefix="0" xfId="0">
      <alignment horizontal="general" vertical="center"/>
      <protection locked="0" hidden="0"/>
    </xf>
    <xf numFmtId="0" fontId="28" fillId="0" borderId="28" applyAlignment="1" applyProtection="1" pivotButton="0" quotePrefix="0" xfId="0">
      <alignment horizontal="center" vertical="center"/>
      <protection locked="0" hidden="0"/>
    </xf>
    <xf numFmtId="167" fontId="28" fillId="0" borderId="29" applyAlignment="1" applyProtection="1" pivotButton="0" quotePrefix="0" xfId="0">
      <alignment horizontal="center" vertical="center"/>
      <protection locked="0" hidden="0"/>
    </xf>
    <xf numFmtId="167" fontId="28" fillId="0" borderId="30" applyAlignment="1" applyProtection="1" pivotButton="0" quotePrefix="0" xfId="0">
      <alignment horizontal="center" vertical="center"/>
      <protection locked="0" hidden="0"/>
    </xf>
    <xf numFmtId="4" fontId="28" fillId="0" borderId="29" applyAlignment="1" applyProtection="1" pivotButton="0" quotePrefix="0" xfId="0">
      <alignment horizontal="center" vertical="center"/>
      <protection locked="0" hidden="0"/>
    </xf>
    <xf numFmtId="4" fontId="28" fillId="0" borderId="29" applyAlignment="1" pivotButton="0" quotePrefix="0" xfId="0">
      <alignment horizontal="center" vertical="center"/>
    </xf>
    <xf numFmtId="3" fontId="28" fillId="0" borderId="29" applyAlignment="1" applyProtection="1" pivotButton="0" quotePrefix="0" xfId="0">
      <alignment horizontal="center" vertical="center"/>
      <protection locked="0" hidden="0"/>
    </xf>
    <xf numFmtId="4" fontId="28" fillId="0" borderId="30" applyAlignment="1" applyProtection="1" pivotButton="0" quotePrefix="0" xfId="0">
      <alignment horizontal="center" vertical="center"/>
      <protection locked="0" hidden="0"/>
    </xf>
    <xf numFmtId="168" fontId="28" fillId="0" borderId="31" applyAlignment="1" pivotButton="0" quotePrefix="0" xfId="0">
      <alignment horizontal="right" vertical="center"/>
    </xf>
    <xf numFmtId="3" fontId="28" fillId="0" borderId="32" applyAlignment="1" applyProtection="1" pivotButton="0" quotePrefix="0" xfId="0">
      <alignment horizontal="center" vertical="center"/>
      <protection locked="0" hidden="0"/>
    </xf>
    <xf numFmtId="168" fontId="28" fillId="0" borderId="30" applyAlignment="1" pivotButton="0" quotePrefix="0" xfId="0">
      <alignment horizontal="right" vertical="center"/>
    </xf>
    <xf numFmtId="0" fontId="28" fillId="0" borderId="22" applyAlignment="1" pivotButton="0" quotePrefix="0" xfId="0">
      <alignment horizontal="center" vertical="center"/>
    </xf>
    <xf numFmtId="167" fontId="28" fillId="0" borderId="23" applyAlignment="1" pivotButton="0" quotePrefix="0" xfId="0">
      <alignment horizontal="center" vertical="center"/>
    </xf>
    <xf numFmtId="4" fontId="28" fillId="0" borderId="23" applyAlignment="1" pivotButton="0" quotePrefix="0" xfId="0">
      <alignment horizontal="center" vertical="center"/>
    </xf>
    <xf numFmtId="3" fontId="28" fillId="0" borderId="23" applyAlignment="1" pivotButton="0" quotePrefix="0" xfId="0">
      <alignment horizontal="center" vertical="center"/>
    </xf>
    <xf numFmtId="168" fontId="28" fillId="0" borderId="34" applyAlignment="1" pivotButton="0" quotePrefix="0" xfId="0">
      <alignment horizontal="right" vertical="center"/>
    </xf>
    <xf numFmtId="3" fontId="28" fillId="0" borderId="4" applyAlignment="1" applyProtection="1" pivotButton="0" quotePrefix="0" xfId="0">
      <alignment horizontal="center" vertical="center"/>
      <protection locked="0" hidden="0"/>
    </xf>
    <xf numFmtId="4" fontId="28" fillId="0" borderId="4" applyAlignment="1" pivotButton="0" quotePrefix="0" xfId="0">
      <alignment horizontal="center" vertical="center"/>
    </xf>
    <xf numFmtId="168" fontId="28" fillId="0" borderId="4" applyAlignment="1" pivotButton="0" quotePrefix="0" xfId="0">
      <alignment horizontal="right" vertical="center"/>
    </xf>
    <xf numFmtId="0" fontId="28" fillId="0" borderId="18" applyAlignment="1" pivotButton="0" quotePrefix="0" xfId="0">
      <alignment horizontal="center" vertical="center"/>
    </xf>
    <xf numFmtId="49" fontId="28" fillId="0" borderId="19" applyAlignment="1" pivotButton="0" quotePrefix="0" xfId="0">
      <alignment horizontal="center" vertical="center"/>
    </xf>
    <xf numFmtId="4" fontId="28" fillId="0" borderId="19" applyAlignment="1" pivotButton="0" quotePrefix="0" xfId="0">
      <alignment horizontal="left" vertical="center"/>
    </xf>
    <xf numFmtId="4" fontId="35" fillId="0" borderId="19" applyAlignment="1" pivotButton="0" quotePrefix="0" xfId="0">
      <alignment horizontal="left" vertical="center"/>
    </xf>
    <xf numFmtId="4" fontId="28" fillId="0" borderId="19" applyAlignment="1" pivotButton="0" quotePrefix="0" xfId="0">
      <alignment horizontal="center" vertical="center"/>
    </xf>
    <xf numFmtId="3" fontId="28" fillId="0" borderId="19" applyAlignment="1" pivotButton="0" quotePrefix="0" xfId="0">
      <alignment horizontal="center" vertical="center"/>
    </xf>
    <xf numFmtId="4" fontId="31" fillId="0" borderId="19" applyAlignment="1" pivotButton="0" quotePrefix="0" xfId="0">
      <alignment horizontal="right" vertical="center"/>
    </xf>
    <xf numFmtId="4" fontId="32" fillId="0" borderId="0" applyAlignment="1" pivotButton="0" quotePrefix="0" xfId="0">
      <alignment horizontal="right" vertical="center"/>
    </xf>
    <xf numFmtId="168" fontId="28" fillId="0" borderId="19" applyAlignment="1" pivotButton="0" quotePrefix="0" xfId="0">
      <alignment horizontal="center" vertical="center"/>
    </xf>
    <xf numFmtId="0" fontId="31" fillId="0" borderId="19" applyAlignment="1" pivotButton="0" quotePrefix="0" xfId="0">
      <alignment horizontal="center" vertical="center"/>
    </xf>
    <xf numFmtId="168" fontId="28" fillId="0" borderId="20" applyAlignment="1" pivotButton="0" quotePrefix="0" xfId="0">
      <alignment horizontal="center" vertical="center"/>
    </xf>
    <xf numFmtId="0" fontId="35" fillId="0" borderId="21" applyAlignment="1" pivotButton="0" quotePrefix="0" xfId="0">
      <alignment horizontal="left" vertical="center"/>
    </xf>
    <xf numFmtId="167" fontId="28" fillId="0" borderId="29" applyAlignment="1" applyProtection="1" pivotButton="0" quotePrefix="0" xfId="0">
      <alignment horizontal="center" vertical="center"/>
      <protection locked="0" hidden="0"/>
    </xf>
    <xf numFmtId="4" fontId="28" fillId="0" borderId="0" applyAlignment="1" pivotButton="0" quotePrefix="0" xfId="0">
      <alignment horizontal="left" vertical="center"/>
    </xf>
    <xf numFmtId="4" fontId="36" fillId="0" borderId="0" applyAlignment="1" pivotButton="0" quotePrefix="0" xfId="0">
      <alignment horizontal="right" vertical="center"/>
    </xf>
    <xf numFmtId="4" fontId="37" fillId="0" borderId="0" applyAlignment="1" pivotButton="0" quotePrefix="0" xfId="0">
      <alignment horizontal="left" vertical="center"/>
    </xf>
    <xf numFmtId="3" fontId="37" fillId="0" borderId="25" applyAlignment="1" pivotButton="0" quotePrefix="0" xfId="0">
      <alignment horizontal="left" vertical="center"/>
    </xf>
    <xf numFmtId="4" fontId="37" fillId="0" borderId="27" applyAlignment="1" pivotButton="0" quotePrefix="0" xfId="0">
      <alignment horizontal="left" vertical="center"/>
    </xf>
    <xf numFmtId="4" fontId="28" fillId="0" borderId="27" applyAlignment="1" pivotButton="0" quotePrefix="0" xfId="0">
      <alignment horizontal="center" vertical="center"/>
    </xf>
    <xf numFmtId="4" fontId="32" fillId="0" borderId="26" applyAlignment="1" pivotButton="0" quotePrefix="0" xfId="0">
      <alignment horizontal="right" vertical="center"/>
    </xf>
    <xf numFmtId="4" fontId="28" fillId="0" borderId="4" applyAlignment="1" applyProtection="1" pivotButton="0" quotePrefix="0" xfId="0">
      <alignment horizontal="center" vertical="center"/>
      <protection locked="0" hidden="0"/>
    </xf>
    <xf numFmtId="0" fontId="28" fillId="0" borderId="21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/>
    </xf>
    <xf numFmtId="3" fontId="28" fillId="0" borderId="0" applyAlignment="1" pivotButton="0" quotePrefix="0" xfId="0">
      <alignment horizontal="left" vertical="center"/>
    </xf>
    <xf numFmtId="3" fontId="38" fillId="0" borderId="0" applyAlignment="1" pivotButton="0" quotePrefix="0" xfId="0">
      <alignment horizontal="right" vertical="center"/>
    </xf>
    <xf numFmtId="4" fontId="38" fillId="0" borderId="0" applyAlignment="1" pivotButton="0" quotePrefix="0" xfId="0">
      <alignment horizontal="left" vertical="center"/>
    </xf>
    <xf numFmtId="3" fontId="38" fillId="0" borderId="0" applyAlignment="1" pivotButton="0" quotePrefix="0" xfId="0">
      <alignment horizontal="left" vertical="center"/>
    </xf>
    <xf numFmtId="168" fontId="38" fillId="0" borderId="35" applyAlignment="1" pivotButton="0" quotePrefix="0" xfId="0">
      <alignment horizontal="right" vertical="center"/>
    </xf>
    <xf numFmtId="0" fontId="28" fillId="0" borderId="0" applyAlignment="1" pivotButton="0" quotePrefix="0" xfId="0">
      <alignment horizontal="left" vertical="center"/>
    </xf>
    <xf numFmtId="0" fontId="28" fillId="0" borderId="18" applyAlignment="1" pivotButton="0" quotePrefix="0" xfId="0">
      <alignment horizontal="center" vertical="center"/>
    </xf>
    <xf numFmtId="49" fontId="28" fillId="0" borderId="19" applyAlignment="1" pivotButton="0" quotePrefix="0" xfId="0">
      <alignment horizontal="center" vertical="center"/>
    </xf>
    <xf numFmtId="4" fontId="28" fillId="0" borderId="19" applyAlignment="1" pivotButton="0" quotePrefix="0" xfId="0">
      <alignment horizontal="left" vertical="center"/>
    </xf>
    <xf numFmtId="4" fontId="35" fillId="0" borderId="19" applyAlignment="1" pivotButton="0" quotePrefix="0" xfId="0">
      <alignment horizontal="left" vertical="center"/>
    </xf>
    <xf numFmtId="4" fontId="28" fillId="0" borderId="19" applyAlignment="1" pivotButton="0" quotePrefix="0" xfId="0">
      <alignment horizontal="center" vertical="center"/>
    </xf>
    <xf numFmtId="3" fontId="28" fillId="0" borderId="19" applyAlignment="1" pivotButton="0" quotePrefix="0" xfId="0">
      <alignment horizontal="center" vertical="center"/>
    </xf>
    <xf numFmtId="4" fontId="31" fillId="0" borderId="19" applyAlignment="1" pivotButton="0" quotePrefix="0" xfId="0">
      <alignment horizontal="right" vertical="center"/>
    </xf>
    <xf numFmtId="4" fontId="32" fillId="0" borderId="0" applyAlignment="1" pivotButton="0" quotePrefix="0" xfId="0">
      <alignment horizontal="right" vertical="center"/>
    </xf>
    <xf numFmtId="168" fontId="28" fillId="0" borderId="19" applyAlignment="1" pivotButton="0" quotePrefix="0" xfId="0">
      <alignment horizontal="center" vertical="center"/>
    </xf>
    <xf numFmtId="0" fontId="31" fillId="0" borderId="19" applyAlignment="1" pivotButton="0" quotePrefix="0" xfId="0">
      <alignment horizontal="center" vertical="center"/>
    </xf>
    <xf numFmtId="168" fontId="28" fillId="0" borderId="20" applyAlignment="1" pivotButton="0" quotePrefix="0" xfId="0">
      <alignment horizontal="center" vertical="center"/>
    </xf>
    <xf numFmtId="0" fontId="35" fillId="0" borderId="21" applyAlignment="1" pivotButton="0" quotePrefix="0" xfId="0">
      <alignment horizontal="left" vertical="center"/>
    </xf>
    <xf numFmtId="4" fontId="28" fillId="0" borderId="0" applyAlignment="1" pivotButton="0" quotePrefix="0" xfId="0">
      <alignment horizontal="left" vertical="center"/>
    </xf>
    <xf numFmtId="4" fontId="36" fillId="0" borderId="0" applyAlignment="1" pivotButton="0" quotePrefix="0" xfId="0">
      <alignment horizontal="right" vertical="center"/>
    </xf>
    <xf numFmtId="4" fontId="37" fillId="0" borderId="0" applyAlignment="1" pivotButton="0" quotePrefix="0" xfId="0">
      <alignment horizontal="left" vertical="center"/>
    </xf>
    <xf numFmtId="3" fontId="37" fillId="0" borderId="25" applyAlignment="1" pivotButton="0" quotePrefix="0" xfId="0">
      <alignment horizontal="left" vertical="center"/>
    </xf>
    <xf numFmtId="4" fontId="37" fillId="0" borderId="27" applyAlignment="1" pivotButton="0" quotePrefix="0" xfId="0">
      <alignment horizontal="left" vertical="center"/>
    </xf>
    <xf numFmtId="4" fontId="28" fillId="0" borderId="27" applyAlignment="1" pivotButton="0" quotePrefix="0" xfId="0">
      <alignment horizontal="center" vertical="center"/>
    </xf>
    <xf numFmtId="4" fontId="32" fillId="0" borderId="26" applyAlignment="1" pivotButton="0" quotePrefix="0" xfId="0">
      <alignment horizontal="right" vertical="center"/>
    </xf>
    <xf numFmtId="4" fontId="28" fillId="0" borderId="4" applyAlignment="1" applyProtection="1" pivotButton="0" quotePrefix="0" xfId="0">
      <alignment horizontal="center" vertical="center"/>
      <protection locked="0" hidden="0"/>
    </xf>
    <xf numFmtId="3" fontId="28" fillId="0" borderId="4" applyAlignment="1" applyProtection="1" pivotButton="0" quotePrefix="0" xfId="0">
      <alignment horizontal="center" vertical="center"/>
      <protection locked="0" hidden="0"/>
    </xf>
    <xf numFmtId="168" fontId="28" fillId="0" borderId="4" applyAlignment="1" pivotButton="0" quotePrefix="0" xfId="0">
      <alignment horizontal="right" vertical="center"/>
    </xf>
    <xf numFmtId="0" fontId="28" fillId="0" borderId="21" applyAlignment="1" pivotButton="0" quotePrefix="0" xfId="0">
      <alignment horizontal="left" vertical="center"/>
    </xf>
    <xf numFmtId="4" fontId="28" fillId="0" borderId="23" applyAlignment="1" pivotButton="0" quotePrefix="0" xfId="0">
      <alignment horizontal="center" vertical="center"/>
    </xf>
    <xf numFmtId="3" fontId="28" fillId="0" borderId="0" applyAlignment="1" pivotButton="0" quotePrefix="0" xfId="0">
      <alignment horizontal="left" vertical="center"/>
    </xf>
    <xf numFmtId="3" fontId="38" fillId="0" borderId="0" applyAlignment="1" pivotButton="0" quotePrefix="0" xfId="0">
      <alignment horizontal="right" vertical="center"/>
    </xf>
    <xf numFmtId="4" fontId="38" fillId="0" borderId="0" applyAlignment="1" pivotButton="0" quotePrefix="0" xfId="0">
      <alignment horizontal="left" vertical="center"/>
    </xf>
    <xf numFmtId="3" fontId="38" fillId="0" borderId="0" applyAlignment="1" pivotButton="0" quotePrefix="0" xfId="0">
      <alignment horizontal="left" vertical="center"/>
    </xf>
    <xf numFmtId="168" fontId="38" fillId="0" borderId="35" applyAlignment="1" pivotButton="0" quotePrefix="0" xfId="0">
      <alignment horizontal="right" vertical="center"/>
    </xf>
    <xf numFmtId="169" fontId="28" fillId="0" borderId="25" applyAlignment="1" applyProtection="1" pivotButton="0" quotePrefix="0" xfId="0">
      <alignment horizontal="general" vertical="center"/>
      <protection locked="0" hidden="0"/>
    </xf>
    <xf numFmtId="169" fontId="28" fillId="0" borderId="27" applyAlignment="1" applyProtection="1" pivotButton="0" quotePrefix="0" xfId="0">
      <alignment horizontal="general" vertical="center"/>
      <protection locked="0" hidden="0"/>
    </xf>
    <xf numFmtId="0" fontId="28" fillId="0" borderId="27" applyAlignment="1" applyProtection="1" pivotButton="0" quotePrefix="0" xfId="0">
      <alignment horizontal="right" vertical="center"/>
      <protection locked="0" hidden="0"/>
    </xf>
    <xf numFmtId="169" fontId="28" fillId="0" borderId="27" applyAlignment="1" applyProtection="1" pivotButton="0" quotePrefix="0" xfId="0">
      <alignment horizontal="center" vertical="center"/>
      <protection locked="0" hidden="0"/>
    </xf>
    <xf numFmtId="169" fontId="28" fillId="0" borderId="26" applyAlignment="1" applyProtection="1" pivotButton="0" quotePrefix="0" xfId="0">
      <alignment horizontal="general" vertical="center"/>
      <protection locked="0" hidden="0"/>
    </xf>
    <xf numFmtId="0" fontId="28" fillId="0" borderId="28" applyAlignment="1" applyProtection="1" pivotButton="0" quotePrefix="0" xfId="0">
      <alignment horizontal="center" vertical="center"/>
      <protection locked="0" hidden="0"/>
    </xf>
    <xf numFmtId="167" fontId="28" fillId="0" borderId="30" applyAlignment="1" applyProtection="1" pivotButton="0" quotePrefix="0" xfId="0">
      <alignment horizontal="center" vertical="center"/>
      <protection locked="0" hidden="0"/>
    </xf>
    <xf numFmtId="4" fontId="28" fillId="0" borderId="29" applyAlignment="1" applyProtection="1" pivotButton="0" quotePrefix="0" xfId="0">
      <alignment horizontal="center" vertical="center"/>
      <protection locked="0" hidden="0"/>
    </xf>
    <xf numFmtId="4" fontId="28" fillId="0" borderId="29" applyAlignment="1" pivotButton="0" quotePrefix="0" xfId="0">
      <alignment horizontal="center" vertical="center"/>
    </xf>
    <xf numFmtId="3" fontId="28" fillId="0" borderId="29" applyAlignment="1" applyProtection="1" pivotButton="0" quotePrefix="0" xfId="0">
      <alignment horizontal="center" vertical="center"/>
      <protection locked="0" hidden="0"/>
    </xf>
    <xf numFmtId="4" fontId="28" fillId="0" borderId="30" applyAlignment="1" applyProtection="1" pivotButton="0" quotePrefix="0" xfId="0">
      <alignment horizontal="center" vertical="center"/>
      <protection locked="0" hidden="0"/>
    </xf>
    <xf numFmtId="168" fontId="28" fillId="0" borderId="31" applyAlignment="1" pivotButton="0" quotePrefix="0" xfId="0">
      <alignment horizontal="right" vertical="center"/>
    </xf>
    <xf numFmtId="3" fontId="28" fillId="0" borderId="32" applyAlignment="1" applyProtection="1" pivotButton="0" quotePrefix="0" xfId="0">
      <alignment horizontal="center" vertical="center"/>
      <protection locked="0" hidden="0"/>
    </xf>
    <xf numFmtId="168" fontId="28" fillId="0" borderId="30" applyAlignment="1" pivotButton="0" quotePrefix="0" xfId="0">
      <alignment horizontal="right" vertical="center"/>
    </xf>
    <xf numFmtId="168" fontId="28" fillId="0" borderId="33" applyAlignment="1" pivotButton="0" quotePrefix="0" xfId="0">
      <alignment horizontal="right" vertical="center"/>
    </xf>
    <xf numFmtId="0" fontId="28" fillId="0" borderId="22" applyAlignment="1" pivotButton="0" quotePrefix="0" xfId="0">
      <alignment horizontal="center" vertical="center"/>
    </xf>
    <xf numFmtId="167" fontId="28" fillId="0" borderId="23" applyAlignment="1" pivotButton="0" quotePrefix="0" xfId="0">
      <alignment horizontal="center" vertical="center"/>
    </xf>
    <xf numFmtId="3" fontId="28" fillId="0" borderId="23" applyAlignment="1" pivotButton="0" quotePrefix="0" xfId="0">
      <alignment horizontal="center" vertical="center"/>
    </xf>
    <xf numFmtId="168" fontId="28" fillId="0" borderId="34" applyAlignment="1" pivotButton="0" quotePrefix="0" xfId="0">
      <alignment horizontal="right" vertical="center"/>
    </xf>
    <xf numFmtId="4" fontId="28" fillId="0" borderId="4" applyAlignment="1" pivotButton="0" quotePrefix="0" xfId="0">
      <alignment horizontal="center" vertical="center"/>
    </xf>
    <xf numFmtId="4" fontId="28" fillId="0" borderId="0" applyAlignment="1" pivotButton="0" quotePrefix="0" xfId="0">
      <alignment horizontal="center" vertical="center"/>
    </xf>
    <xf numFmtId="0" fontId="4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/>
    </xf>
    <xf numFmtId="0" fontId="4" fillId="0" borderId="4" applyAlignment="1" pivotButton="0" quotePrefix="0" xfId="20">
      <alignment horizontal="center" vertical="center" wrapText="1"/>
    </xf>
    <xf numFmtId="0" fontId="4" fillId="0" borderId="4" applyAlignment="1" pivotButton="0" quotePrefix="0" xfId="20">
      <alignment horizontal="center" vertical="center"/>
    </xf>
    <xf numFmtId="0" fontId="0" fillId="0" borderId="21" pivotButton="0" quotePrefix="0" xfId="0"/>
    <xf numFmtId="0" fontId="0" fillId="0" borderId="35" pivotButton="0" quotePrefix="0" xfId="0"/>
    <xf numFmtId="165" fontId="4" fillId="0" borderId="4" applyAlignment="1" pivotButton="0" quotePrefix="0" xfId="20">
      <alignment horizontal="center" vertical="center"/>
    </xf>
    <xf numFmtId="0" fontId="26" fillId="0" borderId="4" applyAlignment="1" pivotButton="0" quotePrefix="0" xfId="20">
      <alignment horizontal="center" vertical="center" textRotation="90"/>
    </xf>
    <xf numFmtId="0" fontId="4" fillId="0" borderId="4" applyAlignment="1" pivotButton="0" quotePrefix="0" xfId="20">
      <alignment horizontal="center" vertical="center" textRotation="90"/>
    </xf>
    <xf numFmtId="0" fontId="0" fillId="0" borderId="47" pivotButton="0" quotePrefix="0" xfId="0"/>
    <xf numFmtId="0" fontId="39" fillId="0" borderId="4" applyAlignment="1" pivotButton="0" quotePrefix="0" xfId="20">
      <alignment horizontal="center" vertical="center"/>
    </xf>
    <xf numFmtId="0" fontId="40" fillId="0" borderId="4" applyAlignment="1" pivotButton="0" quotePrefix="0" xfId="20">
      <alignment horizontal="center" vertical="center"/>
    </xf>
    <xf numFmtId="0" fontId="4" fillId="0" borderId="4" applyAlignment="1" pivotButton="0" quotePrefix="0" xfId="20">
      <alignment horizontal="center" vertical="bottom"/>
    </xf>
    <xf numFmtId="0" fontId="26" fillId="0" borderId="4" applyAlignment="1" pivotButton="0" quotePrefix="0" xfId="20">
      <alignment horizontal="center" vertical="bottom"/>
    </xf>
    <xf numFmtId="49" fontId="4" fillId="0" borderId="4" applyAlignment="1" pivotButton="0" quotePrefix="0" xfId="20">
      <alignment horizontal="center" vertical="bottom"/>
    </xf>
    <xf numFmtId="3" fontId="4" fillId="0" borderId="4" applyAlignment="1" pivotButton="0" quotePrefix="0" xfId="20">
      <alignment horizontal="center" vertical="bottom"/>
    </xf>
    <xf numFmtId="4" fontId="4" fillId="0" borderId="4" applyAlignment="1" pivotButton="0" quotePrefix="0" xfId="20">
      <alignment horizontal="left" vertical="bottom"/>
    </xf>
    <xf numFmtId="4" fontId="4" fillId="2" borderId="4" applyAlignment="1" pivotButton="0" quotePrefix="0" xfId="20">
      <alignment horizontal="left" vertical="bottom"/>
    </xf>
    <xf numFmtId="0" fontId="4" fillId="2" borderId="4" applyAlignment="1" pivotButton="0" quotePrefix="0" xfId="20">
      <alignment horizontal="center" vertical="bottom"/>
    </xf>
    <xf numFmtId="0" fontId="4" fillId="0" borderId="4" applyAlignment="1" pivotButton="0" quotePrefix="0" xfId="0">
      <alignment horizontal="center" vertical="bottom"/>
    </xf>
    <xf numFmtId="0" fontId="26" fillId="0" borderId="4" applyAlignment="1" pivotButton="0" quotePrefix="0" xfId="0">
      <alignment horizontal="center" vertical="bottom"/>
    </xf>
    <xf numFmtId="49" fontId="4" fillId="0" borderId="4" applyAlignment="1" pivotButton="0" quotePrefix="0" xfId="0">
      <alignment horizontal="center" vertical="bottom"/>
    </xf>
    <xf numFmtId="3" fontId="4" fillId="0" borderId="4" applyAlignment="1" pivotButton="0" quotePrefix="0" xfId="0">
      <alignment horizontal="center" vertical="bottom"/>
    </xf>
    <xf numFmtId="4" fontId="4" fillId="0" borderId="4" applyAlignment="1" pivotButton="0" quotePrefix="0" xfId="0">
      <alignment horizontal="left" vertical="bottom"/>
    </xf>
    <xf numFmtId="4" fontId="4" fillId="2" borderId="4" applyAlignment="1" pivotButton="0" quotePrefix="0" xfId="0">
      <alignment horizontal="left" vertical="bottom"/>
    </xf>
    <xf numFmtId="0" fontId="4" fillId="2" borderId="4" applyAlignment="1" pivotButton="0" quotePrefix="0" xfId="0">
      <alignment horizontal="center" vertical="bottom"/>
    </xf>
    <xf numFmtId="3" fontId="0" fillId="0" borderId="0" applyAlignment="1" pivotButton="0" quotePrefix="0" xfId="0">
      <alignment horizontal="general" vertical="bottom"/>
    </xf>
    <xf numFmtId="0" fontId="4" fillId="0" borderId="36" applyAlignment="1" pivotButton="0" quotePrefix="0" xfId="20">
      <alignment horizontal="center" vertical="center" wrapText="1"/>
    </xf>
    <xf numFmtId="0" fontId="4" fillId="0" borderId="36" applyAlignment="1" pivotButton="0" quotePrefix="0" xfId="20">
      <alignment horizontal="center" vertical="center"/>
    </xf>
    <xf numFmtId="0" fontId="4" fillId="0" borderId="0" applyAlignment="1" pivotButton="0" quotePrefix="0" xfId="20">
      <alignment horizontal="general" vertical="center"/>
    </xf>
    <xf numFmtId="0" fontId="20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1" fontId="20" fillId="0" borderId="0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 textRotation="90" wrapText="1"/>
    </xf>
    <xf numFmtId="3" fontId="17" fillId="0" borderId="4" applyAlignment="1" pivotButton="0" quotePrefix="0" xfId="0">
      <alignment horizontal="center" vertical="center" textRotation="90" wrapText="1"/>
    </xf>
    <xf numFmtId="0" fontId="0" fillId="0" borderId="0" applyAlignment="1" pivotButton="0" quotePrefix="0" xfId="0">
      <alignment horizontal="general" vertical="bottom" wrapText="1"/>
    </xf>
    <xf numFmtId="0" fontId="42" fillId="0" borderId="4" applyAlignment="1" pivotButton="0" quotePrefix="0" xfId="0">
      <alignment horizontal="center" vertical="center"/>
    </xf>
    <xf numFmtId="1" fontId="42" fillId="0" borderId="4" applyAlignment="1" pivotButton="0" quotePrefix="0" xfId="0">
      <alignment horizontal="center" vertical="center"/>
    </xf>
    <xf numFmtId="3" fontId="42" fillId="0" borderId="4" applyAlignment="1" pivotButton="0" quotePrefix="0" xfId="0">
      <alignment horizontal="center" vertical="center"/>
    </xf>
    <xf numFmtId="0" fontId="42" fillId="0" borderId="4" applyAlignment="1" pivotButton="0" quotePrefix="0" xfId="0">
      <alignment horizontal="center" vertical="center" wrapText="1"/>
    </xf>
    <xf numFmtId="0" fontId="45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bottom"/>
    </xf>
    <xf numFmtId="0" fontId="46" fillId="0" borderId="4" applyAlignment="1" pivotButton="0" quotePrefix="0" xfId="0">
      <alignment horizontal="center" vertical="bottom"/>
    </xf>
    <xf numFmtId="49" fontId="0" fillId="0" borderId="4" applyAlignment="1" pivotButton="0" quotePrefix="0" xfId="0">
      <alignment horizontal="center" vertical="bottom"/>
    </xf>
    <xf numFmtId="0" fontId="0" fillId="0" borderId="4" applyAlignment="1" pivotButton="0" quotePrefix="0" xfId="0">
      <alignment horizontal="general" vertical="bottom"/>
    </xf>
    <xf numFmtId="4" fontId="0" fillId="0" borderId="4" applyAlignment="1" pivotButton="0" quotePrefix="0" xfId="0">
      <alignment horizontal="center" vertical="bottom"/>
    </xf>
    <xf numFmtId="3" fontId="0" fillId="0" borderId="4" applyAlignment="1" pivotButton="0" quotePrefix="0" xfId="0">
      <alignment horizontal="center" vertical="bottom"/>
    </xf>
    <xf numFmtId="0" fontId="0" fillId="0" borderId="4" applyAlignment="1" pivotButton="0" quotePrefix="0" xfId="20">
      <alignment horizontal="center" vertical="bottom"/>
    </xf>
    <xf numFmtId="0" fontId="46" fillId="0" borderId="4" applyAlignment="1" pivotButton="0" quotePrefix="0" xfId="20">
      <alignment horizontal="center" vertical="bottom"/>
    </xf>
    <xf numFmtId="49" fontId="0" fillId="0" borderId="4" applyAlignment="1" pivotButton="0" quotePrefix="0" xfId="20">
      <alignment horizontal="center" vertical="bottom"/>
    </xf>
    <xf numFmtId="0" fontId="4" fillId="0" borderId="4" applyAlignment="1" pivotButton="0" quotePrefix="0" xfId="20">
      <alignment horizontal="center" vertical="bottom"/>
    </xf>
    <xf numFmtId="49" fontId="4" fillId="0" borderId="4" applyAlignment="1" pivotButton="0" quotePrefix="0" xfId="20">
      <alignment horizontal="center" vertical="bottom"/>
    </xf>
    <xf numFmtId="3" fontId="4" fillId="0" borderId="4" applyAlignment="1" pivotButton="0" quotePrefix="0" xfId="20">
      <alignment horizontal="center" vertical="bottom"/>
    </xf>
    <xf numFmtId="4" fontId="0" fillId="0" borderId="4" applyAlignment="1" pivotButton="0" quotePrefix="0" xfId="0">
      <alignment horizontal="center" vertical="bottom"/>
    </xf>
    <xf numFmtId="3" fontId="0" fillId="0" borderId="4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center"/>
    </xf>
    <xf numFmtId="0" fontId="16" fillId="0" borderId="25" applyAlignment="1" pivotButton="0" quotePrefix="0" xfId="0">
      <alignment horizontal="center" vertical="bottom"/>
    </xf>
    <xf numFmtId="0" fontId="16" fillId="0" borderId="0" applyAlignment="1" pivotButton="0" quotePrefix="0" xfId="0">
      <alignment horizontal="center" vertical="bottom"/>
    </xf>
    <xf numFmtId="0" fontId="4" fillId="0" borderId="34" applyAlignment="1" pivotButton="0" quotePrefix="0" xfId="20">
      <alignment horizontal="center" vertical="center" wrapText="1"/>
    </xf>
    <xf numFmtId="0" fontId="4" fillId="0" borderId="34" applyAlignment="1" pivotButton="0" quotePrefix="0" xfId="20">
      <alignment horizontal="center" vertical="center"/>
    </xf>
    <xf numFmtId="0" fontId="4" fillId="0" borderId="34" applyAlignment="1" pivotButton="0" quotePrefix="0" xfId="20">
      <alignment horizontal="left" vertical="center"/>
    </xf>
    <xf numFmtId="0" fontId="26" fillId="0" borderId="4" applyAlignment="1" pivotButton="0" quotePrefix="0" xfId="20">
      <alignment horizontal="left" vertical="center"/>
    </xf>
    <xf numFmtId="0" fontId="26" fillId="0" borderId="0" applyAlignment="1" pivotButton="0" quotePrefix="0" xfId="20">
      <alignment horizontal="left" vertical="center"/>
    </xf>
    <xf numFmtId="0" fontId="4" fillId="0" borderId="4" applyAlignment="1" pivotButton="0" quotePrefix="0" xfId="20">
      <alignment horizontal="left" vertical="center"/>
    </xf>
    <xf numFmtId="0" fontId="4" fillId="0" borderId="0" applyAlignment="1" pivotButton="0" quotePrefix="0" xfId="20">
      <alignment horizontal="center" vertical="center"/>
    </xf>
    <xf numFmtId="0" fontId="19" fillId="0" borderId="0" applyAlignment="1" pivotButton="0" quotePrefix="0" xfId="0">
      <alignment horizontal="center" vertical="bottom"/>
    </xf>
    <xf numFmtId="0" fontId="19" fillId="0" borderId="0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bottom"/>
    </xf>
    <xf numFmtId="0" fontId="24" fillId="0" borderId="4" applyAlignment="1" pivotButton="0" quotePrefix="0" xfId="0">
      <alignment horizontal="left" vertical="bottom"/>
    </xf>
    <xf numFmtId="0" fontId="19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/>
    </xf>
    <xf numFmtId="0" fontId="47" fillId="0" borderId="4" applyAlignment="1" pivotButton="0" quotePrefix="0" xfId="0">
      <alignment horizontal="center" vertical="center"/>
    </xf>
    <xf numFmtId="164" fontId="19" fillId="0" borderId="4" applyAlignment="1" pivotButton="0" quotePrefix="0" xfId="0">
      <alignment horizontal="center" vertical="center"/>
    </xf>
    <xf numFmtId="164" fontId="19" fillId="0" borderId="4" applyAlignment="1" pivotButton="0" quotePrefix="0" xfId="0">
      <alignment horizontal="center" vertical="center"/>
    </xf>
    <xf numFmtId="0" fontId="24" fillId="0" borderId="4" applyAlignment="1" pivotButton="0" quotePrefix="0" xfId="0">
      <alignment horizontal="general" vertical="bottom"/>
    </xf>
    <xf numFmtId="0" fontId="48" fillId="0" borderId="4" applyAlignment="1" pivotButton="0" quotePrefix="0" xfId="0">
      <alignment horizontal="center" vertical="center" wrapText="1"/>
    </xf>
    <xf numFmtId="0" fontId="47" fillId="0" borderId="4" applyAlignment="1" pivotButton="0" quotePrefix="0" xfId="0">
      <alignment horizontal="center" vertical="center" wrapText="1"/>
    </xf>
    <xf numFmtId="0" fontId="16" fillId="0" borderId="4" applyAlignment="1" pivotButton="0" quotePrefix="0" xfId="0">
      <alignment horizontal="center" vertical="center" wrapText="1"/>
    </xf>
    <xf numFmtId="0" fontId="48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3" fontId="0" fillId="3" borderId="4" applyAlignment="1" pivotButton="0" quotePrefix="0" xfId="0">
      <alignment horizontal="center" vertical="center"/>
    </xf>
    <xf numFmtId="3" fontId="0" fillId="3" borderId="4" applyAlignment="1" pivotButton="0" quotePrefix="0" xfId="0">
      <alignment horizontal="center" vertical="center"/>
    </xf>
    <xf numFmtId="3" fontId="0" fillId="2" borderId="4" applyAlignment="1" pivotButton="0" quotePrefix="0" xfId="0">
      <alignment horizontal="center" vertical="center"/>
    </xf>
    <xf numFmtId="3" fontId="0" fillId="2" borderId="4" applyAlignment="1" pivotButton="0" quotePrefix="0" xfId="0">
      <alignment horizontal="center" vertical="center"/>
    </xf>
    <xf numFmtId="1" fontId="0" fillId="0" borderId="4" applyAlignment="1" pivotButton="0" quotePrefix="0" xfId="0">
      <alignment horizontal="center" vertical="center"/>
    </xf>
    <xf numFmtId="1" fontId="0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general" vertical="bottom"/>
    </xf>
    <xf numFmtId="0" fontId="49" fillId="0" borderId="4" applyAlignment="1" pivotButton="0" quotePrefix="0" xfId="0">
      <alignment horizontal="general" vertical="bottom"/>
    </xf>
    <xf numFmtId="0" fontId="0" fillId="2" borderId="4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50" fillId="0" borderId="4" applyAlignment="1" pivotButton="0" quotePrefix="0" xfId="0">
      <alignment horizontal="center" vertical="bottom"/>
    </xf>
    <xf numFmtId="1" fontId="0" fillId="4" borderId="4" applyAlignment="1" pivotButton="0" quotePrefix="0" xfId="0">
      <alignment horizontal="center" vertical="center"/>
    </xf>
    <xf numFmtId="1" fontId="0" fillId="4" borderId="4" applyAlignment="1" pivotButton="0" quotePrefix="0" xfId="0">
      <alignment horizontal="center" vertical="center"/>
    </xf>
    <xf numFmtId="1" fontId="0" fillId="5" borderId="4" applyAlignment="1" pivotButton="0" quotePrefix="0" xfId="0">
      <alignment horizontal="center" vertical="center"/>
    </xf>
    <xf numFmtId="1" fontId="0" fillId="5" borderId="4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0" fontId="50" fillId="0" borderId="27" applyAlignment="1" pivotButton="0" quotePrefix="0" xfId="0">
      <alignment horizontal="general" vertical="center"/>
    </xf>
    <xf numFmtId="0" fontId="50" fillId="0" borderId="25" applyAlignment="1" pivotButton="0" quotePrefix="0" xfId="0">
      <alignment horizontal="general" vertical="center"/>
    </xf>
    <xf numFmtId="0" fontId="50" fillId="0" borderId="27" applyAlignment="1" pivotButton="0" quotePrefix="0" xfId="0">
      <alignment horizontal="general" vertical="center"/>
    </xf>
    <xf numFmtId="0" fontId="0" fillId="6" borderId="4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0" fontId="51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center" vertical="bottom"/>
    </xf>
    <xf numFmtId="49" fontId="0" fillId="0" borderId="0" applyAlignment="1" pivotButton="0" quotePrefix="0" xfId="0">
      <alignment horizontal="general" vertical="bottom"/>
    </xf>
    <xf numFmtId="0" fontId="16" fillId="0" borderId="27" applyAlignment="1" pivotButton="0" quotePrefix="0" xfId="0">
      <alignment horizontal="center" vertical="bottom"/>
    </xf>
    <xf numFmtId="0" fontId="0" fillId="0" borderId="27" applyAlignment="1" pivotButton="0" quotePrefix="0" xfId="0">
      <alignment horizontal="general" vertical="bottom"/>
    </xf>
    <xf numFmtId="0" fontId="0" fillId="0" borderId="26" applyAlignment="1" pivotButton="0" quotePrefix="0" xfId="0">
      <alignment horizontal="general" vertical="bottom"/>
    </xf>
    <xf numFmtId="0" fontId="4" fillId="0" borderId="25" applyAlignment="1" pivotButton="0" quotePrefix="0" xfId="20">
      <alignment horizontal="general" vertical="center"/>
    </xf>
    <xf numFmtId="0" fontId="4" fillId="0" borderId="27" applyAlignment="1" pivotButton="0" quotePrefix="0" xfId="20">
      <alignment horizontal="general" vertical="center"/>
    </xf>
    <xf numFmtId="0" fontId="4" fillId="0" borderId="26" applyAlignment="1" pivotButton="0" quotePrefix="0" xfId="20">
      <alignment horizontal="general" vertical="center"/>
    </xf>
    <xf numFmtId="0" fontId="47" fillId="0" borderId="4" applyAlignment="1" pivotButton="0" quotePrefix="0" xfId="0">
      <alignment horizontal="center" vertical="center" wrapText="1"/>
    </xf>
    <xf numFmtId="0" fontId="19" fillId="0" borderId="4" applyAlignment="1" pivotButton="0" quotePrefix="0" xfId="0">
      <alignment horizontal="center" vertical="center" wrapText="1"/>
    </xf>
    <xf numFmtId="2" fontId="0" fillId="3" borderId="4" applyAlignment="1" pivotButton="0" quotePrefix="0" xfId="0">
      <alignment horizontal="center" vertical="center"/>
    </xf>
    <xf numFmtId="0" fontId="50" fillId="0" borderId="25" applyAlignment="1" pivotButton="0" quotePrefix="0" xfId="0">
      <alignment horizontal="general" vertical="center"/>
    </xf>
    <xf numFmtId="0" fontId="55" fillId="0" borderId="0" applyAlignment="1" pivotButton="0" quotePrefix="0" xfId="0">
      <alignment horizontal="center" vertical="center" wrapText="1"/>
    </xf>
    <xf numFmtId="0" fontId="56" fillId="0" borderId="0" applyAlignment="1" pivotButton="0" quotePrefix="0" xfId="0">
      <alignment horizontal="center" vertical="center" wrapText="1"/>
    </xf>
    <xf numFmtId="0" fontId="57" fillId="0" borderId="0" applyAlignment="1" pivotButton="0" quotePrefix="0" xfId="0">
      <alignment horizontal="left" vertical="center" wrapText="1"/>
    </xf>
    <xf numFmtId="0" fontId="58" fillId="7" borderId="54" applyAlignment="1" pivotButton="0" quotePrefix="0" xfId="0">
      <alignment horizontal="center" vertical="center" wrapText="1"/>
    </xf>
    <xf numFmtId="0" fontId="0" fillId="0" borderId="57" pivotButton="0" quotePrefix="0" xfId="0"/>
    <xf numFmtId="0" fontId="0" fillId="0" borderId="58" pivotButton="0" quotePrefix="0" xfId="0"/>
    <xf numFmtId="0" fontId="57" fillId="0" borderId="54" applyAlignment="1" pivotButton="0" quotePrefix="0" xfId="0">
      <alignment horizontal="left" vertical="center" wrapText="1"/>
    </xf>
    <xf numFmtId="0" fontId="57" fillId="0" borderId="54" applyAlignment="1" pivotButton="0" quotePrefix="0" xfId="0">
      <alignment horizontal="center" vertical="center" wrapText="1"/>
    </xf>
    <xf numFmtId="2" fontId="57" fillId="0" borderId="54" applyAlignment="1" pivotButton="0" quotePrefix="0" xfId="0">
      <alignment horizontal="center" vertical="center" wrapText="1"/>
    </xf>
    <xf numFmtId="1" fontId="57" fillId="0" borderId="54" applyAlignment="1" pivotButton="0" quotePrefix="0" xfId="0">
      <alignment horizontal="center" vertical="center" wrapText="1"/>
    </xf>
    <xf numFmtId="170" fontId="57" fillId="0" borderId="54" applyAlignment="1" pivotButton="0" quotePrefix="0" xfId="0">
      <alignment horizontal="center" vertical="center" wrapText="1"/>
    </xf>
    <xf numFmtId="0" fontId="58" fillId="0" borderId="54" applyAlignment="1" pivotButton="0" quotePrefix="0" xfId="0">
      <alignment horizontal="center" vertical="center" wrapText="1"/>
    </xf>
    <xf numFmtId="1" fontId="58" fillId="0" borderId="54" applyAlignment="1" pivotButton="0" quotePrefix="0" xfId="0">
      <alignment horizontal="center" vertical="center" wrapText="1"/>
    </xf>
    <xf numFmtId="171" fontId="57" fillId="0" borderId="54" applyAlignment="1" pivotButton="0" quotePrefix="0" xfId="0">
      <alignment horizontal="center" vertical="center" wrapText="1"/>
    </xf>
    <xf numFmtId="1" fontId="58" fillId="7" borderId="54" applyAlignment="1" pivotButton="0" quotePrefix="0" xfId="0">
      <alignment horizontal="center" vertical="center" wrapText="1"/>
    </xf>
    <xf numFmtId="0" fontId="58" fillId="0" borderId="0" applyAlignment="1" pivotButton="0" quotePrefix="0" xfId="0">
      <alignment horizontal="left" vertical="center" wrapText="1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  <cellStyle name="Yüzde 2" xfId="7"/>
  </cellStyles>
  <dxfs count="27">
    <dxf>
      <font>
        <name val="Arial Tur"/>
        <charset val="162"/>
        <family val="0"/>
        <color rgb="00FFFFFF"/>
      </font>
      <fill>
        <patternFill>
          <bgColor rgb="FFFF00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00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00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00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00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externalLink" Target="/xl/externalLinks/externalLink1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261360</colOff>
      <row>1</row>
      <rowOff>37800</rowOff>
    </from>
    <to>
      <col>0</col>
      <colOff>1379880</colOff>
      <row>5</row>
      <rowOff>9360</rowOff>
    </to>
    <pic>
      <nvPicPr>
        <cNvPr id="0" name="Resim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61360" y="247320"/>
          <a:ext cx="1118520" cy="12002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62280</colOff>
      <row>3</row>
      <rowOff>142920</rowOff>
    </to>
    <pic>
      <nvPicPr>
        <cNvPr id="1" name="Resim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443880" cy="4762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442800</colOff>
      <row>2</row>
      <rowOff>152640</rowOff>
    </to>
    <pic>
      <nvPicPr>
        <cNvPr id="2" name="Resim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442800" cy="4766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../../Users/user/Desktop/dcm/PROJE/MEKAN&#304;K%20HESAPLAR/MEKAN&#304;K%20HESAPLAR%20KOMB&#304;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kapak"/>
      <sheetName val="TEKNİK RAPOR"/>
      <sheetName val="TEKNİK RAPOR (2)"/>
      <sheetName val="ZEMİN"/>
      <sheetName val="1 NK"/>
      <sheetName val="PETEK LİST"/>
      <sheetName val="TAHHÜTNAME"/>
      <sheetName val="FENNİ MESUL"/>
      <sheetName val="HİDRAFOR HESABI ÜMİT"/>
      <sheetName val="Sayfa1"/>
    </sheetNames>
    <sheetDataSet>
      <sheetData sheetId="0">
        <row r="41">
          <cell r="G41">
            <v>44267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M4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zeroHeight="0" outlineLevelRow="0"/>
  <cols>
    <col width="20.99" customWidth="1" style="243" min="1" max="1"/>
    <col width="16.13" customWidth="1" style="243" min="2" max="2"/>
    <col width="14.14" customWidth="1" style="243" min="3" max="3"/>
    <col width="11.7" customWidth="1" style="243" min="4" max="4"/>
    <col width="9.85" customWidth="1" style="243" min="5" max="5"/>
    <col width="10.56" customWidth="1" style="243" min="6" max="6"/>
    <col width="11.13" customWidth="1" style="243" min="7" max="7"/>
    <col width="7.14" customWidth="1" style="243" min="8" max="8"/>
    <col width="10.28" customWidth="1" style="243" min="9" max="9"/>
  </cols>
  <sheetData>
    <row r="1" ht="16.5" customHeight="1" s="244">
      <c r="A1" s="245" t="inlineStr">
        <is>
          <t>P R O J E Y İ   H A Z I R L A Y A N</t>
        </is>
      </c>
      <c r="B1" s="246" t="n"/>
      <c r="C1" s="246" t="n"/>
      <c r="D1" s="246" t="n"/>
      <c r="E1" s="246" t="n"/>
      <c r="F1" s="246" t="n"/>
      <c r="G1" s="246" t="n"/>
      <c r="H1" s="246" t="n"/>
      <c r="I1" s="247" t="n"/>
      <c r="J1" s="248" t="n"/>
    </row>
    <row r="2" ht="26.25" customHeight="1" s="244">
      <c r="A2" s="249" t="inlineStr">
        <is>
          <t xml:space="preserve">ROTAŞ MÜHENDİSLİK.PROJE.MÜŞAVİRLİK.
Mak. Müh. Bayram GENÇ
Semerciler Mah. Sait Faik Sk. No:22/C Z01 Adapazarı/Sakarya
TEL: 0264 272 00 49   rotasmuhendislik@gmail.com
</t>
        </is>
      </c>
      <c r="B2" s="250" t="n"/>
      <c r="C2" s="250" t="n"/>
      <c r="D2" s="250" t="n"/>
      <c r="E2" s="250" t="n"/>
      <c r="F2" s="250" t="n"/>
      <c r="G2" s="250" t="n"/>
      <c r="H2" s="250" t="n"/>
      <c r="I2" s="251" t="n"/>
      <c r="J2" s="252" t="n"/>
    </row>
    <row r="3" ht="26.25" customHeight="1" s="244">
      <c r="A3" s="253" t="n"/>
      <c r="I3" s="254" t="n"/>
      <c r="J3" s="252" t="n"/>
    </row>
    <row r="4" ht="18" customHeight="1" s="244">
      <c r="A4" s="253" t="n"/>
      <c r="I4" s="254" t="n"/>
      <c r="J4" s="252" t="n"/>
    </row>
    <row r="5" ht="26.25" customHeight="1" s="244">
      <c r="A5" s="253" t="n"/>
      <c r="I5" s="254" t="n"/>
      <c r="J5" s="252" t="n"/>
    </row>
    <row r="6" ht="26.25" customHeight="1" s="244">
      <c r="A6" s="253" t="n"/>
      <c r="I6" s="254" t="n"/>
      <c r="J6" s="252" t="n"/>
    </row>
    <row r="7" ht="26.25" customHeight="1" s="244">
      <c r="A7" s="253" t="n"/>
      <c r="I7" s="254" t="n"/>
      <c r="J7" s="252" t="n"/>
    </row>
    <row r="8" ht="26.25" customHeight="1" s="244">
      <c r="A8" s="255" t="n"/>
      <c r="B8" s="256" t="n"/>
      <c r="C8" s="256" t="n"/>
      <c r="D8" s="256" t="n"/>
      <c r="E8" s="256" t="n"/>
      <c r="F8" s="256" t="n"/>
      <c r="G8" s="256" t="n"/>
      <c r="H8" s="256" t="n"/>
      <c r="I8" s="257" t="n"/>
      <c r="J8" s="252" t="n"/>
    </row>
    <row r="9" ht="33.75" customHeight="1" s="244">
      <c r="A9" s="258" t="inlineStr">
        <is>
          <t>ÜNVANI</t>
        </is>
      </c>
      <c r="B9" s="259" t="inlineStr">
        <is>
          <t>Adı Soyadı</t>
        </is>
      </c>
      <c r="C9" s="260" t="n"/>
      <c r="D9" s="261" t="inlineStr">
        <is>
          <t>Oda Sicil No</t>
        </is>
      </c>
      <c r="E9" s="260" t="n"/>
      <c r="F9" s="262" t="inlineStr">
        <is>
          <t>SMM Büro 
Tescil No</t>
        </is>
      </c>
      <c r="G9" s="263" t="inlineStr">
        <is>
          <t>İmza</t>
        </is>
      </c>
      <c r="H9" s="264" t="n"/>
      <c r="I9" s="265" t="n"/>
      <c r="J9" s="252" t="n"/>
      <c r="M9" s="266" t="n"/>
    </row>
    <row r="10" ht="88.5" customHeight="1" s="244">
      <c r="A10" s="267" t="inlineStr">
        <is>
          <t>Makine Mühendisi</t>
        </is>
      </c>
      <c r="B10" s="268" t="inlineStr">
        <is>
          <t>BAYRAM GENÇ</t>
        </is>
      </c>
      <c r="C10" s="260" t="n"/>
      <c r="D10" s="269" t="n"/>
      <c r="E10" s="260" t="n"/>
      <c r="F10" s="269" t="n"/>
      <c r="G10" s="270" t="n"/>
      <c r="H10" s="264" t="n"/>
      <c r="I10" s="265" t="n"/>
    </row>
    <row r="11" ht="27.75" customHeight="1" s="244">
      <c r="A11" s="271" t="inlineStr">
        <is>
          <t>YERDEN ISITMA (KOMBİLİ) + İŞ YERİ KLİMA PROJE RAPORU</t>
        </is>
      </c>
      <c r="B11" s="250" t="n"/>
      <c r="C11" s="250" t="n"/>
      <c r="D11" s="250" t="n"/>
      <c r="E11" s="250" t="n"/>
      <c r="F11" s="250" t="n"/>
      <c r="G11" s="250" t="n"/>
      <c r="H11" s="250" t="n"/>
      <c r="I11" s="251" t="n"/>
    </row>
    <row r="12" ht="27.75" customHeight="1" s="244">
      <c r="A12" s="253" t="n"/>
      <c r="I12" s="254" t="n"/>
    </row>
    <row r="13" ht="27.75" customHeight="1" s="244">
      <c r="A13" s="255" t="n"/>
      <c r="B13" s="256" t="n"/>
      <c r="C13" s="256" t="n"/>
      <c r="D13" s="256" t="n"/>
      <c r="E13" s="256" t="n"/>
      <c r="F13" s="256" t="n"/>
      <c r="G13" s="256" t="n"/>
      <c r="H13" s="256" t="n"/>
      <c r="I13" s="257" t="n"/>
    </row>
    <row r="14" ht="12.75" customHeight="1" s="244">
      <c r="A14" s="272" t="inlineStr">
        <is>
          <t xml:space="preserve">  Yapı Denetim Onay</t>
        </is>
      </c>
      <c r="B14" s="250" t="n"/>
      <c r="C14" s="251" t="n"/>
      <c r="D14" s="272" t="inlineStr">
        <is>
          <t>Belediye Onay</t>
        </is>
      </c>
      <c r="E14" s="250" t="n"/>
      <c r="F14" s="250" t="n"/>
      <c r="G14" s="250" t="n"/>
      <c r="H14" s="250" t="n"/>
      <c r="I14" s="251" t="n"/>
    </row>
    <row r="15" ht="12.75" customHeight="1" s="244">
      <c r="A15" s="253" t="n"/>
      <c r="C15" s="254" t="n"/>
      <c r="D15" s="253" t="n"/>
      <c r="I15" s="254" t="n"/>
    </row>
    <row r="16" ht="12.75" customHeight="1" s="244">
      <c r="A16" s="253" t="n"/>
      <c r="C16" s="254" t="n"/>
      <c r="D16" s="253" t="n"/>
      <c r="I16" s="254" t="n"/>
    </row>
    <row r="17" ht="12.75" customHeight="1" s="244">
      <c r="A17" s="253" t="n"/>
      <c r="C17" s="254" t="n"/>
      <c r="D17" s="253" t="n"/>
      <c r="I17" s="254" t="n"/>
    </row>
    <row r="18" ht="12.75" customHeight="1" s="244">
      <c r="A18" s="253" t="n"/>
      <c r="C18" s="254" t="n"/>
      <c r="D18" s="253" t="n"/>
      <c r="I18" s="254" t="n"/>
    </row>
    <row r="19" ht="12.75" customHeight="1" s="244">
      <c r="A19" s="253" t="n"/>
      <c r="C19" s="254" t="n"/>
      <c r="D19" s="253" t="n"/>
      <c r="I19" s="254" t="n"/>
    </row>
    <row r="20" ht="12.75" customHeight="1" s="244">
      <c r="A20" s="253" t="n"/>
      <c r="C20" s="254" t="n"/>
      <c r="D20" s="253" t="n"/>
      <c r="I20" s="254" t="n"/>
    </row>
    <row r="21" ht="12.75" customHeight="1" s="244">
      <c r="A21" s="253" t="n"/>
      <c r="C21" s="254" t="n"/>
      <c r="D21" s="253" t="n"/>
      <c r="I21" s="254" t="n"/>
    </row>
    <row r="22" ht="27.75" customHeight="1" s="244">
      <c r="A22" s="253" t="n"/>
      <c r="C22" s="254" t="n"/>
      <c r="D22" s="253" t="n"/>
      <c r="I22" s="254" t="n"/>
    </row>
    <row r="23" ht="27.75" customHeight="1" s="244">
      <c r="A23" s="253" t="n"/>
      <c r="C23" s="254" t="n"/>
      <c r="D23" s="253" t="n"/>
      <c r="I23" s="254" t="n"/>
    </row>
    <row r="24" ht="27.75" customHeight="1" s="244">
      <c r="A24" s="253" t="n"/>
      <c r="C24" s="254" t="n"/>
      <c r="D24" s="253" t="n"/>
      <c r="I24" s="254" t="n"/>
    </row>
    <row r="25" ht="12.75" customHeight="1" s="244">
      <c r="A25" s="253" t="n"/>
      <c r="C25" s="254" t="n"/>
      <c r="D25" s="253" t="n"/>
      <c r="I25" s="254" t="n"/>
    </row>
    <row r="26" ht="6" customHeight="1" s="244">
      <c r="A26" s="253" t="n"/>
      <c r="C26" s="254" t="n"/>
      <c r="D26" s="253" t="n"/>
      <c r="I26" s="254" t="n"/>
    </row>
    <row r="27" hidden="1" ht="12.75" customHeight="1" s="244">
      <c r="A27" s="253" t="n"/>
      <c r="C27" s="254" t="n"/>
      <c r="D27" s="253" t="n"/>
      <c r="I27" s="254" t="n"/>
    </row>
    <row r="28" hidden="1" ht="12.75" customHeight="1" s="244">
      <c r="A28" s="253" t="n"/>
      <c r="C28" s="254" t="n"/>
      <c r="D28" s="253" t="n"/>
      <c r="I28" s="254" t="n"/>
    </row>
    <row r="29" ht="12.75" customHeight="1" s="244">
      <c r="A29" s="255" t="n"/>
      <c r="B29" s="256" t="n"/>
      <c r="C29" s="257" t="n"/>
      <c r="D29" s="255" t="n"/>
      <c r="E29" s="256" t="n"/>
      <c r="F29" s="256" t="n"/>
      <c r="G29" s="256" t="n"/>
      <c r="H29" s="256" t="n"/>
      <c r="I29" s="257" t="n"/>
    </row>
    <row r="30" ht="15.75" customHeight="1" s="244">
      <c r="A30" s="273" t="inlineStr">
        <is>
          <t>P R O J E Y İ     Y A P T I R A N</t>
        </is>
      </c>
      <c r="B30" s="264" t="n"/>
      <c r="C30" s="264" t="n"/>
      <c r="D30" s="264" t="n"/>
      <c r="E30" s="264" t="n"/>
      <c r="F30" s="264" t="n"/>
      <c r="G30" s="264" t="n"/>
      <c r="H30" s="264" t="n"/>
      <c r="I30" s="265" t="n"/>
    </row>
    <row r="31" ht="12.75" customHeight="1" s="244">
      <c r="A31" s="274" t="inlineStr">
        <is>
          <t>ADI SOYADI/ÜNVANI</t>
        </is>
      </c>
      <c r="B31" s="275" t="n"/>
      <c r="C31" s="276" t="inlineStr">
        <is>
          <t>TUNCAY BULUT - İŞ YERİ + MESKEN (ZEMİN + 2 KAT, 2 İŞ YERİ + 4 DAİRE)</t>
        </is>
      </c>
      <c r="D31" s="250" t="n"/>
      <c r="E31" s="250" t="n"/>
      <c r="F31" s="250" t="n"/>
      <c r="G31" s="250" t="n"/>
      <c r="H31" s="250" t="n"/>
      <c r="I31" s="251" t="n"/>
    </row>
    <row r="32" ht="12.75" customHeight="1" s="244">
      <c r="A32" s="255" t="n"/>
      <c r="B32" s="277" t="n"/>
      <c r="C32" s="278" t="n"/>
      <c r="D32" s="256" t="n"/>
      <c r="E32" s="256" t="n"/>
      <c r="F32" s="256" t="n"/>
      <c r="G32" s="256" t="n"/>
      <c r="H32" s="256" t="n"/>
      <c r="I32" s="257" t="n"/>
    </row>
    <row r="33" ht="12.75" customHeight="1" s="244">
      <c r="A33" s="279" t="n"/>
      <c r="I33" s="280" t="n"/>
    </row>
    <row r="34" ht="15.75" customHeight="1" s="244">
      <c r="A34" s="273" t="inlineStr">
        <is>
          <t>Y A P I N I N   B U L U N D U Ğ U   Y E R</t>
        </is>
      </c>
      <c r="B34" s="264" t="n"/>
      <c r="C34" s="264" t="n"/>
      <c r="D34" s="264" t="n"/>
      <c r="E34" s="264" t="n"/>
      <c r="F34" s="264" t="n"/>
      <c r="G34" s="264" t="n"/>
      <c r="H34" s="264" t="n"/>
      <c r="I34" s="265" t="n"/>
    </row>
    <row r="35" ht="12.75" customHeight="1" s="244">
      <c r="A35" s="281" t="inlineStr">
        <is>
          <t>İl</t>
        </is>
      </c>
      <c r="B35" s="282" t="inlineStr">
        <is>
          <t>İlçe</t>
        </is>
      </c>
      <c r="C35" s="243" t="inlineStr">
        <is>
          <t>Belediye</t>
        </is>
      </c>
      <c r="D35" s="282" t="inlineStr">
        <is>
          <t>Mahalle</t>
        </is>
      </c>
      <c r="E35" s="261" t="inlineStr">
        <is>
          <t>Sok.</t>
        </is>
      </c>
      <c r="F35" s="260" t="n"/>
      <c r="G35" s="282" t="inlineStr">
        <is>
          <t>Pafta</t>
        </is>
      </c>
      <c r="H35" s="282" t="inlineStr">
        <is>
          <t>Ada</t>
        </is>
      </c>
      <c r="I35" s="283" t="inlineStr">
        <is>
          <t>Parsel</t>
        </is>
      </c>
      <c r="K35" s="284" t="n"/>
    </row>
    <row r="36" ht="12.75" customHeight="1" s="244">
      <c r="A36" s="281" t="inlineStr">
        <is>
          <t>SAKARYA</t>
        </is>
      </c>
      <c r="B36" s="282" t="inlineStr">
        <is>
          <t>SERDİVAN</t>
        </is>
      </c>
      <c r="C36" s="282">
        <f>B36</f>
        <v/>
      </c>
      <c r="D36" s="282" t="inlineStr">
        <is>
          <t>SERDİVAN</t>
        </is>
      </c>
      <c r="E36" s="261" t="n"/>
      <c r="F36" s="260" t="n"/>
      <c r="G36" s="262" t="inlineStr">
        <is>
          <t>27J2</t>
        </is>
      </c>
      <c r="H36" s="282" t="n">
        <v>422</v>
      </c>
      <c r="I36" s="263" t="n">
        <v>1</v>
      </c>
    </row>
    <row r="37" ht="12.75" customHeight="1" s="244">
      <c r="A37" s="279" t="n"/>
      <c r="I37" s="280" t="n"/>
    </row>
    <row r="38" ht="12.75" customHeight="1" s="244">
      <c r="A38" s="285" t="inlineStr">
        <is>
          <t>YAPININ ÖZELLİKLERİ</t>
        </is>
      </c>
      <c r="B38" s="250" t="n"/>
      <c r="C38" s="250" t="n"/>
      <c r="D38" s="250" t="n"/>
      <c r="E38" s="250" t="n"/>
      <c r="F38" s="250" t="n"/>
      <c r="G38" s="250" t="n"/>
      <c r="H38" s="250" t="n"/>
      <c r="I38" s="251" t="n"/>
    </row>
    <row r="39" ht="12.75" customHeight="1" s="244">
      <c r="A39" s="253" t="n"/>
      <c r="I39" s="254" t="n"/>
    </row>
    <row r="40" ht="38.25" customHeight="1" s="244">
      <c r="A40" s="286" t="inlineStr">
        <is>
          <t>Yapının
 Sistemi</t>
        </is>
      </c>
      <c r="B40" s="287" t="inlineStr">
        <is>
          <t>Yapının
Sınıfı</t>
        </is>
      </c>
      <c r="C40" s="287" t="inlineStr">
        <is>
          <t>Toplam
Bağımsız
Bölüm</t>
        </is>
      </c>
      <c r="D40" s="269" t="inlineStr">
        <is>
          <t>Toplam Kat Sayısı</t>
        </is>
      </c>
      <c r="E40" s="260" t="n"/>
      <c r="F40" s="287" t="inlineStr">
        <is>
          <t>Toplam
İnşaat
Alanı m²</t>
        </is>
      </c>
      <c r="G40" s="287" t="inlineStr">
        <is>
          <t>Tarih</t>
        </is>
      </c>
      <c r="H40" s="270" t="inlineStr">
        <is>
          <t>Kullanım Amacı</t>
        </is>
      </c>
      <c r="I40" s="265" t="n"/>
    </row>
    <row r="41" ht="12.75" customHeight="1" s="244">
      <c r="A41" s="288" t="inlineStr">
        <is>
          <t>BETONARME</t>
        </is>
      </c>
      <c r="B41" s="289" t="inlineStr">
        <is>
          <t>3A</t>
        </is>
      </c>
      <c r="C41" s="289" t="n">
        <v>3</v>
      </c>
      <c r="D41" s="290" t="inlineStr">
        <is>
          <t>ZEMİN + 2</t>
        </is>
      </c>
      <c r="E41" s="275" t="n"/>
      <c r="F41" s="289" t="n"/>
      <c r="G41" s="291" t="n">
        <v>46306</v>
      </c>
      <c r="H41" s="292" t="inlineStr">
        <is>
          <t>İŞ YERİ + KONUT</t>
        </is>
      </c>
      <c r="I41" s="251" t="n"/>
    </row>
    <row r="42" ht="13.5" customHeight="1" s="244">
      <c r="A42" s="293" t="n"/>
      <c r="B42" s="294" t="n"/>
      <c r="C42" s="294" t="n"/>
      <c r="D42" s="295" t="n"/>
      <c r="E42" s="296" t="n"/>
      <c r="F42" s="294" t="n"/>
      <c r="G42" s="294" t="n"/>
      <c r="H42" s="295" t="n"/>
      <c r="I42" s="297" t="n"/>
    </row>
    <row r="43" ht="13.5" customHeight="1" s="244"/>
  </sheetData>
  <mergeCells count="27">
    <mergeCell ref="G10:I10"/>
    <mergeCell ref="D10:E10"/>
    <mergeCell ref="D41:E42"/>
    <mergeCell ref="A41:A42"/>
    <mergeCell ref="D40:E40"/>
    <mergeCell ref="A38:I39"/>
    <mergeCell ref="H40:I40"/>
    <mergeCell ref="E35:F35"/>
    <mergeCell ref="C41:C42"/>
    <mergeCell ref="F41:F42"/>
    <mergeCell ref="C31:I32"/>
    <mergeCell ref="A2:I8"/>
    <mergeCell ref="A14:C29"/>
    <mergeCell ref="B10:C10"/>
    <mergeCell ref="A31:B32"/>
    <mergeCell ref="G9:I9"/>
    <mergeCell ref="D14:I29"/>
    <mergeCell ref="E36:F36"/>
    <mergeCell ref="B9:C9"/>
    <mergeCell ref="A34:I34"/>
    <mergeCell ref="D9:E9"/>
    <mergeCell ref="G41:G42"/>
    <mergeCell ref="A30:I30"/>
    <mergeCell ref="H41:I42"/>
    <mergeCell ref="A1:I1"/>
    <mergeCell ref="B41:B42"/>
    <mergeCell ref="A11:I13"/>
  </mergeCells>
  <printOptions horizontalCentered="0" verticalCentered="0" headings="0" gridLines="0" gridLinesSet="1"/>
  <pageMargins left="0.157638888888889" right="0.157638888888889" top="0.479861111111111" bottom="0.157638888888889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N65"/>
  <sheetViews>
    <sheetView showFormulas="0" showGridLines="1" showRowColHeaders="1" showZeros="1" rightToLeft="0" tabSelected="0" showOutlineSymbols="1" defaultGridColor="1" view="normal" topLeftCell="A1" colorId="64" zoomScale="145" zoomScaleNormal="145" zoomScalePageLayoutView="100" workbookViewId="0">
      <selection pane="topLeft" activeCell="F24" activeCellId="0" sqref="F24"/>
    </sheetView>
  </sheetViews>
  <sheetFormatPr baseColWidth="8" defaultColWidth="9.0546875" defaultRowHeight="12.75" zeroHeight="0" outlineLevelRow="0"/>
  <cols>
    <col width="4.99" customWidth="1" style="243" min="1" max="1"/>
    <col width="12.14" customWidth="1" style="243" min="2" max="2"/>
    <col width="10.28" customWidth="1" style="243" min="3" max="4"/>
    <col width="22.85" customWidth="1" style="243" min="6" max="6"/>
    <col width="22.7" customWidth="1" style="243" min="7" max="7"/>
    <col width="14.85" customWidth="1" style="243" min="8" max="8"/>
    <col width="17.56" customWidth="1" style="243" min="9" max="9"/>
  </cols>
  <sheetData>
    <row r="1" ht="12" customHeight="1" s="244">
      <c r="A1" s="298" t="inlineStr">
        <is>
          <t>KALORİFER TESİSATI PROJESİ TEKNİK RAPORU</t>
        </is>
      </c>
      <c r="B1" s="299" t="n"/>
      <c r="C1" s="299" t="n"/>
      <c r="D1" s="299" t="n"/>
      <c r="E1" s="299" t="n"/>
      <c r="F1" s="300" t="n"/>
      <c r="G1" s="301" t="inlineStr">
        <is>
          <t>Sayfa</t>
        </is>
      </c>
      <c r="H1" s="302" t="n">
        <v>1</v>
      </c>
    </row>
    <row r="2" ht="12" customHeight="1" s="244">
      <c r="A2" s="255" t="n"/>
      <c r="B2" s="256" t="n"/>
      <c r="C2" s="256" t="n"/>
      <c r="D2" s="256" t="n"/>
      <c r="E2" s="256" t="n"/>
      <c r="F2" s="277" t="n"/>
      <c r="G2" s="303" t="n"/>
      <c r="H2" s="304" t="n"/>
    </row>
    <row r="3" ht="17.25" customHeight="1" s="244">
      <c r="A3" s="305" t="inlineStr">
        <is>
          <t>Proje Adı              :</t>
        </is>
      </c>
      <c r="B3" s="260" t="n"/>
      <c r="C3" s="306">
        <f>kapak!C31</f>
        <v/>
      </c>
      <c r="D3" s="264" t="n"/>
      <c r="E3" s="264" t="n"/>
      <c r="F3" s="260" t="n"/>
      <c r="G3" s="261" t="inlineStr">
        <is>
          <t>Tarih</t>
        </is>
      </c>
      <c r="H3" s="307">
        <f>kapak!G41</f>
        <v/>
      </c>
    </row>
    <row r="4" ht="17.25" customHeight="1" s="244">
      <c r="A4" s="305" t="inlineStr">
        <is>
          <t>Düzenleyen          :</t>
        </is>
      </c>
      <c r="B4" s="260" t="n"/>
      <c r="C4" s="306">
        <f>kapak!B10</f>
        <v/>
      </c>
      <c r="D4" s="264" t="n"/>
      <c r="E4" s="264" t="n"/>
      <c r="F4" s="260" t="n"/>
      <c r="G4" s="303" t="n"/>
      <c r="H4" s="304" t="n"/>
    </row>
    <row r="5" ht="18" customHeight="1" s="244">
      <c r="A5" s="279" t="n"/>
      <c r="B5" s="308" t="n"/>
      <c r="C5" s="308" t="n"/>
      <c r="D5" s="308" t="n"/>
      <c r="E5" s="308" t="n"/>
      <c r="F5" s="308" t="n"/>
      <c r="G5" s="308" t="n"/>
      <c r="H5" s="309" t="n"/>
      <c r="I5" s="308" t="n"/>
    </row>
    <row r="6" ht="15.75" customHeight="1" s="244">
      <c r="A6" s="310" t="n"/>
      <c r="B6" s="311" t="n"/>
      <c r="C6" s="311" t="n"/>
      <c r="D6" s="311" t="n"/>
      <c r="E6" s="311" t="n"/>
      <c r="F6" s="311" t="n"/>
      <c r="G6" s="311" t="n"/>
      <c r="H6" s="312" t="n"/>
      <c r="I6" s="311" t="n"/>
    </row>
    <row r="7" ht="15" customHeight="1" s="244">
      <c r="A7" s="310" t="inlineStr">
        <is>
          <t>1.1.</t>
        </is>
      </c>
      <c r="B7" s="313" t="inlineStr">
        <is>
          <t>Binanın kalorifer projesi aşağıdaki değerler esas alınarak hazırlanmıştır.</t>
        </is>
      </c>
      <c r="C7" s="313" t="n"/>
      <c r="D7" s="313" t="n"/>
      <c r="E7" s="313" t="n"/>
      <c r="F7" s="313" t="n"/>
      <c r="G7" s="313" t="n"/>
      <c r="H7" s="314" t="n"/>
      <c r="I7" s="313" t="n"/>
    </row>
    <row r="8" ht="15.75" customHeight="1" s="244">
      <c r="A8" s="310" t="n"/>
      <c r="B8" s="315" t="inlineStr">
        <is>
          <t xml:space="preserve">Binanın Yeri </t>
        </is>
      </c>
      <c r="D8" s="313" t="n"/>
      <c r="E8" s="316">
        <f>kapak!B36</f>
        <v/>
      </c>
      <c r="F8" s="313" t="inlineStr">
        <is>
          <t xml:space="preserve">   / SAKARYA</t>
        </is>
      </c>
      <c r="G8" s="313" t="n"/>
      <c r="H8" s="314" t="n"/>
      <c r="I8" s="313" t="n"/>
    </row>
    <row r="9" ht="15.75" customHeight="1" s="244">
      <c r="A9" s="310" t="n"/>
      <c r="B9" s="315" t="inlineStr">
        <is>
          <t xml:space="preserve">Sıcaklık Bölgesi </t>
        </is>
      </c>
      <c r="E9" s="317" t="inlineStr">
        <is>
          <t>: TS 825</t>
        </is>
      </c>
      <c r="F9" s="318" t="inlineStr">
        <is>
          <t xml:space="preserve"> -6 °C (Sakarya)</t>
        </is>
      </c>
      <c r="G9" s="313" t="n"/>
      <c r="H9" s="314" t="n"/>
      <c r="I9" s="313" t="n"/>
    </row>
    <row r="10" ht="15.75" customHeight="1" s="244">
      <c r="A10" s="310" t="n"/>
      <c r="B10" s="315" t="inlineStr">
        <is>
          <t>Bina Tipi</t>
        </is>
      </c>
      <c r="D10" s="313" t="n"/>
      <c r="E10" s="313" t="inlineStr">
        <is>
          <t>: Zemin kat iş yeri, 1. ve 2. kat konut</t>
        </is>
      </c>
      <c r="F10" s="313" t="n"/>
      <c r="G10" s="313" t="n"/>
      <c r="H10" s="314" t="n"/>
      <c r="I10" s="313" t="n"/>
    </row>
    <row r="11" ht="15.75" customHeight="1" s="244">
      <c r="A11" s="310" t="n"/>
      <c r="B11" s="315" t="inlineStr">
        <is>
          <t>Isıtıcı Cinsi</t>
        </is>
      </c>
      <c r="D11" s="313" t="n"/>
      <c r="E11" s="313" t="inlineStr">
        <is>
          <t>: Konut: duvar tipi hermetik yoğuşmalı kombi (her dairede 1 adet, 24 kW); iş yeri: duvar tipi split klima</t>
        </is>
      </c>
      <c r="F11" s="313" t="n"/>
      <c r="G11" s="313" t="n"/>
      <c r="H11" s="314" t="n"/>
      <c r="I11" s="313" t="n"/>
      <c r="K11" s="319" t="n"/>
      <c r="L11" s="319" t="n"/>
      <c r="M11" s="319" t="n"/>
      <c r="N11" s="319" t="n"/>
    </row>
    <row r="12" ht="15.75" customHeight="1" s="244">
      <c r="A12" s="310" t="n"/>
      <c r="B12" s="315" t="inlineStr">
        <is>
          <t>Kullanılacak Yakıt</t>
        </is>
      </c>
      <c r="D12" s="313" t="n"/>
      <c r="E12" s="313" t="inlineStr">
        <is>
          <t>: Doğalgaz (konut) / elektrik (iş yeri klima)</t>
        </is>
      </c>
      <c r="F12" s="313" t="n"/>
      <c r="G12" s="313" t="n"/>
      <c r="H12" s="314" t="n"/>
      <c r="I12" s="313" t="n"/>
      <c r="K12" s="319" t="n"/>
      <c r="L12" s="319" t="n"/>
      <c r="M12" s="319" t="n"/>
      <c r="N12" s="319" t="n"/>
    </row>
    <row r="13" ht="15.75" customHeight="1" s="244">
      <c r="A13" s="310" t="n"/>
      <c r="B13" s="315" t="inlineStr">
        <is>
          <t>Radyatör Türü / Isıl Verimi</t>
        </is>
      </c>
      <c r="D13" s="313" t="n"/>
      <c r="E13" s="313" t="inlineStr">
        <is>
          <t>: Zeminden ısıtma borusu PEX 16x2,0 / 45-35 °C</t>
        </is>
      </c>
      <c r="F13" s="313" t="n"/>
      <c r="G13" s="313" t="n"/>
      <c r="H13" s="314" t="n"/>
      <c r="I13" s="313" t="n"/>
      <c r="K13" s="319" t="n"/>
      <c r="L13" s="319" t="n"/>
      <c r="M13" s="319" t="n"/>
      <c r="N13" s="319" t="n"/>
    </row>
    <row r="14" ht="31.5" customHeight="1" s="244">
      <c r="A14" s="310" t="n"/>
      <c r="B14" s="320" t="inlineStr">
        <is>
          <t>Binanın bulunduğu yerleşim bölgesi</t>
        </is>
      </c>
      <c r="E14" s="313" t="inlineStr">
        <is>
          <t>: Ayrık nizam</t>
        </is>
      </c>
      <c r="F14" s="313" t="n"/>
      <c r="G14" s="313" t="n"/>
      <c r="H14" s="314" t="n"/>
      <c r="I14" s="313" t="n"/>
    </row>
    <row r="15" ht="15.75" customHeight="1" s="244">
      <c r="A15" s="310" t="n"/>
      <c r="B15" s="315" t="inlineStr">
        <is>
          <t>Havalandırma Tipi</t>
        </is>
      </c>
      <c r="D15" s="313" t="n"/>
      <c r="E15" s="313" t="inlineStr">
        <is>
          <t>:Doğal havalandırma</t>
        </is>
      </c>
      <c r="F15" s="313" t="n"/>
      <c r="G15" s="313" t="n"/>
      <c r="H15" s="314" t="n"/>
      <c r="I15" s="313" t="n"/>
    </row>
    <row r="16" ht="15.75" customHeight="1" s="244">
      <c r="A16" s="310" t="n"/>
      <c r="B16" s="315" t="inlineStr">
        <is>
          <t>Bina tanımı</t>
        </is>
      </c>
      <c r="D16" s="313" t="n"/>
      <c r="E16" s="313" t="inlineStr">
        <is>
          <t>: Zemin (2 iş yeri) + 2 normal kat (her katta 2 daire)</t>
        </is>
      </c>
      <c r="F16" s="313" t="n"/>
      <c r="G16" s="313" t="n"/>
      <c r="H16" s="314" t="n"/>
      <c r="I16" s="313" t="n"/>
    </row>
    <row r="17" ht="15.75" customHeight="1" s="244">
      <c r="A17" s="310" t="n"/>
      <c r="B17" s="315" t="inlineStr">
        <is>
          <t>Radyatör Türü</t>
        </is>
      </c>
      <c r="C17" s="313" t="n"/>
      <c r="D17" s="313" t="n"/>
      <c r="E17" s="313" t="inlineStr">
        <is>
          <t>: Zeminden ısıtma borusu PEX 16x2,0 (oksijen bariyerli)</t>
        </is>
      </c>
      <c r="F17" s="313" t="n"/>
      <c r="G17" s="313" t="n"/>
      <c r="H17" s="314" t="n"/>
      <c r="I17" s="313" t="n"/>
    </row>
    <row r="18" ht="15.75" customHeight="1" s="244">
      <c r="A18" s="310" t="n"/>
      <c r="B18" s="315" t="inlineStr">
        <is>
          <t>Çalışma Sıcaklığı</t>
        </is>
      </c>
      <c r="C18" s="313" t="n"/>
      <c r="D18" s="313" t="n"/>
      <c r="E18" s="317" t="inlineStr">
        <is>
          <t>: 45 - 35 °C</t>
        </is>
      </c>
      <c r="F18" s="313" t="n"/>
      <c r="G18" s="313" t="n"/>
      <c r="H18" s="314" t="n"/>
      <c r="I18" s="313" t="n"/>
    </row>
    <row r="19" ht="15.75" customHeight="1" s="244">
      <c r="A19" s="310" t="n"/>
      <c r="B19" s="315" t="n"/>
      <c r="C19" s="313" t="n"/>
      <c r="D19" s="313" t="n"/>
      <c r="E19" s="313" t="n"/>
      <c r="F19" s="313" t="n"/>
      <c r="G19" s="313" t="n"/>
      <c r="H19" s="314" t="n"/>
      <c r="I19" s="313" t="n"/>
    </row>
    <row r="20" ht="15.75" customHeight="1" s="244">
      <c r="A20" s="310" t="inlineStr">
        <is>
          <t>1.2.</t>
        </is>
      </c>
      <c r="B20" s="315" t="inlineStr">
        <is>
          <t>Mahal Sıcaklıkları :</t>
        </is>
      </c>
      <c r="C20" s="313" t="n"/>
      <c r="D20" s="313" t="n"/>
      <c r="E20" s="313" t="n"/>
      <c r="F20" s="313" t="n"/>
      <c r="G20" s="313" t="n"/>
      <c r="H20" s="314" t="n"/>
      <c r="I20" s="313" t="n"/>
    </row>
    <row r="21" ht="15" customHeight="1" s="244">
      <c r="A21" s="310" t="n"/>
      <c r="B21" s="313" t="inlineStr">
        <is>
          <t>Salon</t>
        </is>
      </c>
      <c r="F21" s="317" t="inlineStr">
        <is>
          <t>: 22°C</t>
        </is>
      </c>
      <c r="H21" s="321" t="n"/>
      <c r="I21" s="313" t="n"/>
    </row>
    <row r="22" ht="15" customHeight="1" s="244">
      <c r="A22" s="310" t="n"/>
      <c r="B22" s="313" t="inlineStr">
        <is>
          <t>Oturma Odası</t>
        </is>
      </c>
      <c r="F22" s="317" t="inlineStr">
        <is>
          <t>: 20°C</t>
        </is>
      </c>
      <c r="H22" s="321" t="n"/>
      <c r="I22" s="313" t="n"/>
    </row>
    <row r="23" ht="15" customHeight="1" s="244">
      <c r="A23" s="310" t="n"/>
      <c r="B23" s="313" t="inlineStr">
        <is>
          <t>Yatak Odası</t>
        </is>
      </c>
      <c r="F23" s="317" t="inlineStr">
        <is>
          <t>: 20°C</t>
        </is>
      </c>
      <c r="H23" s="321" t="n"/>
      <c r="I23" s="313" t="n"/>
    </row>
    <row r="24" ht="15" customHeight="1" s="244">
      <c r="A24" s="310" t="n"/>
      <c r="B24" s="313" t="inlineStr">
        <is>
          <t>Banyo</t>
        </is>
      </c>
      <c r="F24" s="317" t="inlineStr">
        <is>
          <t>: 26°C</t>
        </is>
      </c>
      <c r="H24" s="321" t="n"/>
      <c r="I24" s="313" t="n"/>
    </row>
    <row r="25" ht="15" customHeight="1" s="244">
      <c r="A25" s="310" t="n"/>
      <c r="B25" s="313" t="inlineStr">
        <is>
          <t>Hol</t>
        </is>
      </c>
      <c r="F25" s="317" t="inlineStr">
        <is>
          <t>: 18°C (kollektör bağlantı boruları ile ısıtılır)</t>
        </is>
      </c>
      <c r="H25" s="321" t="n"/>
      <c r="I25" s="313" t="n"/>
    </row>
    <row r="26" ht="15" customHeight="1" s="244">
      <c r="A26" s="310" t="n"/>
      <c r="B26" s="313" t="n"/>
      <c r="F26" s="322" t="n"/>
      <c r="H26" s="321" t="n"/>
      <c r="I26" s="313" t="n"/>
    </row>
    <row r="27" ht="15" customHeight="1" s="244">
      <c r="A27" s="310" t="n"/>
      <c r="B27" s="313" t="n"/>
      <c r="F27" s="322" t="n"/>
      <c r="H27" s="321" t="n"/>
      <c r="I27" s="313" t="n"/>
    </row>
    <row r="28" ht="15" customHeight="1" s="244">
      <c r="A28" s="310" t="n"/>
      <c r="B28" s="313" t="n"/>
      <c r="F28" s="322" t="n"/>
      <c r="H28" s="321" t="n"/>
      <c r="I28" s="313" t="n"/>
    </row>
    <row r="29" ht="15" customHeight="1" s="244">
      <c r="A29" s="310" t="n"/>
      <c r="B29" s="313" t="inlineStr">
        <is>
          <t xml:space="preserve">Çatı Arası </t>
        </is>
      </c>
      <c r="F29" s="317" t="inlineStr">
        <is>
          <t>:   0°C</t>
        </is>
      </c>
      <c r="H29" s="321" t="n"/>
      <c r="I29" s="313" t="n"/>
    </row>
    <row r="30" ht="15" customHeight="1" s="244">
      <c r="A30" s="310" t="n"/>
      <c r="B30" s="313" t="inlineStr">
        <is>
          <t xml:space="preserve">Toprağa Bitişik Döşeme </t>
        </is>
      </c>
      <c r="F30" s="317" t="inlineStr">
        <is>
          <t>:   6°C</t>
        </is>
      </c>
      <c r="H30" s="321" t="n"/>
      <c r="I30" s="313" t="n"/>
    </row>
    <row r="31" ht="15" customHeight="1" s="244">
      <c r="A31" s="310" t="n"/>
      <c r="B31" s="313" t="inlineStr">
        <is>
          <t>Mutfak</t>
        </is>
      </c>
      <c r="F31" s="317" t="inlineStr">
        <is>
          <t>: 20°C</t>
        </is>
      </c>
      <c r="H31" s="321" t="n"/>
      <c r="I31" s="313" t="n"/>
    </row>
    <row r="32" ht="15" customHeight="1" s="244">
      <c r="A32" s="310" t="n"/>
      <c r="B32" s="313" t="n"/>
      <c r="D32" s="317" t="n"/>
      <c r="E32" s="313" t="n"/>
      <c r="F32" s="313" t="n"/>
      <c r="H32" s="321" t="n"/>
      <c r="I32" s="313" t="n"/>
    </row>
    <row r="33" ht="15.75" customHeight="1" s="244">
      <c r="A33" s="310" t="inlineStr">
        <is>
          <t>1.3.</t>
        </is>
      </c>
      <c r="B33" s="315" t="inlineStr">
        <is>
          <t>Isı İletim Katsayıları:</t>
        </is>
      </c>
      <c r="C33" s="317" t="n"/>
      <c r="D33" s="317" t="n"/>
      <c r="E33" s="313" t="n"/>
      <c r="F33" s="313" t="n"/>
      <c r="G33" s="313" t="n"/>
      <c r="H33" s="314" t="n"/>
      <c r="I33" s="313" t="n"/>
    </row>
    <row r="34" ht="15.75" customHeight="1" s="244">
      <c r="A34" s="310" t="n"/>
      <c r="B34" s="315" t="n"/>
      <c r="C34" s="317" t="n"/>
      <c r="D34" s="317" t="n"/>
      <c r="H34" s="280" t="n"/>
    </row>
    <row r="35" ht="15" customHeight="1" s="244">
      <c r="A35" s="310" t="n"/>
      <c r="B35" s="313" t="inlineStr">
        <is>
          <t>Dış Duvar                                         :</t>
        </is>
      </c>
      <c r="E35" s="243" t="inlineStr">
        <is>
          <t>:</t>
        </is>
      </c>
      <c r="F35" s="317" t="n">
        <v>0.344</v>
      </c>
      <c r="G35" s="323" t="inlineStr">
        <is>
          <t>W/M²k</t>
        </is>
      </c>
      <c r="H35" s="280" t="n"/>
    </row>
    <row r="36" ht="15" customHeight="1" s="244">
      <c r="A36" s="310" t="n"/>
      <c r="B36" s="313" t="inlineStr">
        <is>
          <t>Kiriş 25 cm</t>
        </is>
      </c>
      <c r="E36" s="243" t="inlineStr">
        <is>
          <t>:</t>
        </is>
      </c>
      <c r="F36" s="317" t="n">
        <v>0.387</v>
      </c>
      <c r="G36" s="323" t="inlineStr">
        <is>
          <t>W/M²k</t>
        </is>
      </c>
      <c r="H36" s="280" t="n"/>
    </row>
    <row r="37" ht="15" customHeight="1" s="244">
      <c r="A37" s="310" t="n"/>
      <c r="B37" s="313" t="inlineStr">
        <is>
          <t>Kiriş 30 cm</t>
        </is>
      </c>
      <c r="E37" s="243" t="inlineStr">
        <is>
          <t>:</t>
        </is>
      </c>
      <c r="F37" s="317" t="n">
        <v>0.384</v>
      </c>
      <c r="G37" s="323" t="inlineStr">
        <is>
          <t>W/M²k</t>
        </is>
      </c>
      <c r="H37" s="280" t="n"/>
    </row>
    <row r="38" ht="15" customHeight="1" s="244">
      <c r="A38" s="310" t="n"/>
      <c r="B38" s="313" t="inlineStr">
        <is>
          <t>Kapı                                                  :</t>
        </is>
      </c>
      <c r="E38" s="243" t="inlineStr">
        <is>
          <t>:</t>
        </is>
      </c>
      <c r="F38" s="317" t="n">
        <v>2</v>
      </c>
      <c r="G38" s="323" t="inlineStr">
        <is>
          <t>W/M²k</t>
        </is>
      </c>
      <c r="H38" s="280" t="n"/>
    </row>
    <row r="39" ht="15" customHeight="1" s="244">
      <c r="A39" s="310" t="n"/>
      <c r="B39" s="313" t="inlineStr">
        <is>
          <t>Pencere                                           :</t>
        </is>
      </c>
      <c r="E39" s="243" t="inlineStr">
        <is>
          <t>:</t>
        </is>
      </c>
      <c r="F39" s="317" t="n">
        <v>1.8</v>
      </c>
      <c r="G39" s="323" t="inlineStr">
        <is>
          <t>W/M²k</t>
        </is>
      </c>
      <c r="H39" s="280" t="n"/>
    </row>
    <row r="40" ht="15" customHeight="1" s="244">
      <c r="A40" s="310" t="n"/>
      <c r="B40" s="313" t="inlineStr">
        <is>
          <t>Döşeme      ara                              :</t>
        </is>
      </c>
      <c r="E40" s="243" t="inlineStr">
        <is>
          <t>:</t>
        </is>
      </c>
      <c r="F40" s="317" t="n">
        <v>0</v>
      </c>
      <c r="G40" s="323" t="inlineStr">
        <is>
          <t>W/M²k</t>
        </is>
      </c>
      <c r="H40" s="280" t="n"/>
    </row>
    <row r="41" ht="15" customHeight="1" s="244">
      <c r="A41" s="310" t="n"/>
      <c r="B41" s="313" t="inlineStr">
        <is>
          <t xml:space="preserve">Merdiven Duvarı </t>
        </is>
      </c>
      <c r="E41" s="243" t="inlineStr">
        <is>
          <t>:</t>
        </is>
      </c>
      <c r="F41" s="317" t="n">
        <v>0.332</v>
      </c>
      <c r="G41" s="323" t="inlineStr">
        <is>
          <t>W/M²k</t>
        </is>
      </c>
      <c r="H41" s="280" t="n"/>
    </row>
    <row r="42" ht="15" customHeight="1" s="244">
      <c r="A42" s="310" t="n"/>
      <c r="B42" s="313" t="inlineStr">
        <is>
          <t xml:space="preserve">Merdiven Kiriş-kolon </t>
        </is>
      </c>
      <c r="E42" s="243" t="inlineStr">
        <is>
          <t>:</t>
        </is>
      </c>
      <c r="F42" s="317" t="n">
        <v>0.375</v>
      </c>
      <c r="G42" s="323" t="inlineStr">
        <is>
          <t>W/M²k</t>
        </is>
      </c>
      <c r="H42" s="280" t="n"/>
    </row>
    <row r="43" ht="15" customHeight="1" s="244">
      <c r="A43" s="310" t="n"/>
      <c r="B43" s="313" t="inlineStr">
        <is>
          <t xml:space="preserve">Döşeme  </t>
        </is>
      </c>
      <c r="E43" s="243" t="inlineStr">
        <is>
          <t>:</t>
        </is>
      </c>
      <c r="F43" s="317" t="n">
        <v>0.312</v>
      </c>
      <c r="G43" s="323" t="inlineStr">
        <is>
          <t>W/M²k</t>
        </is>
      </c>
      <c r="H43" s="280" t="n"/>
    </row>
    <row r="44" ht="15" customHeight="1" s="244">
      <c r="A44" s="310" t="n"/>
      <c r="B44" s="313" t="inlineStr">
        <is>
          <t>Tavan                                               :</t>
        </is>
      </c>
      <c r="E44" s="243" t="inlineStr">
        <is>
          <t>:</t>
        </is>
      </c>
      <c r="F44" s="317" t="n">
        <v>0.266</v>
      </c>
      <c r="G44" s="323" t="inlineStr">
        <is>
          <t>W/M²k</t>
        </is>
      </c>
      <c r="H44" s="280" t="n"/>
    </row>
    <row r="45" ht="15" customHeight="1" s="244">
      <c r="A45" s="310" t="n"/>
      <c r="B45" s="313" t="inlineStr">
        <is>
          <t>Döşeme  Açık Geçit</t>
        </is>
      </c>
      <c r="E45" s="243" t="inlineStr">
        <is>
          <t>:</t>
        </is>
      </c>
      <c r="F45" s="317" t="n">
        <v>0</v>
      </c>
      <c r="G45" s="323" t="inlineStr">
        <is>
          <t>W/M²k</t>
        </is>
      </c>
      <c r="H45" s="280" t="n"/>
    </row>
    <row r="46" ht="15" customHeight="1" s="244">
      <c r="A46" s="310" t="n"/>
      <c r="B46" s="313" t="inlineStr">
        <is>
          <t>Bağımsız bölüm</t>
        </is>
      </c>
      <c r="C46" s="324" t="n"/>
      <c r="D46" s="323" t="n"/>
      <c r="E46" s="243" t="inlineStr">
        <is>
          <t>:</t>
        </is>
      </c>
      <c r="F46" s="317" t="n">
        <v>0</v>
      </c>
      <c r="G46" s="323" t="inlineStr">
        <is>
          <t>W/M²k</t>
        </is>
      </c>
      <c r="H46" s="280" t="n"/>
    </row>
    <row r="47" ht="15" customHeight="1" s="244">
      <c r="A47" s="310" t="n"/>
      <c r="B47" s="313" t="inlineStr">
        <is>
          <t>Bağımsız bölüm kolon kiriş</t>
        </is>
      </c>
      <c r="C47" s="324" t="n"/>
      <c r="D47" s="323" t="n"/>
      <c r="E47" s="243" t="inlineStr">
        <is>
          <t>:</t>
        </is>
      </c>
      <c r="F47" s="317" t="n">
        <v>0</v>
      </c>
      <c r="G47" s="323" t="inlineStr">
        <is>
          <t>W/M²k</t>
        </is>
      </c>
      <c r="H47" s="280" t="n"/>
    </row>
    <row r="48" ht="15" customHeight="1" s="244">
      <c r="A48" s="310" t="n"/>
      <c r="B48" s="313" t="inlineStr">
        <is>
          <t>İç Duvar</t>
        </is>
      </c>
      <c r="C48" s="324" t="n"/>
      <c r="D48" s="323" t="n"/>
      <c r="E48" s="243" t="inlineStr">
        <is>
          <t>:</t>
        </is>
      </c>
      <c r="F48" s="317" t="n">
        <v>1.915</v>
      </c>
      <c r="G48" s="323" t="inlineStr">
        <is>
          <t>W/M²k</t>
        </is>
      </c>
      <c r="H48" s="280" t="n"/>
    </row>
    <row r="49" ht="15.75" customHeight="1" s="244">
      <c r="A49" s="310" t="n"/>
      <c r="B49" s="315" t="inlineStr">
        <is>
          <t>Kullanılan Kısaltmalar:</t>
        </is>
      </c>
      <c r="D49" s="323" t="n"/>
      <c r="H49" s="280" t="n"/>
    </row>
    <row r="50" ht="15" customHeight="1" s="244">
      <c r="A50" s="310" t="n"/>
      <c r="B50" s="313" t="inlineStr">
        <is>
          <t>Dış Duvar</t>
        </is>
      </c>
      <c r="D50" s="323" t="n"/>
      <c r="E50" s="317" t="inlineStr">
        <is>
          <t>:DD</t>
        </is>
      </c>
      <c r="H50" s="280" t="n"/>
    </row>
    <row r="51" ht="15" customHeight="1" s="244">
      <c r="A51" s="310" t="n"/>
      <c r="B51" s="313" t="inlineStr">
        <is>
          <t>Pencere</t>
        </is>
      </c>
      <c r="D51" s="323" t="n"/>
      <c r="E51" s="317" t="inlineStr">
        <is>
          <t>:ÇP</t>
        </is>
      </c>
      <c r="H51" s="280" t="n"/>
    </row>
    <row r="52" ht="15" customHeight="1" s="244">
      <c r="A52" s="310" t="n"/>
      <c r="B52" s="313" t="inlineStr">
        <is>
          <t>İç Kapı</t>
        </is>
      </c>
      <c r="E52" s="317" t="inlineStr">
        <is>
          <t>:İK</t>
        </is>
      </c>
      <c r="H52" s="280" t="n"/>
    </row>
    <row r="53" ht="15" customHeight="1" s="244">
      <c r="A53" s="310" t="n"/>
      <c r="B53" s="313" t="inlineStr">
        <is>
          <t>Dış Kapı</t>
        </is>
      </c>
      <c r="E53" s="317" t="inlineStr">
        <is>
          <t>:DK</t>
        </is>
      </c>
      <c r="H53" s="280" t="n"/>
    </row>
    <row r="54" ht="15" customHeight="1" s="244">
      <c r="A54" s="310" t="n"/>
      <c r="B54" s="313" t="inlineStr">
        <is>
          <t>Balkon Kapısı</t>
        </is>
      </c>
      <c r="E54" s="317" t="inlineStr">
        <is>
          <t>:BK</t>
        </is>
      </c>
      <c r="H54" s="280" t="n"/>
    </row>
    <row r="55" ht="15" customHeight="1" s="244">
      <c r="A55" s="310" t="n"/>
      <c r="B55" s="313" t="inlineStr">
        <is>
          <t>Döşeme</t>
        </is>
      </c>
      <c r="E55" s="317" t="inlineStr">
        <is>
          <t>:Dö</t>
        </is>
      </c>
      <c r="H55" s="280" t="n"/>
    </row>
    <row r="56" ht="15" customHeight="1" s="244">
      <c r="A56" s="310" t="n"/>
      <c r="B56" s="313" t="inlineStr">
        <is>
          <t>Tavan</t>
        </is>
      </c>
      <c r="E56" s="317" t="inlineStr">
        <is>
          <t>:Ta</t>
        </is>
      </c>
      <c r="H56" s="280" t="n"/>
    </row>
    <row r="57" ht="15" customHeight="1" s="244">
      <c r="A57" s="310" t="n"/>
      <c r="B57" s="313" t="inlineStr">
        <is>
          <t>Dükkan</t>
        </is>
      </c>
      <c r="E57" s="317" t="inlineStr">
        <is>
          <t>:DÜK</t>
        </is>
      </c>
      <c r="H57" s="280" t="n"/>
    </row>
    <row r="58" ht="15" customHeight="1" s="244">
      <c r="A58" s="310" t="n"/>
      <c r="B58" s="313" t="inlineStr">
        <is>
          <t>Bodrum</t>
        </is>
      </c>
      <c r="E58" s="317" t="inlineStr">
        <is>
          <t>:B</t>
        </is>
      </c>
      <c r="H58" s="280" t="n"/>
    </row>
    <row r="59" ht="15" customHeight="1" s="244">
      <c r="A59" s="310" t="n"/>
      <c r="B59" s="313" t="inlineStr">
        <is>
          <t xml:space="preserve">Sürgülü  kapı                                </t>
        </is>
      </c>
      <c r="E59" s="317" t="inlineStr">
        <is>
          <t>:SK</t>
        </is>
      </c>
      <c r="H59" s="280" t="n"/>
    </row>
    <row r="60" ht="15" customHeight="1" s="244">
      <c r="A60" s="310" t="n"/>
      <c r="B60" s="313" t="inlineStr">
        <is>
          <t>Kiriş - Kolon</t>
        </is>
      </c>
      <c r="E60" s="317" t="inlineStr">
        <is>
          <t>: DD2</t>
        </is>
      </c>
      <c r="H60" s="280" t="n"/>
    </row>
    <row r="61" ht="15" customHeight="1" s="244">
      <c r="A61" s="310" t="n"/>
      <c r="B61" s="313" t="inlineStr">
        <is>
          <t>İç Taban</t>
        </is>
      </c>
      <c r="E61" s="317" t="inlineStr">
        <is>
          <t>:Dö</t>
        </is>
      </c>
      <c r="H61" s="280" t="n"/>
    </row>
    <row r="62" ht="15" customHeight="1" s="244">
      <c r="A62" s="310" t="n"/>
      <c r="B62" s="313" t="inlineStr">
        <is>
          <t>İç Duvar</t>
        </is>
      </c>
      <c r="E62" s="317" t="inlineStr">
        <is>
          <t>: İD</t>
        </is>
      </c>
      <c r="H62" s="280" t="n"/>
    </row>
    <row r="63" ht="15" customHeight="1" s="244">
      <c r="A63" s="279" t="n"/>
      <c r="B63" s="313" t="inlineStr">
        <is>
          <t xml:space="preserve">Merdiven Duvarı </t>
        </is>
      </c>
      <c r="E63" s="317" t="inlineStr">
        <is>
          <t>: İDM</t>
        </is>
      </c>
      <c r="H63" s="280" t="n"/>
    </row>
    <row r="64" ht="15" customHeight="1" s="244">
      <c r="A64" s="279" t="n"/>
      <c r="B64" s="313" t="inlineStr">
        <is>
          <t xml:space="preserve">Merdiven Kiriş-kolon </t>
        </is>
      </c>
      <c r="E64" s="317" t="inlineStr">
        <is>
          <t>: İDMK</t>
        </is>
      </c>
      <c r="H64" s="280" t="n"/>
    </row>
    <row r="65" ht="13.5" customHeight="1" s="244">
      <c r="A65" s="325" t="n"/>
      <c r="B65" s="326" t="n"/>
      <c r="C65" s="326" t="n"/>
      <c r="D65" s="326" t="n"/>
      <c r="E65" s="326" t="n"/>
      <c r="F65" s="326" t="n"/>
      <c r="G65" s="326" t="n"/>
      <c r="H65" s="327" t="n"/>
    </row>
    <row r="66" ht="13.5" customHeight="1" s="244"/>
  </sheetData>
  <mergeCells count="10">
    <mergeCell ref="A4:B4"/>
    <mergeCell ref="B14:D14"/>
    <mergeCell ref="C3:F3"/>
    <mergeCell ref="C4:F4"/>
    <mergeCell ref="G3:G4"/>
    <mergeCell ref="A1:F2"/>
    <mergeCell ref="H3:H4"/>
    <mergeCell ref="G1:G2"/>
    <mergeCell ref="H1:H2"/>
    <mergeCell ref="A3:B3"/>
  </mergeCells>
  <printOptions horizontalCentered="1" verticalCentered="0" headings="0" gridLines="0" gridLinesSet="1"/>
  <pageMargins left="0.309722222222222" right="0.3" top="0.590277777777778" bottom="0.196527777777778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Q200"/>
  <sheetViews>
    <sheetView showFormulas="0" showGridLines="1" showRowColHeaders="1" showZeros="1" rightToLeft="0" tabSelected="0" showOutlineSymbols="1" defaultGridColor="1" view="normal" topLeftCell="A8" colorId="64" zoomScale="160" zoomScaleNormal="160" zoomScalePageLayoutView="100" workbookViewId="0">
      <selection pane="topLeft" activeCell="Q43" activeCellId="0" sqref="Q43"/>
    </sheetView>
  </sheetViews>
  <sheetFormatPr baseColWidth="8" defaultColWidth="6.84765625" defaultRowHeight="11.25" zeroHeight="0" outlineLevelRow="0"/>
  <cols>
    <col width="7.28" customWidth="1" style="328" min="1" max="1"/>
    <col width="3.85" customWidth="1" style="328" min="2" max="3"/>
    <col width="5.56" customWidth="1" style="328" min="4" max="4"/>
    <col width="6.13" customWidth="1" style="328" min="5" max="5"/>
    <col width="5.56" customWidth="1" style="328" min="6" max="7"/>
    <col width="6.56" customWidth="1" style="328" min="8" max="9"/>
    <col width="6.41" customWidth="1" style="328" min="10" max="10"/>
    <col width="6.13" customWidth="1" style="328" min="11" max="11"/>
    <col width="7.28" customWidth="1" style="328" min="12" max="12"/>
    <col width="5.56" customWidth="1" style="328" min="13" max="16"/>
    <col width="8.279999999999999" customWidth="1" style="328" min="17" max="17"/>
    <col width="6.85" customWidth="1" style="328" min="18" max="257"/>
  </cols>
  <sheetData>
    <row r="1" ht="9.75" customFormat="1" customHeight="1" s="329">
      <c r="A1" s="330" t="n"/>
      <c r="B1" s="331" t="n"/>
      <c r="C1" s="331" t="n"/>
      <c r="D1" s="331" t="n"/>
      <c r="E1" s="331" t="n"/>
      <c r="F1" s="332" t="n"/>
      <c r="G1" s="333" t="n"/>
      <c r="H1" s="334" t="inlineStr">
        <is>
          <t>ISI  KAYBI  HESABI</t>
        </is>
      </c>
      <c r="I1" s="333" t="n"/>
      <c r="J1" s="333" t="n"/>
      <c r="K1" s="331" t="n"/>
      <c r="L1" s="335" t="n"/>
      <c r="M1" s="331" t="n"/>
      <c r="N1" s="336" t="inlineStr">
        <is>
          <t>Kat :</t>
        </is>
      </c>
      <c r="O1" s="337" t="inlineStr">
        <is>
          <t>ZEMİN (İŞ YERİ)</t>
        </is>
      </c>
      <c r="P1" s="337" t="inlineStr">
        <is>
          <t>Tarih</t>
        </is>
      </c>
      <c r="Q1" s="338">
        <f>kapak!G41</f>
        <v/>
      </c>
    </row>
    <row r="2" ht="10.5" customFormat="1" customHeight="1" s="339">
      <c r="A2" s="340" t="n"/>
      <c r="F2" s="341" t="inlineStr">
        <is>
          <t xml:space="preserve">   PROJE ADI :</t>
        </is>
      </c>
      <c r="G2" s="342" t="n"/>
      <c r="H2" s="343">
        <f>kapak!C31</f>
        <v/>
      </c>
      <c r="I2" s="343" t="n"/>
      <c r="J2" s="343" t="n"/>
      <c r="K2" s="344" t="n"/>
      <c r="L2" s="345" t="n"/>
      <c r="N2" s="346" t="inlineStr">
        <is>
          <t xml:space="preserve">  Sayfa :</t>
        </is>
      </c>
      <c r="O2" s="347" t="n">
        <v>3</v>
      </c>
      <c r="P2" s="347" t="n"/>
      <c r="Q2" s="347" t="n"/>
    </row>
    <row r="3" ht="8.25" customFormat="1" customHeight="1" s="339">
      <c r="A3" s="348" t="inlineStr">
        <is>
          <t xml:space="preserve"> Yapı Bileşeni</t>
        </is>
      </c>
      <c r="B3" s="264" t="n"/>
      <c r="C3" s="264" t="n"/>
      <c r="D3" s="264" t="n"/>
      <c r="E3" s="349" t="inlineStr">
        <is>
          <t xml:space="preserve"> Alan Hesabı</t>
        </is>
      </c>
      <c r="F3" s="264" t="n"/>
      <c r="G3" s="264" t="n"/>
      <c r="H3" s="260" t="n"/>
      <c r="I3" s="350" t="inlineStr">
        <is>
          <t xml:space="preserve">                 Isı kaybı hesabı</t>
        </is>
      </c>
      <c r="J3" s="264" t="n"/>
      <c r="K3" s="264" t="n"/>
      <c r="L3" s="260" t="n"/>
      <c r="M3" s="350" t="inlineStr">
        <is>
          <t xml:space="preserve">            Zamlar</t>
        </is>
      </c>
      <c r="N3" s="264" t="n"/>
      <c r="O3" s="264" t="n"/>
      <c r="P3" s="260" t="n"/>
      <c r="Q3" s="350" t="inlineStr">
        <is>
          <t xml:space="preserve">Toplam </t>
        </is>
      </c>
    </row>
    <row r="4" ht="31.5" customFormat="1" customHeight="1" s="351">
      <c r="A4" s="352" t="inlineStr">
        <is>
          <t>İşaret</t>
        </is>
      </c>
      <c r="B4" s="352" t="inlineStr">
        <is>
          <t>Yön</t>
        </is>
      </c>
      <c r="C4" s="352" t="inlineStr">
        <is>
          <t>Kalınlık</t>
        </is>
      </c>
      <c r="D4" s="352" t="inlineStr">
        <is>
          <t>Uzunluk</t>
        </is>
      </c>
      <c r="E4" s="352" t="inlineStr">
        <is>
          <t>Yükseklik</t>
        </is>
      </c>
      <c r="F4" s="353" t="inlineStr">
        <is>
          <t xml:space="preserve">  Toplam Alan</t>
        </is>
      </c>
      <c r="G4" s="352" t="inlineStr">
        <is>
          <t>Miktar</t>
        </is>
      </c>
      <c r="H4" s="353" t="inlineStr">
        <is>
          <t>Çıkarıla alan</t>
        </is>
      </c>
      <c r="I4" s="353" t="inlineStr">
        <is>
          <t>Hesaba giren Alan</t>
        </is>
      </c>
      <c r="J4" s="353" t="inlineStr">
        <is>
          <t xml:space="preserve">    Isı İletim Katsayısı</t>
        </is>
      </c>
      <c r="K4" s="353" t="inlineStr">
        <is>
          <t xml:space="preserve">Sıcaklık Farkı </t>
        </is>
      </c>
      <c r="L4" s="353" t="inlineStr">
        <is>
          <t>Zamsız Isı Kaybı</t>
        </is>
      </c>
      <c r="M4" s="352" t="inlineStr">
        <is>
          <t>İşletme</t>
        </is>
      </c>
      <c r="N4" s="352" t="inlineStr">
        <is>
          <t>Kat Yük.</t>
        </is>
      </c>
      <c r="O4" s="352" t="inlineStr">
        <is>
          <t>Yön</t>
        </is>
      </c>
      <c r="P4" s="352" t="inlineStr">
        <is>
          <t>Toplam</t>
        </is>
      </c>
      <c r="Q4" s="353" t="inlineStr">
        <is>
          <t>Toplam Is
ı İhtiyacı</t>
        </is>
      </c>
    </row>
    <row r="5" ht="9.75" customFormat="1" customHeight="1" s="351">
      <c r="A5" s="354" t="n"/>
      <c r="B5" s="354" t="n"/>
      <c r="C5" s="354" t="n"/>
      <c r="D5" s="354" t="n"/>
      <c r="E5" s="354" t="n"/>
      <c r="F5" s="354" t="inlineStr">
        <is>
          <t>[Ao]</t>
        </is>
      </c>
      <c r="G5" s="354" t="n"/>
      <c r="H5" s="354" t="n"/>
      <c r="I5" s="354" t="inlineStr">
        <is>
          <t>[A]</t>
        </is>
      </c>
      <c r="J5" s="354" t="inlineStr">
        <is>
          <t>[k]</t>
        </is>
      </c>
      <c r="K5" s="355" t="inlineStr">
        <is>
          <t>D T</t>
        </is>
      </c>
      <c r="L5" s="354" t="inlineStr">
        <is>
          <t>Qo</t>
        </is>
      </c>
      <c r="M5" s="354" t="inlineStr">
        <is>
          <t>ZD</t>
        </is>
      </c>
      <c r="N5" s="354" t="inlineStr">
        <is>
          <t>ZW</t>
        </is>
      </c>
      <c r="O5" s="354" t="inlineStr">
        <is>
          <t>ZH</t>
        </is>
      </c>
      <c r="P5" s="354" t="inlineStr">
        <is>
          <t>Z</t>
        </is>
      </c>
      <c r="Q5" s="354" t="inlineStr">
        <is>
          <t>Qh=Qi+Qs</t>
        </is>
      </c>
    </row>
    <row r="6" ht="15.75" customFormat="1" customHeight="1" s="356">
      <c r="A6" s="346" t="n"/>
      <c r="B6" s="346" t="n"/>
      <c r="C6" s="346" t="inlineStr">
        <is>
          <t>cm</t>
        </is>
      </c>
      <c r="D6" s="346" t="inlineStr">
        <is>
          <t>m</t>
        </is>
      </c>
      <c r="E6" s="346" t="inlineStr">
        <is>
          <t>m</t>
        </is>
      </c>
      <c r="F6" s="346" t="inlineStr">
        <is>
          <t>m²</t>
        </is>
      </c>
      <c r="G6" s="346" t="inlineStr">
        <is>
          <t>ad</t>
        </is>
      </c>
      <c r="H6" s="346" t="inlineStr">
        <is>
          <t>m²</t>
        </is>
      </c>
      <c r="I6" s="346" t="inlineStr">
        <is>
          <t>m²</t>
        </is>
      </c>
      <c r="J6" s="357" t="inlineStr">
        <is>
          <t>watt  m²hºC</t>
        </is>
      </c>
      <c r="K6" s="346" t="inlineStr">
        <is>
          <t>ºC</t>
        </is>
      </c>
      <c r="L6" s="358" t="inlineStr">
        <is>
          <t>watt</t>
        </is>
      </c>
      <c r="M6" s="346" t="inlineStr">
        <is>
          <t>%</t>
        </is>
      </c>
      <c r="N6" s="346" t="inlineStr">
        <is>
          <t>%</t>
        </is>
      </c>
      <c r="O6" s="346" t="inlineStr">
        <is>
          <t>%</t>
        </is>
      </c>
      <c r="P6" s="346" t="inlineStr">
        <is>
          <t>1+%</t>
        </is>
      </c>
      <c r="Q6" s="358" t="inlineStr">
        <is>
          <t>watt</t>
        </is>
      </c>
    </row>
    <row r="7" ht="11.25" customFormat="1" customHeight="1" s="356">
      <c r="A7" s="346" t="n">
        <v>1</v>
      </c>
      <c r="B7" s="346" t="n">
        <v>2</v>
      </c>
      <c r="C7" s="346" t="n">
        <v>3</v>
      </c>
      <c r="D7" s="346" t="n">
        <v>4</v>
      </c>
      <c r="E7" s="346" t="n">
        <v>5</v>
      </c>
      <c r="F7" s="346" t="n">
        <v>6</v>
      </c>
      <c r="G7" s="346" t="n">
        <v>7</v>
      </c>
      <c r="H7" s="346" t="n">
        <v>8</v>
      </c>
      <c r="I7" s="346" t="n">
        <v>9</v>
      </c>
      <c r="J7" s="346" t="n">
        <v>10</v>
      </c>
      <c r="K7" s="346" t="n">
        <v>11</v>
      </c>
      <c r="L7" s="346" t="n">
        <v>12</v>
      </c>
      <c r="M7" s="346" t="n">
        <v>13</v>
      </c>
      <c r="N7" s="346" t="n">
        <v>14</v>
      </c>
      <c r="O7" s="346" t="n">
        <v>15</v>
      </c>
      <c r="P7" s="346" t="n">
        <v>16</v>
      </c>
      <c r="Q7" s="346" t="n">
        <v>17</v>
      </c>
    </row>
    <row r="8" ht="10.35" customFormat="1" customHeight="1" s="356">
      <c r="A8" s="359" t="n"/>
      <c r="B8" s="360" t="n"/>
      <c r="C8" s="360" t="n"/>
      <c r="D8" s="360" t="n"/>
      <c r="E8" s="360" t="n"/>
      <c r="F8" s="361" t="inlineStr">
        <is>
          <t>Z</t>
        </is>
      </c>
      <c r="G8" s="362" t="inlineStr">
        <is>
          <t>0</t>
        </is>
      </c>
      <c r="H8" s="360" t="inlineStr">
        <is>
          <t>Z01</t>
        </is>
      </c>
      <c r="I8" s="363" t="inlineStr">
        <is>
          <t>İŞ YERİ-2</t>
        </is>
      </c>
      <c r="J8" s="364" t="n"/>
      <c r="K8" s="360" t="inlineStr">
        <is>
          <t>20ºC</t>
        </is>
      </c>
      <c r="L8" s="360" t="n"/>
      <c r="M8" s="360" t="n"/>
      <c r="N8" s="360" t="n"/>
      <c r="O8" s="360" t="n"/>
      <c r="P8" s="360" t="n"/>
      <c r="Q8" s="365" t="n"/>
    </row>
    <row r="9" ht="9.949999999999999" customFormat="1" customHeight="1" s="356">
      <c r="A9" s="366" t="inlineStr">
        <is>
          <t>DD</t>
        </is>
      </c>
      <c r="B9" s="367" t="inlineStr">
        <is>
          <t>G</t>
        </is>
      </c>
      <c r="C9" s="368" t="n"/>
      <c r="D9" s="369" t="n">
        <v>7.1</v>
      </c>
      <c r="E9" s="369" t="n">
        <v>2.5</v>
      </c>
      <c r="F9" s="370">
        <f>IF(D9=0," ",D9*E9)</f>
        <v/>
      </c>
      <c r="G9" s="371" t="n">
        <v>1</v>
      </c>
      <c r="H9" s="372">
        <f>F11*G11</f>
        <v/>
      </c>
      <c r="I9" s="370">
        <f>IF(F9=" "," ",F9*G9-H9)</f>
        <v/>
      </c>
      <c r="J9" s="369" t="n">
        <v>0.344</v>
      </c>
      <c r="K9" s="371" t="n">
        <v>26</v>
      </c>
      <c r="L9" s="373">
        <f>IF(I9=" "," ",I9*J9*K9)</f>
        <v/>
      </c>
      <c r="M9" s="374" t="n">
        <v>7</v>
      </c>
      <c r="N9" s="371" t="n">
        <v>0</v>
      </c>
      <c r="O9" s="374" t="n">
        <v>-5</v>
      </c>
      <c r="P9" s="370">
        <f>IF(M9=" "," ",(1+(M9+N9+O9)/100))</f>
        <v/>
      </c>
      <c r="Q9" s="375">
        <f>IF(L9=" "," ",L9*P9)</f>
        <v/>
      </c>
    </row>
    <row r="10" ht="9.949999999999999" customFormat="1" customHeight="1" s="356">
      <c r="A10" s="366" t="inlineStr">
        <is>
          <t>DD25</t>
        </is>
      </c>
      <c r="B10" s="367" t="inlineStr">
        <is>
          <t>G</t>
        </is>
      </c>
      <c r="C10" s="368" t="n"/>
      <c r="D10" s="369">
        <f>D9</f>
        <v/>
      </c>
      <c r="E10" s="369" t="n">
        <v>0.5</v>
      </c>
      <c r="F10" s="370">
        <f>IF(D10=0," ",D10*E10)</f>
        <v/>
      </c>
      <c r="G10" s="371" t="n">
        <v>1</v>
      </c>
      <c r="H10" s="372" t="n"/>
      <c r="I10" s="370">
        <f>IF(F10=" "," ",F10*G10-H10)</f>
        <v/>
      </c>
      <c r="J10" s="369" t="n">
        <v>0.387</v>
      </c>
      <c r="K10" s="371" t="n">
        <v>26</v>
      </c>
      <c r="L10" s="373">
        <f>IF(I10=" "," ",I10*J10*K10)</f>
        <v/>
      </c>
      <c r="M10" s="374" t="n">
        <v>7</v>
      </c>
      <c r="N10" s="371" t="n">
        <v>0</v>
      </c>
      <c r="O10" s="374" t="n">
        <v>-5</v>
      </c>
      <c r="P10" s="370">
        <f>IF(M10=" "," ",(1+(M10+N10+O10)/100))</f>
        <v/>
      </c>
      <c r="Q10" s="375">
        <f>IF(L10=" "," ",L10*P10)</f>
        <v/>
      </c>
    </row>
    <row r="11" ht="9.949999999999999" customFormat="1" customHeight="1" s="356">
      <c r="A11" s="366" t="inlineStr">
        <is>
          <t>ÇP</t>
        </is>
      </c>
      <c r="B11" s="367" t="inlineStr">
        <is>
          <t>G</t>
        </is>
      </c>
      <c r="C11" s="368" t="n"/>
      <c r="D11" s="369" t="n">
        <v>6</v>
      </c>
      <c r="E11" s="369" t="n">
        <v>2.5</v>
      </c>
      <c r="F11" s="370">
        <f>IF(D11=0," ",D11*E11)</f>
        <v/>
      </c>
      <c r="G11" s="371" t="n">
        <v>1</v>
      </c>
      <c r="H11" s="372" t="n"/>
      <c r="I11" s="370">
        <f>IF(F11=" "," ",F11*G11-H11)</f>
        <v/>
      </c>
      <c r="J11" s="369" t="n">
        <v>1.8</v>
      </c>
      <c r="K11" s="371" t="n">
        <v>26</v>
      </c>
      <c r="L11" s="373">
        <f>IF(I11=" "," ",I11*J11*K11)</f>
        <v/>
      </c>
      <c r="M11" s="374" t="n">
        <v>7</v>
      </c>
      <c r="N11" s="371" t="n">
        <v>0</v>
      </c>
      <c r="O11" s="374" t="n">
        <v>-5</v>
      </c>
      <c r="P11" s="370">
        <f>IF(M11=" "," ",(1+(M11+N11+O11)/100))</f>
        <v/>
      </c>
      <c r="Q11" s="375">
        <f>IF(L11=" "," ",L11*P11)</f>
        <v/>
      </c>
    </row>
    <row r="12" ht="9.949999999999999" customFormat="1" customHeight="1" s="356">
      <c r="A12" s="366" t="inlineStr">
        <is>
          <t>DD</t>
        </is>
      </c>
      <c r="B12" s="367" t="inlineStr">
        <is>
          <t>B</t>
        </is>
      </c>
      <c r="C12" s="368" t="n"/>
      <c r="D12" s="369" t="n">
        <v>6.7</v>
      </c>
      <c r="E12" s="369" t="n">
        <v>2.5</v>
      </c>
      <c r="F12" s="370">
        <f>IF(D12=0," ",D12*E12)</f>
        <v/>
      </c>
      <c r="G12" s="371" t="n">
        <v>1</v>
      </c>
      <c r="H12" s="372">
        <f>F14*G14</f>
        <v/>
      </c>
      <c r="I12" s="370">
        <f>IF(F12=" "," ",F12*G12-H12)</f>
        <v/>
      </c>
      <c r="J12" s="369" t="n">
        <v>0.344</v>
      </c>
      <c r="K12" s="371" t="n">
        <v>26</v>
      </c>
      <c r="L12" s="373">
        <f>IF(I12=" "," ",I12*J12*K12)</f>
        <v/>
      </c>
      <c r="M12" s="374" t="n">
        <v>7</v>
      </c>
      <c r="N12" s="371" t="n">
        <v>0</v>
      </c>
      <c r="O12" s="374" t="n">
        <v>0</v>
      </c>
      <c r="P12" s="370">
        <f>IF(M12=" "," ",(1+(M12+N12+O12)/100))</f>
        <v/>
      </c>
      <c r="Q12" s="375">
        <f>IF(L12=" "," ",L12*P12)</f>
        <v/>
      </c>
    </row>
    <row r="13" ht="9.949999999999999" customFormat="1" customHeight="1" s="356">
      <c r="A13" s="366" t="inlineStr">
        <is>
          <t>DD25</t>
        </is>
      </c>
      <c r="B13" s="367" t="inlineStr">
        <is>
          <t>B</t>
        </is>
      </c>
      <c r="C13" s="368" t="n"/>
      <c r="D13" s="369">
        <f>D12</f>
        <v/>
      </c>
      <c r="E13" s="369" t="n">
        <v>0.5</v>
      </c>
      <c r="F13" s="370">
        <f>IF(D13=0," ",D13*E13)</f>
        <v/>
      </c>
      <c r="G13" s="371" t="n">
        <v>1</v>
      </c>
      <c r="H13" s="372" t="n"/>
      <c r="I13" s="370">
        <f>IF(F13=" "," ",F13*G13-H13)</f>
        <v/>
      </c>
      <c r="J13" s="369" t="n">
        <v>0.387</v>
      </c>
      <c r="K13" s="371" t="n">
        <v>26</v>
      </c>
      <c r="L13" s="373">
        <f>IF(I13=" "," ",I13*J13*K13)</f>
        <v/>
      </c>
      <c r="M13" s="374" t="n">
        <v>7</v>
      </c>
      <c r="N13" s="371" t="n">
        <v>0</v>
      </c>
      <c r="O13" s="374" t="n">
        <v>0</v>
      </c>
      <c r="P13" s="370">
        <f>IF(M13=" "," ",(1+(M13+N13+O13)/100))</f>
        <v/>
      </c>
      <c r="Q13" s="375">
        <f>IF(L13=" "," ",L13*P13)</f>
        <v/>
      </c>
    </row>
    <row r="14" ht="9.949999999999999" customFormat="1" customHeight="1" s="356">
      <c r="A14" s="366" t="inlineStr">
        <is>
          <t>ÇP</t>
        </is>
      </c>
      <c r="B14" s="367" t="inlineStr">
        <is>
          <t>B</t>
        </is>
      </c>
      <c r="C14" s="368" t="n"/>
      <c r="D14" s="369" t="n">
        <v>1</v>
      </c>
      <c r="E14" s="369" t="n">
        <v>2.5</v>
      </c>
      <c r="F14" s="370">
        <f>IF(D14=0," ",D14*E14)</f>
        <v/>
      </c>
      <c r="G14" s="371" t="n">
        <v>2</v>
      </c>
      <c r="H14" s="372" t="n"/>
      <c r="I14" s="370">
        <f>IF(F14=" "," ",F14*G14-H14)</f>
        <v/>
      </c>
      <c r="J14" s="369" t="n">
        <v>1.8</v>
      </c>
      <c r="K14" s="371" t="n">
        <v>26</v>
      </c>
      <c r="L14" s="373">
        <f>IF(I14=" "," ",I14*J14*K14)</f>
        <v/>
      </c>
      <c r="M14" s="374" t="n">
        <v>7</v>
      </c>
      <c r="N14" s="371" t="n">
        <v>0</v>
      </c>
      <c r="O14" s="374" t="n">
        <v>0</v>
      </c>
      <c r="P14" s="370">
        <f>IF(M14=" "," ",(1+(M14+N14+O14)/100))</f>
        <v/>
      </c>
      <c r="Q14" s="375">
        <f>IF(L14=" "," ",L14*P14)</f>
        <v/>
      </c>
    </row>
    <row r="15" ht="9.949999999999999" customFormat="1" customHeight="1" s="356">
      <c r="A15" s="366" t="inlineStr">
        <is>
          <t>DD</t>
        </is>
      </c>
      <c r="B15" s="367" t="inlineStr">
        <is>
          <t>K</t>
        </is>
      </c>
      <c r="C15" s="368" t="n"/>
      <c r="D15" s="369" t="n">
        <v>7.1</v>
      </c>
      <c r="E15" s="369" t="n">
        <v>2.5</v>
      </c>
      <c r="F15" s="370">
        <f>IF(D15=0," ",D15*E15)</f>
        <v/>
      </c>
      <c r="G15" s="371" t="n">
        <v>1</v>
      </c>
      <c r="H15" s="372">
        <f>F17*G17+F18*G18</f>
        <v/>
      </c>
      <c r="I15" s="370">
        <f>IF(F15=" "," ",F15*G15-H15)</f>
        <v/>
      </c>
      <c r="J15" s="369" t="n">
        <v>0.344</v>
      </c>
      <c r="K15" s="371" t="n">
        <v>26</v>
      </c>
      <c r="L15" s="373">
        <f>IF(I15=" "," ",I15*J15*K15)</f>
        <v/>
      </c>
      <c r="M15" s="374" t="n">
        <v>7</v>
      </c>
      <c r="N15" s="371" t="n">
        <v>0</v>
      </c>
      <c r="O15" s="374" t="n">
        <v>5</v>
      </c>
      <c r="P15" s="370">
        <f>IF(M15=" "," ",(1+(M15+N15+O15)/100))</f>
        <v/>
      </c>
      <c r="Q15" s="375">
        <f>IF(L15=" "," ",L15*P15)</f>
        <v/>
      </c>
    </row>
    <row r="16" ht="9.949999999999999" customFormat="1" customHeight="1" s="356">
      <c r="A16" s="366" t="inlineStr">
        <is>
          <t>DD25</t>
        </is>
      </c>
      <c r="B16" s="367" t="inlineStr">
        <is>
          <t>K</t>
        </is>
      </c>
      <c r="C16" s="368" t="n"/>
      <c r="D16" s="369">
        <f>D15</f>
        <v/>
      </c>
      <c r="E16" s="369" t="n">
        <v>0.5</v>
      </c>
      <c r="F16" s="370">
        <f>IF(D16=0," ",D16*E16)</f>
        <v/>
      </c>
      <c r="G16" s="371" t="n">
        <v>1</v>
      </c>
      <c r="H16" s="372" t="n"/>
      <c r="I16" s="370">
        <f>IF(F16=" "," ",F16*G16-H16)</f>
        <v/>
      </c>
      <c r="J16" s="369" t="n">
        <v>0.387</v>
      </c>
      <c r="K16" s="371" t="n">
        <v>26</v>
      </c>
      <c r="L16" s="373">
        <f>IF(I16=" "," ",I16*J16*K16)</f>
        <v/>
      </c>
      <c r="M16" s="374" t="n">
        <v>7</v>
      </c>
      <c r="N16" s="371" t="n">
        <v>0</v>
      </c>
      <c r="O16" s="374" t="n">
        <v>5</v>
      </c>
      <c r="P16" s="370">
        <f>IF(M16=" "," ",(1+(M16+N16+O16)/100))</f>
        <v/>
      </c>
      <c r="Q16" s="375">
        <f>IF(L16=" "," ",L16*P16)</f>
        <v/>
      </c>
    </row>
    <row r="17" ht="9.949999999999999" customFormat="1" customHeight="1" s="356">
      <c r="A17" s="366" t="inlineStr">
        <is>
          <t>ÇP</t>
        </is>
      </c>
      <c r="B17" s="367" t="inlineStr">
        <is>
          <t>K</t>
        </is>
      </c>
      <c r="C17" s="368" t="n"/>
      <c r="D17" s="369" t="n">
        <v>4.3</v>
      </c>
      <c r="E17" s="369" t="n">
        <v>1.6</v>
      </c>
      <c r="F17" s="370">
        <f>IF(D17=0," ",D17*E17)</f>
        <v/>
      </c>
      <c r="G17" s="371" t="n">
        <v>1</v>
      </c>
      <c r="H17" s="372" t="n"/>
      <c r="I17" s="370">
        <f>IF(F17=" "," ",F17*G17-H17)</f>
        <v/>
      </c>
      <c r="J17" s="369" t="n">
        <v>1.8</v>
      </c>
      <c r="K17" s="371" t="n">
        <v>26</v>
      </c>
      <c r="L17" s="373">
        <f>IF(I17=" "," ",I17*J17*K17)</f>
        <v/>
      </c>
      <c r="M17" s="374" t="n">
        <v>7</v>
      </c>
      <c r="N17" s="371" t="n">
        <v>0</v>
      </c>
      <c r="O17" s="374" t="n">
        <v>5</v>
      </c>
      <c r="P17" s="370">
        <f>IF(M17=" "," ",(1+(M17+N17+O17)/100))</f>
        <v/>
      </c>
      <c r="Q17" s="375">
        <f>IF(L17=" "," ",L17*P17)</f>
        <v/>
      </c>
    </row>
    <row r="18" ht="9.949999999999999" customFormat="1" customHeight="1" s="356">
      <c r="A18" s="366" t="inlineStr">
        <is>
          <t>BK</t>
        </is>
      </c>
      <c r="B18" s="367" t="inlineStr">
        <is>
          <t>K</t>
        </is>
      </c>
      <c r="C18" s="368" t="n"/>
      <c r="D18" s="369" t="n">
        <v>2.2</v>
      </c>
      <c r="E18" s="369" t="n">
        <v>2.5</v>
      </c>
      <c r="F18" s="370">
        <f>IF(D18=0," ",D18*E18)</f>
        <v/>
      </c>
      <c r="G18" s="371" t="n">
        <v>1</v>
      </c>
      <c r="H18" s="372" t="n"/>
      <c r="I18" s="370">
        <f>IF(F18=" "," ",F18*G18-H18)</f>
        <v/>
      </c>
      <c r="J18" s="369" t="n">
        <v>1.8</v>
      </c>
      <c r="K18" s="371" t="n">
        <v>26</v>
      </c>
      <c r="L18" s="373">
        <f>IF(I18=" "," ",I18*J18*K18)</f>
        <v/>
      </c>
      <c r="M18" s="374" t="n">
        <v>7</v>
      </c>
      <c r="N18" s="371" t="n">
        <v>0</v>
      </c>
      <c r="O18" s="374" t="n">
        <v>5</v>
      </c>
      <c r="P18" s="370">
        <f>IF(M18=" "," ",(1+(M18+N18+O18)/100))</f>
        <v/>
      </c>
      <c r="Q18" s="375">
        <f>IF(L18=" "," ",L18*P18)</f>
        <v/>
      </c>
    </row>
    <row r="19" ht="9.949999999999999" customFormat="1" customHeight="1" s="356">
      <c r="A19" s="366" t="inlineStr">
        <is>
          <t>İDM</t>
        </is>
      </c>
      <c r="B19" s="367" t="inlineStr"/>
      <c r="C19" s="368" t="n"/>
      <c r="D19" s="369" t="n">
        <v>6</v>
      </c>
      <c r="E19" s="369" t="n">
        <v>3</v>
      </c>
      <c r="F19" s="370">
        <f>IF(D19=0," ",D19*E19)</f>
        <v/>
      </c>
      <c r="G19" s="371" t="n">
        <v>1</v>
      </c>
      <c r="H19" s="372" t="n"/>
      <c r="I19" s="370">
        <f>IF(F19=" "," ",F19*G19-H19)</f>
        <v/>
      </c>
      <c r="J19" s="369" t="n">
        <v>0.332</v>
      </c>
      <c r="K19" s="371" t="n">
        <v>10</v>
      </c>
      <c r="L19" s="373">
        <f>IF(I19=" "," ",I19*J19*K19)</f>
        <v/>
      </c>
      <c r="M19" s="374" t="n">
        <v>7</v>
      </c>
      <c r="N19" s="371" t="n">
        <v>0</v>
      </c>
      <c r="O19" s="374" t="n">
        <v>0</v>
      </c>
      <c r="P19" s="370">
        <f>IF(M19=" "," ",(1+(M19+N19+O19)/100))</f>
        <v/>
      </c>
      <c r="Q19" s="375">
        <f>IF(L19=" "," ",L19*P19)</f>
        <v/>
      </c>
    </row>
    <row r="20" ht="9.949999999999999" customFormat="1" customHeight="1" s="356">
      <c r="A20" s="366" t="inlineStr">
        <is>
          <t>Dö</t>
        </is>
      </c>
      <c r="B20" s="367" t="inlineStr"/>
      <c r="C20" s="368" t="n"/>
      <c r="D20" s="369" t="n">
        <v>50.39</v>
      </c>
      <c r="E20" s="369" t="n">
        <v>1</v>
      </c>
      <c r="F20" s="370">
        <f>IF(D20=0," ",D20*E20)</f>
        <v/>
      </c>
      <c r="G20" s="371" t="n">
        <v>1</v>
      </c>
      <c r="H20" s="372" t="n"/>
      <c r="I20" s="370">
        <f>IF(F20=" "," ",F20*G20-H20)</f>
        <v/>
      </c>
      <c r="J20" s="369" t="n">
        <v>0.312</v>
      </c>
      <c r="K20" s="371" t="n">
        <v>14</v>
      </c>
      <c r="L20" s="373">
        <f>IF(I20=" "," ",I20*J20*K20)</f>
        <v/>
      </c>
      <c r="M20" s="374" t="n">
        <v>7</v>
      </c>
      <c r="N20" s="371" t="n">
        <v>0</v>
      </c>
      <c r="O20" s="374" t="n">
        <v>0</v>
      </c>
      <c r="P20" s="370">
        <f>IF(M20=" "," ",(1+(M20+N20+O20)/100))</f>
        <v/>
      </c>
      <c r="Q20" s="375">
        <f>IF(L20=" "," ",L20*P20)</f>
        <v/>
      </c>
    </row>
    <row r="21" ht="9.949999999999999" customFormat="1" customHeight="1" s="356">
      <c r="A21" s="376" t="n"/>
      <c r="B21" s="377" t="n"/>
      <c r="C21" s="377" t="n"/>
      <c r="D21" s="378" t="n"/>
      <c r="E21" s="378" t="n"/>
      <c r="F21" s="378" t="n"/>
      <c r="G21" s="379" t="n"/>
      <c r="H21" s="378" t="n"/>
      <c r="I21" s="378" t="n"/>
      <c r="J21" s="378" t="n"/>
      <c r="K21" s="379" t="n"/>
      <c r="L21" s="380" t="n"/>
      <c r="M21" s="381" t="n"/>
      <c r="N21" s="381" t="n"/>
      <c r="O21" s="381" t="n"/>
      <c r="P21" s="382" t="n"/>
      <c r="Q21" s="383">
        <f>SUM(Q9:Q20)</f>
        <v/>
      </c>
    </row>
    <row r="22" ht="9.949999999999999" customFormat="1" customHeight="1" s="356">
      <c r="A22" s="384" t="n"/>
      <c r="B22" s="385" t="n"/>
      <c r="C22" s="385" t="n"/>
      <c r="D22" s="386" t="n"/>
      <c r="E22" s="387" t="n"/>
      <c r="F22" s="388" t="n"/>
      <c r="G22" s="389" t="n"/>
      <c r="H22" s="388" t="n"/>
      <c r="I22" s="390" t="n"/>
      <c r="J22" s="391" t="inlineStr">
        <is>
          <t>Qs=</t>
        </is>
      </c>
      <c r="K22" s="390" t="inlineStr">
        <is>
          <t>S a</t>
        </is>
      </c>
      <c r="L22" s="388" t="inlineStr">
        <is>
          <t>L</t>
        </is>
      </c>
      <c r="M22" s="389" t="inlineStr">
        <is>
          <t>R</t>
        </is>
      </c>
      <c r="N22" s="392" t="inlineStr">
        <is>
          <t>H</t>
        </is>
      </c>
      <c r="O22" s="393" t="inlineStr">
        <is>
          <t>D  T</t>
        </is>
      </c>
      <c r="P22" s="389" t="inlineStr">
        <is>
          <t>Ze</t>
        </is>
      </c>
      <c r="Q22" s="394" t="n"/>
    </row>
    <row r="23" ht="9.949999999999999" customFormat="1" customHeight="1" s="356">
      <c r="A23" s="395" t="inlineStr">
        <is>
          <t xml:space="preserve"> </t>
        </is>
      </c>
      <c r="B23" s="396" t="n"/>
      <c r="C23" s="397" t="n"/>
      <c r="D23" s="397" t="n"/>
      <c r="E23" s="398" t="n"/>
      <c r="F23" s="399" t="n"/>
      <c r="G23" s="400" t="n"/>
      <c r="H23" s="401" t="n"/>
      <c r="I23" s="402" t="n"/>
      <c r="J23" s="403" t="inlineStr">
        <is>
          <t>Qs  =</t>
        </is>
      </c>
      <c r="K23" s="404" t="n">
        <v>2</v>
      </c>
      <c r="L23" s="404">
        <f>(D11+E11)*2*G11+(D14+E14)*2*G14+(D17+E17)*2*G17+(D18+E18)*2*G18</f>
        <v/>
      </c>
      <c r="M23" s="404" t="n">
        <v>0.9</v>
      </c>
      <c r="N23" s="404" t="n">
        <v>0.67</v>
      </c>
      <c r="O23" s="381" t="n">
        <v>26</v>
      </c>
      <c r="P23" s="404" t="n">
        <v>1.2</v>
      </c>
      <c r="Q23" s="383">
        <f>K23*L23*M23*N23*O23*P23</f>
        <v/>
      </c>
    </row>
    <row r="24" ht="9.949999999999999" customFormat="1" customHeight="1" s="356">
      <c r="A24" s="405" t="n"/>
      <c r="B24" s="406" t="n"/>
      <c r="C24" s="397" t="n"/>
      <c r="D24" s="397" t="n"/>
      <c r="E24" s="378" t="n"/>
      <c r="F24" s="256" t="n"/>
      <c r="G24" s="407" t="n"/>
      <c r="H24" s="397" t="n"/>
      <c r="I24" s="397" t="n"/>
      <c r="J24" s="397" t="n"/>
      <c r="K24" s="407" t="n"/>
      <c r="L24" s="408" t="n"/>
      <c r="M24" s="409" t="inlineStr">
        <is>
          <t xml:space="preserve">   TOPLAM ISI KAYBI =</t>
        </is>
      </c>
      <c r="N24" s="409" t="n"/>
      <c r="O24" s="410" t="n"/>
      <c r="P24" s="409" t="n"/>
      <c r="Q24" s="411">
        <f>Q21+Q23</f>
        <v/>
      </c>
    </row>
    <row r="25" ht="10.35" customFormat="1" customHeight="1" s="356">
      <c r="A25" s="359" t="n"/>
      <c r="B25" s="360" t="n"/>
      <c r="C25" s="360" t="n"/>
      <c r="D25" s="360" t="n"/>
      <c r="E25" s="360" t="n"/>
      <c r="F25" s="361" t="inlineStr">
        <is>
          <t>Z</t>
        </is>
      </c>
      <c r="G25" s="362" t="inlineStr">
        <is>
          <t>0</t>
        </is>
      </c>
      <c r="H25" s="360" t="inlineStr">
        <is>
          <t>Z02</t>
        </is>
      </c>
      <c r="I25" s="363" t="inlineStr">
        <is>
          <t>İŞ YERİ-1</t>
        </is>
      </c>
      <c r="J25" s="364" t="n"/>
      <c r="K25" s="360" t="inlineStr">
        <is>
          <t>20ºC</t>
        </is>
      </c>
      <c r="L25" s="360" t="n"/>
      <c r="M25" s="360" t="n"/>
      <c r="N25" s="360" t="n"/>
      <c r="O25" s="360" t="n"/>
      <c r="P25" s="360" t="n"/>
      <c r="Q25" s="365" t="n"/>
    </row>
    <row r="26" ht="9.949999999999999" customFormat="1" customHeight="1" s="356">
      <c r="A26" s="366" t="inlineStr">
        <is>
          <t>DD</t>
        </is>
      </c>
      <c r="B26" s="367" t="inlineStr">
        <is>
          <t>G</t>
        </is>
      </c>
      <c r="C26" s="368" t="n"/>
      <c r="D26" s="369" t="n">
        <v>10</v>
      </c>
      <c r="E26" s="369" t="n">
        <v>2.5</v>
      </c>
      <c r="F26" s="370">
        <f>IF(D26=0," ",D26*E26)</f>
        <v/>
      </c>
      <c r="G26" s="371" t="n">
        <v>1</v>
      </c>
      <c r="H26" s="372">
        <f>F28*G28</f>
        <v/>
      </c>
      <c r="I26" s="370">
        <f>IF(F26=" "," ",F26*G26-H26)</f>
        <v/>
      </c>
      <c r="J26" s="369" t="n">
        <v>0.344</v>
      </c>
      <c r="K26" s="371" t="n">
        <v>26</v>
      </c>
      <c r="L26" s="373">
        <f>IF(I26=" "," ",I26*J26*K26)</f>
        <v/>
      </c>
      <c r="M26" s="374" t="n">
        <v>7</v>
      </c>
      <c r="N26" s="371" t="n">
        <v>0</v>
      </c>
      <c r="O26" s="374" t="n">
        <v>-5</v>
      </c>
      <c r="P26" s="370">
        <f>IF(M26=" "," ",(1+(M26+N26+O26)/100))</f>
        <v/>
      </c>
      <c r="Q26" s="375">
        <f>IF(L26=" "," ",L26*P26)</f>
        <v/>
      </c>
    </row>
    <row r="27" ht="9.949999999999999" customFormat="1" customHeight="1" s="356">
      <c r="A27" s="366" t="inlineStr">
        <is>
          <t>DD25</t>
        </is>
      </c>
      <c r="B27" s="367" t="inlineStr">
        <is>
          <t>G</t>
        </is>
      </c>
      <c r="C27" s="368" t="n"/>
      <c r="D27" s="369">
        <f>D26</f>
        <v/>
      </c>
      <c r="E27" s="369" t="n">
        <v>0.5</v>
      </c>
      <c r="F27" s="370">
        <f>IF(D27=0," ",D27*E27)</f>
        <v/>
      </c>
      <c r="G27" s="371" t="n">
        <v>1</v>
      </c>
      <c r="H27" s="372" t="n"/>
      <c r="I27" s="370">
        <f>IF(F27=" "," ",F27*G27-H27)</f>
        <v/>
      </c>
      <c r="J27" s="369" t="n">
        <v>0.387</v>
      </c>
      <c r="K27" s="371" t="n">
        <v>26</v>
      </c>
      <c r="L27" s="373">
        <f>IF(I27=" "," ",I27*J27*K27)</f>
        <v/>
      </c>
      <c r="M27" s="374" t="n">
        <v>7</v>
      </c>
      <c r="N27" s="371" t="n">
        <v>0</v>
      </c>
      <c r="O27" s="374" t="n">
        <v>-5</v>
      </c>
      <c r="P27" s="370">
        <f>IF(M27=" "," ",(1+(M27+N27+O27)/100))</f>
        <v/>
      </c>
      <c r="Q27" s="375">
        <f>IF(L27=" "," ",L27*P27)</f>
        <v/>
      </c>
    </row>
    <row r="28" ht="9.949999999999999" customFormat="1" customHeight="1" s="356">
      <c r="A28" s="366" t="inlineStr">
        <is>
          <t>ÇP</t>
        </is>
      </c>
      <c r="B28" s="367" t="inlineStr">
        <is>
          <t>G</t>
        </is>
      </c>
      <c r="C28" s="368" t="n"/>
      <c r="D28" s="369" t="n">
        <v>7</v>
      </c>
      <c r="E28" s="369" t="n">
        <v>2.5</v>
      </c>
      <c r="F28" s="370">
        <f>IF(D28=0," ",D28*E28)</f>
        <v/>
      </c>
      <c r="G28" s="371" t="n">
        <v>1</v>
      </c>
      <c r="H28" s="372" t="n"/>
      <c r="I28" s="370">
        <f>IF(F28=" "," ",F28*G28-H28)</f>
        <v/>
      </c>
      <c r="J28" s="369" t="n">
        <v>1.8</v>
      </c>
      <c r="K28" s="371" t="n">
        <v>26</v>
      </c>
      <c r="L28" s="373">
        <f>IF(I28=" "," ",I28*J28*K28)</f>
        <v/>
      </c>
      <c r="M28" s="374" t="n">
        <v>7</v>
      </c>
      <c r="N28" s="371" t="n">
        <v>0</v>
      </c>
      <c r="O28" s="374" t="n">
        <v>-5</v>
      </c>
      <c r="P28" s="370">
        <f>IF(M28=" "," ",(1+(M28+N28+O28)/100))</f>
        <v/>
      </c>
      <c r="Q28" s="375">
        <f>IF(L28=" "," ",L28*P28)</f>
        <v/>
      </c>
    </row>
    <row r="29" ht="9.949999999999999" customFormat="1" customHeight="1" s="356">
      <c r="A29" s="366" t="inlineStr">
        <is>
          <t>DD</t>
        </is>
      </c>
      <c r="B29" s="367" t="inlineStr">
        <is>
          <t>D</t>
        </is>
      </c>
      <c r="C29" s="368" t="n"/>
      <c r="D29" s="369" t="n">
        <v>6.3</v>
      </c>
      <c r="E29" s="369" t="n">
        <v>2.5</v>
      </c>
      <c r="F29" s="370">
        <f>IF(D29=0," ",D29*E29)</f>
        <v/>
      </c>
      <c r="G29" s="371" t="n">
        <v>1</v>
      </c>
      <c r="H29" s="372" t="n"/>
      <c r="I29" s="370">
        <f>IF(F29=" "," ",F29*G29-H29)</f>
        <v/>
      </c>
      <c r="J29" s="369" t="n">
        <v>0.344</v>
      </c>
      <c r="K29" s="371" t="n">
        <v>26</v>
      </c>
      <c r="L29" s="373">
        <f>IF(I29=" "," ",I29*J29*K29)</f>
        <v/>
      </c>
      <c r="M29" s="374" t="n">
        <v>7</v>
      </c>
      <c r="N29" s="371" t="n">
        <v>0</v>
      </c>
      <c r="O29" s="374" t="n">
        <v>0</v>
      </c>
      <c r="P29" s="370">
        <f>IF(M29=" "," ",(1+(M29+N29+O29)/100))</f>
        <v/>
      </c>
      <c r="Q29" s="375">
        <f>IF(L29=" "," ",L29*P29)</f>
        <v/>
      </c>
    </row>
    <row r="30" ht="9.949999999999999" customFormat="1" customHeight="1" s="412">
      <c r="A30" s="366" t="inlineStr">
        <is>
          <t>DD25</t>
        </is>
      </c>
      <c r="B30" s="367" t="inlineStr">
        <is>
          <t>D</t>
        </is>
      </c>
      <c r="C30" s="368" t="n"/>
      <c r="D30" s="369">
        <f>D29</f>
        <v/>
      </c>
      <c r="E30" s="369" t="n">
        <v>0.5</v>
      </c>
      <c r="F30" s="370">
        <f>IF(D30=0," ",D30*E30)</f>
        <v/>
      </c>
      <c r="G30" s="371" t="n">
        <v>1</v>
      </c>
      <c r="H30" s="372" t="n"/>
      <c r="I30" s="370">
        <f>IF(F30=" "," ",F30*G30-H30)</f>
        <v/>
      </c>
      <c r="J30" s="369" t="n">
        <v>0.387</v>
      </c>
      <c r="K30" s="371" t="n">
        <v>26</v>
      </c>
      <c r="L30" s="373">
        <f>IF(I30=" "," ",I30*J30*K30)</f>
        <v/>
      </c>
      <c r="M30" s="374" t="n">
        <v>7</v>
      </c>
      <c r="N30" s="371" t="n">
        <v>0</v>
      </c>
      <c r="O30" s="374" t="n">
        <v>0</v>
      </c>
      <c r="P30" s="370">
        <f>IF(M30=" "," ",(1+(M30+N30+O30)/100))</f>
        <v/>
      </c>
      <c r="Q30" s="375">
        <f>IF(L30=" "," ",L30*P30)</f>
        <v/>
      </c>
    </row>
    <row r="31" ht="9.949999999999999" customFormat="1" customHeight="1" s="412">
      <c r="A31" s="366" t="inlineStr">
        <is>
          <t>DD</t>
        </is>
      </c>
      <c r="B31" s="367" t="inlineStr">
        <is>
          <t>K</t>
        </is>
      </c>
      <c r="C31" s="368" t="n"/>
      <c r="D31" s="369" t="n">
        <v>10.7</v>
      </c>
      <c r="E31" s="369" t="n">
        <v>2.5</v>
      </c>
      <c r="F31" s="370">
        <f>IF(D31=0," ",D31*E31)</f>
        <v/>
      </c>
      <c r="G31" s="371" t="n">
        <v>1</v>
      </c>
      <c r="H31" s="372">
        <f>F33*G33+F34*G34+F35*G35</f>
        <v/>
      </c>
      <c r="I31" s="370">
        <f>IF(F31=" "," ",F31*G31-H31)</f>
        <v/>
      </c>
      <c r="J31" s="369" t="n">
        <v>0.344</v>
      </c>
      <c r="K31" s="371" t="n">
        <v>26</v>
      </c>
      <c r="L31" s="373">
        <f>IF(I31=" "," ",I31*J31*K31)</f>
        <v/>
      </c>
      <c r="M31" s="374" t="n">
        <v>7</v>
      </c>
      <c r="N31" s="371" t="n">
        <v>0</v>
      </c>
      <c r="O31" s="374" t="n">
        <v>5</v>
      </c>
      <c r="P31" s="370">
        <f>IF(M31=" "," ",(1+(M31+N31+O31)/100))</f>
        <v/>
      </c>
      <c r="Q31" s="375">
        <f>IF(L31=" "," ",L31*P31)</f>
        <v/>
      </c>
    </row>
    <row r="32" ht="9.949999999999999" customFormat="1" customHeight="1" s="351">
      <c r="A32" s="366" t="inlineStr">
        <is>
          <t>DD25</t>
        </is>
      </c>
      <c r="B32" s="367" t="inlineStr">
        <is>
          <t>K</t>
        </is>
      </c>
      <c r="C32" s="368" t="n"/>
      <c r="D32" s="369">
        <f>D31</f>
        <v/>
      </c>
      <c r="E32" s="369" t="n">
        <v>0.5</v>
      </c>
      <c r="F32" s="370">
        <f>IF(D32=0," ",D32*E32)</f>
        <v/>
      </c>
      <c r="G32" s="371" t="n">
        <v>1</v>
      </c>
      <c r="H32" s="372" t="n"/>
      <c r="I32" s="370">
        <f>IF(F32=" "," ",F32*G32-H32)</f>
        <v/>
      </c>
      <c r="J32" s="369" t="n">
        <v>0.387</v>
      </c>
      <c r="K32" s="371" t="n">
        <v>26</v>
      </c>
      <c r="L32" s="373">
        <f>IF(I32=" "," ",I32*J32*K32)</f>
        <v/>
      </c>
      <c r="M32" s="374" t="n">
        <v>7</v>
      </c>
      <c r="N32" s="371" t="n">
        <v>0</v>
      </c>
      <c r="O32" s="374" t="n">
        <v>5</v>
      </c>
      <c r="P32" s="370">
        <f>IF(M32=" "," ",(1+(M32+N32+O32)/100))</f>
        <v/>
      </c>
      <c r="Q32" s="375">
        <f>IF(L32=" "," ",L32*P32)</f>
        <v/>
      </c>
    </row>
    <row r="33" ht="9.949999999999999" customFormat="1" customHeight="1" s="356">
      <c r="A33" s="366" t="inlineStr">
        <is>
          <t>ÇP</t>
        </is>
      </c>
      <c r="B33" s="367" t="inlineStr">
        <is>
          <t>K</t>
        </is>
      </c>
      <c r="C33" s="368" t="n"/>
      <c r="D33" s="369" t="n">
        <v>5.1</v>
      </c>
      <c r="E33" s="369" t="n">
        <v>1.6</v>
      </c>
      <c r="F33" s="370">
        <f>IF(D33=0," ",D33*E33)</f>
        <v/>
      </c>
      <c r="G33" s="371" t="n">
        <v>1</v>
      </c>
      <c r="H33" s="372" t="n"/>
      <c r="I33" s="370">
        <f>IF(F33=" "," ",F33*G33-H33)</f>
        <v/>
      </c>
      <c r="J33" s="369" t="n">
        <v>1.8</v>
      </c>
      <c r="K33" s="371" t="n">
        <v>26</v>
      </c>
      <c r="L33" s="373">
        <f>IF(I33=" "," ",I33*J33*K33)</f>
        <v/>
      </c>
      <c r="M33" s="374" t="n">
        <v>7</v>
      </c>
      <c r="N33" s="371" t="n">
        <v>0</v>
      </c>
      <c r="O33" s="374" t="n">
        <v>5</v>
      </c>
      <c r="P33" s="370">
        <f>IF(M33=" "," ",(1+(M33+N33+O33)/100))</f>
        <v/>
      </c>
      <c r="Q33" s="375">
        <f>IF(L33=" "," ",L33*P33)</f>
        <v/>
      </c>
    </row>
    <row r="34" ht="9.949999999999999" customFormat="1" customHeight="1" s="356">
      <c r="A34" s="366" t="inlineStr">
        <is>
          <t>ÇP</t>
        </is>
      </c>
      <c r="B34" s="367" t="inlineStr">
        <is>
          <t>K</t>
        </is>
      </c>
      <c r="C34" s="368" t="n"/>
      <c r="D34" s="369" t="n">
        <v>3</v>
      </c>
      <c r="E34" s="369" t="n">
        <v>1.6</v>
      </c>
      <c r="F34" s="370">
        <f>IF(D34=0," ",D34*E34)</f>
        <v/>
      </c>
      <c r="G34" s="371" t="n">
        <v>1</v>
      </c>
      <c r="H34" s="372" t="n"/>
      <c r="I34" s="370">
        <f>IF(F34=" "," ",F34*G34-H34)</f>
        <v/>
      </c>
      <c r="J34" s="369" t="n">
        <v>1.8</v>
      </c>
      <c r="K34" s="371" t="n">
        <v>26</v>
      </c>
      <c r="L34" s="373">
        <f>IF(I34=" "," ",I34*J34*K34)</f>
        <v/>
      </c>
      <c r="M34" s="374" t="n">
        <v>7</v>
      </c>
      <c r="N34" s="371" t="n">
        <v>0</v>
      </c>
      <c r="O34" s="374" t="n">
        <v>5</v>
      </c>
      <c r="P34" s="370">
        <f>IF(M34=" "," ",(1+(M34+N34+O34)/100))</f>
        <v/>
      </c>
      <c r="Q34" s="375">
        <f>IF(L34=" "," ",L34*P34)</f>
        <v/>
      </c>
    </row>
    <row r="35" ht="9.949999999999999" customFormat="1" customHeight="1" s="356">
      <c r="A35" s="366" t="inlineStr">
        <is>
          <t>BK</t>
        </is>
      </c>
      <c r="B35" s="367" t="inlineStr">
        <is>
          <t>K</t>
        </is>
      </c>
      <c r="C35" s="368" t="n"/>
      <c r="D35" s="369" t="n">
        <v>2.2</v>
      </c>
      <c r="E35" s="369" t="n">
        <v>2.5</v>
      </c>
      <c r="F35" s="370">
        <f>IF(D35=0," ",D35*E35)</f>
        <v/>
      </c>
      <c r="G35" s="371" t="n">
        <v>1</v>
      </c>
      <c r="H35" s="372" t="n"/>
      <c r="I35" s="370">
        <f>IF(F35=" "," ",F35*G35-H35)</f>
        <v/>
      </c>
      <c r="J35" s="369" t="n">
        <v>1.8</v>
      </c>
      <c r="K35" s="371" t="n">
        <v>26</v>
      </c>
      <c r="L35" s="373">
        <f>IF(I35=" "," ",I35*J35*K35)</f>
        <v/>
      </c>
      <c r="M35" s="374" t="n">
        <v>7</v>
      </c>
      <c r="N35" s="371" t="n">
        <v>0</v>
      </c>
      <c r="O35" s="374" t="n">
        <v>5</v>
      </c>
      <c r="P35" s="370">
        <f>IF(M35=" "," ",(1+(M35+N35+O35)/100))</f>
        <v/>
      </c>
      <c r="Q35" s="375">
        <f>IF(L35=" "," ",L35*P35)</f>
        <v/>
      </c>
    </row>
    <row r="36" ht="9.949999999999999" customFormat="1" customHeight="1" s="356">
      <c r="A36" s="366" t="inlineStr">
        <is>
          <t>İDM</t>
        </is>
      </c>
      <c r="B36" s="367" t="inlineStr"/>
      <c r="C36" s="368" t="n"/>
      <c r="D36" s="369" t="n">
        <v>6.3</v>
      </c>
      <c r="E36" s="369" t="n">
        <v>3</v>
      </c>
      <c r="F36" s="370">
        <f>IF(D36=0," ",D36*E36)</f>
        <v/>
      </c>
      <c r="G36" s="371" t="n">
        <v>1</v>
      </c>
      <c r="H36" s="372" t="n"/>
      <c r="I36" s="370">
        <f>IF(F36=" "," ",F36*G36-H36)</f>
        <v/>
      </c>
      <c r="J36" s="369" t="n">
        <v>0.332</v>
      </c>
      <c r="K36" s="371" t="n">
        <v>10</v>
      </c>
      <c r="L36" s="373">
        <f>IF(I36=" "," ",I36*J36*K36)</f>
        <v/>
      </c>
      <c r="M36" s="374" t="n">
        <v>7</v>
      </c>
      <c r="N36" s="371" t="n">
        <v>0</v>
      </c>
      <c r="O36" s="374" t="n">
        <v>0</v>
      </c>
      <c r="P36" s="370">
        <f>IF(M36=" "," ",(1+(M36+N36+O36)/100))</f>
        <v/>
      </c>
      <c r="Q36" s="375">
        <f>IF(L36=" "," ",L36*P36)</f>
        <v/>
      </c>
    </row>
    <row r="37" ht="9.949999999999999" customFormat="1" customHeight="1" s="356">
      <c r="A37" s="366" t="inlineStr">
        <is>
          <t>Dö</t>
        </is>
      </c>
      <c r="B37" s="367" t="inlineStr"/>
      <c r="C37" s="368" t="n"/>
      <c r="D37" s="369" t="n">
        <v>53.34</v>
      </c>
      <c r="E37" s="369" t="n">
        <v>1</v>
      </c>
      <c r="F37" s="370">
        <f>IF(D37=0," ",D37*E37)</f>
        <v/>
      </c>
      <c r="G37" s="371" t="n">
        <v>1</v>
      </c>
      <c r="H37" s="372" t="n"/>
      <c r="I37" s="370">
        <f>IF(F37=" "," ",F37*G37-H37)</f>
        <v/>
      </c>
      <c r="J37" s="369" t="n">
        <v>0.312</v>
      </c>
      <c r="K37" s="371" t="n">
        <v>14</v>
      </c>
      <c r="L37" s="373">
        <f>IF(I37=" "," ",I37*J37*K37)</f>
        <v/>
      </c>
      <c r="M37" s="374" t="n">
        <v>7</v>
      </c>
      <c r="N37" s="371" t="n">
        <v>0</v>
      </c>
      <c r="O37" s="374" t="n">
        <v>0</v>
      </c>
      <c r="P37" s="370">
        <f>IF(M37=" "," ",(1+(M37+N37+O37)/100))</f>
        <v/>
      </c>
      <c r="Q37" s="375">
        <f>IF(L37=" "," ",L37*P37)</f>
        <v/>
      </c>
    </row>
    <row r="38" ht="9.949999999999999" customFormat="1" customHeight="1" s="356">
      <c r="A38" s="376" t="n"/>
      <c r="B38" s="377" t="n"/>
      <c r="C38" s="377" t="n"/>
      <c r="D38" s="378" t="n"/>
      <c r="E38" s="378" t="n"/>
      <c r="F38" s="378" t="n"/>
      <c r="G38" s="379" t="n"/>
      <c r="H38" s="378" t="n"/>
      <c r="I38" s="378" t="n"/>
      <c r="J38" s="378" t="n"/>
      <c r="K38" s="379" t="n"/>
      <c r="L38" s="380" t="n"/>
      <c r="M38" s="381" t="n"/>
      <c r="N38" s="381" t="n"/>
      <c r="O38" s="381" t="n"/>
      <c r="P38" s="382" t="n"/>
      <c r="Q38" s="383">
        <f>SUM(Q26:Q37)</f>
        <v/>
      </c>
    </row>
    <row r="39" ht="9.949999999999999" customFormat="1" customHeight="1" s="356">
      <c r="A39" s="384" t="n"/>
      <c r="B39" s="385" t="n"/>
      <c r="C39" s="385" t="n"/>
      <c r="D39" s="386" t="n"/>
      <c r="E39" s="387" t="n"/>
      <c r="F39" s="388" t="n"/>
      <c r="G39" s="389" t="n"/>
      <c r="H39" s="388" t="n"/>
      <c r="I39" s="390" t="n"/>
      <c r="J39" s="391" t="inlineStr">
        <is>
          <t>Qs=</t>
        </is>
      </c>
      <c r="K39" s="390" t="inlineStr">
        <is>
          <t>S a</t>
        </is>
      </c>
      <c r="L39" s="388" t="inlineStr">
        <is>
          <t>L</t>
        </is>
      </c>
      <c r="M39" s="389" t="inlineStr">
        <is>
          <t>R</t>
        </is>
      </c>
      <c r="N39" s="392" t="inlineStr">
        <is>
          <t>H</t>
        </is>
      </c>
      <c r="O39" s="393" t="inlineStr">
        <is>
          <t>D  T</t>
        </is>
      </c>
      <c r="P39" s="389" t="inlineStr">
        <is>
          <t>Ze</t>
        </is>
      </c>
      <c r="Q39" s="394" t="n"/>
    </row>
    <row r="40" ht="9.949999999999999" customFormat="1" customHeight="1" s="356">
      <c r="A40" s="395" t="inlineStr">
        <is>
          <t xml:space="preserve"> </t>
        </is>
      </c>
      <c r="B40" s="396" t="n"/>
      <c r="C40" s="397" t="n"/>
      <c r="D40" s="397" t="n"/>
      <c r="E40" s="398" t="n"/>
      <c r="F40" s="399" t="n"/>
      <c r="G40" s="400" t="n"/>
      <c r="H40" s="401" t="n"/>
      <c r="I40" s="402" t="n"/>
      <c r="J40" s="403" t="inlineStr">
        <is>
          <t>Qs  =</t>
        </is>
      </c>
      <c r="K40" s="404" t="n">
        <v>2</v>
      </c>
      <c r="L40" s="404">
        <f>(D28+E28)*2*G28+(D33+E33)*2*G33+(D34+E34)*2*G34+(D35+E35)*2*G35</f>
        <v/>
      </c>
      <c r="M40" s="404" t="n">
        <v>0.9</v>
      </c>
      <c r="N40" s="404" t="n">
        <v>0.67</v>
      </c>
      <c r="O40" s="381" t="n">
        <v>26</v>
      </c>
      <c r="P40" s="404" t="n">
        <v>1.2</v>
      </c>
      <c r="Q40" s="383">
        <f>K40*L40*M40*N40*O40*P40</f>
        <v/>
      </c>
    </row>
    <row r="41" ht="9.949999999999999" customFormat="1" customHeight="1" s="356">
      <c r="A41" s="405" t="n"/>
      <c r="B41" s="406" t="n"/>
      <c r="C41" s="397" t="n"/>
      <c r="D41" s="397" t="n"/>
      <c r="E41" s="378" t="n"/>
      <c r="F41" s="256" t="n"/>
      <c r="G41" s="407" t="n"/>
      <c r="H41" s="397" t="n"/>
      <c r="I41" s="397" t="n"/>
      <c r="J41" s="397" t="n"/>
      <c r="K41" s="407" t="n"/>
      <c r="L41" s="408" t="n"/>
      <c r="M41" s="409" t="inlineStr">
        <is>
          <t xml:space="preserve">   TOPLAM ISI KAYBI =</t>
        </is>
      </c>
      <c r="N41" s="409" t="n"/>
      <c r="O41" s="410" t="n"/>
      <c r="P41" s="409" t="n"/>
      <c r="Q41" s="411">
        <f>Q38+Q40</f>
        <v/>
      </c>
    </row>
    <row r="42" ht="9.949999999999999" customFormat="1" customHeight="1" s="412">
      <c r="A42" s="413" t="n"/>
      <c r="B42" s="414" t="n"/>
      <c r="C42" s="414" t="n"/>
      <c r="D42" s="415" t="n"/>
      <c r="E42" s="416" t="n"/>
      <c r="F42" s="417" t="n"/>
      <c r="G42" s="418" t="n"/>
      <c r="H42" s="417" t="n"/>
      <c r="I42" s="419" t="n"/>
      <c r="J42" s="420" t="n"/>
      <c r="K42" s="419" t="n"/>
      <c r="L42" s="417" t="n"/>
      <c r="M42" s="418" t="n"/>
      <c r="N42" s="421" t="n"/>
      <c r="O42" s="422" t="n"/>
      <c r="P42" s="418" t="n"/>
      <c r="Q42" s="423" t="n"/>
    </row>
    <row r="43" ht="9.949999999999999" customFormat="1" customHeight="1" s="412">
      <c r="A43" s="424" t="n"/>
      <c r="C43" s="425" t="n"/>
      <c r="D43" s="425" t="n"/>
      <c r="E43" s="426" t="n"/>
      <c r="F43" s="427" t="n"/>
      <c r="G43" s="428" t="n"/>
      <c r="H43" s="429" t="n"/>
      <c r="I43" s="430" t="n"/>
      <c r="J43" s="431" t="n"/>
      <c r="K43" s="432" t="n"/>
      <c r="L43" s="432" t="n"/>
      <c r="M43" s="432" t="n"/>
      <c r="N43" s="432" t="n"/>
      <c r="O43" s="433" t="n"/>
      <c r="P43" s="432" t="n"/>
      <c r="Q43" s="434" t="n"/>
    </row>
    <row r="44" ht="9.949999999999999" customFormat="1" customHeight="1" s="351">
      <c r="A44" s="435" t="n"/>
      <c r="B44" s="412" t="n"/>
      <c r="C44" s="425" t="n"/>
      <c r="D44" s="425" t="n"/>
      <c r="E44" s="436" t="n"/>
      <c r="G44" s="437" t="n"/>
      <c r="H44" s="425" t="n"/>
      <c r="I44" s="425" t="n"/>
      <c r="J44" s="425" t="n"/>
      <c r="K44" s="437" t="n"/>
      <c r="L44" s="438" t="n"/>
      <c r="M44" s="439" t="n"/>
      <c r="N44" s="439" t="n"/>
      <c r="O44" s="440" t="n"/>
      <c r="P44" s="439" t="n"/>
      <c r="Q44" s="441" t="n"/>
    </row>
    <row r="45" ht="9.949999999999999" customFormat="1" customHeight="1" s="356">
      <c r="A45" s="442" t="n"/>
      <c r="B45" s="443" t="n"/>
      <c r="C45" s="443" t="n"/>
      <c r="D45" s="443" t="n"/>
      <c r="E45" s="443" t="n"/>
      <c r="F45" s="444" t="n"/>
      <c r="G45" s="445" t="n"/>
      <c r="H45" s="443" t="n"/>
      <c r="I45" s="445" t="n"/>
      <c r="K45" s="443" t="n"/>
      <c r="L45" s="443" t="n"/>
      <c r="M45" s="443" t="n"/>
      <c r="N45" s="443" t="n"/>
      <c r="O45" s="443" t="n"/>
      <c r="P45" s="443" t="n"/>
      <c r="Q45" s="446" t="n"/>
    </row>
    <row r="46" ht="9.949999999999999" customFormat="1" customHeight="1" s="356">
      <c r="A46" s="447" t="n"/>
      <c r="B46" s="396" t="n"/>
      <c r="C46" s="448" t="n"/>
      <c r="D46" s="449" t="n"/>
      <c r="E46" s="449" t="n"/>
      <c r="F46" s="450" t="n"/>
      <c r="G46" s="451" t="n"/>
      <c r="H46" s="452" t="n"/>
      <c r="I46" s="450" t="n"/>
      <c r="J46" s="449" t="n"/>
      <c r="K46" s="451" t="n"/>
      <c r="L46" s="453" t="n"/>
      <c r="M46" s="454" t="n"/>
      <c r="N46" s="451" t="n"/>
      <c r="O46" s="454" t="n"/>
      <c r="P46" s="450" t="n"/>
      <c r="Q46" s="455" t="n"/>
    </row>
    <row r="47" ht="9.949999999999999" customFormat="1" customHeight="1" s="356">
      <c r="A47" s="447" t="n"/>
      <c r="B47" s="396" t="n"/>
      <c r="C47" s="448" t="n"/>
      <c r="D47" s="449" t="n"/>
      <c r="E47" s="449" t="n"/>
      <c r="F47" s="450" t="n"/>
      <c r="G47" s="451" t="n"/>
      <c r="H47" s="452" t="n"/>
      <c r="I47" s="450" t="n"/>
      <c r="J47" s="449" t="n"/>
      <c r="K47" s="451" t="n"/>
      <c r="L47" s="453" t="n"/>
      <c r="M47" s="454" t="n"/>
      <c r="N47" s="451" t="n"/>
      <c r="O47" s="454" t="n"/>
      <c r="P47" s="450" t="n"/>
      <c r="Q47" s="455" t="n"/>
    </row>
    <row r="48" ht="9.949999999999999" customFormat="1" customHeight="1" s="356">
      <c r="A48" s="447" t="n"/>
      <c r="B48" s="396" t="n"/>
      <c r="C48" s="448" t="n"/>
      <c r="D48" s="449" t="n"/>
      <c r="E48" s="449" t="n"/>
      <c r="F48" s="450" t="n"/>
      <c r="G48" s="451" t="n"/>
      <c r="H48" s="452" t="n"/>
      <c r="I48" s="450" t="n"/>
      <c r="J48" s="449" t="n"/>
      <c r="K48" s="451" t="n"/>
      <c r="L48" s="453" t="n"/>
      <c r="M48" s="454" t="n"/>
      <c r="N48" s="451" t="n"/>
      <c r="O48" s="454" t="n"/>
      <c r="P48" s="450" t="n"/>
      <c r="Q48" s="455" t="n"/>
    </row>
    <row r="49" ht="9.949999999999999" customFormat="1" customHeight="1" s="356">
      <c r="A49" s="447" t="n"/>
      <c r="B49" s="396" t="n"/>
      <c r="C49" s="448" t="n"/>
      <c r="D49" s="449" t="n"/>
      <c r="E49" s="449" t="n"/>
      <c r="F49" s="450" t="n"/>
      <c r="G49" s="451" t="n"/>
      <c r="H49" s="452" t="n"/>
      <c r="I49" s="450" t="n"/>
      <c r="J49" s="449" t="n"/>
      <c r="K49" s="451" t="n"/>
      <c r="L49" s="453" t="n"/>
      <c r="M49" s="454" t="n"/>
      <c r="N49" s="451" t="n"/>
      <c r="O49" s="454" t="n"/>
      <c r="P49" s="450" t="n"/>
      <c r="Q49" s="455" t="n"/>
    </row>
    <row r="50" ht="9.949999999999999" customFormat="1" customHeight="1" s="356">
      <c r="A50" s="447" t="n"/>
      <c r="B50" s="396" t="n"/>
      <c r="C50" s="448" t="n"/>
      <c r="D50" s="449" t="n"/>
      <c r="E50" s="449" t="n"/>
      <c r="F50" s="450" t="n"/>
      <c r="G50" s="451" t="n"/>
      <c r="H50" s="452" t="n"/>
      <c r="I50" s="450" t="n"/>
      <c r="J50" s="449" t="n"/>
      <c r="K50" s="451" t="n"/>
      <c r="L50" s="453" t="n"/>
      <c r="M50" s="454" t="n"/>
      <c r="N50" s="451" t="n"/>
      <c r="O50" s="454" t="n"/>
      <c r="P50" s="450" t="n"/>
      <c r="Q50" s="455" t="n"/>
    </row>
    <row r="51" ht="9.949999999999999" customFormat="1" customHeight="1" s="356">
      <c r="A51" s="447" t="n"/>
      <c r="B51" s="396" t="n"/>
      <c r="C51" s="448" t="n"/>
      <c r="D51" s="449" t="n"/>
      <c r="E51" s="449" t="n"/>
      <c r="F51" s="450" t="n"/>
      <c r="G51" s="451" t="n"/>
      <c r="H51" s="452" t="n"/>
      <c r="I51" s="450" t="n"/>
      <c r="J51" s="449" t="n"/>
      <c r="K51" s="451" t="n"/>
      <c r="L51" s="453" t="n"/>
      <c r="M51" s="454" t="n"/>
      <c r="N51" s="451" t="n"/>
      <c r="O51" s="454" t="n"/>
      <c r="P51" s="450" t="n"/>
      <c r="Q51" s="455" t="n"/>
    </row>
    <row r="52" ht="9.949999999999999" customFormat="1" customHeight="1" s="356">
      <c r="A52" s="447" t="n"/>
      <c r="B52" s="396" t="n"/>
      <c r="C52" s="448" t="n"/>
      <c r="D52" s="449" t="n"/>
      <c r="E52" s="449" t="n"/>
      <c r="F52" s="450" t="n"/>
      <c r="G52" s="451" t="n"/>
      <c r="H52" s="452" t="n"/>
      <c r="I52" s="450" t="n"/>
      <c r="J52" s="449" t="n"/>
      <c r="K52" s="451" t="n"/>
      <c r="L52" s="453" t="n"/>
      <c r="M52" s="454" t="n"/>
      <c r="N52" s="451" t="n"/>
      <c r="O52" s="454" t="n"/>
      <c r="P52" s="450" t="n"/>
      <c r="Q52" s="456" t="n"/>
    </row>
    <row r="53" ht="9.949999999999999" customFormat="1" customHeight="1" s="356">
      <c r="A53" s="447" t="n"/>
      <c r="B53" s="396" t="n"/>
      <c r="C53" s="448" t="n"/>
      <c r="D53" s="449" t="n"/>
      <c r="E53" s="449" t="n"/>
      <c r="F53" s="450" t="n"/>
      <c r="G53" s="451" t="n"/>
      <c r="H53" s="452" t="n"/>
      <c r="I53" s="450" t="n"/>
      <c r="J53" s="449" t="n"/>
      <c r="K53" s="451" t="n"/>
      <c r="L53" s="453" t="n"/>
      <c r="M53" s="454" t="n"/>
      <c r="N53" s="451" t="n"/>
      <c r="O53" s="454" t="n"/>
      <c r="P53" s="450" t="n"/>
      <c r="Q53" s="456" t="n"/>
    </row>
    <row r="54" ht="9.949999999999999" customFormat="1" customHeight="1" s="356">
      <c r="A54" s="457" t="n"/>
      <c r="B54" s="458" t="n"/>
      <c r="C54" s="458" t="n"/>
      <c r="D54" s="436" t="n"/>
      <c r="E54" s="436" t="n"/>
      <c r="F54" s="436" t="n"/>
      <c r="G54" s="459" t="n"/>
      <c r="H54" s="436" t="n"/>
      <c r="I54" s="436" t="n"/>
      <c r="J54" s="436" t="n"/>
      <c r="K54" s="459" t="n"/>
      <c r="L54" s="460" t="n"/>
      <c r="M54" s="433" t="n"/>
      <c r="N54" s="433" t="n"/>
      <c r="O54" s="433" t="n"/>
      <c r="P54" s="461" t="n"/>
      <c r="Q54" s="434" t="n"/>
    </row>
    <row r="55" ht="9.949999999999999" customFormat="1" customHeight="1" s="412">
      <c r="A55" s="413" t="n"/>
      <c r="B55" s="414" t="n"/>
      <c r="C55" s="414" t="n"/>
      <c r="D55" s="415" t="n"/>
      <c r="E55" s="416" t="n"/>
      <c r="F55" s="417" t="n"/>
      <c r="G55" s="418" t="n"/>
      <c r="H55" s="417" t="n"/>
      <c r="I55" s="419" t="n"/>
      <c r="J55" s="420" t="n"/>
      <c r="K55" s="419" t="n"/>
      <c r="L55" s="417" t="n"/>
      <c r="M55" s="418" t="n"/>
      <c r="N55" s="421" t="n"/>
      <c r="O55" s="422" t="n"/>
      <c r="P55" s="418" t="n"/>
      <c r="Q55" s="423" t="n"/>
    </row>
    <row r="56" ht="9.949999999999999" customFormat="1" customHeight="1" s="412">
      <c r="A56" s="424" t="n"/>
      <c r="C56" s="425" t="n"/>
      <c r="D56" s="425" t="n"/>
      <c r="E56" s="426" t="n"/>
      <c r="F56" s="427" t="n"/>
      <c r="G56" s="428" t="n"/>
      <c r="H56" s="429" t="n"/>
      <c r="I56" s="430" t="n"/>
      <c r="J56" s="431" t="n"/>
      <c r="K56" s="432" t="n"/>
      <c r="L56" s="432" t="n"/>
      <c r="M56" s="432" t="n"/>
      <c r="N56" s="432" t="n"/>
      <c r="O56" s="433" t="n"/>
      <c r="P56" s="432" t="n"/>
      <c r="Q56" s="434" t="n"/>
    </row>
    <row r="57" ht="9.949999999999999" customFormat="1" customHeight="1" s="351">
      <c r="A57" s="435" t="n"/>
      <c r="B57" s="412" t="n"/>
      <c r="C57" s="425" t="n"/>
      <c r="D57" s="425" t="n"/>
      <c r="E57" s="462" t="n"/>
      <c r="G57" s="437" t="n"/>
      <c r="H57" s="425" t="n"/>
      <c r="I57" s="425" t="n"/>
      <c r="J57" s="425" t="n"/>
      <c r="K57" s="437" t="n"/>
      <c r="L57" s="438" t="n"/>
      <c r="M57" s="439" t="n"/>
      <c r="N57" s="439" t="n"/>
      <c r="O57" s="440" t="n"/>
      <c r="P57" s="439" t="n"/>
      <c r="Q57" s="441" t="n"/>
    </row>
    <row r="58" ht="9.949999999999999" customFormat="1" customHeight="1" s="356">
      <c r="A58" s="442" t="n"/>
      <c r="B58" s="443" t="n"/>
      <c r="C58" s="443" t="n"/>
      <c r="D58" s="443" t="n"/>
      <c r="E58" s="443" t="n"/>
      <c r="F58" s="444" t="n"/>
      <c r="G58" s="445" t="n"/>
      <c r="H58" s="443" t="n"/>
      <c r="I58" s="445" t="n"/>
      <c r="K58" s="443" t="n"/>
      <c r="L58" s="443" t="n"/>
      <c r="M58" s="443" t="n"/>
      <c r="N58" s="443" t="n"/>
      <c r="O58" s="443" t="n"/>
      <c r="P58" s="443" t="n"/>
      <c r="Q58" s="446" t="n"/>
    </row>
    <row r="59" ht="9.949999999999999" customFormat="1" customHeight="1" s="356">
      <c r="A59" s="447" t="n"/>
      <c r="B59" s="396" t="n"/>
      <c r="C59" s="448" t="n"/>
      <c r="D59" s="449" t="n"/>
      <c r="E59" s="449" t="n"/>
      <c r="F59" s="450" t="n"/>
      <c r="G59" s="451" t="n"/>
      <c r="H59" s="452" t="n"/>
      <c r="I59" s="450" t="n"/>
      <c r="J59" s="449" t="n"/>
      <c r="K59" s="451" t="n"/>
      <c r="L59" s="453" t="n"/>
      <c r="M59" s="454" t="n"/>
      <c r="N59" s="451" t="n"/>
      <c r="O59" s="454" t="n"/>
      <c r="P59" s="450" t="n"/>
      <c r="Q59" s="455" t="n"/>
    </row>
    <row r="60" ht="9.949999999999999" customFormat="1" customHeight="1" s="356">
      <c r="A60" s="447" t="n"/>
      <c r="B60" s="396" t="n"/>
      <c r="C60" s="448" t="n"/>
      <c r="D60" s="449" t="n"/>
      <c r="E60" s="449" t="n"/>
      <c r="F60" s="450" t="n"/>
      <c r="G60" s="451" t="n"/>
      <c r="H60" s="452" t="n"/>
      <c r="I60" s="450" t="n"/>
      <c r="J60" s="449" t="n"/>
      <c r="K60" s="451" t="n"/>
      <c r="L60" s="453" t="n"/>
      <c r="M60" s="454" t="n"/>
      <c r="N60" s="451" t="n"/>
      <c r="O60" s="454" t="n"/>
      <c r="P60" s="450" t="n"/>
      <c r="Q60" s="455" t="n"/>
    </row>
    <row r="61" ht="9.949999999999999" customFormat="1" customHeight="1" s="356">
      <c r="A61" s="447" t="n"/>
      <c r="B61" s="396" t="n"/>
      <c r="C61" s="448" t="n"/>
      <c r="D61" s="449" t="n"/>
      <c r="E61" s="449" t="n"/>
      <c r="F61" s="450" t="n"/>
      <c r="G61" s="451" t="n"/>
      <c r="H61" s="452" t="n"/>
      <c r="I61" s="450" t="n"/>
      <c r="J61" s="449" t="n"/>
      <c r="K61" s="451" t="n"/>
      <c r="L61" s="453" t="n"/>
      <c r="M61" s="454" t="n"/>
      <c r="N61" s="451" t="n"/>
      <c r="O61" s="454" t="n"/>
      <c r="P61" s="450" t="n"/>
      <c r="Q61" s="456" t="n"/>
    </row>
    <row r="62" ht="9.949999999999999" customFormat="1" customHeight="1" s="356">
      <c r="A62" s="447" t="n"/>
      <c r="B62" s="396" t="n"/>
      <c r="C62" s="448" t="n"/>
      <c r="D62" s="449" t="n"/>
      <c r="E62" s="449" t="n"/>
      <c r="F62" s="450" t="n"/>
      <c r="G62" s="451" t="n"/>
      <c r="H62" s="452" t="n"/>
      <c r="I62" s="450" t="n"/>
      <c r="J62" s="449" t="n"/>
      <c r="K62" s="451" t="n"/>
      <c r="L62" s="453" t="n"/>
      <c r="M62" s="454" t="n"/>
      <c r="N62" s="451" t="n"/>
      <c r="O62" s="454" t="n"/>
      <c r="P62" s="450" t="n"/>
      <c r="Q62" s="455" t="n"/>
    </row>
    <row r="63" ht="9.949999999999999" customFormat="1" customHeight="1" s="356">
      <c r="A63" s="447" t="n"/>
      <c r="B63" s="396" t="n"/>
      <c r="C63" s="448" t="n"/>
      <c r="D63" s="449" t="n"/>
      <c r="E63" s="449" t="n"/>
      <c r="F63" s="450" t="n"/>
      <c r="G63" s="451" t="n"/>
      <c r="H63" s="452" t="n"/>
      <c r="I63" s="450" t="n"/>
      <c r="J63" s="449" t="n"/>
      <c r="K63" s="451" t="n"/>
      <c r="L63" s="453" t="n"/>
      <c r="M63" s="454" t="n"/>
      <c r="N63" s="451" t="n"/>
      <c r="O63" s="454" t="n"/>
      <c r="P63" s="450" t="n"/>
      <c r="Q63" s="455" t="n"/>
    </row>
    <row r="64" ht="9.949999999999999" customFormat="1" customHeight="1" s="356">
      <c r="A64" s="447" t="n"/>
      <c r="B64" s="396" t="n"/>
      <c r="C64" s="448" t="n"/>
      <c r="D64" s="449" t="n"/>
      <c r="E64" s="449" t="n"/>
      <c r="F64" s="450" t="n"/>
      <c r="G64" s="451" t="n"/>
      <c r="H64" s="452" t="n"/>
      <c r="I64" s="450" t="n"/>
      <c r="J64" s="449" t="n"/>
      <c r="K64" s="451" t="n"/>
      <c r="L64" s="453" t="n"/>
      <c r="M64" s="454" t="n"/>
      <c r="N64" s="451" t="n"/>
      <c r="O64" s="454" t="n"/>
      <c r="P64" s="450" t="n"/>
      <c r="Q64" s="455" t="n"/>
    </row>
    <row r="65" ht="9.949999999999999" customFormat="1" customHeight="1" s="356">
      <c r="A65" s="447" t="n"/>
      <c r="B65" s="396" t="n"/>
      <c r="C65" s="448" t="n"/>
      <c r="D65" s="449" t="n"/>
      <c r="E65" s="449" t="n"/>
      <c r="F65" s="450" t="n"/>
      <c r="G65" s="451" t="n"/>
      <c r="H65" s="452" t="n"/>
      <c r="I65" s="450" t="n"/>
      <c r="J65" s="449" t="n"/>
      <c r="K65" s="451" t="n"/>
      <c r="L65" s="453" t="n"/>
      <c r="M65" s="454" t="n"/>
      <c r="N65" s="451" t="n"/>
      <c r="O65" s="454" t="n"/>
      <c r="P65" s="450" t="n"/>
      <c r="Q65" s="455" t="n"/>
    </row>
    <row r="66" ht="9.949999999999999" customFormat="1" customHeight="1" s="356">
      <c r="A66" s="447" t="n"/>
      <c r="B66" s="396" t="n"/>
      <c r="C66" s="448" t="n"/>
      <c r="D66" s="449" t="n"/>
      <c r="E66" s="449" t="n"/>
      <c r="F66" s="450" t="n"/>
      <c r="G66" s="451" t="n"/>
      <c r="H66" s="452" t="n"/>
      <c r="I66" s="450" t="n"/>
      <c r="J66" s="449" t="n"/>
      <c r="K66" s="451" t="n"/>
      <c r="L66" s="453" t="n"/>
      <c r="M66" s="454" t="n"/>
      <c r="N66" s="451" t="n"/>
      <c r="O66" s="454" t="n"/>
      <c r="P66" s="450" t="n"/>
      <c r="Q66" s="456" t="n"/>
    </row>
    <row r="67" ht="9.949999999999999" customFormat="1" customHeight="1" s="356">
      <c r="A67" s="447" t="n"/>
      <c r="B67" s="396" t="n"/>
      <c r="C67" s="448" t="n"/>
      <c r="D67" s="449" t="n"/>
      <c r="E67" s="449" t="n"/>
      <c r="F67" s="450" t="n"/>
      <c r="G67" s="451" t="n"/>
      <c r="H67" s="452" t="n"/>
      <c r="I67" s="450" t="n"/>
      <c r="J67" s="449" t="n"/>
      <c r="K67" s="451" t="n"/>
      <c r="L67" s="453" t="n"/>
      <c r="M67" s="454" t="n"/>
      <c r="N67" s="451" t="n"/>
      <c r="O67" s="454" t="n"/>
      <c r="P67" s="450" t="n"/>
      <c r="Q67" s="456" t="n"/>
    </row>
    <row r="68" ht="9.949999999999999" customFormat="1" customHeight="1" s="356">
      <c r="A68" s="457" t="n"/>
      <c r="B68" s="458" t="n"/>
      <c r="C68" s="458" t="n"/>
      <c r="D68" s="436" t="n"/>
      <c r="E68" s="436" t="n"/>
      <c r="F68" s="436" t="n"/>
      <c r="G68" s="459" t="n"/>
      <c r="H68" s="436" t="n"/>
      <c r="I68" s="436" t="n"/>
      <c r="J68" s="436" t="n"/>
      <c r="K68" s="459" t="n"/>
      <c r="L68" s="460" t="n"/>
      <c r="M68" s="433" t="n"/>
      <c r="N68" s="433" t="n"/>
      <c r="O68" s="433" t="n"/>
      <c r="P68" s="461" t="n"/>
      <c r="Q68" s="434" t="n"/>
    </row>
    <row r="69" ht="9.949999999999999" customFormat="1" customHeight="1" s="412">
      <c r="A69" s="413" t="n"/>
      <c r="B69" s="414" t="n"/>
      <c r="C69" s="414" t="n"/>
      <c r="D69" s="415" t="n"/>
      <c r="E69" s="416" t="n"/>
      <c r="F69" s="417" t="n"/>
      <c r="G69" s="418" t="n"/>
      <c r="H69" s="417" t="n"/>
      <c r="I69" s="419" t="n"/>
      <c r="J69" s="420" t="n"/>
      <c r="K69" s="419" t="n"/>
      <c r="L69" s="417" t="n"/>
      <c r="M69" s="418" t="n"/>
      <c r="N69" s="421" t="n"/>
      <c r="O69" s="422" t="n"/>
      <c r="P69" s="418" t="n"/>
      <c r="Q69" s="423" t="n"/>
    </row>
    <row r="70" ht="9.949999999999999" customFormat="1" customHeight="1" s="412">
      <c r="A70" s="424" t="n"/>
      <c r="C70" s="425" t="n"/>
      <c r="D70" s="425" t="n"/>
      <c r="E70" s="426" t="n"/>
      <c r="F70" s="427" t="n"/>
      <c r="G70" s="428" t="n"/>
      <c r="H70" s="429" t="n"/>
      <c r="I70" s="430" t="n"/>
      <c r="J70" s="431" t="n"/>
      <c r="K70" s="432" t="n"/>
      <c r="L70" s="432" t="n"/>
      <c r="M70" s="432" t="n"/>
      <c r="N70" s="432" t="n"/>
      <c r="O70" s="433" t="n"/>
      <c r="P70" s="432" t="n"/>
      <c r="Q70" s="434" t="n"/>
    </row>
    <row r="71" ht="9.949999999999999" customFormat="1" customHeight="1" s="351">
      <c r="A71" s="435" t="n"/>
      <c r="B71" s="412" t="n"/>
      <c r="C71" s="425" t="n"/>
      <c r="D71" s="425" t="n"/>
      <c r="E71" s="436" t="n"/>
      <c r="G71" s="437" t="n"/>
      <c r="H71" s="425" t="n"/>
      <c r="I71" s="425" t="n"/>
      <c r="J71" s="425" t="n"/>
      <c r="K71" s="437" t="n"/>
      <c r="L71" s="438" t="n"/>
      <c r="M71" s="439" t="n"/>
      <c r="N71" s="439" t="n"/>
      <c r="O71" s="440" t="n"/>
      <c r="P71" s="439" t="n"/>
      <c r="Q71" s="441" t="n"/>
    </row>
    <row r="72" ht="9.949999999999999" customFormat="1" customHeight="1" s="351">
      <c r="A72" s="435" t="n"/>
      <c r="B72" s="412" t="n"/>
      <c r="C72" s="425" t="n"/>
      <c r="D72" s="425" t="n"/>
      <c r="E72" s="462" t="n"/>
      <c r="F72" s="462" t="n"/>
      <c r="G72" s="437" t="n"/>
      <c r="H72" s="425" t="n"/>
      <c r="I72" s="425" t="n"/>
      <c r="J72" s="425" t="n"/>
      <c r="K72" s="437" t="n"/>
      <c r="L72" s="438" t="n"/>
      <c r="M72" s="439" t="n"/>
      <c r="N72" s="439" t="n"/>
      <c r="O72" s="440" t="n"/>
      <c r="P72" s="439" t="n"/>
      <c r="Q72" s="441" t="n"/>
    </row>
    <row r="73" ht="9.949999999999999" customFormat="1" customHeight="1" s="351">
      <c r="A73" s="435" t="n"/>
      <c r="B73" s="412" t="n"/>
      <c r="C73" s="425" t="n"/>
      <c r="D73" s="425" t="n"/>
      <c r="E73" s="462" t="n"/>
      <c r="F73" s="462" t="n"/>
      <c r="G73" s="437" t="n"/>
      <c r="H73" s="425" t="n"/>
      <c r="I73" s="425" t="n"/>
      <c r="J73" s="425" t="n"/>
      <c r="K73" s="437" t="n"/>
      <c r="L73" s="438" t="n"/>
      <c r="M73" s="439" t="n"/>
      <c r="N73" s="439" t="n"/>
      <c r="O73" s="440" t="n"/>
      <c r="P73" s="439" t="n"/>
      <c r="Q73" s="441" t="n"/>
    </row>
    <row r="74" ht="9.949999999999999" customFormat="1" customHeight="1" s="351">
      <c r="A74" s="435" t="n"/>
      <c r="B74" s="412" t="n"/>
      <c r="C74" s="425" t="n"/>
      <c r="D74" s="425" t="n"/>
      <c r="E74" s="462" t="n"/>
      <c r="F74" s="462" t="n"/>
      <c r="G74" s="437" t="n"/>
      <c r="H74" s="425" t="n"/>
      <c r="I74" s="425" t="n"/>
      <c r="J74" s="425" t="n"/>
      <c r="K74" s="437" t="n"/>
      <c r="L74" s="438" t="n"/>
      <c r="M74" s="439" t="n"/>
      <c r="N74" s="439" t="n"/>
      <c r="O74" s="440" t="n"/>
      <c r="P74" s="439" t="n"/>
      <c r="Q74" s="441" t="n"/>
    </row>
    <row r="75" ht="9.949999999999999" customFormat="1" customHeight="1" s="351">
      <c r="A75" s="435" t="n"/>
      <c r="B75" s="412" t="n"/>
      <c r="C75" s="425" t="n"/>
      <c r="D75" s="425" t="n"/>
      <c r="E75" s="462" t="n"/>
      <c r="F75" s="462" t="n"/>
      <c r="G75" s="437" t="n"/>
      <c r="H75" s="425" t="n"/>
      <c r="I75" s="425" t="n"/>
      <c r="J75" s="425" t="n"/>
      <c r="K75" s="437" t="n"/>
      <c r="L75" s="438" t="n"/>
      <c r="M75" s="439" t="n"/>
      <c r="N75" s="439" t="n"/>
      <c r="O75" s="440" t="n"/>
      <c r="P75" s="439" t="n"/>
      <c r="Q75" s="441" t="n"/>
    </row>
    <row r="76"/>
    <row r="77"/>
    <row r="78"/>
    <row r="79"/>
    <row r="80" ht="9.75" customFormat="1" customHeight="1" s="329">
      <c r="A80" s="330" t="n"/>
      <c r="B80" s="331" t="n"/>
      <c r="C80" s="331" t="n"/>
      <c r="D80" s="331" t="n"/>
      <c r="E80" s="331" t="n"/>
      <c r="F80" s="332" t="n"/>
      <c r="G80" s="333" t="n"/>
      <c r="H80" s="334" t="n"/>
      <c r="I80" s="333" t="n"/>
      <c r="J80" s="333" t="n"/>
      <c r="K80" s="331" t="n"/>
      <c r="L80" s="335" t="n"/>
      <c r="M80" s="331" t="n"/>
      <c r="N80" s="336" t="n"/>
      <c r="O80" s="337" t="n"/>
      <c r="P80" s="337" t="n"/>
      <c r="Q80" s="338" t="n"/>
    </row>
    <row r="81" ht="10.5" customFormat="1" customHeight="1" s="339">
      <c r="A81" s="340" t="n"/>
      <c r="F81" s="341" t="n"/>
      <c r="G81" s="342" t="n"/>
      <c r="H81" s="343" t="n"/>
      <c r="I81" s="343" t="n"/>
      <c r="J81" s="343" t="n"/>
      <c r="K81" s="344" t="n"/>
      <c r="L81" s="345" t="n"/>
      <c r="N81" s="346" t="n"/>
      <c r="O81" s="347" t="n"/>
      <c r="P81" s="347" t="n"/>
      <c r="Q81" s="347" t="n"/>
    </row>
    <row r="82" ht="8.25" customFormat="1" customHeight="1" s="339">
      <c r="A82" s="348" t="n"/>
      <c r="E82" s="349" t="n"/>
      <c r="I82" s="350" t="n"/>
      <c r="M82" s="350" t="n"/>
      <c r="Q82" s="350" t="n"/>
    </row>
    <row r="83" ht="31.5" customFormat="1" customHeight="1" s="351">
      <c r="A83" s="352" t="n"/>
      <c r="B83" s="352" t="n"/>
      <c r="C83" s="352" t="n"/>
      <c r="D83" s="352" t="n"/>
      <c r="E83" s="352" t="n"/>
      <c r="F83" s="353" t="n"/>
      <c r="G83" s="352" t="n"/>
      <c r="H83" s="353" t="n"/>
      <c r="I83" s="353" t="n"/>
      <c r="J83" s="353" t="n"/>
      <c r="K83" s="353" t="n"/>
      <c r="L83" s="353" t="n"/>
      <c r="M83" s="352" t="n"/>
      <c r="N83" s="352" t="n"/>
      <c r="O83" s="352" t="n"/>
      <c r="P83" s="352" t="n"/>
      <c r="Q83" s="353" t="n"/>
    </row>
    <row r="84" ht="9.75" customFormat="1" customHeight="1" s="351">
      <c r="A84" s="354" t="n"/>
      <c r="B84" s="354" t="n"/>
      <c r="C84" s="354" t="n"/>
      <c r="D84" s="354" t="n"/>
      <c r="E84" s="354" t="n"/>
      <c r="F84" s="354" t="n"/>
      <c r="G84" s="354" t="n"/>
      <c r="H84" s="354" t="n"/>
      <c r="I84" s="354" t="n"/>
      <c r="J84" s="354" t="n"/>
      <c r="K84" s="355" t="n"/>
      <c r="L84" s="354" t="n"/>
      <c r="M84" s="354" t="n"/>
      <c r="N84" s="354" t="n"/>
      <c r="O84" s="354" t="n"/>
      <c r="P84" s="354" t="n"/>
      <c r="Q84" s="354" t="n"/>
    </row>
    <row r="85" ht="15.75" customFormat="1" customHeight="1" s="356">
      <c r="A85" s="346" t="n"/>
      <c r="B85" s="346" t="n"/>
      <c r="C85" s="346" t="n"/>
      <c r="D85" s="346" t="n"/>
      <c r="E85" s="346" t="n"/>
      <c r="F85" s="346" t="n"/>
      <c r="G85" s="346" t="n"/>
      <c r="H85" s="346" t="n"/>
      <c r="I85" s="346" t="n"/>
      <c r="J85" s="357" t="n"/>
      <c r="K85" s="346" t="n"/>
      <c r="L85" s="358" t="n"/>
      <c r="M85" s="346" t="n"/>
      <c r="N85" s="346" t="n"/>
      <c r="O85" s="346" t="n"/>
      <c r="P85" s="346" t="n"/>
      <c r="Q85" s="358" t="n"/>
    </row>
    <row r="86" ht="11.25" customFormat="1" customHeight="1" s="356">
      <c r="A86" s="346" t="n"/>
      <c r="B86" s="346" t="n"/>
      <c r="C86" s="346" t="n"/>
      <c r="D86" s="346" t="n"/>
      <c r="E86" s="346" t="n"/>
      <c r="F86" s="346" t="n"/>
      <c r="G86" s="346" t="n"/>
      <c r="H86" s="346" t="n"/>
      <c r="I86" s="346" t="n"/>
      <c r="J86" s="346" t="n"/>
      <c r="K86" s="346" t="n"/>
      <c r="L86" s="346" t="n"/>
      <c r="M86" s="346" t="n"/>
      <c r="N86" s="346" t="n"/>
      <c r="O86" s="346" t="n"/>
      <c r="P86" s="346" t="n"/>
      <c r="Q86" s="346" t="n"/>
    </row>
    <row r="87" ht="9.75" customFormat="1" customHeight="1" s="356">
      <c r="A87" s="442" t="n"/>
      <c r="B87" s="443" t="n"/>
      <c r="C87" s="443" t="n"/>
      <c r="D87" s="443" t="n"/>
      <c r="E87" s="443" t="n"/>
      <c r="F87" s="444" t="n"/>
      <c r="G87" s="445" t="n"/>
      <c r="H87" s="443" t="n"/>
      <c r="I87" s="445" t="n"/>
      <c r="K87" s="443" t="n"/>
      <c r="L87" s="443" t="n"/>
      <c r="M87" s="443" t="n"/>
      <c r="N87" s="443" t="n"/>
      <c r="O87" s="443" t="n"/>
      <c r="P87" s="443" t="n"/>
      <c r="Q87" s="446" t="n"/>
    </row>
    <row r="88" ht="9.949999999999999" customFormat="1" customHeight="1" s="356">
      <c r="A88" s="447" t="n"/>
      <c r="B88" s="396" t="n"/>
      <c r="C88" s="448" t="n"/>
      <c r="D88" s="449" t="n"/>
      <c r="E88" s="449" t="n"/>
      <c r="F88" s="450" t="n"/>
      <c r="G88" s="451" t="n"/>
      <c r="H88" s="452" t="n"/>
      <c r="I88" s="450" t="n"/>
      <c r="J88" s="449" t="n"/>
      <c r="K88" s="451" t="n"/>
      <c r="L88" s="453" t="n"/>
      <c r="M88" s="454" t="n"/>
      <c r="N88" s="451" t="n"/>
      <c r="O88" s="454" t="n"/>
      <c r="P88" s="450" t="n"/>
      <c r="Q88" s="455" t="n"/>
    </row>
    <row r="89" ht="9.949999999999999" customFormat="1" customHeight="1" s="356">
      <c r="A89" s="447" t="n"/>
      <c r="B89" s="396" t="n"/>
      <c r="C89" s="448" t="n"/>
      <c r="D89" s="449" t="n"/>
      <c r="E89" s="449" t="n"/>
      <c r="F89" s="450" t="n"/>
      <c r="G89" s="451" t="n"/>
      <c r="H89" s="452" t="n"/>
      <c r="I89" s="450" t="n"/>
      <c r="J89" s="449" t="n"/>
      <c r="K89" s="451" t="n"/>
      <c r="L89" s="453" t="n"/>
      <c r="M89" s="454" t="n"/>
      <c r="N89" s="451" t="n"/>
      <c r="O89" s="454" t="n"/>
      <c r="P89" s="450" t="n"/>
      <c r="Q89" s="455" t="n"/>
    </row>
    <row r="90" ht="9.949999999999999" customFormat="1" customHeight="1" s="356">
      <c r="A90" s="447" t="n"/>
      <c r="B90" s="396" t="n"/>
      <c r="C90" s="448" t="n"/>
      <c r="D90" s="449" t="n"/>
      <c r="E90" s="449" t="n"/>
      <c r="F90" s="450" t="n"/>
      <c r="G90" s="451" t="n"/>
      <c r="H90" s="452" t="n"/>
      <c r="I90" s="450" t="n"/>
      <c r="J90" s="449" t="n"/>
      <c r="K90" s="451" t="n"/>
      <c r="L90" s="453" t="n"/>
      <c r="M90" s="454" t="n"/>
      <c r="N90" s="451" t="n"/>
      <c r="O90" s="454" t="n"/>
      <c r="P90" s="450" t="n"/>
      <c r="Q90" s="456" t="n"/>
    </row>
    <row r="91" ht="9.949999999999999" customFormat="1" customHeight="1" s="356">
      <c r="A91" s="447" t="n"/>
      <c r="B91" s="396" t="n"/>
      <c r="C91" s="448" t="n"/>
      <c r="D91" s="449" t="n"/>
      <c r="E91" s="449" t="n"/>
      <c r="F91" s="450" t="n"/>
      <c r="G91" s="451" t="n"/>
      <c r="H91" s="452" t="n"/>
      <c r="I91" s="450" t="n"/>
      <c r="J91" s="449" t="n"/>
      <c r="K91" s="451" t="n"/>
      <c r="L91" s="453" t="n"/>
      <c r="M91" s="454" t="n"/>
      <c r="N91" s="451" t="n"/>
      <c r="O91" s="454" t="n"/>
      <c r="P91" s="450" t="n"/>
      <c r="Q91" s="455" t="n"/>
    </row>
    <row r="92" ht="9.949999999999999" customFormat="1" customHeight="1" s="356">
      <c r="A92" s="447" t="n"/>
      <c r="B92" s="396" t="n"/>
      <c r="C92" s="448" t="n"/>
      <c r="D92" s="449" t="n"/>
      <c r="E92" s="449" t="n"/>
      <c r="F92" s="450" t="n"/>
      <c r="G92" s="451" t="n"/>
      <c r="H92" s="452" t="n"/>
      <c r="I92" s="450" t="n"/>
      <c r="J92" s="449" t="n"/>
      <c r="K92" s="451" t="n"/>
      <c r="L92" s="453" t="n"/>
      <c r="M92" s="454" t="n"/>
      <c r="N92" s="451" t="n"/>
      <c r="O92" s="454" t="n"/>
      <c r="P92" s="450" t="n"/>
      <c r="Q92" s="455" t="n"/>
    </row>
    <row r="93" ht="9.949999999999999" customFormat="1" customHeight="1" s="356">
      <c r="A93" s="447" t="n"/>
      <c r="B93" s="396" t="n"/>
      <c r="C93" s="448" t="n"/>
      <c r="D93" s="449" t="n"/>
      <c r="E93" s="449" t="n"/>
      <c r="F93" s="450" t="n"/>
      <c r="G93" s="451" t="n"/>
      <c r="H93" s="452" t="n"/>
      <c r="I93" s="450" t="n"/>
      <c r="J93" s="449" t="n"/>
      <c r="K93" s="451" t="n"/>
      <c r="L93" s="453" t="n"/>
      <c r="M93" s="454" t="n"/>
      <c r="N93" s="451" t="n"/>
      <c r="O93" s="454" t="n"/>
      <c r="P93" s="450" t="n"/>
      <c r="Q93" s="455" t="n"/>
    </row>
    <row r="94" ht="9.949999999999999" customFormat="1" customHeight="1" s="356">
      <c r="A94" s="447" t="n"/>
      <c r="B94" s="396" t="n"/>
      <c r="C94" s="448" t="n"/>
      <c r="D94" s="449" t="n"/>
      <c r="E94" s="449" t="n"/>
      <c r="F94" s="450" t="n"/>
      <c r="G94" s="451" t="n"/>
      <c r="H94" s="452" t="n"/>
      <c r="I94" s="450" t="n"/>
      <c r="J94" s="449" t="n"/>
      <c r="K94" s="451" t="n"/>
      <c r="L94" s="453" t="n"/>
      <c r="M94" s="454" t="n"/>
      <c r="N94" s="451" t="n"/>
      <c r="O94" s="454" t="n"/>
      <c r="P94" s="450" t="n"/>
      <c r="Q94" s="456" t="n"/>
    </row>
    <row r="95" ht="9.949999999999999" customFormat="1" customHeight="1" s="356">
      <c r="A95" s="447" t="n"/>
      <c r="B95" s="396" t="n"/>
      <c r="C95" s="448" t="n"/>
      <c r="D95" s="449" t="n"/>
      <c r="E95" s="449" t="n"/>
      <c r="F95" s="450" t="n"/>
      <c r="G95" s="451" t="n"/>
      <c r="H95" s="452" t="n"/>
      <c r="I95" s="450" t="n"/>
      <c r="J95" s="449" t="n"/>
      <c r="K95" s="451" t="n"/>
      <c r="L95" s="453" t="n"/>
      <c r="M95" s="454" t="n"/>
      <c r="N95" s="451" t="n"/>
      <c r="O95" s="454" t="n"/>
      <c r="P95" s="450" t="n"/>
      <c r="Q95" s="456" t="n"/>
    </row>
    <row r="96" ht="9.949999999999999" customFormat="1" customHeight="1" s="356">
      <c r="A96" s="457" t="n"/>
      <c r="B96" s="458" t="n"/>
      <c r="C96" s="458" t="n"/>
      <c r="D96" s="436" t="n"/>
      <c r="E96" s="436" t="n"/>
      <c r="F96" s="436" t="n"/>
      <c r="G96" s="459" t="n"/>
      <c r="H96" s="436" t="n"/>
      <c r="I96" s="436" t="n"/>
      <c r="J96" s="436" t="n"/>
      <c r="K96" s="459" t="n"/>
      <c r="L96" s="460" t="n"/>
      <c r="M96" s="433" t="n"/>
      <c r="N96" s="433" t="n"/>
      <c r="O96" s="433" t="n"/>
      <c r="P96" s="461" t="n"/>
      <c r="Q96" s="434" t="n"/>
    </row>
    <row r="97" ht="9.949999999999999" customFormat="1" customHeight="1" s="412">
      <c r="A97" s="413" t="n"/>
      <c r="B97" s="414" t="n"/>
      <c r="C97" s="414" t="n"/>
      <c r="D97" s="415" t="n"/>
      <c r="E97" s="416" t="n"/>
      <c r="F97" s="417" t="n"/>
      <c r="G97" s="418" t="n"/>
      <c r="H97" s="417" t="n"/>
      <c r="I97" s="419" t="n"/>
      <c r="J97" s="420" t="n"/>
      <c r="K97" s="419" t="n"/>
      <c r="L97" s="417" t="n"/>
      <c r="M97" s="418" t="n"/>
      <c r="N97" s="421" t="n"/>
      <c r="O97" s="422" t="n"/>
      <c r="P97" s="418" t="n"/>
      <c r="Q97" s="423" t="n"/>
    </row>
    <row r="98" ht="9.949999999999999" customFormat="1" customHeight="1" s="412">
      <c r="A98" s="424" t="n"/>
      <c r="C98" s="425" t="n"/>
      <c r="D98" s="425" t="n"/>
      <c r="E98" s="426" t="n"/>
      <c r="F98" s="427" t="n"/>
      <c r="G98" s="428" t="n"/>
      <c r="H98" s="429" t="n"/>
      <c r="I98" s="430" t="n"/>
      <c r="J98" s="431" t="n"/>
      <c r="K98" s="432" t="n"/>
      <c r="L98" s="432" t="n"/>
      <c r="M98" s="432" t="n"/>
      <c r="N98" s="432" t="n"/>
      <c r="O98" s="433" t="n"/>
      <c r="P98" s="432" t="n"/>
      <c r="Q98" s="434" t="n"/>
    </row>
    <row r="99" ht="9.949999999999999" customFormat="1" customHeight="1" s="351">
      <c r="A99" s="435" t="n"/>
      <c r="B99" s="412" t="n"/>
      <c r="C99" s="425" t="n"/>
      <c r="D99" s="425" t="n"/>
      <c r="E99" s="436" t="n"/>
      <c r="G99" s="437" t="n"/>
      <c r="H99" s="425" t="n"/>
      <c r="I99" s="425" t="n"/>
      <c r="J99" s="425" t="n"/>
      <c r="K99" s="437" t="n"/>
      <c r="L99" s="438" t="n"/>
      <c r="M99" s="439" t="n"/>
      <c r="N99" s="439" t="n"/>
      <c r="O99" s="440" t="n"/>
      <c r="P99" s="439" t="n"/>
      <c r="Q99" s="441" t="n"/>
    </row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8">
    <mergeCell ref="M3:P3"/>
    <mergeCell ref="E3:H3"/>
    <mergeCell ref="I3:L3"/>
    <mergeCell ref="A3:D3"/>
    <mergeCell ref="E41:F41"/>
    <mergeCell ref="I25:J25"/>
    <mergeCell ref="E24:F24"/>
    <mergeCell ref="I8:J8"/>
  </mergeCells>
  <printOptions horizontalCentered="0" verticalCentered="0" headings="0" gridLines="0" gridLinesSet="1"/>
  <pageMargins left="0.196527777777778" right="0.157638888888889" top="0.315277777777778" bottom="0.315277777777778" header="0.511811023622047" footer="0.511811023622047"/>
  <pageSetup orientation="portrait" paperSize="9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Q200"/>
  <sheetViews>
    <sheetView showFormulas="0" showGridLines="1" showRowColHeaders="1" showZeros="1" rightToLeft="0" tabSelected="0" showOutlineSymbols="1" defaultGridColor="1" view="normal" topLeftCell="A7" colorId="64" zoomScale="145" zoomScaleNormal="145" zoomScalePageLayoutView="100" workbookViewId="0">
      <selection pane="topLeft" activeCell="H18" activeCellId="0" sqref="H18"/>
    </sheetView>
  </sheetViews>
  <sheetFormatPr baseColWidth="8" defaultColWidth="6.84765625" defaultRowHeight="11.25" zeroHeight="0" outlineLevelRow="0"/>
  <cols>
    <col width="7.28" customWidth="1" style="328" min="1" max="1"/>
    <col width="3.85" customWidth="1" style="328" min="2" max="3"/>
    <col width="5.56" customWidth="1" style="328" min="4" max="4"/>
    <col width="6.13" customWidth="1" style="328" min="5" max="5"/>
    <col width="5.56" customWidth="1" style="328" min="6" max="7"/>
    <col width="6.56" customWidth="1" style="328" min="8" max="9"/>
    <col width="6.41" customWidth="1" style="328" min="10" max="10"/>
    <col width="6.13" customWidth="1" style="328" min="11" max="11"/>
    <col width="7.28" customWidth="1" style="328" min="12" max="12"/>
    <col width="5.56" customWidth="1" style="328" min="13" max="16"/>
    <col width="8.279999999999999" customWidth="1" style="328" min="17" max="17"/>
    <col width="6.85" customWidth="1" style="328" min="18" max="257"/>
  </cols>
  <sheetData>
    <row r="1" ht="9.75" customFormat="1" customHeight="1" s="329">
      <c r="A1" s="330" t="n"/>
      <c r="B1" s="331" t="n"/>
      <c r="C1" s="331" t="n"/>
      <c r="D1" s="331" t="n"/>
      <c r="E1" s="331" t="n"/>
      <c r="F1" s="332" t="n"/>
      <c r="G1" s="333" t="n"/>
      <c r="H1" s="334" t="inlineStr">
        <is>
          <t>ISI  KAYBI  HESABI</t>
        </is>
      </c>
      <c r="I1" s="333" t="n"/>
      <c r="J1" s="333" t="n"/>
      <c r="K1" s="331" t="n"/>
      <c r="L1" s="335" t="n"/>
      <c r="M1" s="331" t="n"/>
      <c r="N1" s="336" t="inlineStr">
        <is>
          <t>Kat :</t>
        </is>
      </c>
      <c r="O1" s="337" t="inlineStr">
        <is>
          <t>1. NORMAL</t>
        </is>
      </c>
      <c r="P1" s="337" t="inlineStr">
        <is>
          <t>Tarih</t>
        </is>
      </c>
      <c r="Q1" s="338">
        <f>kapak!G41</f>
        <v/>
      </c>
    </row>
    <row r="2" ht="10.5" customFormat="1" customHeight="1" s="339">
      <c r="A2" s="340" t="n"/>
      <c r="F2" s="341" t="inlineStr">
        <is>
          <t xml:space="preserve">   PROJE ADI :</t>
        </is>
      </c>
      <c r="G2" s="342" t="n"/>
      <c r="H2" s="343">
        <f>kapak!C31</f>
        <v/>
      </c>
      <c r="I2" s="343" t="n"/>
      <c r="J2" s="343" t="n"/>
      <c r="K2" s="344" t="n"/>
      <c r="L2" s="345" t="n"/>
      <c r="N2" s="346" t="inlineStr">
        <is>
          <t xml:space="preserve">  Sayfa :</t>
        </is>
      </c>
      <c r="O2" s="347" t="n">
        <v>4</v>
      </c>
      <c r="P2" s="347" t="n"/>
      <c r="Q2" s="347" t="n"/>
    </row>
    <row r="3" ht="8.25" customFormat="1" customHeight="1" s="339">
      <c r="A3" s="348" t="inlineStr">
        <is>
          <t xml:space="preserve"> Yapı Bileşeni</t>
        </is>
      </c>
      <c r="B3" s="264" t="n"/>
      <c r="C3" s="264" t="n"/>
      <c r="D3" s="264" t="n"/>
      <c r="E3" s="349" t="inlineStr">
        <is>
          <t xml:space="preserve"> Alan Hesabı</t>
        </is>
      </c>
      <c r="F3" s="264" t="n"/>
      <c r="G3" s="264" t="n"/>
      <c r="H3" s="260" t="n"/>
      <c r="I3" s="350" t="inlineStr">
        <is>
          <t xml:space="preserve">                 Isı kaybı hesabı</t>
        </is>
      </c>
      <c r="J3" s="264" t="n"/>
      <c r="K3" s="264" t="n"/>
      <c r="L3" s="260" t="n"/>
      <c r="M3" s="350" t="inlineStr">
        <is>
          <t xml:space="preserve">            Zamlar</t>
        </is>
      </c>
      <c r="N3" s="264" t="n"/>
      <c r="O3" s="264" t="n"/>
      <c r="P3" s="260" t="n"/>
      <c r="Q3" s="350" t="inlineStr">
        <is>
          <t xml:space="preserve">Toplam </t>
        </is>
      </c>
    </row>
    <row r="4" ht="31.5" customFormat="1" customHeight="1" s="351">
      <c r="A4" s="352" t="inlineStr">
        <is>
          <t>İşaret</t>
        </is>
      </c>
      <c r="B4" s="352" t="inlineStr">
        <is>
          <t>Yön</t>
        </is>
      </c>
      <c r="C4" s="352" t="inlineStr">
        <is>
          <t>Kalınlık</t>
        </is>
      </c>
      <c r="D4" s="352" t="inlineStr">
        <is>
          <t>Uzunluk</t>
        </is>
      </c>
      <c r="E4" s="352" t="inlineStr">
        <is>
          <t>Yükseklik</t>
        </is>
      </c>
      <c r="F4" s="353" t="inlineStr">
        <is>
          <t xml:space="preserve">  Toplam Alan</t>
        </is>
      </c>
      <c r="G4" s="352" t="inlineStr">
        <is>
          <t>Miktar</t>
        </is>
      </c>
      <c r="H4" s="353" t="inlineStr">
        <is>
          <t>Çıkarıla alan</t>
        </is>
      </c>
      <c r="I4" s="353" t="inlineStr">
        <is>
          <t>Hesaba giren Alan</t>
        </is>
      </c>
      <c r="J4" s="353" t="inlineStr">
        <is>
          <t xml:space="preserve">    Isı İletim Katsayısı</t>
        </is>
      </c>
      <c r="K4" s="353" t="inlineStr">
        <is>
          <t xml:space="preserve">Sıcaklık Farkı </t>
        </is>
      </c>
      <c r="L4" s="353" t="inlineStr">
        <is>
          <t>Zamsız Isı Kaybı</t>
        </is>
      </c>
      <c r="M4" s="352" t="inlineStr">
        <is>
          <t>İşletme</t>
        </is>
      </c>
      <c r="N4" s="352" t="inlineStr">
        <is>
          <t>Kat Yük.</t>
        </is>
      </c>
      <c r="O4" s="352" t="inlineStr">
        <is>
          <t>Yön</t>
        </is>
      </c>
      <c r="P4" s="352" t="inlineStr">
        <is>
          <t>Toplam</t>
        </is>
      </c>
      <c r="Q4" s="353" t="inlineStr">
        <is>
          <t>Toplam Is
ı İhtiyacı</t>
        </is>
      </c>
    </row>
    <row r="5" ht="9.75" customFormat="1" customHeight="1" s="351">
      <c r="A5" s="354" t="n"/>
      <c r="B5" s="354" t="n"/>
      <c r="C5" s="354" t="n"/>
      <c r="D5" s="354" t="n"/>
      <c r="E5" s="354" t="n"/>
      <c r="F5" s="354" t="inlineStr">
        <is>
          <t>[Ao]</t>
        </is>
      </c>
      <c r="G5" s="354" t="n"/>
      <c r="H5" s="354" t="n"/>
      <c r="I5" s="354" t="inlineStr">
        <is>
          <t>[A]</t>
        </is>
      </c>
      <c r="J5" s="354" t="inlineStr">
        <is>
          <t>[k]</t>
        </is>
      </c>
      <c r="K5" s="355" t="inlineStr">
        <is>
          <t>D T</t>
        </is>
      </c>
      <c r="L5" s="354" t="inlineStr">
        <is>
          <t>Qo</t>
        </is>
      </c>
      <c r="M5" s="354" t="inlineStr">
        <is>
          <t>ZD</t>
        </is>
      </c>
      <c r="N5" s="354" t="inlineStr">
        <is>
          <t>ZW</t>
        </is>
      </c>
      <c r="O5" s="354" t="inlineStr">
        <is>
          <t>ZH</t>
        </is>
      </c>
      <c r="P5" s="354" t="inlineStr">
        <is>
          <t>Z</t>
        </is>
      </c>
      <c r="Q5" s="354" t="inlineStr">
        <is>
          <t>Qh=Qi+Qs</t>
        </is>
      </c>
    </row>
    <row r="6" ht="15.75" customFormat="1" customHeight="1" s="356">
      <c r="A6" s="346" t="n"/>
      <c r="B6" s="346" t="n"/>
      <c r="C6" s="346" t="inlineStr">
        <is>
          <t>cm</t>
        </is>
      </c>
      <c r="D6" s="346" t="inlineStr">
        <is>
          <t>m</t>
        </is>
      </c>
      <c r="E6" s="346" t="inlineStr">
        <is>
          <t>m</t>
        </is>
      </c>
      <c r="F6" s="346" t="inlineStr">
        <is>
          <t>m²</t>
        </is>
      </c>
      <c r="G6" s="346" t="inlineStr">
        <is>
          <t>ad</t>
        </is>
      </c>
      <c r="H6" s="346" t="inlineStr">
        <is>
          <t>m²</t>
        </is>
      </c>
      <c r="I6" s="346" t="inlineStr">
        <is>
          <t>m²</t>
        </is>
      </c>
      <c r="J6" s="357" t="inlineStr">
        <is>
          <t>watt  m²hºC</t>
        </is>
      </c>
      <c r="K6" s="346" t="inlineStr">
        <is>
          <t>ºC</t>
        </is>
      </c>
      <c r="L6" s="358" t="inlineStr">
        <is>
          <t>watt</t>
        </is>
      </c>
      <c r="M6" s="346" t="inlineStr">
        <is>
          <t>%</t>
        </is>
      </c>
      <c r="N6" s="346" t="inlineStr">
        <is>
          <t>%</t>
        </is>
      </c>
      <c r="O6" s="346" t="inlineStr">
        <is>
          <t>%</t>
        </is>
      </c>
      <c r="P6" s="346" t="inlineStr">
        <is>
          <t>1+%</t>
        </is>
      </c>
      <c r="Q6" s="358" t="inlineStr">
        <is>
          <t>watt</t>
        </is>
      </c>
    </row>
    <row r="7" ht="9.75" customFormat="1" customHeight="1" s="356">
      <c r="A7" s="346" t="n">
        <v>1</v>
      </c>
      <c r="B7" s="346" t="n">
        <v>2</v>
      </c>
      <c r="C7" s="346" t="n">
        <v>3</v>
      </c>
      <c r="D7" s="346" t="n">
        <v>4</v>
      </c>
      <c r="E7" s="346" t="n">
        <v>5</v>
      </c>
      <c r="F7" s="346" t="n">
        <v>6</v>
      </c>
      <c r="G7" s="346" t="n">
        <v>7</v>
      </c>
      <c r="H7" s="346" t="n">
        <v>8</v>
      </c>
      <c r="I7" s="346" t="n">
        <v>9</v>
      </c>
      <c r="J7" s="346" t="n">
        <v>10</v>
      </c>
      <c r="K7" s="346" t="n">
        <v>11</v>
      </c>
      <c r="L7" s="346" t="n">
        <v>12</v>
      </c>
      <c r="M7" s="346" t="n">
        <v>13</v>
      </c>
      <c r="N7" s="346" t="n">
        <v>14</v>
      </c>
      <c r="O7" s="346" t="n">
        <v>15</v>
      </c>
      <c r="P7" s="346" t="n">
        <v>16</v>
      </c>
      <c r="Q7" s="346" t="n">
        <v>17</v>
      </c>
    </row>
    <row r="8" ht="10.35" customFormat="1" customHeight="1" s="356">
      <c r="A8" s="359" t="n"/>
      <c r="B8" s="360" t="n"/>
      <c r="C8" s="360" t="n"/>
      <c r="D8" s="360" t="n"/>
      <c r="E8" s="360" t="n"/>
      <c r="F8" s="361" t="inlineStr">
        <is>
          <t>1</t>
        </is>
      </c>
      <c r="G8" s="362" t="inlineStr">
        <is>
          <t>0</t>
        </is>
      </c>
      <c r="H8" s="360" t="inlineStr">
        <is>
          <t>101</t>
        </is>
      </c>
      <c r="I8" s="363" t="inlineStr">
        <is>
          <t>DAİRE 1 SALON</t>
        </is>
      </c>
      <c r="J8" s="364" t="n"/>
      <c r="K8" s="360" t="inlineStr">
        <is>
          <t>22ºC</t>
        </is>
      </c>
      <c r="L8" s="360" t="n"/>
      <c r="M8" s="360" t="n"/>
      <c r="N8" s="360" t="n"/>
      <c r="O8" s="360" t="n"/>
      <c r="P8" s="360" t="n"/>
      <c r="Q8" s="365" t="n"/>
    </row>
    <row r="9" ht="9.949999999999999" customFormat="1" customHeight="1" s="356">
      <c r="A9" s="366" t="inlineStr">
        <is>
          <t>DD</t>
        </is>
      </c>
      <c r="B9" s="367" t="inlineStr">
        <is>
          <t>K</t>
        </is>
      </c>
      <c r="C9" s="368" t="n"/>
      <c r="D9" s="369" t="n">
        <v>4.7</v>
      </c>
      <c r="E9" s="369" t="n">
        <v>2.5</v>
      </c>
      <c r="F9" s="370">
        <f>IF(D9=0," ",D9*E9)</f>
        <v/>
      </c>
      <c r="G9" s="371" t="n">
        <v>1</v>
      </c>
      <c r="H9" s="372">
        <f>F11*G11</f>
        <v/>
      </c>
      <c r="I9" s="370">
        <f>IF(F9=" "," ",F9*G9-H9)</f>
        <v/>
      </c>
      <c r="J9" s="369" t="n">
        <v>0.344</v>
      </c>
      <c r="K9" s="371" t="n">
        <v>28</v>
      </c>
      <c r="L9" s="373">
        <f>IF(I9=" "," ",I9*J9*K9)</f>
        <v/>
      </c>
      <c r="M9" s="374" t="n">
        <v>7</v>
      </c>
      <c r="N9" s="371" t="n">
        <v>0</v>
      </c>
      <c r="O9" s="374" t="n">
        <v>5</v>
      </c>
      <c r="P9" s="370">
        <f>IF(M9=" "," ",(1+(M9+N9+O9)/100))</f>
        <v/>
      </c>
      <c r="Q9" s="375">
        <f>IF(L9=" "," ",L9*P9)</f>
        <v/>
      </c>
    </row>
    <row r="10" ht="9.949999999999999" customFormat="1" customHeight="1" s="356">
      <c r="A10" s="366" t="inlineStr">
        <is>
          <t>DD25</t>
        </is>
      </c>
      <c r="B10" s="367" t="inlineStr">
        <is>
          <t>K</t>
        </is>
      </c>
      <c r="C10" s="368" t="n"/>
      <c r="D10" s="369">
        <f>D9</f>
        <v/>
      </c>
      <c r="E10" s="369" t="n">
        <v>0.5</v>
      </c>
      <c r="F10" s="370">
        <f>IF(D10=0," ",D10*E10)</f>
        <v/>
      </c>
      <c r="G10" s="371" t="n">
        <v>1</v>
      </c>
      <c r="H10" s="372" t="n"/>
      <c r="I10" s="370">
        <f>IF(F10=" "," ",F10*G10-H10)</f>
        <v/>
      </c>
      <c r="J10" s="369" t="n">
        <v>0.387</v>
      </c>
      <c r="K10" s="371" t="n">
        <v>28</v>
      </c>
      <c r="L10" s="373">
        <f>IF(I10=" "," ",I10*J10*K10)</f>
        <v/>
      </c>
      <c r="M10" s="374" t="n">
        <v>7</v>
      </c>
      <c r="N10" s="371" t="n">
        <v>0</v>
      </c>
      <c r="O10" s="374" t="n">
        <v>5</v>
      </c>
      <c r="P10" s="370">
        <f>IF(M10=" "," ",(1+(M10+N10+O10)/100))</f>
        <v/>
      </c>
      <c r="Q10" s="375">
        <f>IF(L10=" "," ",L10*P10)</f>
        <v/>
      </c>
    </row>
    <row r="11" ht="9.949999999999999" customFormat="1" customHeight="1" s="356">
      <c r="A11" s="366" t="inlineStr">
        <is>
          <t>ÇP</t>
        </is>
      </c>
      <c r="B11" s="367" t="inlineStr">
        <is>
          <t>K</t>
        </is>
      </c>
      <c r="C11" s="368" t="n"/>
      <c r="D11" s="369" t="n">
        <v>1.5</v>
      </c>
      <c r="E11" s="369" t="n">
        <v>1.6</v>
      </c>
      <c r="F11" s="370">
        <f>IF(D11=0," ",D11*E11)</f>
        <v/>
      </c>
      <c r="G11" s="371" t="n">
        <v>1</v>
      </c>
      <c r="H11" s="372" t="n"/>
      <c r="I11" s="370">
        <f>IF(F11=" "," ",F11*G11-H11)</f>
        <v/>
      </c>
      <c r="J11" s="369" t="n">
        <v>1.8</v>
      </c>
      <c r="K11" s="371" t="n">
        <v>28</v>
      </c>
      <c r="L11" s="373">
        <f>IF(I11=" "," ",I11*J11*K11)</f>
        <v/>
      </c>
      <c r="M11" s="374" t="n">
        <v>7</v>
      </c>
      <c r="N11" s="371" t="n">
        <v>0</v>
      </c>
      <c r="O11" s="374" t="n">
        <v>5</v>
      </c>
      <c r="P11" s="370">
        <f>IF(M11=" "," ",(1+(M11+N11+O11)/100))</f>
        <v/>
      </c>
      <c r="Q11" s="375">
        <f>IF(L11=" "," ",L11*P11)</f>
        <v/>
      </c>
    </row>
    <row r="12" ht="9.949999999999999" customFormat="1" customHeight="1" s="356">
      <c r="A12" s="366" t="inlineStr">
        <is>
          <t>DD</t>
        </is>
      </c>
      <c r="B12" s="367" t="inlineStr">
        <is>
          <t>K</t>
        </is>
      </c>
      <c r="C12" s="368" t="n"/>
      <c r="D12" s="369" t="n">
        <v>2.29</v>
      </c>
      <c r="E12" s="369" t="n">
        <v>2.5</v>
      </c>
      <c r="F12" s="370">
        <f>IF(D12=0," ",D12*E12)</f>
        <v/>
      </c>
      <c r="G12" s="371" t="n">
        <v>1</v>
      </c>
      <c r="H12" s="372">
        <f>F14*G14</f>
        <v/>
      </c>
      <c r="I12" s="370">
        <f>IF(F12=" "," ",F12*G12-H12)</f>
        <v/>
      </c>
      <c r="J12" s="369" t="n">
        <v>0.344</v>
      </c>
      <c r="K12" s="371" t="n">
        <v>28</v>
      </c>
      <c r="L12" s="373">
        <f>IF(I12=" "," ",I12*J12*K12)</f>
        <v/>
      </c>
      <c r="M12" s="374" t="n">
        <v>7</v>
      </c>
      <c r="N12" s="371" t="n">
        <v>0</v>
      </c>
      <c r="O12" s="374" t="n">
        <v>5</v>
      </c>
      <c r="P12" s="370">
        <f>IF(M12=" "," ",(1+(M12+N12+O12)/100))</f>
        <v/>
      </c>
      <c r="Q12" s="375">
        <f>IF(L12=" "," ",L12*P12)</f>
        <v/>
      </c>
    </row>
    <row r="13" ht="9.949999999999999" customFormat="1" customHeight="1" s="356">
      <c r="A13" s="366" t="inlineStr">
        <is>
          <t>DD25</t>
        </is>
      </c>
      <c r="B13" s="367" t="inlineStr">
        <is>
          <t>K</t>
        </is>
      </c>
      <c r="C13" s="368" t="n"/>
      <c r="D13" s="369">
        <f>D12</f>
        <v/>
      </c>
      <c r="E13" s="369" t="n">
        <v>0.5</v>
      </c>
      <c r="F13" s="370">
        <f>IF(D13=0," ",D13*E13)</f>
        <v/>
      </c>
      <c r="G13" s="371" t="n">
        <v>1</v>
      </c>
      <c r="H13" s="372" t="n"/>
      <c r="I13" s="370">
        <f>IF(F13=" "," ",F13*G13-H13)</f>
        <v/>
      </c>
      <c r="J13" s="369" t="n">
        <v>0.387</v>
      </c>
      <c r="K13" s="371" t="n">
        <v>28</v>
      </c>
      <c r="L13" s="373">
        <f>IF(I13=" "," ",I13*J13*K13)</f>
        <v/>
      </c>
      <c r="M13" s="374" t="n">
        <v>7</v>
      </c>
      <c r="N13" s="371" t="n">
        <v>0</v>
      </c>
      <c r="O13" s="374" t="n">
        <v>5</v>
      </c>
      <c r="P13" s="370">
        <f>IF(M13=" "," ",(1+(M13+N13+O13)/100))</f>
        <v/>
      </c>
      <c r="Q13" s="375">
        <f>IF(L13=" "," ",L13*P13)</f>
        <v/>
      </c>
    </row>
    <row r="14" ht="9.949999999999999" customFormat="1" customHeight="1" s="356">
      <c r="A14" s="366" t="inlineStr">
        <is>
          <t>BK</t>
        </is>
      </c>
      <c r="B14" s="367" t="inlineStr">
        <is>
          <t>K</t>
        </is>
      </c>
      <c r="C14" s="368" t="n"/>
      <c r="D14" s="369" t="n">
        <v>1.5</v>
      </c>
      <c r="E14" s="369" t="n">
        <v>2.5</v>
      </c>
      <c r="F14" s="370">
        <f>IF(D14=0," ",D14*E14)</f>
        <v/>
      </c>
      <c r="G14" s="371" t="n">
        <v>1</v>
      </c>
      <c r="H14" s="372" t="n"/>
      <c r="I14" s="370">
        <f>IF(F14=" "," ",F14*G14-H14)</f>
        <v/>
      </c>
      <c r="J14" s="369" t="n">
        <v>1.8</v>
      </c>
      <c r="K14" s="371" t="n">
        <v>28</v>
      </c>
      <c r="L14" s="373">
        <f>IF(I14=" "," ",I14*J14*K14)</f>
        <v/>
      </c>
      <c r="M14" s="374" t="n">
        <v>7</v>
      </c>
      <c r="N14" s="371" t="n">
        <v>0</v>
      </c>
      <c r="O14" s="374" t="n">
        <v>5</v>
      </c>
      <c r="P14" s="370">
        <f>IF(M14=" "," ",(1+(M14+N14+O14)/100))</f>
        <v/>
      </c>
      <c r="Q14" s="375">
        <f>IF(L14=" "," ",L14*P14)</f>
        <v/>
      </c>
    </row>
    <row r="15" ht="9.949999999999999" customFormat="1" customHeight="1" s="356">
      <c r="A15" s="366" t="inlineStr">
        <is>
          <t>DD</t>
        </is>
      </c>
      <c r="B15" s="367" t="inlineStr">
        <is>
          <t>B</t>
        </is>
      </c>
      <c r="C15" s="368" t="n"/>
      <c r="D15" s="369" t="n">
        <v>3</v>
      </c>
      <c r="E15" s="369" t="n">
        <v>2.5</v>
      </c>
      <c r="F15" s="370">
        <f>IF(D15=0," ",D15*E15)</f>
        <v/>
      </c>
      <c r="G15" s="371" t="n">
        <v>1</v>
      </c>
      <c r="H15" s="372" t="n"/>
      <c r="I15" s="370">
        <f>IF(F15=" "," ",F15*G15-H15)</f>
        <v/>
      </c>
      <c r="J15" s="369" t="n">
        <v>0.344</v>
      </c>
      <c r="K15" s="371" t="n">
        <v>28</v>
      </c>
      <c r="L15" s="373">
        <f>IF(I15=" "," ",I15*J15*K15)</f>
        <v/>
      </c>
      <c r="M15" s="374" t="n">
        <v>7</v>
      </c>
      <c r="N15" s="371" t="n">
        <v>0</v>
      </c>
      <c r="O15" s="374" t="n">
        <v>0</v>
      </c>
      <c r="P15" s="370">
        <f>IF(M15=" "," ",(1+(M15+N15+O15)/100))</f>
        <v/>
      </c>
      <c r="Q15" s="375">
        <f>IF(L15=" "," ",L15*P15)</f>
        <v/>
      </c>
    </row>
    <row r="16" ht="9.949999999999999" customFormat="1" customHeight="1" s="356">
      <c r="A16" s="366" t="inlineStr">
        <is>
          <t>DD25</t>
        </is>
      </c>
      <c r="B16" s="367" t="inlineStr">
        <is>
          <t>B</t>
        </is>
      </c>
      <c r="C16" s="368" t="n"/>
      <c r="D16" s="369">
        <f>D15</f>
        <v/>
      </c>
      <c r="E16" s="369" t="n">
        <v>0.5</v>
      </c>
      <c r="F16" s="370">
        <f>IF(D16=0," ",D16*E16)</f>
        <v/>
      </c>
      <c r="G16" s="371" t="n">
        <v>1</v>
      </c>
      <c r="H16" s="372" t="n"/>
      <c r="I16" s="370">
        <f>IF(F16=" "," ",F16*G16-H16)</f>
        <v/>
      </c>
      <c r="J16" s="369" t="n">
        <v>0.387</v>
      </c>
      <c r="K16" s="371" t="n">
        <v>28</v>
      </c>
      <c r="L16" s="373">
        <f>IF(I16=" "," ",I16*J16*K16)</f>
        <v/>
      </c>
      <c r="M16" s="374" t="n">
        <v>7</v>
      </c>
      <c r="N16" s="371" t="n">
        <v>0</v>
      </c>
      <c r="O16" s="374" t="n">
        <v>0</v>
      </c>
      <c r="P16" s="370">
        <f>IF(M16=" "," ",(1+(M16+N16+O16)/100))</f>
        <v/>
      </c>
      <c r="Q16" s="375">
        <f>IF(L16=" "," ",L16*P16)</f>
        <v/>
      </c>
    </row>
    <row r="17" ht="9.949999999999999" customFormat="1" customHeight="1" s="356">
      <c r="A17" s="376" t="n"/>
      <c r="B17" s="377" t="n"/>
      <c r="C17" s="377" t="n"/>
      <c r="D17" s="378" t="n"/>
      <c r="E17" s="378" t="n"/>
      <c r="F17" s="378" t="n"/>
      <c r="G17" s="379" t="n"/>
      <c r="H17" s="378" t="n"/>
      <c r="I17" s="378" t="n"/>
      <c r="J17" s="378" t="n"/>
      <c r="K17" s="379" t="n"/>
      <c r="L17" s="380" t="n"/>
      <c r="M17" s="381" t="n"/>
      <c r="N17" s="381" t="n"/>
      <c r="O17" s="381" t="n"/>
      <c r="P17" s="382" t="n"/>
      <c r="Q17" s="383">
        <f>SUM(Q9:Q16)</f>
        <v/>
      </c>
    </row>
    <row r="18" ht="9.949999999999999" customFormat="1" customHeight="1" s="356">
      <c r="A18" s="384" t="n"/>
      <c r="B18" s="385" t="n"/>
      <c r="C18" s="385" t="n"/>
      <c r="D18" s="386" t="n"/>
      <c r="E18" s="387" t="n"/>
      <c r="F18" s="388" t="n"/>
      <c r="G18" s="389" t="n"/>
      <c r="H18" s="388" t="n"/>
      <c r="I18" s="390" t="n"/>
      <c r="J18" s="391" t="inlineStr">
        <is>
          <t>Qs=</t>
        </is>
      </c>
      <c r="K18" s="390" t="inlineStr">
        <is>
          <t>S a</t>
        </is>
      </c>
      <c r="L18" s="388" t="inlineStr">
        <is>
          <t>L</t>
        </is>
      </c>
      <c r="M18" s="389" t="inlineStr">
        <is>
          <t>R</t>
        </is>
      </c>
      <c r="N18" s="392" t="inlineStr">
        <is>
          <t>H</t>
        </is>
      </c>
      <c r="O18" s="393" t="inlineStr">
        <is>
          <t>D  T</t>
        </is>
      </c>
      <c r="P18" s="389" t="inlineStr">
        <is>
          <t>Ze</t>
        </is>
      </c>
      <c r="Q18" s="394" t="n"/>
    </row>
    <row r="19" ht="9.949999999999999" customFormat="1" customHeight="1" s="356">
      <c r="A19" s="395" t="inlineStr">
        <is>
          <t xml:space="preserve"> </t>
        </is>
      </c>
      <c r="B19" s="396" t="n"/>
      <c r="C19" s="397" t="n"/>
      <c r="D19" s="397" t="n"/>
      <c r="E19" s="398" t="n"/>
      <c r="F19" s="399" t="n"/>
      <c r="G19" s="400" t="n"/>
      <c r="H19" s="401" t="n"/>
      <c r="I19" s="402" t="n"/>
      <c r="J19" s="403" t="inlineStr">
        <is>
          <t>Qs  =</t>
        </is>
      </c>
      <c r="K19" s="404" t="n">
        <v>2</v>
      </c>
      <c r="L19" s="404">
        <f>(D11+E11)*2*G11+(D14+E14)*2*G14</f>
        <v/>
      </c>
      <c r="M19" s="404" t="n">
        <v>0.9</v>
      </c>
      <c r="N19" s="404" t="n">
        <v>0.67</v>
      </c>
      <c r="O19" s="381" t="n">
        <v>28</v>
      </c>
      <c r="P19" s="404" t="n">
        <v>1</v>
      </c>
      <c r="Q19" s="383">
        <f>K19*L19*M19*N19*O19*P19</f>
        <v/>
      </c>
    </row>
    <row r="20" ht="9.949999999999999" customFormat="1" customHeight="1" s="356">
      <c r="A20" s="405" t="n"/>
      <c r="B20" s="406" t="n"/>
      <c r="C20" s="397" t="n"/>
      <c r="D20" s="397" t="n"/>
      <c r="E20" s="378" t="n"/>
      <c r="F20" s="256" t="n"/>
      <c r="G20" s="407" t="n"/>
      <c r="H20" s="397" t="n"/>
      <c r="I20" s="397" t="n"/>
      <c r="J20" s="397" t="n"/>
      <c r="K20" s="407" t="n"/>
      <c r="L20" s="408" t="n"/>
      <c r="M20" s="409" t="inlineStr">
        <is>
          <t xml:space="preserve">   TOPLAM ISI KAYBI =</t>
        </is>
      </c>
      <c r="N20" s="409" t="n"/>
      <c r="O20" s="410" t="n"/>
      <c r="P20" s="409" t="n"/>
      <c r="Q20" s="411">
        <f>Q17+Q19</f>
        <v/>
      </c>
    </row>
    <row r="21" ht="10.35" customFormat="1" customHeight="1" s="356">
      <c r="A21" s="359" t="n"/>
      <c r="B21" s="360" t="n"/>
      <c r="C21" s="360" t="n"/>
      <c r="D21" s="360" t="n"/>
      <c r="E21" s="360" t="n"/>
      <c r="F21" s="361" t="inlineStr">
        <is>
          <t>1</t>
        </is>
      </c>
      <c r="G21" s="362" t="inlineStr">
        <is>
          <t>0</t>
        </is>
      </c>
      <c r="H21" s="360" t="inlineStr">
        <is>
          <t>102</t>
        </is>
      </c>
      <c r="I21" s="363" t="inlineStr">
        <is>
          <t>DAİRE 1 MUTFAK</t>
        </is>
      </c>
      <c r="J21" s="364" t="n"/>
      <c r="K21" s="360" t="inlineStr">
        <is>
          <t>20ºC</t>
        </is>
      </c>
      <c r="L21" s="360" t="n"/>
      <c r="M21" s="360" t="n"/>
      <c r="N21" s="360" t="n"/>
      <c r="O21" s="360" t="n"/>
      <c r="P21" s="360" t="n"/>
      <c r="Q21" s="365" t="n"/>
    </row>
    <row r="22" ht="9.949999999999999" customFormat="1" customHeight="1" s="356">
      <c r="A22" s="366" t="inlineStr">
        <is>
          <t>DD</t>
        </is>
      </c>
      <c r="B22" s="367" t="inlineStr">
        <is>
          <t>K</t>
        </is>
      </c>
      <c r="C22" s="368" t="n"/>
      <c r="D22" s="369" t="n">
        <v>3.3</v>
      </c>
      <c r="E22" s="369" t="n">
        <v>2.5</v>
      </c>
      <c r="F22" s="370">
        <f>IF(D22=0," ",D22*E22)</f>
        <v/>
      </c>
      <c r="G22" s="371" t="n">
        <v>1</v>
      </c>
      <c r="H22" s="372">
        <f>F24*G24</f>
        <v/>
      </c>
      <c r="I22" s="370">
        <f>IF(F22=" "," ",F22*G22-H22)</f>
        <v/>
      </c>
      <c r="J22" s="369" t="n">
        <v>0.344</v>
      </c>
      <c r="K22" s="371" t="n">
        <v>26</v>
      </c>
      <c r="L22" s="373">
        <f>IF(I22=" "," ",I22*J22*K22)</f>
        <v/>
      </c>
      <c r="M22" s="374" t="n">
        <v>7</v>
      </c>
      <c r="N22" s="371" t="n">
        <v>0</v>
      </c>
      <c r="O22" s="374" t="n">
        <v>5</v>
      </c>
      <c r="P22" s="370">
        <f>IF(M22=" "," ",(1+(M22+N22+O22)/100))</f>
        <v/>
      </c>
      <c r="Q22" s="375">
        <f>IF(L22=" "," ",L22*P22)</f>
        <v/>
      </c>
    </row>
    <row r="23" ht="9.949999999999999" customFormat="1" customHeight="1" s="356">
      <c r="A23" s="366" t="inlineStr">
        <is>
          <t>DD25</t>
        </is>
      </c>
      <c r="B23" s="367" t="inlineStr">
        <is>
          <t>K</t>
        </is>
      </c>
      <c r="C23" s="368" t="n"/>
      <c r="D23" s="369">
        <f>D22</f>
        <v/>
      </c>
      <c r="E23" s="369" t="n">
        <v>0.5</v>
      </c>
      <c r="F23" s="370">
        <f>IF(D23=0," ",D23*E23)</f>
        <v/>
      </c>
      <c r="G23" s="371" t="n">
        <v>1</v>
      </c>
      <c r="H23" s="372" t="n"/>
      <c r="I23" s="370">
        <f>IF(F23=" "," ",F23*G23-H23)</f>
        <v/>
      </c>
      <c r="J23" s="369" t="n">
        <v>0.387</v>
      </c>
      <c r="K23" s="371" t="n">
        <v>26</v>
      </c>
      <c r="L23" s="373">
        <f>IF(I23=" "," ",I23*J23*K23)</f>
        <v/>
      </c>
      <c r="M23" s="374" t="n">
        <v>7</v>
      </c>
      <c r="N23" s="371" t="n">
        <v>0</v>
      </c>
      <c r="O23" s="374" t="n">
        <v>5</v>
      </c>
      <c r="P23" s="370">
        <f>IF(M23=" "," ",(1+(M23+N23+O23)/100))</f>
        <v/>
      </c>
      <c r="Q23" s="375">
        <f>IF(L23=" "," ",L23*P23)</f>
        <v/>
      </c>
    </row>
    <row r="24" ht="9.949999999999999" customFormat="1" customHeight="1" s="412">
      <c r="A24" s="366" t="inlineStr">
        <is>
          <t>ÇP</t>
        </is>
      </c>
      <c r="B24" s="367" t="inlineStr">
        <is>
          <t>K</t>
        </is>
      </c>
      <c r="C24" s="368" t="n"/>
      <c r="D24" s="369" t="n">
        <v>1.5</v>
      </c>
      <c r="E24" s="369" t="n">
        <v>1.6</v>
      </c>
      <c r="F24" s="370">
        <f>IF(D24=0," ",D24*E24)</f>
        <v/>
      </c>
      <c r="G24" s="371" t="n">
        <v>1</v>
      </c>
      <c r="H24" s="372" t="n"/>
      <c r="I24" s="370">
        <f>IF(F24=" "," ",F24*G24-H24)</f>
        <v/>
      </c>
      <c r="J24" s="369" t="n">
        <v>1.8</v>
      </c>
      <c r="K24" s="371" t="n">
        <v>26</v>
      </c>
      <c r="L24" s="373">
        <f>IF(I24=" "," ",I24*J24*K24)</f>
        <v/>
      </c>
      <c r="M24" s="374" t="n">
        <v>7</v>
      </c>
      <c r="N24" s="371" t="n">
        <v>0</v>
      </c>
      <c r="O24" s="374" t="n">
        <v>5</v>
      </c>
      <c r="P24" s="370">
        <f>IF(M24=" "," ",(1+(M24+N24+O24)/100))</f>
        <v/>
      </c>
      <c r="Q24" s="375">
        <f>IF(L24=" "," ",L24*P24)</f>
        <v/>
      </c>
    </row>
    <row r="25" ht="9.949999999999999" customFormat="1" customHeight="1" s="412">
      <c r="A25" s="366" t="inlineStr">
        <is>
          <t>İDM</t>
        </is>
      </c>
      <c r="B25" s="367" t="inlineStr"/>
      <c r="C25" s="368" t="n"/>
      <c r="D25" s="369" t="n">
        <v>2.66</v>
      </c>
      <c r="E25" s="369" t="n">
        <v>3</v>
      </c>
      <c r="F25" s="370">
        <f>IF(D25=0," ",D25*E25)</f>
        <v/>
      </c>
      <c r="G25" s="371" t="n">
        <v>1</v>
      </c>
      <c r="H25" s="372" t="n"/>
      <c r="I25" s="370">
        <f>IF(F25=" "," ",F25*G25-H25)</f>
        <v/>
      </c>
      <c r="J25" s="369" t="n">
        <v>0.332</v>
      </c>
      <c r="K25" s="371" t="n">
        <v>10</v>
      </c>
      <c r="L25" s="373">
        <f>IF(I25=" "," ",I25*J25*K25)</f>
        <v/>
      </c>
      <c r="M25" s="374" t="n">
        <v>7</v>
      </c>
      <c r="N25" s="371" t="n">
        <v>0</v>
      </c>
      <c r="O25" s="374" t="n">
        <v>0</v>
      </c>
      <c r="P25" s="370">
        <f>IF(M25=" "," ",(1+(M25+N25+O25)/100))</f>
        <v/>
      </c>
      <c r="Q25" s="375">
        <f>IF(L25=" "," ",L25*P25)</f>
        <v/>
      </c>
    </row>
    <row r="26" ht="9.949999999999999" customFormat="1" customHeight="1" s="351">
      <c r="A26" s="376" t="n"/>
      <c r="B26" s="377" t="n"/>
      <c r="C26" s="377" t="n"/>
      <c r="D26" s="378" t="n"/>
      <c r="E26" s="378" t="n"/>
      <c r="F26" s="378" t="n"/>
      <c r="G26" s="379" t="n"/>
      <c r="H26" s="378" t="n"/>
      <c r="I26" s="378" t="n"/>
      <c r="J26" s="378" t="n"/>
      <c r="K26" s="379" t="n"/>
      <c r="L26" s="380" t="n"/>
      <c r="M26" s="381" t="n"/>
      <c r="N26" s="381" t="n"/>
      <c r="O26" s="381" t="n"/>
      <c r="P26" s="382" t="n"/>
      <c r="Q26" s="383">
        <f>SUM(Q22:Q25)</f>
        <v/>
      </c>
    </row>
    <row r="27" ht="9.949999999999999" customFormat="1" customHeight="1" s="356">
      <c r="A27" s="384" t="n"/>
      <c r="B27" s="385" t="n"/>
      <c r="C27" s="385" t="n"/>
      <c r="D27" s="386" t="n"/>
      <c r="E27" s="387" t="n"/>
      <c r="F27" s="388" t="n"/>
      <c r="G27" s="389" t="n"/>
      <c r="H27" s="388" t="n"/>
      <c r="I27" s="390" t="n"/>
      <c r="J27" s="391" t="inlineStr">
        <is>
          <t>Qs=</t>
        </is>
      </c>
      <c r="K27" s="390" t="inlineStr">
        <is>
          <t>S a</t>
        </is>
      </c>
      <c r="L27" s="388" t="inlineStr">
        <is>
          <t>L</t>
        </is>
      </c>
      <c r="M27" s="389" t="inlineStr">
        <is>
          <t>R</t>
        </is>
      </c>
      <c r="N27" s="392" t="inlineStr">
        <is>
          <t>H</t>
        </is>
      </c>
      <c r="O27" s="393" t="inlineStr">
        <is>
          <t>D  T</t>
        </is>
      </c>
      <c r="P27" s="389" t="inlineStr">
        <is>
          <t>Ze</t>
        </is>
      </c>
      <c r="Q27" s="394" t="n"/>
    </row>
    <row r="28" ht="9.949999999999999" customFormat="1" customHeight="1" s="356">
      <c r="A28" s="395" t="inlineStr">
        <is>
          <t xml:space="preserve"> </t>
        </is>
      </c>
      <c r="B28" s="396" t="n"/>
      <c r="C28" s="397" t="n"/>
      <c r="D28" s="397" t="n"/>
      <c r="E28" s="398" t="n"/>
      <c r="F28" s="399" t="n"/>
      <c r="G28" s="400" t="n"/>
      <c r="H28" s="401" t="n"/>
      <c r="I28" s="402" t="n"/>
      <c r="J28" s="403" t="inlineStr">
        <is>
          <t>Qs  =</t>
        </is>
      </c>
      <c r="K28" s="404" t="n">
        <v>2</v>
      </c>
      <c r="L28" s="404">
        <f>(D24+E24)*2*G24</f>
        <v/>
      </c>
      <c r="M28" s="404" t="n">
        <v>0.9</v>
      </c>
      <c r="N28" s="404" t="n">
        <v>0.67</v>
      </c>
      <c r="O28" s="381" t="n">
        <v>26</v>
      </c>
      <c r="P28" s="404" t="n">
        <v>1</v>
      </c>
      <c r="Q28" s="383">
        <f>K28*L28*M28*N28*O28*P28</f>
        <v/>
      </c>
    </row>
    <row r="29" ht="9.949999999999999" customFormat="1" customHeight="1" s="356">
      <c r="A29" s="405" t="n"/>
      <c r="B29" s="406" t="n"/>
      <c r="C29" s="397" t="n"/>
      <c r="D29" s="397" t="n"/>
      <c r="E29" s="378" t="n"/>
      <c r="F29" s="256" t="n"/>
      <c r="G29" s="407" t="n"/>
      <c r="H29" s="397" t="n"/>
      <c r="I29" s="397" t="n"/>
      <c r="J29" s="397" t="n"/>
      <c r="K29" s="407" t="n"/>
      <c r="L29" s="408" t="n"/>
      <c r="M29" s="409" t="inlineStr">
        <is>
          <t xml:space="preserve">   TOPLAM ISI KAYBI =</t>
        </is>
      </c>
      <c r="N29" s="409" t="n"/>
      <c r="O29" s="410" t="n"/>
      <c r="P29" s="409" t="n"/>
      <c r="Q29" s="411">
        <f>Q26+Q28</f>
        <v/>
      </c>
    </row>
    <row r="30" ht="10.35" customFormat="1" customHeight="1" s="356">
      <c r="A30" s="359" t="n"/>
      <c r="B30" s="360" t="n"/>
      <c r="C30" s="360" t="n"/>
      <c r="D30" s="360" t="n"/>
      <c r="E30" s="360" t="n"/>
      <c r="F30" s="361" t="inlineStr">
        <is>
          <t>1</t>
        </is>
      </c>
      <c r="G30" s="362" t="inlineStr">
        <is>
          <t>0</t>
        </is>
      </c>
      <c r="H30" s="360" t="inlineStr">
        <is>
          <t>103</t>
        </is>
      </c>
      <c r="I30" s="363" t="inlineStr">
        <is>
          <t>DAİRE 1 YATAK ODASI</t>
        </is>
      </c>
      <c r="J30" s="364" t="n"/>
      <c r="K30" s="360" t="inlineStr">
        <is>
          <t>20ºC</t>
        </is>
      </c>
      <c r="L30" s="360" t="n"/>
      <c r="M30" s="360" t="n"/>
      <c r="N30" s="360" t="n"/>
      <c r="O30" s="360" t="n"/>
      <c r="P30" s="360" t="n"/>
      <c r="Q30" s="365" t="n"/>
    </row>
    <row r="31" ht="9.949999999999999" customFormat="1" customHeight="1" s="356">
      <c r="A31" s="366" t="inlineStr">
        <is>
          <t>DD</t>
        </is>
      </c>
      <c r="B31" s="367" t="inlineStr">
        <is>
          <t>G</t>
        </is>
      </c>
      <c r="C31" s="368" t="n"/>
      <c r="D31" s="369" t="n">
        <v>2.57</v>
      </c>
      <c r="E31" s="369" t="n">
        <v>2.5</v>
      </c>
      <c r="F31" s="370">
        <f>IF(D31=0," ",D31*E31)</f>
        <v/>
      </c>
      <c r="G31" s="371" t="n">
        <v>1</v>
      </c>
      <c r="H31" s="372">
        <f>F33*G33</f>
        <v/>
      </c>
      <c r="I31" s="370">
        <f>IF(F31=" "," ",F31*G31-H31)</f>
        <v/>
      </c>
      <c r="J31" s="369" t="n">
        <v>0.344</v>
      </c>
      <c r="K31" s="371" t="n">
        <v>26</v>
      </c>
      <c r="L31" s="373">
        <f>IF(I31=" "," ",I31*J31*K31)</f>
        <v/>
      </c>
      <c r="M31" s="374" t="n">
        <v>7</v>
      </c>
      <c r="N31" s="371" t="n">
        <v>0</v>
      </c>
      <c r="O31" s="374" t="n">
        <v>-5</v>
      </c>
      <c r="P31" s="370">
        <f>IF(M31=" "," ",(1+(M31+N31+O31)/100))</f>
        <v/>
      </c>
      <c r="Q31" s="375">
        <f>IF(L31=" "," ",L31*P31)</f>
        <v/>
      </c>
    </row>
    <row r="32" ht="9.949999999999999" customFormat="1" customHeight="1" s="356">
      <c r="A32" s="366" t="inlineStr">
        <is>
          <t>DD25</t>
        </is>
      </c>
      <c r="B32" s="367" t="inlineStr">
        <is>
          <t>G</t>
        </is>
      </c>
      <c r="C32" s="368" t="n"/>
      <c r="D32" s="369">
        <f>D31</f>
        <v/>
      </c>
      <c r="E32" s="369" t="n">
        <v>0.5</v>
      </c>
      <c r="F32" s="370">
        <f>IF(D32=0," ",D32*E32)</f>
        <v/>
      </c>
      <c r="G32" s="371" t="n">
        <v>1</v>
      </c>
      <c r="H32" s="372" t="n"/>
      <c r="I32" s="370">
        <f>IF(F32=" "," ",F32*G32-H32)</f>
        <v/>
      </c>
      <c r="J32" s="369" t="n">
        <v>0.387</v>
      </c>
      <c r="K32" s="371" t="n">
        <v>26</v>
      </c>
      <c r="L32" s="373">
        <f>IF(I32=" "," ",I32*J32*K32)</f>
        <v/>
      </c>
      <c r="M32" s="374" t="n">
        <v>7</v>
      </c>
      <c r="N32" s="371" t="n">
        <v>0</v>
      </c>
      <c r="O32" s="374" t="n">
        <v>-5</v>
      </c>
      <c r="P32" s="370">
        <f>IF(M32=" "," ",(1+(M32+N32+O32)/100))</f>
        <v/>
      </c>
      <c r="Q32" s="375">
        <f>IF(L32=" "," ",L32*P32)</f>
        <v/>
      </c>
    </row>
    <row r="33" ht="9.949999999999999" customFormat="1" customHeight="1" s="356">
      <c r="A33" s="366" t="inlineStr">
        <is>
          <t>ÇP</t>
        </is>
      </c>
      <c r="B33" s="367" t="inlineStr">
        <is>
          <t>G</t>
        </is>
      </c>
      <c r="C33" s="368" t="n"/>
      <c r="D33" s="369" t="n">
        <v>1.5</v>
      </c>
      <c r="E33" s="369" t="n">
        <v>1.6</v>
      </c>
      <c r="F33" s="370">
        <f>IF(D33=0," ",D33*E33)</f>
        <v/>
      </c>
      <c r="G33" s="371" t="n">
        <v>1</v>
      </c>
      <c r="H33" s="372" t="n"/>
      <c r="I33" s="370">
        <f>IF(F33=" "," ",F33*G33-H33)</f>
        <v/>
      </c>
      <c r="J33" s="369" t="n">
        <v>1.8</v>
      </c>
      <c r="K33" s="371" t="n">
        <v>26</v>
      </c>
      <c r="L33" s="373">
        <f>IF(I33=" "," ",I33*J33*K33)</f>
        <v/>
      </c>
      <c r="M33" s="374" t="n">
        <v>7</v>
      </c>
      <c r="N33" s="371" t="n">
        <v>0</v>
      </c>
      <c r="O33" s="374" t="n">
        <v>-5</v>
      </c>
      <c r="P33" s="370">
        <f>IF(M33=" "," ",(1+(M33+N33+O33)/100))</f>
        <v/>
      </c>
      <c r="Q33" s="375">
        <f>IF(L33=" "," ",L33*P33)</f>
        <v/>
      </c>
    </row>
    <row r="34" ht="9.949999999999999" customFormat="1" customHeight="1" s="356">
      <c r="A34" s="366" t="inlineStr">
        <is>
          <t>DD</t>
        </is>
      </c>
      <c r="B34" s="367" t="inlineStr">
        <is>
          <t>B</t>
        </is>
      </c>
      <c r="C34" s="368" t="n"/>
      <c r="D34" s="369" t="n">
        <v>3.48</v>
      </c>
      <c r="E34" s="369" t="n">
        <v>2.5</v>
      </c>
      <c r="F34" s="370">
        <f>IF(D34=0," ",D34*E34)</f>
        <v/>
      </c>
      <c r="G34" s="371" t="n">
        <v>1</v>
      </c>
      <c r="H34" s="372" t="n"/>
      <c r="I34" s="370">
        <f>IF(F34=" "," ",F34*G34-H34)</f>
        <v/>
      </c>
      <c r="J34" s="369" t="n">
        <v>0.344</v>
      </c>
      <c r="K34" s="371" t="n">
        <v>26</v>
      </c>
      <c r="L34" s="373">
        <f>IF(I34=" "," ",I34*J34*K34)</f>
        <v/>
      </c>
      <c r="M34" s="374" t="n">
        <v>7</v>
      </c>
      <c r="N34" s="371" t="n">
        <v>0</v>
      </c>
      <c r="O34" s="374" t="n">
        <v>0</v>
      </c>
      <c r="P34" s="370">
        <f>IF(M34=" "," ",(1+(M34+N34+O34)/100))</f>
        <v/>
      </c>
      <c r="Q34" s="375">
        <f>IF(L34=" "," ",L34*P34)</f>
        <v/>
      </c>
    </row>
    <row r="35" ht="9.949999999999999" customFormat="1" customHeight="1" s="356">
      <c r="A35" s="366" t="inlineStr">
        <is>
          <t>DD25</t>
        </is>
      </c>
      <c r="B35" s="367" t="inlineStr">
        <is>
          <t>B</t>
        </is>
      </c>
      <c r="C35" s="368" t="n"/>
      <c r="D35" s="369">
        <f>D34</f>
        <v/>
      </c>
      <c r="E35" s="369" t="n">
        <v>0.5</v>
      </c>
      <c r="F35" s="370">
        <f>IF(D35=0," ",D35*E35)</f>
        <v/>
      </c>
      <c r="G35" s="371" t="n">
        <v>1</v>
      </c>
      <c r="H35" s="372" t="n"/>
      <c r="I35" s="370">
        <f>IF(F35=" "," ",F35*G35-H35)</f>
        <v/>
      </c>
      <c r="J35" s="369" t="n">
        <v>0.387</v>
      </c>
      <c r="K35" s="371" t="n">
        <v>26</v>
      </c>
      <c r="L35" s="373">
        <f>IF(I35=" "," ",I35*J35*K35)</f>
        <v/>
      </c>
      <c r="M35" s="374" t="n">
        <v>7</v>
      </c>
      <c r="N35" s="371" t="n">
        <v>0</v>
      </c>
      <c r="O35" s="374" t="n">
        <v>0</v>
      </c>
      <c r="P35" s="370">
        <f>IF(M35=" "," ",(1+(M35+N35+O35)/100))</f>
        <v/>
      </c>
      <c r="Q35" s="375">
        <f>IF(L35=" "," ",L35*P35)</f>
        <v/>
      </c>
    </row>
    <row r="36" ht="9.949999999999999" customFormat="1" customHeight="1" s="412">
      <c r="A36" s="376" t="n"/>
      <c r="B36" s="377" t="n"/>
      <c r="C36" s="377" t="n"/>
      <c r="D36" s="378" t="n"/>
      <c r="E36" s="378" t="n"/>
      <c r="F36" s="378" t="n"/>
      <c r="G36" s="379" t="n"/>
      <c r="H36" s="378" t="n"/>
      <c r="I36" s="378" t="n"/>
      <c r="J36" s="378" t="n"/>
      <c r="K36" s="379" t="n"/>
      <c r="L36" s="380" t="n"/>
      <c r="M36" s="381" t="n"/>
      <c r="N36" s="381" t="n"/>
      <c r="O36" s="381" t="n"/>
      <c r="P36" s="382" t="n"/>
      <c r="Q36" s="383">
        <f>SUM(Q31:Q35)</f>
        <v/>
      </c>
    </row>
    <row r="37" ht="9.949999999999999" customFormat="1" customHeight="1" s="412">
      <c r="A37" s="384" t="n"/>
      <c r="B37" s="385" t="n"/>
      <c r="C37" s="385" t="n"/>
      <c r="D37" s="386" t="n"/>
      <c r="E37" s="387" t="n"/>
      <c r="F37" s="388" t="n"/>
      <c r="G37" s="389" t="n"/>
      <c r="H37" s="388" t="n"/>
      <c r="I37" s="390" t="n"/>
      <c r="J37" s="391" t="inlineStr">
        <is>
          <t>Qs=</t>
        </is>
      </c>
      <c r="K37" s="390" t="inlineStr">
        <is>
          <t>S a</t>
        </is>
      </c>
      <c r="L37" s="388" t="inlineStr">
        <is>
          <t>L</t>
        </is>
      </c>
      <c r="M37" s="389" t="inlineStr">
        <is>
          <t>R</t>
        </is>
      </c>
      <c r="N37" s="392" t="inlineStr">
        <is>
          <t>H</t>
        </is>
      </c>
      <c r="O37" s="393" t="inlineStr">
        <is>
          <t>D  T</t>
        </is>
      </c>
      <c r="P37" s="389" t="inlineStr">
        <is>
          <t>Ze</t>
        </is>
      </c>
      <c r="Q37" s="394" t="n"/>
    </row>
    <row r="38" ht="9.949999999999999" customFormat="1" customHeight="1" s="351">
      <c r="A38" s="395" t="inlineStr">
        <is>
          <t xml:space="preserve"> </t>
        </is>
      </c>
      <c r="B38" s="412" t="n"/>
      <c r="C38" s="397" t="n"/>
      <c r="D38" s="397" t="n"/>
      <c r="E38" s="398" t="n"/>
      <c r="F38" s="399" t="n"/>
      <c r="G38" s="400" t="n"/>
      <c r="H38" s="401" t="n"/>
      <c r="I38" s="402" t="n"/>
      <c r="J38" s="403" t="inlineStr">
        <is>
          <t>Qs  =</t>
        </is>
      </c>
      <c r="K38" s="404" t="n">
        <v>2</v>
      </c>
      <c r="L38" s="404">
        <f>(D33+E33)*2*G33</f>
        <v/>
      </c>
      <c r="M38" s="404" t="n">
        <v>0.9</v>
      </c>
      <c r="N38" s="404" t="n">
        <v>0.67</v>
      </c>
      <c r="O38" s="381" t="n">
        <v>26</v>
      </c>
      <c r="P38" s="404" t="n">
        <v>1</v>
      </c>
      <c r="Q38" s="383">
        <f>K38*L38*M38*N38*O38*P38</f>
        <v/>
      </c>
    </row>
    <row r="39" ht="9.949999999999999" customFormat="1" customHeight="1" s="356">
      <c r="A39" s="405" t="n"/>
      <c r="B39" s="406" t="n"/>
      <c r="C39" s="397" t="n"/>
      <c r="D39" s="397" t="n"/>
      <c r="E39" s="378" t="n"/>
      <c r="F39" s="256" t="n"/>
      <c r="G39" s="407" t="n"/>
      <c r="H39" s="397" t="n"/>
      <c r="I39" s="397" t="n"/>
      <c r="J39" s="397" t="n"/>
      <c r="K39" s="407" t="n"/>
      <c r="L39" s="408" t="n"/>
      <c r="M39" s="409" t="inlineStr">
        <is>
          <t xml:space="preserve">   TOPLAM ISI KAYBI =</t>
        </is>
      </c>
      <c r="N39" s="409" t="n"/>
      <c r="O39" s="410" t="n"/>
      <c r="P39" s="409" t="n"/>
      <c r="Q39" s="411">
        <f>Q36+Q38</f>
        <v/>
      </c>
    </row>
    <row r="40" ht="10.35" customFormat="1" customHeight="1" s="356">
      <c r="A40" s="359" t="n"/>
      <c r="B40" s="360" t="n"/>
      <c r="C40" s="360" t="n"/>
      <c r="D40" s="360" t="n"/>
      <c r="E40" s="360" t="n"/>
      <c r="F40" s="361" t="inlineStr">
        <is>
          <t>1</t>
        </is>
      </c>
      <c r="G40" s="362" t="inlineStr">
        <is>
          <t>0</t>
        </is>
      </c>
      <c r="H40" s="360" t="inlineStr">
        <is>
          <t>104</t>
        </is>
      </c>
      <c r="I40" s="363" t="inlineStr">
        <is>
          <t>DAİRE 1 ODA</t>
        </is>
      </c>
      <c r="J40" s="364" t="n"/>
      <c r="K40" s="360" t="inlineStr">
        <is>
          <t>20ºC</t>
        </is>
      </c>
      <c r="L40" s="360" t="n"/>
      <c r="M40" s="360" t="n"/>
      <c r="N40" s="360" t="n"/>
      <c r="O40" s="360" t="n"/>
      <c r="P40" s="360" t="n"/>
      <c r="Q40" s="365" t="n"/>
    </row>
    <row r="41" ht="9.949999999999999" customFormat="1" customHeight="1" s="356">
      <c r="A41" s="366" t="inlineStr">
        <is>
          <t>DD</t>
        </is>
      </c>
      <c r="B41" s="367" t="inlineStr">
        <is>
          <t>G</t>
        </is>
      </c>
      <c r="C41" s="368" t="n"/>
      <c r="D41" s="369" t="n">
        <v>2.8</v>
      </c>
      <c r="E41" s="369" t="n">
        <v>2.5</v>
      </c>
      <c r="F41" s="370">
        <f>IF(D41=0," ",D41*E41)</f>
        <v/>
      </c>
      <c r="G41" s="371" t="n">
        <v>1</v>
      </c>
      <c r="H41" s="372">
        <f>F43*G43</f>
        <v/>
      </c>
      <c r="I41" s="370">
        <f>IF(F41=" "," ",F41*G41-H41)</f>
        <v/>
      </c>
      <c r="J41" s="369" t="n">
        <v>0.344</v>
      </c>
      <c r="K41" s="371" t="n">
        <v>26</v>
      </c>
      <c r="L41" s="373">
        <f>IF(I41=" "," ",I41*J41*K41)</f>
        <v/>
      </c>
      <c r="M41" s="374" t="n">
        <v>7</v>
      </c>
      <c r="N41" s="371" t="n">
        <v>0</v>
      </c>
      <c r="O41" s="374" t="n">
        <v>-5</v>
      </c>
      <c r="P41" s="370">
        <f>IF(M41=" "," ",(1+(M41+N41+O41)/100))</f>
        <v/>
      </c>
      <c r="Q41" s="375">
        <f>IF(L41=" "," ",L41*P41)</f>
        <v/>
      </c>
    </row>
    <row r="42" ht="9.949999999999999" customFormat="1" customHeight="1" s="356">
      <c r="A42" s="366" t="inlineStr">
        <is>
          <t>DD25</t>
        </is>
      </c>
      <c r="B42" s="367" t="inlineStr">
        <is>
          <t>G</t>
        </is>
      </c>
      <c r="C42" s="368" t="n"/>
      <c r="D42" s="369">
        <f>D41</f>
        <v/>
      </c>
      <c r="E42" s="369" t="n">
        <v>0.5</v>
      </c>
      <c r="F42" s="370">
        <f>IF(D42=0," ",D42*E42)</f>
        <v/>
      </c>
      <c r="G42" s="371" t="n">
        <v>1</v>
      </c>
      <c r="H42" s="372" t="n"/>
      <c r="I42" s="370">
        <f>IF(F42=" "," ",F42*G42-H42)</f>
        <v/>
      </c>
      <c r="J42" s="369" t="n">
        <v>0.387</v>
      </c>
      <c r="K42" s="371" t="n">
        <v>26</v>
      </c>
      <c r="L42" s="373">
        <f>IF(I42=" "," ",I42*J42*K42)</f>
        <v/>
      </c>
      <c r="M42" s="374" t="n">
        <v>7</v>
      </c>
      <c r="N42" s="371" t="n">
        <v>0</v>
      </c>
      <c r="O42" s="374" t="n">
        <v>-5</v>
      </c>
      <c r="P42" s="370">
        <f>IF(M42=" "," ",(1+(M42+N42+O42)/100))</f>
        <v/>
      </c>
      <c r="Q42" s="375">
        <f>IF(L42=" "," ",L42*P42)</f>
        <v/>
      </c>
    </row>
    <row r="43" ht="9.949999999999999" customFormat="1" customHeight="1" s="356">
      <c r="A43" s="366" t="inlineStr">
        <is>
          <t>ÇP</t>
        </is>
      </c>
      <c r="B43" s="367" t="inlineStr">
        <is>
          <t>G</t>
        </is>
      </c>
      <c r="C43" s="368" t="n"/>
      <c r="D43" s="369" t="n">
        <v>1.5</v>
      </c>
      <c r="E43" s="369" t="n">
        <v>1.6</v>
      </c>
      <c r="F43" s="370">
        <f>IF(D43=0," ",D43*E43)</f>
        <v/>
      </c>
      <c r="G43" s="371" t="n">
        <v>1</v>
      </c>
      <c r="H43" s="372" t="n"/>
      <c r="I43" s="370">
        <f>IF(F43=" "," ",F43*G43-H43)</f>
        <v/>
      </c>
      <c r="J43" s="369" t="n">
        <v>1.8</v>
      </c>
      <c r="K43" s="371" t="n">
        <v>26</v>
      </c>
      <c r="L43" s="373">
        <f>IF(I43=" "," ",I43*J43*K43)</f>
        <v/>
      </c>
      <c r="M43" s="374" t="n">
        <v>7</v>
      </c>
      <c r="N43" s="371" t="n">
        <v>0</v>
      </c>
      <c r="O43" s="374" t="n">
        <v>-5</v>
      </c>
      <c r="P43" s="370">
        <f>IF(M43=" "," ",(1+(M43+N43+O43)/100))</f>
        <v/>
      </c>
      <c r="Q43" s="375">
        <f>IF(L43=" "," ",L43*P43)</f>
        <v/>
      </c>
    </row>
    <row r="44" ht="9.949999999999999" customFormat="1" customHeight="1" s="356">
      <c r="A44" s="376" t="n"/>
      <c r="B44" s="377" t="n"/>
      <c r="C44" s="377" t="n"/>
      <c r="D44" s="378" t="n"/>
      <c r="E44" s="378" t="n"/>
      <c r="F44" s="378" t="n"/>
      <c r="G44" s="379" t="n"/>
      <c r="H44" s="378" t="n"/>
      <c r="I44" s="378" t="n"/>
      <c r="J44" s="378" t="n"/>
      <c r="K44" s="379" t="n"/>
      <c r="L44" s="380" t="n"/>
      <c r="M44" s="381" t="n"/>
      <c r="N44" s="381" t="n"/>
      <c r="O44" s="381" t="n"/>
      <c r="P44" s="382" t="n"/>
      <c r="Q44" s="383">
        <f>SUM(Q41:Q43)</f>
        <v/>
      </c>
    </row>
    <row r="45" ht="9.949999999999999" customFormat="1" customHeight="1" s="356">
      <c r="A45" s="384" t="n"/>
      <c r="B45" s="385" t="n"/>
      <c r="C45" s="385" t="n"/>
      <c r="D45" s="386" t="n"/>
      <c r="E45" s="387" t="n"/>
      <c r="F45" s="388" t="n"/>
      <c r="G45" s="389" t="n"/>
      <c r="H45" s="388" t="n"/>
      <c r="I45" s="390" t="n"/>
      <c r="J45" s="391" t="inlineStr">
        <is>
          <t>Qs=</t>
        </is>
      </c>
      <c r="K45" s="390" t="inlineStr">
        <is>
          <t>S a</t>
        </is>
      </c>
      <c r="L45" s="388" t="inlineStr">
        <is>
          <t>L</t>
        </is>
      </c>
      <c r="M45" s="389" t="inlineStr">
        <is>
          <t>R</t>
        </is>
      </c>
      <c r="N45" s="392" t="inlineStr">
        <is>
          <t>H</t>
        </is>
      </c>
      <c r="O45" s="393" t="inlineStr">
        <is>
          <t>D  T</t>
        </is>
      </c>
      <c r="P45" s="389" t="inlineStr">
        <is>
          <t>Ze</t>
        </is>
      </c>
      <c r="Q45" s="394" t="n"/>
    </row>
    <row r="46" ht="9.949999999999999" customFormat="1" customHeight="1" s="356">
      <c r="A46" s="395" t="inlineStr">
        <is>
          <t xml:space="preserve"> </t>
        </is>
      </c>
      <c r="B46" s="396" t="n"/>
      <c r="C46" s="397" t="n"/>
      <c r="D46" s="397" t="n"/>
      <c r="E46" s="398" t="n"/>
      <c r="F46" s="399" t="n"/>
      <c r="G46" s="400" t="n"/>
      <c r="H46" s="401" t="n"/>
      <c r="I46" s="402" t="n"/>
      <c r="J46" s="403" t="inlineStr">
        <is>
          <t>Qs  =</t>
        </is>
      </c>
      <c r="K46" s="404" t="n">
        <v>2</v>
      </c>
      <c r="L46" s="404">
        <f>(D43+E43)*2*G43</f>
        <v/>
      </c>
      <c r="M46" s="404" t="n">
        <v>0.9</v>
      </c>
      <c r="N46" s="404" t="n">
        <v>0.67</v>
      </c>
      <c r="O46" s="381" t="n">
        <v>26</v>
      </c>
      <c r="P46" s="404" t="n">
        <v>1</v>
      </c>
      <c r="Q46" s="383">
        <f>K46*L46*M46*N46*O46*P46</f>
        <v/>
      </c>
    </row>
    <row r="47" ht="9.949999999999999" customFormat="1" customHeight="1" s="356">
      <c r="A47" s="405" t="n"/>
      <c r="B47" s="406" t="n"/>
      <c r="C47" s="397" t="n"/>
      <c r="D47" s="397" t="n"/>
      <c r="E47" s="378" t="n"/>
      <c r="F47" s="256" t="n"/>
      <c r="G47" s="407" t="n"/>
      <c r="H47" s="397" t="n"/>
      <c r="I47" s="397" t="n"/>
      <c r="J47" s="397" t="n"/>
      <c r="K47" s="407" t="n"/>
      <c r="L47" s="408" t="n"/>
      <c r="M47" s="409" t="inlineStr">
        <is>
          <t xml:space="preserve">   TOPLAM ISI KAYBI =</t>
        </is>
      </c>
      <c r="N47" s="409" t="n"/>
      <c r="O47" s="410" t="n"/>
      <c r="P47" s="409" t="n"/>
      <c r="Q47" s="411">
        <f>Q44+Q46</f>
        <v/>
      </c>
    </row>
    <row r="48" ht="10.35" customFormat="1" customHeight="1" s="412">
      <c r="A48" s="359" t="n"/>
      <c r="B48" s="360" t="n"/>
      <c r="C48" s="360" t="n"/>
      <c r="D48" s="360" t="n"/>
      <c r="E48" s="360" t="n"/>
      <c r="F48" s="361" t="inlineStr">
        <is>
          <t>1</t>
        </is>
      </c>
      <c r="G48" s="362" t="inlineStr">
        <is>
          <t>0</t>
        </is>
      </c>
      <c r="H48" s="360" t="inlineStr">
        <is>
          <t>105</t>
        </is>
      </c>
      <c r="I48" s="363" t="inlineStr">
        <is>
          <t>DAİRE 1 BANYO</t>
        </is>
      </c>
      <c r="J48" s="364" t="n"/>
      <c r="K48" s="360" t="inlineStr">
        <is>
          <t>26ºC</t>
        </is>
      </c>
      <c r="L48" s="360" t="n"/>
      <c r="M48" s="360" t="n"/>
      <c r="N48" s="360" t="n"/>
      <c r="O48" s="360" t="n"/>
      <c r="P48" s="360" t="n"/>
      <c r="Q48" s="365" t="n"/>
    </row>
    <row r="49" ht="9.949999999999999" customFormat="1" customHeight="1" s="412">
      <c r="A49" s="366" t="inlineStr">
        <is>
          <t>DD</t>
        </is>
      </c>
      <c r="B49" s="367" t="inlineStr">
        <is>
          <t>G</t>
        </is>
      </c>
      <c r="C49" s="368" t="n"/>
      <c r="D49" s="369" t="n">
        <v>1.73</v>
      </c>
      <c r="E49" s="369" t="n">
        <v>2.5</v>
      </c>
      <c r="F49" s="370">
        <f>IF(D49=0," ",D49*E49)</f>
        <v/>
      </c>
      <c r="G49" s="371" t="n">
        <v>1</v>
      </c>
      <c r="H49" s="372">
        <f>F51*G51</f>
        <v/>
      </c>
      <c r="I49" s="370">
        <f>IF(F49=" "," ",F49*G49-H49)</f>
        <v/>
      </c>
      <c r="J49" s="369" t="n">
        <v>0.344</v>
      </c>
      <c r="K49" s="371" t="n">
        <v>32</v>
      </c>
      <c r="L49" s="373">
        <f>IF(I49=" "," ",I49*J49*K49)</f>
        <v/>
      </c>
      <c r="M49" s="374" t="n">
        <v>7</v>
      </c>
      <c r="N49" s="371" t="n">
        <v>0</v>
      </c>
      <c r="O49" s="374" t="n">
        <v>-5</v>
      </c>
      <c r="P49" s="370">
        <f>IF(M49=" "," ",(1+(M49+N49+O49)/100))</f>
        <v/>
      </c>
      <c r="Q49" s="375">
        <f>IF(L49=" "," ",L49*P49)</f>
        <v/>
      </c>
    </row>
    <row r="50" ht="9.949999999999999" customFormat="1" customHeight="1" s="351">
      <c r="A50" s="366" t="inlineStr">
        <is>
          <t>DD25</t>
        </is>
      </c>
      <c r="B50" s="367" t="inlineStr">
        <is>
          <t>G</t>
        </is>
      </c>
      <c r="C50" s="368" t="n"/>
      <c r="D50" s="369">
        <f>D49</f>
        <v/>
      </c>
      <c r="E50" s="369" t="n">
        <v>0.5</v>
      </c>
      <c r="F50" s="370">
        <f>IF(D50=0," ",D50*E50)</f>
        <v/>
      </c>
      <c r="G50" s="371" t="n">
        <v>1</v>
      </c>
      <c r="H50" s="372" t="n"/>
      <c r="I50" s="370">
        <f>IF(F50=" "," ",F50*G50-H50)</f>
        <v/>
      </c>
      <c r="J50" s="369" t="n">
        <v>0.387</v>
      </c>
      <c r="K50" s="371" t="n">
        <v>32</v>
      </c>
      <c r="L50" s="373">
        <f>IF(I50=" "," ",I50*J50*K50)</f>
        <v/>
      </c>
      <c r="M50" s="374" t="n">
        <v>7</v>
      </c>
      <c r="N50" s="371" t="n">
        <v>0</v>
      </c>
      <c r="O50" s="374" t="n">
        <v>-5</v>
      </c>
      <c r="P50" s="370">
        <f>IF(M50=" "," ",(1+(M50+N50+O50)/100))</f>
        <v/>
      </c>
      <c r="Q50" s="375">
        <f>IF(L50=" "," ",L50*P50)</f>
        <v/>
      </c>
    </row>
    <row r="51" ht="9.949999999999999" customFormat="1" customHeight="1" s="356">
      <c r="A51" s="366" t="inlineStr">
        <is>
          <t>ÇP</t>
        </is>
      </c>
      <c r="B51" s="367" t="inlineStr">
        <is>
          <t>G</t>
        </is>
      </c>
      <c r="C51" s="368" t="n"/>
      <c r="D51" s="369" t="n">
        <v>0.5</v>
      </c>
      <c r="E51" s="369" t="n">
        <v>0.65</v>
      </c>
      <c r="F51" s="370">
        <f>IF(D51=0," ",D51*E51)</f>
        <v/>
      </c>
      <c r="G51" s="371" t="n">
        <v>1</v>
      </c>
      <c r="H51" s="372" t="n"/>
      <c r="I51" s="370">
        <f>IF(F51=" "," ",F51*G51-H51)</f>
        <v/>
      </c>
      <c r="J51" s="369" t="n">
        <v>1.8</v>
      </c>
      <c r="K51" s="371" t="n">
        <v>32</v>
      </c>
      <c r="L51" s="373">
        <f>IF(I51=" "," ",I51*J51*K51)</f>
        <v/>
      </c>
      <c r="M51" s="374" t="n">
        <v>7</v>
      </c>
      <c r="N51" s="371" t="n">
        <v>0</v>
      </c>
      <c r="O51" s="374" t="n">
        <v>-5</v>
      </c>
      <c r="P51" s="370">
        <f>IF(M51=" "," ",(1+(M51+N51+O51)/100))</f>
        <v/>
      </c>
      <c r="Q51" s="375">
        <f>IF(L51=" "," ",L51*P51)</f>
        <v/>
      </c>
    </row>
    <row r="52" ht="9.949999999999999" customFormat="1" customHeight="1" s="356">
      <c r="A52" s="376" t="n"/>
      <c r="B52" s="377" t="n"/>
      <c r="C52" s="377" t="n"/>
      <c r="D52" s="378" t="n"/>
      <c r="E52" s="378" t="n"/>
      <c r="F52" s="378" t="n"/>
      <c r="G52" s="379" t="n"/>
      <c r="H52" s="378" t="n"/>
      <c r="I52" s="378" t="n"/>
      <c r="J52" s="378" t="n"/>
      <c r="K52" s="379" t="n"/>
      <c r="L52" s="380" t="n"/>
      <c r="M52" s="381" t="n"/>
      <c r="N52" s="381" t="n"/>
      <c r="O52" s="381" t="n"/>
      <c r="P52" s="382" t="n"/>
      <c r="Q52" s="383">
        <f>SUM(Q49:Q51)</f>
        <v/>
      </c>
    </row>
    <row r="53" ht="9.949999999999999" customFormat="1" customHeight="1" s="356">
      <c r="A53" s="384" t="n"/>
      <c r="B53" s="385" t="n"/>
      <c r="C53" s="385" t="n"/>
      <c r="D53" s="386" t="n"/>
      <c r="E53" s="387" t="n"/>
      <c r="F53" s="388" t="n"/>
      <c r="G53" s="389" t="n"/>
      <c r="H53" s="388" t="n"/>
      <c r="I53" s="390" t="n"/>
      <c r="J53" s="391" t="inlineStr">
        <is>
          <t>Qs=</t>
        </is>
      </c>
      <c r="K53" s="390" t="inlineStr">
        <is>
          <t>S a</t>
        </is>
      </c>
      <c r="L53" s="388" t="inlineStr">
        <is>
          <t>L</t>
        </is>
      </c>
      <c r="M53" s="389" t="inlineStr">
        <is>
          <t>R</t>
        </is>
      </c>
      <c r="N53" s="392" t="inlineStr">
        <is>
          <t>H</t>
        </is>
      </c>
      <c r="O53" s="393" t="inlineStr">
        <is>
          <t>D  T</t>
        </is>
      </c>
      <c r="P53" s="389" t="inlineStr">
        <is>
          <t>Ze</t>
        </is>
      </c>
      <c r="Q53" s="394" t="n"/>
    </row>
    <row r="54" ht="9.949999999999999" customFormat="1" customHeight="1" s="356">
      <c r="A54" s="395" t="inlineStr">
        <is>
          <t xml:space="preserve"> </t>
        </is>
      </c>
      <c r="B54" s="396" t="n"/>
      <c r="C54" s="397" t="n"/>
      <c r="D54" s="397" t="n"/>
      <c r="E54" s="398" t="n"/>
      <c r="F54" s="399" t="n"/>
      <c r="G54" s="400" t="n"/>
      <c r="H54" s="401" t="n"/>
      <c r="I54" s="402" t="n"/>
      <c r="J54" s="403" t="inlineStr">
        <is>
          <t>Qs  =</t>
        </is>
      </c>
      <c r="K54" s="404" t="n">
        <v>2</v>
      </c>
      <c r="L54" s="404">
        <f>(D51+E51)*2*G51</f>
        <v/>
      </c>
      <c r="M54" s="404" t="n">
        <v>0.9</v>
      </c>
      <c r="N54" s="404" t="n">
        <v>0.67</v>
      </c>
      <c r="O54" s="381" t="n">
        <v>32</v>
      </c>
      <c r="P54" s="404" t="n">
        <v>1</v>
      </c>
      <c r="Q54" s="383">
        <f>K54*L54*M54*N54*O54*P54</f>
        <v/>
      </c>
    </row>
    <row r="55" ht="9.949999999999999" customFormat="1" customHeight="1" s="356">
      <c r="A55" s="405" t="n"/>
      <c r="B55" s="406" t="n"/>
      <c r="C55" s="397" t="n"/>
      <c r="D55" s="397" t="n"/>
      <c r="E55" s="378" t="n"/>
      <c r="F55" s="256" t="n"/>
      <c r="G55" s="407" t="n"/>
      <c r="H55" s="397" t="n"/>
      <c r="I55" s="397" t="n"/>
      <c r="J55" s="397" t="n"/>
      <c r="K55" s="407" t="n"/>
      <c r="L55" s="408" t="n"/>
      <c r="M55" s="409" t="inlineStr">
        <is>
          <t xml:space="preserve">   TOPLAM ISI KAYBI =</t>
        </is>
      </c>
      <c r="N55" s="409" t="n"/>
      <c r="O55" s="410" t="n"/>
      <c r="P55" s="409" t="n"/>
      <c r="Q55" s="411">
        <f>Q52+Q54</f>
        <v/>
      </c>
    </row>
    <row r="56" ht="10.35" customFormat="1" customHeight="1" s="356">
      <c r="A56" s="359" t="n"/>
      <c r="B56" s="360" t="n"/>
      <c r="C56" s="360" t="n"/>
      <c r="D56" s="360" t="n"/>
      <c r="E56" s="360" t="n"/>
      <c r="F56" s="361" t="inlineStr">
        <is>
          <t>1</t>
        </is>
      </c>
      <c r="G56" s="362" t="inlineStr">
        <is>
          <t>0</t>
        </is>
      </c>
      <c r="H56" s="360" t="inlineStr">
        <is>
          <t>107</t>
        </is>
      </c>
      <c r="I56" s="363" t="inlineStr">
        <is>
          <t>DAİRE 1 HOL</t>
        </is>
      </c>
      <c r="J56" s="364" t="n"/>
      <c r="K56" s="360" t="inlineStr">
        <is>
          <t>18ºC</t>
        </is>
      </c>
      <c r="L56" s="360" t="n"/>
      <c r="M56" s="360" t="n"/>
      <c r="N56" s="360" t="n"/>
      <c r="O56" s="360" t="n"/>
      <c r="P56" s="360" t="n"/>
      <c r="Q56" s="365" t="n"/>
    </row>
    <row r="57" ht="9.949999999999999" customFormat="1" customHeight="1" s="356">
      <c r="A57" s="366" t="inlineStr">
        <is>
          <t>DD</t>
        </is>
      </c>
      <c r="B57" s="367" t="inlineStr">
        <is>
          <t>G</t>
        </is>
      </c>
      <c r="C57" s="368" t="n"/>
      <c r="D57" s="369" t="n">
        <v>1.17</v>
      </c>
      <c r="E57" s="369" t="n">
        <v>2.5</v>
      </c>
      <c r="F57" s="370">
        <f>IF(D57=0," ",D57*E57)</f>
        <v/>
      </c>
      <c r="G57" s="371" t="n">
        <v>1</v>
      </c>
      <c r="H57" s="372" t="n"/>
      <c r="I57" s="370">
        <f>IF(F57=" "," ",F57*G57-H57)</f>
        <v/>
      </c>
      <c r="J57" s="369" t="n">
        <v>0.344</v>
      </c>
      <c r="K57" s="371" t="n">
        <v>24</v>
      </c>
      <c r="L57" s="373">
        <f>IF(I57=" "," ",I57*J57*K57)</f>
        <v/>
      </c>
      <c r="M57" s="374" t="n">
        <v>7</v>
      </c>
      <c r="N57" s="371" t="n">
        <v>0</v>
      </c>
      <c r="O57" s="374" t="n">
        <v>-5</v>
      </c>
      <c r="P57" s="370">
        <f>IF(M57=" "," ",(1+(M57+N57+O57)/100))</f>
        <v/>
      </c>
      <c r="Q57" s="375">
        <f>IF(L57=" "," ",L57*P57)</f>
        <v/>
      </c>
    </row>
    <row r="58" ht="9.949999999999999" customFormat="1" customHeight="1" s="356">
      <c r="A58" s="366" t="inlineStr">
        <is>
          <t>DD25</t>
        </is>
      </c>
      <c r="B58" s="367" t="inlineStr">
        <is>
          <t>G</t>
        </is>
      </c>
      <c r="C58" s="368" t="n"/>
      <c r="D58" s="369">
        <f>D57</f>
        <v/>
      </c>
      <c r="E58" s="369" t="n">
        <v>0.5</v>
      </c>
      <c r="F58" s="370">
        <f>IF(D58=0," ",D58*E58)</f>
        <v/>
      </c>
      <c r="G58" s="371" t="n">
        <v>1</v>
      </c>
      <c r="H58" s="372" t="n"/>
      <c r="I58" s="370">
        <f>IF(F58=" "," ",F58*G58-H58)</f>
        <v/>
      </c>
      <c r="J58" s="369" t="n">
        <v>0.387</v>
      </c>
      <c r="K58" s="371" t="n">
        <v>24</v>
      </c>
      <c r="L58" s="373">
        <f>IF(I58=" "," ",I58*J58*K58)</f>
        <v/>
      </c>
      <c r="M58" s="374" t="n">
        <v>7</v>
      </c>
      <c r="N58" s="371" t="n">
        <v>0</v>
      </c>
      <c r="O58" s="374" t="n">
        <v>-5</v>
      </c>
      <c r="P58" s="370">
        <f>IF(M58=" "," ",(1+(M58+N58+O58)/100))</f>
        <v/>
      </c>
      <c r="Q58" s="375">
        <f>IF(L58=" "," ",L58*P58)</f>
        <v/>
      </c>
    </row>
    <row r="59" ht="9.949999999999999" customFormat="1" customHeight="1" s="356">
      <c r="A59" s="366" t="inlineStr">
        <is>
          <t>İDM</t>
        </is>
      </c>
      <c r="B59" s="367" t="inlineStr"/>
      <c r="C59" s="368" t="n"/>
      <c r="D59" s="369" t="n">
        <v>2.38</v>
      </c>
      <c r="E59" s="369" t="n">
        <v>3</v>
      </c>
      <c r="F59" s="370">
        <f>IF(D59=0," ",D59*E59)</f>
        <v/>
      </c>
      <c r="G59" s="371" t="n">
        <v>1</v>
      </c>
      <c r="H59" s="372">
        <f>F60*G60</f>
        <v/>
      </c>
      <c r="I59" s="370">
        <f>IF(F59=" "," ",F59*G59-H59)</f>
        <v/>
      </c>
      <c r="J59" s="369" t="n">
        <v>0.332</v>
      </c>
      <c r="K59" s="371" t="n">
        <v>8</v>
      </c>
      <c r="L59" s="373">
        <f>IF(I59=" "," ",I59*J59*K59)</f>
        <v/>
      </c>
      <c r="M59" s="374" t="n">
        <v>7</v>
      </c>
      <c r="N59" s="371" t="n">
        <v>0</v>
      </c>
      <c r="O59" s="374" t="n">
        <v>0</v>
      </c>
      <c r="P59" s="370">
        <f>IF(M59=" "," ",(1+(M59+N59+O59)/100))</f>
        <v/>
      </c>
      <c r="Q59" s="375">
        <f>IF(L59=" "," ",L59*P59)</f>
        <v/>
      </c>
    </row>
    <row r="60" ht="9.949999999999999" customFormat="1" customHeight="1" s="356">
      <c r="A60" s="366" t="inlineStr">
        <is>
          <t>DK</t>
        </is>
      </c>
      <c r="B60" s="367" t="inlineStr"/>
      <c r="C60" s="368" t="n"/>
      <c r="D60" s="369" t="n">
        <v>1</v>
      </c>
      <c r="E60" s="369" t="n">
        <v>2.2</v>
      </c>
      <c r="F60" s="370">
        <f>IF(D60=0," ",D60*E60)</f>
        <v/>
      </c>
      <c r="G60" s="371" t="n">
        <v>1</v>
      </c>
      <c r="H60" s="372" t="n"/>
      <c r="I60" s="370">
        <f>IF(F60=" "," ",F60*G60-H60)</f>
        <v/>
      </c>
      <c r="J60" s="369" t="n">
        <v>2</v>
      </c>
      <c r="K60" s="371" t="n">
        <v>8</v>
      </c>
      <c r="L60" s="373">
        <f>IF(I60=" "," ",I60*J60*K60)</f>
        <v/>
      </c>
      <c r="M60" s="374" t="n">
        <v>7</v>
      </c>
      <c r="N60" s="371" t="n">
        <v>0</v>
      </c>
      <c r="O60" s="374" t="n">
        <v>0</v>
      </c>
      <c r="P60" s="370">
        <f>IF(M60=" "," ",(1+(M60+N60+O60)/100))</f>
        <v/>
      </c>
      <c r="Q60" s="375">
        <f>IF(L60=" "," ",L60*P60)</f>
        <v/>
      </c>
    </row>
    <row r="61" ht="9.949999999999999" customFormat="1" customHeight="1" s="356">
      <c r="A61" s="366" t="inlineStr">
        <is>
          <t>İDA</t>
        </is>
      </c>
      <c r="B61" s="367" t="inlineStr"/>
      <c r="C61" s="368" t="n"/>
      <c r="D61" s="369" t="n">
        <v>1.2</v>
      </c>
      <c r="E61" s="369" t="n">
        <v>3</v>
      </c>
      <c r="F61" s="370">
        <f>IF(D61=0," ",D61*E61)</f>
        <v/>
      </c>
      <c r="G61" s="371" t="n">
        <v>1</v>
      </c>
      <c r="H61" s="372" t="n"/>
      <c r="I61" s="370">
        <f>IF(F61=" "," ",F61*G61-H61)</f>
        <v/>
      </c>
      <c r="J61" s="369" t="n">
        <v>0.375</v>
      </c>
      <c r="K61" s="371" t="n">
        <v>13</v>
      </c>
      <c r="L61" s="373">
        <f>IF(I61=" "," ",I61*J61*K61)</f>
        <v/>
      </c>
      <c r="M61" s="374" t="n">
        <v>7</v>
      </c>
      <c r="N61" s="371" t="n">
        <v>0</v>
      </c>
      <c r="O61" s="374" t="n">
        <v>0</v>
      </c>
      <c r="P61" s="370">
        <f>IF(M61=" "," ",(1+(M61+N61+O61)/100))</f>
        <v/>
      </c>
      <c r="Q61" s="375">
        <f>IF(L61=" "," ",L61*P61)</f>
        <v/>
      </c>
    </row>
    <row r="62" ht="9.949999999999999" customFormat="1" customHeight="1" s="356">
      <c r="A62" s="376" t="n"/>
      <c r="B62" s="377" t="n"/>
      <c r="C62" s="377" t="n"/>
      <c r="D62" s="378" t="n"/>
      <c r="E62" s="378" t="n"/>
      <c r="F62" s="378" t="n"/>
      <c r="G62" s="379" t="n"/>
      <c r="H62" s="378" t="n"/>
      <c r="I62" s="378" t="n"/>
      <c r="J62" s="378" t="n"/>
      <c r="K62" s="379" t="n"/>
      <c r="L62" s="380" t="n"/>
      <c r="M62" s="381" t="n"/>
      <c r="N62" s="381" t="n"/>
      <c r="O62" s="381" t="n"/>
      <c r="P62" s="382" t="n"/>
      <c r="Q62" s="383">
        <f>SUM(Q57:Q61)</f>
        <v/>
      </c>
    </row>
    <row r="63" ht="9.949999999999999" customFormat="1" customHeight="1" s="412">
      <c r="A63" s="384" t="n"/>
      <c r="B63" s="385" t="n"/>
      <c r="C63" s="385" t="n"/>
      <c r="D63" s="386" t="n"/>
      <c r="E63" s="387" t="n"/>
      <c r="F63" s="388" t="n"/>
      <c r="G63" s="389" t="n"/>
      <c r="H63" s="388" t="n"/>
      <c r="I63" s="390" t="n"/>
      <c r="J63" s="391" t="inlineStr">
        <is>
          <t>Qs=</t>
        </is>
      </c>
      <c r="K63" s="390" t="inlineStr">
        <is>
          <t>S a</t>
        </is>
      </c>
      <c r="L63" s="388" t="inlineStr">
        <is>
          <t>L</t>
        </is>
      </c>
      <c r="M63" s="389" t="inlineStr">
        <is>
          <t>R</t>
        </is>
      </c>
      <c r="N63" s="392" t="inlineStr">
        <is>
          <t>H</t>
        </is>
      </c>
      <c r="O63" s="393" t="inlineStr">
        <is>
          <t>D  T</t>
        </is>
      </c>
      <c r="P63" s="389" t="inlineStr">
        <is>
          <t>Ze</t>
        </is>
      </c>
      <c r="Q63" s="394" t="n"/>
    </row>
    <row r="64" ht="9.949999999999999" customFormat="1" customHeight="1" s="412">
      <c r="A64" s="395" t="inlineStr">
        <is>
          <t xml:space="preserve"> </t>
        </is>
      </c>
      <c r="C64" s="397" t="n"/>
      <c r="D64" s="397" t="n"/>
      <c r="E64" s="398" t="n"/>
      <c r="F64" s="399" t="n"/>
      <c r="G64" s="400" t="n"/>
      <c r="H64" s="401" t="n"/>
      <c r="I64" s="402" t="n"/>
      <c r="J64" s="403" t="inlineStr">
        <is>
          <t>Qs  =</t>
        </is>
      </c>
      <c r="K64" s="404" t="n">
        <v>2</v>
      </c>
      <c r="L64" s="404" t="n">
        <v>0</v>
      </c>
      <c r="M64" s="404" t="n">
        <v>0.9</v>
      </c>
      <c r="N64" s="404" t="n">
        <v>0.67</v>
      </c>
      <c r="O64" s="381" t="n">
        <v>24</v>
      </c>
      <c r="P64" s="404" t="n">
        <v>1</v>
      </c>
      <c r="Q64" s="383">
        <f>K64*L64*M64*N64*O64*P64</f>
        <v/>
      </c>
    </row>
    <row r="65" ht="9.949999999999999" customFormat="1" customHeight="1" s="351">
      <c r="A65" s="405" t="n"/>
      <c r="B65" s="406" t="n"/>
      <c r="C65" s="397" t="n"/>
      <c r="D65" s="397" t="n"/>
      <c r="E65" s="378" t="n"/>
      <c r="F65" s="256" t="n"/>
      <c r="G65" s="407" t="n"/>
      <c r="H65" s="397" t="n"/>
      <c r="I65" s="397" t="n"/>
      <c r="J65" s="397" t="n"/>
      <c r="K65" s="407" t="n"/>
      <c r="L65" s="408" t="n"/>
      <c r="M65" s="409" t="inlineStr">
        <is>
          <t xml:space="preserve">   TOPLAM ISI KAYBI =</t>
        </is>
      </c>
      <c r="N65" s="409" t="n"/>
      <c r="O65" s="410" t="n"/>
      <c r="P65" s="409" t="n"/>
      <c r="Q65" s="411">
        <f>Q62+Q64</f>
        <v/>
      </c>
    </row>
    <row r="66" ht="10.35" customFormat="1" customHeight="1" s="356">
      <c r="A66" s="359" t="n"/>
      <c r="B66" s="360" t="n"/>
      <c r="C66" s="360" t="n"/>
      <c r="D66" s="360" t="n"/>
      <c r="E66" s="360" t="n"/>
      <c r="F66" s="361" t="inlineStr">
        <is>
          <t>1</t>
        </is>
      </c>
      <c r="G66" s="362" t="inlineStr">
        <is>
          <t>0</t>
        </is>
      </c>
      <c r="H66" s="360" t="inlineStr">
        <is>
          <t>111</t>
        </is>
      </c>
      <c r="I66" s="363" t="inlineStr">
        <is>
          <t>DAİRE 2 SALON</t>
        </is>
      </c>
      <c r="J66" s="364" t="n"/>
      <c r="K66" s="360" t="inlineStr">
        <is>
          <t>22ºC</t>
        </is>
      </c>
      <c r="L66" s="360" t="n"/>
      <c r="M66" s="360" t="n"/>
      <c r="N66" s="360" t="n"/>
      <c r="O66" s="360" t="n"/>
      <c r="P66" s="360" t="n"/>
      <c r="Q66" s="365" t="n"/>
    </row>
    <row r="67" ht="9.949999999999999" customFormat="1" customHeight="1" s="356">
      <c r="A67" s="366" t="inlineStr">
        <is>
          <t>DD</t>
        </is>
      </c>
      <c r="B67" s="367" t="inlineStr">
        <is>
          <t>D</t>
        </is>
      </c>
      <c r="C67" s="368" t="n"/>
      <c r="D67" s="369" t="n">
        <v>2.68</v>
      </c>
      <c r="E67" s="369" t="n">
        <v>2.5</v>
      </c>
      <c r="F67" s="370">
        <f>IF(D67=0," ",D67*E67)</f>
        <v/>
      </c>
      <c r="G67" s="371" t="n">
        <v>1</v>
      </c>
      <c r="H67" s="372">
        <f>F69*G69</f>
        <v/>
      </c>
      <c r="I67" s="370">
        <f>IF(F67=" "," ",F67*G67-H67)</f>
        <v/>
      </c>
      <c r="J67" s="369" t="n">
        <v>0.344</v>
      </c>
      <c r="K67" s="371" t="n">
        <v>28</v>
      </c>
      <c r="L67" s="373">
        <f>IF(I67=" "," ",I67*J67*K67)</f>
        <v/>
      </c>
      <c r="M67" s="374" t="n">
        <v>7</v>
      </c>
      <c r="N67" s="371" t="n">
        <v>0</v>
      </c>
      <c r="O67" s="374" t="n">
        <v>0</v>
      </c>
      <c r="P67" s="370">
        <f>IF(M67=" "," ",(1+(M67+N67+O67)/100))</f>
        <v/>
      </c>
      <c r="Q67" s="375">
        <f>IF(L67=" "," ",L67*P67)</f>
        <v/>
      </c>
    </row>
    <row r="68" ht="9.949999999999999" customFormat="1" customHeight="1" s="356">
      <c r="A68" s="366" t="inlineStr">
        <is>
          <t>DD25</t>
        </is>
      </c>
      <c r="B68" s="367" t="inlineStr">
        <is>
          <t>D</t>
        </is>
      </c>
      <c r="C68" s="368" t="n"/>
      <c r="D68" s="369">
        <f>D67</f>
        <v/>
      </c>
      <c r="E68" s="369" t="n">
        <v>0.5</v>
      </c>
      <c r="F68" s="370">
        <f>IF(D68=0," ",D68*E68)</f>
        <v/>
      </c>
      <c r="G68" s="371" t="n">
        <v>1</v>
      </c>
      <c r="H68" s="372" t="n"/>
      <c r="I68" s="370">
        <f>IF(F68=" "," ",F68*G68-H68)</f>
        <v/>
      </c>
      <c r="J68" s="369" t="n">
        <v>0.387</v>
      </c>
      <c r="K68" s="371" t="n">
        <v>28</v>
      </c>
      <c r="L68" s="373">
        <f>IF(I68=" "," ",I68*J68*K68)</f>
        <v/>
      </c>
      <c r="M68" s="374" t="n">
        <v>7</v>
      </c>
      <c r="N68" s="371" t="n">
        <v>0</v>
      </c>
      <c r="O68" s="374" t="n">
        <v>0</v>
      </c>
      <c r="P68" s="370">
        <f>IF(M68=" "," ",(1+(M68+N68+O68)/100))</f>
        <v/>
      </c>
      <c r="Q68" s="375">
        <f>IF(L68=" "," ",L68*P68)</f>
        <v/>
      </c>
    </row>
    <row r="69" ht="9.949999999999999" customFormat="1" customHeight="1" s="356">
      <c r="A69" s="366" t="inlineStr">
        <is>
          <t>ÇP</t>
        </is>
      </c>
      <c r="B69" s="367" t="inlineStr">
        <is>
          <t>D</t>
        </is>
      </c>
      <c r="C69" s="368" t="n"/>
      <c r="D69" s="369" t="n">
        <v>1.5</v>
      </c>
      <c r="E69" s="369" t="n">
        <v>2.2</v>
      </c>
      <c r="F69" s="370">
        <f>IF(D69=0," ",D69*E69)</f>
        <v/>
      </c>
      <c r="G69" s="371" t="n">
        <v>1</v>
      </c>
      <c r="H69" s="372" t="n"/>
      <c r="I69" s="370">
        <f>IF(F69=" "," ",F69*G69-H69)</f>
        <v/>
      </c>
      <c r="J69" s="369" t="n">
        <v>1.8</v>
      </c>
      <c r="K69" s="371" t="n">
        <v>28</v>
      </c>
      <c r="L69" s="373">
        <f>IF(I69=" "," ",I69*J69*K69)</f>
        <v/>
      </c>
      <c r="M69" s="374" t="n">
        <v>7</v>
      </c>
      <c r="N69" s="371" t="n">
        <v>0</v>
      </c>
      <c r="O69" s="374" t="n">
        <v>0</v>
      </c>
      <c r="P69" s="370">
        <f>IF(M69=" "," ",(1+(M69+N69+O69)/100))</f>
        <v/>
      </c>
      <c r="Q69" s="375">
        <f>IF(L69=" "," ",L69*P69)</f>
        <v/>
      </c>
    </row>
    <row r="70" ht="9.949999999999999" customFormat="1" customHeight="1" s="356">
      <c r="A70" s="366" t="inlineStr">
        <is>
          <t>DD</t>
        </is>
      </c>
      <c r="B70" s="367" t="inlineStr">
        <is>
          <t>G</t>
        </is>
      </c>
      <c r="C70" s="368" t="n"/>
      <c r="D70" s="369" t="n">
        <v>4.89</v>
      </c>
      <c r="E70" s="369" t="n">
        <v>2.5</v>
      </c>
      <c r="F70" s="370">
        <f>IF(D70=0," ",D70*E70)</f>
        <v/>
      </c>
      <c r="G70" s="371" t="n">
        <v>1</v>
      </c>
      <c r="H70" s="372">
        <f>F72*G72</f>
        <v/>
      </c>
      <c r="I70" s="370">
        <f>IF(F70=" "," ",F70*G70-H70)</f>
        <v/>
      </c>
      <c r="J70" s="369" t="n">
        <v>0.344</v>
      </c>
      <c r="K70" s="371" t="n">
        <v>28</v>
      </c>
      <c r="L70" s="373">
        <f>IF(I70=" "," ",I70*J70*K70)</f>
        <v/>
      </c>
      <c r="M70" s="374" t="n">
        <v>7</v>
      </c>
      <c r="N70" s="371" t="n">
        <v>0</v>
      </c>
      <c r="O70" s="374" t="n">
        <v>-5</v>
      </c>
      <c r="P70" s="370">
        <f>IF(M70=" "," ",(1+(M70+N70+O70)/100))</f>
        <v/>
      </c>
      <c r="Q70" s="375">
        <f>IF(L70=" "," ",L70*P70)</f>
        <v/>
      </c>
    </row>
    <row r="71" ht="9.949999999999999" customFormat="1" customHeight="1" s="356">
      <c r="A71" s="366" t="inlineStr">
        <is>
          <t>DD25</t>
        </is>
      </c>
      <c r="B71" s="367" t="inlineStr">
        <is>
          <t>G</t>
        </is>
      </c>
      <c r="C71" s="368" t="n"/>
      <c r="D71" s="369">
        <f>D70</f>
        <v/>
      </c>
      <c r="E71" s="369" t="n">
        <v>0.5</v>
      </c>
      <c r="F71" s="370">
        <f>IF(D71=0," ",D71*E71)</f>
        <v/>
      </c>
      <c r="G71" s="371" t="n">
        <v>1</v>
      </c>
      <c r="H71" s="372" t="n"/>
      <c r="I71" s="370">
        <f>IF(F71=" "," ",F71*G71-H71)</f>
        <v/>
      </c>
      <c r="J71" s="369" t="n">
        <v>0.387</v>
      </c>
      <c r="K71" s="371" t="n">
        <v>28</v>
      </c>
      <c r="L71" s="373">
        <f>IF(I71=" "," ",I71*J71*K71)</f>
        <v/>
      </c>
      <c r="M71" s="374" t="n">
        <v>7</v>
      </c>
      <c r="N71" s="371" t="n">
        <v>0</v>
      </c>
      <c r="O71" s="374" t="n">
        <v>-5</v>
      </c>
      <c r="P71" s="370">
        <f>IF(M71=" "," ",(1+(M71+N71+O71)/100))</f>
        <v/>
      </c>
      <c r="Q71" s="375">
        <f>IF(L71=" "," ",L71*P71)</f>
        <v/>
      </c>
    </row>
    <row r="72" ht="9.949999999999999" customFormat="1" customHeight="1" s="356">
      <c r="A72" s="366" t="inlineStr">
        <is>
          <t>ÇP</t>
        </is>
      </c>
      <c r="B72" s="367" t="inlineStr">
        <is>
          <t>G</t>
        </is>
      </c>
      <c r="C72" s="368" t="n"/>
      <c r="D72" s="369" t="n">
        <v>1.5</v>
      </c>
      <c r="E72" s="369" t="n">
        <v>1.6</v>
      </c>
      <c r="F72" s="370">
        <f>IF(D72=0," ",D72*E72)</f>
        <v/>
      </c>
      <c r="G72" s="371" t="n">
        <v>1</v>
      </c>
      <c r="H72" s="372" t="n"/>
      <c r="I72" s="370">
        <f>IF(F72=" "," ",F72*G72-H72)</f>
        <v/>
      </c>
      <c r="J72" s="369" t="n">
        <v>1.8</v>
      </c>
      <c r="K72" s="371" t="n">
        <v>28</v>
      </c>
      <c r="L72" s="373">
        <f>IF(I72=" "," ",I72*J72*K72)</f>
        <v/>
      </c>
      <c r="M72" s="374" t="n">
        <v>7</v>
      </c>
      <c r="N72" s="371" t="n">
        <v>0</v>
      </c>
      <c r="O72" s="374" t="n">
        <v>-5</v>
      </c>
      <c r="P72" s="370">
        <f>IF(M72=" "," ",(1+(M72+N72+O72)/100))</f>
        <v/>
      </c>
      <c r="Q72" s="375">
        <f>IF(L72=" "," ",L72*P72)</f>
        <v/>
      </c>
    </row>
    <row r="73" ht="9.949999999999999" customFormat="1" customHeight="1" s="356">
      <c r="A73" s="366" t="inlineStr">
        <is>
          <t>DD</t>
        </is>
      </c>
      <c r="B73" s="367" t="inlineStr">
        <is>
          <t>K</t>
        </is>
      </c>
      <c r="C73" s="368" t="n"/>
      <c r="D73" s="369" t="n">
        <v>3.77</v>
      </c>
      <c r="E73" s="369" t="n">
        <v>2.5</v>
      </c>
      <c r="F73" s="370">
        <f>IF(D73=0," ",D73*E73)</f>
        <v/>
      </c>
      <c r="G73" s="371" t="n">
        <v>1</v>
      </c>
      <c r="H73" s="372" t="n"/>
      <c r="I73" s="370">
        <f>IF(F73=" "," ",F73*G73-H73)</f>
        <v/>
      </c>
      <c r="J73" s="369" t="n">
        <v>0.344</v>
      </c>
      <c r="K73" s="371" t="n">
        <v>28</v>
      </c>
      <c r="L73" s="373">
        <f>IF(I73=" "," ",I73*J73*K73)</f>
        <v/>
      </c>
      <c r="M73" s="374" t="n">
        <v>7</v>
      </c>
      <c r="N73" s="371" t="n">
        <v>0</v>
      </c>
      <c r="O73" s="374" t="n">
        <v>5</v>
      </c>
      <c r="P73" s="370">
        <f>IF(M73=" "," ",(1+(M73+N73+O73)/100))</f>
        <v/>
      </c>
      <c r="Q73" s="375">
        <f>IF(L73=" "," ",L73*P73)</f>
        <v/>
      </c>
    </row>
    <row r="74" ht="9.949999999999999" customFormat="1" customHeight="1" s="356">
      <c r="A74" s="366" t="inlineStr">
        <is>
          <t>DD25</t>
        </is>
      </c>
      <c r="B74" s="367" t="inlineStr">
        <is>
          <t>K</t>
        </is>
      </c>
      <c r="C74" s="368" t="n"/>
      <c r="D74" s="369">
        <f>D73</f>
        <v/>
      </c>
      <c r="E74" s="369" t="n">
        <v>0.5</v>
      </c>
      <c r="F74" s="370">
        <f>IF(D74=0," ",D74*E74)</f>
        <v/>
      </c>
      <c r="G74" s="371" t="n">
        <v>1</v>
      </c>
      <c r="H74" s="372" t="n"/>
      <c r="I74" s="370">
        <f>IF(F74=" "," ",F74*G74-H74)</f>
        <v/>
      </c>
      <c r="J74" s="369" t="n">
        <v>0.387</v>
      </c>
      <c r="K74" s="371" t="n">
        <v>28</v>
      </c>
      <c r="L74" s="373">
        <f>IF(I74=" "," ",I74*J74*K74)</f>
        <v/>
      </c>
      <c r="M74" s="374" t="n">
        <v>7</v>
      </c>
      <c r="N74" s="371" t="n">
        <v>0</v>
      </c>
      <c r="O74" s="374" t="n">
        <v>5</v>
      </c>
      <c r="P74" s="370">
        <f>IF(M74=" "," ",(1+(M74+N74+O74)/100))</f>
        <v/>
      </c>
      <c r="Q74" s="375">
        <f>IF(L74=" "," ",L74*P74)</f>
        <v/>
      </c>
    </row>
    <row r="75" ht="9.949999999999999" customFormat="1" customHeight="1" s="356">
      <c r="A75" s="366" t="inlineStr">
        <is>
          <t>DD</t>
        </is>
      </c>
      <c r="B75" s="367" t="inlineStr">
        <is>
          <t>D</t>
        </is>
      </c>
      <c r="C75" s="368" t="n"/>
      <c r="D75" s="369" t="n">
        <v>2.15</v>
      </c>
      <c r="E75" s="369" t="n">
        <v>2.5</v>
      </c>
      <c r="F75" s="370">
        <f>IF(D75=0," ",D75*E75)</f>
        <v/>
      </c>
      <c r="G75" s="371" t="n">
        <v>1</v>
      </c>
      <c r="H75" s="372" t="n"/>
      <c r="I75" s="370">
        <f>IF(F75=" "," ",F75*G75-H75)</f>
        <v/>
      </c>
      <c r="J75" s="369" t="n">
        <v>0.344</v>
      </c>
      <c r="K75" s="371" t="n">
        <v>28</v>
      </c>
      <c r="L75" s="373">
        <f>IF(I75=" "," ",I75*J75*K75)</f>
        <v/>
      </c>
      <c r="M75" s="374" t="n">
        <v>7</v>
      </c>
      <c r="N75" s="371" t="n">
        <v>0</v>
      </c>
      <c r="O75" s="374" t="n">
        <v>0</v>
      </c>
      <c r="P75" s="370">
        <f>IF(M75=" "," ",(1+(M75+N75+O75)/100))</f>
        <v/>
      </c>
      <c r="Q75" s="375">
        <f>IF(L75=" "," ",L75*P75)</f>
        <v/>
      </c>
    </row>
    <row r="76" ht="9.949999999999999" customFormat="1" customHeight="1" s="412">
      <c r="A76" s="366" t="inlineStr">
        <is>
          <t>DD25</t>
        </is>
      </c>
      <c r="B76" s="367" t="inlineStr">
        <is>
          <t>D</t>
        </is>
      </c>
      <c r="C76" s="368" t="n"/>
      <c r="D76" s="369">
        <f>D75</f>
        <v/>
      </c>
      <c r="E76" s="369" t="n">
        <v>0.5</v>
      </c>
      <c r="F76" s="370">
        <f>IF(D76=0," ",D76*E76)</f>
        <v/>
      </c>
      <c r="G76" s="371" t="n">
        <v>1</v>
      </c>
      <c r="H76" s="372" t="n"/>
      <c r="I76" s="370">
        <f>IF(F76=" "," ",F76*G76-H76)</f>
        <v/>
      </c>
      <c r="J76" s="369" t="n">
        <v>0.387</v>
      </c>
      <c r="K76" s="371" t="n">
        <v>28</v>
      </c>
      <c r="L76" s="373">
        <f>IF(I76=" "," ",I76*J76*K76)</f>
        <v/>
      </c>
      <c r="M76" s="374" t="n">
        <v>7</v>
      </c>
      <c r="N76" s="371" t="n">
        <v>0</v>
      </c>
      <c r="O76" s="374" t="n">
        <v>0</v>
      </c>
      <c r="P76" s="370">
        <f>IF(M76=" "," ",(1+(M76+N76+O76)/100))</f>
        <v/>
      </c>
      <c r="Q76" s="375">
        <f>IF(L76=" "," ",L76*P76)</f>
        <v/>
      </c>
    </row>
    <row r="77" ht="9.949999999999999" customFormat="1" customHeight="1" s="412">
      <c r="A77" s="376" t="n"/>
      <c r="B77" s="377" t="n"/>
      <c r="C77" s="377" t="n"/>
      <c r="D77" s="378" t="n"/>
      <c r="E77" s="378" t="n"/>
      <c r="F77" s="378" t="n"/>
      <c r="G77" s="379" t="n"/>
      <c r="H77" s="378" t="n"/>
      <c r="I77" s="378" t="n"/>
      <c r="J77" s="378" t="n"/>
      <c r="K77" s="379" t="n"/>
      <c r="L77" s="380" t="n"/>
      <c r="M77" s="381" t="n"/>
      <c r="N77" s="381" t="n"/>
      <c r="O77" s="381" t="n"/>
      <c r="P77" s="382" t="n"/>
      <c r="Q77" s="383">
        <f>SUM(Q67:Q76)</f>
        <v/>
      </c>
    </row>
    <row r="78" ht="9.949999999999999" customFormat="1" customHeight="1" s="351">
      <c r="A78" s="384" t="n"/>
      <c r="B78" s="385" t="n"/>
      <c r="C78" s="385" t="n"/>
      <c r="D78" s="386" t="n"/>
      <c r="E78" s="387" t="n"/>
      <c r="F78" s="388" t="n"/>
      <c r="G78" s="389" t="n"/>
      <c r="H78" s="388" t="n"/>
      <c r="I78" s="390" t="n"/>
      <c r="J78" s="391" t="inlineStr">
        <is>
          <t>Qs=</t>
        </is>
      </c>
      <c r="K78" s="390" t="inlineStr">
        <is>
          <t>S a</t>
        </is>
      </c>
      <c r="L78" s="388" t="inlineStr">
        <is>
          <t>L</t>
        </is>
      </c>
      <c r="M78" s="389" t="inlineStr">
        <is>
          <t>R</t>
        </is>
      </c>
      <c r="N78" s="392" t="inlineStr">
        <is>
          <t>H</t>
        </is>
      </c>
      <c r="O78" s="393" t="inlineStr">
        <is>
          <t>D  T</t>
        </is>
      </c>
      <c r="P78" s="389" t="inlineStr">
        <is>
          <t>Ze</t>
        </is>
      </c>
      <c r="Q78" s="394" t="n"/>
    </row>
    <row r="79" ht="9.949999999999999" customHeight="1" s="244">
      <c r="A79" s="395" t="inlineStr">
        <is>
          <t xml:space="preserve"> </t>
        </is>
      </c>
      <c r="C79" s="397" t="n"/>
      <c r="D79" s="397" t="n"/>
      <c r="E79" s="398" t="n"/>
      <c r="F79" s="399" t="n"/>
      <c r="G79" s="400" t="n"/>
      <c r="H79" s="401" t="n"/>
      <c r="I79" s="402" t="n"/>
      <c r="J79" s="403" t="inlineStr">
        <is>
          <t>Qs  =</t>
        </is>
      </c>
      <c r="K79" s="404" t="n">
        <v>2</v>
      </c>
      <c r="L79" s="404">
        <f>(D69+E69)*2*G69+(D72+E72)*2*G72</f>
        <v/>
      </c>
      <c r="M79" s="404" t="n">
        <v>0.9</v>
      </c>
      <c r="N79" s="404" t="n">
        <v>0.67</v>
      </c>
      <c r="O79" s="381" t="n">
        <v>28</v>
      </c>
      <c r="P79" s="404" t="n">
        <v>1.2</v>
      </c>
      <c r="Q79" s="383">
        <f>K79*L79*M79*N79*O79*P79</f>
        <v/>
      </c>
    </row>
    <row r="80" ht="9.949999999999999" customHeight="1" s="244">
      <c r="A80" s="405" t="n"/>
      <c r="B80" s="406" t="n"/>
      <c r="C80" s="397" t="n"/>
      <c r="D80" s="397" t="n"/>
      <c r="E80" s="378" t="n"/>
      <c r="F80" s="256" t="n"/>
      <c r="G80" s="407" t="n"/>
      <c r="H80" s="397" t="n"/>
      <c r="I80" s="397" t="n"/>
      <c r="J80" s="397" t="n"/>
      <c r="K80" s="407" t="n"/>
      <c r="L80" s="408" t="n"/>
      <c r="M80" s="409" t="inlineStr">
        <is>
          <t xml:space="preserve">   TOPLAM ISI KAYBI =</t>
        </is>
      </c>
      <c r="N80" s="409" t="n"/>
      <c r="O80" s="410" t="n"/>
      <c r="P80" s="409" t="n"/>
      <c r="Q80" s="411">
        <f>Q77+Q79</f>
        <v/>
      </c>
    </row>
    <row r="81" ht="10.35" customHeight="1" s="244">
      <c r="A81" s="359" t="n"/>
      <c r="B81" s="360" t="n"/>
      <c r="C81" s="360" t="n"/>
      <c r="D81" s="360" t="n"/>
      <c r="E81" s="360" t="n"/>
      <c r="F81" s="361" t="inlineStr">
        <is>
          <t>1</t>
        </is>
      </c>
      <c r="G81" s="362" t="inlineStr">
        <is>
          <t>0</t>
        </is>
      </c>
      <c r="H81" s="360" t="inlineStr">
        <is>
          <t>112</t>
        </is>
      </c>
      <c r="I81" s="363" t="inlineStr">
        <is>
          <t>DAİRE 2 MUTFAK</t>
        </is>
      </c>
      <c r="J81" s="364" t="n"/>
      <c r="K81" s="360" t="inlineStr">
        <is>
          <t>20ºC</t>
        </is>
      </c>
      <c r="L81" s="360" t="n"/>
      <c r="M81" s="360" t="n"/>
      <c r="N81" s="360" t="n"/>
      <c r="O81" s="360" t="n"/>
      <c r="P81" s="360" t="n"/>
      <c r="Q81" s="365" t="n"/>
    </row>
    <row r="82" ht="9.949999999999999" customHeight="1" s="244">
      <c r="A82" s="366" t="inlineStr">
        <is>
          <t>DD</t>
        </is>
      </c>
      <c r="B82" s="367" t="inlineStr">
        <is>
          <t>K</t>
        </is>
      </c>
      <c r="C82" s="368" t="n"/>
      <c r="D82" s="369" t="n">
        <v>2.45</v>
      </c>
      <c r="E82" s="369" t="n">
        <v>2.5</v>
      </c>
      <c r="F82" s="370">
        <f>IF(D82=0," ",D82*E82)</f>
        <v/>
      </c>
      <c r="G82" s="371" t="n">
        <v>1</v>
      </c>
      <c r="H82" s="372">
        <f>F84*G84</f>
        <v/>
      </c>
      <c r="I82" s="370">
        <f>IF(F82=" "," ",F82*G82-H82)</f>
        <v/>
      </c>
      <c r="J82" s="369" t="n">
        <v>0.344</v>
      </c>
      <c r="K82" s="371" t="n">
        <v>26</v>
      </c>
      <c r="L82" s="373">
        <f>IF(I82=" "," ",I82*J82*K82)</f>
        <v/>
      </c>
      <c r="M82" s="374" t="n">
        <v>7</v>
      </c>
      <c r="N82" s="371" t="n">
        <v>0</v>
      </c>
      <c r="O82" s="374" t="n">
        <v>5</v>
      </c>
      <c r="P82" s="370">
        <f>IF(M82=" "," ",(1+(M82+N82+O82)/100))</f>
        <v/>
      </c>
      <c r="Q82" s="375">
        <f>IF(L82=" "," ",L82*P82)</f>
        <v/>
      </c>
    </row>
    <row r="83" ht="9.949999999999999" customHeight="1" s="244">
      <c r="A83" s="366" t="inlineStr">
        <is>
          <t>DD25</t>
        </is>
      </c>
      <c r="B83" s="367" t="inlineStr">
        <is>
          <t>K</t>
        </is>
      </c>
      <c r="C83" s="368" t="n"/>
      <c r="D83" s="369">
        <f>D82</f>
        <v/>
      </c>
      <c r="E83" s="369" t="n">
        <v>0.5</v>
      </c>
      <c r="F83" s="370">
        <f>IF(D83=0," ",D83*E83)</f>
        <v/>
      </c>
      <c r="G83" s="371" t="n">
        <v>1</v>
      </c>
      <c r="H83" s="372" t="n"/>
      <c r="I83" s="370">
        <f>IF(F83=" "," ",F83*G83-H83)</f>
        <v/>
      </c>
      <c r="J83" s="369" t="n">
        <v>0.387</v>
      </c>
      <c r="K83" s="371" t="n">
        <v>26</v>
      </c>
      <c r="L83" s="373">
        <f>IF(I83=" "," ",I83*J83*K83)</f>
        <v/>
      </c>
      <c r="M83" s="374" t="n">
        <v>7</v>
      </c>
      <c r="N83" s="371" t="n">
        <v>0</v>
      </c>
      <c r="O83" s="374" t="n">
        <v>5</v>
      </c>
      <c r="P83" s="370">
        <f>IF(M83=" "," ",(1+(M83+N83+O83)/100))</f>
        <v/>
      </c>
      <c r="Q83" s="375">
        <f>IF(L83=" "," ",L83*P83)</f>
        <v/>
      </c>
    </row>
    <row r="84" ht="9.949999999999999" customFormat="1" customHeight="1" s="329">
      <c r="A84" s="366" t="inlineStr">
        <is>
          <t>BK</t>
        </is>
      </c>
      <c r="B84" s="367" t="inlineStr">
        <is>
          <t>K</t>
        </is>
      </c>
      <c r="C84" s="368" t="n"/>
      <c r="D84" s="369" t="n">
        <v>1.5</v>
      </c>
      <c r="E84" s="369" t="n">
        <v>2.5</v>
      </c>
      <c r="F84" s="370">
        <f>IF(D84=0," ",D84*E84)</f>
        <v/>
      </c>
      <c r="G84" s="371" t="n">
        <v>1</v>
      </c>
      <c r="H84" s="372" t="n"/>
      <c r="I84" s="370">
        <f>IF(F84=" "," ",F84*G84-H84)</f>
        <v/>
      </c>
      <c r="J84" s="369" t="n">
        <v>1.8</v>
      </c>
      <c r="K84" s="371" t="n">
        <v>26</v>
      </c>
      <c r="L84" s="373">
        <f>IF(I84=" "," ",I84*J84*K84)</f>
        <v/>
      </c>
      <c r="M84" s="374" t="n">
        <v>7</v>
      </c>
      <c r="N84" s="371" t="n">
        <v>0</v>
      </c>
      <c r="O84" s="374" t="n">
        <v>5</v>
      </c>
      <c r="P84" s="370">
        <f>IF(M84=" "," ",(1+(M84+N84+O84)/100))</f>
        <v/>
      </c>
      <c r="Q84" s="375">
        <f>IF(L84=" "," ",L84*P84)</f>
        <v/>
      </c>
    </row>
    <row r="85" ht="9.949999999999999" customFormat="1" customHeight="1" s="339">
      <c r="A85" s="376" t="n"/>
      <c r="B85" s="377" t="n"/>
      <c r="C85" s="377" t="n"/>
      <c r="D85" s="378" t="n"/>
      <c r="E85" s="378" t="n"/>
      <c r="F85" s="378" t="n"/>
      <c r="G85" s="379" t="n"/>
      <c r="H85" s="378" t="n"/>
      <c r="I85" s="378" t="n"/>
      <c r="J85" s="378" t="n"/>
      <c r="K85" s="379" t="n"/>
      <c r="L85" s="380" t="n"/>
      <c r="M85" s="381" t="n"/>
      <c r="N85" s="381" t="n"/>
      <c r="O85" s="381" t="n"/>
      <c r="P85" s="382" t="n"/>
      <c r="Q85" s="383">
        <f>SUM(Q82:Q84)</f>
        <v/>
      </c>
    </row>
    <row r="86" ht="9.949999999999999" customFormat="1" customHeight="1" s="339">
      <c r="A86" s="384" t="n"/>
      <c r="B86" s="385" t="n"/>
      <c r="C86" s="385" t="n"/>
      <c r="D86" s="386" t="n"/>
      <c r="E86" s="387" t="n"/>
      <c r="F86" s="388" t="n"/>
      <c r="G86" s="389" t="n"/>
      <c r="H86" s="388" t="n"/>
      <c r="I86" s="390" t="n"/>
      <c r="J86" s="391" t="inlineStr">
        <is>
          <t>Qs=</t>
        </is>
      </c>
      <c r="K86" s="390" t="inlineStr">
        <is>
          <t>S a</t>
        </is>
      </c>
      <c r="L86" s="388" t="inlineStr">
        <is>
          <t>L</t>
        </is>
      </c>
      <c r="M86" s="389" t="inlineStr">
        <is>
          <t>R</t>
        </is>
      </c>
      <c r="N86" s="392" t="inlineStr">
        <is>
          <t>H</t>
        </is>
      </c>
      <c r="O86" s="393" t="inlineStr">
        <is>
          <t>D  T</t>
        </is>
      </c>
      <c r="P86" s="389" t="inlineStr">
        <is>
          <t>Ze</t>
        </is>
      </c>
      <c r="Q86" s="394" t="n"/>
    </row>
    <row r="87" ht="9.949999999999999" customFormat="1" customHeight="1" s="351">
      <c r="A87" s="395" t="inlineStr">
        <is>
          <t xml:space="preserve"> </t>
        </is>
      </c>
      <c r="B87" s="352" t="n"/>
      <c r="C87" s="397" t="n"/>
      <c r="D87" s="397" t="n"/>
      <c r="E87" s="398" t="n"/>
      <c r="F87" s="399" t="n"/>
      <c r="G87" s="400" t="n"/>
      <c r="H87" s="401" t="n"/>
      <c r="I87" s="402" t="n"/>
      <c r="J87" s="403" t="inlineStr">
        <is>
          <t>Qs  =</t>
        </is>
      </c>
      <c r="K87" s="404" t="n">
        <v>2</v>
      </c>
      <c r="L87" s="404">
        <f>(D84+E84)*2*G84</f>
        <v/>
      </c>
      <c r="M87" s="404" t="n">
        <v>0.9</v>
      </c>
      <c r="N87" s="404" t="n">
        <v>0.67</v>
      </c>
      <c r="O87" s="381" t="n">
        <v>26</v>
      </c>
      <c r="P87" s="404" t="n">
        <v>1</v>
      </c>
      <c r="Q87" s="383">
        <f>K87*L87*M87*N87*O87*P87</f>
        <v/>
      </c>
    </row>
    <row r="88" ht="9.949999999999999" customFormat="1" customHeight="1" s="351">
      <c r="A88" s="405" t="n"/>
      <c r="B88" s="406" t="n"/>
      <c r="C88" s="397" t="n"/>
      <c r="D88" s="397" t="n"/>
      <c r="E88" s="378" t="n"/>
      <c r="F88" s="256" t="n"/>
      <c r="G88" s="407" t="n"/>
      <c r="H88" s="397" t="n"/>
      <c r="I88" s="397" t="n"/>
      <c r="J88" s="397" t="n"/>
      <c r="K88" s="407" t="n"/>
      <c r="L88" s="408" t="n"/>
      <c r="M88" s="409" t="inlineStr">
        <is>
          <t xml:space="preserve">   TOPLAM ISI KAYBI =</t>
        </is>
      </c>
      <c r="N88" s="409" t="n"/>
      <c r="O88" s="410" t="n"/>
      <c r="P88" s="409" t="n"/>
      <c r="Q88" s="411">
        <f>Q85+Q87</f>
        <v/>
      </c>
    </row>
    <row r="89" ht="10.35" customFormat="1" customHeight="1" s="356">
      <c r="A89" s="359" t="n"/>
      <c r="B89" s="360" t="n"/>
      <c r="C89" s="360" t="n"/>
      <c r="D89" s="360" t="n"/>
      <c r="E89" s="360" t="n"/>
      <c r="F89" s="361" t="inlineStr">
        <is>
          <t>1</t>
        </is>
      </c>
      <c r="G89" s="362" t="inlineStr">
        <is>
          <t>0</t>
        </is>
      </c>
      <c r="H89" s="360" t="inlineStr">
        <is>
          <t>113</t>
        </is>
      </c>
      <c r="I89" s="363" t="inlineStr">
        <is>
          <t>DAİRE 2 YATAK ODASI</t>
        </is>
      </c>
      <c r="J89" s="364" t="n"/>
      <c r="K89" s="360" t="inlineStr">
        <is>
          <t>20ºC</t>
        </is>
      </c>
      <c r="L89" s="360" t="n"/>
      <c r="M89" s="360" t="n"/>
      <c r="N89" s="360" t="n"/>
      <c r="O89" s="360" t="n"/>
      <c r="P89" s="360" t="n"/>
      <c r="Q89" s="365" t="n"/>
    </row>
    <row r="90" ht="9.949999999999999" customFormat="1" customHeight="1" s="356">
      <c r="A90" s="366" t="inlineStr">
        <is>
          <t>DD</t>
        </is>
      </c>
      <c r="B90" s="367" t="inlineStr">
        <is>
          <t>K</t>
        </is>
      </c>
      <c r="C90" s="368" t="n"/>
      <c r="D90" s="369" t="n">
        <v>2.82</v>
      </c>
      <c r="E90" s="369" t="n">
        <v>2.5</v>
      </c>
      <c r="F90" s="370">
        <f>IF(D90=0," ",D90*E90)</f>
        <v/>
      </c>
      <c r="G90" s="371" t="n">
        <v>1</v>
      </c>
      <c r="H90" s="372">
        <f>F92*G92</f>
        <v/>
      </c>
      <c r="I90" s="370">
        <f>IF(F90=" "," ",F90*G90-H90)</f>
        <v/>
      </c>
      <c r="J90" s="369" t="n">
        <v>0.344</v>
      </c>
      <c r="K90" s="371" t="n">
        <v>26</v>
      </c>
      <c r="L90" s="373">
        <f>IF(I90=" "," ",I90*J90*K90)</f>
        <v/>
      </c>
      <c r="M90" s="374" t="n">
        <v>7</v>
      </c>
      <c r="N90" s="371" t="n">
        <v>0</v>
      </c>
      <c r="O90" s="374" t="n">
        <v>5</v>
      </c>
      <c r="P90" s="370">
        <f>IF(M90=" "," ",(1+(M90+N90+O90)/100))</f>
        <v/>
      </c>
      <c r="Q90" s="375">
        <f>IF(L90=" "," ",L90*P90)</f>
        <v/>
      </c>
    </row>
    <row r="91" ht="9.949999999999999" customFormat="1" customHeight="1" s="356">
      <c r="A91" s="366" t="inlineStr">
        <is>
          <t>DD25</t>
        </is>
      </c>
      <c r="B91" s="367" t="inlineStr">
        <is>
          <t>K</t>
        </is>
      </c>
      <c r="C91" s="368" t="n"/>
      <c r="D91" s="369">
        <f>D90</f>
        <v/>
      </c>
      <c r="E91" s="369" t="n">
        <v>0.5</v>
      </c>
      <c r="F91" s="370">
        <f>IF(D91=0," ",D91*E91)</f>
        <v/>
      </c>
      <c r="G91" s="371" t="n">
        <v>1</v>
      </c>
      <c r="H91" s="372" t="n"/>
      <c r="I91" s="370">
        <f>IF(F91=" "," ",F91*G91-H91)</f>
        <v/>
      </c>
      <c r="J91" s="369" t="n">
        <v>0.387</v>
      </c>
      <c r="K91" s="371" t="n">
        <v>26</v>
      </c>
      <c r="L91" s="373">
        <f>IF(I91=" "," ",I91*J91*K91)</f>
        <v/>
      </c>
      <c r="M91" s="374" t="n">
        <v>7</v>
      </c>
      <c r="N91" s="371" t="n">
        <v>0</v>
      </c>
      <c r="O91" s="374" t="n">
        <v>5</v>
      </c>
      <c r="P91" s="370">
        <f>IF(M91=" "," ",(1+(M91+N91+O91)/100))</f>
        <v/>
      </c>
      <c r="Q91" s="375">
        <f>IF(L91=" "," ",L91*P91)</f>
        <v/>
      </c>
    </row>
    <row r="92" ht="9.949999999999999" customFormat="1" customHeight="1" s="356">
      <c r="A92" s="366" t="inlineStr">
        <is>
          <t>ÇP</t>
        </is>
      </c>
      <c r="B92" s="367" t="inlineStr">
        <is>
          <t>K</t>
        </is>
      </c>
      <c r="C92" s="368" t="n"/>
      <c r="D92" s="369" t="n">
        <v>1.5</v>
      </c>
      <c r="E92" s="369" t="n">
        <v>1.6</v>
      </c>
      <c r="F92" s="370">
        <f>IF(D92=0," ",D92*E92)</f>
        <v/>
      </c>
      <c r="G92" s="371" t="n">
        <v>1</v>
      </c>
      <c r="H92" s="372" t="n"/>
      <c r="I92" s="370">
        <f>IF(F92=" "," ",F92*G92-H92)</f>
        <v/>
      </c>
      <c r="J92" s="369" t="n">
        <v>1.8</v>
      </c>
      <c r="K92" s="371" t="n">
        <v>26</v>
      </c>
      <c r="L92" s="373">
        <f>IF(I92=" "," ",I92*J92*K92)</f>
        <v/>
      </c>
      <c r="M92" s="374" t="n">
        <v>7</v>
      </c>
      <c r="N92" s="371" t="n">
        <v>0</v>
      </c>
      <c r="O92" s="374" t="n">
        <v>5</v>
      </c>
      <c r="P92" s="370">
        <f>IF(M92=" "," ",(1+(M92+N92+O92)/100))</f>
        <v/>
      </c>
      <c r="Q92" s="375">
        <f>IF(L92=" "," ",L92*P92)</f>
        <v/>
      </c>
    </row>
    <row r="93" ht="9.949999999999999" customFormat="1" customHeight="1" s="356">
      <c r="A93" s="366" t="inlineStr">
        <is>
          <t>İDM</t>
        </is>
      </c>
      <c r="B93" s="367" t="inlineStr"/>
      <c r="C93" s="368" t="n"/>
      <c r="D93" s="369" t="n">
        <v>3.35</v>
      </c>
      <c r="E93" s="369" t="n">
        <v>3</v>
      </c>
      <c r="F93" s="370">
        <f>IF(D93=0," ",D93*E93)</f>
        <v/>
      </c>
      <c r="G93" s="371" t="n">
        <v>1</v>
      </c>
      <c r="H93" s="372" t="n"/>
      <c r="I93" s="370">
        <f>IF(F93=" "," ",F93*G93-H93)</f>
        <v/>
      </c>
      <c r="J93" s="369" t="n">
        <v>0.332</v>
      </c>
      <c r="K93" s="371" t="n">
        <v>10</v>
      </c>
      <c r="L93" s="373">
        <f>IF(I93=" "," ",I93*J93*K93)</f>
        <v/>
      </c>
      <c r="M93" s="374" t="n">
        <v>7</v>
      </c>
      <c r="N93" s="371" t="n">
        <v>0</v>
      </c>
      <c r="O93" s="374" t="n">
        <v>0</v>
      </c>
      <c r="P93" s="370">
        <f>IF(M93=" "," ",(1+(M93+N93+O93)/100))</f>
        <v/>
      </c>
      <c r="Q93" s="375">
        <f>IF(L93=" "," ",L93*P93)</f>
        <v/>
      </c>
    </row>
    <row r="94" ht="9.949999999999999" customFormat="1" customHeight="1" s="356">
      <c r="A94" s="376" t="n"/>
      <c r="B94" s="377" t="n"/>
      <c r="C94" s="377" t="n"/>
      <c r="D94" s="378" t="n"/>
      <c r="E94" s="378" t="n"/>
      <c r="F94" s="378" t="n"/>
      <c r="G94" s="379" t="n"/>
      <c r="H94" s="378" t="n"/>
      <c r="I94" s="378" t="n"/>
      <c r="J94" s="378" t="n"/>
      <c r="K94" s="379" t="n"/>
      <c r="L94" s="380" t="n"/>
      <c r="M94" s="381" t="n"/>
      <c r="N94" s="381" t="n"/>
      <c r="O94" s="381" t="n"/>
      <c r="P94" s="382" t="n"/>
      <c r="Q94" s="383">
        <f>SUM(Q90:Q93)</f>
        <v/>
      </c>
    </row>
    <row r="95" ht="9.949999999999999" customFormat="1" customHeight="1" s="356">
      <c r="A95" s="384" t="n"/>
      <c r="B95" s="385" t="n"/>
      <c r="C95" s="385" t="n"/>
      <c r="D95" s="386" t="n"/>
      <c r="E95" s="387" t="n"/>
      <c r="F95" s="388" t="n"/>
      <c r="G95" s="389" t="n"/>
      <c r="H95" s="388" t="n"/>
      <c r="I95" s="390" t="n"/>
      <c r="J95" s="391" t="inlineStr">
        <is>
          <t>Qs=</t>
        </is>
      </c>
      <c r="K95" s="390" t="inlineStr">
        <is>
          <t>S a</t>
        </is>
      </c>
      <c r="L95" s="388" t="inlineStr">
        <is>
          <t>L</t>
        </is>
      </c>
      <c r="M95" s="389" t="inlineStr">
        <is>
          <t>R</t>
        </is>
      </c>
      <c r="N95" s="392" t="inlineStr">
        <is>
          <t>H</t>
        </is>
      </c>
      <c r="O95" s="393" t="inlineStr">
        <is>
          <t>D  T</t>
        </is>
      </c>
      <c r="P95" s="389" t="inlineStr">
        <is>
          <t>Ze</t>
        </is>
      </c>
      <c r="Q95" s="394" t="n"/>
    </row>
    <row r="96" ht="9.949999999999999" customFormat="1" customHeight="1" s="356">
      <c r="A96" s="395" t="inlineStr">
        <is>
          <t xml:space="preserve"> </t>
        </is>
      </c>
      <c r="B96" s="396" t="n"/>
      <c r="C96" s="397" t="n"/>
      <c r="D96" s="397" t="n"/>
      <c r="E96" s="398" t="n"/>
      <c r="F96" s="399" t="n"/>
      <c r="G96" s="400" t="n"/>
      <c r="H96" s="401" t="n"/>
      <c r="I96" s="402" t="n"/>
      <c r="J96" s="403" t="inlineStr">
        <is>
          <t>Qs  =</t>
        </is>
      </c>
      <c r="K96" s="404" t="n">
        <v>2</v>
      </c>
      <c r="L96" s="404">
        <f>(D92+E92)*2*G92</f>
        <v/>
      </c>
      <c r="M96" s="404" t="n">
        <v>0.9</v>
      </c>
      <c r="N96" s="404" t="n">
        <v>0.67</v>
      </c>
      <c r="O96" s="381" t="n">
        <v>26</v>
      </c>
      <c r="P96" s="404" t="n">
        <v>1</v>
      </c>
      <c r="Q96" s="383">
        <f>K96*L96*M96*N96*O96*P96</f>
        <v/>
      </c>
    </row>
    <row r="97" ht="9.949999999999999" customFormat="1" customHeight="1" s="356">
      <c r="A97" s="405" t="n"/>
      <c r="B97" s="406" t="n"/>
      <c r="C97" s="397" t="n"/>
      <c r="D97" s="397" t="n"/>
      <c r="E97" s="378" t="n"/>
      <c r="F97" s="256" t="n"/>
      <c r="G97" s="407" t="n"/>
      <c r="H97" s="397" t="n"/>
      <c r="I97" s="397" t="n"/>
      <c r="J97" s="397" t="n"/>
      <c r="K97" s="407" t="n"/>
      <c r="L97" s="408" t="n"/>
      <c r="M97" s="409" t="inlineStr">
        <is>
          <t xml:space="preserve">   TOPLAM ISI KAYBI =</t>
        </is>
      </c>
      <c r="N97" s="409" t="n"/>
      <c r="O97" s="410" t="n"/>
      <c r="P97" s="409" t="n"/>
      <c r="Q97" s="411">
        <f>Q94+Q96</f>
        <v/>
      </c>
    </row>
    <row r="98" ht="10.35" customFormat="1" customHeight="1" s="356">
      <c r="A98" s="359" t="n"/>
      <c r="B98" s="360" t="n"/>
      <c r="C98" s="360" t="n"/>
      <c r="D98" s="360" t="n"/>
      <c r="E98" s="360" t="n"/>
      <c r="F98" s="361" t="inlineStr">
        <is>
          <t>1</t>
        </is>
      </c>
      <c r="G98" s="362" t="inlineStr">
        <is>
          <t>0</t>
        </is>
      </c>
      <c r="H98" s="360" t="inlineStr">
        <is>
          <t>114</t>
        </is>
      </c>
      <c r="I98" s="363" t="inlineStr">
        <is>
          <t>DAİRE 2 ODA</t>
        </is>
      </c>
      <c r="J98" s="364" t="n"/>
      <c r="K98" s="360" t="inlineStr">
        <is>
          <t>20ºC</t>
        </is>
      </c>
      <c r="L98" s="360" t="n"/>
      <c r="M98" s="360" t="n"/>
      <c r="N98" s="360" t="n"/>
      <c r="O98" s="360" t="n"/>
      <c r="P98" s="360" t="n"/>
      <c r="Q98" s="365" t="n"/>
    </row>
    <row r="99" ht="9.949999999999999" customFormat="1" customHeight="1" s="356">
      <c r="A99" s="366" t="inlineStr">
        <is>
          <t>DD</t>
        </is>
      </c>
      <c r="B99" s="367" t="inlineStr">
        <is>
          <t>K</t>
        </is>
      </c>
      <c r="C99" s="368" t="n"/>
      <c r="D99" s="369" t="n">
        <v>2.16</v>
      </c>
      <c r="E99" s="369" t="n">
        <v>2.5</v>
      </c>
      <c r="F99" s="370">
        <f>IF(D99=0," ",D99*E99)</f>
        <v/>
      </c>
      <c r="G99" s="371" t="n">
        <v>1</v>
      </c>
      <c r="H99" s="372">
        <f>F101*G101</f>
        <v/>
      </c>
      <c r="I99" s="370">
        <f>IF(F99=" "," ",F99*G99-H99)</f>
        <v/>
      </c>
      <c r="J99" s="369" t="n">
        <v>0.344</v>
      </c>
      <c r="K99" s="371" t="n">
        <v>26</v>
      </c>
      <c r="L99" s="373">
        <f>IF(I99=" "," ",I99*J99*K99)</f>
        <v/>
      </c>
      <c r="M99" s="374" t="n">
        <v>7</v>
      </c>
      <c r="N99" s="371" t="n">
        <v>0</v>
      </c>
      <c r="O99" s="374" t="n">
        <v>5</v>
      </c>
      <c r="P99" s="370">
        <f>IF(M99=" "," ",(1+(M99+N99+O99)/100))</f>
        <v/>
      </c>
      <c r="Q99" s="375">
        <f>IF(L99=" "," ",L99*P99)</f>
        <v/>
      </c>
    </row>
    <row r="100" ht="9.949999999999999" customFormat="1" customHeight="1" s="356">
      <c r="A100" s="366" t="inlineStr">
        <is>
          <t>DD25</t>
        </is>
      </c>
      <c r="B100" s="367" t="inlineStr">
        <is>
          <t>K</t>
        </is>
      </c>
      <c r="C100" s="368" t="n"/>
      <c r="D100" s="369">
        <f>D99</f>
        <v/>
      </c>
      <c r="E100" s="369" t="n">
        <v>0.5</v>
      </c>
      <c r="F100" s="370">
        <f>IF(D100=0," ",D100*E100)</f>
        <v/>
      </c>
      <c r="G100" s="371" t="n">
        <v>1</v>
      </c>
      <c r="H100" s="372" t="n"/>
      <c r="I100" s="370">
        <f>IF(F100=" "," ",F100*G100-H100)</f>
        <v/>
      </c>
      <c r="J100" s="369" t="n">
        <v>0.387</v>
      </c>
      <c r="K100" s="371" t="n">
        <v>26</v>
      </c>
      <c r="L100" s="373">
        <f>IF(I100=" "," ",I100*J100*K100)</f>
        <v/>
      </c>
      <c r="M100" s="374" t="n">
        <v>7</v>
      </c>
      <c r="N100" s="371" t="n">
        <v>0</v>
      </c>
      <c r="O100" s="374" t="n">
        <v>5</v>
      </c>
      <c r="P100" s="370">
        <f>IF(M100=" "," ",(1+(M100+N100+O100)/100))</f>
        <v/>
      </c>
      <c r="Q100" s="375">
        <f>IF(L100=" "," ",L100*P100)</f>
        <v/>
      </c>
    </row>
    <row r="101" ht="9.949999999999999" customFormat="1" customHeight="1" s="356">
      <c r="A101" s="366" t="inlineStr">
        <is>
          <t>ÇP</t>
        </is>
      </c>
      <c r="B101" s="367" t="inlineStr">
        <is>
          <t>K</t>
        </is>
      </c>
      <c r="C101" s="368" t="n"/>
      <c r="D101" s="369" t="n">
        <v>1.5</v>
      </c>
      <c r="E101" s="369" t="n">
        <v>1.6</v>
      </c>
      <c r="F101" s="370">
        <f>IF(D101=0," ",D101*E101)</f>
        <v/>
      </c>
      <c r="G101" s="371" t="n">
        <v>1</v>
      </c>
      <c r="H101" s="372" t="n"/>
      <c r="I101" s="370">
        <f>IF(F101=" "," ",F101*G101-H101)</f>
        <v/>
      </c>
      <c r="J101" s="369" t="n">
        <v>1.8</v>
      </c>
      <c r="K101" s="371" t="n">
        <v>26</v>
      </c>
      <c r="L101" s="373">
        <f>IF(I101=" "," ",I101*J101*K101)</f>
        <v/>
      </c>
      <c r="M101" s="374" t="n">
        <v>7</v>
      </c>
      <c r="N101" s="371" t="n">
        <v>0</v>
      </c>
      <c r="O101" s="374" t="n">
        <v>5</v>
      </c>
      <c r="P101" s="370">
        <f>IF(M101=" "," ",(1+(M101+N101+O101)/100))</f>
        <v/>
      </c>
      <c r="Q101" s="375">
        <f>IF(L101=" "," ",L101*P101)</f>
        <v/>
      </c>
    </row>
    <row r="102" ht="9.949999999999999" customFormat="1" customHeight="1" s="412">
      <c r="A102" s="376" t="n"/>
      <c r="B102" s="377" t="n"/>
      <c r="C102" s="377" t="n"/>
      <c r="D102" s="378" t="n"/>
      <c r="E102" s="378" t="n"/>
      <c r="F102" s="378" t="n"/>
      <c r="G102" s="379" t="n"/>
      <c r="H102" s="378" t="n"/>
      <c r="I102" s="378" t="n"/>
      <c r="J102" s="378" t="n"/>
      <c r="K102" s="379" t="n"/>
      <c r="L102" s="380" t="n"/>
      <c r="M102" s="381" t="n"/>
      <c r="N102" s="381" t="n"/>
      <c r="O102" s="381" t="n"/>
      <c r="P102" s="382" t="n"/>
      <c r="Q102" s="383">
        <f>SUM(Q99:Q101)</f>
        <v/>
      </c>
    </row>
    <row r="103" ht="9.949999999999999" customFormat="1" customHeight="1" s="412">
      <c r="A103" s="384" t="n"/>
      <c r="B103" s="385" t="n"/>
      <c r="C103" s="385" t="n"/>
      <c r="D103" s="386" t="n"/>
      <c r="E103" s="387" t="n"/>
      <c r="F103" s="388" t="n"/>
      <c r="G103" s="389" t="n"/>
      <c r="H103" s="388" t="n"/>
      <c r="I103" s="390" t="n"/>
      <c r="J103" s="391" t="inlineStr">
        <is>
          <t>Qs=</t>
        </is>
      </c>
      <c r="K103" s="390" t="inlineStr">
        <is>
          <t>S a</t>
        </is>
      </c>
      <c r="L103" s="388" t="inlineStr">
        <is>
          <t>L</t>
        </is>
      </c>
      <c r="M103" s="389" t="inlineStr">
        <is>
          <t>R</t>
        </is>
      </c>
      <c r="N103" s="392" t="inlineStr">
        <is>
          <t>H</t>
        </is>
      </c>
      <c r="O103" s="393" t="inlineStr">
        <is>
          <t>D  T</t>
        </is>
      </c>
      <c r="P103" s="389" t="inlineStr">
        <is>
          <t>Ze</t>
        </is>
      </c>
      <c r="Q103" s="394" t="n"/>
    </row>
    <row r="104" ht="9.949999999999999" customFormat="1" customHeight="1" s="351">
      <c r="A104" s="395" t="inlineStr">
        <is>
          <t xml:space="preserve"> </t>
        </is>
      </c>
      <c r="B104" s="412" t="n"/>
      <c r="C104" s="397" t="n"/>
      <c r="D104" s="397" t="n"/>
      <c r="E104" s="398" t="n"/>
      <c r="F104" s="399" t="n"/>
      <c r="G104" s="400" t="n"/>
      <c r="H104" s="401" t="n"/>
      <c r="I104" s="402" t="n"/>
      <c r="J104" s="403" t="inlineStr">
        <is>
          <t>Qs  =</t>
        </is>
      </c>
      <c r="K104" s="404" t="n">
        <v>2</v>
      </c>
      <c r="L104" s="404">
        <f>(D101+E101)*2*G101</f>
        <v/>
      </c>
      <c r="M104" s="404" t="n">
        <v>0.9</v>
      </c>
      <c r="N104" s="404" t="n">
        <v>0.67</v>
      </c>
      <c r="O104" s="381" t="n">
        <v>26</v>
      </c>
      <c r="P104" s="404" t="n">
        <v>1</v>
      </c>
      <c r="Q104" s="383">
        <f>K104*L104*M104*N104*O104*P104</f>
        <v/>
      </c>
    </row>
    <row r="105" ht="9.949999999999999" customFormat="1" customHeight="1" s="356">
      <c r="A105" s="405" t="n"/>
      <c r="B105" s="406" t="n"/>
      <c r="C105" s="397" t="n"/>
      <c r="D105" s="397" t="n"/>
      <c r="E105" s="378" t="n"/>
      <c r="F105" s="256" t="n"/>
      <c r="G105" s="407" t="n"/>
      <c r="H105" s="397" t="n"/>
      <c r="I105" s="397" t="n"/>
      <c r="J105" s="397" t="n"/>
      <c r="K105" s="407" t="n"/>
      <c r="L105" s="408" t="n"/>
      <c r="M105" s="409" t="inlineStr">
        <is>
          <t xml:space="preserve">   TOPLAM ISI KAYBI =</t>
        </is>
      </c>
      <c r="N105" s="409" t="n"/>
      <c r="O105" s="410" t="n"/>
      <c r="P105" s="409" t="n"/>
      <c r="Q105" s="411">
        <f>Q102+Q104</f>
        <v/>
      </c>
    </row>
    <row r="106" ht="10.35" customFormat="1" customHeight="1" s="356">
      <c r="A106" s="359" t="n"/>
      <c r="B106" s="360" t="n"/>
      <c r="C106" s="360" t="n"/>
      <c r="D106" s="360" t="n"/>
      <c r="E106" s="360" t="n"/>
      <c r="F106" s="361" t="inlineStr">
        <is>
          <t>1</t>
        </is>
      </c>
      <c r="G106" s="362" t="inlineStr">
        <is>
          <t>0</t>
        </is>
      </c>
      <c r="H106" s="360" t="inlineStr">
        <is>
          <t>115</t>
        </is>
      </c>
      <c r="I106" s="363" t="inlineStr">
        <is>
          <t>DAİRE 2 BANYO</t>
        </is>
      </c>
      <c r="J106" s="364" t="n"/>
      <c r="K106" s="360" t="inlineStr">
        <is>
          <t>26ºC</t>
        </is>
      </c>
      <c r="L106" s="360" t="n"/>
      <c r="M106" s="360" t="n"/>
      <c r="N106" s="360" t="n"/>
      <c r="O106" s="360" t="n"/>
      <c r="P106" s="360" t="n"/>
      <c r="Q106" s="365" t="n"/>
    </row>
    <row r="107" ht="9.949999999999999" customFormat="1" customHeight="1" s="356">
      <c r="A107" s="366" t="inlineStr">
        <is>
          <t>DD</t>
        </is>
      </c>
      <c r="B107" s="367" t="inlineStr">
        <is>
          <t>G</t>
        </is>
      </c>
      <c r="C107" s="368" t="n"/>
      <c r="D107" s="369" t="n">
        <v>2</v>
      </c>
      <c r="E107" s="369" t="n">
        <v>2.5</v>
      </c>
      <c r="F107" s="370">
        <f>IF(D107=0," ",D107*E107)</f>
        <v/>
      </c>
      <c r="G107" s="371" t="n">
        <v>1</v>
      </c>
      <c r="H107" s="372">
        <f>F109*G109</f>
        <v/>
      </c>
      <c r="I107" s="370">
        <f>IF(F107=" "," ",F107*G107-H107)</f>
        <v/>
      </c>
      <c r="J107" s="369" t="n">
        <v>0.344</v>
      </c>
      <c r="K107" s="371" t="n">
        <v>32</v>
      </c>
      <c r="L107" s="373">
        <f>IF(I107=" "," ",I107*J107*K107)</f>
        <v/>
      </c>
      <c r="M107" s="374" t="n">
        <v>7</v>
      </c>
      <c r="N107" s="371" t="n">
        <v>0</v>
      </c>
      <c r="O107" s="374" t="n">
        <v>-5</v>
      </c>
      <c r="P107" s="370">
        <f>IF(M107=" "," ",(1+(M107+N107+O107)/100))</f>
        <v/>
      </c>
      <c r="Q107" s="375">
        <f>IF(L107=" "," ",L107*P107)</f>
        <v/>
      </c>
    </row>
    <row r="108" ht="9.949999999999999" customFormat="1" customHeight="1" s="356">
      <c r="A108" s="366" t="inlineStr">
        <is>
          <t>DD25</t>
        </is>
      </c>
      <c r="B108" s="367" t="inlineStr">
        <is>
          <t>G</t>
        </is>
      </c>
      <c r="C108" s="368" t="n"/>
      <c r="D108" s="369">
        <f>D107</f>
        <v/>
      </c>
      <c r="E108" s="369" t="n">
        <v>0.5</v>
      </c>
      <c r="F108" s="370">
        <f>IF(D108=0," ",D108*E108)</f>
        <v/>
      </c>
      <c r="G108" s="371" t="n">
        <v>1</v>
      </c>
      <c r="H108" s="372" t="n"/>
      <c r="I108" s="370">
        <f>IF(F108=" "," ",F108*G108-H108)</f>
        <v/>
      </c>
      <c r="J108" s="369" t="n">
        <v>0.387</v>
      </c>
      <c r="K108" s="371" t="n">
        <v>32</v>
      </c>
      <c r="L108" s="373">
        <f>IF(I108=" "," ",I108*J108*K108)</f>
        <v/>
      </c>
      <c r="M108" s="374" t="n">
        <v>7</v>
      </c>
      <c r="N108" s="371" t="n">
        <v>0</v>
      </c>
      <c r="O108" s="374" t="n">
        <v>-5</v>
      </c>
      <c r="P108" s="370">
        <f>IF(M108=" "," ",(1+(M108+N108+O108)/100))</f>
        <v/>
      </c>
      <c r="Q108" s="375">
        <f>IF(L108=" "," ",L108*P108)</f>
        <v/>
      </c>
    </row>
    <row r="109" ht="9.949999999999999" customFormat="1" customHeight="1" s="356">
      <c r="A109" s="366" t="inlineStr">
        <is>
          <t>ÇP</t>
        </is>
      </c>
      <c r="B109" s="367" t="inlineStr">
        <is>
          <t>G</t>
        </is>
      </c>
      <c r="C109" s="368" t="n"/>
      <c r="D109" s="369" t="n">
        <v>0.5</v>
      </c>
      <c r="E109" s="369" t="n">
        <v>0.65</v>
      </c>
      <c r="F109" s="370">
        <f>IF(D109=0," ",D109*E109)</f>
        <v/>
      </c>
      <c r="G109" s="371" t="n">
        <v>1</v>
      </c>
      <c r="H109" s="372" t="n"/>
      <c r="I109" s="370">
        <f>IF(F109=" "," ",F109*G109-H109)</f>
        <v/>
      </c>
      <c r="J109" s="369" t="n">
        <v>1.8</v>
      </c>
      <c r="K109" s="371" t="n">
        <v>32</v>
      </c>
      <c r="L109" s="373">
        <f>IF(I109=" "," ",I109*J109*K109)</f>
        <v/>
      </c>
      <c r="M109" s="374" t="n">
        <v>7</v>
      </c>
      <c r="N109" s="371" t="n">
        <v>0</v>
      </c>
      <c r="O109" s="374" t="n">
        <v>-5</v>
      </c>
      <c r="P109" s="370">
        <f>IF(M109=" "," ",(1+(M109+N109+O109)/100))</f>
        <v/>
      </c>
      <c r="Q109" s="375">
        <f>IF(L109=" "," ",L109*P109)</f>
        <v/>
      </c>
    </row>
    <row r="110" ht="9.949999999999999" customFormat="1" customHeight="1" s="356">
      <c r="A110" s="376" t="n"/>
      <c r="B110" s="377" t="n"/>
      <c r="C110" s="377" t="n"/>
      <c r="D110" s="378" t="n"/>
      <c r="E110" s="378" t="n"/>
      <c r="F110" s="378" t="n"/>
      <c r="G110" s="379" t="n"/>
      <c r="H110" s="378" t="n"/>
      <c r="I110" s="378" t="n"/>
      <c r="J110" s="378" t="n"/>
      <c r="K110" s="379" t="n"/>
      <c r="L110" s="380" t="n"/>
      <c r="M110" s="381" t="n"/>
      <c r="N110" s="381" t="n"/>
      <c r="O110" s="381" t="n"/>
      <c r="P110" s="382" t="n"/>
      <c r="Q110" s="383">
        <f>SUM(Q107:Q109)</f>
        <v/>
      </c>
    </row>
    <row r="111" ht="9.949999999999999" customFormat="1" customHeight="1" s="356">
      <c r="A111" s="384" t="n"/>
      <c r="B111" s="385" t="n"/>
      <c r="C111" s="385" t="n"/>
      <c r="D111" s="386" t="n"/>
      <c r="E111" s="387" t="n"/>
      <c r="F111" s="388" t="n"/>
      <c r="G111" s="389" t="n"/>
      <c r="H111" s="388" t="n"/>
      <c r="I111" s="390" t="n"/>
      <c r="J111" s="391" t="inlineStr">
        <is>
          <t>Qs=</t>
        </is>
      </c>
      <c r="K111" s="390" t="inlineStr">
        <is>
          <t>S a</t>
        </is>
      </c>
      <c r="L111" s="388" t="inlineStr">
        <is>
          <t>L</t>
        </is>
      </c>
      <c r="M111" s="389" t="inlineStr">
        <is>
          <t>R</t>
        </is>
      </c>
      <c r="N111" s="392" t="inlineStr">
        <is>
          <t>H</t>
        </is>
      </c>
      <c r="O111" s="393" t="inlineStr">
        <is>
          <t>D  T</t>
        </is>
      </c>
      <c r="P111" s="389" t="inlineStr">
        <is>
          <t>Ze</t>
        </is>
      </c>
      <c r="Q111" s="394" t="n"/>
    </row>
    <row r="112" ht="9.949999999999999" customFormat="1" customHeight="1" s="356">
      <c r="A112" s="395" t="inlineStr">
        <is>
          <t xml:space="preserve"> </t>
        </is>
      </c>
      <c r="B112" s="396" t="n"/>
      <c r="C112" s="397" t="n"/>
      <c r="D112" s="397" t="n"/>
      <c r="E112" s="398" t="n"/>
      <c r="F112" s="399" t="n"/>
      <c r="G112" s="400" t="n"/>
      <c r="H112" s="401" t="n"/>
      <c r="I112" s="402" t="n"/>
      <c r="J112" s="403" t="inlineStr">
        <is>
          <t>Qs  =</t>
        </is>
      </c>
      <c r="K112" s="404" t="n">
        <v>2</v>
      </c>
      <c r="L112" s="404">
        <f>(D109+E109)*2*G109</f>
        <v/>
      </c>
      <c r="M112" s="404" t="n">
        <v>0.9</v>
      </c>
      <c r="N112" s="404" t="n">
        <v>0.67</v>
      </c>
      <c r="O112" s="381" t="n">
        <v>32</v>
      </c>
      <c r="P112" s="404" t="n">
        <v>1</v>
      </c>
      <c r="Q112" s="383">
        <f>K112*L112*M112*N112*O112*P112</f>
        <v/>
      </c>
    </row>
    <row r="113" ht="9.949999999999999" customFormat="1" customHeight="1" s="356">
      <c r="A113" s="405" t="n"/>
      <c r="B113" s="406" t="n"/>
      <c r="C113" s="397" t="n"/>
      <c r="D113" s="397" t="n"/>
      <c r="E113" s="378" t="n"/>
      <c r="F113" s="256" t="n"/>
      <c r="G113" s="407" t="n"/>
      <c r="H113" s="397" t="n"/>
      <c r="I113" s="397" t="n"/>
      <c r="J113" s="397" t="n"/>
      <c r="K113" s="407" t="n"/>
      <c r="L113" s="408" t="n"/>
      <c r="M113" s="409" t="inlineStr">
        <is>
          <t xml:space="preserve">   TOPLAM ISI KAYBI =</t>
        </is>
      </c>
      <c r="N113" s="409" t="n"/>
      <c r="O113" s="410" t="n"/>
      <c r="P113" s="409" t="n"/>
      <c r="Q113" s="411">
        <f>Q110+Q112</f>
        <v/>
      </c>
    </row>
    <row r="114" ht="10.35" customFormat="1" customHeight="1" s="356">
      <c r="A114" s="359" t="n"/>
      <c r="B114" s="360" t="n"/>
      <c r="C114" s="360" t="n"/>
      <c r="D114" s="360" t="n"/>
      <c r="E114" s="360" t="n"/>
      <c r="F114" s="361" t="inlineStr">
        <is>
          <t>1</t>
        </is>
      </c>
      <c r="G114" s="362" t="inlineStr">
        <is>
          <t>0</t>
        </is>
      </c>
      <c r="H114" s="360" t="inlineStr">
        <is>
          <t>117</t>
        </is>
      </c>
      <c r="I114" s="363" t="inlineStr">
        <is>
          <t>DAİRE 2 HOL</t>
        </is>
      </c>
      <c r="J114" s="364" t="n"/>
      <c r="K114" s="360" t="inlineStr">
        <is>
          <t>18ºC</t>
        </is>
      </c>
      <c r="L114" s="360" t="n"/>
      <c r="M114" s="360" t="n"/>
      <c r="N114" s="360" t="n"/>
      <c r="O114" s="360" t="n"/>
      <c r="P114" s="360" t="n"/>
      <c r="Q114" s="365" t="n"/>
    </row>
    <row r="115" ht="9.949999999999999" customFormat="1" customHeight="1" s="356">
      <c r="A115" s="366" t="inlineStr">
        <is>
          <t>DD</t>
        </is>
      </c>
      <c r="B115" s="367" t="inlineStr">
        <is>
          <t>G</t>
        </is>
      </c>
      <c r="C115" s="368" t="n"/>
      <c r="D115" s="369" t="n">
        <v>2.5</v>
      </c>
      <c r="E115" s="369" t="n">
        <v>2.5</v>
      </c>
      <c r="F115" s="370">
        <f>IF(D115=0," ",D115*E115)</f>
        <v/>
      </c>
      <c r="G115" s="371" t="n">
        <v>1</v>
      </c>
      <c r="H115" s="372" t="n"/>
      <c r="I115" s="370">
        <f>IF(F115=" "," ",F115*G115-H115)</f>
        <v/>
      </c>
      <c r="J115" s="369" t="n">
        <v>0.344</v>
      </c>
      <c r="K115" s="371" t="n">
        <v>24</v>
      </c>
      <c r="L115" s="373">
        <f>IF(I115=" "," ",I115*J115*K115)</f>
        <v/>
      </c>
      <c r="M115" s="374" t="n">
        <v>7</v>
      </c>
      <c r="N115" s="371" t="n">
        <v>0</v>
      </c>
      <c r="O115" s="374" t="n">
        <v>-5</v>
      </c>
      <c r="P115" s="370">
        <f>IF(M115=" "," ",(1+(M115+N115+O115)/100))</f>
        <v/>
      </c>
      <c r="Q115" s="375">
        <f>IF(L115=" "," ",L115*P115)</f>
        <v/>
      </c>
    </row>
    <row r="116" ht="9.949999999999999" customFormat="1" customHeight="1" s="412">
      <c r="A116" s="366" t="inlineStr">
        <is>
          <t>DD25</t>
        </is>
      </c>
      <c r="B116" s="367" t="inlineStr">
        <is>
          <t>G</t>
        </is>
      </c>
      <c r="C116" s="368" t="n"/>
      <c r="D116" s="369">
        <f>D115</f>
        <v/>
      </c>
      <c r="E116" s="369" t="n">
        <v>0.5</v>
      </c>
      <c r="F116" s="370">
        <f>IF(D116=0," ",D116*E116)</f>
        <v/>
      </c>
      <c r="G116" s="371" t="n">
        <v>1</v>
      </c>
      <c r="H116" s="372" t="n"/>
      <c r="I116" s="370">
        <f>IF(F116=" "," ",F116*G116-H116)</f>
        <v/>
      </c>
      <c r="J116" s="369" t="n">
        <v>0.387</v>
      </c>
      <c r="K116" s="371" t="n">
        <v>24</v>
      </c>
      <c r="L116" s="373">
        <f>IF(I116=" "," ",I116*J116*K116)</f>
        <v/>
      </c>
      <c r="M116" s="374" t="n">
        <v>7</v>
      </c>
      <c r="N116" s="371" t="n">
        <v>0</v>
      </c>
      <c r="O116" s="374" t="n">
        <v>-5</v>
      </c>
      <c r="P116" s="370">
        <f>IF(M116=" "," ",(1+(M116+N116+O116)/100))</f>
        <v/>
      </c>
      <c r="Q116" s="375">
        <f>IF(L116=" "," ",L116*P116)</f>
        <v/>
      </c>
    </row>
    <row r="117" ht="9.949999999999999" customFormat="1" customHeight="1" s="412">
      <c r="A117" s="366" t="inlineStr">
        <is>
          <t>İDM</t>
        </is>
      </c>
      <c r="B117" s="367" t="inlineStr"/>
      <c r="C117" s="368" t="n"/>
      <c r="D117" s="369" t="n">
        <v>1.3</v>
      </c>
      <c r="E117" s="369" t="n">
        <v>3</v>
      </c>
      <c r="F117" s="370">
        <f>IF(D117=0," ",D117*E117)</f>
        <v/>
      </c>
      <c r="G117" s="371" t="n">
        <v>1</v>
      </c>
      <c r="H117" s="372">
        <f>F118*G118</f>
        <v/>
      </c>
      <c r="I117" s="370">
        <f>IF(F117=" "," ",F117*G117-H117)</f>
        <v/>
      </c>
      <c r="J117" s="369" t="n">
        <v>0.332</v>
      </c>
      <c r="K117" s="371" t="n">
        <v>8</v>
      </c>
      <c r="L117" s="373">
        <f>IF(I117=" "," ",I117*J117*K117)</f>
        <v/>
      </c>
      <c r="M117" s="374" t="n">
        <v>7</v>
      </c>
      <c r="N117" s="371" t="n">
        <v>0</v>
      </c>
      <c r="O117" s="374" t="n">
        <v>0</v>
      </c>
      <c r="P117" s="370">
        <f>IF(M117=" "," ",(1+(M117+N117+O117)/100))</f>
        <v/>
      </c>
      <c r="Q117" s="375">
        <f>IF(L117=" "," ",L117*P117)</f>
        <v/>
      </c>
    </row>
    <row r="118" ht="9.949999999999999" customFormat="1" customHeight="1" s="351">
      <c r="A118" s="366" t="inlineStr">
        <is>
          <t>DK</t>
        </is>
      </c>
      <c r="B118" s="367" t="inlineStr"/>
      <c r="C118" s="368" t="n"/>
      <c r="D118" s="369" t="n">
        <v>1</v>
      </c>
      <c r="E118" s="369" t="n">
        <v>2.2</v>
      </c>
      <c r="F118" s="370">
        <f>IF(D118=0," ",D118*E118)</f>
        <v/>
      </c>
      <c r="G118" s="371" t="n">
        <v>1</v>
      </c>
      <c r="H118" s="372" t="n"/>
      <c r="I118" s="370">
        <f>IF(F118=" "," ",F118*G118-H118)</f>
        <v/>
      </c>
      <c r="J118" s="369" t="n">
        <v>2</v>
      </c>
      <c r="K118" s="371" t="n">
        <v>8</v>
      </c>
      <c r="L118" s="373">
        <f>IF(I118=" "," ",I118*J118*K118)</f>
        <v/>
      </c>
      <c r="M118" s="374" t="n">
        <v>7</v>
      </c>
      <c r="N118" s="371" t="n">
        <v>0</v>
      </c>
      <c r="O118" s="374" t="n">
        <v>0</v>
      </c>
      <c r="P118" s="370">
        <f>IF(M118=" "," ",(1+(M118+N118+O118)/100))</f>
        <v/>
      </c>
      <c r="Q118" s="375">
        <f>IF(L118=" "," ",L118*P118)</f>
        <v/>
      </c>
    </row>
    <row r="119" ht="9.949999999999999" customFormat="1" customHeight="1" s="356">
      <c r="A119" s="376" t="n"/>
      <c r="B119" s="377" t="n"/>
      <c r="C119" s="377" t="n"/>
      <c r="D119" s="378" t="n"/>
      <c r="E119" s="378" t="n"/>
      <c r="F119" s="378" t="n"/>
      <c r="G119" s="379" t="n"/>
      <c r="H119" s="378" t="n"/>
      <c r="I119" s="378" t="n"/>
      <c r="J119" s="378" t="n"/>
      <c r="K119" s="379" t="n"/>
      <c r="L119" s="380" t="n"/>
      <c r="M119" s="381" t="n"/>
      <c r="N119" s="381" t="n"/>
      <c r="O119" s="381" t="n"/>
      <c r="P119" s="382" t="n"/>
      <c r="Q119" s="383">
        <f>SUM(Q115:Q118)</f>
        <v/>
      </c>
    </row>
    <row r="120" ht="9.949999999999999" customFormat="1" customHeight="1" s="356">
      <c r="A120" s="384" t="n"/>
      <c r="B120" s="385" t="n"/>
      <c r="C120" s="385" t="n"/>
      <c r="D120" s="386" t="n"/>
      <c r="E120" s="387" t="n"/>
      <c r="F120" s="388" t="n"/>
      <c r="G120" s="389" t="n"/>
      <c r="H120" s="388" t="n"/>
      <c r="I120" s="390" t="n"/>
      <c r="J120" s="391" t="inlineStr">
        <is>
          <t>Qs=</t>
        </is>
      </c>
      <c r="K120" s="390" t="inlineStr">
        <is>
          <t>S a</t>
        </is>
      </c>
      <c r="L120" s="388" t="inlineStr">
        <is>
          <t>L</t>
        </is>
      </c>
      <c r="M120" s="389" t="inlineStr">
        <is>
          <t>R</t>
        </is>
      </c>
      <c r="N120" s="392" t="inlineStr">
        <is>
          <t>H</t>
        </is>
      </c>
      <c r="O120" s="393" t="inlineStr">
        <is>
          <t>D  T</t>
        </is>
      </c>
      <c r="P120" s="389" t="inlineStr">
        <is>
          <t>Ze</t>
        </is>
      </c>
      <c r="Q120" s="394" t="n"/>
    </row>
    <row r="121" ht="9.949999999999999" customFormat="1" customHeight="1" s="356">
      <c r="A121" s="395" t="inlineStr">
        <is>
          <t xml:space="preserve"> </t>
        </is>
      </c>
      <c r="B121" s="396" t="n"/>
      <c r="C121" s="397" t="n"/>
      <c r="D121" s="397" t="n"/>
      <c r="E121" s="398" t="n"/>
      <c r="F121" s="399" t="n"/>
      <c r="G121" s="400" t="n"/>
      <c r="H121" s="401" t="n"/>
      <c r="I121" s="402" t="n"/>
      <c r="J121" s="403" t="inlineStr">
        <is>
          <t>Qs  =</t>
        </is>
      </c>
      <c r="K121" s="404" t="n">
        <v>2</v>
      </c>
      <c r="L121" s="404" t="n">
        <v>0</v>
      </c>
      <c r="M121" s="404" t="n">
        <v>0.9</v>
      </c>
      <c r="N121" s="404" t="n">
        <v>0.67</v>
      </c>
      <c r="O121" s="381" t="n">
        <v>24</v>
      </c>
      <c r="P121" s="404" t="n">
        <v>1</v>
      </c>
      <c r="Q121" s="383">
        <f>K121*L121*M121*N121*O121*P121</f>
        <v/>
      </c>
    </row>
    <row r="122" ht="9.949999999999999" customFormat="1" customHeight="1" s="356">
      <c r="A122" s="405" t="n"/>
      <c r="B122" s="406" t="n"/>
      <c r="C122" s="397" t="n"/>
      <c r="D122" s="397" t="n"/>
      <c r="E122" s="378" t="n"/>
      <c r="F122" s="256" t="n"/>
      <c r="G122" s="407" t="n"/>
      <c r="H122" s="397" t="n"/>
      <c r="I122" s="397" t="n"/>
      <c r="J122" s="397" t="n"/>
      <c r="K122" s="407" t="n"/>
      <c r="L122" s="408" t="n"/>
      <c r="M122" s="409" t="inlineStr">
        <is>
          <t xml:space="preserve">   TOPLAM ISI KAYBI =</t>
        </is>
      </c>
      <c r="N122" s="409" t="n"/>
      <c r="O122" s="410" t="n"/>
      <c r="P122" s="409" t="n"/>
      <c r="Q122" s="411">
        <f>Q119+Q121</f>
        <v/>
      </c>
    </row>
    <row r="123" ht="9.949999999999999" customFormat="1" customHeight="1" s="356">
      <c r="A123" s="447" t="n"/>
      <c r="B123" s="396" t="n"/>
      <c r="C123" s="448" t="n"/>
      <c r="D123" s="449" t="n"/>
      <c r="E123" s="449" t="n"/>
      <c r="F123" s="450" t="n"/>
      <c r="G123" s="451" t="n"/>
      <c r="H123" s="452" t="n"/>
      <c r="I123" s="450" t="n"/>
      <c r="J123" s="449" t="n"/>
      <c r="K123" s="451" t="n"/>
      <c r="L123" s="453" t="n"/>
      <c r="M123" s="454" t="n"/>
      <c r="N123" s="451" t="n"/>
      <c r="O123" s="454" t="n"/>
      <c r="P123" s="450" t="n"/>
      <c r="Q123" s="455" t="n"/>
    </row>
    <row r="124" ht="9.949999999999999" customFormat="1" customHeight="1" s="356">
      <c r="A124" s="447" t="n"/>
      <c r="B124" s="396" t="n"/>
      <c r="C124" s="448" t="n"/>
      <c r="D124" s="449" t="n"/>
      <c r="E124" s="449" t="n"/>
      <c r="F124" s="450" t="n"/>
      <c r="G124" s="451" t="n"/>
      <c r="H124" s="452" t="n"/>
      <c r="I124" s="450" t="n"/>
      <c r="J124" s="449" t="n"/>
      <c r="K124" s="451" t="n"/>
      <c r="L124" s="453" t="n"/>
      <c r="M124" s="454" t="n"/>
      <c r="N124" s="451" t="n"/>
      <c r="O124" s="454" t="n"/>
      <c r="P124" s="450" t="n"/>
      <c r="Q124" s="455" t="n"/>
    </row>
    <row r="125" ht="9.949999999999999" customFormat="1" customHeight="1" s="356">
      <c r="A125" s="447" t="n"/>
      <c r="B125" s="396" t="n"/>
      <c r="C125" s="448" t="n"/>
      <c r="D125" s="449" t="n"/>
      <c r="E125" s="449" t="n"/>
      <c r="F125" s="450" t="n"/>
      <c r="G125" s="451" t="n"/>
      <c r="H125" s="452" t="n"/>
      <c r="I125" s="450" t="n"/>
      <c r="J125" s="449" t="n"/>
      <c r="K125" s="451" t="n"/>
      <c r="L125" s="453" t="n"/>
      <c r="M125" s="454" t="n"/>
      <c r="N125" s="451" t="n"/>
      <c r="O125" s="454" t="n"/>
      <c r="P125" s="450" t="n"/>
      <c r="Q125" s="456" t="n"/>
    </row>
    <row r="126" ht="9.949999999999999" customFormat="1" customHeight="1" s="356">
      <c r="A126" s="447" t="n"/>
      <c r="B126" s="396" t="n"/>
      <c r="C126" s="448" t="n"/>
      <c r="D126" s="449" t="n"/>
      <c r="E126" s="449" t="n"/>
      <c r="F126" s="450" t="n"/>
      <c r="G126" s="451" t="n"/>
      <c r="H126" s="452" t="n"/>
      <c r="I126" s="450" t="n"/>
      <c r="J126" s="449" t="n"/>
      <c r="K126" s="451" t="n"/>
      <c r="L126" s="453" t="n"/>
      <c r="M126" s="454" t="n"/>
      <c r="N126" s="451" t="n"/>
      <c r="O126" s="454" t="n"/>
      <c r="P126" s="450" t="n"/>
      <c r="Q126" s="455" t="n"/>
    </row>
    <row r="127" ht="9.949999999999999" customFormat="1" customHeight="1" s="356">
      <c r="A127" s="447" t="n"/>
      <c r="B127" s="396" t="n"/>
      <c r="C127" s="448" t="n"/>
      <c r="D127" s="449" t="n"/>
      <c r="E127" s="449" t="n"/>
      <c r="F127" s="450" t="n"/>
      <c r="G127" s="451" t="n"/>
      <c r="H127" s="452" t="n"/>
      <c r="I127" s="450" t="n"/>
      <c r="J127" s="449" t="n"/>
      <c r="K127" s="451" t="n"/>
      <c r="L127" s="453" t="n"/>
      <c r="M127" s="454" t="n"/>
      <c r="N127" s="451" t="n"/>
      <c r="O127" s="454" t="n"/>
      <c r="P127" s="450" t="n"/>
      <c r="Q127" s="456" t="n"/>
    </row>
    <row r="128" ht="9.949999999999999" customFormat="1" customHeight="1" s="356">
      <c r="A128" s="457" t="n"/>
      <c r="B128" s="458" t="n"/>
      <c r="C128" s="458" t="n"/>
      <c r="D128" s="436" t="n"/>
      <c r="E128" s="436" t="n"/>
      <c r="F128" s="436" t="n"/>
      <c r="G128" s="459" t="n"/>
      <c r="H128" s="436" t="n"/>
      <c r="I128" s="436" t="n"/>
      <c r="J128" s="436" t="n"/>
      <c r="K128" s="459" t="n"/>
      <c r="L128" s="460" t="n"/>
      <c r="M128" s="433" t="n"/>
      <c r="N128" s="433" t="n"/>
      <c r="O128" s="433" t="n"/>
      <c r="P128" s="461" t="n"/>
      <c r="Q128" s="434" t="n"/>
    </row>
    <row r="129" ht="9.949999999999999" customFormat="1" customHeight="1" s="412">
      <c r="A129" s="413" t="n"/>
      <c r="B129" s="414" t="n"/>
      <c r="C129" s="414" t="n"/>
      <c r="D129" s="415" t="n"/>
      <c r="E129" s="416" t="n"/>
      <c r="F129" s="417" t="n"/>
      <c r="G129" s="418" t="n"/>
      <c r="H129" s="417" t="n"/>
      <c r="I129" s="419" t="n"/>
      <c r="J129" s="420" t="n"/>
      <c r="K129" s="419" t="n"/>
      <c r="L129" s="417" t="n"/>
      <c r="M129" s="418" t="n"/>
      <c r="N129" s="421" t="n"/>
      <c r="O129" s="422" t="n"/>
      <c r="P129" s="418" t="n"/>
      <c r="Q129" s="423" t="n"/>
    </row>
    <row r="130" ht="9.949999999999999" customFormat="1" customHeight="1" s="412">
      <c r="A130" s="424" t="n"/>
      <c r="C130" s="425" t="n"/>
      <c r="D130" s="425" t="n"/>
      <c r="E130" s="426" t="n"/>
      <c r="F130" s="427" t="n"/>
      <c r="G130" s="428" t="n"/>
      <c r="H130" s="429" t="n"/>
      <c r="I130" s="430" t="n"/>
      <c r="J130" s="431" t="n"/>
      <c r="K130" s="432" t="n"/>
      <c r="L130" s="432" t="n"/>
      <c r="M130" s="432" t="n"/>
      <c r="N130" s="432" t="n"/>
      <c r="O130" s="433" t="n"/>
      <c r="P130" s="432" t="n"/>
      <c r="Q130" s="434" t="n"/>
    </row>
    <row r="131" ht="9.949999999999999" customFormat="1" customHeight="1" s="351">
      <c r="A131" s="435" t="n"/>
      <c r="B131" s="412" t="n"/>
      <c r="C131" s="425" t="n"/>
      <c r="D131" s="425" t="n"/>
      <c r="E131" s="436" t="n"/>
      <c r="G131" s="437" t="n"/>
      <c r="H131" s="425" t="n"/>
      <c r="I131" s="425" t="n"/>
      <c r="J131" s="425" t="n"/>
      <c r="K131" s="437" t="n"/>
      <c r="L131" s="438" t="n"/>
      <c r="M131" s="439" t="n"/>
      <c r="N131" s="439" t="n"/>
      <c r="O131" s="440" t="n"/>
      <c r="P131" s="439" t="n"/>
      <c r="Q131" s="441" t="n"/>
    </row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28">
    <mergeCell ref="I30:J30"/>
    <mergeCell ref="I81:J81"/>
    <mergeCell ref="M3:P3"/>
    <mergeCell ref="E55:F55"/>
    <mergeCell ref="I89:J89"/>
    <mergeCell ref="E122:F122"/>
    <mergeCell ref="E39:F39"/>
    <mergeCell ref="E88:F88"/>
    <mergeCell ref="I106:J106"/>
    <mergeCell ref="E20:F20"/>
    <mergeCell ref="E3:H3"/>
    <mergeCell ref="E29:F29"/>
    <mergeCell ref="I66:J66"/>
    <mergeCell ref="I56:J56"/>
    <mergeCell ref="E65:F65"/>
    <mergeCell ref="I21:J21"/>
    <mergeCell ref="E105:F105"/>
    <mergeCell ref="I114:J114"/>
    <mergeCell ref="E80:F80"/>
    <mergeCell ref="I98:J98"/>
    <mergeCell ref="I8:J8"/>
    <mergeCell ref="I48:J48"/>
    <mergeCell ref="E113:F113"/>
    <mergeCell ref="I3:L3"/>
    <mergeCell ref="A3:D3"/>
    <mergeCell ref="E97:F97"/>
    <mergeCell ref="I40:J40"/>
    <mergeCell ref="E47:F47"/>
  </mergeCells>
  <printOptions horizontalCentered="0" verticalCentered="0" headings="0" gridLines="0" gridLinesSet="1"/>
  <pageMargins left="0.196527777777778" right="0.157638888888889" top="0.315277777777778" bottom="0.315277777777778" header="0.511811023622047" footer="0.511811023622047"/>
  <pageSetup orientation="portrait" paperSize="9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Q200"/>
  <sheetViews>
    <sheetView workbookViewId="0">
      <selection activeCell="A1" sqref="A1"/>
    </sheetView>
  </sheetViews>
  <sheetFormatPr baseColWidth="8" defaultColWidth="6.84765625" defaultRowHeight="11.25" zeroHeight="0" outlineLevelRow="0"/>
  <cols>
    <col width="7.28" customWidth="1" style="328" min="1" max="1"/>
    <col width="3.85" customWidth="1" style="328" min="2" max="3"/>
    <col width="5.56" customWidth="1" style="328" min="4" max="4"/>
    <col width="6.13" customWidth="1" style="328" min="5" max="5"/>
    <col width="5.56" customWidth="1" style="328" min="6" max="7"/>
    <col width="6.56" customWidth="1" style="328" min="8" max="9"/>
    <col width="6.41" customWidth="1" style="328" min="10" max="10"/>
    <col width="6.13" customWidth="1" style="328" min="11" max="11"/>
    <col width="7.28" customWidth="1" style="328" min="12" max="12"/>
    <col width="5.56" customWidth="1" style="328" min="13" max="16"/>
    <col width="8.279999999999999" customWidth="1" style="328" min="17" max="17"/>
    <col width="6.85" customWidth="1" style="328" min="18" max="257"/>
  </cols>
  <sheetData>
    <row r="1" ht="9.75" customFormat="1" customHeight="1" s="329">
      <c r="A1" s="330" t="n"/>
      <c r="B1" s="331" t="n"/>
      <c r="C1" s="331" t="n"/>
      <c r="D1" s="331" t="n"/>
      <c r="E1" s="331" t="n"/>
      <c r="F1" s="332" t="n"/>
      <c r="G1" s="333" t="n"/>
      <c r="H1" s="334" t="inlineStr">
        <is>
          <t>ISI  KAYBI  HESABI</t>
        </is>
      </c>
      <c r="I1" s="333" t="n"/>
      <c r="J1" s="333" t="n"/>
      <c r="K1" s="331" t="n"/>
      <c r="L1" s="335" t="n"/>
      <c r="M1" s="331" t="n"/>
      <c r="N1" s="336" t="inlineStr">
        <is>
          <t>Kat :</t>
        </is>
      </c>
      <c r="O1" s="337" t="inlineStr">
        <is>
          <t>2. NORMAL</t>
        </is>
      </c>
      <c r="P1" s="337" t="inlineStr">
        <is>
          <t>Tarih</t>
        </is>
      </c>
      <c r="Q1" s="338">
        <f>kapak!G41</f>
        <v/>
      </c>
    </row>
    <row r="2" ht="10.5" customFormat="1" customHeight="1" s="339">
      <c r="A2" s="340" t="n"/>
      <c r="F2" s="341" t="inlineStr">
        <is>
          <t xml:space="preserve">   PROJE ADI :</t>
        </is>
      </c>
      <c r="G2" s="342" t="n"/>
      <c r="H2" s="343">
        <f>kapak!C31</f>
        <v/>
      </c>
      <c r="I2" s="343" t="n"/>
      <c r="J2" s="343" t="n"/>
      <c r="K2" s="344" t="n"/>
      <c r="L2" s="345" t="n"/>
      <c r="N2" s="346" t="inlineStr">
        <is>
          <t xml:space="preserve">  Sayfa :</t>
        </is>
      </c>
      <c r="O2" s="347" t="n">
        <v>5</v>
      </c>
      <c r="P2" s="347" t="n"/>
      <c r="Q2" s="347" t="n"/>
    </row>
    <row r="3" ht="8.25" customFormat="1" customHeight="1" s="339">
      <c r="A3" s="348" t="inlineStr">
        <is>
          <t xml:space="preserve"> Yapı Bileşeni</t>
        </is>
      </c>
      <c r="B3" s="264" t="n"/>
      <c r="C3" s="264" t="n"/>
      <c r="D3" s="264" t="n"/>
      <c r="E3" s="349" t="inlineStr">
        <is>
          <t xml:space="preserve"> Alan Hesabı</t>
        </is>
      </c>
      <c r="F3" s="264" t="n"/>
      <c r="G3" s="264" t="n"/>
      <c r="H3" s="260" t="n"/>
      <c r="I3" s="350" t="inlineStr">
        <is>
          <t xml:space="preserve">                 Isı kaybı hesabı</t>
        </is>
      </c>
      <c r="J3" s="264" t="n"/>
      <c r="K3" s="264" t="n"/>
      <c r="L3" s="260" t="n"/>
      <c r="M3" s="350" t="inlineStr">
        <is>
          <t xml:space="preserve">            Zamlar</t>
        </is>
      </c>
      <c r="N3" s="264" t="n"/>
      <c r="O3" s="264" t="n"/>
      <c r="P3" s="260" t="n"/>
      <c r="Q3" s="350" t="inlineStr">
        <is>
          <t xml:space="preserve">Toplam </t>
        </is>
      </c>
    </row>
    <row r="4" ht="31.5" customFormat="1" customHeight="1" s="351">
      <c r="A4" s="352" t="inlineStr">
        <is>
          <t>İşaret</t>
        </is>
      </c>
      <c r="B4" s="352" t="inlineStr">
        <is>
          <t>Yön</t>
        </is>
      </c>
      <c r="C4" s="352" t="inlineStr">
        <is>
          <t>Kalınlık</t>
        </is>
      </c>
      <c r="D4" s="352" t="inlineStr">
        <is>
          <t>Uzunluk</t>
        </is>
      </c>
      <c r="E4" s="352" t="inlineStr">
        <is>
          <t>Yükseklik</t>
        </is>
      </c>
      <c r="F4" s="353" t="inlineStr">
        <is>
          <t xml:space="preserve">  Toplam Alan</t>
        </is>
      </c>
      <c r="G4" s="352" t="inlineStr">
        <is>
          <t>Miktar</t>
        </is>
      </c>
      <c r="H4" s="353" t="inlineStr">
        <is>
          <t>Çıkarıla alan</t>
        </is>
      </c>
      <c r="I4" s="353" t="inlineStr">
        <is>
          <t>Hesaba giren Alan</t>
        </is>
      </c>
      <c r="J4" s="353" t="inlineStr">
        <is>
          <t xml:space="preserve">    Isı İletim Katsayısı</t>
        </is>
      </c>
      <c r="K4" s="353" t="inlineStr">
        <is>
          <t xml:space="preserve">Sıcaklık Farkı </t>
        </is>
      </c>
      <c r="L4" s="353" t="inlineStr">
        <is>
          <t>Zamsız Isı Kaybı</t>
        </is>
      </c>
      <c r="M4" s="352" t="inlineStr">
        <is>
          <t>İşletme</t>
        </is>
      </c>
      <c r="N4" s="352" t="inlineStr">
        <is>
          <t>Kat Yük.</t>
        </is>
      </c>
      <c r="O4" s="352" t="inlineStr">
        <is>
          <t>Yön</t>
        </is>
      </c>
      <c r="P4" s="352" t="inlineStr">
        <is>
          <t>Toplam</t>
        </is>
      </c>
      <c r="Q4" s="353" t="inlineStr">
        <is>
          <t>Toplam Is
ı İhtiyacı</t>
        </is>
      </c>
    </row>
    <row r="5" ht="9.75" customFormat="1" customHeight="1" s="351">
      <c r="A5" s="354" t="n"/>
      <c r="B5" s="354" t="n"/>
      <c r="C5" s="354" t="n"/>
      <c r="D5" s="354" t="n"/>
      <c r="E5" s="354" t="n"/>
      <c r="F5" s="354" t="inlineStr">
        <is>
          <t>[Ao]</t>
        </is>
      </c>
      <c r="G5" s="354" t="n"/>
      <c r="H5" s="354" t="n"/>
      <c r="I5" s="354" t="inlineStr">
        <is>
          <t>[A]</t>
        </is>
      </c>
      <c r="J5" s="354" t="inlineStr">
        <is>
          <t>[k]</t>
        </is>
      </c>
      <c r="K5" s="355" t="inlineStr">
        <is>
          <t>D T</t>
        </is>
      </c>
      <c r="L5" s="354" t="inlineStr">
        <is>
          <t>Qo</t>
        </is>
      </c>
      <c r="M5" s="354" t="inlineStr">
        <is>
          <t>ZD</t>
        </is>
      </c>
      <c r="N5" s="354" t="inlineStr">
        <is>
          <t>ZW</t>
        </is>
      </c>
      <c r="O5" s="354" t="inlineStr">
        <is>
          <t>ZH</t>
        </is>
      </c>
      <c r="P5" s="354" t="inlineStr">
        <is>
          <t>Z</t>
        </is>
      </c>
      <c r="Q5" s="354" t="inlineStr">
        <is>
          <t>Qh=Qi+Qs</t>
        </is>
      </c>
    </row>
    <row r="6" ht="15.75" customFormat="1" customHeight="1" s="356">
      <c r="A6" s="346" t="n"/>
      <c r="B6" s="346" t="n"/>
      <c r="C6" s="346" t="inlineStr">
        <is>
          <t>cm</t>
        </is>
      </c>
      <c r="D6" s="346" t="inlineStr">
        <is>
          <t>m</t>
        </is>
      </c>
      <c r="E6" s="346" t="inlineStr">
        <is>
          <t>m</t>
        </is>
      </c>
      <c r="F6" s="346" t="inlineStr">
        <is>
          <t>m²</t>
        </is>
      </c>
      <c r="G6" s="346" t="inlineStr">
        <is>
          <t>ad</t>
        </is>
      </c>
      <c r="H6" s="346" t="inlineStr">
        <is>
          <t>m²</t>
        </is>
      </c>
      <c r="I6" s="346" t="inlineStr">
        <is>
          <t>m²</t>
        </is>
      </c>
      <c r="J6" s="357" t="inlineStr">
        <is>
          <t>watt  m²hºC</t>
        </is>
      </c>
      <c r="K6" s="346" t="inlineStr">
        <is>
          <t>ºC</t>
        </is>
      </c>
      <c r="L6" s="358" t="inlineStr">
        <is>
          <t>watt</t>
        </is>
      </c>
      <c r="M6" s="346" t="inlineStr">
        <is>
          <t>%</t>
        </is>
      </c>
      <c r="N6" s="346" t="inlineStr">
        <is>
          <t>%</t>
        </is>
      </c>
      <c r="O6" s="346" t="inlineStr">
        <is>
          <t>%</t>
        </is>
      </c>
      <c r="P6" s="346" t="inlineStr">
        <is>
          <t>1+%</t>
        </is>
      </c>
      <c r="Q6" s="358" t="inlineStr">
        <is>
          <t>watt</t>
        </is>
      </c>
    </row>
    <row r="7" ht="9.75" customFormat="1" customHeight="1" s="356">
      <c r="A7" s="346" t="n">
        <v>1</v>
      </c>
      <c r="B7" s="346" t="n">
        <v>2</v>
      </c>
      <c r="C7" s="346" t="n">
        <v>3</v>
      </c>
      <c r="D7" s="346" t="n">
        <v>4</v>
      </c>
      <c r="E7" s="346" t="n">
        <v>5</v>
      </c>
      <c r="F7" s="346" t="n">
        <v>6</v>
      </c>
      <c r="G7" s="346" t="n">
        <v>7</v>
      </c>
      <c r="H7" s="346" t="n">
        <v>8</v>
      </c>
      <c r="I7" s="346" t="n">
        <v>9</v>
      </c>
      <c r="J7" s="346" t="n">
        <v>10</v>
      </c>
      <c r="K7" s="346" t="n">
        <v>11</v>
      </c>
      <c r="L7" s="346" t="n">
        <v>12</v>
      </c>
      <c r="M7" s="346" t="n">
        <v>13</v>
      </c>
      <c r="N7" s="346" t="n">
        <v>14</v>
      </c>
      <c r="O7" s="346" t="n">
        <v>15</v>
      </c>
      <c r="P7" s="346" t="n">
        <v>16</v>
      </c>
      <c r="Q7" s="346" t="n">
        <v>17</v>
      </c>
    </row>
    <row r="8" ht="10.35" customFormat="1" customHeight="1" s="356">
      <c r="A8" s="359" t="n"/>
      <c r="B8" s="360" t="n"/>
      <c r="C8" s="360" t="n"/>
      <c r="D8" s="360" t="n"/>
      <c r="E8" s="360" t="n"/>
      <c r="F8" s="361" t="inlineStr">
        <is>
          <t>2</t>
        </is>
      </c>
      <c r="G8" s="362" t="inlineStr">
        <is>
          <t>0</t>
        </is>
      </c>
      <c r="H8" s="360" t="inlineStr">
        <is>
          <t>201</t>
        </is>
      </c>
      <c r="I8" s="363" t="inlineStr">
        <is>
          <t>DAİRE 3 SALON</t>
        </is>
      </c>
      <c r="J8" s="364" t="n"/>
      <c r="K8" s="360" t="inlineStr">
        <is>
          <t>22ºC</t>
        </is>
      </c>
      <c r="L8" s="360" t="n"/>
      <c r="M8" s="360" t="n"/>
      <c r="N8" s="360" t="n"/>
      <c r="O8" s="360" t="n"/>
      <c r="P8" s="360" t="n"/>
      <c r="Q8" s="365" t="n"/>
    </row>
    <row r="9" ht="9.949999999999999" customFormat="1" customHeight="1" s="356">
      <c r="A9" s="366" t="inlineStr">
        <is>
          <t>DD</t>
        </is>
      </c>
      <c r="B9" s="367" t="inlineStr">
        <is>
          <t>K</t>
        </is>
      </c>
      <c r="C9" s="368" t="n"/>
      <c r="D9" s="369" t="n">
        <v>4.7</v>
      </c>
      <c r="E9" s="369" t="n">
        <v>2.5</v>
      </c>
      <c r="F9" s="370">
        <f>IF(D9=0," ",D9*E9)</f>
        <v/>
      </c>
      <c r="G9" s="371" t="n">
        <v>1</v>
      </c>
      <c r="H9" s="372">
        <f>F11*G11</f>
        <v/>
      </c>
      <c r="I9" s="370">
        <f>IF(F9=" "," ",F9*G9-H9)</f>
        <v/>
      </c>
      <c r="J9" s="369" t="n">
        <v>0.344</v>
      </c>
      <c r="K9" s="371" t="n">
        <v>28</v>
      </c>
      <c r="L9" s="373">
        <f>IF(I9=" "," ",I9*J9*K9)</f>
        <v/>
      </c>
      <c r="M9" s="374" t="n">
        <v>7</v>
      </c>
      <c r="N9" s="371" t="n">
        <v>0</v>
      </c>
      <c r="O9" s="374" t="n">
        <v>5</v>
      </c>
      <c r="P9" s="370">
        <f>IF(M9=" "," ",(1+(M9+N9+O9)/100))</f>
        <v/>
      </c>
      <c r="Q9" s="375">
        <f>IF(L9=" "," ",L9*P9)</f>
        <v/>
      </c>
    </row>
    <row r="10" ht="9.949999999999999" customFormat="1" customHeight="1" s="356">
      <c r="A10" s="366" t="inlineStr">
        <is>
          <t>DD25</t>
        </is>
      </c>
      <c r="B10" s="367" t="inlineStr">
        <is>
          <t>K</t>
        </is>
      </c>
      <c r="C10" s="368" t="n"/>
      <c r="D10" s="369">
        <f>D9</f>
        <v/>
      </c>
      <c r="E10" s="369" t="n">
        <v>0.5</v>
      </c>
      <c r="F10" s="370">
        <f>IF(D10=0," ",D10*E10)</f>
        <v/>
      </c>
      <c r="G10" s="371" t="n">
        <v>1</v>
      </c>
      <c r="H10" s="372" t="n"/>
      <c r="I10" s="370">
        <f>IF(F10=" "," ",F10*G10-H10)</f>
        <v/>
      </c>
      <c r="J10" s="369" t="n">
        <v>0.387</v>
      </c>
      <c r="K10" s="371" t="n">
        <v>28</v>
      </c>
      <c r="L10" s="373">
        <f>IF(I10=" "," ",I10*J10*K10)</f>
        <v/>
      </c>
      <c r="M10" s="374" t="n">
        <v>7</v>
      </c>
      <c r="N10" s="371" t="n">
        <v>0</v>
      </c>
      <c r="O10" s="374" t="n">
        <v>5</v>
      </c>
      <c r="P10" s="370">
        <f>IF(M10=" "," ",(1+(M10+N10+O10)/100))</f>
        <v/>
      </c>
      <c r="Q10" s="375">
        <f>IF(L10=" "," ",L10*P10)</f>
        <v/>
      </c>
    </row>
    <row r="11" ht="9.949999999999999" customFormat="1" customHeight="1" s="356">
      <c r="A11" s="366" t="inlineStr">
        <is>
          <t>ÇP</t>
        </is>
      </c>
      <c r="B11" s="367" t="inlineStr">
        <is>
          <t>K</t>
        </is>
      </c>
      <c r="C11" s="368" t="n"/>
      <c r="D11" s="369" t="n">
        <v>1.5</v>
      </c>
      <c r="E11" s="369" t="n">
        <v>1.6</v>
      </c>
      <c r="F11" s="370">
        <f>IF(D11=0," ",D11*E11)</f>
        <v/>
      </c>
      <c r="G11" s="371" t="n">
        <v>1</v>
      </c>
      <c r="H11" s="372" t="n"/>
      <c r="I11" s="370">
        <f>IF(F11=" "," ",F11*G11-H11)</f>
        <v/>
      </c>
      <c r="J11" s="369" t="n">
        <v>1.8</v>
      </c>
      <c r="K11" s="371" t="n">
        <v>28</v>
      </c>
      <c r="L11" s="373">
        <f>IF(I11=" "," ",I11*J11*K11)</f>
        <v/>
      </c>
      <c r="M11" s="374" t="n">
        <v>7</v>
      </c>
      <c r="N11" s="371" t="n">
        <v>0</v>
      </c>
      <c r="O11" s="374" t="n">
        <v>5</v>
      </c>
      <c r="P11" s="370">
        <f>IF(M11=" "," ",(1+(M11+N11+O11)/100))</f>
        <v/>
      </c>
      <c r="Q11" s="375">
        <f>IF(L11=" "," ",L11*P11)</f>
        <v/>
      </c>
    </row>
    <row r="12" ht="9.949999999999999" customFormat="1" customHeight="1" s="356">
      <c r="A12" s="366" t="inlineStr">
        <is>
          <t>DD</t>
        </is>
      </c>
      <c r="B12" s="367" t="inlineStr">
        <is>
          <t>K</t>
        </is>
      </c>
      <c r="C12" s="368" t="n"/>
      <c r="D12" s="369" t="n">
        <v>2.29</v>
      </c>
      <c r="E12" s="369" t="n">
        <v>2.5</v>
      </c>
      <c r="F12" s="370">
        <f>IF(D12=0," ",D12*E12)</f>
        <v/>
      </c>
      <c r="G12" s="371" t="n">
        <v>1</v>
      </c>
      <c r="H12" s="372">
        <f>F14*G14</f>
        <v/>
      </c>
      <c r="I12" s="370">
        <f>IF(F12=" "," ",F12*G12-H12)</f>
        <v/>
      </c>
      <c r="J12" s="369" t="n">
        <v>0.344</v>
      </c>
      <c r="K12" s="371" t="n">
        <v>28</v>
      </c>
      <c r="L12" s="373">
        <f>IF(I12=" "," ",I12*J12*K12)</f>
        <v/>
      </c>
      <c r="M12" s="374" t="n">
        <v>7</v>
      </c>
      <c r="N12" s="371" t="n">
        <v>0</v>
      </c>
      <c r="O12" s="374" t="n">
        <v>5</v>
      </c>
      <c r="P12" s="370">
        <f>IF(M12=" "," ",(1+(M12+N12+O12)/100))</f>
        <v/>
      </c>
      <c r="Q12" s="375">
        <f>IF(L12=" "," ",L12*P12)</f>
        <v/>
      </c>
    </row>
    <row r="13" ht="9.949999999999999" customFormat="1" customHeight="1" s="356">
      <c r="A13" s="366" t="inlineStr">
        <is>
          <t>DD25</t>
        </is>
      </c>
      <c r="B13" s="367" t="inlineStr">
        <is>
          <t>K</t>
        </is>
      </c>
      <c r="C13" s="368" t="n"/>
      <c r="D13" s="369">
        <f>D12</f>
        <v/>
      </c>
      <c r="E13" s="369" t="n">
        <v>0.5</v>
      </c>
      <c r="F13" s="370">
        <f>IF(D13=0," ",D13*E13)</f>
        <v/>
      </c>
      <c r="G13" s="371" t="n">
        <v>1</v>
      </c>
      <c r="H13" s="372" t="n"/>
      <c r="I13" s="370">
        <f>IF(F13=" "," ",F13*G13-H13)</f>
        <v/>
      </c>
      <c r="J13" s="369" t="n">
        <v>0.387</v>
      </c>
      <c r="K13" s="371" t="n">
        <v>28</v>
      </c>
      <c r="L13" s="373">
        <f>IF(I13=" "," ",I13*J13*K13)</f>
        <v/>
      </c>
      <c r="M13" s="374" t="n">
        <v>7</v>
      </c>
      <c r="N13" s="371" t="n">
        <v>0</v>
      </c>
      <c r="O13" s="374" t="n">
        <v>5</v>
      </c>
      <c r="P13" s="370">
        <f>IF(M13=" "," ",(1+(M13+N13+O13)/100))</f>
        <v/>
      </c>
      <c r="Q13" s="375">
        <f>IF(L13=" "," ",L13*P13)</f>
        <v/>
      </c>
    </row>
    <row r="14" ht="9.949999999999999" customFormat="1" customHeight="1" s="356">
      <c r="A14" s="366" t="inlineStr">
        <is>
          <t>BK</t>
        </is>
      </c>
      <c r="B14" s="367" t="inlineStr">
        <is>
          <t>K</t>
        </is>
      </c>
      <c r="C14" s="368" t="n"/>
      <c r="D14" s="369" t="n">
        <v>1.5</v>
      </c>
      <c r="E14" s="369" t="n">
        <v>2.5</v>
      </c>
      <c r="F14" s="370">
        <f>IF(D14=0," ",D14*E14)</f>
        <v/>
      </c>
      <c r="G14" s="371" t="n">
        <v>1</v>
      </c>
      <c r="H14" s="372" t="n"/>
      <c r="I14" s="370">
        <f>IF(F14=" "," ",F14*G14-H14)</f>
        <v/>
      </c>
      <c r="J14" s="369" t="n">
        <v>1.8</v>
      </c>
      <c r="K14" s="371" t="n">
        <v>28</v>
      </c>
      <c r="L14" s="373">
        <f>IF(I14=" "," ",I14*J14*K14)</f>
        <v/>
      </c>
      <c r="M14" s="374" t="n">
        <v>7</v>
      </c>
      <c r="N14" s="371" t="n">
        <v>0</v>
      </c>
      <c r="O14" s="374" t="n">
        <v>5</v>
      </c>
      <c r="P14" s="370">
        <f>IF(M14=" "," ",(1+(M14+N14+O14)/100))</f>
        <v/>
      </c>
      <c r="Q14" s="375">
        <f>IF(L14=" "," ",L14*P14)</f>
        <v/>
      </c>
    </row>
    <row r="15" ht="9.949999999999999" customFormat="1" customHeight="1" s="356">
      <c r="A15" s="366" t="inlineStr">
        <is>
          <t>DD</t>
        </is>
      </c>
      <c r="B15" s="367" t="inlineStr">
        <is>
          <t>B</t>
        </is>
      </c>
      <c r="C15" s="368" t="n"/>
      <c r="D15" s="369" t="n">
        <v>3</v>
      </c>
      <c r="E15" s="369" t="n">
        <v>2.5</v>
      </c>
      <c r="F15" s="370">
        <f>IF(D15=0," ",D15*E15)</f>
        <v/>
      </c>
      <c r="G15" s="371" t="n">
        <v>1</v>
      </c>
      <c r="H15" s="372" t="n"/>
      <c r="I15" s="370">
        <f>IF(F15=" "," ",F15*G15-H15)</f>
        <v/>
      </c>
      <c r="J15" s="369" t="n">
        <v>0.344</v>
      </c>
      <c r="K15" s="371" t="n">
        <v>28</v>
      </c>
      <c r="L15" s="373">
        <f>IF(I15=" "," ",I15*J15*K15)</f>
        <v/>
      </c>
      <c r="M15" s="374" t="n">
        <v>7</v>
      </c>
      <c r="N15" s="371" t="n">
        <v>0</v>
      </c>
      <c r="O15" s="374" t="n">
        <v>0</v>
      </c>
      <c r="P15" s="370">
        <f>IF(M15=" "," ",(1+(M15+N15+O15)/100))</f>
        <v/>
      </c>
      <c r="Q15" s="375">
        <f>IF(L15=" "," ",L15*P15)</f>
        <v/>
      </c>
    </row>
    <row r="16" ht="9.949999999999999" customFormat="1" customHeight="1" s="356">
      <c r="A16" s="366" t="inlineStr">
        <is>
          <t>DD25</t>
        </is>
      </c>
      <c r="B16" s="367" t="inlineStr">
        <is>
          <t>B</t>
        </is>
      </c>
      <c r="C16" s="368" t="n"/>
      <c r="D16" s="369">
        <f>D15</f>
        <v/>
      </c>
      <c r="E16" s="369" t="n">
        <v>0.5</v>
      </c>
      <c r="F16" s="370">
        <f>IF(D16=0," ",D16*E16)</f>
        <v/>
      </c>
      <c r="G16" s="371" t="n">
        <v>1</v>
      </c>
      <c r="H16" s="372" t="n"/>
      <c r="I16" s="370">
        <f>IF(F16=" "," ",F16*G16-H16)</f>
        <v/>
      </c>
      <c r="J16" s="369" t="n">
        <v>0.387</v>
      </c>
      <c r="K16" s="371" t="n">
        <v>28</v>
      </c>
      <c r="L16" s="373">
        <f>IF(I16=" "," ",I16*J16*K16)</f>
        <v/>
      </c>
      <c r="M16" s="374" t="n">
        <v>7</v>
      </c>
      <c r="N16" s="371" t="n">
        <v>0</v>
      </c>
      <c r="O16" s="374" t="n">
        <v>0</v>
      </c>
      <c r="P16" s="370">
        <f>IF(M16=" "," ",(1+(M16+N16+O16)/100))</f>
        <v/>
      </c>
      <c r="Q16" s="375">
        <f>IF(L16=" "," ",L16*P16)</f>
        <v/>
      </c>
    </row>
    <row r="17" ht="9.949999999999999" customFormat="1" customHeight="1" s="356">
      <c r="A17" s="366" t="inlineStr">
        <is>
          <t>Ta</t>
        </is>
      </c>
      <c r="B17" s="367" t="inlineStr"/>
      <c r="C17" s="368" t="n"/>
      <c r="D17" s="369" t="n">
        <v>19.38</v>
      </c>
      <c r="E17" s="369" t="n">
        <v>1</v>
      </c>
      <c r="F17" s="370">
        <f>IF(D17=0," ",D17*E17)</f>
        <v/>
      </c>
      <c r="G17" s="371" t="n">
        <v>1</v>
      </c>
      <c r="H17" s="372" t="n"/>
      <c r="I17" s="370">
        <f>IF(F17=" "," ",F17*G17-H17)</f>
        <v/>
      </c>
      <c r="J17" s="369" t="n">
        <v>0.266</v>
      </c>
      <c r="K17" s="371" t="n">
        <v>22</v>
      </c>
      <c r="L17" s="373">
        <f>IF(I17=" "," ",I17*J17*K17)</f>
        <v/>
      </c>
      <c r="M17" s="374" t="n">
        <v>7</v>
      </c>
      <c r="N17" s="371" t="n">
        <v>0</v>
      </c>
      <c r="O17" s="374" t="n">
        <v>0</v>
      </c>
      <c r="P17" s="370">
        <f>IF(M17=" "," ",(1+(M17+N17+O17)/100))</f>
        <v/>
      </c>
      <c r="Q17" s="375">
        <f>IF(L17=" "," ",L17*P17)</f>
        <v/>
      </c>
    </row>
    <row r="18" ht="9.949999999999999" customFormat="1" customHeight="1" s="356">
      <c r="A18" s="376" t="n"/>
      <c r="B18" s="377" t="n"/>
      <c r="C18" s="377" t="n"/>
      <c r="D18" s="378" t="n"/>
      <c r="E18" s="378" t="n"/>
      <c r="F18" s="378" t="n"/>
      <c r="G18" s="379" t="n"/>
      <c r="H18" s="378" t="n"/>
      <c r="I18" s="378" t="n"/>
      <c r="J18" s="378" t="n"/>
      <c r="K18" s="379" t="n"/>
      <c r="L18" s="380" t="n"/>
      <c r="M18" s="381" t="n"/>
      <c r="N18" s="381" t="n"/>
      <c r="O18" s="381" t="n"/>
      <c r="P18" s="382" t="n"/>
      <c r="Q18" s="383">
        <f>SUM(Q9:Q17)</f>
        <v/>
      </c>
    </row>
    <row r="19" ht="9.949999999999999" customFormat="1" customHeight="1" s="356">
      <c r="A19" s="384" t="n"/>
      <c r="B19" s="385" t="n"/>
      <c r="C19" s="385" t="n"/>
      <c r="D19" s="386" t="n"/>
      <c r="E19" s="387" t="n"/>
      <c r="F19" s="388" t="n"/>
      <c r="G19" s="389" t="n"/>
      <c r="H19" s="388" t="n"/>
      <c r="I19" s="390" t="n"/>
      <c r="J19" s="391" t="inlineStr">
        <is>
          <t>Qs=</t>
        </is>
      </c>
      <c r="K19" s="390" t="inlineStr">
        <is>
          <t>S a</t>
        </is>
      </c>
      <c r="L19" s="388" t="inlineStr">
        <is>
          <t>L</t>
        </is>
      </c>
      <c r="M19" s="389" t="inlineStr">
        <is>
          <t>R</t>
        </is>
      </c>
      <c r="N19" s="392" t="inlineStr">
        <is>
          <t>H</t>
        </is>
      </c>
      <c r="O19" s="393" t="inlineStr">
        <is>
          <t>D  T</t>
        </is>
      </c>
      <c r="P19" s="389" t="inlineStr">
        <is>
          <t>Ze</t>
        </is>
      </c>
      <c r="Q19" s="394" t="n"/>
    </row>
    <row r="20" ht="9.949999999999999" customFormat="1" customHeight="1" s="356">
      <c r="A20" s="395" t="inlineStr">
        <is>
          <t xml:space="preserve"> </t>
        </is>
      </c>
      <c r="B20" s="396" t="n"/>
      <c r="C20" s="397" t="n"/>
      <c r="D20" s="397" t="n"/>
      <c r="E20" s="398" t="n"/>
      <c r="F20" s="399" t="n"/>
      <c r="G20" s="400" t="n"/>
      <c r="H20" s="401" t="n"/>
      <c r="I20" s="402" t="n"/>
      <c r="J20" s="403" t="inlineStr">
        <is>
          <t>Qs  =</t>
        </is>
      </c>
      <c r="K20" s="404" t="n">
        <v>2</v>
      </c>
      <c r="L20" s="404">
        <f>(D11+E11)*2*G11+(D14+E14)*2*G14</f>
        <v/>
      </c>
      <c r="M20" s="404" t="n">
        <v>0.9</v>
      </c>
      <c r="N20" s="404" t="n">
        <v>0.67</v>
      </c>
      <c r="O20" s="381" t="n">
        <v>28</v>
      </c>
      <c r="P20" s="404" t="n">
        <v>1</v>
      </c>
      <c r="Q20" s="383">
        <f>K20*L20*M20*N20*O20*P20</f>
        <v/>
      </c>
    </row>
    <row r="21" ht="9.949999999999999" customFormat="1" customHeight="1" s="356">
      <c r="A21" s="405" t="n"/>
      <c r="B21" s="406" t="n"/>
      <c r="C21" s="397" t="n"/>
      <c r="D21" s="397" t="n"/>
      <c r="E21" s="378" t="n"/>
      <c r="F21" s="256" t="n"/>
      <c r="G21" s="407" t="n"/>
      <c r="H21" s="397" t="n"/>
      <c r="I21" s="397" t="n"/>
      <c r="J21" s="397" t="n"/>
      <c r="K21" s="407" t="n"/>
      <c r="L21" s="408" t="n"/>
      <c r="M21" s="409" t="inlineStr">
        <is>
          <t xml:space="preserve">   TOPLAM ISI KAYBI =</t>
        </is>
      </c>
      <c r="N21" s="409" t="n"/>
      <c r="O21" s="410" t="n"/>
      <c r="P21" s="409" t="n"/>
      <c r="Q21" s="411">
        <f>Q18+Q20</f>
        <v/>
      </c>
    </row>
    <row r="22" ht="10.35" customFormat="1" customHeight="1" s="356">
      <c r="A22" s="359" t="n"/>
      <c r="B22" s="360" t="n"/>
      <c r="C22" s="360" t="n"/>
      <c r="D22" s="360" t="n"/>
      <c r="E22" s="360" t="n"/>
      <c r="F22" s="361" t="inlineStr">
        <is>
          <t>2</t>
        </is>
      </c>
      <c r="G22" s="362" t="inlineStr">
        <is>
          <t>0</t>
        </is>
      </c>
      <c r="H22" s="360" t="inlineStr">
        <is>
          <t>202</t>
        </is>
      </c>
      <c r="I22" s="363" t="inlineStr">
        <is>
          <t>DAİRE 3 MUTFAK</t>
        </is>
      </c>
      <c r="J22" s="364" t="n"/>
      <c r="K22" s="360" t="inlineStr">
        <is>
          <t>20ºC</t>
        </is>
      </c>
      <c r="L22" s="360" t="n"/>
      <c r="M22" s="360" t="n"/>
      <c r="N22" s="360" t="n"/>
      <c r="O22" s="360" t="n"/>
      <c r="P22" s="360" t="n"/>
      <c r="Q22" s="365" t="n"/>
    </row>
    <row r="23" ht="9.949999999999999" customFormat="1" customHeight="1" s="356">
      <c r="A23" s="366" t="inlineStr">
        <is>
          <t>DD</t>
        </is>
      </c>
      <c r="B23" s="367" t="inlineStr">
        <is>
          <t>K</t>
        </is>
      </c>
      <c r="C23" s="368" t="n"/>
      <c r="D23" s="369" t="n">
        <v>3.3</v>
      </c>
      <c r="E23" s="369" t="n">
        <v>2.5</v>
      </c>
      <c r="F23" s="370">
        <f>IF(D23=0," ",D23*E23)</f>
        <v/>
      </c>
      <c r="G23" s="371" t="n">
        <v>1</v>
      </c>
      <c r="H23" s="372">
        <f>F25*G25</f>
        <v/>
      </c>
      <c r="I23" s="370">
        <f>IF(F23=" "," ",F23*G23-H23)</f>
        <v/>
      </c>
      <c r="J23" s="369" t="n">
        <v>0.344</v>
      </c>
      <c r="K23" s="371" t="n">
        <v>26</v>
      </c>
      <c r="L23" s="373">
        <f>IF(I23=" "," ",I23*J23*K23)</f>
        <v/>
      </c>
      <c r="M23" s="374" t="n">
        <v>7</v>
      </c>
      <c r="N23" s="371" t="n">
        <v>0</v>
      </c>
      <c r="O23" s="374" t="n">
        <v>5</v>
      </c>
      <c r="P23" s="370">
        <f>IF(M23=" "," ",(1+(M23+N23+O23)/100))</f>
        <v/>
      </c>
      <c r="Q23" s="375">
        <f>IF(L23=" "," ",L23*P23)</f>
        <v/>
      </c>
    </row>
    <row r="24" ht="9.949999999999999" customFormat="1" customHeight="1" s="412">
      <c r="A24" s="366" t="inlineStr">
        <is>
          <t>DD25</t>
        </is>
      </c>
      <c r="B24" s="367" t="inlineStr">
        <is>
          <t>K</t>
        </is>
      </c>
      <c r="C24" s="368" t="n"/>
      <c r="D24" s="369">
        <f>D23</f>
        <v/>
      </c>
      <c r="E24" s="369" t="n">
        <v>0.5</v>
      </c>
      <c r="F24" s="370">
        <f>IF(D24=0," ",D24*E24)</f>
        <v/>
      </c>
      <c r="G24" s="371" t="n">
        <v>1</v>
      </c>
      <c r="H24" s="372" t="n"/>
      <c r="I24" s="370">
        <f>IF(F24=" "," ",F24*G24-H24)</f>
        <v/>
      </c>
      <c r="J24" s="369" t="n">
        <v>0.387</v>
      </c>
      <c r="K24" s="371" t="n">
        <v>26</v>
      </c>
      <c r="L24" s="373">
        <f>IF(I24=" "," ",I24*J24*K24)</f>
        <v/>
      </c>
      <c r="M24" s="374" t="n">
        <v>7</v>
      </c>
      <c r="N24" s="371" t="n">
        <v>0</v>
      </c>
      <c r="O24" s="374" t="n">
        <v>5</v>
      </c>
      <c r="P24" s="370">
        <f>IF(M24=" "," ",(1+(M24+N24+O24)/100))</f>
        <v/>
      </c>
      <c r="Q24" s="375">
        <f>IF(L24=" "," ",L24*P24)</f>
        <v/>
      </c>
    </row>
    <row r="25" ht="9.949999999999999" customFormat="1" customHeight="1" s="412">
      <c r="A25" s="366" t="inlineStr">
        <is>
          <t>ÇP</t>
        </is>
      </c>
      <c r="B25" s="367" t="inlineStr">
        <is>
          <t>K</t>
        </is>
      </c>
      <c r="C25" s="368" t="n"/>
      <c r="D25" s="369" t="n">
        <v>1.5</v>
      </c>
      <c r="E25" s="369" t="n">
        <v>1.6</v>
      </c>
      <c r="F25" s="370">
        <f>IF(D25=0," ",D25*E25)</f>
        <v/>
      </c>
      <c r="G25" s="371" t="n">
        <v>1</v>
      </c>
      <c r="H25" s="372" t="n"/>
      <c r="I25" s="370">
        <f>IF(F25=" "," ",F25*G25-H25)</f>
        <v/>
      </c>
      <c r="J25" s="369" t="n">
        <v>1.8</v>
      </c>
      <c r="K25" s="371" t="n">
        <v>26</v>
      </c>
      <c r="L25" s="373">
        <f>IF(I25=" "," ",I25*J25*K25)</f>
        <v/>
      </c>
      <c r="M25" s="374" t="n">
        <v>7</v>
      </c>
      <c r="N25" s="371" t="n">
        <v>0</v>
      </c>
      <c r="O25" s="374" t="n">
        <v>5</v>
      </c>
      <c r="P25" s="370">
        <f>IF(M25=" "," ",(1+(M25+N25+O25)/100))</f>
        <v/>
      </c>
      <c r="Q25" s="375">
        <f>IF(L25=" "," ",L25*P25)</f>
        <v/>
      </c>
    </row>
    <row r="26" ht="9.949999999999999" customFormat="1" customHeight="1" s="351">
      <c r="A26" s="366" t="inlineStr">
        <is>
          <t>İDM</t>
        </is>
      </c>
      <c r="B26" s="367" t="inlineStr"/>
      <c r="C26" s="368" t="n"/>
      <c r="D26" s="369" t="n">
        <v>2.66</v>
      </c>
      <c r="E26" s="369" t="n">
        <v>3</v>
      </c>
      <c r="F26" s="370">
        <f>IF(D26=0," ",D26*E26)</f>
        <v/>
      </c>
      <c r="G26" s="371" t="n">
        <v>1</v>
      </c>
      <c r="H26" s="372" t="n"/>
      <c r="I26" s="370">
        <f>IF(F26=" "," ",F26*G26-H26)</f>
        <v/>
      </c>
      <c r="J26" s="369" t="n">
        <v>0.332</v>
      </c>
      <c r="K26" s="371" t="n">
        <v>10</v>
      </c>
      <c r="L26" s="373">
        <f>IF(I26=" "," ",I26*J26*K26)</f>
        <v/>
      </c>
      <c r="M26" s="374" t="n">
        <v>7</v>
      </c>
      <c r="N26" s="371" t="n">
        <v>0</v>
      </c>
      <c r="O26" s="374" t="n">
        <v>0</v>
      </c>
      <c r="P26" s="370">
        <f>IF(M26=" "," ",(1+(M26+N26+O26)/100))</f>
        <v/>
      </c>
      <c r="Q26" s="375">
        <f>IF(L26=" "," ",L26*P26)</f>
        <v/>
      </c>
    </row>
    <row r="27" ht="9.949999999999999" customFormat="1" customHeight="1" s="356">
      <c r="A27" s="366" t="inlineStr">
        <is>
          <t>Ta</t>
        </is>
      </c>
      <c r="B27" s="367" t="inlineStr"/>
      <c r="C27" s="368" t="n"/>
      <c r="D27" s="369" t="n">
        <v>9.48</v>
      </c>
      <c r="E27" s="369" t="n">
        <v>1</v>
      </c>
      <c r="F27" s="370">
        <f>IF(D27=0," ",D27*E27)</f>
        <v/>
      </c>
      <c r="G27" s="371" t="n">
        <v>1</v>
      </c>
      <c r="H27" s="372" t="n"/>
      <c r="I27" s="370">
        <f>IF(F27=" "," ",F27*G27-H27)</f>
        <v/>
      </c>
      <c r="J27" s="369" t="n">
        <v>0.266</v>
      </c>
      <c r="K27" s="371" t="n">
        <v>20</v>
      </c>
      <c r="L27" s="373">
        <f>IF(I27=" "," ",I27*J27*K27)</f>
        <v/>
      </c>
      <c r="M27" s="374" t="n">
        <v>7</v>
      </c>
      <c r="N27" s="371" t="n">
        <v>0</v>
      </c>
      <c r="O27" s="374" t="n">
        <v>0</v>
      </c>
      <c r="P27" s="370">
        <f>IF(M27=" "," ",(1+(M27+N27+O27)/100))</f>
        <v/>
      </c>
      <c r="Q27" s="375">
        <f>IF(L27=" "," ",L27*P27)</f>
        <v/>
      </c>
    </row>
    <row r="28" ht="9.949999999999999" customFormat="1" customHeight="1" s="356">
      <c r="A28" s="376" t="n"/>
      <c r="B28" s="377" t="n"/>
      <c r="C28" s="377" t="n"/>
      <c r="D28" s="378" t="n"/>
      <c r="E28" s="378" t="n"/>
      <c r="F28" s="378" t="n"/>
      <c r="G28" s="379" t="n"/>
      <c r="H28" s="378" t="n"/>
      <c r="I28" s="378" t="n"/>
      <c r="J28" s="378" t="n"/>
      <c r="K28" s="379" t="n"/>
      <c r="L28" s="380" t="n"/>
      <c r="M28" s="381" t="n"/>
      <c r="N28" s="381" t="n"/>
      <c r="O28" s="381" t="n"/>
      <c r="P28" s="382" t="n"/>
      <c r="Q28" s="383">
        <f>SUM(Q23:Q27)</f>
        <v/>
      </c>
    </row>
    <row r="29" ht="9.949999999999999" customFormat="1" customHeight="1" s="356">
      <c r="A29" s="384" t="n"/>
      <c r="B29" s="385" t="n"/>
      <c r="C29" s="385" t="n"/>
      <c r="D29" s="386" t="n"/>
      <c r="E29" s="387" t="n"/>
      <c r="F29" s="388" t="n"/>
      <c r="G29" s="389" t="n"/>
      <c r="H29" s="388" t="n"/>
      <c r="I29" s="390" t="n"/>
      <c r="J29" s="391" t="inlineStr">
        <is>
          <t>Qs=</t>
        </is>
      </c>
      <c r="K29" s="390" t="inlineStr">
        <is>
          <t>S a</t>
        </is>
      </c>
      <c r="L29" s="388" t="inlineStr">
        <is>
          <t>L</t>
        </is>
      </c>
      <c r="M29" s="389" t="inlineStr">
        <is>
          <t>R</t>
        </is>
      </c>
      <c r="N29" s="392" t="inlineStr">
        <is>
          <t>H</t>
        </is>
      </c>
      <c r="O29" s="393" t="inlineStr">
        <is>
          <t>D  T</t>
        </is>
      </c>
      <c r="P29" s="389" t="inlineStr">
        <is>
          <t>Ze</t>
        </is>
      </c>
      <c r="Q29" s="394" t="n"/>
    </row>
    <row r="30" ht="9.949999999999999" customFormat="1" customHeight="1" s="356">
      <c r="A30" s="395" t="inlineStr">
        <is>
          <t xml:space="preserve"> </t>
        </is>
      </c>
      <c r="B30" s="396" t="n"/>
      <c r="C30" s="397" t="n"/>
      <c r="D30" s="397" t="n"/>
      <c r="E30" s="398" t="n"/>
      <c r="F30" s="399" t="n"/>
      <c r="G30" s="400" t="n"/>
      <c r="H30" s="401" t="n"/>
      <c r="I30" s="402" t="n"/>
      <c r="J30" s="403" t="inlineStr">
        <is>
          <t>Qs  =</t>
        </is>
      </c>
      <c r="K30" s="404" t="n">
        <v>2</v>
      </c>
      <c r="L30" s="404">
        <f>(D25+E25)*2*G25</f>
        <v/>
      </c>
      <c r="M30" s="404" t="n">
        <v>0.9</v>
      </c>
      <c r="N30" s="404" t="n">
        <v>0.67</v>
      </c>
      <c r="O30" s="381" t="n">
        <v>26</v>
      </c>
      <c r="P30" s="404" t="n">
        <v>1</v>
      </c>
      <c r="Q30" s="383">
        <f>K30*L30*M30*N30*O30*P30</f>
        <v/>
      </c>
    </row>
    <row r="31" ht="9.949999999999999" customFormat="1" customHeight="1" s="356">
      <c r="A31" s="405" t="n"/>
      <c r="B31" s="406" t="n"/>
      <c r="C31" s="397" t="n"/>
      <c r="D31" s="397" t="n"/>
      <c r="E31" s="378" t="n"/>
      <c r="F31" s="256" t="n"/>
      <c r="G31" s="407" t="n"/>
      <c r="H31" s="397" t="n"/>
      <c r="I31" s="397" t="n"/>
      <c r="J31" s="397" t="n"/>
      <c r="K31" s="407" t="n"/>
      <c r="L31" s="408" t="n"/>
      <c r="M31" s="409" t="inlineStr">
        <is>
          <t xml:space="preserve">   TOPLAM ISI KAYBI =</t>
        </is>
      </c>
      <c r="N31" s="409" t="n"/>
      <c r="O31" s="410" t="n"/>
      <c r="P31" s="409" t="n"/>
      <c r="Q31" s="411">
        <f>Q28+Q30</f>
        <v/>
      </c>
    </row>
    <row r="32" ht="10.35" customFormat="1" customHeight="1" s="356">
      <c r="A32" s="359" t="n"/>
      <c r="B32" s="360" t="n"/>
      <c r="C32" s="360" t="n"/>
      <c r="D32" s="360" t="n"/>
      <c r="E32" s="360" t="n"/>
      <c r="F32" s="361" t="inlineStr">
        <is>
          <t>2</t>
        </is>
      </c>
      <c r="G32" s="362" t="inlineStr">
        <is>
          <t>0</t>
        </is>
      </c>
      <c r="H32" s="360" t="inlineStr">
        <is>
          <t>203</t>
        </is>
      </c>
      <c r="I32" s="363" t="inlineStr">
        <is>
          <t>DAİRE 3 YATAK ODASI</t>
        </is>
      </c>
      <c r="J32" s="364" t="n"/>
      <c r="K32" s="360" t="inlineStr">
        <is>
          <t>20ºC</t>
        </is>
      </c>
      <c r="L32" s="360" t="n"/>
      <c r="M32" s="360" t="n"/>
      <c r="N32" s="360" t="n"/>
      <c r="O32" s="360" t="n"/>
      <c r="P32" s="360" t="n"/>
      <c r="Q32" s="365" t="n"/>
    </row>
    <row r="33" ht="9.949999999999999" customFormat="1" customHeight="1" s="356">
      <c r="A33" s="366" t="inlineStr">
        <is>
          <t>DD</t>
        </is>
      </c>
      <c r="B33" s="367" t="inlineStr">
        <is>
          <t>G</t>
        </is>
      </c>
      <c r="C33" s="368" t="n"/>
      <c r="D33" s="369" t="n">
        <v>2.57</v>
      </c>
      <c r="E33" s="369" t="n">
        <v>2.5</v>
      </c>
      <c r="F33" s="370">
        <f>IF(D33=0," ",D33*E33)</f>
        <v/>
      </c>
      <c r="G33" s="371" t="n">
        <v>1</v>
      </c>
      <c r="H33" s="372">
        <f>F35*G35</f>
        <v/>
      </c>
      <c r="I33" s="370">
        <f>IF(F33=" "," ",F33*G33-H33)</f>
        <v/>
      </c>
      <c r="J33" s="369" t="n">
        <v>0.344</v>
      </c>
      <c r="K33" s="371" t="n">
        <v>26</v>
      </c>
      <c r="L33" s="373">
        <f>IF(I33=" "," ",I33*J33*K33)</f>
        <v/>
      </c>
      <c r="M33" s="374" t="n">
        <v>7</v>
      </c>
      <c r="N33" s="371" t="n">
        <v>0</v>
      </c>
      <c r="O33" s="374" t="n">
        <v>-5</v>
      </c>
      <c r="P33" s="370">
        <f>IF(M33=" "," ",(1+(M33+N33+O33)/100))</f>
        <v/>
      </c>
      <c r="Q33" s="375">
        <f>IF(L33=" "," ",L33*P33)</f>
        <v/>
      </c>
    </row>
    <row r="34" ht="9.949999999999999" customFormat="1" customHeight="1" s="356">
      <c r="A34" s="366" t="inlineStr">
        <is>
          <t>DD25</t>
        </is>
      </c>
      <c r="B34" s="367" t="inlineStr">
        <is>
          <t>G</t>
        </is>
      </c>
      <c r="C34" s="368" t="n"/>
      <c r="D34" s="369">
        <f>D33</f>
        <v/>
      </c>
      <c r="E34" s="369" t="n">
        <v>0.5</v>
      </c>
      <c r="F34" s="370">
        <f>IF(D34=0," ",D34*E34)</f>
        <v/>
      </c>
      <c r="G34" s="371" t="n">
        <v>1</v>
      </c>
      <c r="H34" s="372" t="n"/>
      <c r="I34" s="370">
        <f>IF(F34=" "," ",F34*G34-H34)</f>
        <v/>
      </c>
      <c r="J34" s="369" t="n">
        <v>0.387</v>
      </c>
      <c r="K34" s="371" t="n">
        <v>26</v>
      </c>
      <c r="L34" s="373">
        <f>IF(I34=" "," ",I34*J34*K34)</f>
        <v/>
      </c>
      <c r="M34" s="374" t="n">
        <v>7</v>
      </c>
      <c r="N34" s="371" t="n">
        <v>0</v>
      </c>
      <c r="O34" s="374" t="n">
        <v>-5</v>
      </c>
      <c r="P34" s="370">
        <f>IF(M34=" "," ",(1+(M34+N34+O34)/100))</f>
        <v/>
      </c>
      <c r="Q34" s="375">
        <f>IF(L34=" "," ",L34*P34)</f>
        <v/>
      </c>
    </row>
    <row r="35" ht="9.949999999999999" customFormat="1" customHeight="1" s="356">
      <c r="A35" s="366" t="inlineStr">
        <is>
          <t>ÇP</t>
        </is>
      </c>
      <c r="B35" s="367" t="inlineStr">
        <is>
          <t>G</t>
        </is>
      </c>
      <c r="C35" s="368" t="n"/>
      <c r="D35" s="369" t="n">
        <v>1.5</v>
      </c>
      <c r="E35" s="369" t="n">
        <v>1.6</v>
      </c>
      <c r="F35" s="370">
        <f>IF(D35=0," ",D35*E35)</f>
        <v/>
      </c>
      <c r="G35" s="371" t="n">
        <v>1</v>
      </c>
      <c r="H35" s="372" t="n"/>
      <c r="I35" s="370">
        <f>IF(F35=" "," ",F35*G35-H35)</f>
        <v/>
      </c>
      <c r="J35" s="369" t="n">
        <v>1.8</v>
      </c>
      <c r="K35" s="371" t="n">
        <v>26</v>
      </c>
      <c r="L35" s="373">
        <f>IF(I35=" "," ",I35*J35*K35)</f>
        <v/>
      </c>
      <c r="M35" s="374" t="n">
        <v>7</v>
      </c>
      <c r="N35" s="371" t="n">
        <v>0</v>
      </c>
      <c r="O35" s="374" t="n">
        <v>-5</v>
      </c>
      <c r="P35" s="370">
        <f>IF(M35=" "," ",(1+(M35+N35+O35)/100))</f>
        <v/>
      </c>
      <c r="Q35" s="375">
        <f>IF(L35=" "," ",L35*P35)</f>
        <v/>
      </c>
    </row>
    <row r="36" ht="9.949999999999999" customFormat="1" customHeight="1" s="412">
      <c r="A36" s="366" t="inlineStr">
        <is>
          <t>DD</t>
        </is>
      </c>
      <c r="B36" s="367" t="inlineStr">
        <is>
          <t>B</t>
        </is>
      </c>
      <c r="C36" s="368" t="n"/>
      <c r="D36" s="369" t="n">
        <v>3.48</v>
      </c>
      <c r="E36" s="369" t="n">
        <v>2.5</v>
      </c>
      <c r="F36" s="370">
        <f>IF(D36=0," ",D36*E36)</f>
        <v/>
      </c>
      <c r="G36" s="371" t="n">
        <v>1</v>
      </c>
      <c r="H36" s="372" t="n"/>
      <c r="I36" s="370">
        <f>IF(F36=" "," ",F36*G36-H36)</f>
        <v/>
      </c>
      <c r="J36" s="369" t="n">
        <v>0.344</v>
      </c>
      <c r="K36" s="371" t="n">
        <v>26</v>
      </c>
      <c r="L36" s="373">
        <f>IF(I36=" "," ",I36*J36*K36)</f>
        <v/>
      </c>
      <c r="M36" s="374" t="n">
        <v>7</v>
      </c>
      <c r="N36" s="371" t="n">
        <v>0</v>
      </c>
      <c r="O36" s="374" t="n">
        <v>0</v>
      </c>
      <c r="P36" s="370">
        <f>IF(M36=" "," ",(1+(M36+N36+O36)/100))</f>
        <v/>
      </c>
      <c r="Q36" s="375">
        <f>IF(L36=" "," ",L36*P36)</f>
        <v/>
      </c>
    </row>
    <row r="37" ht="9.949999999999999" customFormat="1" customHeight="1" s="412">
      <c r="A37" s="366" t="inlineStr">
        <is>
          <t>DD25</t>
        </is>
      </c>
      <c r="B37" s="367" t="inlineStr">
        <is>
          <t>B</t>
        </is>
      </c>
      <c r="C37" s="368" t="n"/>
      <c r="D37" s="369">
        <f>D36</f>
        <v/>
      </c>
      <c r="E37" s="369" t="n">
        <v>0.5</v>
      </c>
      <c r="F37" s="370">
        <f>IF(D37=0," ",D37*E37)</f>
        <v/>
      </c>
      <c r="G37" s="371" t="n">
        <v>1</v>
      </c>
      <c r="H37" s="372" t="n"/>
      <c r="I37" s="370">
        <f>IF(F37=" "," ",F37*G37-H37)</f>
        <v/>
      </c>
      <c r="J37" s="369" t="n">
        <v>0.387</v>
      </c>
      <c r="K37" s="371" t="n">
        <v>26</v>
      </c>
      <c r="L37" s="373">
        <f>IF(I37=" "," ",I37*J37*K37)</f>
        <v/>
      </c>
      <c r="M37" s="374" t="n">
        <v>7</v>
      </c>
      <c r="N37" s="371" t="n">
        <v>0</v>
      </c>
      <c r="O37" s="374" t="n">
        <v>0</v>
      </c>
      <c r="P37" s="370">
        <f>IF(M37=" "," ",(1+(M37+N37+O37)/100))</f>
        <v/>
      </c>
      <c r="Q37" s="375">
        <f>IF(L37=" "," ",L37*P37)</f>
        <v/>
      </c>
    </row>
    <row r="38" ht="9.949999999999999" customFormat="1" customHeight="1" s="351">
      <c r="A38" s="366" t="inlineStr">
        <is>
          <t>Ta</t>
        </is>
      </c>
      <c r="B38" s="367" t="inlineStr"/>
      <c r="C38" s="368" t="n"/>
      <c r="D38" s="369" t="n">
        <v>10.84</v>
      </c>
      <c r="E38" s="369" t="n">
        <v>1</v>
      </c>
      <c r="F38" s="370">
        <f>IF(D38=0," ",D38*E38)</f>
        <v/>
      </c>
      <c r="G38" s="371" t="n">
        <v>1</v>
      </c>
      <c r="H38" s="372" t="n"/>
      <c r="I38" s="370">
        <f>IF(F38=" "," ",F38*G38-H38)</f>
        <v/>
      </c>
      <c r="J38" s="369" t="n">
        <v>0.266</v>
      </c>
      <c r="K38" s="371" t="n">
        <v>20</v>
      </c>
      <c r="L38" s="373">
        <f>IF(I38=" "," ",I38*J38*K38)</f>
        <v/>
      </c>
      <c r="M38" s="374" t="n">
        <v>7</v>
      </c>
      <c r="N38" s="371" t="n">
        <v>0</v>
      </c>
      <c r="O38" s="374" t="n">
        <v>0</v>
      </c>
      <c r="P38" s="370">
        <f>IF(M38=" "," ",(1+(M38+N38+O38)/100))</f>
        <v/>
      </c>
      <c r="Q38" s="375">
        <f>IF(L38=" "," ",L38*P38)</f>
        <v/>
      </c>
    </row>
    <row r="39" ht="9.949999999999999" customFormat="1" customHeight="1" s="356">
      <c r="A39" s="376" t="n"/>
      <c r="B39" s="377" t="n"/>
      <c r="C39" s="377" t="n"/>
      <c r="D39" s="378" t="n"/>
      <c r="E39" s="378" t="n"/>
      <c r="F39" s="378" t="n"/>
      <c r="G39" s="379" t="n"/>
      <c r="H39" s="378" t="n"/>
      <c r="I39" s="378" t="n"/>
      <c r="J39" s="378" t="n"/>
      <c r="K39" s="379" t="n"/>
      <c r="L39" s="380" t="n"/>
      <c r="M39" s="381" t="n"/>
      <c r="N39" s="381" t="n"/>
      <c r="O39" s="381" t="n"/>
      <c r="P39" s="382" t="n"/>
      <c r="Q39" s="383">
        <f>SUM(Q33:Q38)</f>
        <v/>
      </c>
    </row>
    <row r="40" ht="9.949999999999999" customFormat="1" customHeight="1" s="356">
      <c r="A40" s="384" t="n"/>
      <c r="B40" s="385" t="n"/>
      <c r="C40" s="385" t="n"/>
      <c r="D40" s="386" t="n"/>
      <c r="E40" s="387" t="n"/>
      <c r="F40" s="388" t="n"/>
      <c r="G40" s="389" t="n"/>
      <c r="H40" s="388" t="n"/>
      <c r="I40" s="390" t="n"/>
      <c r="J40" s="391" t="inlineStr">
        <is>
          <t>Qs=</t>
        </is>
      </c>
      <c r="K40" s="390" t="inlineStr">
        <is>
          <t>S a</t>
        </is>
      </c>
      <c r="L40" s="388" t="inlineStr">
        <is>
          <t>L</t>
        </is>
      </c>
      <c r="M40" s="389" t="inlineStr">
        <is>
          <t>R</t>
        </is>
      </c>
      <c r="N40" s="392" t="inlineStr">
        <is>
          <t>H</t>
        </is>
      </c>
      <c r="O40" s="393" t="inlineStr">
        <is>
          <t>D  T</t>
        </is>
      </c>
      <c r="P40" s="389" t="inlineStr">
        <is>
          <t>Ze</t>
        </is>
      </c>
      <c r="Q40" s="394" t="n"/>
    </row>
    <row r="41" ht="9.949999999999999" customFormat="1" customHeight="1" s="356">
      <c r="A41" s="395" t="inlineStr">
        <is>
          <t xml:space="preserve"> </t>
        </is>
      </c>
      <c r="B41" s="396" t="n"/>
      <c r="C41" s="397" t="n"/>
      <c r="D41" s="397" t="n"/>
      <c r="E41" s="398" t="n"/>
      <c r="F41" s="399" t="n"/>
      <c r="G41" s="400" t="n"/>
      <c r="H41" s="401" t="n"/>
      <c r="I41" s="402" t="n"/>
      <c r="J41" s="403" t="inlineStr">
        <is>
          <t>Qs  =</t>
        </is>
      </c>
      <c r="K41" s="404" t="n">
        <v>2</v>
      </c>
      <c r="L41" s="404">
        <f>(D35+E35)*2*G35</f>
        <v/>
      </c>
      <c r="M41" s="404" t="n">
        <v>0.9</v>
      </c>
      <c r="N41" s="404" t="n">
        <v>0.67</v>
      </c>
      <c r="O41" s="381" t="n">
        <v>26</v>
      </c>
      <c r="P41" s="404" t="n">
        <v>1</v>
      </c>
      <c r="Q41" s="383">
        <f>K41*L41*M41*N41*O41*P41</f>
        <v/>
      </c>
    </row>
    <row r="42" ht="9.949999999999999" customFormat="1" customHeight="1" s="356">
      <c r="A42" s="405" t="n"/>
      <c r="B42" s="406" t="n"/>
      <c r="C42" s="397" t="n"/>
      <c r="D42" s="397" t="n"/>
      <c r="E42" s="378" t="n"/>
      <c r="F42" s="256" t="n"/>
      <c r="G42" s="407" t="n"/>
      <c r="H42" s="397" t="n"/>
      <c r="I42" s="397" t="n"/>
      <c r="J42" s="397" t="n"/>
      <c r="K42" s="407" t="n"/>
      <c r="L42" s="408" t="n"/>
      <c r="M42" s="409" t="inlineStr">
        <is>
          <t xml:space="preserve">   TOPLAM ISI KAYBI =</t>
        </is>
      </c>
      <c r="N42" s="409" t="n"/>
      <c r="O42" s="410" t="n"/>
      <c r="P42" s="409" t="n"/>
      <c r="Q42" s="411">
        <f>Q39+Q41</f>
        <v/>
      </c>
    </row>
    <row r="43" ht="10.35" customFormat="1" customHeight="1" s="356">
      <c r="A43" s="359" t="n"/>
      <c r="B43" s="360" t="n"/>
      <c r="C43" s="360" t="n"/>
      <c r="D43" s="360" t="n"/>
      <c r="E43" s="360" t="n"/>
      <c r="F43" s="361" t="inlineStr">
        <is>
          <t>2</t>
        </is>
      </c>
      <c r="G43" s="362" t="inlineStr">
        <is>
          <t>0</t>
        </is>
      </c>
      <c r="H43" s="360" t="inlineStr">
        <is>
          <t>204</t>
        </is>
      </c>
      <c r="I43" s="363" t="inlineStr">
        <is>
          <t>DAİRE 3 ODA</t>
        </is>
      </c>
      <c r="J43" s="364" t="n"/>
      <c r="K43" s="360" t="inlineStr">
        <is>
          <t>20ºC</t>
        </is>
      </c>
      <c r="L43" s="360" t="n"/>
      <c r="M43" s="360" t="n"/>
      <c r="N43" s="360" t="n"/>
      <c r="O43" s="360" t="n"/>
      <c r="P43" s="360" t="n"/>
      <c r="Q43" s="365" t="n"/>
    </row>
    <row r="44" ht="9.949999999999999" customFormat="1" customHeight="1" s="356">
      <c r="A44" s="366" t="inlineStr">
        <is>
          <t>DD</t>
        </is>
      </c>
      <c r="B44" s="367" t="inlineStr">
        <is>
          <t>G</t>
        </is>
      </c>
      <c r="C44" s="368" t="n"/>
      <c r="D44" s="369" t="n">
        <v>2.8</v>
      </c>
      <c r="E44" s="369" t="n">
        <v>2.5</v>
      </c>
      <c r="F44" s="370">
        <f>IF(D44=0," ",D44*E44)</f>
        <v/>
      </c>
      <c r="G44" s="371" t="n">
        <v>1</v>
      </c>
      <c r="H44" s="372">
        <f>F46*G46</f>
        <v/>
      </c>
      <c r="I44" s="370">
        <f>IF(F44=" "," ",F44*G44-H44)</f>
        <v/>
      </c>
      <c r="J44" s="369" t="n">
        <v>0.344</v>
      </c>
      <c r="K44" s="371" t="n">
        <v>26</v>
      </c>
      <c r="L44" s="373">
        <f>IF(I44=" "," ",I44*J44*K44)</f>
        <v/>
      </c>
      <c r="M44" s="374" t="n">
        <v>7</v>
      </c>
      <c r="N44" s="371" t="n">
        <v>0</v>
      </c>
      <c r="O44" s="374" t="n">
        <v>-5</v>
      </c>
      <c r="P44" s="370">
        <f>IF(M44=" "," ",(1+(M44+N44+O44)/100))</f>
        <v/>
      </c>
      <c r="Q44" s="375">
        <f>IF(L44=" "," ",L44*P44)</f>
        <v/>
      </c>
    </row>
    <row r="45" ht="9.949999999999999" customFormat="1" customHeight="1" s="356">
      <c r="A45" s="366" t="inlineStr">
        <is>
          <t>DD25</t>
        </is>
      </c>
      <c r="B45" s="367" t="inlineStr">
        <is>
          <t>G</t>
        </is>
      </c>
      <c r="C45" s="368" t="n"/>
      <c r="D45" s="369">
        <f>D44</f>
        <v/>
      </c>
      <c r="E45" s="369" t="n">
        <v>0.5</v>
      </c>
      <c r="F45" s="370">
        <f>IF(D45=0," ",D45*E45)</f>
        <v/>
      </c>
      <c r="G45" s="371" t="n">
        <v>1</v>
      </c>
      <c r="H45" s="372" t="n"/>
      <c r="I45" s="370">
        <f>IF(F45=" "," ",F45*G45-H45)</f>
        <v/>
      </c>
      <c r="J45" s="369" t="n">
        <v>0.387</v>
      </c>
      <c r="K45" s="371" t="n">
        <v>26</v>
      </c>
      <c r="L45" s="373">
        <f>IF(I45=" "," ",I45*J45*K45)</f>
        <v/>
      </c>
      <c r="M45" s="374" t="n">
        <v>7</v>
      </c>
      <c r="N45" s="371" t="n">
        <v>0</v>
      </c>
      <c r="O45" s="374" t="n">
        <v>-5</v>
      </c>
      <c r="P45" s="370">
        <f>IF(M45=" "," ",(1+(M45+N45+O45)/100))</f>
        <v/>
      </c>
      <c r="Q45" s="375">
        <f>IF(L45=" "," ",L45*P45)</f>
        <v/>
      </c>
    </row>
    <row r="46" ht="9.949999999999999" customFormat="1" customHeight="1" s="356">
      <c r="A46" s="366" t="inlineStr">
        <is>
          <t>ÇP</t>
        </is>
      </c>
      <c r="B46" s="367" t="inlineStr">
        <is>
          <t>G</t>
        </is>
      </c>
      <c r="C46" s="368" t="n"/>
      <c r="D46" s="369" t="n">
        <v>1.5</v>
      </c>
      <c r="E46" s="369" t="n">
        <v>1.6</v>
      </c>
      <c r="F46" s="370">
        <f>IF(D46=0," ",D46*E46)</f>
        <v/>
      </c>
      <c r="G46" s="371" t="n">
        <v>1</v>
      </c>
      <c r="H46" s="372" t="n"/>
      <c r="I46" s="370">
        <f>IF(F46=" "," ",F46*G46-H46)</f>
        <v/>
      </c>
      <c r="J46" s="369" t="n">
        <v>1.8</v>
      </c>
      <c r="K46" s="371" t="n">
        <v>26</v>
      </c>
      <c r="L46" s="373">
        <f>IF(I46=" "," ",I46*J46*K46)</f>
        <v/>
      </c>
      <c r="M46" s="374" t="n">
        <v>7</v>
      </c>
      <c r="N46" s="371" t="n">
        <v>0</v>
      </c>
      <c r="O46" s="374" t="n">
        <v>-5</v>
      </c>
      <c r="P46" s="370">
        <f>IF(M46=" "," ",(1+(M46+N46+O46)/100))</f>
        <v/>
      </c>
      <c r="Q46" s="375">
        <f>IF(L46=" "," ",L46*P46)</f>
        <v/>
      </c>
    </row>
    <row r="47" ht="9.949999999999999" customFormat="1" customHeight="1" s="356">
      <c r="A47" s="366" t="inlineStr">
        <is>
          <t>Ta</t>
        </is>
      </c>
      <c r="B47" s="367" t="inlineStr"/>
      <c r="C47" s="368" t="n"/>
      <c r="D47" s="369" t="n">
        <v>7</v>
      </c>
      <c r="E47" s="369" t="n">
        <v>1</v>
      </c>
      <c r="F47" s="370">
        <f>IF(D47=0," ",D47*E47)</f>
        <v/>
      </c>
      <c r="G47" s="371" t="n">
        <v>1</v>
      </c>
      <c r="H47" s="372" t="n"/>
      <c r="I47" s="370">
        <f>IF(F47=" "," ",F47*G47-H47)</f>
        <v/>
      </c>
      <c r="J47" s="369" t="n">
        <v>0.266</v>
      </c>
      <c r="K47" s="371" t="n">
        <v>20</v>
      </c>
      <c r="L47" s="373">
        <f>IF(I47=" "," ",I47*J47*K47)</f>
        <v/>
      </c>
      <c r="M47" s="374" t="n">
        <v>7</v>
      </c>
      <c r="N47" s="371" t="n">
        <v>0</v>
      </c>
      <c r="O47" s="374" t="n">
        <v>0</v>
      </c>
      <c r="P47" s="370">
        <f>IF(M47=" "," ",(1+(M47+N47+O47)/100))</f>
        <v/>
      </c>
      <c r="Q47" s="375">
        <f>IF(L47=" "," ",L47*P47)</f>
        <v/>
      </c>
    </row>
    <row r="48" ht="9.949999999999999" customFormat="1" customHeight="1" s="412">
      <c r="A48" s="376" t="n"/>
      <c r="B48" s="377" t="n"/>
      <c r="C48" s="377" t="n"/>
      <c r="D48" s="378" t="n"/>
      <c r="E48" s="378" t="n"/>
      <c r="F48" s="378" t="n"/>
      <c r="G48" s="379" t="n"/>
      <c r="H48" s="378" t="n"/>
      <c r="I48" s="378" t="n"/>
      <c r="J48" s="378" t="n"/>
      <c r="K48" s="379" t="n"/>
      <c r="L48" s="380" t="n"/>
      <c r="M48" s="381" t="n"/>
      <c r="N48" s="381" t="n"/>
      <c r="O48" s="381" t="n"/>
      <c r="P48" s="382" t="n"/>
      <c r="Q48" s="383">
        <f>SUM(Q44:Q47)</f>
        <v/>
      </c>
    </row>
    <row r="49" ht="9.949999999999999" customFormat="1" customHeight="1" s="412">
      <c r="A49" s="384" t="n"/>
      <c r="B49" s="385" t="n"/>
      <c r="C49" s="385" t="n"/>
      <c r="D49" s="386" t="n"/>
      <c r="E49" s="387" t="n"/>
      <c r="F49" s="388" t="n"/>
      <c r="G49" s="389" t="n"/>
      <c r="H49" s="388" t="n"/>
      <c r="I49" s="390" t="n"/>
      <c r="J49" s="391" t="inlineStr">
        <is>
          <t>Qs=</t>
        </is>
      </c>
      <c r="K49" s="390" t="inlineStr">
        <is>
          <t>S a</t>
        </is>
      </c>
      <c r="L49" s="388" t="inlineStr">
        <is>
          <t>L</t>
        </is>
      </c>
      <c r="M49" s="389" t="inlineStr">
        <is>
          <t>R</t>
        </is>
      </c>
      <c r="N49" s="392" t="inlineStr">
        <is>
          <t>H</t>
        </is>
      </c>
      <c r="O49" s="393" t="inlineStr">
        <is>
          <t>D  T</t>
        </is>
      </c>
      <c r="P49" s="389" t="inlineStr">
        <is>
          <t>Ze</t>
        </is>
      </c>
      <c r="Q49" s="394" t="n"/>
    </row>
    <row r="50" ht="9.949999999999999" customFormat="1" customHeight="1" s="351">
      <c r="A50" s="395" t="inlineStr">
        <is>
          <t xml:space="preserve"> </t>
        </is>
      </c>
      <c r="B50" s="412" t="n"/>
      <c r="C50" s="397" t="n"/>
      <c r="D50" s="397" t="n"/>
      <c r="E50" s="398" t="n"/>
      <c r="F50" s="399" t="n"/>
      <c r="G50" s="400" t="n"/>
      <c r="H50" s="401" t="n"/>
      <c r="I50" s="402" t="n"/>
      <c r="J50" s="403" t="inlineStr">
        <is>
          <t>Qs  =</t>
        </is>
      </c>
      <c r="K50" s="404" t="n">
        <v>2</v>
      </c>
      <c r="L50" s="404">
        <f>(D46+E46)*2*G46</f>
        <v/>
      </c>
      <c r="M50" s="404" t="n">
        <v>0.9</v>
      </c>
      <c r="N50" s="404" t="n">
        <v>0.67</v>
      </c>
      <c r="O50" s="381" t="n">
        <v>26</v>
      </c>
      <c r="P50" s="404" t="n">
        <v>1</v>
      </c>
      <c r="Q50" s="383">
        <f>K50*L50*M50*N50*O50*P50</f>
        <v/>
      </c>
    </row>
    <row r="51" ht="9.949999999999999" customFormat="1" customHeight="1" s="356">
      <c r="A51" s="405" t="n"/>
      <c r="B51" s="406" t="n"/>
      <c r="C51" s="397" t="n"/>
      <c r="D51" s="397" t="n"/>
      <c r="E51" s="378" t="n"/>
      <c r="F51" s="256" t="n"/>
      <c r="G51" s="407" t="n"/>
      <c r="H51" s="397" t="n"/>
      <c r="I51" s="397" t="n"/>
      <c r="J51" s="397" t="n"/>
      <c r="K51" s="407" t="n"/>
      <c r="L51" s="408" t="n"/>
      <c r="M51" s="409" t="inlineStr">
        <is>
          <t xml:space="preserve">   TOPLAM ISI KAYBI =</t>
        </is>
      </c>
      <c r="N51" s="409" t="n"/>
      <c r="O51" s="410" t="n"/>
      <c r="P51" s="409" t="n"/>
      <c r="Q51" s="411">
        <f>Q48+Q50</f>
        <v/>
      </c>
    </row>
    <row r="52" ht="10.35" customFormat="1" customHeight="1" s="356">
      <c r="A52" s="359" t="n"/>
      <c r="B52" s="360" t="n"/>
      <c r="C52" s="360" t="n"/>
      <c r="D52" s="360" t="n"/>
      <c r="E52" s="360" t="n"/>
      <c r="F52" s="361" t="inlineStr">
        <is>
          <t>2</t>
        </is>
      </c>
      <c r="G52" s="362" t="inlineStr">
        <is>
          <t>0</t>
        </is>
      </c>
      <c r="H52" s="360" t="inlineStr">
        <is>
          <t>205</t>
        </is>
      </c>
      <c r="I52" s="363" t="inlineStr">
        <is>
          <t>DAİRE 3 BANYO</t>
        </is>
      </c>
      <c r="J52" s="364" t="n"/>
      <c r="K52" s="360" t="inlineStr">
        <is>
          <t>26ºC</t>
        </is>
      </c>
      <c r="L52" s="360" t="n"/>
      <c r="M52" s="360" t="n"/>
      <c r="N52" s="360" t="n"/>
      <c r="O52" s="360" t="n"/>
      <c r="P52" s="360" t="n"/>
      <c r="Q52" s="365" t="n"/>
    </row>
    <row r="53" ht="9.949999999999999" customFormat="1" customHeight="1" s="356">
      <c r="A53" s="366" t="inlineStr">
        <is>
          <t>DD</t>
        </is>
      </c>
      <c r="B53" s="367" t="inlineStr">
        <is>
          <t>G</t>
        </is>
      </c>
      <c r="C53" s="368" t="n"/>
      <c r="D53" s="369" t="n">
        <v>1.73</v>
      </c>
      <c r="E53" s="369" t="n">
        <v>2.5</v>
      </c>
      <c r="F53" s="370">
        <f>IF(D53=0," ",D53*E53)</f>
        <v/>
      </c>
      <c r="G53" s="371" t="n">
        <v>1</v>
      </c>
      <c r="H53" s="372">
        <f>F55*G55</f>
        <v/>
      </c>
      <c r="I53" s="370">
        <f>IF(F53=" "," ",F53*G53-H53)</f>
        <v/>
      </c>
      <c r="J53" s="369" t="n">
        <v>0.344</v>
      </c>
      <c r="K53" s="371" t="n">
        <v>32</v>
      </c>
      <c r="L53" s="373">
        <f>IF(I53=" "," ",I53*J53*K53)</f>
        <v/>
      </c>
      <c r="M53" s="374" t="n">
        <v>7</v>
      </c>
      <c r="N53" s="371" t="n">
        <v>0</v>
      </c>
      <c r="O53" s="374" t="n">
        <v>-5</v>
      </c>
      <c r="P53" s="370">
        <f>IF(M53=" "," ",(1+(M53+N53+O53)/100))</f>
        <v/>
      </c>
      <c r="Q53" s="375">
        <f>IF(L53=" "," ",L53*P53)</f>
        <v/>
      </c>
    </row>
    <row r="54" ht="9.949999999999999" customFormat="1" customHeight="1" s="356">
      <c r="A54" s="366" t="inlineStr">
        <is>
          <t>DD25</t>
        </is>
      </c>
      <c r="B54" s="367" t="inlineStr">
        <is>
          <t>G</t>
        </is>
      </c>
      <c r="C54" s="368" t="n"/>
      <c r="D54" s="369">
        <f>D53</f>
        <v/>
      </c>
      <c r="E54" s="369" t="n">
        <v>0.5</v>
      </c>
      <c r="F54" s="370">
        <f>IF(D54=0," ",D54*E54)</f>
        <v/>
      </c>
      <c r="G54" s="371" t="n">
        <v>1</v>
      </c>
      <c r="H54" s="372" t="n"/>
      <c r="I54" s="370">
        <f>IF(F54=" "," ",F54*G54-H54)</f>
        <v/>
      </c>
      <c r="J54" s="369" t="n">
        <v>0.387</v>
      </c>
      <c r="K54" s="371" t="n">
        <v>32</v>
      </c>
      <c r="L54" s="373">
        <f>IF(I54=" "," ",I54*J54*K54)</f>
        <v/>
      </c>
      <c r="M54" s="374" t="n">
        <v>7</v>
      </c>
      <c r="N54" s="371" t="n">
        <v>0</v>
      </c>
      <c r="O54" s="374" t="n">
        <v>-5</v>
      </c>
      <c r="P54" s="370">
        <f>IF(M54=" "," ",(1+(M54+N54+O54)/100))</f>
        <v/>
      </c>
      <c r="Q54" s="375">
        <f>IF(L54=" "," ",L54*P54)</f>
        <v/>
      </c>
    </row>
    <row r="55" ht="9.949999999999999" customFormat="1" customHeight="1" s="356">
      <c r="A55" s="366" t="inlineStr">
        <is>
          <t>ÇP</t>
        </is>
      </c>
      <c r="B55" s="367" t="inlineStr">
        <is>
          <t>G</t>
        </is>
      </c>
      <c r="C55" s="368" t="n"/>
      <c r="D55" s="369" t="n">
        <v>0.5</v>
      </c>
      <c r="E55" s="369" t="n">
        <v>0.65</v>
      </c>
      <c r="F55" s="370">
        <f>IF(D55=0," ",D55*E55)</f>
        <v/>
      </c>
      <c r="G55" s="371" t="n">
        <v>1</v>
      </c>
      <c r="H55" s="372" t="n"/>
      <c r="I55" s="370">
        <f>IF(F55=" "," ",F55*G55-H55)</f>
        <v/>
      </c>
      <c r="J55" s="369" t="n">
        <v>1.8</v>
      </c>
      <c r="K55" s="371" t="n">
        <v>32</v>
      </c>
      <c r="L55" s="373">
        <f>IF(I55=" "," ",I55*J55*K55)</f>
        <v/>
      </c>
      <c r="M55" s="374" t="n">
        <v>7</v>
      </c>
      <c r="N55" s="371" t="n">
        <v>0</v>
      </c>
      <c r="O55" s="374" t="n">
        <v>-5</v>
      </c>
      <c r="P55" s="370">
        <f>IF(M55=" "," ",(1+(M55+N55+O55)/100))</f>
        <v/>
      </c>
      <c r="Q55" s="375">
        <f>IF(L55=" "," ",L55*P55)</f>
        <v/>
      </c>
    </row>
    <row r="56" ht="9.949999999999999" customFormat="1" customHeight="1" s="356">
      <c r="A56" s="366" t="inlineStr">
        <is>
          <t>Ta</t>
        </is>
      </c>
      <c r="B56" s="367" t="inlineStr"/>
      <c r="C56" s="368" t="n"/>
      <c r="D56" s="369" t="n">
        <v>4.29</v>
      </c>
      <c r="E56" s="369" t="n">
        <v>1</v>
      </c>
      <c r="F56" s="370">
        <f>IF(D56=0," ",D56*E56)</f>
        <v/>
      </c>
      <c r="G56" s="371" t="n">
        <v>1</v>
      </c>
      <c r="H56" s="372" t="n"/>
      <c r="I56" s="370">
        <f>IF(F56=" "," ",F56*G56-H56)</f>
        <v/>
      </c>
      <c r="J56" s="369" t="n">
        <v>0.266</v>
      </c>
      <c r="K56" s="371" t="n">
        <v>26</v>
      </c>
      <c r="L56" s="373">
        <f>IF(I56=" "," ",I56*J56*K56)</f>
        <v/>
      </c>
      <c r="M56" s="374" t="n">
        <v>7</v>
      </c>
      <c r="N56" s="371" t="n">
        <v>0</v>
      </c>
      <c r="O56" s="374" t="n">
        <v>0</v>
      </c>
      <c r="P56" s="370">
        <f>IF(M56=" "," ",(1+(M56+N56+O56)/100))</f>
        <v/>
      </c>
      <c r="Q56" s="375">
        <f>IF(L56=" "," ",L56*P56)</f>
        <v/>
      </c>
    </row>
    <row r="57" ht="9.949999999999999" customFormat="1" customHeight="1" s="356">
      <c r="A57" s="376" t="n"/>
      <c r="B57" s="377" t="n"/>
      <c r="C57" s="377" t="n"/>
      <c r="D57" s="378" t="n"/>
      <c r="E57" s="378" t="n"/>
      <c r="F57" s="378" t="n"/>
      <c r="G57" s="379" t="n"/>
      <c r="H57" s="378" t="n"/>
      <c r="I57" s="378" t="n"/>
      <c r="J57" s="378" t="n"/>
      <c r="K57" s="379" t="n"/>
      <c r="L57" s="380" t="n"/>
      <c r="M57" s="381" t="n"/>
      <c r="N57" s="381" t="n"/>
      <c r="O57" s="381" t="n"/>
      <c r="P57" s="382" t="n"/>
      <c r="Q57" s="383">
        <f>SUM(Q53:Q56)</f>
        <v/>
      </c>
    </row>
    <row r="58" ht="9.949999999999999" customFormat="1" customHeight="1" s="356">
      <c r="A58" s="384" t="n"/>
      <c r="B58" s="385" t="n"/>
      <c r="C58" s="385" t="n"/>
      <c r="D58" s="386" t="n"/>
      <c r="E58" s="387" t="n"/>
      <c r="F58" s="388" t="n"/>
      <c r="G58" s="389" t="n"/>
      <c r="H58" s="388" t="n"/>
      <c r="I58" s="390" t="n"/>
      <c r="J58" s="391" t="inlineStr">
        <is>
          <t>Qs=</t>
        </is>
      </c>
      <c r="K58" s="390" t="inlineStr">
        <is>
          <t>S a</t>
        </is>
      </c>
      <c r="L58" s="388" t="inlineStr">
        <is>
          <t>L</t>
        </is>
      </c>
      <c r="M58" s="389" t="inlineStr">
        <is>
          <t>R</t>
        </is>
      </c>
      <c r="N58" s="392" t="inlineStr">
        <is>
          <t>H</t>
        </is>
      </c>
      <c r="O58" s="393" t="inlineStr">
        <is>
          <t>D  T</t>
        </is>
      </c>
      <c r="P58" s="389" t="inlineStr">
        <is>
          <t>Ze</t>
        </is>
      </c>
      <c r="Q58" s="394" t="n"/>
    </row>
    <row r="59" ht="9.949999999999999" customFormat="1" customHeight="1" s="356">
      <c r="A59" s="395" t="inlineStr">
        <is>
          <t xml:space="preserve"> </t>
        </is>
      </c>
      <c r="B59" s="396" t="n"/>
      <c r="C59" s="397" t="n"/>
      <c r="D59" s="397" t="n"/>
      <c r="E59" s="398" t="n"/>
      <c r="F59" s="399" t="n"/>
      <c r="G59" s="400" t="n"/>
      <c r="H59" s="401" t="n"/>
      <c r="I59" s="402" t="n"/>
      <c r="J59" s="403" t="inlineStr">
        <is>
          <t>Qs  =</t>
        </is>
      </c>
      <c r="K59" s="404" t="n">
        <v>2</v>
      </c>
      <c r="L59" s="404">
        <f>(D55+E55)*2*G55</f>
        <v/>
      </c>
      <c r="M59" s="404" t="n">
        <v>0.9</v>
      </c>
      <c r="N59" s="404" t="n">
        <v>0.67</v>
      </c>
      <c r="O59" s="381" t="n">
        <v>32</v>
      </c>
      <c r="P59" s="404" t="n">
        <v>1</v>
      </c>
      <c r="Q59" s="383">
        <f>K59*L59*M59*N59*O59*P59</f>
        <v/>
      </c>
    </row>
    <row r="60" ht="9.949999999999999" customFormat="1" customHeight="1" s="356">
      <c r="A60" s="405" t="n"/>
      <c r="B60" s="406" t="n"/>
      <c r="C60" s="397" t="n"/>
      <c r="D60" s="397" t="n"/>
      <c r="E60" s="378" t="n"/>
      <c r="F60" s="256" t="n"/>
      <c r="G60" s="407" t="n"/>
      <c r="H60" s="397" t="n"/>
      <c r="I60" s="397" t="n"/>
      <c r="J60" s="397" t="n"/>
      <c r="K60" s="407" t="n"/>
      <c r="L60" s="408" t="n"/>
      <c r="M60" s="409" t="inlineStr">
        <is>
          <t xml:space="preserve">   TOPLAM ISI KAYBI =</t>
        </is>
      </c>
      <c r="N60" s="409" t="n"/>
      <c r="O60" s="410" t="n"/>
      <c r="P60" s="409" t="n"/>
      <c r="Q60" s="411">
        <f>Q57+Q59</f>
        <v/>
      </c>
    </row>
    <row r="61" ht="10.35" customFormat="1" customHeight="1" s="356">
      <c r="A61" s="359" t="n"/>
      <c r="B61" s="360" t="n"/>
      <c r="C61" s="360" t="n"/>
      <c r="D61" s="360" t="n"/>
      <c r="E61" s="360" t="n"/>
      <c r="F61" s="361" t="inlineStr">
        <is>
          <t>2</t>
        </is>
      </c>
      <c r="G61" s="362" t="inlineStr">
        <is>
          <t>0</t>
        </is>
      </c>
      <c r="H61" s="360" t="inlineStr">
        <is>
          <t>207</t>
        </is>
      </c>
      <c r="I61" s="363" t="inlineStr">
        <is>
          <t>DAİRE 3 HOL</t>
        </is>
      </c>
      <c r="J61" s="364" t="n"/>
      <c r="K61" s="360" t="inlineStr">
        <is>
          <t>18ºC</t>
        </is>
      </c>
      <c r="L61" s="360" t="n"/>
      <c r="M61" s="360" t="n"/>
      <c r="N61" s="360" t="n"/>
      <c r="O61" s="360" t="n"/>
      <c r="P61" s="360" t="n"/>
      <c r="Q61" s="365" t="n"/>
    </row>
    <row r="62" ht="9.949999999999999" customFormat="1" customHeight="1" s="356">
      <c r="A62" s="366" t="inlineStr">
        <is>
          <t>DD</t>
        </is>
      </c>
      <c r="B62" s="367" t="inlineStr">
        <is>
          <t>G</t>
        </is>
      </c>
      <c r="C62" s="368" t="n"/>
      <c r="D62" s="369" t="n">
        <v>1.17</v>
      </c>
      <c r="E62" s="369" t="n">
        <v>2.5</v>
      </c>
      <c r="F62" s="370">
        <f>IF(D62=0," ",D62*E62)</f>
        <v/>
      </c>
      <c r="G62" s="371" t="n">
        <v>1</v>
      </c>
      <c r="H62" s="372" t="n"/>
      <c r="I62" s="370">
        <f>IF(F62=" "," ",F62*G62-H62)</f>
        <v/>
      </c>
      <c r="J62" s="369" t="n">
        <v>0.344</v>
      </c>
      <c r="K62" s="371" t="n">
        <v>24</v>
      </c>
      <c r="L62" s="373">
        <f>IF(I62=" "," ",I62*J62*K62)</f>
        <v/>
      </c>
      <c r="M62" s="374" t="n">
        <v>7</v>
      </c>
      <c r="N62" s="371" t="n">
        <v>0</v>
      </c>
      <c r="O62" s="374" t="n">
        <v>-5</v>
      </c>
      <c r="P62" s="370">
        <f>IF(M62=" "," ",(1+(M62+N62+O62)/100))</f>
        <v/>
      </c>
      <c r="Q62" s="375">
        <f>IF(L62=" "," ",L62*P62)</f>
        <v/>
      </c>
    </row>
    <row r="63" ht="9.949999999999999" customFormat="1" customHeight="1" s="412">
      <c r="A63" s="366" t="inlineStr">
        <is>
          <t>DD25</t>
        </is>
      </c>
      <c r="B63" s="367" t="inlineStr">
        <is>
          <t>G</t>
        </is>
      </c>
      <c r="C63" s="368" t="n"/>
      <c r="D63" s="369">
        <f>D62</f>
        <v/>
      </c>
      <c r="E63" s="369" t="n">
        <v>0.5</v>
      </c>
      <c r="F63" s="370">
        <f>IF(D63=0," ",D63*E63)</f>
        <v/>
      </c>
      <c r="G63" s="371" t="n">
        <v>1</v>
      </c>
      <c r="H63" s="372" t="n"/>
      <c r="I63" s="370">
        <f>IF(F63=" "," ",F63*G63-H63)</f>
        <v/>
      </c>
      <c r="J63" s="369" t="n">
        <v>0.387</v>
      </c>
      <c r="K63" s="371" t="n">
        <v>24</v>
      </c>
      <c r="L63" s="373">
        <f>IF(I63=" "," ",I63*J63*K63)</f>
        <v/>
      </c>
      <c r="M63" s="374" t="n">
        <v>7</v>
      </c>
      <c r="N63" s="371" t="n">
        <v>0</v>
      </c>
      <c r="O63" s="374" t="n">
        <v>-5</v>
      </c>
      <c r="P63" s="370">
        <f>IF(M63=" "," ",(1+(M63+N63+O63)/100))</f>
        <v/>
      </c>
      <c r="Q63" s="375">
        <f>IF(L63=" "," ",L63*P63)</f>
        <v/>
      </c>
    </row>
    <row r="64" ht="9.949999999999999" customFormat="1" customHeight="1" s="412">
      <c r="A64" s="366" t="inlineStr">
        <is>
          <t>İDM</t>
        </is>
      </c>
      <c r="B64" s="367" t="inlineStr"/>
      <c r="C64" s="368" t="n"/>
      <c r="D64" s="369" t="n">
        <v>2.38</v>
      </c>
      <c r="E64" s="369" t="n">
        <v>3</v>
      </c>
      <c r="F64" s="370">
        <f>IF(D64=0," ",D64*E64)</f>
        <v/>
      </c>
      <c r="G64" s="371" t="n">
        <v>1</v>
      </c>
      <c r="H64" s="372">
        <f>F65*G65</f>
        <v/>
      </c>
      <c r="I64" s="370">
        <f>IF(F64=" "," ",F64*G64-H64)</f>
        <v/>
      </c>
      <c r="J64" s="369" t="n">
        <v>0.332</v>
      </c>
      <c r="K64" s="371" t="n">
        <v>8</v>
      </c>
      <c r="L64" s="373">
        <f>IF(I64=" "," ",I64*J64*K64)</f>
        <v/>
      </c>
      <c r="M64" s="374" t="n">
        <v>7</v>
      </c>
      <c r="N64" s="371" t="n">
        <v>0</v>
      </c>
      <c r="O64" s="374" t="n">
        <v>0</v>
      </c>
      <c r="P64" s="370">
        <f>IF(M64=" "," ",(1+(M64+N64+O64)/100))</f>
        <v/>
      </c>
      <c r="Q64" s="375">
        <f>IF(L64=" "," ",L64*P64)</f>
        <v/>
      </c>
    </row>
    <row r="65" ht="9.949999999999999" customFormat="1" customHeight="1" s="351">
      <c r="A65" s="366" t="inlineStr">
        <is>
          <t>DK</t>
        </is>
      </c>
      <c r="B65" s="367" t="inlineStr"/>
      <c r="C65" s="368" t="n"/>
      <c r="D65" s="369" t="n">
        <v>1</v>
      </c>
      <c r="E65" s="369" t="n">
        <v>2.2</v>
      </c>
      <c r="F65" s="370">
        <f>IF(D65=0," ",D65*E65)</f>
        <v/>
      </c>
      <c r="G65" s="371" t="n">
        <v>1</v>
      </c>
      <c r="H65" s="372" t="n"/>
      <c r="I65" s="370">
        <f>IF(F65=" "," ",F65*G65-H65)</f>
        <v/>
      </c>
      <c r="J65" s="369" t="n">
        <v>2</v>
      </c>
      <c r="K65" s="371" t="n">
        <v>8</v>
      </c>
      <c r="L65" s="373">
        <f>IF(I65=" "," ",I65*J65*K65)</f>
        <v/>
      </c>
      <c r="M65" s="374" t="n">
        <v>7</v>
      </c>
      <c r="N65" s="371" t="n">
        <v>0</v>
      </c>
      <c r="O65" s="374" t="n">
        <v>0</v>
      </c>
      <c r="P65" s="370">
        <f>IF(M65=" "," ",(1+(M65+N65+O65)/100))</f>
        <v/>
      </c>
      <c r="Q65" s="375">
        <f>IF(L65=" "," ",L65*P65)</f>
        <v/>
      </c>
    </row>
    <row r="66" ht="9.949999999999999" customFormat="1" customHeight="1" s="356">
      <c r="A66" s="366" t="inlineStr">
        <is>
          <t>İDA</t>
        </is>
      </c>
      <c r="B66" s="367" t="inlineStr"/>
      <c r="C66" s="368" t="n"/>
      <c r="D66" s="369" t="n">
        <v>1.2</v>
      </c>
      <c r="E66" s="369" t="n">
        <v>3</v>
      </c>
      <c r="F66" s="370">
        <f>IF(D66=0," ",D66*E66)</f>
        <v/>
      </c>
      <c r="G66" s="371" t="n">
        <v>1</v>
      </c>
      <c r="H66" s="372" t="n"/>
      <c r="I66" s="370">
        <f>IF(F66=" "," ",F66*G66-H66)</f>
        <v/>
      </c>
      <c r="J66" s="369" t="n">
        <v>0.375</v>
      </c>
      <c r="K66" s="371" t="n">
        <v>13</v>
      </c>
      <c r="L66" s="373">
        <f>IF(I66=" "," ",I66*J66*K66)</f>
        <v/>
      </c>
      <c r="M66" s="374" t="n">
        <v>7</v>
      </c>
      <c r="N66" s="371" t="n">
        <v>0</v>
      </c>
      <c r="O66" s="374" t="n">
        <v>0</v>
      </c>
      <c r="P66" s="370">
        <f>IF(M66=" "," ",(1+(M66+N66+O66)/100))</f>
        <v/>
      </c>
      <c r="Q66" s="375">
        <f>IF(L66=" "," ",L66*P66)</f>
        <v/>
      </c>
    </row>
    <row r="67" ht="9.949999999999999" customFormat="1" customHeight="1" s="356">
      <c r="A67" s="366" t="inlineStr">
        <is>
          <t>Ta</t>
        </is>
      </c>
      <c r="B67" s="367" t="inlineStr"/>
      <c r="C67" s="368" t="n"/>
      <c r="D67" s="369" t="n">
        <v>9.17</v>
      </c>
      <c r="E67" s="369" t="n">
        <v>1</v>
      </c>
      <c r="F67" s="370">
        <f>IF(D67=0," ",D67*E67)</f>
        <v/>
      </c>
      <c r="G67" s="371" t="n">
        <v>1</v>
      </c>
      <c r="H67" s="372" t="n"/>
      <c r="I67" s="370">
        <f>IF(F67=" "," ",F67*G67-H67)</f>
        <v/>
      </c>
      <c r="J67" s="369" t="n">
        <v>0.266</v>
      </c>
      <c r="K67" s="371" t="n">
        <v>18</v>
      </c>
      <c r="L67" s="373">
        <f>IF(I67=" "," ",I67*J67*K67)</f>
        <v/>
      </c>
      <c r="M67" s="374" t="n">
        <v>7</v>
      </c>
      <c r="N67" s="371" t="n">
        <v>0</v>
      </c>
      <c r="O67" s="374" t="n">
        <v>0</v>
      </c>
      <c r="P67" s="370">
        <f>IF(M67=" "," ",(1+(M67+N67+O67)/100))</f>
        <v/>
      </c>
      <c r="Q67" s="375">
        <f>IF(L67=" "," ",L67*P67)</f>
        <v/>
      </c>
    </row>
    <row r="68" ht="9.949999999999999" customFormat="1" customHeight="1" s="356">
      <c r="A68" s="376" t="n"/>
      <c r="B68" s="377" t="n"/>
      <c r="C68" s="377" t="n"/>
      <c r="D68" s="378" t="n"/>
      <c r="E68" s="378" t="n"/>
      <c r="F68" s="378" t="n"/>
      <c r="G68" s="379" t="n"/>
      <c r="H68" s="378" t="n"/>
      <c r="I68" s="378" t="n"/>
      <c r="J68" s="378" t="n"/>
      <c r="K68" s="379" t="n"/>
      <c r="L68" s="380" t="n"/>
      <c r="M68" s="381" t="n"/>
      <c r="N68" s="381" t="n"/>
      <c r="O68" s="381" t="n"/>
      <c r="P68" s="382" t="n"/>
      <c r="Q68" s="383">
        <f>SUM(Q62:Q67)</f>
        <v/>
      </c>
    </row>
    <row r="69" ht="9.949999999999999" customFormat="1" customHeight="1" s="356">
      <c r="A69" s="384" t="n"/>
      <c r="B69" s="385" t="n"/>
      <c r="C69" s="385" t="n"/>
      <c r="D69" s="386" t="n"/>
      <c r="E69" s="387" t="n"/>
      <c r="F69" s="388" t="n"/>
      <c r="G69" s="389" t="n"/>
      <c r="H69" s="388" t="n"/>
      <c r="I69" s="390" t="n"/>
      <c r="J69" s="391" t="inlineStr">
        <is>
          <t>Qs=</t>
        </is>
      </c>
      <c r="K69" s="390" t="inlineStr">
        <is>
          <t>S a</t>
        </is>
      </c>
      <c r="L69" s="388" t="inlineStr">
        <is>
          <t>L</t>
        </is>
      </c>
      <c r="M69" s="389" t="inlineStr">
        <is>
          <t>R</t>
        </is>
      </c>
      <c r="N69" s="392" t="inlineStr">
        <is>
          <t>H</t>
        </is>
      </c>
      <c r="O69" s="393" t="inlineStr">
        <is>
          <t>D  T</t>
        </is>
      </c>
      <c r="P69" s="389" t="inlineStr">
        <is>
          <t>Ze</t>
        </is>
      </c>
      <c r="Q69" s="394" t="n"/>
    </row>
    <row r="70" ht="9.949999999999999" customFormat="1" customHeight="1" s="356">
      <c r="A70" s="395" t="inlineStr">
        <is>
          <t xml:space="preserve"> </t>
        </is>
      </c>
      <c r="B70" s="396" t="n"/>
      <c r="C70" s="397" t="n"/>
      <c r="D70" s="397" t="n"/>
      <c r="E70" s="398" t="n"/>
      <c r="F70" s="399" t="n"/>
      <c r="G70" s="400" t="n"/>
      <c r="H70" s="401" t="n"/>
      <c r="I70" s="402" t="n"/>
      <c r="J70" s="403" t="inlineStr">
        <is>
          <t>Qs  =</t>
        </is>
      </c>
      <c r="K70" s="404" t="n">
        <v>2</v>
      </c>
      <c r="L70" s="404" t="n">
        <v>0</v>
      </c>
      <c r="M70" s="404" t="n">
        <v>0.9</v>
      </c>
      <c r="N70" s="404" t="n">
        <v>0.67</v>
      </c>
      <c r="O70" s="381" t="n">
        <v>24</v>
      </c>
      <c r="P70" s="404" t="n">
        <v>1</v>
      </c>
      <c r="Q70" s="383">
        <f>K70*L70*M70*N70*O70*P70</f>
        <v/>
      </c>
    </row>
    <row r="71" ht="9.949999999999999" customFormat="1" customHeight="1" s="356">
      <c r="A71" s="405" t="n"/>
      <c r="B71" s="406" t="n"/>
      <c r="C71" s="397" t="n"/>
      <c r="D71" s="397" t="n"/>
      <c r="E71" s="378" t="n"/>
      <c r="F71" s="256" t="n"/>
      <c r="G71" s="407" t="n"/>
      <c r="H71" s="397" t="n"/>
      <c r="I71" s="397" t="n"/>
      <c r="J71" s="397" t="n"/>
      <c r="K71" s="407" t="n"/>
      <c r="L71" s="408" t="n"/>
      <c r="M71" s="409" t="inlineStr">
        <is>
          <t xml:space="preserve">   TOPLAM ISI KAYBI =</t>
        </is>
      </c>
      <c r="N71" s="409" t="n"/>
      <c r="O71" s="410" t="n"/>
      <c r="P71" s="409" t="n"/>
      <c r="Q71" s="411">
        <f>Q68+Q70</f>
        <v/>
      </c>
    </row>
    <row r="72" ht="10.35" customFormat="1" customHeight="1" s="356">
      <c r="A72" s="359" t="n"/>
      <c r="B72" s="360" t="n"/>
      <c r="C72" s="360" t="n"/>
      <c r="D72" s="360" t="n"/>
      <c r="E72" s="360" t="n"/>
      <c r="F72" s="361" t="inlineStr">
        <is>
          <t>2</t>
        </is>
      </c>
      <c r="G72" s="362" t="inlineStr">
        <is>
          <t>0</t>
        </is>
      </c>
      <c r="H72" s="360" t="inlineStr">
        <is>
          <t>211</t>
        </is>
      </c>
      <c r="I72" s="363" t="inlineStr">
        <is>
          <t>DAİRE 4 SALON</t>
        </is>
      </c>
      <c r="J72" s="364" t="n"/>
      <c r="K72" s="360" t="inlineStr">
        <is>
          <t>22ºC</t>
        </is>
      </c>
      <c r="L72" s="360" t="n"/>
      <c r="M72" s="360" t="n"/>
      <c r="N72" s="360" t="n"/>
      <c r="O72" s="360" t="n"/>
      <c r="P72" s="360" t="n"/>
      <c r="Q72" s="365" t="n"/>
    </row>
    <row r="73" ht="9.949999999999999" customFormat="1" customHeight="1" s="356">
      <c r="A73" s="366" t="inlineStr">
        <is>
          <t>DD</t>
        </is>
      </c>
      <c r="B73" s="367" t="inlineStr">
        <is>
          <t>D</t>
        </is>
      </c>
      <c r="C73" s="368" t="n"/>
      <c r="D73" s="369" t="n">
        <v>2.68</v>
      </c>
      <c r="E73" s="369" t="n">
        <v>2.5</v>
      </c>
      <c r="F73" s="370">
        <f>IF(D73=0," ",D73*E73)</f>
        <v/>
      </c>
      <c r="G73" s="371" t="n">
        <v>1</v>
      </c>
      <c r="H73" s="372">
        <f>F75*G75</f>
        <v/>
      </c>
      <c r="I73" s="370">
        <f>IF(F73=" "," ",F73*G73-H73)</f>
        <v/>
      </c>
      <c r="J73" s="369" t="n">
        <v>0.344</v>
      </c>
      <c r="K73" s="371" t="n">
        <v>28</v>
      </c>
      <c r="L73" s="373">
        <f>IF(I73=" "," ",I73*J73*K73)</f>
        <v/>
      </c>
      <c r="M73" s="374" t="n">
        <v>7</v>
      </c>
      <c r="N73" s="371" t="n">
        <v>0</v>
      </c>
      <c r="O73" s="374" t="n">
        <v>0</v>
      </c>
      <c r="P73" s="370">
        <f>IF(M73=" "," ",(1+(M73+N73+O73)/100))</f>
        <v/>
      </c>
      <c r="Q73" s="375">
        <f>IF(L73=" "," ",L73*P73)</f>
        <v/>
      </c>
    </row>
    <row r="74" ht="9.949999999999999" customFormat="1" customHeight="1" s="356">
      <c r="A74" s="366" t="inlineStr">
        <is>
          <t>DD25</t>
        </is>
      </c>
      <c r="B74" s="367" t="inlineStr">
        <is>
          <t>D</t>
        </is>
      </c>
      <c r="C74" s="368" t="n"/>
      <c r="D74" s="369">
        <f>D73</f>
        <v/>
      </c>
      <c r="E74" s="369" t="n">
        <v>0.5</v>
      </c>
      <c r="F74" s="370">
        <f>IF(D74=0," ",D74*E74)</f>
        <v/>
      </c>
      <c r="G74" s="371" t="n">
        <v>1</v>
      </c>
      <c r="H74" s="372" t="n"/>
      <c r="I74" s="370">
        <f>IF(F74=" "," ",F74*G74-H74)</f>
        <v/>
      </c>
      <c r="J74" s="369" t="n">
        <v>0.387</v>
      </c>
      <c r="K74" s="371" t="n">
        <v>28</v>
      </c>
      <c r="L74" s="373">
        <f>IF(I74=" "," ",I74*J74*K74)</f>
        <v/>
      </c>
      <c r="M74" s="374" t="n">
        <v>7</v>
      </c>
      <c r="N74" s="371" t="n">
        <v>0</v>
      </c>
      <c r="O74" s="374" t="n">
        <v>0</v>
      </c>
      <c r="P74" s="370">
        <f>IF(M74=" "," ",(1+(M74+N74+O74)/100))</f>
        <v/>
      </c>
      <c r="Q74" s="375">
        <f>IF(L74=" "," ",L74*P74)</f>
        <v/>
      </c>
    </row>
    <row r="75" ht="9.949999999999999" customFormat="1" customHeight="1" s="356">
      <c r="A75" s="366" t="inlineStr">
        <is>
          <t>ÇP</t>
        </is>
      </c>
      <c r="B75" s="367" t="inlineStr">
        <is>
          <t>D</t>
        </is>
      </c>
      <c r="C75" s="368" t="n"/>
      <c r="D75" s="369" t="n">
        <v>1.5</v>
      </c>
      <c r="E75" s="369" t="n">
        <v>2.2</v>
      </c>
      <c r="F75" s="370">
        <f>IF(D75=0," ",D75*E75)</f>
        <v/>
      </c>
      <c r="G75" s="371" t="n">
        <v>1</v>
      </c>
      <c r="H75" s="372" t="n"/>
      <c r="I75" s="370">
        <f>IF(F75=" "," ",F75*G75-H75)</f>
        <v/>
      </c>
      <c r="J75" s="369" t="n">
        <v>1.8</v>
      </c>
      <c r="K75" s="371" t="n">
        <v>28</v>
      </c>
      <c r="L75" s="373">
        <f>IF(I75=" "," ",I75*J75*K75)</f>
        <v/>
      </c>
      <c r="M75" s="374" t="n">
        <v>7</v>
      </c>
      <c r="N75" s="371" t="n">
        <v>0</v>
      </c>
      <c r="O75" s="374" t="n">
        <v>0</v>
      </c>
      <c r="P75" s="370">
        <f>IF(M75=" "," ",(1+(M75+N75+O75)/100))</f>
        <v/>
      </c>
      <c r="Q75" s="375">
        <f>IF(L75=" "," ",L75*P75)</f>
        <v/>
      </c>
    </row>
    <row r="76" ht="9.949999999999999" customFormat="1" customHeight="1" s="412">
      <c r="A76" s="366" t="inlineStr">
        <is>
          <t>DD</t>
        </is>
      </c>
      <c r="B76" s="367" t="inlineStr">
        <is>
          <t>G</t>
        </is>
      </c>
      <c r="C76" s="368" t="n"/>
      <c r="D76" s="369" t="n">
        <v>4.89</v>
      </c>
      <c r="E76" s="369" t="n">
        <v>2.5</v>
      </c>
      <c r="F76" s="370">
        <f>IF(D76=0," ",D76*E76)</f>
        <v/>
      </c>
      <c r="G76" s="371" t="n">
        <v>1</v>
      </c>
      <c r="H76" s="372">
        <f>F78*G78</f>
        <v/>
      </c>
      <c r="I76" s="370">
        <f>IF(F76=" "," ",F76*G76-H76)</f>
        <v/>
      </c>
      <c r="J76" s="369" t="n">
        <v>0.344</v>
      </c>
      <c r="K76" s="371" t="n">
        <v>28</v>
      </c>
      <c r="L76" s="373">
        <f>IF(I76=" "," ",I76*J76*K76)</f>
        <v/>
      </c>
      <c r="M76" s="374" t="n">
        <v>7</v>
      </c>
      <c r="N76" s="371" t="n">
        <v>0</v>
      </c>
      <c r="O76" s="374" t="n">
        <v>-5</v>
      </c>
      <c r="P76" s="370">
        <f>IF(M76=" "," ",(1+(M76+N76+O76)/100))</f>
        <v/>
      </c>
      <c r="Q76" s="375">
        <f>IF(L76=" "," ",L76*P76)</f>
        <v/>
      </c>
    </row>
    <row r="77" ht="9.949999999999999" customFormat="1" customHeight="1" s="412">
      <c r="A77" s="366" t="inlineStr">
        <is>
          <t>DD25</t>
        </is>
      </c>
      <c r="B77" s="367" t="inlineStr">
        <is>
          <t>G</t>
        </is>
      </c>
      <c r="C77" s="368" t="n"/>
      <c r="D77" s="369">
        <f>D76</f>
        <v/>
      </c>
      <c r="E77" s="369" t="n">
        <v>0.5</v>
      </c>
      <c r="F77" s="370">
        <f>IF(D77=0," ",D77*E77)</f>
        <v/>
      </c>
      <c r="G77" s="371" t="n">
        <v>1</v>
      </c>
      <c r="H77" s="372" t="n"/>
      <c r="I77" s="370">
        <f>IF(F77=" "," ",F77*G77-H77)</f>
        <v/>
      </c>
      <c r="J77" s="369" t="n">
        <v>0.387</v>
      </c>
      <c r="K77" s="371" t="n">
        <v>28</v>
      </c>
      <c r="L77" s="373">
        <f>IF(I77=" "," ",I77*J77*K77)</f>
        <v/>
      </c>
      <c r="M77" s="374" t="n">
        <v>7</v>
      </c>
      <c r="N77" s="371" t="n">
        <v>0</v>
      </c>
      <c r="O77" s="374" t="n">
        <v>-5</v>
      </c>
      <c r="P77" s="370">
        <f>IF(M77=" "," ",(1+(M77+N77+O77)/100))</f>
        <v/>
      </c>
      <c r="Q77" s="375">
        <f>IF(L77=" "," ",L77*P77)</f>
        <v/>
      </c>
    </row>
    <row r="78" ht="9.949999999999999" customFormat="1" customHeight="1" s="351">
      <c r="A78" s="366" t="inlineStr">
        <is>
          <t>ÇP</t>
        </is>
      </c>
      <c r="B78" s="367" t="inlineStr">
        <is>
          <t>G</t>
        </is>
      </c>
      <c r="C78" s="368" t="n"/>
      <c r="D78" s="369" t="n">
        <v>1.5</v>
      </c>
      <c r="E78" s="369" t="n">
        <v>1.6</v>
      </c>
      <c r="F78" s="370">
        <f>IF(D78=0," ",D78*E78)</f>
        <v/>
      </c>
      <c r="G78" s="371" t="n">
        <v>1</v>
      </c>
      <c r="H78" s="372" t="n"/>
      <c r="I78" s="370">
        <f>IF(F78=" "," ",F78*G78-H78)</f>
        <v/>
      </c>
      <c r="J78" s="369" t="n">
        <v>1.8</v>
      </c>
      <c r="K78" s="371" t="n">
        <v>28</v>
      </c>
      <c r="L78" s="373">
        <f>IF(I78=" "," ",I78*J78*K78)</f>
        <v/>
      </c>
      <c r="M78" s="374" t="n">
        <v>7</v>
      </c>
      <c r="N78" s="371" t="n">
        <v>0</v>
      </c>
      <c r="O78" s="374" t="n">
        <v>-5</v>
      </c>
      <c r="P78" s="370">
        <f>IF(M78=" "," ",(1+(M78+N78+O78)/100))</f>
        <v/>
      </c>
      <c r="Q78" s="375">
        <f>IF(L78=" "," ",L78*P78)</f>
        <v/>
      </c>
    </row>
    <row r="79" ht="9.949999999999999" customHeight="1" s="244">
      <c r="A79" s="366" t="inlineStr">
        <is>
          <t>DD</t>
        </is>
      </c>
      <c r="B79" s="367" t="inlineStr">
        <is>
          <t>K</t>
        </is>
      </c>
      <c r="C79" s="368" t="n"/>
      <c r="D79" s="369" t="n">
        <v>3.77</v>
      </c>
      <c r="E79" s="369" t="n">
        <v>2.5</v>
      </c>
      <c r="F79" s="370">
        <f>IF(D79=0," ",D79*E79)</f>
        <v/>
      </c>
      <c r="G79" s="371" t="n">
        <v>1</v>
      </c>
      <c r="H79" s="372" t="n"/>
      <c r="I79" s="370">
        <f>IF(F79=" "," ",F79*G79-H79)</f>
        <v/>
      </c>
      <c r="J79" s="369" t="n">
        <v>0.344</v>
      </c>
      <c r="K79" s="371" t="n">
        <v>28</v>
      </c>
      <c r="L79" s="373">
        <f>IF(I79=" "," ",I79*J79*K79)</f>
        <v/>
      </c>
      <c r="M79" s="374" t="n">
        <v>7</v>
      </c>
      <c r="N79" s="371" t="n">
        <v>0</v>
      </c>
      <c r="O79" s="374" t="n">
        <v>5</v>
      </c>
      <c r="P79" s="370">
        <f>IF(M79=" "," ",(1+(M79+N79+O79)/100))</f>
        <v/>
      </c>
      <c r="Q79" s="375">
        <f>IF(L79=" "," ",L79*P79)</f>
        <v/>
      </c>
    </row>
    <row r="80" ht="9.949999999999999" customHeight="1" s="244">
      <c r="A80" s="366" t="inlineStr">
        <is>
          <t>DD25</t>
        </is>
      </c>
      <c r="B80" s="367" t="inlineStr">
        <is>
          <t>K</t>
        </is>
      </c>
      <c r="C80" s="368" t="n"/>
      <c r="D80" s="369">
        <f>D79</f>
        <v/>
      </c>
      <c r="E80" s="369" t="n">
        <v>0.5</v>
      </c>
      <c r="F80" s="370">
        <f>IF(D80=0," ",D80*E80)</f>
        <v/>
      </c>
      <c r="G80" s="371" t="n">
        <v>1</v>
      </c>
      <c r="H80" s="372" t="n"/>
      <c r="I80" s="370">
        <f>IF(F80=" "," ",F80*G80-H80)</f>
        <v/>
      </c>
      <c r="J80" s="369" t="n">
        <v>0.387</v>
      </c>
      <c r="K80" s="371" t="n">
        <v>28</v>
      </c>
      <c r="L80" s="373">
        <f>IF(I80=" "," ",I80*J80*K80)</f>
        <v/>
      </c>
      <c r="M80" s="374" t="n">
        <v>7</v>
      </c>
      <c r="N80" s="371" t="n">
        <v>0</v>
      </c>
      <c r="O80" s="374" t="n">
        <v>5</v>
      </c>
      <c r="P80" s="370">
        <f>IF(M80=" "," ",(1+(M80+N80+O80)/100))</f>
        <v/>
      </c>
      <c r="Q80" s="375">
        <f>IF(L80=" "," ",L80*P80)</f>
        <v/>
      </c>
    </row>
    <row r="81" ht="9.949999999999999" customHeight="1" s="244">
      <c r="A81" s="366" t="inlineStr">
        <is>
          <t>DD</t>
        </is>
      </c>
      <c r="B81" s="367" t="inlineStr">
        <is>
          <t>D</t>
        </is>
      </c>
      <c r="C81" s="368" t="n"/>
      <c r="D81" s="369" t="n">
        <v>2.15</v>
      </c>
      <c r="E81" s="369" t="n">
        <v>2.5</v>
      </c>
      <c r="F81" s="370">
        <f>IF(D81=0," ",D81*E81)</f>
        <v/>
      </c>
      <c r="G81" s="371" t="n">
        <v>1</v>
      </c>
      <c r="H81" s="372" t="n"/>
      <c r="I81" s="370">
        <f>IF(F81=" "," ",F81*G81-H81)</f>
        <v/>
      </c>
      <c r="J81" s="369" t="n">
        <v>0.344</v>
      </c>
      <c r="K81" s="371" t="n">
        <v>28</v>
      </c>
      <c r="L81" s="373">
        <f>IF(I81=" "," ",I81*J81*K81)</f>
        <v/>
      </c>
      <c r="M81" s="374" t="n">
        <v>7</v>
      </c>
      <c r="N81" s="371" t="n">
        <v>0</v>
      </c>
      <c r="O81" s="374" t="n">
        <v>0</v>
      </c>
      <c r="P81" s="370">
        <f>IF(M81=" "," ",(1+(M81+N81+O81)/100))</f>
        <v/>
      </c>
      <c r="Q81" s="375">
        <f>IF(L81=" "," ",L81*P81)</f>
        <v/>
      </c>
    </row>
    <row r="82" ht="9.949999999999999" customHeight="1" s="244">
      <c r="A82" s="366" t="inlineStr">
        <is>
          <t>DD25</t>
        </is>
      </c>
      <c r="B82" s="367" t="inlineStr">
        <is>
          <t>D</t>
        </is>
      </c>
      <c r="C82" s="368" t="n"/>
      <c r="D82" s="369">
        <f>D81</f>
        <v/>
      </c>
      <c r="E82" s="369" t="n">
        <v>0.5</v>
      </c>
      <c r="F82" s="370">
        <f>IF(D82=0," ",D82*E82)</f>
        <v/>
      </c>
      <c r="G82" s="371" t="n">
        <v>1</v>
      </c>
      <c r="H82" s="372" t="n"/>
      <c r="I82" s="370">
        <f>IF(F82=" "," ",F82*G82-H82)</f>
        <v/>
      </c>
      <c r="J82" s="369" t="n">
        <v>0.387</v>
      </c>
      <c r="K82" s="371" t="n">
        <v>28</v>
      </c>
      <c r="L82" s="373">
        <f>IF(I82=" "," ",I82*J82*K82)</f>
        <v/>
      </c>
      <c r="M82" s="374" t="n">
        <v>7</v>
      </c>
      <c r="N82" s="371" t="n">
        <v>0</v>
      </c>
      <c r="O82" s="374" t="n">
        <v>0</v>
      </c>
      <c r="P82" s="370">
        <f>IF(M82=" "," ",(1+(M82+N82+O82)/100))</f>
        <v/>
      </c>
      <c r="Q82" s="375">
        <f>IF(L82=" "," ",L82*P82)</f>
        <v/>
      </c>
    </row>
    <row r="83" ht="9.949999999999999" customHeight="1" s="244">
      <c r="A83" s="366" t="inlineStr">
        <is>
          <t>Ta</t>
        </is>
      </c>
      <c r="B83" s="367" t="inlineStr"/>
      <c r="C83" s="368" t="n"/>
      <c r="D83" s="369" t="n">
        <v>22.18</v>
      </c>
      <c r="E83" s="369" t="n">
        <v>1</v>
      </c>
      <c r="F83" s="370">
        <f>IF(D83=0," ",D83*E83)</f>
        <v/>
      </c>
      <c r="G83" s="371" t="n">
        <v>1</v>
      </c>
      <c r="H83" s="372" t="n"/>
      <c r="I83" s="370">
        <f>IF(F83=" "," ",F83*G83-H83)</f>
        <v/>
      </c>
      <c r="J83" s="369" t="n">
        <v>0.266</v>
      </c>
      <c r="K83" s="371" t="n">
        <v>22</v>
      </c>
      <c r="L83" s="373">
        <f>IF(I83=" "," ",I83*J83*K83)</f>
        <v/>
      </c>
      <c r="M83" s="374" t="n">
        <v>7</v>
      </c>
      <c r="N83" s="371" t="n">
        <v>0</v>
      </c>
      <c r="O83" s="374" t="n">
        <v>0</v>
      </c>
      <c r="P83" s="370">
        <f>IF(M83=" "," ",(1+(M83+N83+O83)/100))</f>
        <v/>
      </c>
      <c r="Q83" s="375">
        <f>IF(L83=" "," ",L83*P83)</f>
        <v/>
      </c>
    </row>
    <row r="84" ht="9.949999999999999" customFormat="1" customHeight="1" s="329">
      <c r="A84" s="376" t="n"/>
      <c r="B84" s="377" t="n"/>
      <c r="C84" s="377" t="n"/>
      <c r="D84" s="378" t="n"/>
      <c r="E84" s="378" t="n"/>
      <c r="F84" s="378" t="n"/>
      <c r="G84" s="379" t="n"/>
      <c r="H84" s="378" t="n"/>
      <c r="I84" s="378" t="n"/>
      <c r="J84" s="378" t="n"/>
      <c r="K84" s="379" t="n"/>
      <c r="L84" s="380" t="n"/>
      <c r="M84" s="381" t="n"/>
      <c r="N84" s="381" t="n"/>
      <c r="O84" s="381" t="n"/>
      <c r="P84" s="382" t="n"/>
      <c r="Q84" s="383">
        <f>SUM(Q73:Q83)</f>
        <v/>
      </c>
    </row>
    <row r="85" ht="9.949999999999999" customFormat="1" customHeight="1" s="339">
      <c r="A85" s="384" t="n"/>
      <c r="B85" s="385" t="n"/>
      <c r="C85" s="385" t="n"/>
      <c r="D85" s="386" t="n"/>
      <c r="E85" s="387" t="n"/>
      <c r="F85" s="388" t="n"/>
      <c r="G85" s="389" t="n"/>
      <c r="H85" s="388" t="n"/>
      <c r="I85" s="390" t="n"/>
      <c r="J85" s="391" t="inlineStr">
        <is>
          <t>Qs=</t>
        </is>
      </c>
      <c r="K85" s="390" t="inlineStr">
        <is>
          <t>S a</t>
        </is>
      </c>
      <c r="L85" s="388" t="inlineStr">
        <is>
          <t>L</t>
        </is>
      </c>
      <c r="M85" s="389" t="inlineStr">
        <is>
          <t>R</t>
        </is>
      </c>
      <c r="N85" s="392" t="inlineStr">
        <is>
          <t>H</t>
        </is>
      </c>
      <c r="O85" s="393" t="inlineStr">
        <is>
          <t>D  T</t>
        </is>
      </c>
      <c r="P85" s="389" t="inlineStr">
        <is>
          <t>Ze</t>
        </is>
      </c>
      <c r="Q85" s="394" t="n"/>
    </row>
    <row r="86" ht="9.949999999999999" customFormat="1" customHeight="1" s="339">
      <c r="A86" s="395" t="inlineStr">
        <is>
          <t xml:space="preserve"> </t>
        </is>
      </c>
      <c r="C86" s="397" t="n"/>
      <c r="D86" s="397" t="n"/>
      <c r="E86" s="398" t="n"/>
      <c r="F86" s="399" t="n"/>
      <c r="G86" s="400" t="n"/>
      <c r="H86" s="401" t="n"/>
      <c r="I86" s="402" t="n"/>
      <c r="J86" s="403" t="inlineStr">
        <is>
          <t>Qs  =</t>
        </is>
      </c>
      <c r="K86" s="404" t="n">
        <v>2</v>
      </c>
      <c r="L86" s="404">
        <f>(D75+E75)*2*G75+(D78+E78)*2*G78</f>
        <v/>
      </c>
      <c r="M86" s="404" t="n">
        <v>0.9</v>
      </c>
      <c r="N86" s="404" t="n">
        <v>0.67</v>
      </c>
      <c r="O86" s="381" t="n">
        <v>28</v>
      </c>
      <c r="P86" s="404" t="n">
        <v>1.2</v>
      </c>
      <c r="Q86" s="383">
        <f>K86*L86*M86*N86*O86*P86</f>
        <v/>
      </c>
    </row>
    <row r="87" ht="9.949999999999999" customFormat="1" customHeight="1" s="351">
      <c r="A87" s="405" t="n"/>
      <c r="B87" s="406" t="n"/>
      <c r="C87" s="397" t="n"/>
      <c r="D87" s="397" t="n"/>
      <c r="E87" s="378" t="n"/>
      <c r="F87" s="256" t="n"/>
      <c r="G87" s="407" t="n"/>
      <c r="H87" s="397" t="n"/>
      <c r="I87" s="397" t="n"/>
      <c r="J87" s="397" t="n"/>
      <c r="K87" s="407" t="n"/>
      <c r="L87" s="408" t="n"/>
      <c r="M87" s="409" t="inlineStr">
        <is>
          <t xml:space="preserve">   TOPLAM ISI KAYBI =</t>
        </is>
      </c>
      <c r="N87" s="409" t="n"/>
      <c r="O87" s="410" t="n"/>
      <c r="P87" s="409" t="n"/>
      <c r="Q87" s="411">
        <f>Q84+Q86</f>
        <v/>
      </c>
    </row>
    <row r="88" ht="10.35" customFormat="1" customHeight="1" s="351">
      <c r="A88" s="359" t="n"/>
      <c r="B88" s="360" t="n"/>
      <c r="C88" s="360" t="n"/>
      <c r="D88" s="360" t="n"/>
      <c r="E88" s="360" t="n"/>
      <c r="F88" s="361" t="inlineStr">
        <is>
          <t>2</t>
        </is>
      </c>
      <c r="G88" s="362" t="inlineStr">
        <is>
          <t>0</t>
        </is>
      </c>
      <c r="H88" s="360" t="inlineStr">
        <is>
          <t>212</t>
        </is>
      </c>
      <c r="I88" s="363" t="inlineStr">
        <is>
          <t>DAİRE 4 MUTFAK</t>
        </is>
      </c>
      <c r="J88" s="364" t="n"/>
      <c r="K88" s="360" t="inlineStr">
        <is>
          <t>20ºC</t>
        </is>
      </c>
      <c r="L88" s="360" t="n"/>
      <c r="M88" s="360" t="n"/>
      <c r="N88" s="360" t="n"/>
      <c r="O88" s="360" t="n"/>
      <c r="P88" s="360" t="n"/>
      <c r="Q88" s="365" t="n"/>
    </row>
    <row r="89" ht="9.949999999999999" customFormat="1" customHeight="1" s="356">
      <c r="A89" s="366" t="inlineStr">
        <is>
          <t>DD</t>
        </is>
      </c>
      <c r="B89" s="367" t="inlineStr">
        <is>
          <t>K</t>
        </is>
      </c>
      <c r="C89" s="368" t="n"/>
      <c r="D89" s="369" t="n">
        <v>2.45</v>
      </c>
      <c r="E89" s="369" t="n">
        <v>2.5</v>
      </c>
      <c r="F89" s="370">
        <f>IF(D89=0," ",D89*E89)</f>
        <v/>
      </c>
      <c r="G89" s="371" t="n">
        <v>1</v>
      </c>
      <c r="H89" s="372">
        <f>F91*G91</f>
        <v/>
      </c>
      <c r="I89" s="370">
        <f>IF(F89=" "," ",F89*G89-H89)</f>
        <v/>
      </c>
      <c r="J89" s="369" t="n">
        <v>0.344</v>
      </c>
      <c r="K89" s="371" t="n">
        <v>26</v>
      </c>
      <c r="L89" s="373">
        <f>IF(I89=" "," ",I89*J89*K89)</f>
        <v/>
      </c>
      <c r="M89" s="374" t="n">
        <v>7</v>
      </c>
      <c r="N89" s="371" t="n">
        <v>0</v>
      </c>
      <c r="O89" s="374" t="n">
        <v>5</v>
      </c>
      <c r="P89" s="370">
        <f>IF(M89=" "," ",(1+(M89+N89+O89)/100))</f>
        <v/>
      </c>
      <c r="Q89" s="375">
        <f>IF(L89=" "," ",L89*P89)</f>
        <v/>
      </c>
    </row>
    <row r="90" ht="9.949999999999999" customFormat="1" customHeight="1" s="356">
      <c r="A90" s="366" t="inlineStr">
        <is>
          <t>DD25</t>
        </is>
      </c>
      <c r="B90" s="367" t="inlineStr">
        <is>
          <t>K</t>
        </is>
      </c>
      <c r="C90" s="368" t="n"/>
      <c r="D90" s="369">
        <f>D89</f>
        <v/>
      </c>
      <c r="E90" s="369" t="n">
        <v>0.5</v>
      </c>
      <c r="F90" s="370">
        <f>IF(D90=0," ",D90*E90)</f>
        <v/>
      </c>
      <c r="G90" s="371" t="n">
        <v>1</v>
      </c>
      <c r="H90" s="372" t="n"/>
      <c r="I90" s="370">
        <f>IF(F90=" "," ",F90*G90-H90)</f>
        <v/>
      </c>
      <c r="J90" s="369" t="n">
        <v>0.387</v>
      </c>
      <c r="K90" s="371" t="n">
        <v>26</v>
      </c>
      <c r="L90" s="373">
        <f>IF(I90=" "," ",I90*J90*K90)</f>
        <v/>
      </c>
      <c r="M90" s="374" t="n">
        <v>7</v>
      </c>
      <c r="N90" s="371" t="n">
        <v>0</v>
      </c>
      <c r="O90" s="374" t="n">
        <v>5</v>
      </c>
      <c r="P90" s="370">
        <f>IF(M90=" "," ",(1+(M90+N90+O90)/100))</f>
        <v/>
      </c>
      <c r="Q90" s="375">
        <f>IF(L90=" "," ",L90*P90)</f>
        <v/>
      </c>
    </row>
    <row r="91" ht="9.949999999999999" customFormat="1" customHeight="1" s="356">
      <c r="A91" s="366" t="inlineStr">
        <is>
          <t>BK</t>
        </is>
      </c>
      <c r="B91" s="367" t="inlineStr">
        <is>
          <t>K</t>
        </is>
      </c>
      <c r="C91" s="368" t="n"/>
      <c r="D91" s="369" t="n">
        <v>1.5</v>
      </c>
      <c r="E91" s="369" t="n">
        <v>2.5</v>
      </c>
      <c r="F91" s="370">
        <f>IF(D91=0," ",D91*E91)</f>
        <v/>
      </c>
      <c r="G91" s="371" t="n">
        <v>1</v>
      </c>
      <c r="H91" s="372" t="n"/>
      <c r="I91" s="370">
        <f>IF(F91=" "," ",F91*G91-H91)</f>
        <v/>
      </c>
      <c r="J91" s="369" t="n">
        <v>1.8</v>
      </c>
      <c r="K91" s="371" t="n">
        <v>26</v>
      </c>
      <c r="L91" s="373">
        <f>IF(I91=" "," ",I91*J91*K91)</f>
        <v/>
      </c>
      <c r="M91" s="374" t="n">
        <v>7</v>
      </c>
      <c r="N91" s="371" t="n">
        <v>0</v>
      </c>
      <c r="O91" s="374" t="n">
        <v>5</v>
      </c>
      <c r="P91" s="370">
        <f>IF(M91=" "," ",(1+(M91+N91+O91)/100))</f>
        <v/>
      </c>
      <c r="Q91" s="375">
        <f>IF(L91=" "," ",L91*P91)</f>
        <v/>
      </c>
    </row>
    <row r="92" ht="9.949999999999999" customFormat="1" customHeight="1" s="356">
      <c r="A92" s="366" t="inlineStr">
        <is>
          <t>Ta</t>
        </is>
      </c>
      <c r="B92" s="367" t="inlineStr"/>
      <c r="C92" s="368" t="n"/>
      <c r="D92" s="369" t="n">
        <v>8.93</v>
      </c>
      <c r="E92" s="369" t="n">
        <v>1</v>
      </c>
      <c r="F92" s="370">
        <f>IF(D92=0," ",D92*E92)</f>
        <v/>
      </c>
      <c r="G92" s="371" t="n">
        <v>1</v>
      </c>
      <c r="H92" s="372" t="n"/>
      <c r="I92" s="370">
        <f>IF(F92=" "," ",F92*G92-H92)</f>
        <v/>
      </c>
      <c r="J92" s="369" t="n">
        <v>0.266</v>
      </c>
      <c r="K92" s="371" t="n">
        <v>20</v>
      </c>
      <c r="L92" s="373">
        <f>IF(I92=" "," ",I92*J92*K92)</f>
        <v/>
      </c>
      <c r="M92" s="374" t="n">
        <v>7</v>
      </c>
      <c r="N92" s="371" t="n">
        <v>0</v>
      </c>
      <c r="O92" s="374" t="n">
        <v>0</v>
      </c>
      <c r="P92" s="370">
        <f>IF(M92=" "," ",(1+(M92+N92+O92)/100))</f>
        <v/>
      </c>
      <c r="Q92" s="375">
        <f>IF(L92=" "," ",L92*P92)</f>
        <v/>
      </c>
    </row>
    <row r="93" ht="9.949999999999999" customFormat="1" customHeight="1" s="356">
      <c r="A93" s="376" t="n"/>
      <c r="B93" s="377" t="n"/>
      <c r="C93" s="377" t="n"/>
      <c r="D93" s="378" t="n"/>
      <c r="E93" s="378" t="n"/>
      <c r="F93" s="378" t="n"/>
      <c r="G93" s="379" t="n"/>
      <c r="H93" s="378" t="n"/>
      <c r="I93" s="378" t="n"/>
      <c r="J93" s="378" t="n"/>
      <c r="K93" s="379" t="n"/>
      <c r="L93" s="380" t="n"/>
      <c r="M93" s="381" t="n"/>
      <c r="N93" s="381" t="n"/>
      <c r="O93" s="381" t="n"/>
      <c r="P93" s="382" t="n"/>
      <c r="Q93" s="383">
        <f>SUM(Q89:Q92)</f>
        <v/>
      </c>
    </row>
    <row r="94" ht="9.949999999999999" customFormat="1" customHeight="1" s="356">
      <c r="A94" s="384" t="n"/>
      <c r="B94" s="385" t="n"/>
      <c r="C94" s="385" t="n"/>
      <c r="D94" s="386" t="n"/>
      <c r="E94" s="387" t="n"/>
      <c r="F94" s="388" t="n"/>
      <c r="G94" s="389" t="n"/>
      <c r="H94" s="388" t="n"/>
      <c r="I94" s="390" t="n"/>
      <c r="J94" s="391" t="inlineStr">
        <is>
          <t>Qs=</t>
        </is>
      </c>
      <c r="K94" s="390" t="inlineStr">
        <is>
          <t>S a</t>
        </is>
      </c>
      <c r="L94" s="388" t="inlineStr">
        <is>
          <t>L</t>
        </is>
      </c>
      <c r="M94" s="389" t="inlineStr">
        <is>
          <t>R</t>
        </is>
      </c>
      <c r="N94" s="392" t="inlineStr">
        <is>
          <t>H</t>
        </is>
      </c>
      <c r="O94" s="393" t="inlineStr">
        <is>
          <t>D  T</t>
        </is>
      </c>
      <c r="P94" s="389" t="inlineStr">
        <is>
          <t>Ze</t>
        </is>
      </c>
      <c r="Q94" s="394" t="n"/>
    </row>
    <row r="95" ht="9.949999999999999" customFormat="1" customHeight="1" s="356">
      <c r="A95" s="395" t="inlineStr">
        <is>
          <t xml:space="preserve"> </t>
        </is>
      </c>
      <c r="B95" s="396" t="n"/>
      <c r="C95" s="397" t="n"/>
      <c r="D95" s="397" t="n"/>
      <c r="E95" s="398" t="n"/>
      <c r="F95" s="399" t="n"/>
      <c r="G95" s="400" t="n"/>
      <c r="H95" s="401" t="n"/>
      <c r="I95" s="402" t="n"/>
      <c r="J95" s="403" t="inlineStr">
        <is>
          <t>Qs  =</t>
        </is>
      </c>
      <c r="K95" s="404" t="n">
        <v>2</v>
      </c>
      <c r="L95" s="404">
        <f>(D91+E91)*2*G91</f>
        <v/>
      </c>
      <c r="M95" s="404" t="n">
        <v>0.9</v>
      </c>
      <c r="N95" s="404" t="n">
        <v>0.67</v>
      </c>
      <c r="O95" s="381" t="n">
        <v>26</v>
      </c>
      <c r="P95" s="404" t="n">
        <v>1</v>
      </c>
      <c r="Q95" s="383">
        <f>K95*L95*M95*N95*O95*P95</f>
        <v/>
      </c>
    </row>
    <row r="96" ht="9.949999999999999" customFormat="1" customHeight="1" s="356">
      <c r="A96" s="405" t="n"/>
      <c r="B96" s="406" t="n"/>
      <c r="C96" s="397" t="n"/>
      <c r="D96" s="397" t="n"/>
      <c r="E96" s="378" t="n"/>
      <c r="F96" s="256" t="n"/>
      <c r="G96" s="407" t="n"/>
      <c r="H96" s="397" t="n"/>
      <c r="I96" s="397" t="n"/>
      <c r="J96" s="397" t="n"/>
      <c r="K96" s="407" t="n"/>
      <c r="L96" s="408" t="n"/>
      <c r="M96" s="409" t="inlineStr">
        <is>
          <t xml:space="preserve">   TOPLAM ISI KAYBI =</t>
        </is>
      </c>
      <c r="N96" s="409" t="n"/>
      <c r="O96" s="410" t="n"/>
      <c r="P96" s="409" t="n"/>
      <c r="Q96" s="411">
        <f>Q93+Q95</f>
        <v/>
      </c>
    </row>
    <row r="97" ht="10.35" customFormat="1" customHeight="1" s="356">
      <c r="A97" s="359" t="n"/>
      <c r="B97" s="360" t="n"/>
      <c r="C97" s="360" t="n"/>
      <c r="D97" s="360" t="n"/>
      <c r="E97" s="360" t="n"/>
      <c r="F97" s="361" t="inlineStr">
        <is>
          <t>2</t>
        </is>
      </c>
      <c r="G97" s="362" t="inlineStr">
        <is>
          <t>0</t>
        </is>
      </c>
      <c r="H97" s="360" t="inlineStr">
        <is>
          <t>213</t>
        </is>
      </c>
      <c r="I97" s="363" t="inlineStr">
        <is>
          <t>DAİRE 4 YATAK ODASI</t>
        </is>
      </c>
      <c r="J97" s="364" t="n"/>
      <c r="K97" s="360" t="inlineStr">
        <is>
          <t>20ºC</t>
        </is>
      </c>
      <c r="L97" s="360" t="n"/>
      <c r="M97" s="360" t="n"/>
      <c r="N97" s="360" t="n"/>
      <c r="O97" s="360" t="n"/>
      <c r="P97" s="360" t="n"/>
      <c r="Q97" s="365" t="n"/>
    </row>
    <row r="98" ht="9.949999999999999" customFormat="1" customHeight="1" s="356">
      <c r="A98" s="366" t="inlineStr">
        <is>
          <t>DD</t>
        </is>
      </c>
      <c r="B98" s="367" t="inlineStr">
        <is>
          <t>K</t>
        </is>
      </c>
      <c r="C98" s="368" t="n"/>
      <c r="D98" s="369" t="n">
        <v>2.82</v>
      </c>
      <c r="E98" s="369" t="n">
        <v>2.5</v>
      </c>
      <c r="F98" s="370">
        <f>IF(D98=0," ",D98*E98)</f>
        <v/>
      </c>
      <c r="G98" s="371" t="n">
        <v>1</v>
      </c>
      <c r="H98" s="372">
        <f>F100*G100</f>
        <v/>
      </c>
      <c r="I98" s="370">
        <f>IF(F98=" "," ",F98*G98-H98)</f>
        <v/>
      </c>
      <c r="J98" s="369" t="n">
        <v>0.344</v>
      </c>
      <c r="K98" s="371" t="n">
        <v>26</v>
      </c>
      <c r="L98" s="373">
        <f>IF(I98=" "," ",I98*J98*K98)</f>
        <v/>
      </c>
      <c r="M98" s="374" t="n">
        <v>7</v>
      </c>
      <c r="N98" s="371" t="n">
        <v>0</v>
      </c>
      <c r="O98" s="374" t="n">
        <v>5</v>
      </c>
      <c r="P98" s="370">
        <f>IF(M98=" "," ",(1+(M98+N98+O98)/100))</f>
        <v/>
      </c>
      <c r="Q98" s="375">
        <f>IF(L98=" "," ",L98*P98)</f>
        <v/>
      </c>
    </row>
    <row r="99" ht="9.949999999999999" customFormat="1" customHeight="1" s="356">
      <c r="A99" s="366" t="inlineStr">
        <is>
          <t>DD25</t>
        </is>
      </c>
      <c r="B99" s="367" t="inlineStr">
        <is>
          <t>K</t>
        </is>
      </c>
      <c r="C99" s="368" t="n"/>
      <c r="D99" s="369">
        <f>D98</f>
        <v/>
      </c>
      <c r="E99" s="369" t="n">
        <v>0.5</v>
      </c>
      <c r="F99" s="370">
        <f>IF(D99=0," ",D99*E99)</f>
        <v/>
      </c>
      <c r="G99" s="371" t="n">
        <v>1</v>
      </c>
      <c r="H99" s="372" t="n"/>
      <c r="I99" s="370">
        <f>IF(F99=" "," ",F99*G99-H99)</f>
        <v/>
      </c>
      <c r="J99" s="369" t="n">
        <v>0.387</v>
      </c>
      <c r="K99" s="371" t="n">
        <v>26</v>
      </c>
      <c r="L99" s="373">
        <f>IF(I99=" "," ",I99*J99*K99)</f>
        <v/>
      </c>
      <c r="M99" s="374" t="n">
        <v>7</v>
      </c>
      <c r="N99" s="371" t="n">
        <v>0</v>
      </c>
      <c r="O99" s="374" t="n">
        <v>5</v>
      </c>
      <c r="P99" s="370">
        <f>IF(M99=" "," ",(1+(M99+N99+O99)/100))</f>
        <v/>
      </c>
      <c r="Q99" s="375">
        <f>IF(L99=" "," ",L99*P99)</f>
        <v/>
      </c>
    </row>
    <row r="100" ht="9.949999999999999" customFormat="1" customHeight="1" s="356">
      <c r="A100" s="366" t="inlineStr">
        <is>
          <t>ÇP</t>
        </is>
      </c>
      <c r="B100" s="367" t="inlineStr">
        <is>
          <t>K</t>
        </is>
      </c>
      <c r="C100" s="368" t="n"/>
      <c r="D100" s="369" t="n">
        <v>1.5</v>
      </c>
      <c r="E100" s="369" t="n">
        <v>1.6</v>
      </c>
      <c r="F100" s="370">
        <f>IF(D100=0," ",D100*E100)</f>
        <v/>
      </c>
      <c r="G100" s="371" t="n">
        <v>1</v>
      </c>
      <c r="H100" s="372" t="n"/>
      <c r="I100" s="370">
        <f>IF(F100=" "," ",F100*G100-H100)</f>
        <v/>
      </c>
      <c r="J100" s="369" t="n">
        <v>1.8</v>
      </c>
      <c r="K100" s="371" t="n">
        <v>26</v>
      </c>
      <c r="L100" s="373">
        <f>IF(I100=" "," ",I100*J100*K100)</f>
        <v/>
      </c>
      <c r="M100" s="374" t="n">
        <v>7</v>
      </c>
      <c r="N100" s="371" t="n">
        <v>0</v>
      </c>
      <c r="O100" s="374" t="n">
        <v>5</v>
      </c>
      <c r="P100" s="370">
        <f>IF(M100=" "," ",(1+(M100+N100+O100)/100))</f>
        <v/>
      </c>
      <c r="Q100" s="375">
        <f>IF(L100=" "," ",L100*P100)</f>
        <v/>
      </c>
    </row>
    <row r="101" ht="9.949999999999999" customFormat="1" customHeight="1" s="356">
      <c r="A101" s="366" t="inlineStr">
        <is>
          <t>İDM</t>
        </is>
      </c>
      <c r="B101" s="367" t="inlineStr"/>
      <c r="C101" s="368" t="n"/>
      <c r="D101" s="369" t="n">
        <v>3.35</v>
      </c>
      <c r="E101" s="369" t="n">
        <v>3</v>
      </c>
      <c r="F101" s="370">
        <f>IF(D101=0," ",D101*E101)</f>
        <v/>
      </c>
      <c r="G101" s="371" t="n">
        <v>1</v>
      </c>
      <c r="H101" s="372" t="n"/>
      <c r="I101" s="370">
        <f>IF(F101=" "," ",F101*G101-H101)</f>
        <v/>
      </c>
      <c r="J101" s="369" t="n">
        <v>0.332</v>
      </c>
      <c r="K101" s="371" t="n">
        <v>10</v>
      </c>
      <c r="L101" s="373">
        <f>IF(I101=" "," ",I101*J101*K101)</f>
        <v/>
      </c>
      <c r="M101" s="374" t="n">
        <v>7</v>
      </c>
      <c r="N101" s="371" t="n">
        <v>0</v>
      </c>
      <c r="O101" s="374" t="n">
        <v>0</v>
      </c>
      <c r="P101" s="370">
        <f>IF(M101=" "," ",(1+(M101+N101+O101)/100))</f>
        <v/>
      </c>
      <c r="Q101" s="375">
        <f>IF(L101=" "," ",L101*P101)</f>
        <v/>
      </c>
    </row>
    <row r="102" ht="9.949999999999999" customFormat="1" customHeight="1" s="412">
      <c r="A102" s="366" t="inlineStr">
        <is>
          <t>Ta</t>
        </is>
      </c>
      <c r="B102" s="367" t="inlineStr"/>
      <c r="C102" s="368" t="n"/>
      <c r="D102" s="369" t="n">
        <v>9.76</v>
      </c>
      <c r="E102" s="369" t="n">
        <v>1</v>
      </c>
      <c r="F102" s="370">
        <f>IF(D102=0," ",D102*E102)</f>
        <v/>
      </c>
      <c r="G102" s="371" t="n">
        <v>1</v>
      </c>
      <c r="H102" s="372" t="n"/>
      <c r="I102" s="370">
        <f>IF(F102=" "," ",F102*G102-H102)</f>
        <v/>
      </c>
      <c r="J102" s="369" t="n">
        <v>0.266</v>
      </c>
      <c r="K102" s="371" t="n">
        <v>20</v>
      </c>
      <c r="L102" s="373">
        <f>IF(I102=" "," ",I102*J102*K102)</f>
        <v/>
      </c>
      <c r="M102" s="374" t="n">
        <v>7</v>
      </c>
      <c r="N102" s="371" t="n">
        <v>0</v>
      </c>
      <c r="O102" s="374" t="n">
        <v>0</v>
      </c>
      <c r="P102" s="370">
        <f>IF(M102=" "," ",(1+(M102+N102+O102)/100))</f>
        <v/>
      </c>
      <c r="Q102" s="375">
        <f>IF(L102=" "," ",L102*P102)</f>
        <v/>
      </c>
    </row>
    <row r="103" ht="9.949999999999999" customFormat="1" customHeight="1" s="412">
      <c r="A103" s="376" t="n"/>
      <c r="B103" s="377" t="n"/>
      <c r="C103" s="377" t="n"/>
      <c r="D103" s="378" t="n"/>
      <c r="E103" s="378" t="n"/>
      <c r="F103" s="378" t="n"/>
      <c r="G103" s="379" t="n"/>
      <c r="H103" s="378" t="n"/>
      <c r="I103" s="378" t="n"/>
      <c r="J103" s="378" t="n"/>
      <c r="K103" s="379" t="n"/>
      <c r="L103" s="380" t="n"/>
      <c r="M103" s="381" t="n"/>
      <c r="N103" s="381" t="n"/>
      <c r="O103" s="381" t="n"/>
      <c r="P103" s="382" t="n"/>
      <c r="Q103" s="383">
        <f>SUM(Q98:Q102)</f>
        <v/>
      </c>
    </row>
    <row r="104" ht="9.949999999999999" customFormat="1" customHeight="1" s="351">
      <c r="A104" s="384" t="n"/>
      <c r="B104" s="385" t="n"/>
      <c r="C104" s="385" t="n"/>
      <c r="D104" s="386" t="n"/>
      <c r="E104" s="387" t="n"/>
      <c r="F104" s="388" t="n"/>
      <c r="G104" s="389" t="n"/>
      <c r="H104" s="388" t="n"/>
      <c r="I104" s="390" t="n"/>
      <c r="J104" s="391" t="inlineStr">
        <is>
          <t>Qs=</t>
        </is>
      </c>
      <c r="K104" s="390" t="inlineStr">
        <is>
          <t>S a</t>
        </is>
      </c>
      <c r="L104" s="388" t="inlineStr">
        <is>
          <t>L</t>
        </is>
      </c>
      <c r="M104" s="389" t="inlineStr">
        <is>
          <t>R</t>
        </is>
      </c>
      <c r="N104" s="392" t="inlineStr">
        <is>
          <t>H</t>
        </is>
      </c>
      <c r="O104" s="393" t="inlineStr">
        <is>
          <t>D  T</t>
        </is>
      </c>
      <c r="P104" s="389" t="inlineStr">
        <is>
          <t>Ze</t>
        </is>
      </c>
      <c r="Q104" s="394" t="n"/>
    </row>
    <row r="105" ht="9.949999999999999" customFormat="1" customHeight="1" s="356">
      <c r="A105" s="395" t="inlineStr">
        <is>
          <t xml:space="preserve"> </t>
        </is>
      </c>
      <c r="B105" s="443" t="n"/>
      <c r="C105" s="397" t="n"/>
      <c r="D105" s="397" t="n"/>
      <c r="E105" s="398" t="n"/>
      <c r="F105" s="399" t="n"/>
      <c r="G105" s="400" t="n"/>
      <c r="H105" s="401" t="n"/>
      <c r="I105" s="402" t="n"/>
      <c r="J105" s="403" t="inlineStr">
        <is>
          <t>Qs  =</t>
        </is>
      </c>
      <c r="K105" s="404" t="n">
        <v>2</v>
      </c>
      <c r="L105" s="404">
        <f>(D100+E100)*2*G100</f>
        <v/>
      </c>
      <c r="M105" s="404" t="n">
        <v>0.9</v>
      </c>
      <c r="N105" s="404" t="n">
        <v>0.67</v>
      </c>
      <c r="O105" s="381" t="n">
        <v>26</v>
      </c>
      <c r="P105" s="404" t="n">
        <v>1</v>
      </c>
      <c r="Q105" s="383">
        <f>K105*L105*M105*N105*O105*P105</f>
        <v/>
      </c>
    </row>
    <row r="106" ht="9.949999999999999" customFormat="1" customHeight="1" s="356">
      <c r="A106" s="405" t="n"/>
      <c r="B106" s="406" t="n"/>
      <c r="C106" s="397" t="n"/>
      <c r="D106" s="397" t="n"/>
      <c r="E106" s="378" t="n"/>
      <c r="F106" s="256" t="n"/>
      <c r="G106" s="407" t="n"/>
      <c r="H106" s="397" t="n"/>
      <c r="I106" s="397" t="n"/>
      <c r="J106" s="397" t="n"/>
      <c r="K106" s="407" t="n"/>
      <c r="L106" s="408" t="n"/>
      <c r="M106" s="409" t="inlineStr">
        <is>
          <t xml:space="preserve">   TOPLAM ISI KAYBI =</t>
        </is>
      </c>
      <c r="N106" s="409" t="n"/>
      <c r="O106" s="410" t="n"/>
      <c r="P106" s="409" t="n"/>
      <c r="Q106" s="411">
        <f>Q103+Q105</f>
        <v/>
      </c>
    </row>
    <row r="107" ht="10.35" customFormat="1" customHeight="1" s="356">
      <c r="A107" s="359" t="n"/>
      <c r="B107" s="360" t="n"/>
      <c r="C107" s="360" t="n"/>
      <c r="D107" s="360" t="n"/>
      <c r="E107" s="360" t="n"/>
      <c r="F107" s="361" t="inlineStr">
        <is>
          <t>2</t>
        </is>
      </c>
      <c r="G107" s="362" t="inlineStr">
        <is>
          <t>0</t>
        </is>
      </c>
      <c r="H107" s="360" t="inlineStr">
        <is>
          <t>214</t>
        </is>
      </c>
      <c r="I107" s="363" t="inlineStr">
        <is>
          <t>DAİRE 4 ODA</t>
        </is>
      </c>
      <c r="J107" s="364" t="n"/>
      <c r="K107" s="360" t="inlineStr">
        <is>
          <t>20ºC</t>
        </is>
      </c>
      <c r="L107" s="360" t="n"/>
      <c r="M107" s="360" t="n"/>
      <c r="N107" s="360" t="n"/>
      <c r="O107" s="360" t="n"/>
      <c r="P107" s="360" t="n"/>
      <c r="Q107" s="365" t="n"/>
    </row>
    <row r="108" ht="9.949999999999999" customFormat="1" customHeight="1" s="356">
      <c r="A108" s="366" t="inlineStr">
        <is>
          <t>DD</t>
        </is>
      </c>
      <c r="B108" s="367" t="inlineStr">
        <is>
          <t>K</t>
        </is>
      </c>
      <c r="C108" s="368" t="n"/>
      <c r="D108" s="369" t="n">
        <v>2.16</v>
      </c>
      <c r="E108" s="369" t="n">
        <v>2.5</v>
      </c>
      <c r="F108" s="370">
        <f>IF(D108=0," ",D108*E108)</f>
        <v/>
      </c>
      <c r="G108" s="371" t="n">
        <v>1</v>
      </c>
      <c r="H108" s="372">
        <f>F110*G110</f>
        <v/>
      </c>
      <c r="I108" s="370">
        <f>IF(F108=" "," ",F108*G108-H108)</f>
        <v/>
      </c>
      <c r="J108" s="369" t="n">
        <v>0.344</v>
      </c>
      <c r="K108" s="371" t="n">
        <v>26</v>
      </c>
      <c r="L108" s="373">
        <f>IF(I108=" "," ",I108*J108*K108)</f>
        <v/>
      </c>
      <c r="M108" s="374" t="n">
        <v>7</v>
      </c>
      <c r="N108" s="371" t="n">
        <v>0</v>
      </c>
      <c r="O108" s="374" t="n">
        <v>5</v>
      </c>
      <c r="P108" s="370">
        <f>IF(M108=" "," ",(1+(M108+N108+O108)/100))</f>
        <v/>
      </c>
      <c r="Q108" s="375">
        <f>IF(L108=" "," ",L108*P108)</f>
        <v/>
      </c>
    </row>
    <row r="109" ht="9.949999999999999" customFormat="1" customHeight="1" s="356">
      <c r="A109" s="366" t="inlineStr">
        <is>
          <t>DD25</t>
        </is>
      </c>
      <c r="B109" s="367" t="inlineStr">
        <is>
          <t>K</t>
        </is>
      </c>
      <c r="C109" s="368" t="n"/>
      <c r="D109" s="369">
        <f>D108</f>
        <v/>
      </c>
      <c r="E109" s="369" t="n">
        <v>0.5</v>
      </c>
      <c r="F109" s="370">
        <f>IF(D109=0," ",D109*E109)</f>
        <v/>
      </c>
      <c r="G109" s="371" t="n">
        <v>1</v>
      </c>
      <c r="H109" s="372" t="n"/>
      <c r="I109" s="370">
        <f>IF(F109=" "," ",F109*G109-H109)</f>
        <v/>
      </c>
      <c r="J109" s="369" t="n">
        <v>0.387</v>
      </c>
      <c r="K109" s="371" t="n">
        <v>26</v>
      </c>
      <c r="L109" s="373">
        <f>IF(I109=" "," ",I109*J109*K109)</f>
        <v/>
      </c>
      <c r="M109" s="374" t="n">
        <v>7</v>
      </c>
      <c r="N109" s="371" t="n">
        <v>0</v>
      </c>
      <c r="O109" s="374" t="n">
        <v>5</v>
      </c>
      <c r="P109" s="370">
        <f>IF(M109=" "," ",(1+(M109+N109+O109)/100))</f>
        <v/>
      </c>
      <c r="Q109" s="375">
        <f>IF(L109=" "," ",L109*P109)</f>
        <v/>
      </c>
    </row>
    <row r="110" ht="9.949999999999999" customFormat="1" customHeight="1" s="356">
      <c r="A110" s="366" t="inlineStr">
        <is>
          <t>ÇP</t>
        </is>
      </c>
      <c r="B110" s="367" t="inlineStr">
        <is>
          <t>K</t>
        </is>
      </c>
      <c r="C110" s="368" t="n"/>
      <c r="D110" s="369" t="n">
        <v>1.5</v>
      </c>
      <c r="E110" s="369" t="n">
        <v>1.6</v>
      </c>
      <c r="F110" s="370">
        <f>IF(D110=0," ",D110*E110)</f>
        <v/>
      </c>
      <c r="G110" s="371" t="n">
        <v>1</v>
      </c>
      <c r="H110" s="372" t="n"/>
      <c r="I110" s="370">
        <f>IF(F110=" "," ",F110*G110-H110)</f>
        <v/>
      </c>
      <c r="J110" s="369" t="n">
        <v>1.8</v>
      </c>
      <c r="K110" s="371" t="n">
        <v>26</v>
      </c>
      <c r="L110" s="373">
        <f>IF(I110=" "," ",I110*J110*K110)</f>
        <v/>
      </c>
      <c r="M110" s="374" t="n">
        <v>7</v>
      </c>
      <c r="N110" s="371" t="n">
        <v>0</v>
      </c>
      <c r="O110" s="374" t="n">
        <v>5</v>
      </c>
      <c r="P110" s="370">
        <f>IF(M110=" "," ",(1+(M110+N110+O110)/100))</f>
        <v/>
      </c>
      <c r="Q110" s="375">
        <f>IF(L110=" "," ",L110*P110)</f>
        <v/>
      </c>
    </row>
    <row r="111" ht="9.949999999999999" customFormat="1" customHeight="1" s="356">
      <c r="A111" s="366" t="inlineStr">
        <is>
          <t>Ta</t>
        </is>
      </c>
      <c r="B111" s="367" t="inlineStr"/>
      <c r="C111" s="368" t="n"/>
      <c r="D111" s="369" t="n">
        <v>8.1</v>
      </c>
      <c r="E111" s="369" t="n">
        <v>1</v>
      </c>
      <c r="F111" s="370">
        <f>IF(D111=0," ",D111*E111)</f>
        <v/>
      </c>
      <c r="G111" s="371" t="n">
        <v>1</v>
      </c>
      <c r="H111" s="372" t="n"/>
      <c r="I111" s="370">
        <f>IF(F111=" "," ",F111*G111-H111)</f>
        <v/>
      </c>
      <c r="J111" s="369" t="n">
        <v>0.266</v>
      </c>
      <c r="K111" s="371" t="n">
        <v>20</v>
      </c>
      <c r="L111" s="373">
        <f>IF(I111=" "," ",I111*J111*K111)</f>
        <v/>
      </c>
      <c r="M111" s="374" t="n">
        <v>7</v>
      </c>
      <c r="N111" s="371" t="n">
        <v>0</v>
      </c>
      <c r="O111" s="374" t="n">
        <v>0</v>
      </c>
      <c r="P111" s="370">
        <f>IF(M111=" "," ",(1+(M111+N111+O111)/100))</f>
        <v/>
      </c>
      <c r="Q111" s="375">
        <f>IF(L111=" "," ",L111*P111)</f>
        <v/>
      </c>
    </row>
    <row r="112" ht="9.949999999999999" customFormat="1" customHeight="1" s="356">
      <c r="A112" s="376" t="n"/>
      <c r="B112" s="377" t="n"/>
      <c r="C112" s="377" t="n"/>
      <c r="D112" s="378" t="n"/>
      <c r="E112" s="378" t="n"/>
      <c r="F112" s="378" t="n"/>
      <c r="G112" s="379" t="n"/>
      <c r="H112" s="378" t="n"/>
      <c r="I112" s="378" t="n"/>
      <c r="J112" s="378" t="n"/>
      <c r="K112" s="379" t="n"/>
      <c r="L112" s="380" t="n"/>
      <c r="M112" s="381" t="n"/>
      <c r="N112" s="381" t="n"/>
      <c r="O112" s="381" t="n"/>
      <c r="P112" s="382" t="n"/>
      <c r="Q112" s="383">
        <f>SUM(Q108:Q111)</f>
        <v/>
      </c>
    </row>
    <row r="113" ht="9.949999999999999" customFormat="1" customHeight="1" s="356">
      <c r="A113" s="384" t="n"/>
      <c r="B113" s="385" t="n"/>
      <c r="C113" s="385" t="n"/>
      <c r="D113" s="386" t="n"/>
      <c r="E113" s="387" t="n"/>
      <c r="F113" s="388" t="n"/>
      <c r="G113" s="389" t="n"/>
      <c r="H113" s="388" t="n"/>
      <c r="I113" s="390" t="n"/>
      <c r="J113" s="391" t="inlineStr">
        <is>
          <t>Qs=</t>
        </is>
      </c>
      <c r="K113" s="390" t="inlineStr">
        <is>
          <t>S a</t>
        </is>
      </c>
      <c r="L113" s="388" t="inlineStr">
        <is>
          <t>L</t>
        </is>
      </c>
      <c r="M113" s="389" t="inlineStr">
        <is>
          <t>R</t>
        </is>
      </c>
      <c r="N113" s="392" t="inlineStr">
        <is>
          <t>H</t>
        </is>
      </c>
      <c r="O113" s="393" t="inlineStr">
        <is>
          <t>D  T</t>
        </is>
      </c>
      <c r="P113" s="389" t="inlineStr">
        <is>
          <t>Ze</t>
        </is>
      </c>
      <c r="Q113" s="394" t="n"/>
    </row>
    <row r="114" ht="9.949999999999999" customFormat="1" customHeight="1" s="356">
      <c r="A114" s="395" t="inlineStr">
        <is>
          <t xml:space="preserve"> </t>
        </is>
      </c>
      <c r="B114" s="396" t="n"/>
      <c r="C114" s="397" t="n"/>
      <c r="D114" s="397" t="n"/>
      <c r="E114" s="398" t="n"/>
      <c r="F114" s="399" t="n"/>
      <c r="G114" s="400" t="n"/>
      <c r="H114" s="401" t="n"/>
      <c r="I114" s="402" t="n"/>
      <c r="J114" s="403" t="inlineStr">
        <is>
          <t>Qs  =</t>
        </is>
      </c>
      <c r="K114" s="404" t="n">
        <v>2</v>
      </c>
      <c r="L114" s="404">
        <f>(D110+E110)*2*G110</f>
        <v/>
      </c>
      <c r="M114" s="404" t="n">
        <v>0.9</v>
      </c>
      <c r="N114" s="404" t="n">
        <v>0.67</v>
      </c>
      <c r="O114" s="381" t="n">
        <v>26</v>
      </c>
      <c r="P114" s="404" t="n">
        <v>1</v>
      </c>
      <c r="Q114" s="383">
        <f>K114*L114*M114*N114*O114*P114</f>
        <v/>
      </c>
    </row>
    <row r="115" ht="9.949999999999999" customFormat="1" customHeight="1" s="356">
      <c r="A115" s="405" t="n"/>
      <c r="B115" s="406" t="n"/>
      <c r="C115" s="397" t="n"/>
      <c r="D115" s="397" t="n"/>
      <c r="E115" s="378" t="n"/>
      <c r="F115" s="256" t="n"/>
      <c r="G115" s="407" t="n"/>
      <c r="H115" s="397" t="n"/>
      <c r="I115" s="397" t="n"/>
      <c r="J115" s="397" t="n"/>
      <c r="K115" s="407" t="n"/>
      <c r="L115" s="408" t="n"/>
      <c r="M115" s="409" t="inlineStr">
        <is>
          <t xml:space="preserve">   TOPLAM ISI KAYBI =</t>
        </is>
      </c>
      <c r="N115" s="409" t="n"/>
      <c r="O115" s="410" t="n"/>
      <c r="P115" s="409" t="n"/>
      <c r="Q115" s="411">
        <f>Q112+Q114</f>
        <v/>
      </c>
    </row>
    <row r="116" ht="10.35" customFormat="1" customHeight="1" s="412">
      <c r="A116" s="359" t="n"/>
      <c r="B116" s="360" t="n"/>
      <c r="C116" s="360" t="n"/>
      <c r="D116" s="360" t="n"/>
      <c r="E116" s="360" t="n"/>
      <c r="F116" s="361" t="inlineStr">
        <is>
          <t>2</t>
        </is>
      </c>
      <c r="G116" s="362" t="inlineStr">
        <is>
          <t>0</t>
        </is>
      </c>
      <c r="H116" s="360" t="inlineStr">
        <is>
          <t>215</t>
        </is>
      </c>
      <c r="I116" s="363" t="inlineStr">
        <is>
          <t>DAİRE 4 BANYO</t>
        </is>
      </c>
      <c r="J116" s="364" t="n"/>
      <c r="K116" s="360" t="inlineStr">
        <is>
          <t>26ºC</t>
        </is>
      </c>
      <c r="L116" s="360" t="n"/>
      <c r="M116" s="360" t="n"/>
      <c r="N116" s="360" t="n"/>
      <c r="O116" s="360" t="n"/>
      <c r="P116" s="360" t="n"/>
      <c r="Q116" s="365" t="n"/>
    </row>
    <row r="117" ht="9.949999999999999" customFormat="1" customHeight="1" s="412">
      <c r="A117" s="366" t="inlineStr">
        <is>
          <t>DD</t>
        </is>
      </c>
      <c r="B117" s="367" t="inlineStr">
        <is>
          <t>G</t>
        </is>
      </c>
      <c r="C117" s="368" t="n"/>
      <c r="D117" s="369" t="n">
        <v>2</v>
      </c>
      <c r="E117" s="369" t="n">
        <v>2.5</v>
      </c>
      <c r="F117" s="370">
        <f>IF(D117=0," ",D117*E117)</f>
        <v/>
      </c>
      <c r="G117" s="371" t="n">
        <v>1</v>
      </c>
      <c r="H117" s="372">
        <f>F119*G119</f>
        <v/>
      </c>
      <c r="I117" s="370">
        <f>IF(F117=" "," ",F117*G117-H117)</f>
        <v/>
      </c>
      <c r="J117" s="369" t="n">
        <v>0.344</v>
      </c>
      <c r="K117" s="371" t="n">
        <v>32</v>
      </c>
      <c r="L117" s="373">
        <f>IF(I117=" "," ",I117*J117*K117)</f>
        <v/>
      </c>
      <c r="M117" s="374" t="n">
        <v>7</v>
      </c>
      <c r="N117" s="371" t="n">
        <v>0</v>
      </c>
      <c r="O117" s="374" t="n">
        <v>-5</v>
      </c>
      <c r="P117" s="370">
        <f>IF(M117=" "," ",(1+(M117+N117+O117)/100))</f>
        <v/>
      </c>
      <c r="Q117" s="375">
        <f>IF(L117=" "," ",L117*P117)</f>
        <v/>
      </c>
    </row>
    <row r="118" ht="9.949999999999999" customFormat="1" customHeight="1" s="351">
      <c r="A118" s="366" t="inlineStr">
        <is>
          <t>DD25</t>
        </is>
      </c>
      <c r="B118" s="367" t="inlineStr">
        <is>
          <t>G</t>
        </is>
      </c>
      <c r="C118" s="368" t="n"/>
      <c r="D118" s="369">
        <f>D117</f>
        <v/>
      </c>
      <c r="E118" s="369" t="n">
        <v>0.5</v>
      </c>
      <c r="F118" s="370">
        <f>IF(D118=0," ",D118*E118)</f>
        <v/>
      </c>
      <c r="G118" s="371" t="n">
        <v>1</v>
      </c>
      <c r="H118" s="372" t="n"/>
      <c r="I118" s="370">
        <f>IF(F118=" "," ",F118*G118-H118)</f>
        <v/>
      </c>
      <c r="J118" s="369" t="n">
        <v>0.387</v>
      </c>
      <c r="K118" s="371" t="n">
        <v>32</v>
      </c>
      <c r="L118" s="373">
        <f>IF(I118=" "," ",I118*J118*K118)</f>
        <v/>
      </c>
      <c r="M118" s="374" t="n">
        <v>7</v>
      </c>
      <c r="N118" s="371" t="n">
        <v>0</v>
      </c>
      <c r="O118" s="374" t="n">
        <v>-5</v>
      </c>
      <c r="P118" s="370">
        <f>IF(M118=" "," ",(1+(M118+N118+O118)/100))</f>
        <v/>
      </c>
      <c r="Q118" s="375">
        <f>IF(L118=" "," ",L118*P118)</f>
        <v/>
      </c>
    </row>
    <row r="119" ht="9.949999999999999" customFormat="1" customHeight="1" s="356">
      <c r="A119" s="366" t="inlineStr">
        <is>
          <t>ÇP</t>
        </is>
      </c>
      <c r="B119" s="367" t="inlineStr">
        <is>
          <t>G</t>
        </is>
      </c>
      <c r="C119" s="368" t="n"/>
      <c r="D119" s="369" t="n">
        <v>0.5</v>
      </c>
      <c r="E119" s="369" t="n">
        <v>0.65</v>
      </c>
      <c r="F119" s="370">
        <f>IF(D119=0," ",D119*E119)</f>
        <v/>
      </c>
      <c r="G119" s="371" t="n">
        <v>1</v>
      </c>
      <c r="H119" s="372" t="n"/>
      <c r="I119" s="370">
        <f>IF(F119=" "," ",F119*G119-H119)</f>
        <v/>
      </c>
      <c r="J119" s="369" t="n">
        <v>1.8</v>
      </c>
      <c r="K119" s="371" t="n">
        <v>32</v>
      </c>
      <c r="L119" s="373">
        <f>IF(I119=" "," ",I119*J119*K119)</f>
        <v/>
      </c>
      <c r="M119" s="374" t="n">
        <v>7</v>
      </c>
      <c r="N119" s="371" t="n">
        <v>0</v>
      </c>
      <c r="O119" s="374" t="n">
        <v>-5</v>
      </c>
      <c r="P119" s="370">
        <f>IF(M119=" "," ",(1+(M119+N119+O119)/100))</f>
        <v/>
      </c>
      <c r="Q119" s="375">
        <f>IF(L119=" "," ",L119*P119)</f>
        <v/>
      </c>
    </row>
    <row r="120" ht="9.949999999999999" customFormat="1" customHeight="1" s="356">
      <c r="A120" s="366" t="inlineStr">
        <is>
          <t>Ta</t>
        </is>
      </c>
      <c r="B120" s="367" t="inlineStr"/>
      <c r="C120" s="368" t="n"/>
      <c r="D120" s="369" t="n">
        <v>4.29</v>
      </c>
      <c r="E120" s="369" t="n">
        <v>1</v>
      </c>
      <c r="F120" s="370">
        <f>IF(D120=0," ",D120*E120)</f>
        <v/>
      </c>
      <c r="G120" s="371" t="n">
        <v>1</v>
      </c>
      <c r="H120" s="372" t="n"/>
      <c r="I120" s="370">
        <f>IF(F120=" "," ",F120*G120-H120)</f>
        <v/>
      </c>
      <c r="J120" s="369" t="n">
        <v>0.266</v>
      </c>
      <c r="K120" s="371" t="n">
        <v>26</v>
      </c>
      <c r="L120" s="373">
        <f>IF(I120=" "," ",I120*J120*K120)</f>
        <v/>
      </c>
      <c r="M120" s="374" t="n">
        <v>7</v>
      </c>
      <c r="N120" s="371" t="n">
        <v>0</v>
      </c>
      <c r="O120" s="374" t="n">
        <v>0</v>
      </c>
      <c r="P120" s="370">
        <f>IF(M120=" "," ",(1+(M120+N120+O120)/100))</f>
        <v/>
      </c>
      <c r="Q120" s="375">
        <f>IF(L120=" "," ",L120*P120)</f>
        <v/>
      </c>
    </row>
    <row r="121" ht="9.949999999999999" customFormat="1" customHeight="1" s="356">
      <c r="A121" s="376" t="n"/>
      <c r="B121" s="377" t="n"/>
      <c r="C121" s="377" t="n"/>
      <c r="D121" s="378" t="n"/>
      <c r="E121" s="378" t="n"/>
      <c r="F121" s="378" t="n"/>
      <c r="G121" s="379" t="n"/>
      <c r="H121" s="378" t="n"/>
      <c r="I121" s="378" t="n"/>
      <c r="J121" s="378" t="n"/>
      <c r="K121" s="379" t="n"/>
      <c r="L121" s="380" t="n"/>
      <c r="M121" s="381" t="n"/>
      <c r="N121" s="381" t="n"/>
      <c r="O121" s="381" t="n"/>
      <c r="P121" s="382" t="n"/>
      <c r="Q121" s="383">
        <f>SUM(Q117:Q120)</f>
        <v/>
      </c>
    </row>
    <row r="122" ht="9.949999999999999" customFormat="1" customHeight="1" s="356">
      <c r="A122" s="384" t="n"/>
      <c r="B122" s="385" t="n"/>
      <c r="C122" s="385" t="n"/>
      <c r="D122" s="386" t="n"/>
      <c r="E122" s="387" t="n"/>
      <c r="F122" s="388" t="n"/>
      <c r="G122" s="389" t="n"/>
      <c r="H122" s="388" t="n"/>
      <c r="I122" s="390" t="n"/>
      <c r="J122" s="391" t="inlineStr">
        <is>
          <t>Qs=</t>
        </is>
      </c>
      <c r="K122" s="390" t="inlineStr">
        <is>
          <t>S a</t>
        </is>
      </c>
      <c r="L122" s="388" t="inlineStr">
        <is>
          <t>L</t>
        </is>
      </c>
      <c r="M122" s="389" t="inlineStr">
        <is>
          <t>R</t>
        </is>
      </c>
      <c r="N122" s="392" t="inlineStr">
        <is>
          <t>H</t>
        </is>
      </c>
      <c r="O122" s="393" t="inlineStr">
        <is>
          <t>D  T</t>
        </is>
      </c>
      <c r="P122" s="389" t="inlineStr">
        <is>
          <t>Ze</t>
        </is>
      </c>
      <c r="Q122" s="394" t="n"/>
    </row>
    <row r="123" ht="9.949999999999999" customFormat="1" customHeight="1" s="356">
      <c r="A123" s="395" t="inlineStr">
        <is>
          <t xml:space="preserve"> </t>
        </is>
      </c>
      <c r="B123" s="396" t="n"/>
      <c r="C123" s="397" t="n"/>
      <c r="D123" s="397" t="n"/>
      <c r="E123" s="398" t="n"/>
      <c r="F123" s="399" t="n"/>
      <c r="G123" s="400" t="n"/>
      <c r="H123" s="401" t="n"/>
      <c r="I123" s="402" t="n"/>
      <c r="J123" s="403" t="inlineStr">
        <is>
          <t>Qs  =</t>
        </is>
      </c>
      <c r="K123" s="404" t="n">
        <v>2</v>
      </c>
      <c r="L123" s="404">
        <f>(D119+E119)*2*G119</f>
        <v/>
      </c>
      <c r="M123" s="404" t="n">
        <v>0.9</v>
      </c>
      <c r="N123" s="404" t="n">
        <v>0.67</v>
      </c>
      <c r="O123" s="381" t="n">
        <v>32</v>
      </c>
      <c r="P123" s="404" t="n">
        <v>1</v>
      </c>
      <c r="Q123" s="383">
        <f>K123*L123*M123*N123*O123*P123</f>
        <v/>
      </c>
    </row>
    <row r="124" ht="9.949999999999999" customFormat="1" customHeight="1" s="356">
      <c r="A124" s="405" t="n"/>
      <c r="B124" s="406" t="n"/>
      <c r="C124" s="397" t="n"/>
      <c r="D124" s="397" t="n"/>
      <c r="E124" s="378" t="n"/>
      <c r="F124" s="256" t="n"/>
      <c r="G124" s="407" t="n"/>
      <c r="H124" s="397" t="n"/>
      <c r="I124" s="397" t="n"/>
      <c r="J124" s="397" t="n"/>
      <c r="K124" s="407" t="n"/>
      <c r="L124" s="408" t="n"/>
      <c r="M124" s="409" t="inlineStr">
        <is>
          <t xml:space="preserve">   TOPLAM ISI KAYBI =</t>
        </is>
      </c>
      <c r="N124" s="409" t="n"/>
      <c r="O124" s="410" t="n"/>
      <c r="P124" s="409" t="n"/>
      <c r="Q124" s="411">
        <f>Q121+Q123</f>
        <v/>
      </c>
    </row>
    <row r="125" ht="10.35" customFormat="1" customHeight="1" s="356">
      <c r="A125" s="359" t="n"/>
      <c r="B125" s="360" t="n"/>
      <c r="C125" s="360" t="n"/>
      <c r="D125" s="360" t="n"/>
      <c r="E125" s="360" t="n"/>
      <c r="F125" s="361" t="inlineStr">
        <is>
          <t>2</t>
        </is>
      </c>
      <c r="G125" s="362" t="inlineStr">
        <is>
          <t>0</t>
        </is>
      </c>
      <c r="H125" s="360" t="inlineStr">
        <is>
          <t>217</t>
        </is>
      </c>
      <c r="I125" s="363" t="inlineStr">
        <is>
          <t>DAİRE 4 HOL</t>
        </is>
      </c>
      <c r="J125" s="364" t="n"/>
      <c r="K125" s="360" t="inlineStr">
        <is>
          <t>18ºC</t>
        </is>
      </c>
      <c r="L125" s="360" t="n"/>
      <c r="M125" s="360" t="n"/>
      <c r="N125" s="360" t="n"/>
      <c r="O125" s="360" t="n"/>
      <c r="P125" s="360" t="n"/>
      <c r="Q125" s="365" t="n"/>
    </row>
    <row r="126" ht="9.949999999999999" customFormat="1" customHeight="1" s="356">
      <c r="A126" s="366" t="inlineStr">
        <is>
          <t>DD</t>
        </is>
      </c>
      <c r="B126" s="367" t="inlineStr">
        <is>
          <t>G</t>
        </is>
      </c>
      <c r="C126" s="368" t="n"/>
      <c r="D126" s="369" t="n">
        <v>2.5</v>
      </c>
      <c r="E126" s="369" t="n">
        <v>2.5</v>
      </c>
      <c r="F126" s="370">
        <f>IF(D126=0," ",D126*E126)</f>
        <v/>
      </c>
      <c r="G126" s="371" t="n">
        <v>1</v>
      </c>
      <c r="H126" s="372" t="n"/>
      <c r="I126" s="370">
        <f>IF(F126=" "," ",F126*G126-H126)</f>
        <v/>
      </c>
      <c r="J126" s="369" t="n">
        <v>0.344</v>
      </c>
      <c r="K126" s="371" t="n">
        <v>24</v>
      </c>
      <c r="L126" s="373">
        <f>IF(I126=" "," ",I126*J126*K126)</f>
        <v/>
      </c>
      <c r="M126" s="374" t="n">
        <v>7</v>
      </c>
      <c r="N126" s="371" t="n">
        <v>0</v>
      </c>
      <c r="O126" s="374" t="n">
        <v>-5</v>
      </c>
      <c r="P126" s="370">
        <f>IF(M126=" "," ",(1+(M126+N126+O126)/100))</f>
        <v/>
      </c>
      <c r="Q126" s="375">
        <f>IF(L126=" "," ",L126*P126)</f>
        <v/>
      </c>
    </row>
    <row r="127" ht="9.949999999999999" customFormat="1" customHeight="1" s="356">
      <c r="A127" s="366" t="inlineStr">
        <is>
          <t>DD25</t>
        </is>
      </c>
      <c r="B127" s="367" t="inlineStr">
        <is>
          <t>G</t>
        </is>
      </c>
      <c r="C127" s="368" t="n"/>
      <c r="D127" s="369">
        <f>D126</f>
        <v/>
      </c>
      <c r="E127" s="369" t="n">
        <v>0.5</v>
      </c>
      <c r="F127" s="370">
        <f>IF(D127=0," ",D127*E127)</f>
        <v/>
      </c>
      <c r="G127" s="371" t="n">
        <v>1</v>
      </c>
      <c r="H127" s="372" t="n"/>
      <c r="I127" s="370">
        <f>IF(F127=" "," ",F127*G127-H127)</f>
        <v/>
      </c>
      <c r="J127" s="369" t="n">
        <v>0.387</v>
      </c>
      <c r="K127" s="371" t="n">
        <v>24</v>
      </c>
      <c r="L127" s="373">
        <f>IF(I127=" "," ",I127*J127*K127)</f>
        <v/>
      </c>
      <c r="M127" s="374" t="n">
        <v>7</v>
      </c>
      <c r="N127" s="371" t="n">
        <v>0</v>
      </c>
      <c r="O127" s="374" t="n">
        <v>-5</v>
      </c>
      <c r="P127" s="370">
        <f>IF(M127=" "," ",(1+(M127+N127+O127)/100))</f>
        <v/>
      </c>
      <c r="Q127" s="375">
        <f>IF(L127=" "," ",L127*P127)</f>
        <v/>
      </c>
    </row>
    <row r="128" ht="9.949999999999999" customFormat="1" customHeight="1" s="356">
      <c r="A128" s="366" t="inlineStr">
        <is>
          <t>İDM</t>
        </is>
      </c>
      <c r="B128" s="367" t="inlineStr"/>
      <c r="C128" s="368" t="n"/>
      <c r="D128" s="369" t="n">
        <v>1.3</v>
      </c>
      <c r="E128" s="369" t="n">
        <v>3</v>
      </c>
      <c r="F128" s="370">
        <f>IF(D128=0," ",D128*E128)</f>
        <v/>
      </c>
      <c r="G128" s="371" t="n">
        <v>1</v>
      </c>
      <c r="H128" s="372">
        <f>F129*G129</f>
        <v/>
      </c>
      <c r="I128" s="370">
        <f>IF(F128=" "," ",F128*G128-H128)</f>
        <v/>
      </c>
      <c r="J128" s="369" t="n">
        <v>0.332</v>
      </c>
      <c r="K128" s="371" t="n">
        <v>8</v>
      </c>
      <c r="L128" s="373">
        <f>IF(I128=" "," ",I128*J128*K128)</f>
        <v/>
      </c>
      <c r="M128" s="374" t="n">
        <v>7</v>
      </c>
      <c r="N128" s="371" t="n">
        <v>0</v>
      </c>
      <c r="O128" s="374" t="n">
        <v>0</v>
      </c>
      <c r="P128" s="370">
        <f>IF(M128=" "," ",(1+(M128+N128+O128)/100))</f>
        <v/>
      </c>
      <c r="Q128" s="375">
        <f>IF(L128=" "," ",L128*P128)</f>
        <v/>
      </c>
    </row>
    <row r="129" ht="9.949999999999999" customFormat="1" customHeight="1" s="412">
      <c r="A129" s="366" t="inlineStr">
        <is>
          <t>DK</t>
        </is>
      </c>
      <c r="B129" s="367" t="inlineStr"/>
      <c r="C129" s="368" t="n"/>
      <c r="D129" s="369" t="n">
        <v>1</v>
      </c>
      <c r="E129" s="369" t="n">
        <v>2.2</v>
      </c>
      <c r="F129" s="370">
        <f>IF(D129=0," ",D129*E129)</f>
        <v/>
      </c>
      <c r="G129" s="371" t="n">
        <v>1</v>
      </c>
      <c r="H129" s="372" t="n"/>
      <c r="I129" s="370">
        <f>IF(F129=" "," ",F129*G129-H129)</f>
        <v/>
      </c>
      <c r="J129" s="369" t="n">
        <v>2</v>
      </c>
      <c r="K129" s="371" t="n">
        <v>8</v>
      </c>
      <c r="L129" s="373">
        <f>IF(I129=" "," ",I129*J129*K129)</f>
        <v/>
      </c>
      <c r="M129" s="374" t="n">
        <v>7</v>
      </c>
      <c r="N129" s="371" t="n">
        <v>0</v>
      </c>
      <c r="O129" s="374" t="n">
        <v>0</v>
      </c>
      <c r="P129" s="370">
        <f>IF(M129=" "," ",(1+(M129+N129+O129)/100))</f>
        <v/>
      </c>
      <c r="Q129" s="375">
        <f>IF(L129=" "," ",L129*P129)</f>
        <v/>
      </c>
    </row>
    <row r="130" ht="9.949999999999999" customFormat="1" customHeight="1" s="412">
      <c r="A130" s="366" t="inlineStr">
        <is>
          <t>Ta</t>
        </is>
      </c>
      <c r="B130" s="367" t="inlineStr"/>
      <c r="C130" s="368" t="n"/>
      <c r="D130" s="369" t="n">
        <v>11.86</v>
      </c>
      <c r="E130" s="369" t="n">
        <v>1</v>
      </c>
      <c r="F130" s="370">
        <f>IF(D130=0," ",D130*E130)</f>
        <v/>
      </c>
      <c r="G130" s="371" t="n">
        <v>1</v>
      </c>
      <c r="H130" s="372" t="n"/>
      <c r="I130" s="370">
        <f>IF(F130=" "," ",F130*G130-H130)</f>
        <v/>
      </c>
      <c r="J130" s="369" t="n">
        <v>0.266</v>
      </c>
      <c r="K130" s="371" t="n">
        <v>18</v>
      </c>
      <c r="L130" s="373">
        <f>IF(I130=" "," ",I130*J130*K130)</f>
        <v/>
      </c>
      <c r="M130" s="374" t="n">
        <v>7</v>
      </c>
      <c r="N130" s="371" t="n">
        <v>0</v>
      </c>
      <c r="O130" s="374" t="n">
        <v>0</v>
      </c>
      <c r="P130" s="370">
        <f>IF(M130=" "," ",(1+(M130+N130+O130)/100))</f>
        <v/>
      </c>
      <c r="Q130" s="375">
        <f>IF(L130=" "," ",L130*P130)</f>
        <v/>
      </c>
    </row>
    <row r="131" ht="9.949999999999999" customFormat="1" customHeight="1" s="351">
      <c r="A131" s="376" t="n"/>
      <c r="B131" s="377" t="n"/>
      <c r="C131" s="377" t="n"/>
      <c r="D131" s="378" t="n"/>
      <c r="E131" s="378" t="n"/>
      <c r="F131" s="378" t="n"/>
      <c r="G131" s="379" t="n"/>
      <c r="H131" s="378" t="n"/>
      <c r="I131" s="378" t="n"/>
      <c r="J131" s="378" t="n"/>
      <c r="K131" s="379" t="n"/>
      <c r="L131" s="380" t="n"/>
      <c r="M131" s="381" t="n"/>
      <c r="N131" s="381" t="n"/>
      <c r="O131" s="381" t="n"/>
      <c r="P131" s="382" t="n"/>
      <c r="Q131" s="383">
        <f>SUM(Q126:Q130)</f>
        <v/>
      </c>
    </row>
    <row r="132" ht="9.949999999999999" customHeight="1" s="244">
      <c r="A132" s="384" t="n"/>
      <c r="B132" s="385" t="n"/>
      <c r="C132" s="385" t="n"/>
      <c r="D132" s="386" t="n"/>
      <c r="E132" s="387" t="n"/>
      <c r="F132" s="388" t="n"/>
      <c r="G132" s="389" t="n"/>
      <c r="H132" s="388" t="n"/>
      <c r="I132" s="390" t="n"/>
      <c r="J132" s="391" t="inlineStr">
        <is>
          <t>Qs=</t>
        </is>
      </c>
      <c r="K132" s="390" t="inlineStr">
        <is>
          <t>S a</t>
        </is>
      </c>
      <c r="L132" s="388" t="inlineStr">
        <is>
          <t>L</t>
        </is>
      </c>
      <c r="M132" s="389" t="inlineStr">
        <is>
          <t>R</t>
        </is>
      </c>
      <c r="N132" s="392" t="inlineStr">
        <is>
          <t>H</t>
        </is>
      </c>
      <c r="O132" s="393" t="inlineStr">
        <is>
          <t>D  T</t>
        </is>
      </c>
      <c r="P132" s="389" t="inlineStr">
        <is>
          <t>Ze</t>
        </is>
      </c>
      <c r="Q132" s="394" t="n"/>
    </row>
    <row r="133" ht="9.949999999999999" customHeight="1" s="244">
      <c r="A133" s="395" t="inlineStr">
        <is>
          <t xml:space="preserve"> </t>
        </is>
      </c>
      <c r="C133" s="397" t="n"/>
      <c r="D133" s="397" t="n"/>
      <c r="E133" s="398" t="n"/>
      <c r="F133" s="399" t="n"/>
      <c r="G133" s="400" t="n"/>
      <c r="H133" s="401" t="n"/>
      <c r="I133" s="402" t="n"/>
      <c r="J133" s="403" t="inlineStr">
        <is>
          <t>Qs  =</t>
        </is>
      </c>
      <c r="K133" s="404" t="n">
        <v>2</v>
      </c>
      <c r="L133" s="404" t="n">
        <v>0</v>
      </c>
      <c r="M133" s="404" t="n">
        <v>0.9</v>
      </c>
      <c r="N133" s="404" t="n">
        <v>0.67</v>
      </c>
      <c r="O133" s="381" t="n">
        <v>24</v>
      </c>
      <c r="P133" s="404" t="n">
        <v>1</v>
      </c>
      <c r="Q133" s="383">
        <f>K133*L133*M133*N133*O133*P133</f>
        <v/>
      </c>
    </row>
    <row r="134" ht="9.949999999999999" customHeight="1" s="244">
      <c r="A134" s="405" t="n"/>
      <c r="B134" s="406" t="n"/>
      <c r="C134" s="397" t="n"/>
      <c r="D134" s="397" t="n"/>
      <c r="E134" s="378" t="n"/>
      <c r="F134" s="256" t="n"/>
      <c r="G134" s="407" t="n"/>
      <c r="H134" s="397" t="n"/>
      <c r="I134" s="397" t="n"/>
      <c r="J134" s="397" t="n"/>
      <c r="K134" s="407" t="n"/>
      <c r="L134" s="408" t="n"/>
      <c r="M134" s="409" t="inlineStr">
        <is>
          <t xml:space="preserve">   TOPLAM ISI KAYBI =</t>
        </is>
      </c>
      <c r="N134" s="409" t="n"/>
      <c r="O134" s="410" t="n"/>
      <c r="P134" s="409" t="n"/>
      <c r="Q134" s="411">
        <f>Q131+Q133</f>
        <v/>
      </c>
    </row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28">
    <mergeCell ref="M3:P3"/>
    <mergeCell ref="E106:F106"/>
    <mergeCell ref="E71:F71"/>
    <mergeCell ref="E42:F42"/>
    <mergeCell ref="I116:J116"/>
    <mergeCell ref="I61:J61"/>
    <mergeCell ref="E51:F51"/>
    <mergeCell ref="E87:F87"/>
    <mergeCell ref="E3:H3"/>
    <mergeCell ref="I32:J32"/>
    <mergeCell ref="I125:J125"/>
    <mergeCell ref="I72:J72"/>
    <mergeCell ref="I22:J22"/>
    <mergeCell ref="I97:J97"/>
    <mergeCell ref="E60:F60"/>
    <mergeCell ref="E31:F31"/>
    <mergeCell ref="I43:J43"/>
    <mergeCell ref="I107:J107"/>
    <mergeCell ref="I8:J8"/>
    <mergeCell ref="I52:J52"/>
    <mergeCell ref="I88:J88"/>
    <mergeCell ref="E124:F124"/>
    <mergeCell ref="I3:L3"/>
    <mergeCell ref="E134:F134"/>
    <mergeCell ref="A3:D3"/>
    <mergeCell ref="E115:F115"/>
    <mergeCell ref="E96:F96"/>
    <mergeCell ref="E21:F21"/>
  </mergeCells>
  <printOptions horizontalCentered="0" verticalCentered="0" headings="0" gridLines="0" gridLinesSet="1"/>
  <pageMargins left="0.196527777777778" right="0.157638888888889" top="0.315277777777778" bottom="0.315277777777778" header="0.511811023622047" footer="0.511811023622047"/>
  <pageSetup orientation="portrait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P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4625" ySplit="0" topLeftCell="A1" activePane="topLeft" state="split"/>
      <selection pane="topLeft" activeCell="F19" activeCellId="0" sqref="F19"/>
      <selection pane="topRight" activeCell="A1" activeCellId="0" sqref="A1"/>
    </sheetView>
  </sheetViews>
  <sheetFormatPr baseColWidth="8" defaultColWidth="9.13671875" defaultRowHeight="12.75" zeroHeight="0" outlineLevelRow="0"/>
  <cols>
    <col width="5.41" customWidth="1" style="463" min="1" max="1"/>
    <col width="20.99" customWidth="1" style="463" min="2" max="2"/>
    <col width="11.85" customWidth="1" style="463" min="3" max="3"/>
    <col width="10.13" customWidth="1" style="463" min="4" max="4"/>
    <col width="9.99" customWidth="1" style="463" min="5" max="5"/>
    <col width="9.85" customWidth="1" style="463" min="6" max="6"/>
    <col width="16.99" customWidth="1" style="463" min="7" max="7"/>
    <col width="3.28" customWidth="1" style="463" min="8" max="8"/>
    <col width="4.14" customWidth="1" style="463" min="9" max="10"/>
    <col width="3.99" customWidth="1" style="463" min="11" max="11"/>
    <col width="4.14" customWidth="1" style="463" min="12" max="16"/>
    <col width="9.140000000000001" customWidth="1" style="464" min="17" max="21"/>
    <col width="16.7" customWidth="1" style="464" min="22" max="22"/>
    <col width="9.140000000000001" customWidth="1" style="464" min="23" max="257"/>
  </cols>
  <sheetData>
    <row r="1" ht="12.75" customHeight="1" s="244">
      <c r="A1" s="465" t="inlineStr">
        <is>
          <t>ROTAŞ</t>
        </is>
      </c>
      <c r="B1" s="275" t="n"/>
      <c r="C1" s="466" t="inlineStr">
        <is>
          <t>MAHAL VE YERDEN ISITMA BORU BOYU ÇİZELGESİ</t>
        </is>
      </c>
      <c r="D1" s="250" t="n"/>
      <c r="E1" s="250" t="n"/>
      <c r="F1" s="250" t="n"/>
      <c r="G1" s="275" t="n"/>
      <c r="H1" s="466" t="inlineStr">
        <is>
          <t>SAYFA</t>
        </is>
      </c>
      <c r="I1" s="250" t="n"/>
      <c r="J1" s="250" t="n"/>
      <c r="K1" s="250" t="n"/>
      <c r="L1" s="250" t="n"/>
      <c r="M1" s="275" t="n"/>
      <c r="N1" s="466" t="n">
        <v>7</v>
      </c>
      <c r="O1" s="250" t="n"/>
      <c r="P1" s="275" t="n"/>
    </row>
    <row r="2" ht="8.25" customHeight="1" s="244">
      <c r="A2" s="467" t="n"/>
      <c r="B2" s="468" t="n"/>
      <c r="C2" s="467" t="n"/>
      <c r="G2" s="468" t="n"/>
      <c r="H2" s="278" t="n"/>
      <c r="I2" s="256" t="n"/>
      <c r="J2" s="256" t="n"/>
      <c r="K2" s="256" t="n"/>
      <c r="L2" s="256" t="n"/>
      <c r="M2" s="277" t="n"/>
      <c r="N2" s="278" t="n"/>
      <c r="O2" s="256" t="n"/>
      <c r="P2" s="277" t="n"/>
    </row>
    <row r="3" ht="5.25" customHeight="1" s="244">
      <c r="A3" s="467" t="n"/>
      <c r="B3" s="468" t="n"/>
      <c r="C3" s="467" t="n"/>
      <c r="G3" s="468" t="n"/>
      <c r="H3" s="466" t="inlineStr">
        <is>
          <t>TARİH</t>
        </is>
      </c>
      <c r="I3" s="250" t="n"/>
      <c r="J3" s="250" t="n"/>
      <c r="K3" s="250" t="n"/>
      <c r="L3" s="250" t="n"/>
      <c r="M3" s="275" t="n"/>
      <c r="N3" s="469" t="n">
        <v>46306</v>
      </c>
      <c r="O3" s="250" t="n"/>
      <c r="P3" s="275" t="n"/>
    </row>
    <row r="4" ht="15" customHeight="1" s="244">
      <c r="A4" s="278" t="n"/>
      <c r="B4" s="277" t="n"/>
      <c r="C4" s="278" t="n"/>
      <c r="D4" s="256" t="n"/>
      <c r="E4" s="256" t="n"/>
      <c r="F4" s="256" t="n"/>
      <c r="G4" s="277" t="n"/>
      <c r="H4" s="278" t="n"/>
      <c r="I4" s="256" t="n"/>
      <c r="J4" s="256" t="n"/>
      <c r="K4" s="256" t="n"/>
      <c r="L4" s="256" t="n"/>
      <c r="M4" s="277" t="n"/>
      <c r="N4" s="278" t="n"/>
      <c r="O4" s="256" t="n"/>
      <c r="P4" s="277" t="n"/>
    </row>
    <row r="5" ht="13.5" customHeight="1" s="244">
      <c r="A5" s="466" t="inlineStr">
        <is>
          <t>ODANIN</t>
        </is>
      </c>
      <c r="B5" s="260" t="n"/>
      <c r="C5" s="466" t="inlineStr">
        <is>
          <t>RADYATÖRLERİN</t>
        </is>
      </c>
      <c r="D5" s="264" t="n"/>
      <c r="E5" s="264" t="n"/>
      <c r="F5" s="264" t="n"/>
      <c r="G5" s="260" t="n"/>
      <c r="H5" s="466" t="inlineStr">
        <is>
          <t>TEFERRUATIN</t>
        </is>
      </c>
      <c r="I5" s="264" t="n"/>
      <c r="J5" s="264" t="n"/>
      <c r="K5" s="264" t="n"/>
      <c r="L5" s="264" t="n"/>
      <c r="M5" s="264" t="n"/>
      <c r="N5" s="264" t="n"/>
      <c r="O5" s="264" t="n"/>
      <c r="P5" s="260" t="n"/>
    </row>
    <row r="6" ht="12.75" customHeight="1" s="244">
      <c r="A6" s="466" t="inlineStr">
        <is>
          <t>NO</t>
        </is>
      </c>
      <c r="B6" s="466" t="inlineStr">
        <is>
          <t>ADI</t>
        </is>
      </c>
      <c r="C6" s="470" t="inlineStr">
        <is>
          <t>SICAKLIĞI</t>
        </is>
      </c>
      <c r="D6" s="465" t="inlineStr">
        <is>
          <t>ISI
KAYBI</t>
        </is>
      </c>
      <c r="E6" s="465" t="inlineStr">
        <is>
          <t>BİRİM 
VERİMİ</t>
        </is>
      </c>
      <c r="F6" s="466" t="inlineStr">
        <is>
          <t>VERİMİ</t>
        </is>
      </c>
      <c r="G6" s="466" t="inlineStr">
        <is>
          <t>BORU UZUNLUĞU</t>
        </is>
      </c>
      <c r="H6" s="471" t="inlineStr">
        <is>
          <t>GRUP</t>
        </is>
      </c>
      <c r="I6" s="471" t="inlineStr">
        <is>
          <t>KONSOL</t>
        </is>
      </c>
      <c r="J6" s="471" t="inlineStr">
        <is>
          <t>KELEPÇE</t>
        </is>
      </c>
      <c r="K6" s="466" t="inlineStr">
        <is>
          <t>MUSLUK</t>
        </is>
      </c>
      <c r="L6" s="264" t="n"/>
      <c r="M6" s="260" t="n"/>
      <c r="N6" s="466" t="inlineStr">
        <is>
          <t>REKOR</t>
        </is>
      </c>
      <c r="O6" s="264" t="n"/>
      <c r="P6" s="260" t="n"/>
    </row>
    <row r="7" ht="12.75" customHeight="1" s="244">
      <c r="A7" s="472" t="n"/>
      <c r="B7" s="472" t="n"/>
      <c r="C7" s="472" t="n"/>
      <c r="D7" s="472" t="n"/>
      <c r="E7" s="472" t="n"/>
      <c r="F7" s="472" t="n"/>
      <c r="G7" s="472" t="n"/>
      <c r="H7" s="472" t="n"/>
      <c r="I7" s="472" t="n"/>
      <c r="J7" s="472" t="n"/>
      <c r="K7" s="473" t="inlineStr">
        <is>
          <t>1/2"</t>
        </is>
      </c>
      <c r="L7" s="473" t="inlineStr">
        <is>
          <t>3/4"</t>
        </is>
      </c>
      <c r="M7" s="473" t="inlineStr">
        <is>
          <t>1"</t>
        </is>
      </c>
      <c r="N7" s="473" t="inlineStr">
        <is>
          <t>1/2"</t>
        </is>
      </c>
      <c r="O7" s="473" t="inlineStr">
        <is>
          <t>3/4"</t>
        </is>
      </c>
      <c r="P7" s="473" t="inlineStr">
        <is>
          <t>1"</t>
        </is>
      </c>
    </row>
    <row r="8" ht="6" customHeight="1" s="244">
      <c r="A8" s="472" t="n"/>
      <c r="B8" s="472" t="n"/>
      <c r="C8" s="303" t="n"/>
      <c r="D8" s="303" t="n"/>
      <c r="E8" s="303" t="n"/>
      <c r="F8" s="303" t="n"/>
      <c r="G8" s="303" t="n"/>
      <c r="H8" s="472" t="n"/>
      <c r="I8" s="472" t="n"/>
      <c r="J8" s="472" t="n"/>
      <c r="K8" s="472" t="n"/>
      <c r="L8" s="472" t="n"/>
      <c r="M8" s="472" t="n"/>
      <c r="N8" s="472" t="n"/>
      <c r="O8" s="472" t="n"/>
      <c r="P8" s="472" t="n"/>
    </row>
    <row r="9" ht="12.75" customHeight="1" s="244">
      <c r="A9" s="303" t="n"/>
      <c r="B9" s="303" t="n"/>
      <c r="C9" s="474" t="inlineStr">
        <is>
          <t>0c</t>
        </is>
      </c>
      <c r="D9" s="466" t="inlineStr">
        <is>
          <t>W/h</t>
        </is>
      </c>
      <c r="E9" s="466" t="inlineStr">
        <is>
          <t>W/m2K</t>
        </is>
      </c>
      <c r="F9" s="466" t="inlineStr">
        <is>
          <t>W/m2K</t>
        </is>
      </c>
      <c r="G9" s="466" t="inlineStr">
        <is>
          <t>m</t>
        </is>
      </c>
      <c r="H9" s="303" t="n"/>
      <c r="I9" s="303" t="n"/>
      <c r="J9" s="303" t="n"/>
      <c r="K9" s="303" t="n"/>
      <c r="L9" s="303" t="n"/>
      <c r="M9" s="303" t="n"/>
      <c r="N9" s="303" t="n"/>
      <c r="O9" s="303" t="n"/>
      <c r="P9" s="303" t="n"/>
    </row>
    <row r="10" ht="12.75" customHeight="1" s="244">
      <c r="A10" s="475" t="inlineStr">
        <is>
          <t>101</t>
        </is>
      </c>
      <c r="B10" s="476" t="inlineStr">
        <is>
          <t>DAİRE 1 SALON</t>
        </is>
      </c>
      <c r="C10" s="477" t="inlineStr">
        <is>
          <t>22</t>
        </is>
      </c>
      <c r="D10" s="478">
        <f>'1 NK'!Q20</f>
        <v/>
      </c>
      <c r="E10" s="479" t="n">
        <v>17.5</v>
      </c>
      <c r="F10" s="478">
        <f>'YERDEN ISITMA'!N10</f>
        <v/>
      </c>
      <c r="G10" s="475" t="n">
        <v>127.26</v>
      </c>
      <c r="H10" s="475" t="n">
        <v>3</v>
      </c>
      <c r="I10" s="475" t="inlineStr">
        <is>
          <t>ZEMİNDEN ISITMA</t>
        </is>
      </c>
      <c r="J10" s="264" t="n"/>
      <c r="K10" s="264" t="n"/>
      <c r="L10" s="264" t="n"/>
      <c r="M10" s="264" t="n"/>
      <c r="N10" s="264" t="n"/>
      <c r="O10" s="264" t="n"/>
      <c r="P10" s="260" t="n"/>
    </row>
    <row r="11" ht="12.75" customHeight="1" s="244">
      <c r="A11" s="475" t="inlineStr">
        <is>
          <t>102</t>
        </is>
      </c>
      <c r="B11" s="476" t="inlineStr">
        <is>
          <t>DAİRE 1 MUTFAK</t>
        </is>
      </c>
      <c r="C11" s="477" t="inlineStr">
        <is>
          <t>20</t>
        </is>
      </c>
      <c r="D11" s="478">
        <f>'1 NK'!Q29</f>
        <v/>
      </c>
      <c r="E11" s="479" t="n">
        <v>17.5</v>
      </c>
      <c r="F11" s="478">
        <f>'YERDEN ISITMA'!N11</f>
        <v/>
      </c>
      <c r="G11" s="475" t="n">
        <v>62.36</v>
      </c>
      <c r="H11" s="475" t="n">
        <v>1</v>
      </c>
      <c r="I11" s="475" t="inlineStr">
        <is>
          <t>ZEMİNDEN ISITMA</t>
        </is>
      </c>
      <c r="J11" s="264" t="n"/>
      <c r="K11" s="264" t="n"/>
      <c r="L11" s="264" t="n"/>
      <c r="M11" s="264" t="n"/>
      <c r="N11" s="264" t="n"/>
      <c r="O11" s="264" t="n"/>
      <c r="P11" s="260" t="n"/>
    </row>
    <row r="12" ht="12.75" customHeight="1" s="244">
      <c r="A12" s="475" t="inlineStr">
        <is>
          <t>103</t>
        </is>
      </c>
      <c r="B12" s="476" t="inlineStr">
        <is>
          <t>DAİRE 1 YATAK ODASI</t>
        </is>
      </c>
      <c r="C12" s="477" t="inlineStr">
        <is>
          <t>20</t>
        </is>
      </c>
      <c r="D12" s="478">
        <f>'1 NK'!Q39</f>
        <v/>
      </c>
      <c r="E12" s="479" t="n">
        <v>17.5</v>
      </c>
      <c r="F12" s="478">
        <f>'YERDEN ISITMA'!N12</f>
        <v/>
      </c>
      <c r="G12" s="475" t="n">
        <v>63.68</v>
      </c>
      <c r="H12" s="475" t="n">
        <v>1</v>
      </c>
      <c r="I12" s="475" t="inlineStr">
        <is>
          <t>ZEMİNDEN ISITMA</t>
        </is>
      </c>
      <c r="J12" s="264" t="n"/>
      <c r="K12" s="264" t="n"/>
      <c r="L12" s="264" t="n"/>
      <c r="M12" s="264" t="n"/>
      <c r="N12" s="264" t="n"/>
      <c r="O12" s="264" t="n"/>
      <c r="P12" s="260" t="n"/>
    </row>
    <row r="13" ht="12.75" customHeight="1" s="244">
      <c r="A13" s="475" t="inlineStr">
        <is>
          <t>104</t>
        </is>
      </c>
      <c r="B13" s="476" t="inlineStr">
        <is>
          <t>DAİRE 1 ODA</t>
        </is>
      </c>
      <c r="C13" s="477" t="inlineStr">
        <is>
          <t>20</t>
        </is>
      </c>
      <c r="D13" s="478">
        <f>'1 NK'!Q47</f>
        <v/>
      </c>
      <c r="E13" s="479" t="n">
        <v>17.5</v>
      </c>
      <c r="F13" s="478">
        <f>'YERDEN ISITMA'!N13</f>
        <v/>
      </c>
      <c r="G13" s="475" t="n">
        <v>48.9</v>
      </c>
      <c r="H13" s="475" t="n">
        <v>1</v>
      </c>
      <c r="I13" s="475" t="inlineStr">
        <is>
          <t>ZEMİNDEN ISITMA</t>
        </is>
      </c>
      <c r="J13" s="264" t="n"/>
      <c r="K13" s="264" t="n"/>
      <c r="L13" s="264" t="n"/>
      <c r="M13" s="264" t="n"/>
      <c r="N13" s="264" t="n"/>
      <c r="O13" s="264" t="n"/>
      <c r="P13" s="260" t="n"/>
    </row>
    <row r="14" ht="12.75" customHeight="1" s="244">
      <c r="A14" s="475" t="inlineStr">
        <is>
          <t>105</t>
        </is>
      </c>
      <c r="B14" s="476" t="inlineStr">
        <is>
          <t>DAİRE 1 BANYO</t>
        </is>
      </c>
      <c r="C14" s="477" t="inlineStr">
        <is>
          <t>26</t>
        </is>
      </c>
      <c r="D14" s="478">
        <f>'1 NK'!Q55</f>
        <v/>
      </c>
      <c r="E14" s="479" t="n">
        <v>17.5</v>
      </c>
      <c r="F14" s="478">
        <f>'YERDEN ISITMA'!N14</f>
        <v/>
      </c>
      <c r="G14" s="475" t="n">
        <v>40.2</v>
      </c>
      <c r="H14" s="475" t="n">
        <v>1</v>
      </c>
      <c r="I14" s="475" t="inlineStr">
        <is>
          <t>ZEMİNDEN ISITMA</t>
        </is>
      </c>
      <c r="J14" s="264" t="n"/>
      <c r="K14" s="264" t="n"/>
      <c r="L14" s="264" t="n"/>
      <c r="M14" s="264" t="n"/>
      <c r="N14" s="264" t="n"/>
      <c r="O14" s="264" t="n"/>
      <c r="P14" s="260" t="n"/>
    </row>
    <row r="15" ht="12.75" customHeight="1" s="244">
      <c r="A15" s="475" t="inlineStr">
        <is>
          <t>107</t>
        </is>
      </c>
      <c r="B15" s="476" t="inlineStr">
        <is>
          <t>DAİRE 1 HOL</t>
        </is>
      </c>
      <c r="C15" s="477" t="inlineStr">
        <is>
          <t>18</t>
        </is>
      </c>
      <c r="D15" s="478">
        <f>'1 NK'!Q65</f>
        <v/>
      </c>
      <c r="E15" s="479" t="n">
        <v>17.5</v>
      </c>
      <c r="F15" s="478">
        <f>'YERDEN ISITMA'!N15</f>
        <v/>
      </c>
      <c r="G15" s="475" t="n">
        <v>11.56</v>
      </c>
      <c r="H15" s="475" t="n">
        <v>1</v>
      </c>
      <c r="I15" s="475" t="inlineStr">
        <is>
          <t>ZEMİNDEN ISITMA (BAĞLANTI BORULARI)</t>
        </is>
      </c>
      <c r="J15" s="264" t="n"/>
      <c r="K15" s="264" t="n"/>
      <c r="L15" s="264" t="n"/>
      <c r="M15" s="264" t="n"/>
      <c r="N15" s="264" t="n"/>
      <c r="O15" s="264" t="n"/>
      <c r="P15" s="260" t="n"/>
    </row>
    <row r="16" ht="12.75" customHeight="1" s="244">
      <c r="A16" s="475" t="inlineStr">
        <is>
          <t>111</t>
        </is>
      </c>
      <c r="B16" s="476" t="inlineStr">
        <is>
          <t>DAİRE 2 SALON</t>
        </is>
      </c>
      <c r="C16" s="477" t="inlineStr">
        <is>
          <t>22</t>
        </is>
      </c>
      <c r="D16" s="478">
        <f>'1 NK'!Q80</f>
        <v/>
      </c>
      <c r="E16" s="479" t="n">
        <v>17.5</v>
      </c>
      <c r="F16" s="478">
        <f>'YERDEN ISITMA'!N16</f>
        <v/>
      </c>
      <c r="G16" s="475" t="n">
        <v>114.56</v>
      </c>
      <c r="H16" s="475" t="n">
        <v>2</v>
      </c>
      <c r="I16" s="475" t="inlineStr">
        <is>
          <t>ZEMİNDEN ISITMA</t>
        </is>
      </c>
      <c r="J16" s="264" t="n"/>
      <c r="K16" s="264" t="n"/>
      <c r="L16" s="264" t="n"/>
      <c r="M16" s="264" t="n"/>
      <c r="N16" s="264" t="n"/>
      <c r="O16" s="264" t="n"/>
      <c r="P16" s="260" t="n"/>
    </row>
    <row r="17" ht="12.75" customHeight="1" s="244">
      <c r="A17" s="475" t="inlineStr">
        <is>
          <t>112</t>
        </is>
      </c>
      <c r="B17" s="476" t="inlineStr">
        <is>
          <t>DAİRE 2 MUTFAK</t>
        </is>
      </c>
      <c r="C17" s="477" t="inlineStr">
        <is>
          <t>20</t>
        </is>
      </c>
      <c r="D17" s="478">
        <f>'1 NK'!Q88</f>
        <v/>
      </c>
      <c r="E17" s="479" t="n">
        <v>17.5</v>
      </c>
      <c r="F17" s="478">
        <f>'YERDEN ISITMA'!N17</f>
        <v/>
      </c>
      <c r="G17" s="475" t="n">
        <v>67.08</v>
      </c>
      <c r="H17" s="475" t="n">
        <v>1</v>
      </c>
      <c r="I17" s="475" t="inlineStr">
        <is>
          <t>ZEMİNDEN ISITMA</t>
        </is>
      </c>
      <c r="J17" s="264" t="n"/>
      <c r="K17" s="264" t="n"/>
      <c r="L17" s="264" t="n"/>
      <c r="M17" s="264" t="n"/>
      <c r="N17" s="264" t="n"/>
      <c r="O17" s="264" t="n"/>
      <c r="P17" s="260" t="n"/>
    </row>
    <row r="18" ht="12.75" customHeight="1" s="244">
      <c r="A18" s="475" t="inlineStr">
        <is>
          <t>113</t>
        </is>
      </c>
      <c r="B18" s="476" t="inlineStr">
        <is>
          <t>DAİRE 2 YATAK ODASI</t>
        </is>
      </c>
      <c r="C18" s="477" t="inlineStr">
        <is>
          <t>20</t>
        </is>
      </c>
      <c r="D18" s="478">
        <f>'1 NK'!Q97</f>
        <v/>
      </c>
      <c r="E18" s="479" t="n">
        <v>17.5</v>
      </c>
      <c r="F18" s="478">
        <f>'YERDEN ISITMA'!N18</f>
        <v/>
      </c>
      <c r="G18" s="475" t="n">
        <v>65.3</v>
      </c>
      <c r="H18" s="475" t="n">
        <v>1</v>
      </c>
      <c r="I18" s="475" t="inlineStr">
        <is>
          <t>ZEMİNDEN ISITMA</t>
        </is>
      </c>
      <c r="J18" s="264" t="n"/>
      <c r="K18" s="264" t="n"/>
      <c r="L18" s="264" t="n"/>
      <c r="M18" s="264" t="n"/>
      <c r="N18" s="264" t="n"/>
      <c r="O18" s="264" t="n"/>
      <c r="P18" s="260" t="n"/>
    </row>
    <row r="19" ht="12.75" customHeight="1" s="244">
      <c r="A19" s="475" t="inlineStr">
        <is>
          <t>114</t>
        </is>
      </c>
      <c r="B19" s="476" t="inlineStr">
        <is>
          <t>DAİRE 2 ODA</t>
        </is>
      </c>
      <c r="C19" s="477" t="inlineStr">
        <is>
          <t>20</t>
        </is>
      </c>
      <c r="D19" s="478">
        <f>'1 NK'!Q105</f>
        <v/>
      </c>
      <c r="E19" s="479" t="n">
        <v>17.5</v>
      </c>
      <c r="F19" s="478">
        <f>'YERDEN ISITMA'!N19</f>
        <v/>
      </c>
      <c r="G19" s="475" t="n">
        <v>46.5</v>
      </c>
      <c r="H19" s="475" t="n">
        <v>1</v>
      </c>
      <c r="I19" s="475" t="inlineStr">
        <is>
          <t>ZEMİNDEN ISITMA</t>
        </is>
      </c>
      <c r="J19" s="264" t="n"/>
      <c r="K19" s="264" t="n"/>
      <c r="L19" s="264" t="n"/>
      <c r="M19" s="264" t="n"/>
      <c r="N19" s="264" t="n"/>
      <c r="O19" s="264" t="n"/>
      <c r="P19" s="260" t="n"/>
    </row>
    <row r="20" ht="12.75" customHeight="1" s="244">
      <c r="A20" s="475" t="inlineStr">
        <is>
          <t>115</t>
        </is>
      </c>
      <c r="B20" s="476" t="inlineStr">
        <is>
          <t>DAİRE 2 BANYO</t>
        </is>
      </c>
      <c r="C20" s="477" t="inlineStr">
        <is>
          <t>26</t>
        </is>
      </c>
      <c r="D20" s="478">
        <f>'1 NK'!Q113</f>
        <v/>
      </c>
      <c r="E20" s="479" t="n">
        <v>17.5</v>
      </c>
      <c r="F20" s="478">
        <f>'YERDEN ISITMA'!N20</f>
        <v/>
      </c>
      <c r="G20" s="475" t="n">
        <v>29.56</v>
      </c>
      <c r="H20" s="475" t="n">
        <v>1</v>
      </c>
      <c r="I20" s="475" t="inlineStr">
        <is>
          <t>ZEMİNDEN ISITMA</t>
        </is>
      </c>
      <c r="J20" s="264" t="n"/>
      <c r="K20" s="264" t="n"/>
      <c r="L20" s="264" t="n"/>
      <c r="M20" s="264" t="n"/>
      <c r="N20" s="264" t="n"/>
      <c r="O20" s="264" t="n"/>
      <c r="P20" s="260" t="n"/>
    </row>
    <row r="21" ht="12.75" customHeight="1" s="244">
      <c r="A21" s="475" t="inlineStr">
        <is>
          <t>117</t>
        </is>
      </c>
      <c r="B21" s="476" t="inlineStr">
        <is>
          <t>DAİRE 2 HOL</t>
        </is>
      </c>
      <c r="C21" s="477" t="inlineStr">
        <is>
          <t>18</t>
        </is>
      </c>
      <c r="D21" s="478">
        <f>'1 NK'!Q122</f>
        <v/>
      </c>
      <c r="E21" s="479" t="n">
        <v>17.5</v>
      </c>
      <c r="F21" s="478">
        <f>'YERDEN ISITMA'!N21</f>
        <v/>
      </c>
      <c r="G21" s="475" t="n">
        <v>18.7</v>
      </c>
      <c r="H21" s="475" t="n">
        <v>1</v>
      </c>
      <c r="I21" s="475" t="inlineStr">
        <is>
          <t>ZEMİNDEN ISITMA (BAĞLANTI BORULARI)</t>
        </is>
      </c>
      <c r="J21" s="264" t="n"/>
      <c r="K21" s="264" t="n"/>
      <c r="L21" s="264" t="n"/>
      <c r="M21" s="264" t="n"/>
      <c r="N21" s="264" t="n"/>
      <c r="O21" s="264" t="n"/>
      <c r="P21" s="260" t="n"/>
    </row>
    <row r="22" ht="12.75" customHeight="1" s="244">
      <c r="A22" s="475" t="n"/>
      <c r="B22" s="475" t="n"/>
      <c r="C22" s="477" t="n"/>
      <c r="D22" s="478" t="n"/>
      <c r="E22" s="480" t="inlineStr">
        <is>
          <t>TOPLAM =</t>
        </is>
      </c>
      <c r="F22" s="481">
        <f>SUM(F10:F21)</f>
        <v/>
      </c>
      <c r="G22" s="475" t="inlineStr">
        <is>
          <t>watt</t>
        </is>
      </c>
      <c r="H22" s="475" t="n"/>
      <c r="I22" s="475" t="n"/>
      <c r="J22" s="482" t="n"/>
      <c r="K22" s="482" t="n"/>
      <c r="L22" s="482" t="n"/>
      <c r="M22" s="482" t="n"/>
      <c r="N22" s="482" t="n"/>
      <c r="O22" s="482" t="n"/>
      <c r="P22" s="482" t="n"/>
    </row>
    <row r="23" ht="12.75" customHeight="1" s="244">
      <c r="A23" s="475" t="inlineStr">
        <is>
          <t>201</t>
        </is>
      </c>
      <c r="B23" s="476" t="inlineStr">
        <is>
          <t>DAİRE 3 SALON</t>
        </is>
      </c>
      <c r="C23" s="477" t="inlineStr">
        <is>
          <t>22</t>
        </is>
      </c>
      <c r="D23" s="478">
        <f>'2 NK'!Q21</f>
        <v/>
      </c>
      <c r="E23" s="479" t="n">
        <v>17.5</v>
      </c>
      <c r="F23" s="478">
        <f>'YERDEN ISITMA'!N23</f>
        <v/>
      </c>
      <c r="G23" s="475" t="n">
        <v>127.26</v>
      </c>
      <c r="H23" s="475" t="n">
        <v>3</v>
      </c>
      <c r="I23" s="475" t="inlineStr">
        <is>
          <t>ZEMİNDEN ISITMA</t>
        </is>
      </c>
      <c r="J23" s="264" t="n"/>
      <c r="K23" s="264" t="n"/>
      <c r="L23" s="264" t="n"/>
      <c r="M23" s="264" t="n"/>
      <c r="N23" s="264" t="n"/>
      <c r="O23" s="264" t="n"/>
      <c r="P23" s="260" t="n"/>
    </row>
    <row r="24" ht="12.75" customHeight="1" s="244">
      <c r="A24" s="475" t="inlineStr">
        <is>
          <t>202</t>
        </is>
      </c>
      <c r="B24" s="476" t="inlineStr">
        <is>
          <t>DAİRE 3 MUTFAK</t>
        </is>
      </c>
      <c r="C24" s="477" t="inlineStr">
        <is>
          <t>20</t>
        </is>
      </c>
      <c r="D24" s="478">
        <f>'2 NK'!Q31</f>
        <v/>
      </c>
      <c r="E24" s="479" t="n">
        <v>17.5</v>
      </c>
      <c r="F24" s="478">
        <f>'YERDEN ISITMA'!N24</f>
        <v/>
      </c>
      <c r="G24" s="475" t="n">
        <v>62.36</v>
      </c>
      <c r="H24" s="475" t="n">
        <v>1</v>
      </c>
      <c r="I24" s="475" t="inlineStr">
        <is>
          <t>ZEMİNDEN ISITMA</t>
        </is>
      </c>
      <c r="J24" s="264" t="n"/>
      <c r="K24" s="264" t="n"/>
      <c r="L24" s="264" t="n"/>
      <c r="M24" s="264" t="n"/>
      <c r="N24" s="264" t="n"/>
      <c r="O24" s="264" t="n"/>
      <c r="P24" s="260" t="n"/>
    </row>
    <row r="25">
      <c r="A25" s="482" t="inlineStr">
        <is>
          <t>203</t>
        </is>
      </c>
      <c r="B25" s="483" t="inlineStr">
        <is>
          <t>DAİRE 3 YATAK ODASI</t>
        </is>
      </c>
      <c r="C25" s="484" t="inlineStr">
        <is>
          <t>20</t>
        </is>
      </c>
      <c r="D25" s="485">
        <f>'2 NK'!Q42</f>
        <v/>
      </c>
      <c r="E25" s="486" t="n">
        <v>17.5</v>
      </c>
      <c r="F25" s="485">
        <f>'YERDEN ISITMA'!N25</f>
        <v/>
      </c>
      <c r="G25" s="482" t="n">
        <v>63.68</v>
      </c>
      <c r="H25" s="482" t="n">
        <v>1</v>
      </c>
      <c r="I25" s="482" t="inlineStr">
        <is>
          <t>ZEMİNDEN ISITMA</t>
        </is>
      </c>
      <c r="J25" s="264" t="n"/>
      <c r="K25" s="264" t="n"/>
      <c r="L25" s="264" t="n"/>
      <c r="M25" s="264" t="n"/>
      <c r="N25" s="264" t="n"/>
      <c r="O25" s="264" t="n"/>
      <c r="P25" s="260" t="n"/>
    </row>
    <row r="26">
      <c r="A26" s="482" t="inlineStr">
        <is>
          <t>204</t>
        </is>
      </c>
      <c r="B26" s="483" t="inlineStr">
        <is>
          <t>DAİRE 3 ODA</t>
        </is>
      </c>
      <c r="C26" s="484" t="inlineStr">
        <is>
          <t>20</t>
        </is>
      </c>
      <c r="D26" s="485">
        <f>'2 NK'!Q51</f>
        <v/>
      </c>
      <c r="E26" s="486" t="n">
        <v>17.5</v>
      </c>
      <c r="F26" s="485">
        <f>'YERDEN ISITMA'!N26</f>
        <v/>
      </c>
      <c r="G26" s="482" t="n">
        <v>48.9</v>
      </c>
      <c r="H26" s="482" t="n">
        <v>1</v>
      </c>
      <c r="I26" s="482" t="inlineStr">
        <is>
          <t>ZEMİNDEN ISITMA</t>
        </is>
      </c>
      <c r="J26" s="264" t="n"/>
      <c r="K26" s="264" t="n"/>
      <c r="L26" s="264" t="n"/>
      <c r="M26" s="264" t="n"/>
      <c r="N26" s="264" t="n"/>
      <c r="O26" s="264" t="n"/>
      <c r="P26" s="260" t="n"/>
    </row>
    <row r="27">
      <c r="A27" s="482" t="inlineStr">
        <is>
          <t>205</t>
        </is>
      </c>
      <c r="B27" s="483" t="inlineStr">
        <is>
          <t>DAİRE 3 BANYO</t>
        </is>
      </c>
      <c r="C27" s="484" t="inlineStr">
        <is>
          <t>26</t>
        </is>
      </c>
      <c r="D27" s="485">
        <f>'2 NK'!Q60</f>
        <v/>
      </c>
      <c r="E27" s="486" t="n">
        <v>17.5</v>
      </c>
      <c r="F27" s="485">
        <f>'YERDEN ISITMA'!N27</f>
        <v/>
      </c>
      <c r="G27" s="482" t="n">
        <v>40.2</v>
      </c>
      <c r="H27" s="482" t="n">
        <v>1</v>
      </c>
      <c r="I27" s="482" t="inlineStr">
        <is>
          <t>ZEMİNDEN ISITMA</t>
        </is>
      </c>
      <c r="J27" s="264" t="n"/>
      <c r="K27" s="264" t="n"/>
      <c r="L27" s="264" t="n"/>
      <c r="M27" s="264" t="n"/>
      <c r="N27" s="264" t="n"/>
      <c r="O27" s="264" t="n"/>
      <c r="P27" s="260" t="n"/>
    </row>
    <row r="28">
      <c r="A28" s="482" t="inlineStr">
        <is>
          <t>207</t>
        </is>
      </c>
      <c r="B28" s="483" t="inlineStr">
        <is>
          <t>DAİRE 3 HOL</t>
        </is>
      </c>
      <c r="C28" s="484" t="inlineStr">
        <is>
          <t>18</t>
        </is>
      </c>
      <c r="D28" s="485">
        <f>'2 NK'!Q71</f>
        <v/>
      </c>
      <c r="E28" s="486" t="n">
        <v>17.5</v>
      </c>
      <c r="F28" s="485">
        <f>'YERDEN ISITMA'!N28</f>
        <v/>
      </c>
      <c r="G28" s="482" t="n">
        <v>11.56</v>
      </c>
      <c r="H28" s="482" t="n">
        <v>1</v>
      </c>
      <c r="I28" s="482" t="inlineStr">
        <is>
          <t>ZEMİNDEN ISITMA (BAĞLANTI BORULARI)</t>
        </is>
      </c>
      <c r="J28" s="264" t="n"/>
      <c r="K28" s="264" t="n"/>
      <c r="L28" s="264" t="n"/>
      <c r="M28" s="264" t="n"/>
      <c r="N28" s="264" t="n"/>
      <c r="O28" s="264" t="n"/>
      <c r="P28" s="260" t="n"/>
    </row>
    <row r="29">
      <c r="A29" s="482" t="inlineStr">
        <is>
          <t>211</t>
        </is>
      </c>
      <c r="B29" s="483" t="inlineStr">
        <is>
          <t>DAİRE 4 SALON</t>
        </is>
      </c>
      <c r="C29" s="484" t="inlineStr">
        <is>
          <t>22</t>
        </is>
      </c>
      <c r="D29" s="485">
        <f>'2 NK'!Q87</f>
        <v/>
      </c>
      <c r="E29" s="486" t="n">
        <v>17.5</v>
      </c>
      <c r="F29" s="485">
        <f>'YERDEN ISITMA'!N29</f>
        <v/>
      </c>
      <c r="G29" s="482" t="n">
        <v>114.56</v>
      </c>
      <c r="H29" s="482" t="n">
        <v>2</v>
      </c>
      <c r="I29" s="482" t="inlineStr">
        <is>
          <t>ZEMİNDEN ISITMA</t>
        </is>
      </c>
      <c r="J29" s="264" t="n"/>
      <c r="K29" s="264" t="n"/>
      <c r="L29" s="264" t="n"/>
      <c r="M29" s="264" t="n"/>
      <c r="N29" s="264" t="n"/>
      <c r="O29" s="264" t="n"/>
      <c r="P29" s="260" t="n"/>
    </row>
    <row r="30">
      <c r="A30" s="482" t="inlineStr">
        <is>
          <t>212</t>
        </is>
      </c>
      <c r="B30" s="483" t="inlineStr">
        <is>
          <t>DAİRE 4 MUTFAK</t>
        </is>
      </c>
      <c r="C30" s="484" t="inlineStr">
        <is>
          <t>20</t>
        </is>
      </c>
      <c r="D30" s="485">
        <f>'2 NK'!Q96</f>
        <v/>
      </c>
      <c r="E30" s="486" t="n">
        <v>17.5</v>
      </c>
      <c r="F30" s="485">
        <f>'YERDEN ISITMA'!N30</f>
        <v/>
      </c>
      <c r="G30" s="482" t="n">
        <v>67.08</v>
      </c>
      <c r="H30" s="482" t="n">
        <v>1</v>
      </c>
      <c r="I30" s="482" t="inlineStr">
        <is>
          <t>ZEMİNDEN ISITMA</t>
        </is>
      </c>
      <c r="J30" s="264" t="n"/>
      <c r="K30" s="264" t="n"/>
      <c r="L30" s="264" t="n"/>
      <c r="M30" s="264" t="n"/>
      <c r="N30" s="264" t="n"/>
      <c r="O30" s="264" t="n"/>
      <c r="P30" s="260" t="n"/>
    </row>
    <row r="31">
      <c r="A31" s="482" t="inlineStr">
        <is>
          <t>213</t>
        </is>
      </c>
      <c r="B31" s="483" t="inlineStr">
        <is>
          <t>DAİRE 4 YATAK ODASI</t>
        </is>
      </c>
      <c r="C31" s="484" t="inlineStr">
        <is>
          <t>20</t>
        </is>
      </c>
      <c r="D31" s="485">
        <f>'2 NK'!Q106</f>
        <v/>
      </c>
      <c r="E31" s="486" t="n">
        <v>17.5</v>
      </c>
      <c r="F31" s="485">
        <f>'YERDEN ISITMA'!N31</f>
        <v/>
      </c>
      <c r="G31" s="482" t="n">
        <v>65.3</v>
      </c>
      <c r="H31" s="482" t="n">
        <v>1</v>
      </c>
      <c r="I31" s="482" t="inlineStr">
        <is>
          <t>ZEMİNDEN ISITMA</t>
        </is>
      </c>
      <c r="J31" s="264" t="n"/>
      <c r="K31" s="264" t="n"/>
      <c r="L31" s="264" t="n"/>
      <c r="M31" s="264" t="n"/>
      <c r="N31" s="264" t="n"/>
      <c r="O31" s="264" t="n"/>
      <c r="P31" s="260" t="n"/>
    </row>
    <row r="32">
      <c r="A32" s="482" t="inlineStr">
        <is>
          <t>214</t>
        </is>
      </c>
      <c r="B32" s="483" t="inlineStr">
        <is>
          <t>DAİRE 4 ODA</t>
        </is>
      </c>
      <c r="C32" s="484" t="inlineStr">
        <is>
          <t>20</t>
        </is>
      </c>
      <c r="D32" s="485">
        <f>'2 NK'!Q115</f>
        <v/>
      </c>
      <c r="E32" s="486" t="n">
        <v>17.5</v>
      </c>
      <c r="F32" s="485">
        <f>'YERDEN ISITMA'!N32</f>
        <v/>
      </c>
      <c r="G32" s="482" t="n">
        <v>46.5</v>
      </c>
      <c r="H32" s="482" t="n">
        <v>1</v>
      </c>
      <c r="I32" s="482" t="inlineStr">
        <is>
          <t>ZEMİNDEN ISITMA</t>
        </is>
      </c>
      <c r="J32" s="264" t="n"/>
      <c r="K32" s="264" t="n"/>
      <c r="L32" s="264" t="n"/>
      <c r="M32" s="264" t="n"/>
      <c r="N32" s="264" t="n"/>
      <c r="O32" s="264" t="n"/>
      <c r="P32" s="260" t="n"/>
    </row>
    <row r="33">
      <c r="A33" s="482" t="inlineStr">
        <is>
          <t>215</t>
        </is>
      </c>
      <c r="B33" s="483" t="inlineStr">
        <is>
          <t>DAİRE 4 BANYO</t>
        </is>
      </c>
      <c r="C33" s="484" t="inlineStr">
        <is>
          <t>26</t>
        </is>
      </c>
      <c r="D33" s="485">
        <f>'2 NK'!Q124</f>
        <v/>
      </c>
      <c r="E33" s="486" t="n">
        <v>17.5</v>
      </c>
      <c r="F33" s="485">
        <f>'YERDEN ISITMA'!N33</f>
        <v/>
      </c>
      <c r="G33" s="482" t="n">
        <v>29.56</v>
      </c>
      <c r="H33" s="482" t="n">
        <v>1</v>
      </c>
      <c r="I33" s="482" t="inlineStr">
        <is>
          <t>ZEMİNDEN ISITMA</t>
        </is>
      </c>
      <c r="J33" s="264" t="n"/>
      <c r="K33" s="264" t="n"/>
      <c r="L33" s="264" t="n"/>
      <c r="M33" s="264" t="n"/>
      <c r="N33" s="264" t="n"/>
      <c r="O33" s="264" t="n"/>
      <c r="P33" s="260" t="n"/>
    </row>
    <row r="34">
      <c r="A34" s="482" t="inlineStr">
        <is>
          <t>217</t>
        </is>
      </c>
      <c r="B34" s="483" t="inlineStr">
        <is>
          <t>DAİRE 4 HOL</t>
        </is>
      </c>
      <c r="C34" s="484" t="inlineStr">
        <is>
          <t>18</t>
        </is>
      </c>
      <c r="D34" s="485">
        <f>'2 NK'!Q134</f>
        <v/>
      </c>
      <c r="E34" s="486" t="n">
        <v>17.5</v>
      </c>
      <c r="F34" s="485">
        <f>'YERDEN ISITMA'!N34</f>
        <v/>
      </c>
      <c r="G34" s="482" t="n">
        <v>18.7</v>
      </c>
      <c r="H34" s="482" t="n">
        <v>1</v>
      </c>
      <c r="I34" s="482" t="inlineStr">
        <is>
          <t>ZEMİNDEN ISITMA (BAĞLANTI BORULARI)</t>
        </is>
      </c>
      <c r="J34" s="264" t="n"/>
      <c r="K34" s="264" t="n"/>
      <c r="L34" s="264" t="n"/>
      <c r="M34" s="264" t="n"/>
      <c r="N34" s="264" t="n"/>
      <c r="O34" s="264" t="n"/>
      <c r="P34" s="260" t="n"/>
    </row>
    <row r="35">
      <c r="A35" s="482" t="n"/>
      <c r="B35" s="482" t="n"/>
      <c r="C35" s="484" t="n"/>
      <c r="D35" s="485" t="n"/>
      <c r="E35" s="487" t="inlineStr">
        <is>
          <t>TOPLAM =</t>
        </is>
      </c>
      <c r="F35" s="488">
        <f>SUM(F23:F34)</f>
        <v/>
      </c>
      <c r="G35" s="482" t="inlineStr">
        <is>
          <t>watt</t>
        </is>
      </c>
      <c r="H35" s="482" t="n"/>
      <c r="I35" s="482" t="n"/>
      <c r="J35" s="482" t="n"/>
      <c r="K35" s="482" t="n"/>
      <c r="L35" s="482" t="n"/>
      <c r="M35" s="482" t="n"/>
      <c r="N35" s="482" t="n"/>
      <c r="O35" s="482" t="n"/>
      <c r="P35" s="482" t="n"/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mergeCells count="51">
    <mergeCell ref="I34:P34"/>
    <mergeCell ref="I30:P30"/>
    <mergeCell ref="I15:P15"/>
    <mergeCell ref="P7:P9"/>
    <mergeCell ref="I11:P11"/>
    <mergeCell ref="C5:G5"/>
    <mergeCell ref="H6:H9"/>
    <mergeCell ref="J6:J9"/>
    <mergeCell ref="I27:P27"/>
    <mergeCell ref="I26:P26"/>
    <mergeCell ref="H1:M2"/>
    <mergeCell ref="K7:K9"/>
    <mergeCell ref="O7:O9"/>
    <mergeCell ref="A6:A9"/>
    <mergeCell ref="I25:P25"/>
    <mergeCell ref="I16:P16"/>
    <mergeCell ref="I32:P32"/>
    <mergeCell ref="I28:P28"/>
    <mergeCell ref="C6:C8"/>
    <mergeCell ref="D6:D8"/>
    <mergeCell ref="N7:N9"/>
    <mergeCell ref="N6:P6"/>
    <mergeCell ref="F6:F8"/>
    <mergeCell ref="N3:P4"/>
    <mergeCell ref="I18:P18"/>
    <mergeCell ref="I12:P12"/>
    <mergeCell ref="I21:P21"/>
    <mergeCell ref="K6:M6"/>
    <mergeCell ref="L7:L9"/>
    <mergeCell ref="I13:P13"/>
    <mergeCell ref="H5:P5"/>
    <mergeCell ref="A5:B5"/>
    <mergeCell ref="I33:P33"/>
    <mergeCell ref="B6:B9"/>
    <mergeCell ref="I24:P24"/>
    <mergeCell ref="I14:P14"/>
    <mergeCell ref="I23:P23"/>
    <mergeCell ref="I17:P17"/>
    <mergeCell ref="E6:E8"/>
    <mergeCell ref="I20:P20"/>
    <mergeCell ref="N1:P2"/>
    <mergeCell ref="I29:P29"/>
    <mergeCell ref="M7:M9"/>
    <mergeCell ref="A1:B4"/>
    <mergeCell ref="I19:P19"/>
    <mergeCell ref="G6:G8"/>
    <mergeCell ref="C1:G4"/>
    <mergeCell ref="I6:I9"/>
    <mergeCell ref="I10:P10"/>
    <mergeCell ref="H3:M4"/>
    <mergeCell ref="I31:P31"/>
  </mergeCells>
  <conditionalFormatting sqref="F10 F12:F14 F16:F20 F23">
    <cfRule type="cellIs" rank="0" priority="2" equalAverage="0" operator="lessThan" aboveAverage="0" dxfId="0" text="" percent="0" bottom="0">
      <formula>D10</formula>
    </cfRule>
  </conditionalFormatting>
  <conditionalFormatting sqref="G10 G12 G16 G18">
    <cfRule type="cellIs" rank="0" priority="3" equalAverage="0" operator="greaterThan" aboveAverage="0" dxfId="1" text="" percent="0" bottom="0">
      <formula>D10*1.4</formula>
    </cfRule>
  </conditionalFormatting>
  <conditionalFormatting sqref="F15">
    <cfRule type="cellIs" rank="0" priority="4" equalAverage="0" operator="lessThan" aboveAverage="0" dxfId="0" text="" percent="0" bottom="0">
      <formula>D15</formula>
    </cfRule>
  </conditionalFormatting>
  <conditionalFormatting sqref="G15">
    <cfRule type="cellIs" rank="0" priority="5" equalAverage="0" operator="greaterThan" aboveAverage="0" dxfId="1" text="" percent="0" bottom="0">
      <formula>D15*1.4</formula>
    </cfRule>
  </conditionalFormatting>
  <conditionalFormatting sqref="F24">
    <cfRule type="cellIs" rank="0" priority="6" equalAverage="0" operator="lessThan" aboveAverage="0" dxfId="0" text="" percent="0" bottom="0">
      <formula>D24</formula>
    </cfRule>
  </conditionalFormatting>
  <conditionalFormatting sqref="G24">
    <cfRule type="cellIs" rank="0" priority="7" equalAverage="0" operator="greaterThan" aboveAverage="0" dxfId="1" text="" percent="0" bottom="0">
      <formula>D24*1.4</formula>
    </cfRule>
  </conditionalFormatting>
  <conditionalFormatting sqref="G19">
    <cfRule type="cellIs" rank="0" priority="8" equalAverage="0" operator="greaterThan" aboveAverage="0" dxfId="1" text="" percent="0" bottom="0">
      <formula>D19*1.4</formula>
    </cfRule>
  </conditionalFormatting>
  <conditionalFormatting sqref="G23">
    <cfRule type="cellIs" rank="0" priority="9" equalAverage="0" operator="greaterThan" aboveAverage="0" dxfId="1" text="" percent="0" bottom="0">
      <formula>D23*1.4</formula>
    </cfRule>
  </conditionalFormatting>
  <conditionalFormatting sqref="G20">
    <cfRule type="cellIs" rank="0" priority="10" equalAverage="0" operator="greaterThan" aboveAverage="0" dxfId="1" text="" percent="0" bottom="0">
      <formula>D20*1.4</formula>
    </cfRule>
  </conditionalFormatting>
  <conditionalFormatting sqref="G13">
    <cfRule type="cellIs" rank="0" priority="11" equalAverage="0" operator="greaterThan" aboveAverage="0" dxfId="1" text="" percent="0" bottom="0">
      <formula>D13*1.4</formula>
    </cfRule>
  </conditionalFormatting>
  <conditionalFormatting sqref="G14">
    <cfRule type="cellIs" rank="0" priority="12" equalAverage="0" operator="greaterThan" aboveAverage="0" dxfId="1" text="" percent="0" bottom="0">
      <formula>D14*1.4</formula>
    </cfRule>
  </conditionalFormatting>
  <conditionalFormatting sqref="G17">
    <cfRule type="cellIs" rank="0" priority="13" equalAverage="0" operator="greaterThan" aboveAverage="0" dxfId="1" text="" percent="0" bottom="0">
      <formula>D17*1.4</formula>
    </cfRule>
  </conditionalFormatting>
  <conditionalFormatting sqref="F11">
    <cfRule type="cellIs" rank="0" priority="14" equalAverage="0" operator="lessThan" aboveAverage="0" dxfId="0" text="" percent="0" bottom="0">
      <formula>D11</formula>
    </cfRule>
  </conditionalFormatting>
  <conditionalFormatting sqref="G11">
    <cfRule type="cellIs" rank="0" priority="15" equalAverage="0" operator="greaterThan" aboveAverage="0" dxfId="1" text="" percent="0" bottom="0">
      <formula>D11*1.4</formula>
    </cfRule>
  </conditionalFormatting>
  <conditionalFormatting sqref="F21:F22">
    <cfRule type="cellIs" rank="0" priority="16" equalAverage="0" operator="lessThan" aboveAverage="0" dxfId="0" text="" percent="0" bottom="0">
      <formula>D21</formula>
    </cfRule>
  </conditionalFormatting>
  <conditionalFormatting sqref="G21:G22">
    <cfRule type="cellIs" rank="0" priority="17" equalAverage="0" operator="greaterThan" aboveAverage="0" dxfId="1" text="" percent="0" bottom="0">
      <formula>D21*1.4</formula>
    </cfRule>
  </conditionalFormatting>
  <printOptions horizontalCentered="0" verticalCentered="0" headings="0" gridLines="0" gridLinesSet="1"/>
  <pageMargins left="0.25" right="0.25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U60"/>
  <sheetViews>
    <sheetView showFormulas="0" showGridLines="1" showRowColHeaders="1" showZeros="1" rightToLeft="0" tabSelected="0" showOutlineSymbols="1" defaultGridColor="1" view="normal" topLeftCell="A10" colorId="64" zoomScale="115" zoomScaleNormal="115" zoomScalePageLayoutView="100" workbookViewId="0">
      <selection pane="topLeft" activeCell="D23" activeCellId="0" sqref="D23"/>
    </sheetView>
  </sheetViews>
  <sheetFormatPr baseColWidth="8" defaultColWidth="9.0546875" defaultRowHeight="12.75" zeroHeight="0" outlineLevelRow="0"/>
  <cols>
    <col width="7.56" customWidth="1" style="243" min="1" max="1"/>
    <col width="16.42" customWidth="1" style="243" min="2" max="2"/>
    <col width="7.56" customWidth="1" style="243" min="3" max="3"/>
    <col width="8.41" customWidth="1" style="489" min="4" max="4"/>
    <col width="7.42" customWidth="1" style="243" min="5" max="5"/>
    <col width="7.7" customWidth="1" style="243" min="9" max="9"/>
    <col width="11.7" customWidth="1" style="243" min="12" max="12"/>
    <col width="12.28" customWidth="1" style="243" min="13" max="13"/>
    <col width="7.56" customWidth="1" style="243" min="14" max="14"/>
  </cols>
  <sheetData>
    <row r="1" ht="12.75" customHeight="1" s="244">
      <c r="A1" s="490" t="inlineStr">
        <is>
          <t>ROTAŞ</t>
        </is>
      </c>
      <c r="B1" s="275" t="n"/>
      <c r="C1" s="491" t="inlineStr">
        <is>
          <t>ZEMİNDEN ISITMA MODÜLASYON HESABI</t>
        </is>
      </c>
      <c r="D1" s="250" t="n"/>
      <c r="E1" s="250" t="n"/>
      <c r="F1" s="250" t="n"/>
      <c r="G1" s="275" t="n"/>
      <c r="H1" s="466" t="inlineStr">
        <is>
          <t>SAYFA</t>
        </is>
      </c>
      <c r="I1" s="250" t="n"/>
      <c r="J1" s="250" t="n"/>
      <c r="K1" s="275" t="n"/>
      <c r="L1" s="466" t="n">
        <v>8</v>
      </c>
      <c r="M1" s="250" t="n"/>
      <c r="N1" s="275" t="n"/>
      <c r="O1" s="492" t="n"/>
      <c r="P1" s="492" t="n"/>
    </row>
    <row r="2" ht="12.75" customHeight="1" s="244">
      <c r="A2" s="467" t="n"/>
      <c r="B2" s="468" t="n"/>
      <c r="C2" s="467" t="n"/>
      <c r="G2" s="468" t="n"/>
      <c r="H2" s="278" t="n"/>
      <c r="I2" s="256" t="n"/>
      <c r="J2" s="256" t="n"/>
      <c r="K2" s="277" t="n"/>
      <c r="L2" s="278" t="n"/>
      <c r="M2" s="256" t="n"/>
      <c r="N2" s="277" t="n"/>
      <c r="O2" s="492" t="n"/>
      <c r="P2" s="492" t="n"/>
    </row>
    <row r="3" ht="14.25" customHeight="1" s="244">
      <c r="A3" s="467" t="n"/>
      <c r="B3" s="468" t="n"/>
      <c r="C3" s="467" t="n"/>
      <c r="G3" s="468" t="n"/>
      <c r="H3" s="491" t="inlineStr">
        <is>
          <t>TARİH</t>
        </is>
      </c>
      <c r="I3" s="250" t="n"/>
      <c r="J3" s="250" t="n"/>
      <c r="K3" s="275" t="n"/>
      <c r="L3" s="469">
        <f>kapak!G41</f>
        <v/>
      </c>
      <c r="M3" s="250" t="n"/>
      <c r="N3" s="275" t="n"/>
      <c r="O3" s="492" t="n"/>
      <c r="P3" s="492" t="n"/>
      <c r="Q3" s="493" t="n"/>
      <c r="R3" s="493" t="n"/>
      <c r="S3" s="493" t="n"/>
      <c r="T3" s="493" t="n"/>
      <c r="U3" s="493" t="n"/>
      <c r="V3" s="493" t="n"/>
      <c r="W3" s="493" t="n"/>
      <c r="X3" s="493" t="n"/>
      <c r="Y3" s="493" t="n"/>
      <c r="Z3" s="493" t="n"/>
      <c r="AA3" s="493" t="n"/>
      <c r="AB3" s="493" t="n"/>
      <c r="AC3" s="493" t="n"/>
      <c r="AD3" s="493" t="n"/>
      <c r="AE3" s="493" t="n"/>
      <c r="AF3" s="493" t="n"/>
      <c r="AG3" s="493" t="n"/>
      <c r="AH3" s="493" t="n"/>
      <c r="AI3" s="493" t="n"/>
      <c r="AJ3" s="493" t="n"/>
      <c r="AK3" s="493" t="n"/>
      <c r="AL3" s="493" t="n"/>
      <c r="AM3" s="493" t="n"/>
      <c r="AN3" s="493" t="n"/>
      <c r="AO3" s="493" t="n"/>
      <c r="AP3" s="493" t="n"/>
      <c r="AQ3" s="493" t="n"/>
      <c r="AR3" s="493" t="n"/>
      <c r="AS3" s="493" t="n"/>
      <c r="AT3" s="493" t="n"/>
      <c r="AU3" s="493" t="n"/>
      <c r="AV3" s="493" t="n"/>
      <c r="AW3" s="493" t="n"/>
      <c r="AX3" s="493" t="n"/>
      <c r="AY3" s="493" t="n"/>
      <c r="AZ3" s="493" t="n"/>
      <c r="BA3" s="493" t="n"/>
      <c r="BB3" s="493" t="n"/>
      <c r="BC3" s="493" t="n"/>
      <c r="BD3" s="493" t="n"/>
      <c r="BE3" s="493" t="n"/>
      <c r="BF3" s="493" t="n"/>
      <c r="BG3" s="493" t="n"/>
      <c r="BH3" s="493" t="n"/>
      <c r="BI3" s="493" t="n"/>
      <c r="BJ3" s="493" t="n"/>
      <c r="BK3" s="493" t="n"/>
      <c r="BL3" s="493" t="n"/>
      <c r="BM3" s="493" t="n"/>
      <c r="BN3" s="493" t="n"/>
      <c r="BO3" s="493" t="n"/>
      <c r="BP3" s="493" t="n"/>
      <c r="BQ3" s="493" t="n"/>
      <c r="BR3" s="493" t="n"/>
      <c r="BS3" s="493" t="n"/>
      <c r="BT3" s="493" t="n"/>
      <c r="BU3" s="493" t="n"/>
      <c r="BV3" s="493" t="n"/>
      <c r="BW3" s="493" t="n"/>
      <c r="BX3" s="493" t="n"/>
      <c r="BY3" s="493" t="n"/>
      <c r="BZ3" s="493" t="n"/>
      <c r="CA3" s="493" t="n"/>
      <c r="CB3" s="493" t="n"/>
      <c r="CC3" s="493" t="n"/>
      <c r="CD3" s="493" t="n"/>
      <c r="CE3" s="493" t="n"/>
      <c r="CF3" s="493" t="n"/>
      <c r="CG3" s="493" t="n"/>
      <c r="CH3" s="493" t="n"/>
      <c r="CI3" s="493" t="n"/>
      <c r="CJ3" s="493" t="n"/>
      <c r="CK3" s="493" t="n"/>
      <c r="CL3" s="493" t="n"/>
      <c r="CM3" s="493" t="n"/>
      <c r="CN3" s="493" t="n"/>
      <c r="CO3" s="493" t="n"/>
      <c r="CP3" s="493" t="n"/>
      <c r="CQ3" s="493" t="n"/>
      <c r="CR3" s="493" t="n"/>
      <c r="CS3" s="493" t="n"/>
      <c r="CT3" s="493" t="n"/>
      <c r="CU3" s="493" t="n"/>
      <c r="CV3" s="493" t="n"/>
      <c r="CW3" s="493" t="n"/>
      <c r="CX3" s="493" t="n"/>
      <c r="CY3" s="493" t="n"/>
      <c r="CZ3" s="493" t="n"/>
      <c r="DA3" s="493" t="n"/>
      <c r="DB3" s="493" t="n"/>
      <c r="DC3" s="493" t="n"/>
      <c r="DD3" s="493" t="n"/>
      <c r="DE3" s="493" t="n"/>
      <c r="DF3" s="493" t="n"/>
      <c r="DG3" s="493" t="n"/>
      <c r="DH3" s="493" t="n"/>
      <c r="DI3" s="493" t="n"/>
      <c r="DJ3" s="493" t="n"/>
      <c r="DK3" s="493" t="n"/>
      <c r="DL3" s="493" t="n"/>
      <c r="DM3" s="493" t="n"/>
      <c r="DN3" s="493" t="n"/>
      <c r="DO3" s="493" t="n"/>
      <c r="DP3" s="493" t="n"/>
      <c r="DQ3" s="493" t="n"/>
      <c r="DR3" s="493" t="n"/>
      <c r="DS3" s="493" t="n"/>
      <c r="DT3" s="493" t="n"/>
      <c r="DU3" s="493" t="n"/>
      <c r="DV3" s="493" t="n"/>
      <c r="DW3" s="493" t="n"/>
      <c r="DX3" s="493" t="n"/>
      <c r="DY3" s="493" t="n"/>
      <c r="DZ3" s="493" t="n"/>
      <c r="EA3" s="493" t="n"/>
      <c r="EB3" s="493" t="n"/>
      <c r="EC3" s="493" t="n"/>
      <c r="ED3" s="493" t="n"/>
      <c r="EE3" s="493" t="n"/>
      <c r="EF3" s="493" t="n"/>
      <c r="EG3" s="493" t="n"/>
      <c r="EH3" s="493" t="n"/>
      <c r="EI3" s="493" t="n"/>
      <c r="EJ3" s="493" t="n"/>
      <c r="EK3" s="493" t="n"/>
      <c r="EL3" s="493" t="n"/>
      <c r="EM3" s="493" t="n"/>
      <c r="EN3" s="493" t="n"/>
      <c r="EO3" s="493" t="n"/>
      <c r="EP3" s="493" t="n"/>
      <c r="EQ3" s="493" t="n"/>
      <c r="ER3" s="493" t="n"/>
      <c r="ES3" s="493" t="n"/>
      <c r="ET3" s="493" t="n"/>
      <c r="EU3" s="493" t="n"/>
      <c r="EV3" s="493" t="n"/>
      <c r="EW3" s="493" t="n"/>
      <c r="EX3" s="493" t="n"/>
      <c r="EY3" s="493" t="n"/>
      <c r="EZ3" s="493" t="n"/>
      <c r="FA3" s="493" t="n"/>
      <c r="FB3" s="493" t="n"/>
      <c r="FC3" s="493" t="n"/>
      <c r="FD3" s="493" t="n"/>
      <c r="FE3" s="493" t="n"/>
      <c r="FF3" s="493" t="n"/>
      <c r="FG3" s="493" t="n"/>
      <c r="FH3" s="493" t="n"/>
      <c r="FI3" s="493" t="n"/>
      <c r="FJ3" s="493" t="n"/>
      <c r="FK3" s="493" t="n"/>
      <c r="FL3" s="493" t="n"/>
      <c r="FM3" s="493" t="n"/>
      <c r="FN3" s="493" t="n"/>
      <c r="FO3" s="493" t="n"/>
      <c r="FP3" s="493" t="n"/>
      <c r="FQ3" s="493" t="n"/>
      <c r="FR3" s="493" t="n"/>
      <c r="FS3" s="493" t="n"/>
      <c r="FT3" s="493" t="n"/>
      <c r="FU3" s="493" t="n"/>
      <c r="FV3" s="493" t="n"/>
      <c r="FW3" s="493" t="n"/>
      <c r="FX3" s="493" t="n"/>
      <c r="FY3" s="493" t="n"/>
      <c r="FZ3" s="493" t="n"/>
      <c r="GA3" s="493" t="n"/>
      <c r="GB3" s="493" t="n"/>
      <c r="GC3" s="493" t="n"/>
      <c r="GD3" s="493" t="n"/>
      <c r="GE3" s="493" t="n"/>
      <c r="GF3" s="493" t="n"/>
      <c r="GG3" s="493" t="n"/>
      <c r="GH3" s="493" t="n"/>
      <c r="GI3" s="493" t="n"/>
      <c r="GJ3" s="493" t="n"/>
      <c r="GK3" s="493" t="n"/>
      <c r="GL3" s="493" t="n"/>
      <c r="GM3" s="493" t="n"/>
      <c r="GN3" s="493" t="n"/>
      <c r="GO3" s="493" t="n"/>
      <c r="GP3" s="493" t="n"/>
      <c r="GQ3" s="493" t="n"/>
      <c r="GR3" s="493" t="n"/>
      <c r="GS3" s="493" t="n"/>
      <c r="GT3" s="493" t="n"/>
      <c r="GU3" s="493" t="n"/>
      <c r="GV3" s="493" t="n"/>
      <c r="GW3" s="493" t="n"/>
      <c r="GX3" s="493" t="n"/>
      <c r="GY3" s="493" t="n"/>
      <c r="GZ3" s="493" t="n"/>
      <c r="HA3" s="493" t="n"/>
      <c r="HB3" s="493" t="n"/>
      <c r="HC3" s="493" t="n"/>
      <c r="HD3" s="493" t="n"/>
      <c r="HE3" s="493" t="n"/>
      <c r="HF3" s="493" t="n"/>
      <c r="HG3" s="493" t="n"/>
      <c r="HH3" s="493" t="n"/>
      <c r="HI3" s="493" t="n"/>
      <c r="HJ3" s="493" t="n"/>
      <c r="HK3" s="493" t="n"/>
      <c r="HL3" s="493" t="n"/>
      <c r="HM3" s="493" t="n"/>
      <c r="HN3" s="493" t="n"/>
      <c r="HO3" s="493" t="n"/>
      <c r="HP3" s="493" t="n"/>
      <c r="HQ3" s="493" t="n"/>
      <c r="HR3" s="493" t="n"/>
      <c r="HS3" s="493" t="n"/>
      <c r="HT3" s="493" t="n"/>
      <c r="HU3" s="493" t="n"/>
      <c r="HV3" s="493" t="n"/>
      <c r="HW3" s="493" t="n"/>
      <c r="HX3" s="493" t="n"/>
      <c r="HY3" s="493" t="n"/>
      <c r="HZ3" s="493" t="n"/>
      <c r="IA3" s="493" t="n"/>
      <c r="IB3" s="493" t="n"/>
      <c r="IC3" s="493" t="n"/>
      <c r="ID3" s="493" t="n"/>
      <c r="IE3" s="493" t="n"/>
      <c r="IF3" s="493" t="n"/>
      <c r="IG3" s="493" t="n"/>
      <c r="IH3" s="493" t="n"/>
      <c r="II3" s="493" t="n"/>
      <c r="IJ3" s="493" t="n"/>
      <c r="IK3" s="493" t="n"/>
      <c r="IL3" s="493" t="n"/>
      <c r="IM3" s="493" t="n"/>
      <c r="IN3" s="493" t="n"/>
      <c r="IO3" s="493" t="n"/>
      <c r="IP3" s="493" t="n"/>
      <c r="IQ3" s="493" t="n"/>
      <c r="IR3" s="493" t="n"/>
      <c r="IS3" s="493" t="n"/>
      <c r="IT3" s="493" t="n"/>
      <c r="IU3" s="493" t="n"/>
    </row>
    <row r="4" ht="14.25" customHeight="1" s="244">
      <c r="A4" s="467" t="n"/>
      <c r="B4" s="468" t="n"/>
      <c r="C4" s="467" t="n"/>
      <c r="G4" s="468" t="n"/>
      <c r="H4" s="467" t="n"/>
      <c r="K4" s="468" t="n"/>
      <c r="L4" s="278" t="n"/>
      <c r="M4" s="256" t="n"/>
      <c r="N4" s="277" t="n"/>
      <c r="O4" s="492" t="n"/>
      <c r="P4" s="492" t="n"/>
      <c r="Q4" s="493" t="n"/>
      <c r="R4" s="493" t="n"/>
      <c r="S4" s="493" t="n"/>
      <c r="T4" s="493" t="n"/>
      <c r="U4" s="493" t="n"/>
      <c r="V4" s="493" t="n"/>
      <c r="W4" s="493" t="n"/>
      <c r="X4" s="493" t="n"/>
      <c r="Y4" s="493" t="n"/>
      <c r="Z4" s="493" t="n"/>
      <c r="AA4" s="493" t="n"/>
      <c r="AB4" s="493" t="n"/>
      <c r="AC4" s="493" t="n"/>
      <c r="AD4" s="493" t="n"/>
      <c r="AE4" s="493" t="n"/>
      <c r="AF4" s="493" t="n"/>
      <c r="AG4" s="493" t="n"/>
      <c r="AH4" s="493" t="n"/>
      <c r="AI4" s="493" t="n"/>
      <c r="AJ4" s="493" t="n"/>
      <c r="AK4" s="493" t="n"/>
      <c r="AL4" s="493" t="n"/>
      <c r="AM4" s="493" t="n"/>
      <c r="AN4" s="493" t="n"/>
      <c r="AO4" s="493" t="n"/>
      <c r="AP4" s="493" t="n"/>
      <c r="AQ4" s="493" t="n"/>
      <c r="AR4" s="493" t="n"/>
      <c r="AS4" s="493" t="n"/>
      <c r="AT4" s="493" t="n"/>
      <c r="AU4" s="493" t="n"/>
      <c r="AV4" s="493" t="n"/>
      <c r="AW4" s="493" t="n"/>
      <c r="AX4" s="493" t="n"/>
      <c r="AY4" s="493" t="n"/>
      <c r="AZ4" s="493" t="n"/>
      <c r="BA4" s="493" t="n"/>
      <c r="BB4" s="493" t="n"/>
      <c r="BC4" s="493" t="n"/>
      <c r="BD4" s="493" t="n"/>
      <c r="BE4" s="493" t="n"/>
      <c r="BF4" s="493" t="n"/>
      <c r="BG4" s="493" t="n"/>
      <c r="BH4" s="493" t="n"/>
      <c r="BI4" s="493" t="n"/>
      <c r="BJ4" s="493" t="n"/>
      <c r="BK4" s="493" t="n"/>
      <c r="BL4" s="493" t="n"/>
      <c r="BM4" s="493" t="n"/>
      <c r="BN4" s="493" t="n"/>
      <c r="BO4" s="493" t="n"/>
      <c r="BP4" s="493" t="n"/>
      <c r="BQ4" s="493" t="n"/>
      <c r="BR4" s="493" t="n"/>
      <c r="BS4" s="493" t="n"/>
      <c r="BT4" s="493" t="n"/>
      <c r="BU4" s="493" t="n"/>
      <c r="BV4" s="493" t="n"/>
      <c r="BW4" s="493" t="n"/>
      <c r="BX4" s="493" t="n"/>
      <c r="BY4" s="493" t="n"/>
      <c r="BZ4" s="493" t="n"/>
      <c r="CA4" s="493" t="n"/>
      <c r="CB4" s="493" t="n"/>
      <c r="CC4" s="493" t="n"/>
      <c r="CD4" s="493" t="n"/>
      <c r="CE4" s="493" t="n"/>
      <c r="CF4" s="493" t="n"/>
      <c r="CG4" s="493" t="n"/>
      <c r="CH4" s="493" t="n"/>
      <c r="CI4" s="493" t="n"/>
      <c r="CJ4" s="493" t="n"/>
      <c r="CK4" s="493" t="n"/>
      <c r="CL4" s="493" t="n"/>
      <c r="CM4" s="493" t="n"/>
      <c r="CN4" s="493" t="n"/>
      <c r="CO4" s="493" t="n"/>
      <c r="CP4" s="493" t="n"/>
      <c r="CQ4" s="493" t="n"/>
      <c r="CR4" s="493" t="n"/>
      <c r="CS4" s="493" t="n"/>
      <c r="CT4" s="493" t="n"/>
      <c r="CU4" s="493" t="n"/>
      <c r="CV4" s="493" t="n"/>
      <c r="CW4" s="493" t="n"/>
      <c r="CX4" s="493" t="n"/>
      <c r="CY4" s="493" t="n"/>
      <c r="CZ4" s="493" t="n"/>
      <c r="DA4" s="493" t="n"/>
      <c r="DB4" s="493" t="n"/>
      <c r="DC4" s="493" t="n"/>
      <c r="DD4" s="493" t="n"/>
      <c r="DE4" s="493" t="n"/>
      <c r="DF4" s="493" t="n"/>
      <c r="DG4" s="493" t="n"/>
      <c r="DH4" s="493" t="n"/>
      <c r="DI4" s="493" t="n"/>
      <c r="DJ4" s="493" t="n"/>
      <c r="DK4" s="493" t="n"/>
      <c r="DL4" s="493" t="n"/>
      <c r="DM4" s="493" t="n"/>
      <c r="DN4" s="493" t="n"/>
      <c r="DO4" s="493" t="n"/>
      <c r="DP4" s="493" t="n"/>
      <c r="DQ4" s="493" t="n"/>
      <c r="DR4" s="493" t="n"/>
      <c r="DS4" s="493" t="n"/>
      <c r="DT4" s="493" t="n"/>
      <c r="DU4" s="493" t="n"/>
      <c r="DV4" s="493" t="n"/>
      <c r="DW4" s="493" t="n"/>
      <c r="DX4" s="493" t="n"/>
      <c r="DY4" s="493" t="n"/>
      <c r="DZ4" s="493" t="n"/>
      <c r="EA4" s="493" t="n"/>
      <c r="EB4" s="493" t="n"/>
      <c r="EC4" s="493" t="n"/>
      <c r="ED4" s="493" t="n"/>
      <c r="EE4" s="493" t="n"/>
      <c r="EF4" s="493" t="n"/>
      <c r="EG4" s="493" t="n"/>
      <c r="EH4" s="493" t="n"/>
      <c r="EI4" s="493" t="n"/>
      <c r="EJ4" s="493" t="n"/>
      <c r="EK4" s="493" t="n"/>
      <c r="EL4" s="493" t="n"/>
      <c r="EM4" s="493" t="n"/>
      <c r="EN4" s="493" t="n"/>
      <c r="EO4" s="493" t="n"/>
      <c r="EP4" s="493" t="n"/>
      <c r="EQ4" s="493" t="n"/>
      <c r="ER4" s="493" t="n"/>
      <c r="ES4" s="493" t="n"/>
      <c r="ET4" s="493" t="n"/>
      <c r="EU4" s="493" t="n"/>
      <c r="EV4" s="493" t="n"/>
      <c r="EW4" s="493" t="n"/>
      <c r="EX4" s="493" t="n"/>
      <c r="EY4" s="493" t="n"/>
      <c r="EZ4" s="493" t="n"/>
      <c r="FA4" s="493" t="n"/>
      <c r="FB4" s="493" t="n"/>
      <c r="FC4" s="493" t="n"/>
      <c r="FD4" s="493" t="n"/>
      <c r="FE4" s="493" t="n"/>
      <c r="FF4" s="493" t="n"/>
      <c r="FG4" s="493" t="n"/>
      <c r="FH4" s="493" t="n"/>
      <c r="FI4" s="493" t="n"/>
      <c r="FJ4" s="493" t="n"/>
      <c r="FK4" s="493" t="n"/>
      <c r="FL4" s="493" t="n"/>
      <c r="FM4" s="493" t="n"/>
      <c r="FN4" s="493" t="n"/>
      <c r="FO4" s="493" t="n"/>
      <c r="FP4" s="493" t="n"/>
      <c r="FQ4" s="493" t="n"/>
      <c r="FR4" s="493" t="n"/>
      <c r="FS4" s="493" t="n"/>
      <c r="FT4" s="493" t="n"/>
      <c r="FU4" s="493" t="n"/>
      <c r="FV4" s="493" t="n"/>
      <c r="FW4" s="493" t="n"/>
      <c r="FX4" s="493" t="n"/>
      <c r="FY4" s="493" t="n"/>
      <c r="FZ4" s="493" t="n"/>
      <c r="GA4" s="493" t="n"/>
      <c r="GB4" s="493" t="n"/>
      <c r="GC4" s="493" t="n"/>
      <c r="GD4" s="493" t="n"/>
      <c r="GE4" s="493" t="n"/>
      <c r="GF4" s="493" t="n"/>
      <c r="GG4" s="493" t="n"/>
      <c r="GH4" s="493" t="n"/>
      <c r="GI4" s="493" t="n"/>
      <c r="GJ4" s="493" t="n"/>
      <c r="GK4" s="493" t="n"/>
      <c r="GL4" s="493" t="n"/>
      <c r="GM4" s="493" t="n"/>
      <c r="GN4" s="493" t="n"/>
      <c r="GO4" s="493" t="n"/>
      <c r="GP4" s="493" t="n"/>
      <c r="GQ4" s="493" t="n"/>
      <c r="GR4" s="493" t="n"/>
      <c r="GS4" s="493" t="n"/>
      <c r="GT4" s="493" t="n"/>
      <c r="GU4" s="493" t="n"/>
      <c r="GV4" s="493" t="n"/>
      <c r="GW4" s="493" t="n"/>
      <c r="GX4" s="493" t="n"/>
      <c r="GY4" s="493" t="n"/>
      <c r="GZ4" s="493" t="n"/>
      <c r="HA4" s="493" t="n"/>
      <c r="HB4" s="493" t="n"/>
      <c r="HC4" s="493" t="n"/>
      <c r="HD4" s="493" t="n"/>
      <c r="HE4" s="493" t="n"/>
      <c r="HF4" s="493" t="n"/>
      <c r="HG4" s="493" t="n"/>
      <c r="HH4" s="493" t="n"/>
      <c r="HI4" s="493" t="n"/>
      <c r="HJ4" s="493" t="n"/>
      <c r="HK4" s="493" t="n"/>
      <c r="HL4" s="493" t="n"/>
      <c r="HM4" s="493" t="n"/>
      <c r="HN4" s="493" t="n"/>
      <c r="HO4" s="493" t="n"/>
      <c r="HP4" s="493" t="n"/>
      <c r="HQ4" s="493" t="n"/>
      <c r="HR4" s="493" t="n"/>
      <c r="HS4" s="493" t="n"/>
      <c r="HT4" s="493" t="n"/>
      <c r="HU4" s="493" t="n"/>
      <c r="HV4" s="493" t="n"/>
      <c r="HW4" s="493" t="n"/>
      <c r="HX4" s="493" t="n"/>
      <c r="HY4" s="493" t="n"/>
      <c r="HZ4" s="493" t="n"/>
      <c r="IA4" s="493" t="n"/>
      <c r="IB4" s="493" t="n"/>
      <c r="IC4" s="493" t="n"/>
      <c r="ID4" s="493" t="n"/>
      <c r="IE4" s="493" t="n"/>
      <c r="IF4" s="493" t="n"/>
      <c r="IG4" s="493" t="n"/>
      <c r="IH4" s="493" t="n"/>
      <c r="II4" s="493" t="n"/>
      <c r="IJ4" s="493" t="n"/>
      <c r="IK4" s="493" t="n"/>
      <c r="IL4" s="493" t="n"/>
      <c r="IM4" s="493" t="n"/>
      <c r="IN4" s="493" t="n"/>
      <c r="IO4" s="493" t="n"/>
      <c r="IP4" s="493" t="n"/>
      <c r="IQ4" s="493" t="n"/>
      <c r="IR4" s="493" t="n"/>
      <c r="IS4" s="493" t="n"/>
      <c r="IT4" s="493" t="n"/>
      <c r="IU4" s="493" t="n"/>
    </row>
    <row r="5" ht="14.25" customHeight="1" s="244">
      <c r="A5" s="494" t="inlineStr">
        <is>
          <t>PROJE ADI :</t>
        </is>
      </c>
      <c r="B5" s="264" t="n"/>
      <c r="C5" s="264" t="n"/>
      <c r="D5" s="264" t="n"/>
      <c r="E5" s="264" t="n"/>
      <c r="F5" s="264" t="n"/>
      <c r="G5" s="260" t="n"/>
      <c r="H5" s="494">
        <f>kapak!C31</f>
        <v/>
      </c>
      <c r="I5" s="264" t="n"/>
      <c r="J5" s="264" t="n"/>
      <c r="K5" s="264" t="n"/>
      <c r="L5" s="264" t="n"/>
      <c r="M5" s="264" t="n"/>
      <c r="N5" s="260" t="n"/>
      <c r="O5" s="493" t="n"/>
      <c r="P5" s="495" t="n"/>
      <c r="Q5" s="493" t="n"/>
      <c r="R5" s="493" t="n"/>
      <c r="S5" s="493" t="n"/>
      <c r="T5" s="493" t="n"/>
      <c r="U5" s="493" t="n"/>
      <c r="V5" s="493" t="n"/>
      <c r="W5" s="493" t="n"/>
      <c r="X5" s="493" t="n"/>
      <c r="Y5" s="493" t="n"/>
      <c r="Z5" s="493" t="n"/>
      <c r="AA5" s="493" t="n"/>
      <c r="AB5" s="493" t="n"/>
      <c r="AC5" s="493" t="n"/>
      <c r="AD5" s="493" t="n"/>
      <c r="AE5" s="493" t="n"/>
      <c r="AF5" s="493" t="n"/>
      <c r="AG5" s="493" t="n"/>
      <c r="AH5" s="493" t="n"/>
      <c r="AI5" s="493" t="n"/>
      <c r="AJ5" s="493" t="n"/>
      <c r="AK5" s="493" t="n"/>
      <c r="AL5" s="493" t="n"/>
      <c r="AM5" s="493" t="n"/>
      <c r="AN5" s="493" t="n"/>
      <c r="AO5" s="493" t="n"/>
      <c r="AP5" s="493" t="n"/>
      <c r="AQ5" s="493" t="n"/>
      <c r="AR5" s="493" t="n"/>
      <c r="AS5" s="493" t="n"/>
      <c r="AT5" s="493" t="n"/>
      <c r="AU5" s="493" t="n"/>
      <c r="AV5" s="493" t="n"/>
      <c r="AW5" s="493" t="n"/>
      <c r="AX5" s="493" t="n"/>
      <c r="AY5" s="493" t="n"/>
      <c r="AZ5" s="493" t="n"/>
      <c r="BA5" s="493" t="n"/>
      <c r="BB5" s="493" t="n"/>
      <c r="BC5" s="493" t="n"/>
      <c r="BD5" s="493" t="n"/>
      <c r="BE5" s="493" t="n"/>
      <c r="BF5" s="493" t="n"/>
      <c r="BG5" s="493" t="n"/>
      <c r="BH5" s="493" t="n"/>
      <c r="BI5" s="493" t="n"/>
      <c r="BJ5" s="493" t="n"/>
      <c r="BK5" s="493" t="n"/>
      <c r="BL5" s="493" t="n"/>
      <c r="BM5" s="493" t="n"/>
      <c r="BN5" s="493" t="n"/>
      <c r="BO5" s="493" t="n"/>
      <c r="BP5" s="493" t="n"/>
      <c r="BQ5" s="493" t="n"/>
      <c r="BR5" s="493" t="n"/>
      <c r="BS5" s="493" t="n"/>
      <c r="BT5" s="493" t="n"/>
      <c r="BU5" s="493" t="n"/>
      <c r="BV5" s="493" t="n"/>
      <c r="BW5" s="493" t="n"/>
      <c r="BX5" s="493" t="n"/>
      <c r="BY5" s="493" t="n"/>
      <c r="BZ5" s="493" t="n"/>
      <c r="CA5" s="493" t="n"/>
      <c r="CB5" s="493" t="n"/>
      <c r="CC5" s="493" t="n"/>
      <c r="CD5" s="493" t="n"/>
      <c r="CE5" s="493" t="n"/>
      <c r="CF5" s="493" t="n"/>
      <c r="CG5" s="493" t="n"/>
      <c r="CH5" s="493" t="n"/>
      <c r="CI5" s="493" t="n"/>
      <c r="CJ5" s="493" t="n"/>
      <c r="CK5" s="493" t="n"/>
      <c r="CL5" s="493" t="n"/>
      <c r="CM5" s="493" t="n"/>
      <c r="CN5" s="493" t="n"/>
      <c r="CO5" s="493" t="n"/>
      <c r="CP5" s="493" t="n"/>
      <c r="CQ5" s="493" t="n"/>
      <c r="CR5" s="493" t="n"/>
      <c r="CS5" s="493" t="n"/>
      <c r="CT5" s="493" t="n"/>
      <c r="CU5" s="493" t="n"/>
      <c r="CV5" s="493" t="n"/>
      <c r="CW5" s="493" t="n"/>
      <c r="CX5" s="493" t="n"/>
      <c r="CY5" s="493" t="n"/>
      <c r="CZ5" s="493" t="n"/>
      <c r="DA5" s="493" t="n"/>
      <c r="DB5" s="493" t="n"/>
      <c r="DC5" s="493" t="n"/>
      <c r="DD5" s="493" t="n"/>
      <c r="DE5" s="493" t="n"/>
      <c r="DF5" s="493" t="n"/>
      <c r="DG5" s="493" t="n"/>
      <c r="DH5" s="493" t="n"/>
      <c r="DI5" s="493" t="n"/>
      <c r="DJ5" s="493" t="n"/>
      <c r="DK5" s="493" t="n"/>
      <c r="DL5" s="493" t="n"/>
      <c r="DM5" s="493" t="n"/>
      <c r="DN5" s="493" t="n"/>
      <c r="DO5" s="493" t="n"/>
      <c r="DP5" s="493" t="n"/>
      <c r="DQ5" s="493" t="n"/>
      <c r="DR5" s="493" t="n"/>
      <c r="DS5" s="493" t="n"/>
      <c r="DT5" s="493" t="n"/>
      <c r="DU5" s="493" t="n"/>
      <c r="DV5" s="493" t="n"/>
      <c r="DW5" s="493" t="n"/>
      <c r="DX5" s="493" t="n"/>
      <c r="DY5" s="493" t="n"/>
      <c r="DZ5" s="493" t="n"/>
      <c r="EA5" s="493" t="n"/>
      <c r="EB5" s="493" t="n"/>
      <c r="EC5" s="493" t="n"/>
      <c r="ED5" s="493" t="n"/>
      <c r="EE5" s="493" t="n"/>
      <c r="EF5" s="493" t="n"/>
      <c r="EG5" s="493" t="n"/>
      <c r="EH5" s="493" t="n"/>
      <c r="EI5" s="493" t="n"/>
      <c r="EJ5" s="493" t="n"/>
      <c r="EK5" s="493" t="n"/>
      <c r="EL5" s="493" t="n"/>
      <c r="EM5" s="493" t="n"/>
      <c r="EN5" s="493" t="n"/>
      <c r="EO5" s="493" t="n"/>
      <c r="EP5" s="493" t="n"/>
      <c r="EQ5" s="493" t="n"/>
      <c r="ER5" s="493" t="n"/>
      <c r="ES5" s="493" t="n"/>
      <c r="ET5" s="493" t="n"/>
      <c r="EU5" s="493" t="n"/>
      <c r="EV5" s="493" t="n"/>
      <c r="EW5" s="493" t="n"/>
      <c r="EX5" s="493" t="n"/>
      <c r="EY5" s="493" t="n"/>
      <c r="EZ5" s="493" t="n"/>
      <c r="FA5" s="493" t="n"/>
      <c r="FB5" s="493" t="n"/>
      <c r="FC5" s="493" t="n"/>
      <c r="FD5" s="493" t="n"/>
      <c r="FE5" s="493" t="n"/>
      <c r="FF5" s="493" t="n"/>
      <c r="FG5" s="493" t="n"/>
      <c r="FH5" s="493" t="n"/>
      <c r="FI5" s="493" t="n"/>
      <c r="FJ5" s="493" t="n"/>
      <c r="FK5" s="493" t="n"/>
      <c r="FL5" s="493" t="n"/>
      <c r="FM5" s="493" t="n"/>
      <c r="FN5" s="493" t="n"/>
      <c r="FO5" s="493" t="n"/>
      <c r="FP5" s="493" t="n"/>
      <c r="FQ5" s="493" t="n"/>
      <c r="FR5" s="493" t="n"/>
      <c r="FS5" s="493" t="n"/>
      <c r="FT5" s="493" t="n"/>
      <c r="FU5" s="493" t="n"/>
      <c r="FV5" s="493" t="n"/>
      <c r="FW5" s="493" t="n"/>
      <c r="FX5" s="493" t="n"/>
      <c r="FY5" s="493" t="n"/>
      <c r="FZ5" s="493" t="n"/>
      <c r="GA5" s="493" t="n"/>
      <c r="GB5" s="493" t="n"/>
      <c r="GC5" s="493" t="n"/>
      <c r="GD5" s="493" t="n"/>
      <c r="GE5" s="493" t="n"/>
      <c r="GF5" s="493" t="n"/>
      <c r="GG5" s="493" t="n"/>
      <c r="GH5" s="493" t="n"/>
      <c r="GI5" s="493" t="n"/>
      <c r="GJ5" s="493" t="n"/>
      <c r="GK5" s="493" t="n"/>
      <c r="GL5" s="493" t="n"/>
      <c r="GM5" s="493" t="n"/>
      <c r="GN5" s="493" t="n"/>
      <c r="GO5" s="493" t="n"/>
      <c r="GP5" s="493" t="n"/>
      <c r="GQ5" s="493" t="n"/>
      <c r="GR5" s="493" t="n"/>
      <c r="GS5" s="493" t="n"/>
      <c r="GT5" s="493" t="n"/>
      <c r="GU5" s="493" t="n"/>
      <c r="GV5" s="493" t="n"/>
      <c r="GW5" s="493" t="n"/>
      <c r="GX5" s="493" t="n"/>
      <c r="GY5" s="493" t="n"/>
      <c r="GZ5" s="493" t="n"/>
      <c r="HA5" s="493" t="n"/>
      <c r="HB5" s="493" t="n"/>
      <c r="HC5" s="493" t="n"/>
      <c r="HD5" s="493" t="n"/>
      <c r="HE5" s="493" t="n"/>
      <c r="HF5" s="493" t="n"/>
      <c r="HG5" s="493" t="n"/>
      <c r="HH5" s="493" t="n"/>
      <c r="HI5" s="493" t="n"/>
      <c r="HJ5" s="493" t="n"/>
      <c r="HK5" s="493" t="n"/>
      <c r="HL5" s="493" t="n"/>
      <c r="HM5" s="493" t="n"/>
      <c r="HN5" s="493" t="n"/>
      <c r="HO5" s="493" t="n"/>
      <c r="HP5" s="493" t="n"/>
      <c r="HQ5" s="493" t="n"/>
      <c r="HR5" s="493" t="n"/>
      <c r="HS5" s="493" t="n"/>
      <c r="HT5" s="493" t="n"/>
      <c r="HU5" s="493" t="n"/>
      <c r="HV5" s="493" t="n"/>
      <c r="HW5" s="493" t="n"/>
      <c r="HX5" s="493" t="n"/>
      <c r="HY5" s="493" t="n"/>
      <c r="HZ5" s="493" t="n"/>
      <c r="IA5" s="493" t="n"/>
      <c r="IB5" s="493" t="n"/>
      <c r="IC5" s="493" t="n"/>
      <c r="ID5" s="493" t="n"/>
      <c r="IE5" s="493" t="n"/>
      <c r="IF5" s="493" t="n"/>
      <c r="IG5" s="493" t="n"/>
      <c r="IH5" s="493" t="n"/>
      <c r="II5" s="493" t="n"/>
      <c r="IJ5" s="493" t="n"/>
      <c r="IK5" s="493" t="n"/>
      <c r="IL5" s="493" t="n"/>
      <c r="IM5" s="493" t="n"/>
      <c r="IN5" s="493" t="n"/>
      <c r="IO5" s="493" t="n"/>
      <c r="IP5" s="493" t="n"/>
      <c r="IQ5" s="493" t="n"/>
      <c r="IR5" s="493" t="n"/>
      <c r="IS5" s="493" t="n"/>
      <c r="IT5" s="493" t="n"/>
      <c r="IU5" s="493" t="n"/>
    </row>
    <row r="6" ht="14.25" customHeight="1" s="244">
      <c r="A6" s="494" t="inlineStr">
        <is>
          <t>HESAPLARI YAPAN MAKİNA MÜHENDİSİ :</t>
        </is>
      </c>
      <c r="B6" s="264" t="n"/>
      <c r="C6" s="264" t="n"/>
      <c r="D6" s="264" t="n"/>
      <c r="E6" s="264" t="n"/>
      <c r="F6" s="264" t="n"/>
      <c r="G6" s="260" t="n"/>
      <c r="H6" s="494" t="inlineStr">
        <is>
          <t>BAYRAM GENÇ</t>
        </is>
      </c>
      <c r="I6" s="264" t="n"/>
      <c r="J6" s="264" t="n"/>
      <c r="K6" s="264" t="n"/>
      <c r="L6" s="264" t="n"/>
      <c r="M6" s="264" t="n"/>
      <c r="N6" s="260" t="n"/>
    </row>
    <row r="8" ht="127.5" customHeight="1" s="244">
      <c r="A8" s="496" t="inlineStr">
        <is>
          <t>MAHAL NO</t>
        </is>
      </c>
      <c r="B8" s="496" t="inlineStr">
        <is>
          <t>MAHAL ADI</t>
        </is>
      </c>
      <c r="C8" s="496" t="inlineStr">
        <is>
          <t>MAHAL SICAKLIĞI</t>
        </is>
      </c>
      <c r="D8" s="497" t="inlineStr">
        <is>
          <t>Mahal ısı ihtiyacı Q</t>
        </is>
      </c>
      <c r="E8" s="496" t="inlineStr">
        <is>
          <t>MAHAL ALANI A</t>
        </is>
      </c>
      <c r="F8" s="496" t="inlineStr">
        <is>
          <t>1 m2 ' DEKİ TOPLAM ISI YÜKÜ Q/A</t>
        </is>
      </c>
      <c r="G8" s="496" t="inlineStr">
        <is>
          <t>MODÜL</t>
        </is>
      </c>
      <c r="H8" s="496" t="inlineStr">
        <is>
          <t>m2</t>
        </is>
      </c>
      <c r="I8" s="496" t="inlineStr">
        <is>
          <t>STANDART MODÜL</t>
        </is>
      </c>
      <c r="J8" s="496" t="inlineStr">
        <is>
          <t>BORU BOYU</t>
        </is>
      </c>
      <c r="K8" s="496" t="inlineStr">
        <is>
          <t>KOLLEKTÖR ADETİ</t>
        </is>
      </c>
      <c r="L8" s="496" t="inlineStr">
        <is>
          <t>TOPLAM OLMASI GEREKEN KOLLEKTÖR ADETİ</t>
        </is>
      </c>
      <c r="M8" s="496" t="inlineStr">
        <is>
          <t>BİRİM VERİM</t>
        </is>
      </c>
      <c r="N8" s="496" t="inlineStr">
        <is>
          <t>TOPLAM VERİM</t>
        </is>
      </c>
      <c r="O8" s="498" t="n"/>
      <c r="P8" s="498" t="n"/>
      <c r="Q8" s="498" t="n"/>
      <c r="R8" s="498" t="n"/>
      <c r="S8" s="498" t="n"/>
      <c r="T8" s="498" t="n"/>
      <c r="U8" s="498" t="n"/>
      <c r="V8" s="498" t="n"/>
      <c r="W8" s="498" t="n"/>
      <c r="X8" s="498" t="n"/>
      <c r="Y8" s="498" t="n"/>
      <c r="Z8" s="498" t="n"/>
      <c r="AA8" s="498" t="n"/>
      <c r="AB8" s="498" t="n"/>
      <c r="AC8" s="498" t="n"/>
      <c r="AD8" s="498" t="n"/>
      <c r="AE8" s="498" t="n"/>
      <c r="AF8" s="498" t="n"/>
      <c r="AG8" s="498" t="n"/>
      <c r="AH8" s="498" t="n"/>
      <c r="AI8" s="498" t="n"/>
      <c r="AJ8" s="498" t="n"/>
      <c r="AK8" s="498" t="n"/>
      <c r="AL8" s="498" t="n"/>
      <c r="AM8" s="498" t="n"/>
      <c r="AN8" s="498" t="n"/>
      <c r="AO8" s="498" t="n"/>
      <c r="AP8" s="498" t="n"/>
      <c r="AQ8" s="498" t="n"/>
      <c r="AR8" s="498" t="n"/>
      <c r="AS8" s="498" t="n"/>
      <c r="AT8" s="498" t="n"/>
      <c r="AU8" s="498" t="n"/>
      <c r="AV8" s="498" t="n"/>
      <c r="AW8" s="498" t="n"/>
      <c r="AX8" s="498" t="n"/>
      <c r="AY8" s="498" t="n"/>
      <c r="AZ8" s="498" t="n"/>
      <c r="BA8" s="498" t="n"/>
      <c r="BB8" s="498" t="n"/>
      <c r="BC8" s="498" t="n"/>
      <c r="BD8" s="498" t="n"/>
      <c r="BE8" s="498" t="n"/>
      <c r="BF8" s="498" t="n"/>
      <c r="BG8" s="498" t="n"/>
      <c r="BH8" s="498" t="n"/>
      <c r="BI8" s="498" t="n"/>
      <c r="BJ8" s="498" t="n"/>
      <c r="BK8" s="498" t="n"/>
      <c r="BL8" s="498" t="n"/>
      <c r="BM8" s="498" t="n"/>
      <c r="BN8" s="498" t="n"/>
      <c r="BO8" s="498" t="n"/>
      <c r="BP8" s="498" t="n"/>
      <c r="BQ8" s="498" t="n"/>
      <c r="BR8" s="498" t="n"/>
      <c r="BS8" s="498" t="n"/>
      <c r="BT8" s="498" t="n"/>
      <c r="BU8" s="498" t="n"/>
      <c r="BV8" s="498" t="n"/>
      <c r="BW8" s="498" t="n"/>
      <c r="BX8" s="498" t="n"/>
      <c r="BY8" s="498" t="n"/>
      <c r="BZ8" s="498" t="n"/>
      <c r="CA8" s="498" t="n"/>
      <c r="CB8" s="498" t="n"/>
      <c r="CC8" s="498" t="n"/>
      <c r="CD8" s="498" t="n"/>
      <c r="CE8" s="498" t="n"/>
      <c r="CF8" s="498" t="n"/>
      <c r="CG8" s="498" t="n"/>
      <c r="CH8" s="498" t="n"/>
      <c r="CI8" s="498" t="n"/>
      <c r="CJ8" s="498" t="n"/>
      <c r="CK8" s="498" t="n"/>
      <c r="CL8" s="498" t="n"/>
      <c r="CM8" s="498" t="n"/>
      <c r="CN8" s="498" t="n"/>
      <c r="CO8" s="498" t="n"/>
      <c r="CP8" s="498" t="n"/>
      <c r="CQ8" s="498" t="n"/>
      <c r="CR8" s="498" t="n"/>
      <c r="CS8" s="498" t="n"/>
      <c r="CT8" s="498" t="n"/>
      <c r="CU8" s="498" t="n"/>
      <c r="CV8" s="498" t="n"/>
      <c r="CW8" s="498" t="n"/>
      <c r="CX8" s="498" t="n"/>
      <c r="CY8" s="498" t="n"/>
      <c r="CZ8" s="498" t="n"/>
      <c r="DA8" s="498" t="n"/>
      <c r="DB8" s="498" t="n"/>
      <c r="DC8" s="498" t="n"/>
      <c r="DD8" s="498" t="n"/>
      <c r="DE8" s="498" t="n"/>
      <c r="DF8" s="498" t="n"/>
      <c r="DG8" s="498" t="n"/>
      <c r="DH8" s="498" t="n"/>
      <c r="DI8" s="498" t="n"/>
      <c r="DJ8" s="498" t="n"/>
      <c r="DK8" s="498" t="n"/>
      <c r="DL8" s="498" t="n"/>
      <c r="DM8" s="498" t="n"/>
      <c r="DN8" s="498" t="n"/>
      <c r="DO8" s="498" t="n"/>
      <c r="DP8" s="498" t="n"/>
      <c r="DQ8" s="498" t="n"/>
      <c r="DR8" s="498" t="n"/>
      <c r="DS8" s="498" t="n"/>
      <c r="DT8" s="498" t="n"/>
      <c r="DU8" s="498" t="n"/>
      <c r="DV8" s="498" t="n"/>
      <c r="DW8" s="498" t="n"/>
      <c r="DX8" s="498" t="n"/>
      <c r="DY8" s="498" t="n"/>
      <c r="DZ8" s="498" t="n"/>
      <c r="EA8" s="498" t="n"/>
      <c r="EB8" s="498" t="n"/>
      <c r="EC8" s="498" t="n"/>
      <c r="ED8" s="498" t="n"/>
      <c r="EE8" s="498" t="n"/>
      <c r="EF8" s="498" t="n"/>
      <c r="EG8" s="498" t="n"/>
      <c r="EH8" s="498" t="n"/>
      <c r="EI8" s="498" t="n"/>
      <c r="EJ8" s="498" t="n"/>
      <c r="EK8" s="498" t="n"/>
      <c r="EL8" s="498" t="n"/>
      <c r="EM8" s="498" t="n"/>
      <c r="EN8" s="498" t="n"/>
      <c r="EO8" s="498" t="n"/>
      <c r="EP8" s="498" t="n"/>
      <c r="EQ8" s="498" t="n"/>
      <c r="ER8" s="498" t="n"/>
      <c r="ES8" s="498" t="n"/>
      <c r="ET8" s="498" t="n"/>
      <c r="EU8" s="498" t="n"/>
      <c r="EV8" s="498" t="n"/>
      <c r="EW8" s="498" t="n"/>
      <c r="EX8" s="498" t="n"/>
      <c r="EY8" s="498" t="n"/>
      <c r="EZ8" s="498" t="n"/>
      <c r="FA8" s="498" t="n"/>
      <c r="FB8" s="498" t="n"/>
      <c r="FC8" s="498" t="n"/>
      <c r="FD8" s="498" t="n"/>
      <c r="FE8" s="498" t="n"/>
      <c r="FF8" s="498" t="n"/>
      <c r="FG8" s="498" t="n"/>
      <c r="FH8" s="498" t="n"/>
      <c r="FI8" s="498" t="n"/>
      <c r="FJ8" s="498" t="n"/>
      <c r="FK8" s="498" t="n"/>
      <c r="FL8" s="498" t="n"/>
      <c r="FM8" s="498" t="n"/>
      <c r="FN8" s="498" t="n"/>
      <c r="FO8" s="498" t="n"/>
      <c r="FP8" s="498" t="n"/>
      <c r="FQ8" s="498" t="n"/>
      <c r="FR8" s="498" t="n"/>
      <c r="FS8" s="498" t="n"/>
      <c r="FT8" s="498" t="n"/>
      <c r="FU8" s="498" t="n"/>
      <c r="FV8" s="498" t="n"/>
      <c r="FW8" s="498" t="n"/>
      <c r="FX8" s="498" t="n"/>
      <c r="FY8" s="498" t="n"/>
      <c r="FZ8" s="498" t="n"/>
      <c r="GA8" s="498" t="n"/>
      <c r="GB8" s="498" t="n"/>
      <c r="GC8" s="498" t="n"/>
      <c r="GD8" s="498" t="n"/>
      <c r="GE8" s="498" t="n"/>
      <c r="GF8" s="498" t="n"/>
      <c r="GG8" s="498" t="n"/>
      <c r="GH8" s="498" t="n"/>
      <c r="GI8" s="498" t="n"/>
      <c r="GJ8" s="498" t="n"/>
      <c r="GK8" s="498" t="n"/>
      <c r="GL8" s="498" t="n"/>
      <c r="GM8" s="498" t="n"/>
      <c r="GN8" s="498" t="n"/>
      <c r="GO8" s="498" t="n"/>
      <c r="GP8" s="498" t="n"/>
      <c r="GQ8" s="498" t="n"/>
      <c r="GR8" s="498" t="n"/>
      <c r="GS8" s="498" t="n"/>
      <c r="GT8" s="498" t="n"/>
      <c r="GU8" s="498" t="n"/>
      <c r="GV8" s="498" t="n"/>
      <c r="GW8" s="498" t="n"/>
      <c r="GX8" s="498" t="n"/>
      <c r="GY8" s="498" t="n"/>
      <c r="GZ8" s="498" t="n"/>
      <c r="HA8" s="498" t="n"/>
      <c r="HB8" s="498" t="n"/>
      <c r="HC8" s="498" t="n"/>
      <c r="HD8" s="498" t="n"/>
      <c r="HE8" s="498" t="n"/>
      <c r="HF8" s="498" t="n"/>
      <c r="HG8" s="498" t="n"/>
      <c r="HH8" s="498" t="n"/>
      <c r="HI8" s="498" t="n"/>
      <c r="HJ8" s="498" t="n"/>
      <c r="HK8" s="498" t="n"/>
      <c r="HL8" s="498" t="n"/>
      <c r="HM8" s="498" t="n"/>
      <c r="HN8" s="498" t="n"/>
      <c r="HO8" s="498" t="n"/>
      <c r="HP8" s="498" t="n"/>
      <c r="HQ8" s="498" t="n"/>
      <c r="HR8" s="498" t="n"/>
      <c r="HS8" s="498" t="n"/>
      <c r="HT8" s="498" t="n"/>
      <c r="HU8" s="498" t="n"/>
      <c r="HV8" s="498" t="n"/>
      <c r="HW8" s="498" t="n"/>
      <c r="HX8" s="498" t="n"/>
      <c r="HY8" s="498" t="n"/>
      <c r="HZ8" s="498" t="n"/>
      <c r="IA8" s="498" t="n"/>
      <c r="IB8" s="498" t="n"/>
      <c r="IC8" s="498" t="n"/>
      <c r="ID8" s="498" t="n"/>
      <c r="IE8" s="498" t="n"/>
      <c r="IF8" s="498" t="n"/>
      <c r="IG8" s="498" t="n"/>
      <c r="IH8" s="498" t="n"/>
      <c r="II8" s="498" t="n"/>
      <c r="IJ8" s="498" t="n"/>
      <c r="IK8" s="498" t="n"/>
      <c r="IL8" s="498" t="n"/>
      <c r="IM8" s="498" t="n"/>
      <c r="IN8" s="498" t="n"/>
      <c r="IO8" s="498" t="n"/>
      <c r="IP8" s="498" t="n"/>
      <c r="IQ8" s="498" t="n"/>
      <c r="IR8" s="498" t="n"/>
      <c r="IS8" s="498" t="n"/>
      <c r="IT8" s="498" t="n"/>
      <c r="IU8" s="498" t="n"/>
    </row>
    <row r="9" ht="12.75" customHeight="1" s="244">
      <c r="A9" s="499" t="n"/>
      <c r="B9" s="500" t="n"/>
      <c r="C9" s="500" t="inlineStr">
        <is>
          <t>C0</t>
        </is>
      </c>
      <c r="D9" s="501" t="inlineStr">
        <is>
          <t>watt/h</t>
        </is>
      </c>
      <c r="E9" s="499" t="inlineStr">
        <is>
          <t>m2</t>
        </is>
      </c>
      <c r="F9" s="502" t="inlineStr">
        <is>
          <t>watt/m2h</t>
        </is>
      </c>
      <c r="G9" s="502" t="inlineStr">
        <is>
          <t>watt/m2h</t>
        </is>
      </c>
      <c r="H9" s="499" t="inlineStr">
        <is>
          <t>m2</t>
        </is>
      </c>
      <c r="I9" s="499" t="n"/>
      <c r="J9" s="499" t="inlineStr">
        <is>
          <t>m</t>
        </is>
      </c>
      <c r="K9" s="499" t="inlineStr">
        <is>
          <t>Ad.</t>
        </is>
      </c>
      <c r="L9" s="499" t="inlineStr">
        <is>
          <t>Ad.</t>
        </is>
      </c>
      <c r="M9" s="499" t="inlineStr">
        <is>
          <t>m</t>
        </is>
      </c>
      <c r="N9" s="500" t="inlineStr">
        <is>
          <t>Watt</t>
        </is>
      </c>
      <c r="O9" s="503" t="n"/>
      <c r="P9" s="503" t="n"/>
      <c r="Q9" s="504" t="n"/>
      <c r="R9" s="504" t="n"/>
      <c r="S9" s="504" t="n"/>
      <c r="T9" s="504" t="n"/>
      <c r="U9" s="504" t="n"/>
      <c r="V9" s="504" t="n"/>
      <c r="W9" s="504" t="n"/>
      <c r="X9" s="504" t="n"/>
      <c r="Y9" s="504" t="n"/>
      <c r="Z9" s="504" t="n"/>
      <c r="AA9" s="504" t="n"/>
      <c r="AB9" s="504" t="n"/>
      <c r="AC9" s="504" t="n"/>
      <c r="AD9" s="504" t="n"/>
      <c r="AE9" s="504" t="n"/>
      <c r="AF9" s="504" t="n"/>
      <c r="AG9" s="504" t="n"/>
      <c r="AH9" s="504" t="n"/>
      <c r="AI9" s="504" t="n"/>
      <c r="AJ9" s="504" t="n"/>
      <c r="AK9" s="504" t="n"/>
      <c r="AL9" s="504" t="n"/>
      <c r="AM9" s="504" t="n"/>
      <c r="AN9" s="504" t="n"/>
      <c r="AO9" s="504" t="n"/>
      <c r="AP9" s="504" t="n"/>
      <c r="AQ9" s="504" t="n"/>
      <c r="AR9" s="504" t="n"/>
      <c r="AS9" s="504" t="n"/>
      <c r="AT9" s="504" t="n"/>
      <c r="AU9" s="504" t="n"/>
      <c r="AV9" s="504" t="n"/>
      <c r="AW9" s="504" t="n"/>
      <c r="AX9" s="504" t="n"/>
      <c r="AY9" s="504" t="n"/>
      <c r="AZ9" s="504" t="n"/>
      <c r="BA9" s="504" t="n"/>
      <c r="BB9" s="504" t="n"/>
      <c r="BC9" s="504" t="n"/>
      <c r="BD9" s="504" t="n"/>
      <c r="BE9" s="504" t="n"/>
      <c r="BF9" s="504" t="n"/>
      <c r="BG9" s="504" t="n"/>
      <c r="BH9" s="504" t="n"/>
      <c r="BI9" s="504" t="n"/>
      <c r="BJ9" s="504" t="n"/>
      <c r="BK9" s="504" t="n"/>
      <c r="BL9" s="504" t="n"/>
      <c r="BM9" s="504" t="n"/>
      <c r="BN9" s="504" t="n"/>
      <c r="BO9" s="504" t="n"/>
      <c r="BP9" s="504" t="n"/>
      <c r="BQ9" s="504" t="n"/>
      <c r="BR9" s="504" t="n"/>
      <c r="BS9" s="504" t="n"/>
      <c r="BT9" s="504" t="n"/>
      <c r="BU9" s="504" t="n"/>
      <c r="BV9" s="504" t="n"/>
      <c r="BW9" s="504" t="n"/>
      <c r="BX9" s="504" t="n"/>
      <c r="BY9" s="504" t="n"/>
      <c r="BZ9" s="504" t="n"/>
      <c r="CA9" s="504" t="n"/>
      <c r="CB9" s="504" t="n"/>
      <c r="CC9" s="504" t="n"/>
      <c r="CD9" s="504" t="n"/>
      <c r="CE9" s="504" t="n"/>
      <c r="CF9" s="504" t="n"/>
      <c r="CG9" s="504" t="n"/>
      <c r="CH9" s="504" t="n"/>
      <c r="CI9" s="504" t="n"/>
      <c r="CJ9" s="504" t="n"/>
      <c r="CK9" s="504" t="n"/>
      <c r="CL9" s="504" t="n"/>
      <c r="CM9" s="504" t="n"/>
      <c r="CN9" s="504" t="n"/>
      <c r="CO9" s="504" t="n"/>
      <c r="CP9" s="504" t="n"/>
      <c r="CQ9" s="504" t="n"/>
      <c r="CR9" s="504" t="n"/>
      <c r="CS9" s="504" t="n"/>
      <c r="CT9" s="504" t="n"/>
      <c r="CU9" s="504" t="n"/>
      <c r="CV9" s="504" t="n"/>
      <c r="CW9" s="504" t="n"/>
      <c r="CX9" s="504" t="n"/>
      <c r="CY9" s="504" t="n"/>
      <c r="CZ9" s="504" t="n"/>
      <c r="DA9" s="504" t="n"/>
      <c r="DB9" s="504" t="n"/>
      <c r="DC9" s="504" t="n"/>
      <c r="DD9" s="504" t="n"/>
      <c r="DE9" s="504" t="n"/>
      <c r="DF9" s="504" t="n"/>
      <c r="DG9" s="504" t="n"/>
      <c r="DH9" s="504" t="n"/>
      <c r="DI9" s="504" t="n"/>
      <c r="DJ9" s="504" t="n"/>
      <c r="DK9" s="504" t="n"/>
      <c r="DL9" s="504" t="n"/>
      <c r="DM9" s="504" t="n"/>
      <c r="DN9" s="504" t="n"/>
      <c r="DO9" s="504" t="n"/>
      <c r="DP9" s="504" t="n"/>
      <c r="DQ9" s="504" t="n"/>
      <c r="DR9" s="504" t="n"/>
      <c r="DS9" s="504" t="n"/>
      <c r="DT9" s="504" t="n"/>
      <c r="DU9" s="504" t="n"/>
      <c r="DV9" s="504" t="n"/>
      <c r="DW9" s="504" t="n"/>
      <c r="DX9" s="504" t="n"/>
      <c r="DY9" s="504" t="n"/>
      <c r="DZ9" s="504" t="n"/>
      <c r="EA9" s="504" t="n"/>
      <c r="EB9" s="504" t="n"/>
      <c r="EC9" s="504" t="n"/>
      <c r="ED9" s="504" t="n"/>
      <c r="EE9" s="504" t="n"/>
      <c r="EF9" s="504" t="n"/>
      <c r="EG9" s="504" t="n"/>
      <c r="EH9" s="504" t="n"/>
      <c r="EI9" s="504" t="n"/>
      <c r="EJ9" s="504" t="n"/>
      <c r="EK9" s="504" t="n"/>
      <c r="EL9" s="504" t="n"/>
      <c r="EM9" s="504" t="n"/>
      <c r="EN9" s="504" t="n"/>
      <c r="EO9" s="504" t="n"/>
      <c r="EP9" s="504" t="n"/>
      <c r="EQ9" s="504" t="n"/>
      <c r="ER9" s="504" t="n"/>
      <c r="ES9" s="504" t="n"/>
      <c r="ET9" s="504" t="n"/>
      <c r="EU9" s="504" t="n"/>
      <c r="EV9" s="504" t="n"/>
      <c r="EW9" s="504" t="n"/>
      <c r="EX9" s="504" t="n"/>
      <c r="EY9" s="504" t="n"/>
      <c r="EZ9" s="504" t="n"/>
      <c r="FA9" s="504" t="n"/>
      <c r="FB9" s="504" t="n"/>
      <c r="FC9" s="504" t="n"/>
      <c r="FD9" s="504" t="n"/>
      <c r="FE9" s="504" t="n"/>
      <c r="FF9" s="504" t="n"/>
      <c r="FG9" s="504" t="n"/>
      <c r="FH9" s="504" t="n"/>
      <c r="FI9" s="504" t="n"/>
      <c r="FJ9" s="504" t="n"/>
      <c r="FK9" s="504" t="n"/>
      <c r="FL9" s="504" t="n"/>
      <c r="FM9" s="504" t="n"/>
      <c r="FN9" s="504" t="n"/>
      <c r="FO9" s="504" t="n"/>
      <c r="FP9" s="504" t="n"/>
      <c r="FQ9" s="504" t="n"/>
      <c r="FR9" s="504" t="n"/>
      <c r="FS9" s="504" t="n"/>
      <c r="FT9" s="504" t="n"/>
      <c r="FU9" s="504" t="n"/>
      <c r="FV9" s="504" t="n"/>
      <c r="FW9" s="504" t="n"/>
      <c r="FX9" s="504" t="n"/>
      <c r="FY9" s="504" t="n"/>
      <c r="FZ9" s="504" t="n"/>
      <c r="GA9" s="504" t="n"/>
      <c r="GB9" s="504" t="n"/>
      <c r="GC9" s="504" t="n"/>
      <c r="GD9" s="504" t="n"/>
      <c r="GE9" s="504" t="n"/>
      <c r="GF9" s="504" t="n"/>
      <c r="GG9" s="504" t="n"/>
      <c r="GH9" s="504" t="n"/>
      <c r="GI9" s="504" t="n"/>
      <c r="GJ9" s="504" t="n"/>
      <c r="GK9" s="504" t="n"/>
      <c r="GL9" s="504" t="n"/>
      <c r="GM9" s="504" t="n"/>
      <c r="GN9" s="504" t="n"/>
      <c r="GO9" s="504" t="n"/>
      <c r="GP9" s="504" t="n"/>
      <c r="GQ9" s="504" t="n"/>
      <c r="GR9" s="504" t="n"/>
      <c r="GS9" s="504" t="n"/>
      <c r="GT9" s="504" t="n"/>
      <c r="GU9" s="504" t="n"/>
      <c r="GV9" s="504" t="n"/>
      <c r="GW9" s="504" t="n"/>
      <c r="GX9" s="504" t="n"/>
      <c r="GY9" s="504" t="n"/>
      <c r="GZ9" s="504" t="n"/>
      <c r="HA9" s="504" t="n"/>
      <c r="HB9" s="504" t="n"/>
      <c r="HC9" s="504" t="n"/>
      <c r="HD9" s="504" t="n"/>
      <c r="HE9" s="504" t="n"/>
      <c r="HF9" s="504" t="n"/>
      <c r="HG9" s="504" t="n"/>
      <c r="HH9" s="504" t="n"/>
      <c r="HI9" s="504" t="n"/>
      <c r="HJ9" s="504" t="n"/>
      <c r="HK9" s="504" t="n"/>
      <c r="HL9" s="504" t="n"/>
      <c r="HM9" s="504" t="n"/>
      <c r="HN9" s="504" t="n"/>
      <c r="HO9" s="504" t="n"/>
      <c r="HP9" s="504" t="n"/>
      <c r="HQ9" s="504" t="n"/>
      <c r="HR9" s="504" t="n"/>
      <c r="HS9" s="504" t="n"/>
      <c r="HT9" s="504" t="n"/>
      <c r="HU9" s="504" t="n"/>
      <c r="HV9" s="504" t="n"/>
      <c r="HW9" s="504" t="n"/>
      <c r="HX9" s="504" t="n"/>
      <c r="HY9" s="504" t="n"/>
      <c r="HZ9" s="504" t="n"/>
      <c r="IA9" s="504" t="n"/>
      <c r="IB9" s="504" t="n"/>
      <c r="IC9" s="504" t="n"/>
      <c r="ID9" s="504" t="n"/>
      <c r="IE9" s="504" t="n"/>
      <c r="IF9" s="504" t="n"/>
      <c r="IG9" s="504" t="n"/>
      <c r="IH9" s="504" t="n"/>
      <c r="II9" s="504" t="n"/>
      <c r="IJ9" s="504" t="n"/>
      <c r="IK9" s="504" t="n"/>
      <c r="IL9" s="504" t="n"/>
      <c r="IM9" s="504" t="n"/>
      <c r="IN9" s="504" t="n"/>
      <c r="IO9" s="504" t="n"/>
      <c r="IP9" s="504" t="n"/>
      <c r="IQ9" s="504" t="n"/>
      <c r="IR9" s="504" t="n"/>
      <c r="IS9" s="504" t="n"/>
      <c r="IT9" s="504" t="n"/>
      <c r="IU9" s="504" t="n"/>
    </row>
    <row r="10" ht="12.75" customHeight="1" s="244">
      <c r="A10" s="505">
        <f>'PETEK LİST'!A10</f>
        <v/>
      </c>
      <c r="B10" s="506">
        <f>'PETEK LİST'!B10</f>
        <v/>
      </c>
      <c r="C10" s="507">
        <f>'PETEK LİST'!C10</f>
        <v/>
      </c>
      <c r="D10" s="478">
        <f>'PETEK LİST'!D10</f>
        <v/>
      </c>
      <c r="E10" s="508" t="n">
        <v>19.38</v>
      </c>
      <c r="F10" s="509">
        <f>D10/E10</f>
        <v/>
      </c>
      <c r="G10" s="509">
        <f>76.263-0.539*F10</f>
        <v/>
      </c>
      <c r="H10" s="509">
        <f>D10/G10</f>
        <v/>
      </c>
      <c r="I10" s="505" t="n">
        <v>15</v>
      </c>
      <c r="J10" s="475">
        <f>'PETEK LİST'!G10</f>
        <v/>
      </c>
      <c r="K10" s="509">
        <f>J10/80</f>
        <v/>
      </c>
      <c r="L10" s="505" t="n">
        <v>3</v>
      </c>
      <c r="M10" s="505" t="n">
        <v>17.5</v>
      </c>
      <c r="N10" s="510">
        <f>J10*M10</f>
        <v/>
      </c>
    </row>
    <row r="11" ht="12.75" customHeight="1" s="244">
      <c r="A11" s="505">
        <f>'PETEK LİST'!A11</f>
        <v/>
      </c>
      <c r="B11" s="506">
        <f>'PETEK LİST'!B11</f>
        <v/>
      </c>
      <c r="C11" s="507">
        <f>'PETEK LİST'!C11</f>
        <v/>
      </c>
      <c r="D11" s="478">
        <f>'PETEK LİST'!D11</f>
        <v/>
      </c>
      <c r="E11" s="508" t="n">
        <v>9.48</v>
      </c>
      <c r="F11" s="509">
        <f>D11/E11</f>
        <v/>
      </c>
      <c r="G11" s="509">
        <f>76.263-0.539*F11</f>
        <v/>
      </c>
      <c r="H11" s="509">
        <f>D11/G11</f>
        <v/>
      </c>
      <c r="I11" s="505" t="n">
        <v>15</v>
      </c>
      <c r="J11" s="475">
        <f>'PETEK LİST'!G11</f>
        <v/>
      </c>
      <c r="K11" s="509">
        <f>J11/80</f>
        <v/>
      </c>
      <c r="L11" s="505" t="n">
        <v>1</v>
      </c>
      <c r="M11" s="505" t="n">
        <v>17.5</v>
      </c>
      <c r="N11" s="510">
        <f>J11*M11</f>
        <v/>
      </c>
    </row>
    <row r="12" ht="12.75" customHeight="1" s="244">
      <c r="A12" s="505">
        <f>'PETEK LİST'!A12</f>
        <v/>
      </c>
      <c r="B12" s="506">
        <f>'PETEK LİST'!B12</f>
        <v/>
      </c>
      <c r="C12" s="507">
        <f>'PETEK LİST'!C12</f>
        <v/>
      </c>
      <c r="D12" s="478">
        <f>'PETEK LİST'!D12</f>
        <v/>
      </c>
      <c r="E12" s="508" t="n">
        <v>10.84</v>
      </c>
      <c r="F12" s="509">
        <f>D12/E12</f>
        <v/>
      </c>
      <c r="G12" s="509">
        <f>76.263-0.539*F12</f>
        <v/>
      </c>
      <c r="H12" s="509">
        <f>D12/G12</f>
        <v/>
      </c>
      <c r="I12" s="505" t="n">
        <v>15</v>
      </c>
      <c r="J12" s="475">
        <f>'PETEK LİST'!G12</f>
        <v/>
      </c>
      <c r="K12" s="509">
        <f>J12/80</f>
        <v/>
      </c>
      <c r="L12" s="505" t="n">
        <v>1</v>
      </c>
      <c r="M12" s="505" t="n">
        <v>17.5</v>
      </c>
      <c r="N12" s="510">
        <f>J12*M12</f>
        <v/>
      </c>
    </row>
    <row r="13" ht="12.75" customHeight="1" s="244">
      <c r="A13" s="505">
        <f>'PETEK LİST'!A13</f>
        <v/>
      </c>
      <c r="B13" s="506">
        <f>'PETEK LİST'!B13</f>
        <v/>
      </c>
      <c r="C13" s="507">
        <f>'PETEK LİST'!C13</f>
        <v/>
      </c>
      <c r="D13" s="478">
        <f>'PETEK LİST'!D13</f>
        <v/>
      </c>
      <c r="E13" s="508" t="n">
        <v>7</v>
      </c>
      <c r="F13" s="509">
        <f>D13/E13</f>
        <v/>
      </c>
      <c r="G13" s="509">
        <f>76.263-0.539*F13</f>
        <v/>
      </c>
      <c r="H13" s="509">
        <f>D13/G13</f>
        <v/>
      </c>
      <c r="I13" s="505" t="n">
        <v>15</v>
      </c>
      <c r="J13" s="475">
        <f>'PETEK LİST'!G13</f>
        <v/>
      </c>
      <c r="K13" s="509">
        <f>J13/80</f>
        <v/>
      </c>
      <c r="L13" s="505" t="n">
        <v>1</v>
      </c>
      <c r="M13" s="505" t="n">
        <v>17.5</v>
      </c>
      <c r="N13" s="510">
        <f>J13*M13</f>
        <v/>
      </c>
    </row>
    <row r="14" ht="12.75" customHeight="1" s="244">
      <c r="A14" s="505">
        <f>'PETEK LİST'!A14</f>
        <v/>
      </c>
      <c r="B14" s="506">
        <f>'PETEK LİST'!B14</f>
        <v/>
      </c>
      <c r="C14" s="507">
        <f>'PETEK LİST'!C14</f>
        <v/>
      </c>
      <c r="D14" s="478">
        <f>'PETEK LİST'!D14</f>
        <v/>
      </c>
      <c r="E14" s="508" t="n">
        <v>4.29</v>
      </c>
      <c r="F14" s="509">
        <f>D14/E14</f>
        <v/>
      </c>
      <c r="G14" s="509">
        <f>76.263-0.539*F14</f>
        <v/>
      </c>
      <c r="H14" s="509">
        <f>D14/G14</f>
        <v/>
      </c>
      <c r="I14" s="505" t="n">
        <v>10</v>
      </c>
      <c r="J14" s="475">
        <f>'PETEK LİST'!G14</f>
        <v/>
      </c>
      <c r="K14" s="509">
        <f>J14/80</f>
        <v/>
      </c>
      <c r="L14" s="505" t="n">
        <v>1</v>
      </c>
      <c r="M14" s="505" t="n">
        <v>17.5</v>
      </c>
      <c r="N14" s="510">
        <f>J14*M14</f>
        <v/>
      </c>
    </row>
    <row r="15" ht="12.75" customHeight="1" s="244">
      <c r="A15" s="505">
        <f>'PETEK LİST'!A15</f>
        <v/>
      </c>
      <c r="B15" s="506">
        <f>'PETEK LİST'!B15</f>
        <v/>
      </c>
      <c r="C15" s="507">
        <f>'PETEK LİST'!C15</f>
        <v/>
      </c>
      <c r="D15" s="485">
        <f>'PETEK LİST'!D15</f>
        <v/>
      </c>
      <c r="E15" s="508" t="n">
        <v>9.17</v>
      </c>
      <c r="F15" s="509">
        <f>D15/E15</f>
        <v/>
      </c>
      <c r="G15" s="509">
        <f>76.263-0.539*F15</f>
        <v/>
      </c>
      <c r="H15" s="509">
        <f>D15/G15</f>
        <v/>
      </c>
      <c r="I15" s="505" t="n">
        <v>15</v>
      </c>
      <c r="J15" s="475">
        <f>'PETEK LİST'!G15</f>
        <v/>
      </c>
      <c r="K15" s="509">
        <f>J15/80</f>
        <v/>
      </c>
      <c r="L15" s="505" t="n">
        <v>1</v>
      </c>
      <c r="M15" s="505" t="n">
        <v>17.5</v>
      </c>
      <c r="N15" s="510">
        <f>J15*M15</f>
        <v/>
      </c>
    </row>
    <row r="16" ht="12.75" customHeight="1" s="244">
      <c r="A16" s="511">
        <f>'PETEK LİST'!A16</f>
        <v/>
      </c>
      <c r="B16" s="512">
        <f>'PETEK LİST'!B16</f>
        <v/>
      </c>
      <c r="C16" s="513">
        <f>'PETEK LİST'!C16</f>
        <v/>
      </c>
      <c r="D16" s="478">
        <f>'PETEK LİST'!D16</f>
        <v/>
      </c>
      <c r="E16" s="508" t="n">
        <v>22.18</v>
      </c>
      <c r="F16" s="509">
        <f>D16/E16</f>
        <v/>
      </c>
      <c r="G16" s="509">
        <f>76.263-0.539*F16</f>
        <v/>
      </c>
      <c r="H16" s="509">
        <f>D16/G16</f>
        <v/>
      </c>
      <c r="I16" s="505" t="n">
        <v>15</v>
      </c>
      <c r="J16" s="475">
        <f>'PETEK LİST'!G16</f>
        <v/>
      </c>
      <c r="K16" s="509">
        <f>J16/80</f>
        <v/>
      </c>
      <c r="L16" s="505" t="n">
        <v>2</v>
      </c>
      <c r="M16" s="505" t="n">
        <v>17.5</v>
      </c>
      <c r="N16" s="510">
        <f>J16*M16</f>
        <v/>
      </c>
    </row>
    <row r="17" ht="12.75" customHeight="1" s="244">
      <c r="A17" s="511">
        <f>'PETEK LİST'!A17</f>
        <v/>
      </c>
      <c r="B17" s="512">
        <f>'PETEK LİST'!B17</f>
        <v/>
      </c>
      <c r="C17" s="513">
        <f>'PETEK LİST'!C17</f>
        <v/>
      </c>
      <c r="D17" s="478">
        <f>'PETEK LİST'!D17</f>
        <v/>
      </c>
      <c r="E17" s="508" t="n">
        <v>8.93</v>
      </c>
      <c r="F17" s="509">
        <f>D17/E17</f>
        <v/>
      </c>
      <c r="G17" s="509">
        <f>76.263-0.539*F17</f>
        <v/>
      </c>
      <c r="H17" s="509">
        <f>D17/G17</f>
        <v/>
      </c>
      <c r="I17" s="505" t="n">
        <v>15</v>
      </c>
      <c r="J17" s="475">
        <f>'PETEK LİST'!G17</f>
        <v/>
      </c>
      <c r="K17" s="509">
        <f>J17/80</f>
        <v/>
      </c>
      <c r="L17" s="505" t="n">
        <v>1</v>
      </c>
      <c r="M17" s="505" t="n">
        <v>17.5</v>
      </c>
      <c r="N17" s="510">
        <f>J17*M17</f>
        <v/>
      </c>
    </row>
    <row r="18" ht="12.75" customHeight="1" s="244">
      <c r="A18" s="511">
        <f>'PETEK LİST'!A18</f>
        <v/>
      </c>
      <c r="B18" s="512">
        <f>'PETEK LİST'!B18</f>
        <v/>
      </c>
      <c r="C18" s="513">
        <f>'PETEK LİST'!C18</f>
        <v/>
      </c>
      <c r="D18" s="478">
        <f>'PETEK LİST'!D18</f>
        <v/>
      </c>
      <c r="E18" s="508" t="n">
        <v>9.76</v>
      </c>
      <c r="F18" s="509">
        <f>D18/E18</f>
        <v/>
      </c>
      <c r="G18" s="509">
        <f>76.263-0.539*F18</f>
        <v/>
      </c>
      <c r="H18" s="509">
        <f>D18/G18</f>
        <v/>
      </c>
      <c r="I18" s="505" t="n">
        <v>15</v>
      </c>
      <c r="J18" s="475">
        <f>'PETEK LİST'!G18</f>
        <v/>
      </c>
      <c r="K18" s="509">
        <f>J18/80</f>
        <v/>
      </c>
      <c r="L18" s="505" t="n">
        <v>1</v>
      </c>
      <c r="M18" s="505" t="n">
        <v>17.5</v>
      </c>
      <c r="N18" s="510">
        <f>J18*M18</f>
        <v/>
      </c>
    </row>
    <row r="19" ht="12.75" customHeight="1" s="244">
      <c r="A19" s="511">
        <f>'PETEK LİST'!A19</f>
        <v/>
      </c>
      <c r="B19" s="512">
        <f>'PETEK LİST'!B19</f>
        <v/>
      </c>
      <c r="C19" s="513">
        <f>'PETEK LİST'!C19</f>
        <v/>
      </c>
      <c r="D19" s="478">
        <f>'PETEK LİST'!D19</f>
        <v/>
      </c>
      <c r="E19" s="508" t="n">
        <v>8.1</v>
      </c>
      <c r="F19" s="509">
        <f>D19/E19</f>
        <v/>
      </c>
      <c r="G19" s="509">
        <f>76.263-0.539*F19</f>
        <v/>
      </c>
      <c r="H19" s="509">
        <f>D19/G19</f>
        <v/>
      </c>
      <c r="I19" s="505" t="n">
        <v>15</v>
      </c>
      <c r="J19" s="475">
        <f>'PETEK LİST'!G19</f>
        <v/>
      </c>
      <c r="K19" s="509">
        <f>J19/80</f>
        <v/>
      </c>
      <c r="L19" s="505" t="n">
        <v>1</v>
      </c>
      <c r="M19" s="505" t="n">
        <v>17.5</v>
      </c>
      <c r="N19" s="510">
        <f>J19*M19</f>
        <v/>
      </c>
    </row>
    <row r="20" ht="12.75" customHeight="1" s="244">
      <c r="A20" s="511">
        <f>'PETEK LİST'!A20</f>
        <v/>
      </c>
      <c r="B20" s="512">
        <f>'PETEK LİST'!B20</f>
        <v/>
      </c>
      <c r="C20" s="513">
        <f>'PETEK LİST'!C20</f>
        <v/>
      </c>
      <c r="D20" s="478">
        <f>'PETEK LİST'!D20</f>
        <v/>
      </c>
      <c r="E20" s="508" t="n">
        <v>4.29</v>
      </c>
      <c r="F20" s="509">
        <f>D20/E20</f>
        <v/>
      </c>
      <c r="G20" s="509">
        <f>76.263-0.539*F20</f>
        <v/>
      </c>
      <c r="H20" s="509">
        <f>D20/G20</f>
        <v/>
      </c>
      <c r="I20" s="505" t="n">
        <v>10</v>
      </c>
      <c r="J20" s="475">
        <f>'PETEK LİST'!G20</f>
        <v/>
      </c>
      <c r="K20" s="509">
        <f>J20/80</f>
        <v/>
      </c>
      <c r="L20" s="505" t="n">
        <v>1</v>
      </c>
      <c r="M20" s="505" t="n">
        <v>17.5</v>
      </c>
      <c r="N20" s="510">
        <f>J20*M20</f>
        <v/>
      </c>
    </row>
    <row r="21" ht="12.75" customHeight="1" s="244">
      <c r="A21" s="511">
        <f>'PETEK LİST'!A21</f>
        <v/>
      </c>
      <c r="B21" s="512">
        <f>'PETEK LİST'!B21</f>
        <v/>
      </c>
      <c r="C21" s="513">
        <f>'PETEK LİST'!C21</f>
        <v/>
      </c>
      <c r="D21" s="478">
        <f>'PETEK LİST'!D21</f>
        <v/>
      </c>
      <c r="E21" s="508" t="n">
        <v>11.86</v>
      </c>
      <c r="F21" s="509">
        <f>D21/E21</f>
        <v/>
      </c>
      <c r="G21" s="509">
        <f>76.263-0.539*F21</f>
        <v/>
      </c>
      <c r="H21" s="509">
        <f>D21/G21</f>
        <v/>
      </c>
      <c r="I21" s="505" t="n">
        <v>15</v>
      </c>
      <c r="J21" s="475">
        <f>'PETEK LİST'!G21</f>
        <v/>
      </c>
      <c r="K21" s="509">
        <f>J21/80</f>
        <v/>
      </c>
      <c r="L21" s="505" t="n">
        <v>1</v>
      </c>
      <c r="M21" s="505" t="n">
        <v>17.5</v>
      </c>
      <c r="N21" s="510">
        <f>J21*M21</f>
        <v/>
      </c>
    </row>
    <row r="22" ht="12.75" customHeight="1" s="244">
      <c r="A22" s="514" t="n"/>
      <c r="B22" s="514" t="n"/>
      <c r="C22" s="515" t="n"/>
      <c r="D22" s="516" t="n"/>
      <c r="E22" s="282" t="n"/>
      <c r="F22" s="517" t="n"/>
      <c r="G22" s="517" t="n"/>
      <c r="H22" s="517" t="n"/>
      <c r="I22" s="261" t="n"/>
      <c r="J22" s="514" t="n"/>
      <c r="K22" s="517" t="n"/>
      <c r="L22" s="261" t="n"/>
      <c r="M22" s="261" t="n"/>
      <c r="N22" s="518" t="n"/>
    </row>
    <row r="23" ht="12.75" customHeight="1" s="244">
      <c r="A23" s="511">
        <f>'PETEK LİST'!A23</f>
        <v/>
      </c>
      <c r="B23" s="512">
        <f>'PETEK LİST'!B23</f>
        <v/>
      </c>
      <c r="C23" s="513">
        <f>'PETEK LİST'!C23</f>
        <v/>
      </c>
      <c r="D23" s="478">
        <f>'PETEK LİST'!D23</f>
        <v/>
      </c>
      <c r="E23" s="508" t="n">
        <v>19.38</v>
      </c>
      <c r="F23" s="509">
        <f>D23/E23</f>
        <v/>
      </c>
      <c r="G23" s="509">
        <f>76.263-0.539*F23</f>
        <v/>
      </c>
      <c r="H23" s="509">
        <f>D23/G23</f>
        <v/>
      </c>
      <c r="I23" s="505" t="n">
        <v>15</v>
      </c>
      <c r="J23" s="475">
        <f>'PETEK LİST'!G23</f>
        <v/>
      </c>
      <c r="K23" s="509">
        <f>J23/80</f>
        <v/>
      </c>
      <c r="L23" s="505" t="n">
        <v>3</v>
      </c>
      <c r="M23" s="505" t="n">
        <v>17.5</v>
      </c>
      <c r="N23" s="510">
        <f>J23*M23</f>
        <v/>
      </c>
    </row>
    <row r="24">
      <c r="A24" s="505">
        <f>'PETEK LİST'!A24</f>
        <v/>
      </c>
      <c r="B24" s="506">
        <f>'PETEK LİST'!B24</f>
        <v/>
      </c>
      <c r="C24" s="507">
        <f>'PETEK LİST'!C24</f>
        <v/>
      </c>
      <c r="D24" s="485">
        <f>'PETEK LİST'!D24</f>
        <v/>
      </c>
      <c r="E24" s="508" t="n">
        <v>9.48</v>
      </c>
      <c r="F24" s="509">
        <f>D24/E24</f>
        <v/>
      </c>
      <c r="G24" s="509">
        <f>76.263-0.539*F24</f>
        <v/>
      </c>
      <c r="H24" s="509">
        <f>D24/G24</f>
        <v/>
      </c>
      <c r="I24" s="505" t="n">
        <v>15</v>
      </c>
      <c r="J24" s="482">
        <f>'PETEK LİST'!G24</f>
        <v/>
      </c>
      <c r="K24" s="509">
        <f>J24/80</f>
        <v/>
      </c>
      <c r="L24" s="505" t="n">
        <v>1</v>
      </c>
      <c r="M24" s="505" t="n">
        <v>17.5</v>
      </c>
      <c r="N24" s="510">
        <f>J24*M24</f>
        <v/>
      </c>
    </row>
    <row r="25">
      <c r="A25" s="505">
        <f>'PETEK LİST'!A25</f>
        <v/>
      </c>
      <c r="B25" s="506">
        <f>'PETEK LİST'!B25</f>
        <v/>
      </c>
      <c r="C25" s="507">
        <f>'PETEK LİST'!C25</f>
        <v/>
      </c>
      <c r="D25" s="485">
        <f>'PETEK LİST'!D25</f>
        <v/>
      </c>
      <c r="E25" s="508" t="n">
        <v>10.84</v>
      </c>
      <c r="F25" s="509">
        <f>D25/E25</f>
        <v/>
      </c>
      <c r="G25" s="509">
        <f>76.263-0.539*F25</f>
        <v/>
      </c>
      <c r="H25" s="509">
        <f>D25/G25</f>
        <v/>
      </c>
      <c r="I25" s="505" t="n">
        <v>15</v>
      </c>
      <c r="J25" s="482">
        <f>'PETEK LİST'!G25</f>
        <v/>
      </c>
      <c r="K25" s="509">
        <f>J25/80</f>
        <v/>
      </c>
      <c r="L25" s="505" t="n">
        <v>1</v>
      </c>
      <c r="M25" s="505" t="n">
        <v>17.5</v>
      </c>
      <c r="N25" s="510">
        <f>J25*M25</f>
        <v/>
      </c>
    </row>
    <row r="26">
      <c r="A26" s="505">
        <f>'PETEK LİST'!A26</f>
        <v/>
      </c>
      <c r="B26" s="506">
        <f>'PETEK LİST'!B26</f>
        <v/>
      </c>
      <c r="C26" s="507">
        <f>'PETEK LİST'!C26</f>
        <v/>
      </c>
      <c r="D26" s="485">
        <f>'PETEK LİST'!D26</f>
        <v/>
      </c>
      <c r="E26" s="508" t="n">
        <v>7</v>
      </c>
      <c r="F26" s="509">
        <f>D26/E26</f>
        <v/>
      </c>
      <c r="G26" s="509">
        <f>76.263-0.539*F26</f>
        <v/>
      </c>
      <c r="H26" s="509">
        <f>D26/G26</f>
        <v/>
      </c>
      <c r="I26" s="505" t="n">
        <v>15</v>
      </c>
      <c r="J26" s="482">
        <f>'PETEK LİST'!G26</f>
        <v/>
      </c>
      <c r="K26" s="509">
        <f>J26/80</f>
        <v/>
      </c>
      <c r="L26" s="505" t="n">
        <v>1</v>
      </c>
      <c r="M26" s="505" t="n">
        <v>17.5</v>
      </c>
      <c r="N26" s="510">
        <f>J26*M26</f>
        <v/>
      </c>
    </row>
    <row r="27">
      <c r="A27" s="505">
        <f>'PETEK LİST'!A27</f>
        <v/>
      </c>
      <c r="B27" s="506">
        <f>'PETEK LİST'!B27</f>
        <v/>
      </c>
      <c r="C27" s="507">
        <f>'PETEK LİST'!C27</f>
        <v/>
      </c>
      <c r="D27" s="485">
        <f>'PETEK LİST'!D27</f>
        <v/>
      </c>
      <c r="E27" s="508" t="n">
        <v>4.29</v>
      </c>
      <c r="F27" s="509">
        <f>D27/E27</f>
        <v/>
      </c>
      <c r="G27" s="509">
        <f>76.263-0.539*F27</f>
        <v/>
      </c>
      <c r="H27" s="509">
        <f>D27/G27</f>
        <v/>
      </c>
      <c r="I27" s="505" t="n">
        <v>10</v>
      </c>
      <c r="J27" s="482">
        <f>'PETEK LİST'!G27</f>
        <v/>
      </c>
      <c r="K27" s="509">
        <f>J27/80</f>
        <v/>
      </c>
      <c r="L27" s="505" t="n">
        <v>1</v>
      </c>
      <c r="M27" s="505" t="n">
        <v>17.5</v>
      </c>
      <c r="N27" s="510">
        <f>J27*M27</f>
        <v/>
      </c>
    </row>
    <row r="28">
      <c r="A28" s="505">
        <f>'PETEK LİST'!A28</f>
        <v/>
      </c>
      <c r="B28" s="506">
        <f>'PETEK LİST'!B28</f>
        <v/>
      </c>
      <c r="C28" s="507">
        <f>'PETEK LİST'!C28</f>
        <v/>
      </c>
      <c r="D28" s="485">
        <f>'PETEK LİST'!D28</f>
        <v/>
      </c>
      <c r="E28" s="508" t="n">
        <v>9.17</v>
      </c>
      <c r="F28" s="509">
        <f>D28/E28</f>
        <v/>
      </c>
      <c r="G28" s="509">
        <f>76.263-0.539*F28</f>
        <v/>
      </c>
      <c r="H28" s="509">
        <f>D28/G28</f>
        <v/>
      </c>
      <c r="I28" s="505" t="n">
        <v>15</v>
      </c>
      <c r="J28" s="482">
        <f>'PETEK LİST'!G28</f>
        <v/>
      </c>
      <c r="K28" s="509">
        <f>J28/80</f>
        <v/>
      </c>
      <c r="L28" s="505" t="n">
        <v>1</v>
      </c>
      <c r="M28" s="505" t="n">
        <v>17.5</v>
      </c>
      <c r="N28" s="510">
        <f>J28*M28</f>
        <v/>
      </c>
    </row>
    <row r="29">
      <c r="A29" s="505">
        <f>'PETEK LİST'!A29</f>
        <v/>
      </c>
      <c r="B29" s="506">
        <f>'PETEK LİST'!B29</f>
        <v/>
      </c>
      <c r="C29" s="507">
        <f>'PETEK LİST'!C29</f>
        <v/>
      </c>
      <c r="D29" s="485">
        <f>'PETEK LİST'!D29</f>
        <v/>
      </c>
      <c r="E29" s="508" t="n">
        <v>22.18</v>
      </c>
      <c r="F29" s="509">
        <f>D29/E29</f>
        <v/>
      </c>
      <c r="G29" s="509">
        <f>76.263-0.539*F29</f>
        <v/>
      </c>
      <c r="H29" s="509">
        <f>D29/G29</f>
        <v/>
      </c>
      <c r="I29" s="505" t="n">
        <v>15</v>
      </c>
      <c r="J29" s="482">
        <f>'PETEK LİST'!G29</f>
        <v/>
      </c>
      <c r="K29" s="509">
        <f>J29/80</f>
        <v/>
      </c>
      <c r="L29" s="505" t="n">
        <v>2</v>
      </c>
      <c r="M29" s="505" t="n">
        <v>17.5</v>
      </c>
      <c r="N29" s="510">
        <f>J29*M29</f>
        <v/>
      </c>
    </row>
    <row r="30">
      <c r="A30" s="505">
        <f>'PETEK LİST'!A30</f>
        <v/>
      </c>
      <c r="B30" s="506">
        <f>'PETEK LİST'!B30</f>
        <v/>
      </c>
      <c r="C30" s="507">
        <f>'PETEK LİST'!C30</f>
        <v/>
      </c>
      <c r="D30" s="485">
        <f>'PETEK LİST'!D30</f>
        <v/>
      </c>
      <c r="E30" s="508" t="n">
        <v>8.93</v>
      </c>
      <c r="F30" s="509">
        <f>D30/E30</f>
        <v/>
      </c>
      <c r="G30" s="509">
        <f>76.263-0.539*F30</f>
        <v/>
      </c>
      <c r="H30" s="509">
        <f>D30/G30</f>
        <v/>
      </c>
      <c r="I30" s="505" t="n">
        <v>15</v>
      </c>
      <c r="J30" s="482">
        <f>'PETEK LİST'!G30</f>
        <v/>
      </c>
      <c r="K30" s="509">
        <f>J30/80</f>
        <v/>
      </c>
      <c r="L30" s="505" t="n">
        <v>1</v>
      </c>
      <c r="M30" s="505" t="n">
        <v>17.5</v>
      </c>
      <c r="N30" s="510">
        <f>J30*M30</f>
        <v/>
      </c>
    </row>
    <row r="31">
      <c r="A31" s="505">
        <f>'PETEK LİST'!A31</f>
        <v/>
      </c>
      <c r="B31" s="506">
        <f>'PETEK LİST'!B31</f>
        <v/>
      </c>
      <c r="C31" s="507">
        <f>'PETEK LİST'!C31</f>
        <v/>
      </c>
      <c r="D31" s="485">
        <f>'PETEK LİST'!D31</f>
        <v/>
      </c>
      <c r="E31" s="508" t="n">
        <v>9.76</v>
      </c>
      <c r="F31" s="509">
        <f>D31/E31</f>
        <v/>
      </c>
      <c r="G31" s="509">
        <f>76.263-0.539*F31</f>
        <v/>
      </c>
      <c r="H31" s="509">
        <f>D31/G31</f>
        <v/>
      </c>
      <c r="I31" s="505" t="n">
        <v>15</v>
      </c>
      <c r="J31" s="482">
        <f>'PETEK LİST'!G31</f>
        <v/>
      </c>
      <c r="K31" s="509">
        <f>J31/80</f>
        <v/>
      </c>
      <c r="L31" s="505" t="n">
        <v>1</v>
      </c>
      <c r="M31" s="505" t="n">
        <v>17.5</v>
      </c>
      <c r="N31" s="510">
        <f>J31*M31</f>
        <v/>
      </c>
    </row>
    <row r="32">
      <c r="A32" s="505">
        <f>'PETEK LİST'!A32</f>
        <v/>
      </c>
      <c r="B32" s="506">
        <f>'PETEK LİST'!B32</f>
        <v/>
      </c>
      <c r="C32" s="507">
        <f>'PETEK LİST'!C32</f>
        <v/>
      </c>
      <c r="D32" s="485">
        <f>'PETEK LİST'!D32</f>
        <v/>
      </c>
      <c r="E32" s="508" t="n">
        <v>8.1</v>
      </c>
      <c r="F32" s="509">
        <f>D32/E32</f>
        <v/>
      </c>
      <c r="G32" s="509">
        <f>76.263-0.539*F32</f>
        <v/>
      </c>
      <c r="H32" s="509">
        <f>D32/G32</f>
        <v/>
      </c>
      <c r="I32" s="505" t="n">
        <v>15</v>
      </c>
      <c r="J32" s="482">
        <f>'PETEK LİST'!G32</f>
        <v/>
      </c>
      <c r="K32" s="509">
        <f>J32/80</f>
        <v/>
      </c>
      <c r="L32" s="505" t="n">
        <v>1</v>
      </c>
      <c r="M32" s="505" t="n">
        <v>17.5</v>
      </c>
      <c r="N32" s="510">
        <f>J32*M32</f>
        <v/>
      </c>
    </row>
    <row r="33">
      <c r="A33" s="505">
        <f>'PETEK LİST'!A33</f>
        <v/>
      </c>
      <c r="B33" s="506">
        <f>'PETEK LİST'!B33</f>
        <v/>
      </c>
      <c r="C33" s="507">
        <f>'PETEK LİST'!C33</f>
        <v/>
      </c>
      <c r="D33" s="485">
        <f>'PETEK LİST'!D33</f>
        <v/>
      </c>
      <c r="E33" s="508" t="n">
        <v>4.29</v>
      </c>
      <c r="F33" s="509">
        <f>D33/E33</f>
        <v/>
      </c>
      <c r="G33" s="509">
        <f>76.263-0.539*F33</f>
        <v/>
      </c>
      <c r="H33" s="509">
        <f>D33/G33</f>
        <v/>
      </c>
      <c r="I33" s="505" t="n">
        <v>10</v>
      </c>
      <c r="J33" s="482">
        <f>'PETEK LİST'!G33</f>
        <v/>
      </c>
      <c r="K33" s="509">
        <f>J33/80</f>
        <v/>
      </c>
      <c r="L33" s="505" t="n">
        <v>1</v>
      </c>
      <c r="M33" s="505" t="n">
        <v>17.5</v>
      </c>
      <c r="N33" s="510">
        <f>J33*M33</f>
        <v/>
      </c>
    </row>
    <row r="34">
      <c r="A34" s="505">
        <f>'PETEK LİST'!A34</f>
        <v/>
      </c>
      <c r="B34" s="506">
        <f>'PETEK LİST'!B34</f>
        <v/>
      </c>
      <c r="C34" s="507">
        <f>'PETEK LİST'!C34</f>
        <v/>
      </c>
      <c r="D34" s="485">
        <f>'PETEK LİST'!D34</f>
        <v/>
      </c>
      <c r="E34" s="508" t="n">
        <v>11.86</v>
      </c>
      <c r="F34" s="509">
        <f>D34/E34</f>
        <v/>
      </c>
      <c r="G34" s="509">
        <f>76.263-0.539*F34</f>
        <v/>
      </c>
      <c r="H34" s="509">
        <f>D34/G34</f>
        <v/>
      </c>
      <c r="I34" s="505" t="n">
        <v>15</v>
      </c>
      <c r="J34" s="482">
        <f>'PETEK LİST'!G34</f>
        <v/>
      </c>
      <c r="K34" s="509">
        <f>J34/80</f>
        <v/>
      </c>
      <c r="L34" s="505" t="n">
        <v>1</v>
      </c>
      <c r="M34" s="505" t="n">
        <v>17.5</v>
      </c>
      <c r="N34" s="510">
        <f>J34*M34</f>
        <v/>
      </c>
    </row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mergeCells count="10">
    <mergeCell ref="H5:N5"/>
    <mergeCell ref="L1:N2"/>
    <mergeCell ref="A6:G6"/>
    <mergeCell ref="H3:K4"/>
    <mergeCell ref="A1:B4"/>
    <mergeCell ref="C1:G4"/>
    <mergeCell ref="H6:N6"/>
    <mergeCell ref="H1:K2"/>
    <mergeCell ref="L3:N4"/>
    <mergeCell ref="A5:G5"/>
  </mergeCells>
  <conditionalFormatting sqref="J12">
    <cfRule type="cellIs" rank="0" priority="2" equalAverage="0" operator="greaterThan" aboveAverage="0" dxfId="1" text="" percent="0" bottom="0">
      <formula>G12*1.4</formula>
    </cfRule>
  </conditionalFormatting>
  <conditionalFormatting sqref="J13">
    <cfRule type="cellIs" rank="0" priority="3" equalAverage="0" operator="greaterThan" aboveAverage="0" dxfId="1" text="" percent="0" bottom="0">
      <formula>G13*1.4</formula>
    </cfRule>
  </conditionalFormatting>
  <conditionalFormatting sqref="J14:J15">
    <cfRule type="cellIs" rank="0" priority="4" equalAverage="0" operator="greaterThan" aboveAverage="0" dxfId="1" text="" percent="0" bottom="0">
      <formula>G14*1.4</formula>
    </cfRule>
  </conditionalFormatting>
  <conditionalFormatting sqref="J16:J17 J19">
    <cfRule type="cellIs" rank="0" priority="5" equalAverage="0" operator="greaterThan" aboveAverage="0" dxfId="1" text="" percent="0" bottom="0">
      <formula>G16*1.4</formula>
    </cfRule>
  </conditionalFormatting>
  <conditionalFormatting sqref="J20">
    <cfRule type="cellIs" rank="0" priority="6" equalAverage="0" operator="greaterThan" aboveAverage="0" dxfId="1" text="" percent="0" bottom="0">
      <formula>G20*1.4</formula>
    </cfRule>
  </conditionalFormatting>
  <conditionalFormatting sqref="J23">
    <cfRule type="cellIs" rank="0" priority="7" equalAverage="0" operator="greaterThan" aboveAverage="0" dxfId="1" text="" percent="0" bottom="0">
      <formula>G23*1.4</formula>
    </cfRule>
  </conditionalFormatting>
  <conditionalFormatting sqref="J21">
    <cfRule type="cellIs" rank="0" priority="8" equalAverage="0" operator="greaterThan" aboveAverage="0" dxfId="1" text="" percent="0" bottom="0">
      <formula>G21*1.4</formula>
    </cfRule>
  </conditionalFormatting>
  <conditionalFormatting sqref="J18">
    <cfRule type="cellIs" rank="0" priority="9" equalAverage="0" operator="greaterThan" aboveAverage="0" dxfId="1" text="" percent="0" bottom="0">
      <formula>G18*1.4</formula>
    </cfRule>
  </conditionalFormatting>
  <conditionalFormatting sqref="J11">
    <cfRule type="cellIs" rank="0" priority="10" equalAverage="0" operator="greaterThan" aboveAverage="0" dxfId="1" text="" percent="0" bottom="0">
      <formula>G11*1.4</formula>
    </cfRule>
  </conditionalFormatting>
  <conditionalFormatting sqref="J10">
    <cfRule type="cellIs" rank="0" priority="11" equalAverage="0" operator="greaterThan" aboveAverage="0" dxfId="1" text="" percent="0" bottom="0">
      <formula>G10*1.4</formula>
    </cfRule>
  </conditionalFormatting>
  <conditionalFormatting sqref="J22">
    <cfRule type="cellIs" rank="0" priority="12" equalAverage="0" operator="greaterThan" aboveAverage="0" dxfId="1" text="" percent="0" bottom="0">
      <formula>G22*1.4</formula>
    </cfRule>
  </conditionalFormatting>
  <printOptions horizontalCentered="0" verticalCentered="0" headings="0" gridLines="0" gridLinesSet="1"/>
  <pageMargins left="0.25" right="0.25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BH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19" activeCellId="0" sqref="I19"/>
    </sheetView>
  </sheetViews>
  <sheetFormatPr baseColWidth="8" defaultColWidth="9.0546875" defaultRowHeight="12.75" zeroHeight="0" outlineLevelRow="0"/>
  <cols>
    <col width="4.14" customWidth="1" style="243" min="1" max="1"/>
    <col width="9.699999999999999" customWidth="1" style="243" min="2" max="2"/>
    <col width="34.71" customWidth="1" style="243" min="3" max="3"/>
    <col width="25.13" customWidth="1" style="266" min="4" max="4"/>
    <col width="6.41" customWidth="1" style="519" min="5" max="5"/>
    <col width="6.56" customWidth="1" style="519" min="6" max="6"/>
    <col width="6.41" customWidth="1" style="519" min="7" max="7"/>
    <col width="11.13" customWidth="1" style="243" min="8" max="8"/>
    <col width="5.28" customWidth="1" style="243" min="9" max="13"/>
    <col width="8.140000000000001" customWidth="1" style="243" min="14" max="14"/>
    <col width="5.28" customWidth="1" style="243" min="15" max="16"/>
    <col width="6.7" customWidth="1" style="243" min="17" max="21"/>
    <col width="7.99" customWidth="1" style="243" min="22" max="25"/>
    <col width="6.85" customWidth="1" style="243" min="26" max="26"/>
  </cols>
  <sheetData>
    <row r="1" ht="12.75" customHeight="1" s="244">
      <c r="A1" s="520" t="inlineStr">
        <is>
          <t>YERDEN ISITMA HESABI</t>
        </is>
      </c>
      <c r="B1" s="264" t="n"/>
      <c r="C1" s="264" t="n"/>
      <c r="D1" s="264" t="n"/>
      <c r="E1" s="264" t="n"/>
      <c r="F1" s="264" t="n"/>
      <c r="G1" s="264" t="n"/>
      <c r="H1" s="264" t="n"/>
      <c r="I1" s="264" t="n"/>
      <c r="J1" s="521" t="n"/>
      <c r="K1" s="521" t="n"/>
      <c r="L1" s="521" t="n"/>
      <c r="M1" s="521" t="n"/>
      <c r="N1" s="521" t="n"/>
      <c r="O1" s="521" t="n"/>
      <c r="P1" s="521" t="n"/>
      <c r="Q1" s="521" t="n"/>
      <c r="R1" s="521" t="n"/>
      <c r="S1" s="521" t="n"/>
      <c r="T1" s="521" t="n"/>
      <c r="U1" s="521" t="n"/>
    </row>
    <row r="2" ht="12.75" customFormat="1" customHeight="1" s="464">
      <c r="A2" s="522" t="inlineStr">
        <is>
          <t>1. KAT (DAİRE 1 - DAİRE 2)</t>
        </is>
      </c>
      <c r="B2" s="468" t="n"/>
      <c r="C2" s="523" t="inlineStr">
        <is>
          <t>DÖŞEMEDEN ISITMA HESAP ÖZETİ</t>
        </is>
      </c>
      <c r="D2" s="524" t="inlineStr">
        <is>
          <t>Ts.g  = 50 °C</t>
        </is>
      </c>
      <c r="E2" s="525" t="inlineStr">
        <is>
          <t>TOPLAM ISI KAYBI = 5159 W</t>
        </is>
      </c>
      <c r="F2" s="264" t="n"/>
      <c r="G2" s="264" t="n"/>
      <c r="H2" s="264" t="n"/>
      <c r="I2" s="260" t="n"/>
      <c r="J2" s="526" t="n"/>
      <c r="K2" s="526" t="n"/>
      <c r="L2" s="526" t="n"/>
      <c r="M2" s="526" t="n"/>
      <c r="N2" s="526" t="n"/>
      <c r="O2" s="526" t="n"/>
      <c r="P2" s="526" t="n"/>
      <c r="Q2" s="526" t="n"/>
      <c r="R2" s="526" t="n"/>
      <c r="S2" s="526" t="n"/>
      <c r="T2" s="526" t="n"/>
      <c r="U2" s="526" t="n"/>
    </row>
    <row r="3" ht="8.25" customFormat="1" customHeight="1" s="464">
      <c r="A3" s="467" t="n"/>
      <c r="B3" s="468" t="n"/>
      <c r="C3" s="472" t="n"/>
      <c r="D3" s="527" t="inlineStr">
        <is>
          <t>Isıtma Çevrim Sayısı : 13</t>
        </is>
      </c>
      <c r="E3" s="525" t="inlineStr">
        <is>
          <t>MAX. BASINÇ KAYBI = 3888 Pa</t>
        </is>
      </c>
      <c r="F3" s="250" t="n"/>
      <c r="G3" s="250" t="n"/>
      <c r="H3" s="250" t="n"/>
      <c r="I3" s="275" t="n"/>
      <c r="J3" s="526" t="n"/>
      <c r="K3" s="526" t="n"/>
      <c r="L3" s="526" t="n"/>
      <c r="M3" s="526" t="n"/>
      <c r="N3" s="526" t="n"/>
      <c r="O3" s="526" t="n"/>
      <c r="P3" s="526" t="n"/>
      <c r="Q3" s="526" t="n"/>
      <c r="R3" s="526" t="n"/>
      <c r="S3" s="526" t="n"/>
      <c r="T3" s="526" t="n"/>
      <c r="U3" s="526" t="n"/>
    </row>
    <row r="4" ht="5.25" customFormat="1" customHeight="1" s="464">
      <c r="A4" s="467" t="n"/>
      <c r="B4" s="468" t="n"/>
      <c r="C4" s="472" t="n"/>
      <c r="D4" s="303" t="n"/>
      <c r="E4" s="278" t="n"/>
      <c r="F4" s="256" t="n"/>
      <c r="G4" s="256" t="n"/>
      <c r="H4" s="256" t="n"/>
      <c r="I4" s="277" t="n"/>
      <c r="J4" s="526" t="n"/>
      <c r="K4" s="526" t="n"/>
      <c r="L4" s="526" t="n"/>
      <c r="M4" s="526" t="n"/>
      <c r="N4" s="526" t="n"/>
      <c r="O4" s="526" t="n"/>
      <c r="P4" s="526" t="n"/>
      <c r="Q4" s="526" t="n"/>
      <c r="R4" s="526" t="n"/>
      <c r="S4" s="526" t="n"/>
      <c r="T4" s="526" t="n"/>
      <c r="U4" s="526" t="n"/>
    </row>
    <row r="5" ht="15" customFormat="1" customHeight="1" s="464">
      <c r="A5" s="278" t="n"/>
      <c r="B5" s="277" t="n"/>
      <c r="C5" s="303" t="n"/>
      <c r="D5" s="466" t="inlineStr">
        <is>
          <t>Mak. Müh. Bayram GENÇ</t>
        </is>
      </c>
      <c r="E5" s="264" t="n"/>
      <c r="F5" s="264" t="n"/>
      <c r="G5" s="264" t="n"/>
      <c r="H5" s="264" t="n"/>
      <c r="I5" s="260" t="n"/>
      <c r="J5" s="528" t="n"/>
      <c r="K5" s="528" t="n"/>
      <c r="L5" s="528" t="n"/>
      <c r="M5" s="528" t="n"/>
      <c r="N5" s="528" t="n"/>
      <c r="O5" s="528" t="n"/>
      <c r="P5" s="528" t="n"/>
      <c r="Q5" s="492" t="n"/>
      <c r="R5" s="492" t="n"/>
      <c r="S5" s="492" t="n"/>
      <c r="T5" s="492" t="n"/>
      <c r="U5" s="492" t="n"/>
    </row>
    <row r="6" ht="12" customHeight="1" s="244">
      <c r="A6" s="529" t="n"/>
      <c r="B6" s="529" t="n"/>
      <c r="C6" s="529" t="n"/>
      <c r="D6" s="529" t="n"/>
      <c r="E6" s="530" t="n"/>
      <c r="F6" s="530" t="n"/>
      <c r="G6" s="530" t="n"/>
      <c r="H6" s="243" t="n"/>
      <c r="I6" s="243" t="n"/>
      <c r="J6" s="243" t="n"/>
      <c r="K6" s="243" t="n"/>
      <c r="L6" s="243" t="n"/>
      <c r="M6" s="243" t="n"/>
      <c r="N6" s="243" t="n"/>
      <c r="O6" s="243" t="n"/>
      <c r="P6" s="243" t="n"/>
      <c r="Q6" s="243" t="n"/>
      <c r="R6" s="243" t="n"/>
      <c r="S6" s="243" t="n"/>
      <c r="T6" s="243" t="n"/>
      <c r="U6" s="243" t="n"/>
    </row>
    <row r="7" ht="12" customHeight="1" s="244">
      <c r="A7" s="261" t="n"/>
      <c r="B7" s="531" t="n"/>
      <c r="C7" s="532" t="n"/>
      <c r="D7" s="531" t="n"/>
      <c r="E7" s="533" t="n"/>
      <c r="F7" s="534" t="inlineStr">
        <is>
          <t>P2</t>
        </is>
      </c>
      <c r="G7" s="534" t="inlineStr">
        <is>
          <t>P1</t>
        </is>
      </c>
      <c r="H7" s="534" t="inlineStr">
        <is>
          <t>P3</t>
        </is>
      </c>
      <c r="I7" s="534" t="inlineStr">
        <is>
          <t>P7</t>
        </is>
      </c>
      <c r="J7" s="534" t="inlineStr">
        <is>
          <t>P4</t>
        </is>
      </c>
      <c r="K7" s="534" t="inlineStr">
        <is>
          <t>P5</t>
        </is>
      </c>
      <c r="L7" s="534" t="inlineStr">
        <is>
          <t>P6</t>
        </is>
      </c>
      <c r="M7" s="534" t="inlineStr">
        <is>
          <t>P4</t>
        </is>
      </c>
      <c r="N7" s="534" t="inlineStr">
        <is>
          <t>P5</t>
        </is>
      </c>
      <c r="O7" s="534" t="inlineStr">
        <is>
          <t>P6</t>
        </is>
      </c>
      <c r="P7" s="534" t="inlineStr">
        <is>
          <t>P2</t>
        </is>
      </c>
      <c r="Q7" s="534" t="inlineStr">
        <is>
          <t>P1</t>
        </is>
      </c>
      <c r="R7" s="534" t="inlineStr">
        <is>
          <t>P3</t>
        </is>
      </c>
      <c r="S7" s="533" t="n"/>
      <c r="T7" s="533" t="n"/>
      <c r="U7" s="533" t="n"/>
      <c r="V7" s="535" t="n"/>
      <c r="W7" s="535" t="n"/>
      <c r="X7" s="533" t="n"/>
      <c r="Y7" s="535" t="n"/>
      <c r="Z7" s="535" t="n"/>
    </row>
    <row r="8" ht="12" customHeight="1" s="244">
      <c r="A8" s="261" t="n"/>
      <c r="B8" s="531" t="n"/>
      <c r="C8" s="532" t="n"/>
      <c r="D8" s="531" t="n"/>
      <c r="E8" s="533" t="n"/>
      <c r="F8" s="536" t="inlineStr">
        <is>
          <t>Z101</t>
        </is>
      </c>
      <c r="G8" s="536" t="inlineStr">
        <is>
          <t>Z101</t>
        </is>
      </c>
      <c r="H8" s="536" t="inlineStr">
        <is>
          <t>Z101</t>
        </is>
      </c>
      <c r="I8" s="536" t="inlineStr">
        <is>
          <t>Z102</t>
        </is>
      </c>
      <c r="J8" s="536" t="inlineStr">
        <is>
          <t>Z103</t>
        </is>
      </c>
      <c r="K8" s="536" t="inlineStr">
        <is>
          <t>Z104</t>
        </is>
      </c>
      <c r="L8" s="536" t="inlineStr">
        <is>
          <t>Z105</t>
        </is>
      </c>
      <c r="M8" s="536" t="inlineStr">
        <is>
          <t>Z111</t>
        </is>
      </c>
      <c r="N8" s="536" t="inlineStr">
        <is>
          <t>Z111</t>
        </is>
      </c>
      <c r="O8" s="536" t="inlineStr">
        <is>
          <t>Z112</t>
        </is>
      </c>
      <c r="P8" s="536" t="inlineStr">
        <is>
          <t>Z113</t>
        </is>
      </c>
      <c r="Q8" s="536" t="inlineStr">
        <is>
          <t>Z114</t>
        </is>
      </c>
      <c r="R8" s="536" t="inlineStr">
        <is>
          <t>Z115</t>
        </is>
      </c>
      <c r="S8" s="533" t="n"/>
      <c r="T8" s="533" t="n"/>
      <c r="U8" s="533" t="n"/>
      <c r="V8" s="537" t="n"/>
      <c r="W8" s="533" t="n"/>
      <c r="X8" s="537" t="n"/>
      <c r="Y8" s="537" t="n"/>
      <c r="Z8" s="537" t="n"/>
    </row>
    <row r="9" ht="30" customHeight="1" s="244">
      <c r="A9" s="261" t="n"/>
      <c r="B9" s="282" t="n"/>
      <c r="C9" s="538" t="n"/>
      <c r="D9" s="261" t="n"/>
      <c r="E9" s="259" t="n"/>
      <c r="F9" s="539" t="inlineStr">
        <is>
          <t>SALON</t>
        </is>
      </c>
      <c r="G9" s="539" t="inlineStr">
        <is>
          <t>SALON</t>
        </is>
      </c>
      <c r="H9" s="539" t="inlineStr">
        <is>
          <t>SALON</t>
        </is>
      </c>
      <c r="I9" s="539" t="inlineStr">
        <is>
          <t>MUTFAK</t>
        </is>
      </c>
      <c r="J9" s="539" t="inlineStr">
        <is>
          <t>YATAK ODASI</t>
        </is>
      </c>
      <c r="K9" s="539" t="inlineStr">
        <is>
          <t>ODA</t>
        </is>
      </c>
      <c r="L9" s="539" t="inlineStr">
        <is>
          <t>BANYO</t>
        </is>
      </c>
      <c r="M9" s="539" t="inlineStr">
        <is>
          <t>SALON</t>
        </is>
      </c>
      <c r="N9" s="539" t="inlineStr">
        <is>
          <t>SALON</t>
        </is>
      </c>
      <c r="O9" s="539" t="inlineStr">
        <is>
          <t>MUTFAK</t>
        </is>
      </c>
      <c r="P9" s="539" t="inlineStr">
        <is>
          <t>YATAK ODASI</t>
        </is>
      </c>
      <c r="Q9" s="539" t="inlineStr">
        <is>
          <t>ODA</t>
        </is>
      </c>
      <c r="R9" s="539" t="inlineStr">
        <is>
          <t>BANYO</t>
        </is>
      </c>
      <c r="S9" s="540" t="n"/>
      <c r="T9" s="540" t="n"/>
      <c r="U9" s="540" t="n"/>
      <c r="V9" s="541" t="n"/>
      <c r="W9" s="541" t="n"/>
      <c r="X9" s="542" t="n"/>
      <c r="Y9" s="541" t="n"/>
      <c r="Z9" s="541" t="n"/>
    </row>
    <row r="10" ht="12" customHeight="1" s="244">
      <c r="A10" s="261" t="n"/>
      <c r="B10" s="282" t="n"/>
      <c r="C10" s="538" t="n"/>
      <c r="D10" s="261" t="n"/>
      <c r="E10" s="259" t="n"/>
      <c r="F10" s="543" t="n">
        <v>22</v>
      </c>
      <c r="G10" s="543" t="n">
        <v>22</v>
      </c>
      <c r="H10" s="543" t="n">
        <v>22</v>
      </c>
      <c r="I10" s="543" t="n">
        <v>20</v>
      </c>
      <c r="J10" s="543" t="n">
        <v>20</v>
      </c>
      <c r="K10" s="543" t="n">
        <v>20</v>
      </c>
      <c r="L10" s="543" t="n">
        <v>26</v>
      </c>
      <c r="M10" s="543" t="n">
        <v>22</v>
      </c>
      <c r="N10" s="543" t="n">
        <v>22</v>
      </c>
      <c r="O10" s="543" t="n">
        <v>20</v>
      </c>
      <c r="P10" s="543" t="n">
        <v>20</v>
      </c>
      <c r="Q10" s="543" t="n">
        <v>20</v>
      </c>
      <c r="R10" s="543" t="n">
        <v>26</v>
      </c>
      <c r="S10" s="259" t="n"/>
      <c r="T10" s="259" t="n"/>
      <c r="U10" s="259" t="n"/>
      <c r="V10" s="259" t="n"/>
      <c r="W10" s="259" t="n"/>
      <c r="X10" s="259" t="n"/>
      <c r="Y10" s="259" t="n"/>
      <c r="Z10" s="259" t="n"/>
    </row>
    <row r="11" ht="12" customHeight="1" s="244">
      <c r="A11" s="261" t="n"/>
      <c r="B11" s="282" t="n"/>
      <c r="C11" s="538" t="n"/>
      <c r="D11" s="261" t="n"/>
      <c r="E11" s="259" t="n"/>
      <c r="F11" s="543" t="n">
        <v>20</v>
      </c>
      <c r="G11" s="543" t="n">
        <v>20</v>
      </c>
      <c r="H11" s="543" t="n">
        <v>20</v>
      </c>
      <c r="I11" s="543" t="n">
        <v>20</v>
      </c>
      <c r="J11" s="543" t="n">
        <v>20</v>
      </c>
      <c r="K11" s="543" t="n">
        <v>20</v>
      </c>
      <c r="L11" s="543" t="n">
        <v>20</v>
      </c>
      <c r="M11" s="543" t="n">
        <v>20</v>
      </c>
      <c r="N11" s="543" t="n">
        <v>20</v>
      </c>
      <c r="O11" s="543" t="n">
        <v>20</v>
      </c>
      <c r="P11" s="543" t="n">
        <v>20</v>
      </c>
      <c r="Q11" s="543" t="n">
        <v>20</v>
      </c>
      <c r="R11" s="543" t="n">
        <v>20</v>
      </c>
      <c r="S11" s="259" t="n"/>
      <c r="T11" s="259" t="n"/>
      <c r="U11" s="259" t="n"/>
      <c r="V11" s="259" t="n"/>
      <c r="W11" s="259" t="n"/>
      <c r="X11" s="259" t="n"/>
      <c r="Y11" s="259" t="n"/>
      <c r="Z11" s="259" t="n"/>
    </row>
    <row r="12" ht="12" customHeight="1" s="244">
      <c r="A12" s="261" t="n"/>
      <c r="B12" s="282" t="n"/>
      <c r="C12" s="538" t="n"/>
      <c r="D12" s="261" t="n"/>
      <c r="E12" s="259" t="n"/>
      <c r="F12" s="544" t="n">
        <v>7.05</v>
      </c>
      <c r="G12" s="544" t="n">
        <v>3.55</v>
      </c>
      <c r="H12" s="544" t="n">
        <v>7.05</v>
      </c>
      <c r="I12" s="544" t="n">
        <v>8.74</v>
      </c>
      <c r="J12" s="544" t="n">
        <v>8.94</v>
      </c>
      <c r="K12" s="544" t="n">
        <v>6.52</v>
      </c>
      <c r="L12" s="544" t="n">
        <v>4.03</v>
      </c>
      <c r="M12" s="544" t="n">
        <v>9.43</v>
      </c>
      <c r="N12" s="544" t="n">
        <v>4.61</v>
      </c>
      <c r="O12" s="544" t="n">
        <v>8.82</v>
      </c>
      <c r="P12" s="544" t="n">
        <v>9.16</v>
      </c>
      <c r="Q12" s="544" t="n">
        <v>7.02</v>
      </c>
      <c r="R12" s="544" t="n">
        <v>2.56</v>
      </c>
      <c r="S12" s="545" t="n"/>
      <c r="T12" s="545" t="n"/>
      <c r="U12" s="545" t="n"/>
      <c r="V12" s="545" t="n"/>
      <c r="W12" s="545" t="n"/>
      <c r="X12" s="545" t="n"/>
      <c r="Y12" s="545" t="n"/>
      <c r="Z12" s="545" t="n"/>
    </row>
    <row r="13" ht="12" customHeight="1" s="244">
      <c r="A13" s="261" t="n"/>
      <c r="B13" s="282" t="n"/>
      <c r="C13" s="538" t="n"/>
      <c r="D13" s="261" t="n"/>
      <c r="E13" s="259" t="n"/>
      <c r="F13" s="546" t="n">
        <v>433.8</v>
      </c>
      <c r="G13" s="546" t="n">
        <v>218.4</v>
      </c>
      <c r="H13" s="546" t="n">
        <v>433.8</v>
      </c>
      <c r="I13" s="546" t="n">
        <v>425.7</v>
      </c>
      <c r="J13" s="546" t="n">
        <v>460.9</v>
      </c>
      <c r="K13" s="546" t="n">
        <v>365.3</v>
      </c>
      <c r="L13" s="546" t="n">
        <v>163.7</v>
      </c>
      <c r="M13" s="546" t="n">
        <v>819</v>
      </c>
      <c r="N13" s="546" t="n">
        <v>399.9</v>
      </c>
      <c r="O13" s="546" t="n">
        <v>485</v>
      </c>
      <c r="P13" s="546" t="n">
        <v>418.4</v>
      </c>
      <c r="Q13" s="546" t="n">
        <v>362.4</v>
      </c>
      <c r="R13" s="546" t="n">
        <v>173</v>
      </c>
      <c r="S13" s="547" t="n"/>
      <c r="T13" s="547" t="n"/>
      <c r="U13" s="547" t="n"/>
      <c r="V13" s="547" t="n"/>
      <c r="W13" s="547" t="n"/>
      <c r="X13" s="547" t="n"/>
      <c r="Y13" s="547" t="n"/>
      <c r="Z13" s="547" t="n"/>
    </row>
    <row r="14" ht="12" customHeight="1" s="244">
      <c r="A14" s="261" t="n"/>
      <c r="B14" s="282" t="n"/>
      <c r="C14" s="538" t="n"/>
      <c r="D14" s="261" t="n"/>
      <c r="E14" s="259" t="n"/>
      <c r="F14" s="548">
        <f>F13/F12</f>
        <v/>
      </c>
      <c r="G14" s="548">
        <f>G13/G12</f>
        <v/>
      </c>
      <c r="H14" s="548">
        <f>H13/H12</f>
        <v/>
      </c>
      <c r="I14" s="548">
        <f>I13/I12</f>
        <v/>
      </c>
      <c r="J14" s="548">
        <f>J13/J12</f>
        <v/>
      </c>
      <c r="K14" s="548">
        <f>K13/K12</f>
        <v/>
      </c>
      <c r="L14" s="548">
        <f>L13/L12</f>
        <v/>
      </c>
      <c r="M14" s="548">
        <f>M13/M12</f>
        <v/>
      </c>
      <c r="N14" s="548">
        <f>N13/N12</f>
        <v/>
      </c>
      <c r="O14" s="548">
        <f>O13/O12</f>
        <v/>
      </c>
      <c r="P14" s="548">
        <f>P13/P12</f>
        <v/>
      </c>
      <c r="Q14" s="548">
        <f>Q13/Q12</f>
        <v/>
      </c>
      <c r="R14" s="548">
        <f>R13/R12</f>
        <v/>
      </c>
      <c r="S14" s="549" t="n"/>
      <c r="T14" s="549" t="n"/>
      <c r="U14" s="549" t="n"/>
      <c r="V14" s="549" t="n"/>
      <c r="W14" s="549" t="n"/>
      <c r="X14" s="549" t="n"/>
      <c r="Y14" s="549" t="n"/>
      <c r="Z14" s="549" t="n"/>
    </row>
    <row r="15" ht="12" customHeight="1" s="244">
      <c r="A15" s="261" t="n"/>
      <c r="B15" s="282" t="n"/>
      <c r="C15" s="538" t="n"/>
      <c r="D15" s="261" t="n"/>
      <c r="E15" s="259" t="n"/>
      <c r="F15" s="543" t="n">
        <v>0.012</v>
      </c>
      <c r="G15" s="543" t="n">
        <v>0.012</v>
      </c>
      <c r="H15" s="543" t="n">
        <v>0.012</v>
      </c>
      <c r="I15" s="543" t="n">
        <v>0.012</v>
      </c>
      <c r="J15" s="543" t="n">
        <v>0.012</v>
      </c>
      <c r="K15" s="543" t="n">
        <v>0.012</v>
      </c>
      <c r="L15" s="543" t="n">
        <v>0.012</v>
      </c>
      <c r="M15" s="543" t="n">
        <v>0.012</v>
      </c>
      <c r="N15" s="543" t="n">
        <v>0.012</v>
      </c>
      <c r="O15" s="543" t="n">
        <v>0.012</v>
      </c>
      <c r="P15" s="543" t="n">
        <v>0.012</v>
      </c>
      <c r="Q15" s="543" t="n">
        <v>0.012</v>
      </c>
      <c r="R15" s="543" t="n">
        <v>0.012</v>
      </c>
      <c r="S15" s="259" t="n"/>
      <c r="T15" s="259" t="n"/>
      <c r="U15" s="259" t="n"/>
      <c r="V15" s="259" t="n"/>
      <c r="W15" s="259" t="n"/>
      <c r="X15" s="259" t="n"/>
      <c r="Y15" s="259" t="n"/>
      <c r="Z15" s="259" t="n"/>
    </row>
    <row r="16" ht="12" customHeight="1" s="244">
      <c r="A16" s="261" t="n"/>
      <c r="B16" s="282" t="n"/>
      <c r="C16" s="538" t="n"/>
      <c r="D16" s="261" t="n"/>
      <c r="E16" s="259" t="n"/>
      <c r="F16" s="544" t="n">
        <v>1</v>
      </c>
      <c r="G16" s="544" t="n">
        <v>1</v>
      </c>
      <c r="H16" s="544" t="n">
        <v>1</v>
      </c>
      <c r="I16" s="544" t="n">
        <v>1</v>
      </c>
      <c r="J16" s="544" t="n">
        <v>1</v>
      </c>
      <c r="K16" s="544" t="n">
        <v>1</v>
      </c>
      <c r="L16" s="544" t="n">
        <v>1</v>
      </c>
      <c r="M16" s="544" t="n">
        <v>1</v>
      </c>
      <c r="N16" s="544" t="n">
        <v>1</v>
      </c>
      <c r="O16" s="544" t="n">
        <v>1</v>
      </c>
      <c r="P16" s="544" t="n">
        <v>1</v>
      </c>
      <c r="Q16" s="544" t="n">
        <v>1</v>
      </c>
      <c r="R16" s="544" t="n">
        <v>1</v>
      </c>
      <c r="S16" s="545" t="n"/>
      <c r="T16" s="545" t="n"/>
      <c r="U16" s="545" t="n"/>
      <c r="V16" s="545" t="n"/>
      <c r="W16" s="545" t="n"/>
      <c r="X16" s="545" t="n"/>
      <c r="Y16" s="545" t="n"/>
      <c r="Z16" s="545" t="n"/>
    </row>
    <row r="17" ht="12" customHeight="1" s="244">
      <c r="A17" s="261" t="n"/>
      <c r="B17" s="282" t="n"/>
      <c r="C17" s="538" t="n"/>
      <c r="D17" s="261" t="n"/>
      <c r="E17" s="259" t="n"/>
      <c r="F17" s="543">
        <f>F12</f>
        <v/>
      </c>
      <c r="G17" s="543">
        <f>G12</f>
        <v/>
      </c>
      <c r="H17" s="543">
        <f>H12</f>
        <v/>
      </c>
      <c r="I17" s="543">
        <f>I12</f>
        <v/>
      </c>
      <c r="J17" s="543">
        <f>J12</f>
        <v/>
      </c>
      <c r="K17" s="543">
        <f>K12</f>
        <v/>
      </c>
      <c r="L17" s="543">
        <f>L12</f>
        <v/>
      </c>
      <c r="M17" s="543">
        <f>M12</f>
        <v/>
      </c>
      <c r="N17" s="543">
        <f>N12</f>
        <v/>
      </c>
      <c r="O17" s="543">
        <f>O12</f>
        <v/>
      </c>
      <c r="P17" s="543">
        <f>P12</f>
        <v/>
      </c>
      <c r="Q17" s="543">
        <f>Q12</f>
        <v/>
      </c>
      <c r="R17" s="543">
        <f>R12</f>
        <v/>
      </c>
      <c r="S17" s="259" t="n"/>
      <c r="T17" s="259" t="n"/>
      <c r="U17" s="259" t="n"/>
      <c r="V17" s="259" t="n"/>
      <c r="W17" s="259" t="n"/>
      <c r="X17" s="259" t="n"/>
      <c r="Y17" s="259" t="n"/>
      <c r="Z17" s="259" t="n"/>
    </row>
    <row r="18" ht="16.5" customHeight="1" s="244">
      <c r="A18" s="261" t="n"/>
      <c r="B18" s="282" t="n"/>
      <c r="C18" s="538" t="n"/>
      <c r="D18" s="261" t="n"/>
      <c r="E18" s="259" t="n"/>
      <c r="F18" s="550">
        <f>F13/F17</f>
        <v/>
      </c>
      <c r="G18" s="550">
        <f>G13/G17</f>
        <v/>
      </c>
      <c r="H18" s="550">
        <f>H13/H17</f>
        <v/>
      </c>
      <c r="I18" s="550">
        <f>I13/I17</f>
        <v/>
      </c>
      <c r="J18" s="550">
        <f>J13/J17</f>
        <v/>
      </c>
      <c r="K18" s="550">
        <f>K13/K17</f>
        <v/>
      </c>
      <c r="L18" s="550">
        <f>L13/L17</f>
        <v/>
      </c>
      <c r="M18" s="550">
        <f>M13/M17</f>
        <v/>
      </c>
      <c r="N18" s="550">
        <f>N13/N17</f>
        <v/>
      </c>
      <c r="O18" s="550">
        <f>O13/O17</f>
        <v/>
      </c>
      <c r="P18" s="550">
        <f>P13/P17</f>
        <v/>
      </c>
      <c r="Q18" s="550">
        <f>Q13/Q17</f>
        <v/>
      </c>
      <c r="R18" s="550">
        <f>R13/R17</f>
        <v/>
      </c>
      <c r="S18" s="551" t="n"/>
      <c r="T18" s="551" t="n"/>
      <c r="U18" s="551" t="n"/>
      <c r="V18" s="551" t="n"/>
      <c r="W18" s="551" t="n"/>
      <c r="X18" s="551" t="n"/>
      <c r="Y18" s="551" t="n"/>
      <c r="Z18" s="551" t="n"/>
    </row>
    <row r="19" ht="19.5" customHeight="1" s="244">
      <c r="A19" s="261" t="n"/>
      <c r="B19" s="282" t="n"/>
      <c r="C19" s="538" t="n"/>
      <c r="D19" s="261" t="n"/>
      <c r="E19" s="259" t="n"/>
      <c r="F19" s="550">
        <f>F10+(F14/8.92)^0.91</f>
        <v/>
      </c>
      <c r="G19" s="550">
        <f>G10+(G14/8.92)^0.91</f>
        <v/>
      </c>
      <c r="H19" s="550">
        <f>H10+(H14/8.92)^0.91</f>
        <v/>
      </c>
      <c r="I19" s="550">
        <f>I10+(I14/8.92)^0.91</f>
        <v/>
      </c>
      <c r="J19" s="550">
        <f>J10+(J14/8.92)^0.91</f>
        <v/>
      </c>
      <c r="K19" s="550">
        <f>K10+(K14/8.92)^0.91</f>
        <v/>
      </c>
      <c r="L19" s="550">
        <f>L10+(L14/8.92)^0.91</f>
        <v/>
      </c>
      <c r="M19" s="550">
        <f>M10+(M14/8.92)^0.91</f>
        <v/>
      </c>
      <c r="N19" s="550">
        <f>N10+(N14/8.92)^0.91</f>
        <v/>
      </c>
      <c r="O19" s="550">
        <f>O10+(O14/8.92)^0.91</f>
        <v/>
      </c>
      <c r="P19" s="550">
        <f>P10+(P14/8.92)^0.91</f>
        <v/>
      </c>
      <c r="Q19" s="550">
        <f>Q10+(Q14/8.92)^0.91</f>
        <v/>
      </c>
      <c r="R19" s="550">
        <f>R10+(R14/8.92)^0.91</f>
        <v/>
      </c>
      <c r="S19" s="551" t="n"/>
      <c r="T19" s="551" t="n"/>
      <c r="U19" s="551" t="n"/>
      <c r="V19" s="551" t="n"/>
      <c r="W19" s="551" t="n"/>
      <c r="X19" s="551" t="n"/>
      <c r="Y19" s="551" t="n"/>
      <c r="Z19" s="551" t="n"/>
    </row>
    <row r="20" ht="12" customHeight="1" s="244">
      <c r="A20" s="261" t="n"/>
      <c r="B20" s="282" t="n"/>
      <c r="C20" s="538" t="n"/>
      <c r="D20" s="261" t="n"/>
      <c r="E20" s="259" t="n"/>
      <c r="F20" s="543" t="n">
        <v>45</v>
      </c>
      <c r="G20" s="543" t="n">
        <v>45</v>
      </c>
      <c r="H20" s="543" t="n">
        <v>45</v>
      </c>
      <c r="I20" s="543" t="n">
        <v>45</v>
      </c>
      <c r="J20" s="543" t="n">
        <v>45</v>
      </c>
      <c r="K20" s="543" t="n">
        <v>45</v>
      </c>
      <c r="L20" s="543" t="n">
        <v>45</v>
      </c>
      <c r="M20" s="543" t="n">
        <v>45</v>
      </c>
      <c r="N20" s="543" t="n">
        <v>45</v>
      </c>
      <c r="O20" s="543" t="n">
        <v>45</v>
      </c>
      <c r="P20" s="543" t="n">
        <v>45</v>
      </c>
      <c r="Q20" s="543" t="n">
        <v>45</v>
      </c>
      <c r="R20" s="543" t="n">
        <v>45</v>
      </c>
      <c r="S20" s="259" t="n"/>
      <c r="T20" s="259" t="n"/>
      <c r="U20" s="259" t="n"/>
      <c r="V20" s="259" t="n"/>
      <c r="W20" s="259" t="n"/>
      <c r="X20" s="259" t="n"/>
      <c r="Y20" s="259" t="n"/>
      <c r="Z20" s="259" t="n"/>
    </row>
    <row r="21" ht="12" customHeight="1" s="244">
      <c r="A21" s="261" t="n"/>
      <c r="B21" s="552" t="n"/>
      <c r="C21" s="538" t="n"/>
      <c r="D21" s="261" t="n"/>
      <c r="E21" s="259" t="n"/>
      <c r="F21" s="543">
        <f>F20-F10</f>
        <v/>
      </c>
      <c r="G21" s="543">
        <f>G20-G10</f>
        <v/>
      </c>
      <c r="H21" s="543">
        <f>H20-H10</f>
        <v/>
      </c>
      <c r="I21" s="543">
        <f>I20-I10</f>
        <v/>
      </c>
      <c r="J21" s="543">
        <f>J20-J10</f>
        <v/>
      </c>
      <c r="K21" s="543">
        <f>K20-K10</f>
        <v/>
      </c>
      <c r="L21" s="543">
        <f>L20-L10</f>
        <v/>
      </c>
      <c r="M21" s="543">
        <f>M20-M10</f>
        <v/>
      </c>
      <c r="N21" s="543">
        <f>N20-N10</f>
        <v/>
      </c>
      <c r="O21" s="543">
        <f>O20-O10</f>
        <v/>
      </c>
      <c r="P21" s="543">
        <f>P20-P10</f>
        <v/>
      </c>
      <c r="Q21" s="543">
        <f>Q20-Q10</f>
        <v/>
      </c>
      <c r="R21" s="543">
        <f>R20-R10</f>
        <v/>
      </c>
      <c r="S21" s="259" t="n"/>
      <c r="T21" s="259" t="n"/>
      <c r="U21" s="259" t="n"/>
      <c r="V21" s="259" t="n"/>
      <c r="W21" s="259" t="n"/>
      <c r="X21" s="259" t="n"/>
      <c r="Y21" s="259" t="n"/>
      <c r="Z21" s="259" t="n"/>
    </row>
    <row r="22" ht="12" customHeight="1" s="244">
      <c r="A22" s="261" t="n"/>
      <c r="B22" s="553" t="n"/>
      <c r="C22" s="538" t="n"/>
      <c r="D22" s="261" t="n"/>
      <c r="E22" s="259" t="n"/>
      <c r="F22" s="543" t="n">
        <v>15</v>
      </c>
      <c r="G22" s="543" t="n">
        <v>15</v>
      </c>
      <c r="H22" s="543" t="n">
        <v>15</v>
      </c>
      <c r="I22" s="543" t="n">
        <v>15</v>
      </c>
      <c r="J22" s="543" t="n">
        <v>15</v>
      </c>
      <c r="K22" s="543" t="n">
        <v>15</v>
      </c>
      <c r="L22" s="543" t="n">
        <v>10</v>
      </c>
      <c r="M22" s="543" t="n">
        <v>15</v>
      </c>
      <c r="N22" s="543" t="n">
        <v>15</v>
      </c>
      <c r="O22" s="543" t="n">
        <v>15</v>
      </c>
      <c r="P22" s="543" t="n">
        <v>15</v>
      </c>
      <c r="Q22" s="543" t="n">
        <v>15</v>
      </c>
      <c r="R22" s="543" t="n">
        <v>10</v>
      </c>
      <c r="S22" s="259" t="n"/>
      <c r="T22" s="259" t="n"/>
      <c r="U22" s="259" t="n"/>
      <c r="V22" s="259" t="n"/>
      <c r="W22" s="259" t="n"/>
      <c r="X22" s="259" t="n"/>
      <c r="Y22" s="259" t="n"/>
      <c r="Z22" s="259" t="n"/>
    </row>
    <row r="23" ht="12" customHeight="1" s="244">
      <c r="A23" s="261" t="n"/>
      <c r="B23" s="553" t="n"/>
      <c r="C23" s="538" t="n"/>
      <c r="D23" s="261" t="n"/>
      <c r="E23" s="259" t="n"/>
      <c r="F23" s="554" t="n">
        <v>40</v>
      </c>
      <c r="G23" s="554" t="n">
        <v>40</v>
      </c>
      <c r="H23" s="554" t="n">
        <v>40</v>
      </c>
      <c r="I23" s="554" t="n">
        <v>40</v>
      </c>
      <c r="J23" s="554" t="n">
        <v>40</v>
      </c>
      <c r="K23" s="554" t="n">
        <v>40</v>
      </c>
      <c r="L23" s="554" t="n">
        <v>40</v>
      </c>
      <c r="M23" s="554" t="n">
        <v>40</v>
      </c>
      <c r="N23" s="554" t="n">
        <v>40</v>
      </c>
      <c r="O23" s="554" t="n">
        <v>40</v>
      </c>
      <c r="P23" s="554" t="n">
        <v>40</v>
      </c>
      <c r="Q23" s="554" t="n">
        <v>40</v>
      </c>
      <c r="R23" s="554" t="n">
        <v>40</v>
      </c>
      <c r="S23" s="555" t="n"/>
      <c r="T23" s="555" t="n"/>
      <c r="U23" s="555" t="n"/>
      <c r="V23" s="555" t="n"/>
      <c r="W23" s="555" t="n"/>
      <c r="X23" s="555" t="n"/>
      <c r="Y23" s="555" t="n"/>
      <c r="Z23" s="555" t="n"/>
    </row>
    <row r="24" ht="12" customHeight="1" s="244">
      <c r="A24" s="261" t="n"/>
      <c r="B24" s="552" t="n"/>
      <c r="C24" s="538" t="n"/>
      <c r="D24" s="261" t="n"/>
      <c r="E24" s="259" t="n"/>
      <c r="F24" s="543">
        <f>F23-F10</f>
        <v/>
      </c>
      <c r="G24" s="543">
        <f>G23-G10</f>
        <v/>
      </c>
      <c r="H24" s="543">
        <f>H23-H10</f>
        <v/>
      </c>
      <c r="I24" s="543">
        <f>I23-I10</f>
        <v/>
      </c>
      <c r="J24" s="543">
        <f>J23-J10</f>
        <v/>
      </c>
      <c r="K24" s="543">
        <f>K23-K10</f>
        <v/>
      </c>
      <c r="L24" s="543">
        <f>L23-L10</f>
        <v/>
      </c>
      <c r="M24" s="543">
        <f>M23-M10</f>
        <v/>
      </c>
      <c r="N24" s="543">
        <f>N23-N10</f>
        <v/>
      </c>
      <c r="O24" s="543">
        <f>O23-O10</f>
        <v/>
      </c>
      <c r="P24" s="543">
        <f>P23-P10</f>
        <v/>
      </c>
      <c r="Q24" s="543">
        <f>Q23-Q10</f>
        <v/>
      </c>
      <c r="R24" s="543">
        <f>R23-R10</f>
        <v/>
      </c>
      <c r="S24" s="259" t="n"/>
      <c r="T24" s="259" t="n"/>
      <c r="U24" s="259" t="n"/>
      <c r="V24" s="259" t="n"/>
      <c r="W24" s="259" t="n"/>
      <c r="X24" s="259" t="n"/>
      <c r="Y24" s="259" t="n"/>
      <c r="Z24" s="259" t="n"/>
    </row>
    <row r="25" ht="12" customHeight="1" s="244">
      <c r="A25" s="261" t="n"/>
      <c r="B25" s="552" t="n"/>
      <c r="C25" s="538" t="n"/>
      <c r="D25" s="261" t="n"/>
      <c r="E25" s="259" t="n"/>
      <c r="F25" s="543">
        <f>2*(F21-F24)</f>
        <v/>
      </c>
      <c r="G25" s="543">
        <f>2*(G21-G24)</f>
        <v/>
      </c>
      <c r="H25" s="543">
        <f>2*(H21-H24)</f>
        <v/>
      </c>
      <c r="I25" s="543">
        <f>2*(I21-I24)</f>
        <v/>
      </c>
      <c r="J25" s="543">
        <f>2*(J21-J24)</f>
        <v/>
      </c>
      <c r="K25" s="543">
        <f>2*(K21-K24)</f>
        <v/>
      </c>
      <c r="L25" s="543">
        <f>2*(L21-L24)</f>
        <v/>
      </c>
      <c r="M25" s="543">
        <f>2*(M21-M24)</f>
        <v/>
      </c>
      <c r="N25" s="543">
        <f>2*(N21-N24)</f>
        <v/>
      </c>
      <c r="O25" s="543">
        <f>2*(O21-O24)</f>
        <v/>
      </c>
      <c r="P25" s="543">
        <f>2*(P21-P24)</f>
        <v/>
      </c>
      <c r="Q25" s="543">
        <f>2*(Q21-Q24)</f>
        <v/>
      </c>
      <c r="R25" s="543">
        <f>2*(R21-R24)</f>
        <v/>
      </c>
      <c r="S25" s="259" t="n"/>
      <c r="T25" s="259" t="n"/>
      <c r="U25" s="259" t="n"/>
      <c r="V25" s="259" t="n"/>
      <c r="W25" s="259" t="n"/>
      <c r="X25" s="259" t="n"/>
      <c r="Y25" s="259" t="n"/>
      <c r="Z25" s="259" t="n"/>
    </row>
    <row r="26" ht="12" customHeight="1" s="244">
      <c r="A26" s="261" t="n"/>
      <c r="B26" s="553" t="n"/>
      <c r="C26" s="538" t="n"/>
      <c r="D26" s="556" t="n"/>
      <c r="E26" s="259" t="n"/>
      <c r="F26" s="550">
        <f>0.2*F14</f>
        <v/>
      </c>
      <c r="G26" s="550">
        <f>0.2*G14</f>
        <v/>
      </c>
      <c r="H26" s="550">
        <f>0.2*H14</f>
        <v/>
      </c>
      <c r="I26" s="550">
        <f>0.2*I14</f>
        <v/>
      </c>
      <c r="J26" s="550">
        <f>0.2*J14</f>
        <v/>
      </c>
      <c r="K26" s="550">
        <f>0.2*K14</f>
        <v/>
      </c>
      <c r="L26" s="550">
        <f>0.2*L14</f>
        <v/>
      </c>
      <c r="M26" s="550">
        <f>0.2*M14</f>
        <v/>
      </c>
      <c r="N26" s="550">
        <f>0.2*N14</f>
        <v/>
      </c>
      <c r="O26" s="550">
        <f>0.2*O14</f>
        <v/>
      </c>
      <c r="P26" s="550">
        <f>0.2*P14</f>
        <v/>
      </c>
      <c r="Q26" s="550">
        <f>0.2*Q14</f>
        <v/>
      </c>
      <c r="R26" s="550">
        <f>0.2*R14</f>
        <v/>
      </c>
      <c r="S26" s="551" t="n"/>
      <c r="T26" s="551" t="n"/>
      <c r="U26" s="551" t="n"/>
      <c r="V26" s="551" t="n"/>
      <c r="W26" s="551" t="n"/>
      <c r="X26" s="551" t="n"/>
      <c r="Y26" s="551" t="n"/>
      <c r="Z26" s="551" t="n"/>
    </row>
    <row r="27" ht="12" customHeight="1" s="244">
      <c r="A27" s="261" t="n"/>
      <c r="B27" s="553" t="n"/>
      <c r="C27" s="538" t="n"/>
      <c r="D27" s="261" t="n"/>
      <c r="E27" s="259" t="n"/>
      <c r="F27" s="557">
        <f>F17*(F14+F26)</f>
        <v/>
      </c>
      <c r="G27" s="557">
        <f>G17*(G14+G26)</f>
        <v/>
      </c>
      <c r="H27" s="557">
        <f>H17*(H14+H26)</f>
        <v/>
      </c>
      <c r="I27" s="557">
        <f>I17*(I14+I26)</f>
        <v/>
      </c>
      <c r="J27" s="557">
        <f>J17*(J14+J26)</f>
        <v/>
      </c>
      <c r="K27" s="557">
        <f>K17*(K14+K26)</f>
        <v/>
      </c>
      <c r="L27" s="557">
        <f>L17*(L14+L26)</f>
        <v/>
      </c>
      <c r="M27" s="557">
        <f>M17*(M14+M26)</f>
        <v/>
      </c>
      <c r="N27" s="557">
        <f>N17*(N14+N26)</f>
        <v/>
      </c>
      <c r="O27" s="557">
        <f>O17*(O14+O26)</f>
        <v/>
      </c>
      <c r="P27" s="557">
        <f>P17*(P14+P26)</f>
        <v/>
      </c>
      <c r="Q27" s="557">
        <f>Q17*(Q14+Q26)</f>
        <v/>
      </c>
      <c r="R27" s="557">
        <f>R17*(R14+R26)</f>
        <v/>
      </c>
      <c r="S27" s="558" t="n"/>
      <c r="T27" s="558" t="n"/>
      <c r="U27" s="558" t="n"/>
      <c r="V27" s="558" t="n"/>
      <c r="W27" s="558" t="n"/>
      <c r="X27" s="558" t="n"/>
      <c r="Y27" s="558" t="n"/>
      <c r="Z27" s="558" t="n"/>
    </row>
    <row r="28" ht="12" customHeight="1" s="244">
      <c r="A28" s="261" t="n"/>
      <c r="B28" s="553" t="n"/>
      <c r="C28" s="538" t="inlineStr">
        <is>
          <t>SICAK SU DEBİSİ</t>
        </is>
      </c>
      <c r="D28" s="261" t="inlineStr">
        <is>
          <t>q/(1,163.ΔTs)</t>
        </is>
      </c>
      <c r="E28" s="259" t="n"/>
      <c r="F28" s="559">
        <f>F27/(1.163*F25)</f>
        <v/>
      </c>
      <c r="G28" s="559">
        <f>G27/(1.163*G25)</f>
        <v/>
      </c>
      <c r="H28" s="559">
        <f>H27/(1.163*H25)</f>
        <v/>
      </c>
      <c r="I28" s="559">
        <f>I27/(1.163*I25)</f>
        <v/>
      </c>
      <c r="J28" s="559">
        <f>J27/(1.163*J25)</f>
        <v/>
      </c>
      <c r="K28" s="559">
        <f>K27/(1.163*K25)</f>
        <v/>
      </c>
      <c r="L28" s="559">
        <f>L27/(1.163*L25)</f>
        <v/>
      </c>
      <c r="M28" s="559">
        <f>M27/(1.163*M25)</f>
        <v/>
      </c>
      <c r="N28" s="559">
        <f>N27/(1.163*N25)</f>
        <v/>
      </c>
      <c r="O28" s="559">
        <f>O27/(1.163*O25)</f>
        <v/>
      </c>
      <c r="P28" s="559">
        <f>P27/(1.163*P25)</f>
        <v/>
      </c>
      <c r="Q28" s="559">
        <f>Q27/(1.163*Q25)</f>
        <v/>
      </c>
      <c r="R28" s="559">
        <f>R27/(1.163*R25)</f>
        <v/>
      </c>
      <c r="S28" s="560" t="n"/>
      <c r="T28" s="560" t="n"/>
      <c r="U28" s="560" t="n"/>
      <c r="V28" s="560" t="n"/>
      <c r="W28" s="560" t="n"/>
      <c r="X28" s="560" t="n"/>
      <c r="Y28" s="560" t="n"/>
      <c r="Z28" s="560" t="n"/>
    </row>
    <row r="29" ht="12" customHeight="1" s="244">
      <c r="A29" s="261" t="n"/>
      <c r="B29" s="553" t="n"/>
      <c r="C29" s="538" t="n"/>
      <c r="D29" s="261" t="n"/>
      <c r="E29" s="259" t="n"/>
      <c r="F29" s="561">
        <f>F17/(F22*0.01)</f>
        <v/>
      </c>
      <c r="G29" s="561">
        <f>G17/(G22*0.01)</f>
        <v/>
      </c>
      <c r="H29" s="561">
        <f>H17/(H22*0.01)</f>
        <v/>
      </c>
      <c r="I29" s="561">
        <f>I17/(I22*0.01)</f>
        <v/>
      </c>
      <c r="J29" s="561">
        <f>J17/(J22*0.01)</f>
        <v/>
      </c>
      <c r="K29" s="561">
        <f>K17/(K22*0.01)</f>
        <v/>
      </c>
      <c r="L29" s="561">
        <f>L17/(L22*0.01)</f>
        <v/>
      </c>
      <c r="M29" s="561">
        <f>M17/(M22*0.01)</f>
        <v/>
      </c>
      <c r="N29" s="561">
        <f>N17/(N22*0.01)</f>
        <v/>
      </c>
      <c r="O29" s="561">
        <f>O17/(O22*0.01)</f>
        <v/>
      </c>
      <c r="P29" s="561">
        <f>P17/(P22*0.01)</f>
        <v/>
      </c>
      <c r="Q29" s="561">
        <f>Q17/(Q22*0.01)</f>
        <v/>
      </c>
      <c r="R29" s="561">
        <f>R17/(R22*0.01)</f>
        <v/>
      </c>
      <c r="S29" s="562" t="n"/>
      <c r="T29" s="562" t="n"/>
      <c r="U29" s="562" t="n"/>
      <c r="V29" s="562" t="n"/>
      <c r="W29" s="562" t="n"/>
      <c r="X29" s="562" t="n"/>
      <c r="Y29" s="562" t="n"/>
      <c r="Z29" s="562" t="n"/>
    </row>
    <row r="30" ht="12" customHeight="1" s="244">
      <c r="A30" s="261" t="n"/>
      <c r="B30" s="553" t="n"/>
      <c r="C30" s="538" t="inlineStr">
        <is>
          <t>BAĞLANTI BORULARI</t>
        </is>
      </c>
      <c r="D30" s="261" t="inlineStr">
        <is>
          <t>Kat Planından (çizimden ölçülen)</t>
        </is>
      </c>
      <c r="E30" s="259" t="n"/>
      <c r="F30" s="563" t="n">
        <v>2.16</v>
      </c>
      <c r="G30" s="563" t="n">
        <v>1.8</v>
      </c>
      <c r="H30" s="563" t="n">
        <v>5.64</v>
      </c>
      <c r="I30" s="563" t="n">
        <v>4.06</v>
      </c>
      <c r="J30" s="563" t="n">
        <v>4.06</v>
      </c>
      <c r="K30" s="563" t="n">
        <v>5.41</v>
      </c>
      <c r="L30" s="563" t="n">
        <v>0</v>
      </c>
      <c r="M30" s="563" t="n">
        <v>8.65</v>
      </c>
      <c r="N30" s="563" t="n">
        <v>12.31</v>
      </c>
      <c r="O30" s="563" t="n">
        <v>8.279999999999999</v>
      </c>
      <c r="P30" s="563" t="n">
        <v>4.2</v>
      </c>
      <c r="Q30" s="563" t="n">
        <v>0</v>
      </c>
      <c r="R30" s="563" t="n">
        <v>3.96</v>
      </c>
      <c r="S30" s="564" t="n"/>
      <c r="T30" s="565" t="n"/>
      <c r="U30" s="565" t="n"/>
      <c r="V30" s="565" t="n"/>
      <c r="W30" s="564" t="n"/>
      <c r="X30" s="565" t="n"/>
      <c r="Y30" s="565" t="n"/>
      <c r="Z30" s="565" t="n"/>
    </row>
    <row r="31" ht="12" customHeight="1" s="244">
      <c r="A31" s="261" t="n"/>
      <c r="B31" s="553" t="n"/>
      <c r="C31" s="538" t="inlineStr">
        <is>
          <t>TOPLAM BORU UZUNLUĞU</t>
        </is>
      </c>
      <c r="D31" s="261" t="inlineStr">
        <is>
          <t>Lç + Lb (çizimden ölçülen toplam)</t>
        </is>
      </c>
      <c r="E31" s="259" t="n"/>
      <c r="F31" s="543">
        <f>F29+F30</f>
        <v/>
      </c>
      <c r="G31" s="543">
        <f>G29+G30</f>
        <v/>
      </c>
      <c r="H31" s="543">
        <f>H29+H30</f>
        <v/>
      </c>
      <c r="I31" s="543">
        <f>I29+I30</f>
        <v/>
      </c>
      <c r="J31" s="543">
        <f>J29+J30</f>
        <v/>
      </c>
      <c r="K31" s="543">
        <f>K29+K30</f>
        <v/>
      </c>
      <c r="L31" s="543">
        <f>L29+L30</f>
        <v/>
      </c>
      <c r="M31" s="543">
        <f>M29+M30</f>
        <v/>
      </c>
      <c r="N31" s="543">
        <f>N29+N30</f>
        <v/>
      </c>
      <c r="O31" s="543">
        <f>O29+O30</f>
        <v/>
      </c>
      <c r="P31" s="543">
        <f>P29+P30</f>
        <v/>
      </c>
      <c r="Q31" s="543">
        <f>Q29+Q30</f>
        <v/>
      </c>
      <c r="R31" s="543">
        <f>R29+R30</f>
        <v/>
      </c>
      <c r="S31" s="259" t="n"/>
      <c r="T31" s="259" t="n"/>
      <c r="U31" s="259" t="n"/>
      <c r="V31" s="259" t="n"/>
      <c r="W31" s="259" t="n"/>
      <c r="X31" s="259" t="n"/>
      <c r="Y31" s="259" t="n"/>
      <c r="Z31" s="259" t="n"/>
    </row>
    <row r="32" ht="12" customHeight="1" s="244">
      <c r="A32" s="261" t="n"/>
      <c r="B32" s="552" t="n"/>
      <c r="C32" s="538" t="inlineStr">
        <is>
          <t>DÜZ BORU BASINÇ KAYBI (5)</t>
        </is>
      </c>
      <c r="D32" s="261" t="inlineStr">
        <is>
          <t>R.L (PEX 16x2,0, Blasius)</t>
        </is>
      </c>
      <c r="E32" s="259" t="n"/>
      <c r="F32" s="561" t="n">
        <v>600</v>
      </c>
      <c r="G32" s="561" t="n">
        <v>157</v>
      </c>
      <c r="H32" s="561" t="n">
        <v>643</v>
      </c>
      <c r="I32" s="561" t="n">
        <v>748</v>
      </c>
      <c r="J32" s="561" t="n">
        <v>826</v>
      </c>
      <c r="K32" s="561" t="n">
        <v>503</v>
      </c>
      <c r="L32" s="561" t="n">
        <v>185</v>
      </c>
      <c r="M32" s="561" t="n">
        <v>3702</v>
      </c>
      <c r="N32" s="561" t="n">
        <v>484</v>
      </c>
      <c r="O32" s="561" t="n">
        <v>916</v>
      </c>
      <c r="P32" s="561" t="n">
        <v>769</v>
      </c>
      <c r="Q32" s="561" t="n">
        <v>475</v>
      </c>
      <c r="R32" s="561" t="n">
        <v>144</v>
      </c>
      <c r="S32" s="562" t="n"/>
      <c r="T32" s="562" t="n"/>
      <c r="U32" s="562" t="n"/>
      <c r="V32" s="562" t="n"/>
      <c r="W32" s="562" t="n"/>
      <c r="X32" s="562" t="n"/>
      <c r="Y32" s="562" t="n"/>
      <c r="Z32" s="562" t="n"/>
    </row>
    <row r="33" ht="12" customHeight="1" s="244">
      <c r="A33" s="261" t="n"/>
      <c r="B33" s="552" t="n"/>
      <c r="C33" s="538" t="n"/>
      <c r="D33" s="261" t="n"/>
      <c r="E33" s="259" t="n"/>
      <c r="F33" s="543">
        <f>F32*0.05</f>
        <v/>
      </c>
      <c r="G33" s="543">
        <f>G32*0.05</f>
        <v/>
      </c>
      <c r="H33" s="543">
        <f>H32*0.05</f>
        <v/>
      </c>
      <c r="I33" s="543">
        <f>I32*0.05</f>
        <v/>
      </c>
      <c r="J33" s="543">
        <f>J32*0.05</f>
        <v/>
      </c>
      <c r="K33" s="543">
        <f>K32*0.05</f>
        <v/>
      </c>
      <c r="L33" s="543">
        <f>L32*0.05</f>
        <v/>
      </c>
      <c r="M33" s="543">
        <f>M32*0.05</f>
        <v/>
      </c>
      <c r="N33" s="543">
        <f>N32*0.05</f>
        <v/>
      </c>
      <c r="O33" s="543">
        <f>O32*0.05</f>
        <v/>
      </c>
      <c r="P33" s="543">
        <f>P32*0.05</f>
        <v/>
      </c>
      <c r="Q33" s="543">
        <f>Q32*0.05</f>
        <v/>
      </c>
      <c r="R33" s="543">
        <f>R32*0.05</f>
        <v/>
      </c>
      <c r="S33" s="259" t="n"/>
      <c r="T33" s="259" t="n"/>
      <c r="U33" s="259" t="n"/>
      <c r="V33" s="259" t="n"/>
      <c r="W33" s="259" t="n"/>
      <c r="X33" s="259" t="n"/>
      <c r="Y33" s="259" t="n"/>
      <c r="Z33" s="259" t="n"/>
    </row>
    <row r="34" ht="12" customHeight="1" s="244">
      <c r="A34" s="261" t="n"/>
      <c r="B34" s="552" t="n"/>
      <c r="C34" s="538" t="n"/>
      <c r="D34" s="261" t="n"/>
      <c r="E34" s="259" t="n"/>
      <c r="F34" s="543">
        <f>F32+F33</f>
        <v/>
      </c>
      <c r="G34" s="543">
        <f>G32+G33</f>
        <v/>
      </c>
      <c r="H34" s="543">
        <f>H32+H33</f>
        <v/>
      </c>
      <c r="I34" s="543">
        <f>I32+I33</f>
        <v/>
      </c>
      <c r="J34" s="543">
        <f>J32+J33</f>
        <v/>
      </c>
      <c r="K34" s="543">
        <f>K32+K33</f>
        <v/>
      </c>
      <c r="L34" s="543">
        <f>L32+L33</f>
        <v/>
      </c>
      <c r="M34" s="543">
        <f>M32+M33</f>
        <v/>
      </c>
      <c r="N34" s="543">
        <f>N32+N33</f>
        <v/>
      </c>
      <c r="O34" s="543">
        <f>O32+O33</f>
        <v/>
      </c>
      <c r="P34" s="543">
        <f>P32+P33</f>
        <v/>
      </c>
      <c r="Q34" s="543">
        <f>Q32+Q33</f>
        <v/>
      </c>
      <c r="R34" s="543">
        <f>R32+R33</f>
        <v/>
      </c>
      <c r="S34" s="259" t="n"/>
      <c r="T34" s="259" t="n"/>
      <c r="U34" s="259" t="n"/>
      <c r="V34" s="259" t="n"/>
      <c r="W34" s="259" t="n"/>
      <c r="X34" s="259" t="n"/>
      <c r="Y34" s="259" t="n"/>
      <c r="Z34" s="259" t="n"/>
    </row>
    <row r="35" ht="12" customHeight="1" s="244">
      <c r="A35" s="261" t="n"/>
      <c r="B35" s="552" t="n"/>
      <c r="C35" s="282" t="n"/>
      <c r="D35" s="261" t="n"/>
      <c r="E35" s="259" t="n"/>
      <c r="F35" s="566">
        <f>MAX(F34:R34)-F34</f>
        <v/>
      </c>
      <c r="G35" s="566">
        <f>MAX(F34:R34)-G34</f>
        <v/>
      </c>
      <c r="H35" s="566">
        <f>MAX(F34:R34)-H34</f>
        <v/>
      </c>
      <c r="I35" s="566">
        <f>MAX(F34:R34)-I34</f>
        <v/>
      </c>
      <c r="J35" s="566">
        <f>MAX(F34:R34)-J34</f>
        <v/>
      </c>
      <c r="K35" s="566">
        <f>MAX(F34:R34)-K34</f>
        <v/>
      </c>
      <c r="L35" s="566">
        <f>MAX(F34:R34)-L34</f>
        <v/>
      </c>
      <c r="M35" s="566">
        <f>MAX(F34:R34)-M34</f>
        <v/>
      </c>
      <c r="N35" s="566">
        <f>MAX(F34:R34)-N34</f>
        <v/>
      </c>
      <c r="O35" s="566">
        <f>MAX(F34:R34)-O34</f>
        <v/>
      </c>
      <c r="P35" s="566">
        <f>MAX(F34:R34)-P34</f>
        <v/>
      </c>
      <c r="Q35" s="566">
        <f>MAX(F34:R34)-Q34</f>
        <v/>
      </c>
      <c r="R35" s="566">
        <f>MAX(F34:R34)-R34</f>
        <v/>
      </c>
      <c r="S35" s="567" t="n"/>
      <c r="T35" s="567" t="n"/>
      <c r="U35" s="567" t="n"/>
      <c r="V35" s="567" t="n"/>
      <c r="W35" s="567" t="n"/>
      <c r="X35" s="567" t="n"/>
      <c r="Y35" s="567" t="n"/>
      <c r="Z35" s="567" t="n"/>
    </row>
    <row r="36" ht="18" customHeight="1" s="244">
      <c r="D36" s="266" t="inlineStr">
        <is>
          <t>Δpmax = 9828 Pa</t>
        </is>
      </c>
      <c r="H36" s="243" t="n"/>
    </row>
    <row r="37" ht="18" customHeight="1" s="244">
      <c r="H37" s="243" t="n"/>
    </row>
    <row r="38" ht="12.75" customHeight="1" s="244">
      <c r="H38" s="243" t="n"/>
    </row>
    <row r="39" ht="12.75" customHeight="1" s="244">
      <c r="H39" s="568" t="n"/>
      <c r="I39" s="568" t="n"/>
      <c r="J39" s="568" t="n"/>
      <c r="K39" s="568" t="n"/>
      <c r="L39" s="568" t="n"/>
      <c r="M39" s="568" t="n"/>
      <c r="N39" s="568" t="n"/>
      <c r="O39" s="568" t="n"/>
      <c r="P39" s="568" t="n"/>
    </row>
    <row r="40" ht="12.75" customHeight="1" s="244">
      <c r="A40" s="569" t="inlineStr">
        <is>
          <t xml:space="preserve"> (1)</t>
        </is>
      </c>
      <c r="B40" s="243" t="inlineStr">
        <is>
          <t>Şek. 19.7.1 den seçilmiştir.</t>
        </is>
      </c>
      <c r="H40" s="568" t="n"/>
      <c r="I40" s="568" t="n"/>
      <c r="J40" s="568" t="n"/>
      <c r="K40" s="568" t="n"/>
      <c r="L40" s="568" t="n"/>
      <c r="M40" s="568" t="n"/>
      <c r="N40" s="568" t="n"/>
      <c r="O40" s="568" t="n"/>
      <c r="P40" s="568" t="n"/>
    </row>
    <row r="41" ht="12.75" customHeight="1" s="244">
      <c r="A41" s="569" t="inlineStr">
        <is>
          <t xml:space="preserve"> (2)</t>
        </is>
      </c>
      <c r="B41" s="243" t="inlineStr">
        <is>
          <t>Kombi gidiş suyu sıcaklığı 45 °C, dönüş 35 °C (ortalama 40 °C) seçilmiştir.</t>
        </is>
      </c>
      <c r="H41" s="568" t="n"/>
      <c r="I41" s="568" t="n"/>
      <c r="J41" s="568" t="n"/>
      <c r="K41" s="568" t="n"/>
      <c r="L41" s="568" t="n"/>
      <c r="M41" s="568" t="n"/>
      <c r="N41" s="568" t="n"/>
      <c r="O41" s="568" t="n"/>
      <c r="P41" s="568" t="n"/>
    </row>
    <row r="42" ht="12.75" customHeight="1" s="244">
      <c r="A42" s="569" t="inlineStr">
        <is>
          <t xml:space="preserve"> (3)</t>
        </is>
      </c>
      <c r="B42" s="243" t="inlineStr">
        <is>
          <t>Ortalama su sıcaklığı 45/35 °C rejimine göre 40 °C alınmıştır.</t>
        </is>
      </c>
    </row>
    <row r="43" ht="12.75" customHeight="1" s="244">
      <c r="A43" s="569" t="inlineStr">
        <is>
          <t xml:space="preserve"> (4)</t>
        </is>
      </c>
      <c r="B43" s="243" t="inlineStr">
        <is>
          <t>Alta geçen ısı 0,2 q" olarak alınmıştır (1. katın altı ısıtılan iş yeri, 2. katın altı ısıtılan daire).</t>
        </is>
      </c>
    </row>
    <row r="44" ht="12.75" customHeight="1" s="244">
      <c r="A44" s="569" t="inlineStr">
        <is>
          <t xml:space="preserve"> (5)</t>
        </is>
      </c>
      <c r="B44" s="243" t="inlineStr">
        <is>
          <t>R (Pa/m): PEX 16x2,0 (iç çap 12 mm), Blasius bağıntısı ile hesaplanmıştır.</t>
        </is>
      </c>
    </row>
    <row r="45" ht="12.75" customHeight="1" s="244">
      <c r="A45" s="569" t="inlineStr">
        <is>
          <t xml:space="preserve"> (6)</t>
        </is>
      </c>
      <c r="B45" s="243" t="inlineStr">
        <is>
          <t>kollektörden sonraki özel basınç kayıpları, düz boru kayıpları yanında çok küçük olduğundan düz boru basınç kaybının % 5 i kabul edilmiştir.</t>
        </is>
      </c>
    </row>
    <row r="46" ht="12.75" customHeight="1" s="244">
      <c r="A46" s="569" t="inlineStr">
        <is>
          <t xml:space="preserve"> (7)</t>
        </is>
      </c>
      <c r="B46" s="243" t="inlineStr">
        <is>
          <t>Isıtma devrelerinin basıncı kollektördeki debimetreli reglaj vanası ile ayarlanmalıdır.</t>
        </is>
      </c>
    </row>
    <row r="47" ht="12.75" customHeight="1" s="244">
      <c r="A47" s="570" t="n"/>
    </row>
  </sheetData>
  <mergeCells count="7">
    <mergeCell ref="E3:I4"/>
    <mergeCell ref="A2:B5"/>
    <mergeCell ref="D5:I5"/>
    <mergeCell ref="E2:I2"/>
    <mergeCell ref="C2:C5"/>
    <mergeCell ref="A1:I1"/>
    <mergeCell ref="D3:D4"/>
  </mergeCells>
  <printOptions horizontalCentered="0" verticalCentered="0" headings="0" gridLines="0" gridLinesSet="1"/>
  <pageMargins left="0" right="0" top="0" bottom="0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BH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5" activeCellId="0" sqref="D5:J5"/>
    </sheetView>
  </sheetViews>
  <sheetFormatPr baseColWidth="8" defaultColWidth="9.0546875" defaultRowHeight="12.75" zeroHeight="0" outlineLevelRow="0"/>
  <cols>
    <col width="4.14" customWidth="1" style="243" min="1" max="1"/>
    <col width="9.699999999999999" customWidth="1" style="243" min="2" max="2"/>
    <col width="34.71" customWidth="1" style="243" min="3" max="3"/>
    <col width="25.13" customWidth="1" style="266" min="4" max="4"/>
    <col width="6.41" customWidth="1" style="519" min="5" max="5"/>
    <col hidden="1" width="7.56" customWidth="1" style="243" min="6" max="6"/>
    <col hidden="1" width="7.7" customWidth="1" style="243" min="7" max="8"/>
    <col hidden="1" width="6.28" customWidth="1" style="243" min="9" max="14"/>
    <col width="6.99" customWidth="1" style="243" min="15" max="15"/>
    <col width="6.28" customWidth="1" style="243" min="16" max="16"/>
    <col width="6.85" customWidth="1" style="243" min="17" max="24"/>
    <col hidden="1" width="9.06" customWidth="1" style="243" min="25" max="25"/>
    <col hidden="1" width="7.56" customWidth="1" style="243" min="26" max="27"/>
    <col hidden="1" width="8.85" customWidth="1" style="243" min="28" max="28"/>
    <col hidden="1" width="9.140000000000001" customWidth="1" style="243" min="29" max="30"/>
    <col hidden="1" width="9.06" customWidth="1" style="243" min="31" max="40"/>
  </cols>
  <sheetData>
    <row r="1" ht="12.75" customHeight="1" s="244">
      <c r="A1" s="520" t="inlineStr">
        <is>
          <t>YERDEN ISITMA HESABI</t>
        </is>
      </c>
      <c r="B1" s="264" t="n"/>
      <c r="C1" s="264" t="n"/>
      <c r="D1" s="264" t="n"/>
      <c r="E1" s="264" t="n"/>
      <c r="F1" s="264" t="n"/>
      <c r="G1" s="264" t="n"/>
      <c r="H1" s="264" t="n"/>
      <c r="I1" s="264" t="n"/>
      <c r="J1" s="264" t="n"/>
      <c r="K1" s="264" t="n"/>
      <c r="L1" s="264" t="n"/>
      <c r="M1" s="264" t="n"/>
      <c r="N1" s="264" t="n"/>
      <c r="O1" s="264" t="n"/>
      <c r="P1" s="571" t="n"/>
      <c r="Q1" s="572" t="n"/>
      <c r="R1" s="572" t="n"/>
      <c r="S1" s="572" t="n"/>
      <c r="T1" s="572" t="n"/>
      <c r="U1" s="572" t="n"/>
      <c r="V1" s="572" t="n"/>
      <c r="W1" s="572" t="n"/>
      <c r="X1" s="573" t="n"/>
      <c r="Y1" s="573" t="n"/>
    </row>
    <row r="2" ht="12.75" customFormat="1" customHeight="1" s="464">
      <c r="A2" s="522" t="inlineStr">
        <is>
          <t>2. KAT (DAİRE 3 - DAİRE 4)</t>
        </is>
      </c>
      <c r="B2" s="468" t="n"/>
      <c r="C2" s="523" t="inlineStr">
        <is>
          <t>DÖŞEMEDEN ISITMA HESAP ÖZETİ</t>
        </is>
      </c>
      <c r="D2" s="524" t="inlineStr">
        <is>
          <t>Ts.g  = 50 °C</t>
        </is>
      </c>
      <c r="E2" s="525" t="inlineStr">
        <is>
          <t>TOPLAM ISI KAYBI = 5791 W</t>
        </is>
      </c>
      <c r="F2" s="264" t="n"/>
      <c r="G2" s="264" t="n"/>
      <c r="H2" s="264" t="n"/>
      <c r="I2" s="264" t="n"/>
      <c r="J2" s="264" t="n"/>
      <c r="K2" s="264" t="n"/>
      <c r="L2" s="264" t="n"/>
      <c r="M2" s="264" t="n"/>
      <c r="N2" s="264" t="n"/>
      <c r="O2" s="264" t="n"/>
      <c r="P2" s="264" t="n"/>
      <c r="Q2" s="264" t="n"/>
      <c r="R2" s="264" t="n"/>
      <c r="S2" s="264" t="n"/>
      <c r="T2" s="264" t="n"/>
      <c r="U2" s="264" t="n"/>
      <c r="V2" s="264" t="n"/>
      <c r="W2" s="264" t="n"/>
      <c r="X2" s="264" t="n"/>
      <c r="Y2" s="260" t="n"/>
      <c r="Z2" s="492" t="n"/>
      <c r="AA2" s="492" t="n"/>
      <c r="AB2" s="492" t="n"/>
      <c r="AC2" s="492" t="n"/>
    </row>
    <row r="3" ht="8.25" customFormat="1" customHeight="1" s="464">
      <c r="A3" s="467" t="n"/>
      <c r="B3" s="468" t="n"/>
      <c r="C3" s="472" t="n"/>
      <c r="D3" s="527" t="inlineStr">
        <is>
          <t>Isıtma Çevrim Sayısı : 13</t>
        </is>
      </c>
      <c r="E3" s="525" t="inlineStr">
        <is>
          <t>MAX. BASINÇ KAYBI = 4695 Pa</t>
        </is>
      </c>
      <c r="F3" s="250" t="n"/>
      <c r="G3" s="250" t="n"/>
      <c r="H3" s="250" t="n"/>
      <c r="I3" s="250" t="n"/>
      <c r="J3" s="250" t="n"/>
      <c r="K3" s="250" t="n"/>
      <c r="L3" s="250" t="n"/>
      <c r="M3" s="250" t="n"/>
      <c r="N3" s="250" t="n"/>
      <c r="O3" s="250" t="n"/>
      <c r="P3" s="250" t="n"/>
      <c r="Q3" s="250" t="n"/>
      <c r="R3" s="250" t="n"/>
      <c r="S3" s="250" t="n"/>
      <c r="T3" s="250" t="n"/>
      <c r="U3" s="250" t="n"/>
      <c r="V3" s="250" t="n"/>
      <c r="W3" s="250" t="n"/>
      <c r="X3" s="250" t="n"/>
      <c r="Y3" s="275" t="n"/>
      <c r="Z3" s="492" t="n"/>
      <c r="AA3" s="492" t="n"/>
      <c r="AB3" s="492" t="n"/>
      <c r="AC3" s="492" t="n"/>
    </row>
    <row r="4" ht="5.25" customFormat="1" customHeight="1" s="464">
      <c r="A4" s="467" t="n"/>
      <c r="B4" s="468" t="n"/>
      <c r="C4" s="472" t="n"/>
      <c r="D4" s="303" t="n"/>
      <c r="E4" s="278" t="n"/>
      <c r="F4" s="256" t="n"/>
      <c r="G4" s="256" t="n"/>
      <c r="H4" s="256" t="n"/>
      <c r="I4" s="256" t="n"/>
      <c r="J4" s="256" t="n"/>
      <c r="K4" s="256" t="n"/>
      <c r="L4" s="256" t="n"/>
      <c r="M4" s="256" t="n"/>
      <c r="N4" s="256" t="n"/>
      <c r="O4" s="256" t="n"/>
      <c r="P4" s="256" t="n"/>
      <c r="Q4" s="256" t="n"/>
      <c r="R4" s="256" t="n"/>
      <c r="S4" s="256" t="n"/>
      <c r="T4" s="256" t="n"/>
      <c r="U4" s="256" t="n"/>
      <c r="V4" s="256" t="n"/>
      <c r="W4" s="256" t="n"/>
      <c r="X4" s="256" t="n"/>
      <c r="Y4" s="277" t="n"/>
      <c r="Z4" s="492" t="n"/>
      <c r="AA4" s="492" t="n"/>
      <c r="AB4" s="492" t="n"/>
      <c r="AC4" s="492" t="n"/>
    </row>
    <row r="5" ht="15" customFormat="1" customHeight="1" s="464">
      <c r="A5" s="278" t="n"/>
      <c r="B5" s="277" t="n"/>
      <c r="C5" s="303" t="n"/>
      <c r="D5" s="466" t="inlineStr">
        <is>
          <t>Mak. Müh. Bayram GENÇ</t>
        </is>
      </c>
      <c r="E5" s="264" t="n"/>
      <c r="F5" s="264" t="n"/>
      <c r="G5" s="264" t="n"/>
      <c r="H5" s="264" t="n"/>
      <c r="I5" s="264" t="n"/>
      <c r="J5" s="260" t="n"/>
      <c r="K5" s="466" t="n"/>
      <c r="L5" s="466" t="n"/>
      <c r="M5" s="574" t="n"/>
      <c r="N5" s="574" t="n"/>
      <c r="O5" s="575" t="n"/>
      <c r="P5" s="575" t="n"/>
      <c r="Q5" s="575" t="n"/>
      <c r="R5" s="575" t="n"/>
      <c r="S5" s="575" t="n"/>
      <c r="T5" s="575" t="n"/>
      <c r="U5" s="575" t="n"/>
      <c r="V5" s="575" t="n"/>
      <c r="W5" s="575" t="n"/>
      <c r="X5" s="576" t="n"/>
      <c r="Y5" s="576" t="n"/>
      <c r="Z5" s="492" t="n"/>
      <c r="AA5" s="492" t="n"/>
      <c r="AB5" s="492" t="n"/>
      <c r="AC5" s="492" t="n"/>
    </row>
    <row r="6" ht="12" customHeight="1" s="244">
      <c r="A6" s="529" t="n"/>
      <c r="B6" s="529" t="n"/>
      <c r="C6" s="529" t="n"/>
      <c r="D6" s="529" t="n"/>
      <c r="E6" s="530" t="n"/>
      <c r="F6" s="243" t="n"/>
      <c r="G6" s="243" t="n"/>
      <c r="H6" s="243" t="n"/>
      <c r="I6" s="243" t="n"/>
      <c r="J6" s="243" t="n"/>
      <c r="K6" s="243" t="n"/>
      <c r="L6" s="243" t="n"/>
      <c r="M6" s="243" t="n"/>
      <c r="N6" s="243" t="n"/>
      <c r="O6" s="243" t="n"/>
      <c r="P6" s="243" t="n"/>
    </row>
    <row r="7" ht="12" customHeight="1" s="244">
      <c r="A7" s="261" t="n"/>
      <c r="B7" s="531" t="n"/>
      <c r="C7" s="532" t="n"/>
      <c r="D7" s="531" t="n"/>
      <c r="E7" s="533" t="n"/>
      <c r="F7" s="534" t="inlineStr">
        <is>
          <t>P2</t>
        </is>
      </c>
      <c r="G7" s="534" t="inlineStr">
        <is>
          <t>P1</t>
        </is>
      </c>
      <c r="H7" s="534" t="inlineStr">
        <is>
          <t>P3</t>
        </is>
      </c>
      <c r="I7" s="534" t="inlineStr">
        <is>
          <t>P7</t>
        </is>
      </c>
      <c r="J7" s="534" t="inlineStr">
        <is>
          <t>P4</t>
        </is>
      </c>
      <c r="K7" s="534" t="inlineStr">
        <is>
          <t>P5</t>
        </is>
      </c>
      <c r="L7" s="534" t="inlineStr">
        <is>
          <t>P6</t>
        </is>
      </c>
      <c r="M7" s="534" t="inlineStr">
        <is>
          <t>P4</t>
        </is>
      </c>
      <c r="N7" s="534" t="inlineStr">
        <is>
          <t>P5</t>
        </is>
      </c>
      <c r="O7" s="534" t="inlineStr">
        <is>
          <t>P6</t>
        </is>
      </c>
      <c r="P7" s="534" t="inlineStr">
        <is>
          <t>P2</t>
        </is>
      </c>
      <c r="Q7" s="534" t="inlineStr">
        <is>
          <t>P1</t>
        </is>
      </c>
      <c r="R7" s="534" t="inlineStr">
        <is>
          <t>P3</t>
        </is>
      </c>
      <c r="S7" s="533" t="n"/>
      <c r="T7" s="533" t="n"/>
      <c r="U7" s="533" t="n"/>
      <c r="V7" s="533" t="n"/>
      <c r="W7" s="533" t="n"/>
      <c r="X7" s="533" t="n"/>
      <c r="Y7" s="533" t="n"/>
      <c r="Z7" s="533" t="n"/>
      <c r="AA7" s="533" t="n"/>
      <c r="AB7" s="533" t="n"/>
      <c r="AC7" s="533" t="n"/>
      <c r="AD7" s="533" t="n"/>
      <c r="AE7" s="533" t="n"/>
      <c r="AF7" s="533" t="n"/>
      <c r="AG7" s="533" t="n"/>
      <c r="AH7" s="533" t="n"/>
      <c r="AI7" s="533" t="n"/>
      <c r="AJ7" s="533" t="n"/>
      <c r="AK7" s="533" t="n"/>
      <c r="AL7" s="533" t="n"/>
      <c r="AM7" s="533" t="n"/>
      <c r="AN7" s="533" t="n"/>
      <c r="AO7" s="533" t="n"/>
      <c r="AP7" s="533" t="n"/>
      <c r="AQ7" s="533" t="n"/>
      <c r="AR7" s="533" t="n"/>
      <c r="AS7" s="533" t="n"/>
      <c r="AT7" s="533" t="n"/>
      <c r="AU7" s="533" t="n"/>
      <c r="AV7" s="533" t="n"/>
      <c r="AW7" s="533" t="n"/>
    </row>
    <row r="8" ht="12" customHeight="1" s="244">
      <c r="A8" s="261" t="n"/>
      <c r="B8" s="531" t="n"/>
      <c r="C8" s="532" t="n"/>
      <c r="D8" s="531" t="n"/>
      <c r="E8" s="533" t="n"/>
      <c r="F8" s="534" t="inlineStr">
        <is>
          <t>Z201</t>
        </is>
      </c>
      <c r="G8" s="534" t="inlineStr">
        <is>
          <t>Z201</t>
        </is>
      </c>
      <c r="H8" s="534" t="inlineStr">
        <is>
          <t>Z201</t>
        </is>
      </c>
      <c r="I8" s="534" t="inlineStr">
        <is>
          <t>Z202</t>
        </is>
      </c>
      <c r="J8" s="534" t="inlineStr">
        <is>
          <t>Z203</t>
        </is>
      </c>
      <c r="K8" s="534" t="inlineStr">
        <is>
          <t>Z204</t>
        </is>
      </c>
      <c r="L8" s="534" t="inlineStr">
        <is>
          <t>Z205</t>
        </is>
      </c>
      <c r="M8" s="534" t="inlineStr">
        <is>
          <t>Z211</t>
        </is>
      </c>
      <c r="N8" s="534" t="inlineStr">
        <is>
          <t>Z211</t>
        </is>
      </c>
      <c r="O8" s="534" t="inlineStr">
        <is>
          <t>Z212</t>
        </is>
      </c>
      <c r="P8" s="534" t="inlineStr">
        <is>
          <t>Z213</t>
        </is>
      </c>
      <c r="Q8" s="534" t="inlineStr">
        <is>
          <t>Z214</t>
        </is>
      </c>
      <c r="R8" s="534" t="inlineStr">
        <is>
          <t>Z215</t>
        </is>
      </c>
      <c r="S8" s="537" t="n"/>
      <c r="T8" s="533" t="n"/>
      <c r="U8" s="533" t="n"/>
      <c r="V8" s="533" t="n"/>
      <c r="W8" s="533" t="n"/>
      <c r="X8" s="537" t="n"/>
      <c r="Y8" s="533" t="n"/>
      <c r="Z8" s="533" t="n"/>
      <c r="AA8" s="533" t="n"/>
      <c r="AB8" s="537" t="n"/>
      <c r="AC8" s="533" t="n"/>
      <c r="AD8" s="533" t="n"/>
      <c r="AE8" s="537" t="n"/>
      <c r="AF8" s="537" t="n"/>
      <c r="AG8" s="533" t="n"/>
      <c r="AH8" s="533" t="n"/>
      <c r="AI8" s="533" t="n"/>
      <c r="AJ8" s="533" t="n"/>
      <c r="AK8" s="533" t="n"/>
      <c r="AL8" s="533" t="n"/>
      <c r="AM8" s="533" t="n"/>
      <c r="AN8" s="533" t="n"/>
      <c r="AO8" s="533" t="n"/>
      <c r="AP8" s="533" t="n"/>
      <c r="AQ8" s="533" t="n"/>
      <c r="AR8" s="537" t="n"/>
      <c r="AS8" s="533" t="n"/>
      <c r="AT8" s="533" t="n"/>
      <c r="AU8" s="533" t="n"/>
      <c r="AV8" s="533" t="n"/>
      <c r="AW8" s="537" t="n"/>
    </row>
    <row r="9" ht="30" customHeight="1" s="244">
      <c r="A9" s="261" t="n"/>
      <c r="B9" s="282" t="n"/>
      <c r="C9" s="538" t="n"/>
      <c r="D9" s="261" t="n"/>
      <c r="E9" s="259" t="n"/>
      <c r="F9" s="577" t="inlineStr">
        <is>
          <t>SALON</t>
        </is>
      </c>
      <c r="G9" s="577" t="inlineStr">
        <is>
          <t>SALON</t>
        </is>
      </c>
      <c r="H9" s="577" t="inlineStr">
        <is>
          <t>SALON</t>
        </is>
      </c>
      <c r="I9" s="577" t="inlineStr">
        <is>
          <t>MUTFAK</t>
        </is>
      </c>
      <c r="J9" s="577" t="inlineStr">
        <is>
          <t>YATAK ODASI</t>
        </is>
      </c>
      <c r="K9" s="577" t="inlineStr">
        <is>
          <t>ODA</t>
        </is>
      </c>
      <c r="L9" s="577" t="inlineStr">
        <is>
          <t>BANYO</t>
        </is>
      </c>
      <c r="M9" s="577" t="inlineStr">
        <is>
          <t>SALON</t>
        </is>
      </c>
      <c r="N9" s="577" t="inlineStr">
        <is>
          <t>SALON</t>
        </is>
      </c>
      <c r="O9" s="577" t="inlineStr">
        <is>
          <t>MUTFAK</t>
        </is>
      </c>
      <c r="P9" s="577" t="inlineStr">
        <is>
          <t>YATAK ODASI</t>
        </is>
      </c>
      <c r="Q9" s="577" t="inlineStr">
        <is>
          <t>ODA</t>
        </is>
      </c>
      <c r="R9" s="577" t="inlineStr">
        <is>
          <t>BANYO</t>
        </is>
      </c>
      <c r="S9" s="541" t="n"/>
      <c r="T9" s="541" t="n"/>
      <c r="U9" s="542" t="n"/>
      <c r="V9" s="542" t="n"/>
      <c r="W9" s="542" t="n"/>
      <c r="X9" s="542" t="n"/>
      <c r="Y9" s="542" t="n"/>
      <c r="Z9" s="578" t="n"/>
      <c r="AA9" s="578" t="n"/>
      <c r="AB9" s="533" t="n"/>
      <c r="AC9" s="578" t="n"/>
      <c r="AD9" s="533" t="n"/>
      <c r="AE9" s="578" t="n"/>
      <c r="AF9" s="578" t="n"/>
      <c r="AG9" s="578" t="n"/>
      <c r="AH9" s="578" t="n"/>
      <c r="AI9" s="578" t="n"/>
      <c r="AJ9" s="533" t="n"/>
      <c r="AK9" s="533" t="n"/>
      <c r="AL9" s="533" t="n"/>
      <c r="AM9" s="533" t="n"/>
      <c r="AN9" s="533" t="n"/>
      <c r="AO9" s="542" t="n"/>
      <c r="AP9" s="542" t="n"/>
      <c r="AQ9" s="542" t="n"/>
      <c r="AR9" s="541" t="n"/>
      <c r="AS9" s="541" t="n"/>
      <c r="AT9" s="542" t="n"/>
      <c r="AU9" s="542" t="n"/>
      <c r="AV9" s="542" t="n"/>
      <c r="AW9" s="542" t="n"/>
    </row>
    <row r="10" ht="12" customHeight="1" s="244">
      <c r="A10" s="261" t="n"/>
      <c r="B10" s="282" t="n"/>
      <c r="C10" s="538" t="n"/>
      <c r="D10" s="261" t="n"/>
      <c r="E10" s="259" t="n"/>
      <c r="F10" s="543" t="n">
        <v>22</v>
      </c>
      <c r="G10" s="543" t="n">
        <v>22</v>
      </c>
      <c r="H10" s="543" t="n">
        <v>22</v>
      </c>
      <c r="I10" s="543" t="n">
        <v>20</v>
      </c>
      <c r="J10" s="543" t="n">
        <v>20</v>
      </c>
      <c r="K10" s="543" t="n">
        <v>20</v>
      </c>
      <c r="L10" s="543" t="n">
        <v>26</v>
      </c>
      <c r="M10" s="543" t="n">
        <v>22</v>
      </c>
      <c r="N10" s="543" t="n">
        <v>22</v>
      </c>
      <c r="O10" s="543" t="n">
        <v>20</v>
      </c>
      <c r="P10" s="543" t="n">
        <v>20</v>
      </c>
      <c r="Q10" s="543" t="n">
        <v>20</v>
      </c>
      <c r="R10" s="543" t="n">
        <v>26</v>
      </c>
      <c r="S10" s="259" t="n"/>
      <c r="T10" s="259" t="n"/>
      <c r="U10" s="259" t="n"/>
      <c r="V10" s="259" t="n"/>
      <c r="W10" s="259" t="n"/>
      <c r="X10" s="259" t="n"/>
      <c r="Y10" s="259" t="n"/>
      <c r="Z10" s="259" t="n"/>
      <c r="AA10" s="259" t="n"/>
      <c r="AB10" s="259" t="n"/>
      <c r="AC10" s="259" t="n"/>
      <c r="AD10" s="259" t="n"/>
      <c r="AE10" s="259" t="n"/>
      <c r="AF10" s="259" t="n"/>
      <c r="AG10" s="259" t="n"/>
      <c r="AH10" s="259" t="n"/>
      <c r="AI10" s="259" t="n"/>
      <c r="AJ10" s="259" t="n"/>
      <c r="AK10" s="259" t="n"/>
      <c r="AL10" s="259" t="n"/>
      <c r="AM10" s="259" t="n"/>
      <c r="AN10" s="259" t="n"/>
      <c r="AO10" s="259" t="n"/>
      <c r="AP10" s="259" t="n"/>
      <c r="AQ10" s="259" t="n"/>
      <c r="AR10" s="259" t="n"/>
      <c r="AS10" s="259" t="n"/>
      <c r="AT10" s="259" t="n"/>
      <c r="AU10" s="259" t="n"/>
      <c r="AV10" s="259" t="n"/>
      <c r="AW10" s="259" t="n"/>
    </row>
    <row r="11" ht="12" customHeight="1" s="244">
      <c r="A11" s="261" t="n"/>
      <c r="B11" s="282" t="n"/>
      <c r="C11" s="538" t="n"/>
      <c r="D11" s="261" t="n"/>
      <c r="E11" s="259" t="n"/>
      <c r="F11" s="543" t="n">
        <v>22</v>
      </c>
      <c r="G11" s="543" t="n">
        <v>22</v>
      </c>
      <c r="H11" s="543" t="n">
        <v>22</v>
      </c>
      <c r="I11" s="543" t="n">
        <v>20</v>
      </c>
      <c r="J11" s="543" t="n">
        <v>20</v>
      </c>
      <c r="K11" s="543" t="n">
        <v>20</v>
      </c>
      <c r="L11" s="543" t="n">
        <v>26</v>
      </c>
      <c r="M11" s="543" t="n">
        <v>22</v>
      </c>
      <c r="N11" s="543" t="n">
        <v>22</v>
      </c>
      <c r="O11" s="543" t="n">
        <v>20</v>
      </c>
      <c r="P11" s="543" t="n">
        <v>20</v>
      </c>
      <c r="Q11" s="543" t="n">
        <v>20</v>
      </c>
      <c r="R11" s="543" t="n">
        <v>26</v>
      </c>
      <c r="S11" s="259" t="n"/>
      <c r="T11" s="259" t="n"/>
      <c r="U11" s="259" t="n"/>
      <c r="V11" s="259" t="n"/>
      <c r="W11" s="259" t="n"/>
      <c r="X11" s="259" t="n"/>
      <c r="Y11" s="259" t="n"/>
      <c r="Z11" s="259" t="n"/>
      <c r="AA11" s="259" t="n"/>
      <c r="AB11" s="259" t="n"/>
      <c r="AC11" s="259" t="n"/>
      <c r="AD11" s="259" t="n"/>
      <c r="AE11" s="259" t="n"/>
      <c r="AF11" s="259" t="n"/>
      <c r="AG11" s="259" t="n"/>
      <c r="AH11" s="259" t="n"/>
      <c r="AI11" s="259" t="n"/>
      <c r="AJ11" s="259" t="n"/>
      <c r="AK11" s="259" t="n"/>
      <c r="AL11" s="259" t="n"/>
      <c r="AM11" s="259" t="n"/>
      <c r="AN11" s="259" t="n"/>
      <c r="AO11" s="259" t="n"/>
      <c r="AP11" s="259" t="n"/>
      <c r="AQ11" s="259" t="n"/>
      <c r="AR11" s="259" t="n"/>
      <c r="AS11" s="259" t="n"/>
      <c r="AT11" s="259" t="n"/>
      <c r="AU11" s="259" t="n"/>
      <c r="AV11" s="259" t="n"/>
      <c r="AW11" s="259" t="n"/>
    </row>
    <row r="12" ht="12" customHeight="1" s="244">
      <c r="A12" s="261" t="n"/>
      <c r="B12" s="282" t="n"/>
      <c r="C12" s="538" t="n"/>
      <c r="D12" s="261" t="n"/>
      <c r="E12" s="259" t="n"/>
      <c r="F12" s="544" t="n">
        <v>7.05</v>
      </c>
      <c r="G12" s="544" t="n">
        <v>3.55</v>
      </c>
      <c r="H12" s="544" t="n">
        <v>7.05</v>
      </c>
      <c r="I12" s="544" t="n">
        <v>8.74</v>
      </c>
      <c r="J12" s="544" t="n">
        <v>8.94</v>
      </c>
      <c r="K12" s="544" t="n">
        <v>6.52</v>
      </c>
      <c r="L12" s="544" t="n">
        <v>4.03</v>
      </c>
      <c r="M12" s="544" t="n">
        <v>9.43</v>
      </c>
      <c r="N12" s="544" t="n">
        <v>4.61</v>
      </c>
      <c r="O12" s="544" t="n">
        <v>8.82</v>
      </c>
      <c r="P12" s="544" t="n">
        <v>9.16</v>
      </c>
      <c r="Q12" s="544" t="n">
        <v>7.02</v>
      </c>
      <c r="R12" s="544" t="n">
        <v>2.56</v>
      </c>
      <c r="S12" s="545" t="n"/>
      <c r="T12" s="545" t="n"/>
      <c r="U12" s="545" t="n"/>
      <c r="V12" s="545" t="n"/>
      <c r="W12" s="545" t="n"/>
      <c r="X12" s="545" t="n"/>
      <c r="Y12" s="545" t="n"/>
      <c r="Z12" s="545" t="n"/>
      <c r="AA12" s="545" t="n"/>
      <c r="AB12" s="545" t="n"/>
      <c r="AC12" s="547" t="n"/>
      <c r="AD12" s="545" t="n"/>
      <c r="AE12" s="545" t="n"/>
      <c r="AF12" s="545" t="n"/>
      <c r="AG12" s="545" t="n"/>
      <c r="AH12" s="545" t="n"/>
      <c r="AI12" s="545" t="n"/>
      <c r="AJ12" s="545" t="n"/>
      <c r="AK12" s="579" t="n"/>
      <c r="AL12" s="579" t="n"/>
      <c r="AM12" s="579" t="n"/>
      <c r="AN12" s="545" t="n"/>
      <c r="AO12" s="545" t="n"/>
      <c r="AP12" s="545" t="n"/>
      <c r="AQ12" s="545" t="n"/>
      <c r="AR12" s="545" t="n"/>
      <c r="AS12" s="545" t="n"/>
      <c r="AT12" s="545" t="n"/>
      <c r="AU12" s="545" t="n"/>
      <c r="AV12" s="545" t="n"/>
      <c r="AW12" s="545" t="n"/>
    </row>
    <row r="13" ht="12" customHeight="1" s="244">
      <c r="A13" s="261" t="n"/>
      <c r="B13" s="282" t="n"/>
      <c r="C13" s="538" t="n"/>
      <c r="D13" s="261" t="n"/>
      <c r="E13" s="259" t="n"/>
      <c r="F13" s="546" t="n">
        <v>482.2</v>
      </c>
      <c r="G13" s="546" t="n">
        <v>242.8</v>
      </c>
      <c r="H13" s="546" t="n">
        <v>482.2</v>
      </c>
      <c r="I13" s="546" t="n">
        <v>479.7</v>
      </c>
      <c r="J13" s="546" t="n">
        <v>522.6</v>
      </c>
      <c r="K13" s="546" t="n">
        <v>405.2</v>
      </c>
      <c r="L13" s="546" t="n">
        <v>195.4</v>
      </c>
      <c r="M13" s="546" t="n">
        <v>912.4</v>
      </c>
      <c r="N13" s="546" t="n">
        <v>445.5</v>
      </c>
      <c r="O13" s="546" t="n">
        <v>535.8</v>
      </c>
      <c r="P13" s="546" t="n">
        <v>473.9</v>
      </c>
      <c r="Q13" s="546" t="n">
        <v>408.5</v>
      </c>
      <c r="R13" s="546" t="n">
        <v>204.7</v>
      </c>
      <c r="S13" s="547" t="n"/>
      <c r="T13" s="547" t="n"/>
      <c r="U13" s="547" t="n"/>
      <c r="V13" s="547" t="n"/>
      <c r="W13" s="547" t="n"/>
      <c r="X13" s="547" t="n"/>
      <c r="Y13" s="547" t="n"/>
      <c r="Z13" s="547" t="n"/>
      <c r="AA13" s="547" t="n"/>
      <c r="AB13" s="547" t="n"/>
      <c r="AC13" s="547" t="n"/>
      <c r="AD13" s="547" t="n"/>
      <c r="AE13" s="547" t="n"/>
      <c r="AF13" s="547" t="n"/>
      <c r="AG13" s="547" t="n"/>
      <c r="AH13" s="547" t="n"/>
      <c r="AI13" s="547" t="n"/>
      <c r="AJ13" s="547" t="n"/>
      <c r="AK13" s="547" t="n"/>
      <c r="AL13" s="547" t="n"/>
      <c r="AM13" s="547" t="n"/>
      <c r="AN13" s="547" t="n"/>
      <c r="AO13" s="547" t="n"/>
      <c r="AP13" s="547" t="n"/>
      <c r="AQ13" s="547" t="n"/>
      <c r="AR13" s="547" t="n"/>
      <c r="AS13" s="547" t="n"/>
      <c r="AT13" s="547" t="n"/>
      <c r="AU13" s="547" t="n"/>
      <c r="AV13" s="547" t="n"/>
      <c r="AW13" s="547" t="n"/>
    </row>
    <row r="14" ht="12" customHeight="1" s="244">
      <c r="A14" s="261" t="n"/>
      <c r="B14" s="282" t="n"/>
      <c r="C14" s="538" t="n"/>
      <c r="D14" s="261" t="n"/>
      <c r="E14" s="259" t="n"/>
      <c r="F14" s="548">
        <f>F13/F12</f>
        <v/>
      </c>
      <c r="G14" s="548">
        <f>G13/G12</f>
        <v/>
      </c>
      <c r="H14" s="548">
        <f>H13/H12</f>
        <v/>
      </c>
      <c r="I14" s="548">
        <f>I13/I12</f>
        <v/>
      </c>
      <c r="J14" s="548">
        <f>J13/J12</f>
        <v/>
      </c>
      <c r="K14" s="548">
        <f>K13/K12</f>
        <v/>
      </c>
      <c r="L14" s="548">
        <f>L13/L12</f>
        <v/>
      </c>
      <c r="M14" s="548">
        <f>M13/M12</f>
        <v/>
      </c>
      <c r="N14" s="548">
        <f>N13/N12</f>
        <v/>
      </c>
      <c r="O14" s="548">
        <f>O13/O12</f>
        <v/>
      </c>
      <c r="P14" s="548">
        <f>P13/P12</f>
        <v/>
      </c>
      <c r="Q14" s="548">
        <f>Q13/Q12</f>
        <v/>
      </c>
      <c r="R14" s="548">
        <f>R13/R12</f>
        <v/>
      </c>
      <c r="S14" s="549" t="n"/>
      <c r="T14" s="549" t="n"/>
      <c r="U14" s="549" t="n"/>
      <c r="V14" s="549" t="n"/>
      <c r="W14" s="549" t="n"/>
      <c r="X14" s="549" t="n"/>
      <c r="Y14" s="549" t="n"/>
      <c r="Z14" s="549" t="n"/>
      <c r="AA14" s="549" t="n"/>
      <c r="AB14" s="549" t="n"/>
      <c r="AC14" s="549" t="n"/>
      <c r="AD14" s="549" t="n"/>
      <c r="AE14" s="549" t="n"/>
      <c r="AF14" s="549" t="n"/>
      <c r="AG14" s="549" t="n"/>
      <c r="AH14" s="549" t="n"/>
      <c r="AI14" s="549" t="n"/>
      <c r="AJ14" s="549" t="n"/>
      <c r="AK14" s="549" t="n"/>
      <c r="AL14" s="549" t="n"/>
      <c r="AM14" s="549" t="n"/>
      <c r="AN14" s="549" t="n"/>
      <c r="AO14" s="549" t="n"/>
      <c r="AP14" s="549" t="n"/>
      <c r="AQ14" s="549" t="n"/>
      <c r="AR14" s="549" t="n"/>
      <c r="AS14" s="549" t="n"/>
      <c r="AT14" s="549" t="n"/>
      <c r="AU14" s="549" t="n"/>
      <c r="AV14" s="549" t="n"/>
      <c r="AW14" s="549" t="n"/>
    </row>
    <row r="15" ht="12" customHeight="1" s="244">
      <c r="A15" s="261" t="n"/>
      <c r="B15" s="282" t="n"/>
      <c r="C15" s="538" t="n"/>
      <c r="D15" s="261" t="n"/>
      <c r="E15" s="259" t="n"/>
      <c r="F15" s="543" t="n">
        <v>0.012</v>
      </c>
      <c r="G15" s="543" t="n">
        <v>0.012</v>
      </c>
      <c r="H15" s="543" t="n">
        <v>0.012</v>
      </c>
      <c r="I15" s="543" t="n">
        <v>0.012</v>
      </c>
      <c r="J15" s="543" t="n">
        <v>0.012</v>
      </c>
      <c r="K15" s="543" t="n">
        <v>0.012</v>
      </c>
      <c r="L15" s="543" t="n">
        <v>0.012</v>
      </c>
      <c r="M15" s="543" t="n">
        <v>0.012</v>
      </c>
      <c r="N15" s="543" t="n">
        <v>0.012</v>
      </c>
      <c r="O15" s="543" t="n">
        <v>0.012</v>
      </c>
      <c r="P15" s="543" t="n">
        <v>0.012</v>
      </c>
      <c r="Q15" s="543" t="n">
        <v>0.012</v>
      </c>
      <c r="R15" s="543" t="n">
        <v>0.012</v>
      </c>
      <c r="S15" s="259" t="n"/>
      <c r="T15" s="259" t="n"/>
      <c r="U15" s="259" t="n"/>
      <c r="V15" s="259" t="n"/>
      <c r="W15" s="259" t="n"/>
      <c r="X15" s="259" t="n"/>
      <c r="Y15" s="259" t="n"/>
      <c r="Z15" s="259" t="n"/>
      <c r="AA15" s="259" t="n"/>
      <c r="AB15" s="259" t="n"/>
      <c r="AC15" s="259" t="n"/>
      <c r="AD15" s="259" t="n"/>
      <c r="AE15" s="259" t="n"/>
      <c r="AF15" s="259" t="n"/>
      <c r="AG15" s="259" t="n"/>
      <c r="AH15" s="259" t="n"/>
      <c r="AI15" s="259" t="n"/>
      <c r="AJ15" s="259" t="n"/>
      <c r="AK15" s="259" t="n"/>
      <c r="AL15" s="259" t="n"/>
      <c r="AM15" s="259" t="n"/>
      <c r="AN15" s="259" t="n"/>
      <c r="AO15" s="259" t="n"/>
      <c r="AP15" s="259" t="n"/>
      <c r="AQ15" s="259" t="n"/>
      <c r="AR15" s="259" t="n"/>
      <c r="AS15" s="259" t="n"/>
      <c r="AT15" s="259" t="n"/>
      <c r="AU15" s="259" t="n"/>
      <c r="AV15" s="259" t="n"/>
      <c r="AW15" s="259" t="n"/>
    </row>
    <row r="16" ht="12" customHeight="1" s="244">
      <c r="A16" s="261" t="n"/>
      <c r="B16" s="282" t="n"/>
      <c r="C16" s="538" t="n"/>
      <c r="D16" s="261" t="n"/>
      <c r="E16" s="259" t="n"/>
      <c r="F16" s="544" t="n">
        <v>1</v>
      </c>
      <c r="G16" s="544" t="n">
        <v>1</v>
      </c>
      <c r="H16" s="544" t="n">
        <v>1</v>
      </c>
      <c r="I16" s="544" t="n">
        <v>1</v>
      </c>
      <c r="J16" s="544" t="n">
        <v>1</v>
      </c>
      <c r="K16" s="544" t="n">
        <v>1</v>
      </c>
      <c r="L16" s="544" t="n">
        <v>1</v>
      </c>
      <c r="M16" s="544" t="n">
        <v>1</v>
      </c>
      <c r="N16" s="544" t="n">
        <v>1</v>
      </c>
      <c r="O16" s="544" t="n">
        <v>1</v>
      </c>
      <c r="P16" s="544" t="n">
        <v>1</v>
      </c>
      <c r="Q16" s="544" t="n">
        <v>1</v>
      </c>
      <c r="R16" s="544" t="n">
        <v>1</v>
      </c>
      <c r="S16" s="545" t="n"/>
      <c r="T16" s="545" t="n"/>
      <c r="U16" s="545" t="n"/>
      <c r="V16" s="545" t="n"/>
      <c r="W16" s="545" t="n"/>
      <c r="X16" s="545" t="n"/>
      <c r="Y16" s="545" t="n"/>
      <c r="Z16" s="545" t="n"/>
      <c r="AA16" s="545" t="n"/>
      <c r="AB16" s="545" t="n"/>
      <c r="AC16" s="545" t="n"/>
      <c r="AD16" s="545" t="n"/>
      <c r="AE16" s="545" t="n"/>
      <c r="AF16" s="545" t="n"/>
      <c r="AG16" s="545" t="n"/>
      <c r="AH16" s="545" t="n"/>
      <c r="AI16" s="545" t="n"/>
      <c r="AJ16" s="545" t="n"/>
      <c r="AK16" s="545" t="n"/>
      <c r="AL16" s="545" t="n"/>
      <c r="AM16" s="545" t="n"/>
      <c r="AN16" s="545" t="n"/>
      <c r="AO16" s="545" t="n"/>
      <c r="AP16" s="545" t="n"/>
      <c r="AQ16" s="545" t="n"/>
      <c r="AR16" s="545" t="n"/>
      <c r="AS16" s="545" t="n"/>
      <c r="AT16" s="545" t="n"/>
      <c r="AU16" s="545" t="n"/>
      <c r="AV16" s="545" t="n"/>
      <c r="AW16" s="545" t="n"/>
    </row>
    <row r="17" ht="12" customHeight="1" s="244">
      <c r="A17" s="261" t="n"/>
      <c r="B17" s="282" t="n"/>
      <c r="C17" s="538" t="n"/>
      <c r="D17" s="261" t="n"/>
      <c r="E17" s="259" t="n"/>
      <c r="F17" s="543">
        <f>F12</f>
        <v/>
      </c>
      <c r="G17" s="543">
        <f>G12</f>
        <v/>
      </c>
      <c r="H17" s="543">
        <f>H12</f>
        <v/>
      </c>
      <c r="I17" s="543">
        <f>I12</f>
        <v/>
      </c>
      <c r="J17" s="543">
        <f>J12</f>
        <v/>
      </c>
      <c r="K17" s="543">
        <f>K12</f>
        <v/>
      </c>
      <c r="L17" s="543">
        <f>L12</f>
        <v/>
      </c>
      <c r="M17" s="543">
        <f>M12</f>
        <v/>
      </c>
      <c r="N17" s="543">
        <f>N12</f>
        <v/>
      </c>
      <c r="O17" s="543">
        <f>O12</f>
        <v/>
      </c>
      <c r="P17" s="543">
        <f>P12</f>
        <v/>
      </c>
      <c r="Q17" s="543">
        <f>Q12</f>
        <v/>
      </c>
      <c r="R17" s="543">
        <f>R12</f>
        <v/>
      </c>
      <c r="S17" s="259" t="n"/>
      <c r="T17" s="259" t="n"/>
      <c r="U17" s="259" t="n"/>
      <c r="V17" s="259" t="n"/>
      <c r="W17" s="259" t="n"/>
      <c r="X17" s="259" t="n"/>
      <c r="Y17" s="259" t="n"/>
      <c r="Z17" s="259" t="n"/>
      <c r="AA17" s="259" t="n"/>
      <c r="AB17" s="259" t="n"/>
      <c r="AC17" s="259" t="n"/>
      <c r="AD17" s="259" t="n"/>
      <c r="AE17" s="259" t="n"/>
      <c r="AF17" s="259" t="n"/>
      <c r="AG17" s="259" t="n"/>
      <c r="AH17" s="259" t="n"/>
      <c r="AI17" s="259" t="n"/>
      <c r="AJ17" s="259" t="n"/>
      <c r="AK17" s="259" t="n"/>
      <c r="AL17" s="259" t="n"/>
      <c r="AM17" s="259" t="n"/>
      <c r="AN17" s="259" t="n"/>
      <c r="AO17" s="259" t="n"/>
      <c r="AP17" s="259" t="n"/>
      <c r="AQ17" s="259" t="n"/>
      <c r="AR17" s="259" t="n"/>
      <c r="AS17" s="259" t="n"/>
      <c r="AT17" s="259" t="n"/>
      <c r="AU17" s="259" t="n"/>
      <c r="AV17" s="259" t="n"/>
      <c r="AW17" s="259" t="n"/>
    </row>
    <row r="18" ht="16.5" customHeight="1" s="244">
      <c r="A18" s="261" t="n"/>
      <c r="B18" s="282" t="n"/>
      <c r="C18" s="538" t="n"/>
      <c r="D18" s="261" t="n"/>
      <c r="E18" s="259" t="n"/>
      <c r="F18" s="550">
        <f>F13/F17</f>
        <v/>
      </c>
      <c r="G18" s="550">
        <f>G13/G17</f>
        <v/>
      </c>
      <c r="H18" s="550">
        <f>H13/H17</f>
        <v/>
      </c>
      <c r="I18" s="550">
        <f>I13/I17</f>
        <v/>
      </c>
      <c r="J18" s="550">
        <f>J13/J17</f>
        <v/>
      </c>
      <c r="K18" s="550">
        <f>K13/K17</f>
        <v/>
      </c>
      <c r="L18" s="550">
        <f>L13/L17</f>
        <v/>
      </c>
      <c r="M18" s="550">
        <f>M13/M17</f>
        <v/>
      </c>
      <c r="N18" s="550">
        <f>N13/N17</f>
        <v/>
      </c>
      <c r="O18" s="550">
        <f>O13/O17</f>
        <v/>
      </c>
      <c r="P18" s="550">
        <f>P13/P17</f>
        <v/>
      </c>
      <c r="Q18" s="550">
        <f>Q13/Q17</f>
        <v/>
      </c>
      <c r="R18" s="550">
        <f>R13/R17</f>
        <v/>
      </c>
      <c r="S18" s="551" t="n"/>
      <c r="T18" s="551" t="n"/>
      <c r="U18" s="551" t="n"/>
      <c r="V18" s="551" t="n"/>
      <c r="W18" s="551" t="n"/>
      <c r="X18" s="551" t="n"/>
      <c r="Y18" s="551" t="n"/>
      <c r="Z18" s="551" t="n"/>
      <c r="AA18" s="551" t="n"/>
      <c r="AB18" s="551" t="n"/>
      <c r="AC18" s="551" t="n"/>
      <c r="AD18" s="551" t="n"/>
      <c r="AE18" s="551" t="n"/>
      <c r="AF18" s="551" t="n"/>
      <c r="AG18" s="551" t="n"/>
      <c r="AH18" s="551" t="n"/>
      <c r="AI18" s="551" t="n"/>
      <c r="AJ18" s="551" t="n"/>
      <c r="AK18" s="551" t="n"/>
      <c r="AL18" s="551" t="n"/>
      <c r="AM18" s="551" t="n"/>
      <c r="AN18" s="551" t="n"/>
      <c r="AO18" s="551" t="n"/>
      <c r="AP18" s="551" t="n"/>
      <c r="AQ18" s="551" t="n"/>
      <c r="AR18" s="551" t="n"/>
      <c r="AS18" s="551" t="n"/>
      <c r="AT18" s="551" t="n"/>
      <c r="AU18" s="551" t="n"/>
      <c r="AV18" s="551" t="n"/>
      <c r="AW18" s="551" t="n"/>
    </row>
    <row r="19" ht="19.5" customHeight="1" s="244">
      <c r="A19" s="261" t="n"/>
      <c r="B19" s="282" t="n"/>
      <c r="C19" s="538" t="n"/>
      <c r="D19" s="261" t="n"/>
      <c r="E19" s="259" t="n"/>
      <c r="F19" s="550">
        <f>F10+(F14/8.92)^0.91</f>
        <v/>
      </c>
      <c r="G19" s="550">
        <f>G10+(G14/8.92)^0.91</f>
        <v/>
      </c>
      <c r="H19" s="550">
        <f>H10+(H14/8.92)^0.91</f>
        <v/>
      </c>
      <c r="I19" s="550">
        <f>I10+(I14/8.92)^0.91</f>
        <v/>
      </c>
      <c r="J19" s="550">
        <f>J10+(J14/8.92)^0.91</f>
        <v/>
      </c>
      <c r="K19" s="550">
        <f>K10+(K14/8.92)^0.91</f>
        <v/>
      </c>
      <c r="L19" s="550">
        <f>L10+(L14/8.92)^0.91</f>
        <v/>
      </c>
      <c r="M19" s="550">
        <f>M10+(M14/8.92)^0.91</f>
        <v/>
      </c>
      <c r="N19" s="550">
        <f>N10+(N14/8.92)^0.91</f>
        <v/>
      </c>
      <c r="O19" s="550">
        <f>O10+(O14/8.92)^0.91</f>
        <v/>
      </c>
      <c r="P19" s="550">
        <f>P10+(P14/8.92)^0.91</f>
        <v/>
      </c>
      <c r="Q19" s="550">
        <f>Q10+(Q14/8.92)^0.91</f>
        <v/>
      </c>
      <c r="R19" s="550">
        <f>R10+(R14/8.92)^0.91</f>
        <v/>
      </c>
      <c r="S19" s="551" t="n"/>
      <c r="T19" s="551" t="n"/>
      <c r="U19" s="551" t="n"/>
      <c r="V19" s="551" t="n"/>
      <c r="W19" s="551" t="n"/>
      <c r="X19" s="551" t="n"/>
      <c r="Y19" s="551" t="n"/>
      <c r="Z19" s="551" t="n"/>
      <c r="AA19" s="551" t="n"/>
      <c r="AB19" s="551" t="n"/>
      <c r="AC19" s="551" t="n"/>
      <c r="AD19" s="551" t="n"/>
      <c r="AE19" s="551" t="n"/>
      <c r="AF19" s="551" t="n"/>
      <c r="AG19" s="551" t="n"/>
      <c r="AH19" s="551" t="n"/>
      <c r="AI19" s="551" t="n"/>
      <c r="AJ19" s="551" t="n"/>
      <c r="AK19" s="551" t="n"/>
      <c r="AL19" s="551" t="n"/>
      <c r="AM19" s="551" t="n"/>
      <c r="AN19" s="551" t="n"/>
      <c r="AO19" s="551" t="n"/>
      <c r="AP19" s="551" t="n"/>
      <c r="AQ19" s="551" t="n"/>
      <c r="AR19" s="551" t="n"/>
      <c r="AS19" s="551" t="n"/>
      <c r="AT19" s="551" t="n"/>
      <c r="AU19" s="551" t="n"/>
      <c r="AV19" s="551" t="n"/>
      <c r="AW19" s="551" t="n"/>
    </row>
    <row r="20" ht="12" customHeight="1" s="244">
      <c r="A20" s="261" t="n"/>
      <c r="B20" s="282" t="n"/>
      <c r="C20" s="538" t="n"/>
      <c r="D20" s="261" t="n"/>
      <c r="E20" s="259" t="n"/>
      <c r="F20" s="543" t="n">
        <v>45</v>
      </c>
      <c r="G20" s="543" t="n">
        <v>45</v>
      </c>
      <c r="H20" s="543" t="n">
        <v>45</v>
      </c>
      <c r="I20" s="543" t="n">
        <v>45</v>
      </c>
      <c r="J20" s="543" t="n">
        <v>45</v>
      </c>
      <c r="K20" s="543" t="n">
        <v>45</v>
      </c>
      <c r="L20" s="543" t="n">
        <v>45</v>
      </c>
      <c r="M20" s="543" t="n">
        <v>45</v>
      </c>
      <c r="N20" s="543" t="n">
        <v>45</v>
      </c>
      <c r="O20" s="543" t="n">
        <v>45</v>
      </c>
      <c r="P20" s="543" t="n">
        <v>45</v>
      </c>
      <c r="Q20" s="543" t="n">
        <v>45</v>
      </c>
      <c r="R20" s="543" t="n">
        <v>45</v>
      </c>
      <c r="S20" s="259" t="n"/>
      <c r="T20" s="259" t="n"/>
      <c r="U20" s="259" t="n"/>
      <c r="V20" s="259" t="n"/>
      <c r="W20" s="259" t="n"/>
      <c r="X20" s="259" t="n"/>
      <c r="Y20" s="259" t="n"/>
      <c r="Z20" s="259" t="n"/>
      <c r="AA20" s="259" t="n"/>
      <c r="AB20" s="259" t="n"/>
      <c r="AC20" s="259" t="n"/>
      <c r="AD20" s="259" t="n"/>
      <c r="AE20" s="259" t="n"/>
      <c r="AF20" s="259" t="n"/>
      <c r="AG20" s="259" t="n"/>
      <c r="AH20" s="259" t="n"/>
      <c r="AI20" s="259" t="n"/>
      <c r="AJ20" s="259" t="n"/>
      <c r="AK20" s="259" t="n"/>
      <c r="AL20" s="259" t="n"/>
      <c r="AM20" s="259" t="n"/>
      <c r="AN20" s="259" t="n"/>
      <c r="AO20" s="259" t="n"/>
      <c r="AP20" s="259" t="n"/>
      <c r="AQ20" s="259" t="n"/>
      <c r="AR20" s="259" t="n"/>
      <c r="AS20" s="259" t="n"/>
      <c r="AT20" s="259" t="n"/>
      <c r="AU20" s="259" t="n"/>
      <c r="AV20" s="259" t="n"/>
      <c r="AW20" s="259" t="n"/>
    </row>
    <row r="21" ht="12" customHeight="1" s="244">
      <c r="A21" s="261" t="n"/>
      <c r="B21" s="552" t="n"/>
      <c r="C21" s="538" t="n"/>
      <c r="D21" s="261" t="n"/>
      <c r="E21" s="259" t="n"/>
      <c r="F21" s="543">
        <f>F20-F10</f>
        <v/>
      </c>
      <c r="G21" s="543">
        <f>G20-G10</f>
        <v/>
      </c>
      <c r="H21" s="543">
        <f>H20-H10</f>
        <v/>
      </c>
      <c r="I21" s="543">
        <f>I20-I10</f>
        <v/>
      </c>
      <c r="J21" s="543">
        <f>J20-J10</f>
        <v/>
      </c>
      <c r="K21" s="543">
        <f>K20-K10</f>
        <v/>
      </c>
      <c r="L21" s="543">
        <f>L20-L10</f>
        <v/>
      </c>
      <c r="M21" s="543">
        <f>M20-M10</f>
        <v/>
      </c>
      <c r="N21" s="543">
        <f>N20-N10</f>
        <v/>
      </c>
      <c r="O21" s="543">
        <f>O20-O10</f>
        <v/>
      </c>
      <c r="P21" s="543">
        <f>P20-P10</f>
        <v/>
      </c>
      <c r="Q21" s="543">
        <f>Q20-Q10</f>
        <v/>
      </c>
      <c r="R21" s="543">
        <f>R20-R10</f>
        <v/>
      </c>
      <c r="S21" s="259" t="n"/>
      <c r="T21" s="259" t="n"/>
      <c r="U21" s="259" t="n"/>
      <c r="V21" s="259" t="n"/>
      <c r="W21" s="259" t="n"/>
      <c r="X21" s="259" t="n"/>
      <c r="Y21" s="259" t="n"/>
      <c r="Z21" s="259" t="n"/>
      <c r="AA21" s="259" t="n"/>
      <c r="AB21" s="259" t="n"/>
      <c r="AC21" s="259" t="n"/>
      <c r="AD21" s="259" t="n"/>
      <c r="AE21" s="259" t="n"/>
      <c r="AF21" s="259" t="n"/>
      <c r="AG21" s="259" t="n"/>
      <c r="AH21" s="259" t="n"/>
      <c r="AI21" s="259" t="n"/>
      <c r="AJ21" s="259" t="n"/>
      <c r="AK21" s="259" t="n"/>
      <c r="AL21" s="259" t="n"/>
      <c r="AM21" s="259" t="n"/>
      <c r="AN21" s="259" t="n"/>
      <c r="AO21" s="259" t="n"/>
      <c r="AP21" s="259" t="n"/>
      <c r="AQ21" s="259" t="n"/>
      <c r="AR21" s="259" t="n"/>
      <c r="AS21" s="259" t="n"/>
      <c r="AT21" s="259" t="n"/>
      <c r="AU21" s="259" t="n"/>
      <c r="AV21" s="259" t="n"/>
      <c r="AW21" s="259" t="n"/>
    </row>
    <row r="22" ht="12" customHeight="1" s="244">
      <c r="A22" s="261" t="n"/>
      <c r="B22" s="553" t="n"/>
      <c r="C22" s="538" t="n"/>
      <c r="D22" s="261" t="n"/>
      <c r="E22" s="259" t="n"/>
      <c r="F22" s="543" t="n">
        <v>15</v>
      </c>
      <c r="G22" s="543" t="n">
        <v>15</v>
      </c>
      <c r="H22" s="543" t="n">
        <v>15</v>
      </c>
      <c r="I22" s="543" t="n">
        <v>15</v>
      </c>
      <c r="J22" s="543" t="n">
        <v>15</v>
      </c>
      <c r="K22" s="543" t="n">
        <v>15</v>
      </c>
      <c r="L22" s="543" t="n">
        <v>10</v>
      </c>
      <c r="M22" s="543" t="n">
        <v>15</v>
      </c>
      <c r="N22" s="543" t="n">
        <v>15</v>
      </c>
      <c r="O22" s="543" t="n">
        <v>15</v>
      </c>
      <c r="P22" s="543" t="n">
        <v>15</v>
      </c>
      <c r="Q22" s="543" t="n">
        <v>15</v>
      </c>
      <c r="R22" s="543" t="n">
        <v>10</v>
      </c>
      <c r="S22" s="259" t="n"/>
      <c r="T22" s="259" t="n"/>
      <c r="U22" s="259" t="n"/>
      <c r="V22" s="259" t="n"/>
      <c r="W22" s="259" t="n"/>
      <c r="X22" s="259" t="n"/>
      <c r="Y22" s="259" t="n"/>
      <c r="Z22" s="259" t="n"/>
      <c r="AA22" s="259" t="n"/>
      <c r="AB22" s="259" t="n"/>
      <c r="AC22" s="259" t="n"/>
      <c r="AD22" s="259" t="n"/>
      <c r="AE22" s="259" t="n"/>
      <c r="AF22" s="259" t="n"/>
      <c r="AG22" s="259" t="n"/>
      <c r="AH22" s="259" t="n"/>
      <c r="AI22" s="259" t="n"/>
      <c r="AJ22" s="259" t="n"/>
      <c r="AK22" s="259" t="n"/>
      <c r="AL22" s="259" t="n"/>
      <c r="AM22" s="259" t="n"/>
      <c r="AN22" s="259" t="n"/>
      <c r="AO22" s="259" t="n"/>
      <c r="AP22" s="259" t="n"/>
      <c r="AQ22" s="259" t="n"/>
      <c r="AR22" s="259" t="n"/>
      <c r="AS22" s="259" t="n"/>
      <c r="AT22" s="259" t="n"/>
      <c r="AU22" s="259" t="n"/>
      <c r="AV22" s="259" t="n"/>
      <c r="AW22" s="259" t="n"/>
    </row>
    <row r="23" ht="12" customHeight="1" s="244">
      <c r="A23" s="261" t="n"/>
      <c r="B23" s="553" t="n"/>
      <c r="C23" s="538" t="n"/>
      <c r="D23" s="261" t="n"/>
      <c r="E23" s="259" t="n"/>
      <c r="F23" s="554" t="n">
        <v>40</v>
      </c>
      <c r="G23" s="554" t="n">
        <v>40</v>
      </c>
      <c r="H23" s="554" t="n">
        <v>40</v>
      </c>
      <c r="I23" s="554" t="n">
        <v>40</v>
      </c>
      <c r="J23" s="554" t="n">
        <v>40</v>
      </c>
      <c r="K23" s="554" t="n">
        <v>40</v>
      </c>
      <c r="L23" s="554" t="n">
        <v>40</v>
      </c>
      <c r="M23" s="554" t="n">
        <v>40</v>
      </c>
      <c r="N23" s="554" t="n">
        <v>40</v>
      </c>
      <c r="O23" s="554" t="n">
        <v>40</v>
      </c>
      <c r="P23" s="554" t="n">
        <v>40</v>
      </c>
      <c r="Q23" s="554" t="n">
        <v>40</v>
      </c>
      <c r="R23" s="554" t="n">
        <v>40</v>
      </c>
      <c r="S23" s="555" t="n"/>
      <c r="T23" s="555" t="n"/>
      <c r="U23" s="555" t="n"/>
      <c r="V23" s="555" t="n"/>
      <c r="W23" s="555" t="n"/>
      <c r="X23" s="555" t="n"/>
      <c r="Y23" s="555" t="n"/>
      <c r="Z23" s="555" t="n"/>
      <c r="AA23" s="555" t="n"/>
      <c r="AB23" s="555" t="n"/>
      <c r="AC23" s="555" t="n"/>
      <c r="AD23" s="555" t="n"/>
      <c r="AE23" s="555" t="n"/>
      <c r="AF23" s="555" t="n"/>
      <c r="AG23" s="555" t="n"/>
      <c r="AH23" s="555" t="n"/>
      <c r="AI23" s="555" t="n"/>
      <c r="AJ23" s="555" t="n"/>
      <c r="AK23" s="555" t="n"/>
      <c r="AL23" s="555" t="n"/>
      <c r="AM23" s="555" t="n"/>
      <c r="AN23" s="555" t="n"/>
      <c r="AO23" s="555" t="n"/>
      <c r="AP23" s="555" t="n"/>
      <c r="AQ23" s="555" t="n"/>
      <c r="AR23" s="555" t="n"/>
      <c r="AS23" s="555" t="n"/>
      <c r="AT23" s="555" t="n"/>
      <c r="AU23" s="555" t="n"/>
      <c r="AV23" s="555" t="n"/>
      <c r="AW23" s="555" t="n"/>
    </row>
    <row r="24" ht="12" customHeight="1" s="244">
      <c r="A24" s="261" t="n"/>
      <c r="B24" s="552" t="n"/>
      <c r="C24" s="538" t="n"/>
      <c r="D24" s="261" t="n"/>
      <c r="E24" s="259" t="n"/>
      <c r="F24" s="543">
        <f>F23-F10</f>
        <v/>
      </c>
      <c r="G24" s="543">
        <f>G23-G10</f>
        <v/>
      </c>
      <c r="H24" s="543">
        <f>H23-H10</f>
        <v/>
      </c>
      <c r="I24" s="543">
        <f>I23-I10</f>
        <v/>
      </c>
      <c r="J24" s="543">
        <f>J23-J10</f>
        <v/>
      </c>
      <c r="K24" s="543">
        <f>K23-K10</f>
        <v/>
      </c>
      <c r="L24" s="543">
        <f>L23-L10</f>
        <v/>
      </c>
      <c r="M24" s="543">
        <f>M23-M10</f>
        <v/>
      </c>
      <c r="N24" s="543">
        <f>N23-N10</f>
        <v/>
      </c>
      <c r="O24" s="543">
        <f>O23-O10</f>
        <v/>
      </c>
      <c r="P24" s="543">
        <f>P23-P10</f>
        <v/>
      </c>
      <c r="Q24" s="543">
        <f>Q23-Q10</f>
        <v/>
      </c>
      <c r="R24" s="543">
        <f>R23-R10</f>
        <v/>
      </c>
      <c r="S24" s="259" t="n"/>
      <c r="T24" s="259" t="n"/>
      <c r="U24" s="259" t="n"/>
      <c r="V24" s="259" t="n"/>
      <c r="W24" s="259" t="n"/>
      <c r="X24" s="259" t="n"/>
      <c r="Y24" s="259" t="n"/>
      <c r="Z24" s="259" t="n"/>
      <c r="AA24" s="259" t="n"/>
      <c r="AB24" s="259" t="n"/>
      <c r="AC24" s="259" t="n"/>
      <c r="AD24" s="259" t="n"/>
      <c r="AE24" s="259" t="n"/>
      <c r="AF24" s="259" t="n"/>
      <c r="AG24" s="259" t="n"/>
      <c r="AH24" s="259" t="n"/>
      <c r="AI24" s="259" t="n"/>
      <c r="AJ24" s="259" t="n"/>
      <c r="AK24" s="259" t="n"/>
      <c r="AL24" s="259" t="n"/>
      <c r="AM24" s="259" t="n"/>
      <c r="AN24" s="259" t="n"/>
      <c r="AO24" s="259" t="n"/>
      <c r="AP24" s="259" t="n"/>
      <c r="AQ24" s="259" t="n"/>
      <c r="AR24" s="259" t="n"/>
      <c r="AS24" s="259" t="n"/>
      <c r="AT24" s="259" t="n"/>
      <c r="AU24" s="259" t="n"/>
      <c r="AV24" s="259" t="n"/>
      <c r="AW24" s="259" t="n"/>
    </row>
    <row r="25" ht="12" customHeight="1" s="244">
      <c r="A25" s="261" t="n"/>
      <c r="B25" s="552" t="n"/>
      <c r="C25" s="538" t="n"/>
      <c r="D25" s="261" t="n"/>
      <c r="E25" s="259" t="n"/>
      <c r="F25" s="543">
        <f>2*(F21-F24)</f>
        <v/>
      </c>
      <c r="G25" s="543">
        <f>2*(G21-G24)</f>
        <v/>
      </c>
      <c r="H25" s="543">
        <f>2*(H21-H24)</f>
        <v/>
      </c>
      <c r="I25" s="543">
        <f>2*(I21-I24)</f>
        <v/>
      </c>
      <c r="J25" s="543">
        <f>2*(J21-J24)</f>
        <v/>
      </c>
      <c r="K25" s="543">
        <f>2*(K21-K24)</f>
        <v/>
      </c>
      <c r="L25" s="543">
        <f>2*(L21-L24)</f>
        <v/>
      </c>
      <c r="M25" s="543">
        <f>2*(M21-M24)</f>
        <v/>
      </c>
      <c r="N25" s="543">
        <f>2*(N21-N24)</f>
        <v/>
      </c>
      <c r="O25" s="543">
        <f>2*(O21-O24)</f>
        <v/>
      </c>
      <c r="P25" s="543">
        <f>2*(P21-P24)</f>
        <v/>
      </c>
      <c r="Q25" s="543">
        <f>2*(Q21-Q24)</f>
        <v/>
      </c>
      <c r="R25" s="543">
        <f>2*(R21-R24)</f>
        <v/>
      </c>
      <c r="S25" s="259" t="n"/>
      <c r="T25" s="259" t="n"/>
      <c r="U25" s="259" t="n"/>
      <c r="V25" s="259" t="n"/>
      <c r="W25" s="259" t="n"/>
      <c r="X25" s="259" t="n"/>
      <c r="Y25" s="259" t="n"/>
      <c r="Z25" s="259" t="n"/>
      <c r="AA25" s="259" t="n"/>
      <c r="AB25" s="259" t="n"/>
      <c r="AC25" s="259" t="n"/>
      <c r="AD25" s="259" t="n"/>
      <c r="AE25" s="259" t="n"/>
      <c r="AF25" s="259" t="n"/>
      <c r="AG25" s="259" t="n"/>
      <c r="AH25" s="259" t="n"/>
      <c r="AI25" s="259" t="n"/>
      <c r="AJ25" s="259" t="n"/>
      <c r="AK25" s="259" t="n"/>
      <c r="AL25" s="259" t="n"/>
      <c r="AM25" s="259" t="n"/>
      <c r="AN25" s="259" t="n"/>
      <c r="AO25" s="259" t="n"/>
      <c r="AP25" s="259" t="n"/>
      <c r="AQ25" s="259" t="n"/>
      <c r="AR25" s="259" t="n"/>
      <c r="AS25" s="259" t="n"/>
      <c r="AT25" s="259" t="n"/>
      <c r="AU25" s="259" t="n"/>
      <c r="AV25" s="259" t="n"/>
      <c r="AW25" s="259" t="n"/>
    </row>
    <row r="26" ht="12" customHeight="1" s="244">
      <c r="A26" s="261" t="n"/>
      <c r="B26" s="553" t="n"/>
      <c r="C26" s="538" t="n"/>
      <c r="D26" s="556" t="n"/>
      <c r="E26" s="259" t="n"/>
      <c r="F26" s="550">
        <f>0.2*F14</f>
        <v/>
      </c>
      <c r="G26" s="550">
        <f>0.2*G14</f>
        <v/>
      </c>
      <c r="H26" s="550">
        <f>0.2*H14</f>
        <v/>
      </c>
      <c r="I26" s="550">
        <f>0.2*I14</f>
        <v/>
      </c>
      <c r="J26" s="550">
        <f>0.2*J14</f>
        <v/>
      </c>
      <c r="K26" s="550">
        <f>0.2*K14</f>
        <v/>
      </c>
      <c r="L26" s="550">
        <f>0.2*L14</f>
        <v/>
      </c>
      <c r="M26" s="550">
        <f>0.2*M14</f>
        <v/>
      </c>
      <c r="N26" s="550">
        <f>0.2*N14</f>
        <v/>
      </c>
      <c r="O26" s="550">
        <f>0.2*O14</f>
        <v/>
      </c>
      <c r="P26" s="550">
        <f>0.2*P14</f>
        <v/>
      </c>
      <c r="Q26" s="550">
        <f>0.2*Q14</f>
        <v/>
      </c>
      <c r="R26" s="550">
        <f>0.2*R14</f>
        <v/>
      </c>
      <c r="S26" s="551" t="n"/>
      <c r="T26" s="551" t="n"/>
      <c r="U26" s="551" t="n"/>
      <c r="V26" s="551" t="n"/>
      <c r="W26" s="551" t="n"/>
      <c r="X26" s="551" t="n"/>
      <c r="Y26" s="551" t="n"/>
      <c r="Z26" s="551" t="n"/>
      <c r="AA26" s="551" t="n"/>
      <c r="AB26" s="551" t="n"/>
      <c r="AC26" s="551" t="n"/>
      <c r="AD26" s="551" t="n"/>
      <c r="AE26" s="551" t="n"/>
      <c r="AF26" s="551" t="n"/>
      <c r="AG26" s="551" t="n"/>
      <c r="AH26" s="551" t="n"/>
      <c r="AI26" s="551" t="n"/>
      <c r="AJ26" s="551" t="n"/>
      <c r="AK26" s="551" t="n"/>
      <c r="AL26" s="551" t="n"/>
      <c r="AM26" s="551" t="n"/>
      <c r="AN26" s="551" t="n"/>
      <c r="AO26" s="551" t="n"/>
      <c r="AP26" s="551" t="n"/>
      <c r="AQ26" s="551" t="n"/>
      <c r="AR26" s="551" t="n"/>
      <c r="AS26" s="551" t="n"/>
      <c r="AT26" s="551" t="n"/>
      <c r="AU26" s="551" t="n"/>
      <c r="AV26" s="551" t="n"/>
      <c r="AW26" s="551" t="n"/>
    </row>
    <row r="27" ht="12" customHeight="1" s="244">
      <c r="A27" s="261" t="n"/>
      <c r="B27" s="553" t="n"/>
      <c r="C27" s="538" t="n"/>
      <c r="D27" s="261" t="n"/>
      <c r="E27" s="259" t="n"/>
      <c r="F27" s="557">
        <f>F17*(F14+F26)</f>
        <v/>
      </c>
      <c r="G27" s="557">
        <f>G17*(G14+G26)</f>
        <v/>
      </c>
      <c r="H27" s="557">
        <f>H17*(H14+H26)</f>
        <v/>
      </c>
      <c r="I27" s="557">
        <f>I17*(I14+I26)</f>
        <v/>
      </c>
      <c r="J27" s="557">
        <f>J17*(J14+J26)</f>
        <v/>
      </c>
      <c r="K27" s="557">
        <f>K17*(K14+K26)</f>
        <v/>
      </c>
      <c r="L27" s="557">
        <f>L17*(L14+L26)</f>
        <v/>
      </c>
      <c r="M27" s="557">
        <f>M17*(M14+M26)</f>
        <v/>
      </c>
      <c r="N27" s="557">
        <f>N17*(N14+N26)</f>
        <v/>
      </c>
      <c r="O27" s="557">
        <f>O17*(O14+O26)</f>
        <v/>
      </c>
      <c r="P27" s="557">
        <f>P17*(P14+P26)</f>
        <v/>
      </c>
      <c r="Q27" s="557">
        <f>Q17*(Q14+Q26)</f>
        <v/>
      </c>
      <c r="R27" s="557">
        <f>R17*(R14+R26)</f>
        <v/>
      </c>
      <c r="S27" s="558" t="n"/>
      <c r="T27" s="558" t="n"/>
      <c r="U27" s="558" t="n"/>
      <c r="V27" s="558" t="n"/>
      <c r="W27" s="558" t="n"/>
      <c r="X27" s="558" t="n"/>
      <c r="Y27" s="558" t="n"/>
      <c r="Z27" s="558" t="n"/>
      <c r="AA27" s="558" t="n"/>
      <c r="AB27" s="558" t="n"/>
      <c r="AC27" s="558" t="n"/>
      <c r="AD27" s="558" t="n"/>
      <c r="AE27" s="558" t="n"/>
      <c r="AF27" s="558" t="n"/>
      <c r="AG27" s="558" t="n"/>
      <c r="AH27" s="558" t="n"/>
      <c r="AI27" s="558" t="n"/>
      <c r="AJ27" s="558" t="n"/>
      <c r="AK27" s="558" t="n"/>
      <c r="AL27" s="558" t="n"/>
      <c r="AM27" s="558" t="n"/>
      <c r="AN27" s="558" t="n"/>
      <c r="AO27" s="558" t="n"/>
      <c r="AP27" s="558" t="n"/>
      <c r="AQ27" s="558" t="n"/>
      <c r="AR27" s="558" t="n"/>
      <c r="AS27" s="558" t="n"/>
      <c r="AT27" s="558" t="n"/>
      <c r="AU27" s="558" t="n"/>
      <c r="AV27" s="558" t="n"/>
      <c r="AW27" s="558" t="n"/>
    </row>
    <row r="28" ht="12" customHeight="1" s="244">
      <c r="A28" s="261" t="n"/>
      <c r="B28" s="553" t="n"/>
      <c r="C28" s="538" t="inlineStr">
        <is>
          <t>SICAK SU DEBİSİ</t>
        </is>
      </c>
      <c r="D28" s="261" t="inlineStr">
        <is>
          <t>q/(1,163.ΔTs)</t>
        </is>
      </c>
      <c r="E28" s="259" t="n"/>
      <c r="F28" s="559">
        <f>F27/(1.163*F25)</f>
        <v/>
      </c>
      <c r="G28" s="559">
        <f>G27/(1.163*G25)</f>
        <v/>
      </c>
      <c r="H28" s="559">
        <f>H27/(1.163*H25)</f>
        <v/>
      </c>
      <c r="I28" s="559">
        <f>I27/(1.163*I25)</f>
        <v/>
      </c>
      <c r="J28" s="559">
        <f>J27/(1.163*J25)</f>
        <v/>
      </c>
      <c r="K28" s="559">
        <f>K27/(1.163*K25)</f>
        <v/>
      </c>
      <c r="L28" s="559">
        <f>L27/(1.163*L25)</f>
        <v/>
      </c>
      <c r="M28" s="559">
        <f>M27/(1.163*M25)</f>
        <v/>
      </c>
      <c r="N28" s="559">
        <f>N27/(1.163*N25)</f>
        <v/>
      </c>
      <c r="O28" s="559">
        <f>O27/(1.163*O25)</f>
        <v/>
      </c>
      <c r="P28" s="559">
        <f>P27/(1.163*P25)</f>
        <v/>
      </c>
      <c r="Q28" s="559">
        <f>Q27/(1.163*Q25)</f>
        <v/>
      </c>
      <c r="R28" s="559">
        <f>R27/(1.163*R25)</f>
        <v/>
      </c>
      <c r="S28" s="560" t="n"/>
      <c r="T28" s="560" t="n"/>
      <c r="U28" s="560" t="n"/>
      <c r="V28" s="560" t="n"/>
      <c r="W28" s="560" t="n"/>
      <c r="X28" s="560" t="n"/>
      <c r="Y28" s="560" t="n"/>
      <c r="Z28" s="560" t="n"/>
      <c r="AA28" s="560" t="n"/>
      <c r="AB28" s="560" t="n"/>
      <c r="AC28" s="560" t="n"/>
      <c r="AD28" s="560" t="n"/>
      <c r="AE28" s="560" t="n"/>
      <c r="AF28" s="560" t="n"/>
      <c r="AG28" s="560" t="n"/>
      <c r="AH28" s="560" t="n"/>
      <c r="AI28" s="560" t="n"/>
      <c r="AJ28" s="560" t="n"/>
      <c r="AK28" s="560" t="n"/>
      <c r="AL28" s="560" t="n"/>
      <c r="AM28" s="560" t="n"/>
      <c r="AN28" s="560" t="n"/>
      <c r="AO28" s="560" t="n"/>
      <c r="AP28" s="560" t="n"/>
      <c r="AQ28" s="560" t="n"/>
      <c r="AR28" s="560" t="n"/>
      <c r="AS28" s="560" t="n"/>
      <c r="AT28" s="560" t="n"/>
      <c r="AU28" s="560" t="n"/>
      <c r="AV28" s="560" t="n"/>
      <c r="AW28" s="560" t="n"/>
    </row>
    <row r="29" ht="12" customHeight="1" s="244">
      <c r="A29" s="261" t="n"/>
      <c r="B29" s="553" t="n"/>
      <c r="C29" s="538" t="n"/>
      <c r="D29" s="261" t="n"/>
      <c r="E29" s="259" t="n"/>
      <c r="F29" s="561">
        <f>F17/(F22*0.01)</f>
        <v/>
      </c>
      <c r="G29" s="561">
        <f>G17/(G22*0.01)</f>
        <v/>
      </c>
      <c r="H29" s="561">
        <f>H17/(H22*0.01)</f>
        <v/>
      </c>
      <c r="I29" s="561">
        <f>I17/(I22*0.01)</f>
        <v/>
      </c>
      <c r="J29" s="561">
        <f>J17/(J22*0.01)</f>
        <v/>
      </c>
      <c r="K29" s="561">
        <f>K17/(K22*0.01)</f>
        <v/>
      </c>
      <c r="L29" s="561">
        <f>L17/(L22*0.01)</f>
        <v/>
      </c>
      <c r="M29" s="561">
        <f>M17/(M22*0.01)</f>
        <v/>
      </c>
      <c r="N29" s="561">
        <f>N17/(N22*0.01)</f>
        <v/>
      </c>
      <c r="O29" s="561">
        <f>O17/(O22*0.01)</f>
        <v/>
      </c>
      <c r="P29" s="561">
        <f>P17/(P22*0.01)</f>
        <v/>
      </c>
      <c r="Q29" s="561">
        <f>Q17/(Q22*0.01)</f>
        <v/>
      </c>
      <c r="R29" s="561">
        <f>R17/(R22*0.01)</f>
        <v/>
      </c>
      <c r="S29" s="562" t="n"/>
      <c r="T29" s="562" t="n"/>
      <c r="U29" s="562" t="n"/>
      <c r="V29" s="562" t="n"/>
      <c r="W29" s="562" t="n"/>
      <c r="X29" s="562" t="n"/>
      <c r="Y29" s="562" t="n"/>
      <c r="Z29" s="562" t="n"/>
      <c r="AA29" s="562" t="n"/>
      <c r="AB29" s="562" t="n"/>
      <c r="AC29" s="562" t="n"/>
      <c r="AD29" s="562" t="n"/>
      <c r="AE29" s="562" t="n"/>
      <c r="AF29" s="562" t="n"/>
      <c r="AG29" s="562" t="n"/>
      <c r="AH29" s="562" t="n"/>
      <c r="AI29" s="562" t="n"/>
      <c r="AJ29" s="562" t="n"/>
      <c r="AK29" s="562" t="n"/>
      <c r="AL29" s="562" t="n"/>
      <c r="AM29" s="562" t="n"/>
      <c r="AN29" s="562" t="n"/>
      <c r="AO29" s="562" t="n"/>
      <c r="AP29" s="562" t="n"/>
      <c r="AQ29" s="562" t="n"/>
      <c r="AR29" s="562" t="n"/>
      <c r="AS29" s="562" t="n"/>
      <c r="AT29" s="562" t="n"/>
      <c r="AU29" s="562" t="n"/>
      <c r="AV29" s="562" t="n"/>
      <c r="AW29" s="562" t="n"/>
    </row>
    <row r="30" ht="12" customHeight="1" s="244">
      <c r="A30" s="261" t="n"/>
      <c r="B30" s="553" t="n"/>
      <c r="C30" s="538" t="inlineStr">
        <is>
          <t>BAĞLANTI BORULARI</t>
        </is>
      </c>
      <c r="D30" s="261" t="inlineStr">
        <is>
          <t>Kat Planından (çizimden ölçülen)</t>
        </is>
      </c>
      <c r="E30" s="259" t="n"/>
      <c r="F30" s="580" t="n">
        <v>2.16</v>
      </c>
      <c r="G30" s="580" t="n">
        <v>1.8</v>
      </c>
      <c r="H30" s="580" t="n">
        <v>5.64</v>
      </c>
      <c r="I30" s="580" t="n">
        <v>4.06</v>
      </c>
      <c r="J30" s="580" t="n">
        <v>4.06</v>
      </c>
      <c r="K30" s="580" t="n">
        <v>5.41</v>
      </c>
      <c r="L30" s="580" t="n">
        <v>0</v>
      </c>
      <c r="M30" s="580" t="n">
        <v>8.65</v>
      </c>
      <c r="N30" s="580" t="n">
        <v>12.31</v>
      </c>
      <c r="O30" s="580" t="n">
        <v>8.279999999999999</v>
      </c>
      <c r="P30" s="580" t="n">
        <v>4.2</v>
      </c>
      <c r="Q30" s="580" t="n">
        <v>0</v>
      </c>
      <c r="R30" s="580" t="n">
        <v>3.96</v>
      </c>
      <c r="S30" s="565" t="n"/>
      <c r="T30" s="565" t="n"/>
      <c r="U30" s="565" t="n"/>
      <c r="V30" s="565" t="n"/>
      <c r="W30" s="565" t="n"/>
      <c r="X30" s="565" t="n"/>
      <c r="Y30" s="565" t="n"/>
      <c r="Z30" s="565" t="n"/>
      <c r="AA30" s="565" t="n"/>
      <c r="AB30" s="565" t="n"/>
      <c r="AC30" s="565" t="n"/>
      <c r="AD30" s="565" t="n"/>
      <c r="AE30" s="565" t="n"/>
      <c r="AF30" s="565" t="n"/>
      <c r="AG30" s="565" t="n"/>
      <c r="AO30" s="565" t="n"/>
      <c r="AP30" s="565" t="n"/>
      <c r="AQ30" s="565" t="n"/>
      <c r="AR30" s="565" t="n"/>
      <c r="AS30" s="565" t="n"/>
      <c r="AT30" s="565" t="n"/>
      <c r="AU30" s="565" t="n"/>
      <c r="AV30" s="565" t="n"/>
      <c r="AW30" s="565" t="n"/>
    </row>
    <row r="31" ht="12" customHeight="1" s="244">
      <c r="A31" s="261" t="n"/>
      <c r="B31" s="553" t="n"/>
      <c r="C31" s="538" t="inlineStr">
        <is>
          <t>TOPLAM BORU UZUNLUĞU</t>
        </is>
      </c>
      <c r="D31" s="261" t="inlineStr">
        <is>
          <t>Lç + Lb (çizimden ölçülen toplam)</t>
        </is>
      </c>
      <c r="E31" s="259" t="n"/>
      <c r="F31" s="543">
        <f>F29+F30</f>
        <v/>
      </c>
      <c r="G31" s="543">
        <f>G29+G30</f>
        <v/>
      </c>
      <c r="H31" s="543">
        <f>H29+H30</f>
        <v/>
      </c>
      <c r="I31" s="543">
        <f>I29+I30</f>
        <v/>
      </c>
      <c r="J31" s="543">
        <f>J29+J30</f>
        <v/>
      </c>
      <c r="K31" s="543">
        <f>K29+K30</f>
        <v/>
      </c>
      <c r="L31" s="543">
        <f>L29+L30</f>
        <v/>
      </c>
      <c r="M31" s="543">
        <f>M29+M30</f>
        <v/>
      </c>
      <c r="N31" s="543">
        <f>N29+N30</f>
        <v/>
      </c>
      <c r="O31" s="543">
        <f>O29+O30</f>
        <v/>
      </c>
      <c r="P31" s="543">
        <f>P29+P30</f>
        <v/>
      </c>
      <c r="Q31" s="543">
        <f>Q29+Q30</f>
        <v/>
      </c>
      <c r="R31" s="543">
        <f>R29+R30</f>
        <v/>
      </c>
      <c r="S31" s="259" t="n"/>
      <c r="T31" s="259" t="n"/>
      <c r="U31" s="259" t="n"/>
      <c r="V31" s="259" t="n"/>
      <c r="W31" s="259" t="n"/>
      <c r="X31" s="259" t="n"/>
      <c r="Y31" s="259" t="n"/>
      <c r="Z31" s="259" t="n"/>
      <c r="AA31" s="259" t="n"/>
      <c r="AB31" s="259" t="n"/>
      <c r="AC31" s="259" t="n"/>
      <c r="AD31" s="259" t="n"/>
      <c r="AE31" s="259" t="n"/>
      <c r="AF31" s="259" t="n"/>
      <c r="AG31" s="259" t="n"/>
      <c r="AH31" s="259" t="n"/>
      <c r="AI31" s="259" t="n"/>
      <c r="AJ31" s="259" t="n"/>
      <c r="AK31" s="259" t="n"/>
      <c r="AL31" s="259" t="n"/>
      <c r="AM31" s="259" t="n"/>
      <c r="AN31" s="259" t="n"/>
      <c r="AO31" s="259" t="n"/>
      <c r="AP31" s="259" t="n"/>
      <c r="AQ31" s="259" t="n"/>
      <c r="AR31" s="259" t="n"/>
      <c r="AS31" s="259" t="n"/>
      <c r="AT31" s="259" t="n"/>
      <c r="AU31" s="259" t="n"/>
      <c r="AV31" s="259" t="n"/>
      <c r="AW31" s="259" t="n"/>
    </row>
    <row r="32" ht="12" customHeight="1" s="244">
      <c r="A32" s="261" t="n"/>
      <c r="B32" s="552" t="n"/>
      <c r="C32" s="538" t="inlineStr">
        <is>
          <t>DÜZ BORU BASINÇ KAYBI (5)</t>
        </is>
      </c>
      <c r="D32" s="261" t="inlineStr">
        <is>
          <t>R.L (PEX 16x2,0, Blasius)</t>
        </is>
      </c>
      <c r="E32" s="259" t="n"/>
      <c r="F32" s="561" t="n">
        <v>668</v>
      </c>
      <c r="G32" s="561" t="n">
        <v>174</v>
      </c>
      <c r="H32" s="561" t="n">
        <v>715</v>
      </c>
      <c r="I32" s="561" t="n">
        <v>842</v>
      </c>
      <c r="J32" s="561" t="n">
        <v>937</v>
      </c>
      <c r="K32" s="561" t="n">
        <v>558</v>
      </c>
      <c r="L32" s="561" t="n">
        <v>221</v>
      </c>
      <c r="M32" s="561" t="n">
        <v>4472</v>
      </c>
      <c r="N32" s="561" t="n">
        <v>540</v>
      </c>
      <c r="O32" s="561" t="n">
        <v>1012</v>
      </c>
      <c r="P32" s="561" t="n">
        <v>871</v>
      </c>
      <c r="Q32" s="561" t="n">
        <v>535</v>
      </c>
      <c r="R32" s="561" t="n">
        <v>170</v>
      </c>
      <c r="S32" s="562" t="n"/>
      <c r="T32" s="562" t="n"/>
      <c r="U32" s="562" t="n"/>
      <c r="V32" s="562" t="n"/>
      <c r="W32" s="562" t="n"/>
      <c r="X32" s="562" t="n"/>
      <c r="Y32" s="562" t="n"/>
      <c r="Z32" s="562" t="n"/>
      <c r="AA32" s="562" t="n"/>
      <c r="AB32" s="562" t="n"/>
      <c r="AC32" s="562" t="n"/>
      <c r="AD32" s="562" t="n"/>
      <c r="AE32" s="562" t="n"/>
      <c r="AF32" s="562" t="n"/>
      <c r="AG32" s="562" t="n"/>
      <c r="AH32" s="562" t="n"/>
      <c r="AI32" s="562" t="n"/>
      <c r="AJ32" s="562" t="n"/>
      <c r="AK32" s="562" t="n"/>
      <c r="AL32" s="562" t="n"/>
      <c r="AM32" s="562" t="n"/>
      <c r="AN32" s="562" t="n"/>
      <c r="AO32" s="562" t="n"/>
      <c r="AP32" s="562" t="n"/>
      <c r="AQ32" s="562" t="n"/>
      <c r="AR32" s="562" t="n"/>
      <c r="AS32" s="562" t="n"/>
      <c r="AT32" s="562" t="n"/>
      <c r="AU32" s="562" t="n"/>
      <c r="AV32" s="562" t="n"/>
      <c r="AW32" s="562" t="n"/>
    </row>
    <row r="33" ht="12" customHeight="1" s="244">
      <c r="A33" s="261" t="n"/>
      <c r="B33" s="552" t="n"/>
      <c r="C33" s="538" t="n"/>
      <c r="D33" s="261" t="n"/>
      <c r="E33" s="259" t="n"/>
      <c r="F33" s="543">
        <f>F32*0.05</f>
        <v/>
      </c>
      <c r="G33" s="543">
        <f>G32*0.05</f>
        <v/>
      </c>
      <c r="H33" s="543">
        <f>H32*0.05</f>
        <v/>
      </c>
      <c r="I33" s="543">
        <f>I32*0.05</f>
        <v/>
      </c>
      <c r="J33" s="543">
        <f>J32*0.05</f>
        <v/>
      </c>
      <c r="K33" s="543">
        <f>K32*0.05</f>
        <v/>
      </c>
      <c r="L33" s="543">
        <f>L32*0.05</f>
        <v/>
      </c>
      <c r="M33" s="543">
        <f>M32*0.05</f>
        <v/>
      </c>
      <c r="N33" s="543">
        <f>N32*0.05</f>
        <v/>
      </c>
      <c r="O33" s="543">
        <f>O32*0.05</f>
        <v/>
      </c>
      <c r="P33" s="543">
        <f>P32*0.05</f>
        <v/>
      </c>
      <c r="Q33" s="543">
        <f>Q32*0.05</f>
        <v/>
      </c>
      <c r="R33" s="543">
        <f>R32*0.05</f>
        <v/>
      </c>
      <c r="S33" s="259" t="n"/>
      <c r="T33" s="259" t="n"/>
      <c r="U33" s="259" t="n"/>
      <c r="V33" s="259" t="n"/>
      <c r="W33" s="259" t="n"/>
      <c r="X33" s="259" t="n"/>
      <c r="Y33" s="259" t="n"/>
      <c r="Z33" s="259" t="n"/>
      <c r="AA33" s="259" t="n"/>
      <c r="AB33" s="259" t="n"/>
      <c r="AC33" s="259" t="n"/>
      <c r="AD33" s="259" t="n"/>
      <c r="AE33" s="551" t="n"/>
      <c r="AF33" s="259" t="n"/>
      <c r="AG33" s="259" t="n"/>
      <c r="AH33" s="259" t="n"/>
      <c r="AI33" s="259" t="n"/>
      <c r="AJ33" s="259" t="n"/>
      <c r="AK33" s="259" t="n"/>
      <c r="AL33" s="259" t="n"/>
      <c r="AM33" s="259" t="n"/>
      <c r="AN33" s="259" t="n"/>
      <c r="AO33" s="259" t="n"/>
      <c r="AP33" s="259" t="n"/>
      <c r="AQ33" s="259" t="n"/>
      <c r="AR33" s="259" t="n"/>
      <c r="AS33" s="259" t="n"/>
      <c r="AT33" s="259" t="n"/>
      <c r="AU33" s="259" t="n"/>
      <c r="AV33" s="259" t="n"/>
      <c r="AW33" s="259" t="n"/>
    </row>
    <row r="34" ht="12" customHeight="1" s="244">
      <c r="A34" s="261" t="n"/>
      <c r="B34" s="552" t="n"/>
      <c r="C34" s="538" t="n"/>
      <c r="D34" s="261" t="n"/>
      <c r="E34" s="259" t="n"/>
      <c r="F34" s="543">
        <f>F32+F33</f>
        <v/>
      </c>
      <c r="G34" s="543">
        <f>G32+G33</f>
        <v/>
      </c>
      <c r="H34" s="543">
        <f>H32+H33</f>
        <v/>
      </c>
      <c r="I34" s="543">
        <f>I32+I33</f>
        <v/>
      </c>
      <c r="J34" s="543">
        <f>J32+J33</f>
        <v/>
      </c>
      <c r="K34" s="543">
        <f>K32+K33</f>
        <v/>
      </c>
      <c r="L34" s="543">
        <f>L32+L33</f>
        <v/>
      </c>
      <c r="M34" s="543">
        <f>M32+M33</f>
        <v/>
      </c>
      <c r="N34" s="543">
        <f>N32+N33</f>
        <v/>
      </c>
      <c r="O34" s="543">
        <f>O32+O33</f>
        <v/>
      </c>
      <c r="P34" s="543">
        <f>P32+P33</f>
        <v/>
      </c>
      <c r="Q34" s="543">
        <f>Q32+Q33</f>
        <v/>
      </c>
      <c r="R34" s="543">
        <f>R32+R33</f>
        <v/>
      </c>
      <c r="S34" s="259" t="n"/>
      <c r="T34" s="259" t="n"/>
      <c r="U34" s="259" t="n"/>
      <c r="V34" s="259" t="n"/>
      <c r="W34" s="259" t="n"/>
      <c r="X34" s="259" t="n"/>
      <c r="Y34" s="259" t="n"/>
      <c r="Z34" s="259" t="n"/>
      <c r="AA34" s="259" t="n"/>
      <c r="AB34" s="259" t="n"/>
      <c r="AC34" s="259" t="n"/>
      <c r="AD34" s="259" t="n"/>
      <c r="AE34" s="259" t="n"/>
      <c r="AF34" s="259" t="n"/>
      <c r="AG34" s="551" t="n"/>
      <c r="AH34" s="259" t="n"/>
      <c r="AI34" s="259" t="n"/>
      <c r="AJ34" s="259" t="n"/>
      <c r="AK34" s="259" t="n"/>
      <c r="AL34" s="259" t="n"/>
      <c r="AM34" s="259" t="n"/>
      <c r="AN34" s="259" t="n"/>
      <c r="AO34" s="259" t="n"/>
      <c r="AP34" s="259" t="n"/>
      <c r="AQ34" s="259" t="n"/>
      <c r="AR34" s="259" t="n"/>
      <c r="AS34" s="259" t="n"/>
      <c r="AT34" s="259" t="n"/>
      <c r="AU34" s="259" t="n"/>
      <c r="AV34" s="259" t="n"/>
      <c r="AW34" s="259" t="n"/>
    </row>
    <row r="35" ht="12" customHeight="1" s="244">
      <c r="A35" s="261" t="n"/>
      <c r="B35" s="552" t="n"/>
      <c r="C35" s="282" t="n"/>
      <c r="D35" s="261" t="n"/>
      <c r="E35" s="259" t="n"/>
      <c r="F35" s="566">
        <f>MAX(F34:R34)-F34</f>
        <v/>
      </c>
      <c r="G35" s="566">
        <f>MAX(F34:R34)-G34</f>
        <v/>
      </c>
      <c r="H35" s="566">
        <f>MAX(F34:R34)-H34</f>
        <v/>
      </c>
      <c r="I35" s="566">
        <f>MAX(F34:R34)-I34</f>
        <v/>
      </c>
      <c r="J35" s="566">
        <f>MAX(F34:R34)-J34</f>
        <v/>
      </c>
      <c r="K35" s="566">
        <f>MAX(F34:R34)-K34</f>
        <v/>
      </c>
      <c r="L35" s="566">
        <f>MAX(F34:R34)-L34</f>
        <v/>
      </c>
      <c r="M35" s="566">
        <f>MAX(F34:R34)-M34</f>
        <v/>
      </c>
      <c r="N35" s="566">
        <f>MAX(F34:R34)-N34</f>
        <v/>
      </c>
      <c r="O35" s="566">
        <f>MAX(F34:R34)-O34</f>
        <v/>
      </c>
      <c r="P35" s="566">
        <f>MAX(F34:R34)-P34</f>
        <v/>
      </c>
      <c r="Q35" s="566">
        <f>MAX(F34:R34)-Q34</f>
        <v/>
      </c>
      <c r="R35" s="566">
        <f>MAX(F34:R34)-R34</f>
        <v/>
      </c>
      <c r="S35" s="567" t="n"/>
      <c r="T35" s="567" t="n"/>
      <c r="U35" s="567" t="n"/>
      <c r="V35" s="567" t="n"/>
      <c r="W35" s="567" t="n"/>
      <c r="X35" s="567" t="n"/>
      <c r="Y35" s="567" t="n"/>
      <c r="Z35" s="567" t="n"/>
      <c r="AA35" s="567" t="n"/>
      <c r="AB35" s="567" t="n"/>
      <c r="AC35" s="567" t="n"/>
      <c r="AD35" s="567" t="n"/>
      <c r="AE35" s="567" t="n"/>
      <c r="AF35" s="567" t="n"/>
      <c r="AG35" s="567" t="n"/>
      <c r="AH35" s="567" t="n"/>
      <c r="AI35" s="567" t="n"/>
      <c r="AJ35" s="567" t="n"/>
      <c r="AK35" s="567" t="n"/>
      <c r="AL35" s="567" t="n"/>
      <c r="AM35" s="567" t="n"/>
      <c r="AN35" s="567" t="n"/>
      <c r="AO35" s="567" t="n"/>
      <c r="AP35" s="567" t="n"/>
      <c r="AQ35" s="567" t="n"/>
      <c r="AR35" s="567" t="n"/>
      <c r="AS35" s="567" t="n"/>
      <c r="AT35" s="567" t="n"/>
      <c r="AU35" s="567" t="n"/>
      <c r="AV35" s="567" t="n"/>
      <c r="AW35" s="567" t="n"/>
    </row>
    <row r="36" ht="18" customHeight="1" s="244">
      <c r="D36" s="266" t="inlineStr">
        <is>
          <t>Δpmax = 9828 Pa</t>
        </is>
      </c>
      <c r="F36" s="243" t="inlineStr">
        <is>
          <t>BASINÇ AYARLI KOLLEKTÖRDEN HERBİR</t>
        </is>
      </c>
    </row>
    <row r="37" ht="18" customHeight="1" s="244">
      <c r="F37" s="243" t="inlineStr">
        <is>
          <t>HATTA GİDEN BASINÇ BU BASINÇ DEĞERLERİNE</t>
        </is>
      </c>
    </row>
    <row r="38" ht="12.75" customHeight="1" s="244">
      <c r="F38" s="243" t="inlineStr">
        <is>
          <t>GÖRE AYARLANMALIDIR….</t>
        </is>
      </c>
    </row>
    <row r="39" ht="12.75" customHeight="1" s="244">
      <c r="F39" s="568" t="inlineStr">
        <is>
          <t>Δpö</t>
        </is>
      </c>
      <c r="G39" s="568" t="inlineStr">
        <is>
          <t>EK VI-14i Tablosundan q değeri m³/h çevrilir DN10 borusu için</t>
        </is>
      </c>
      <c r="H39" s="568" t="n"/>
      <c r="I39" s="568" t="n"/>
    </row>
    <row r="40" ht="12.75" customHeight="1" s="244">
      <c r="A40" s="569" t="inlineStr">
        <is>
          <t xml:space="preserve"> (1)</t>
        </is>
      </c>
      <c r="B40" s="243" t="inlineStr">
        <is>
          <t>Şek. 19.7.1 den seçilmiştir.</t>
        </is>
      </c>
      <c r="F40" s="568" t="n"/>
      <c r="G40" s="568" t="inlineStr">
        <is>
          <t>R (Pa/m) 1metre borudaki basın. Kaybı bulunur..</t>
        </is>
      </c>
      <c r="H40" s="568" t="n"/>
      <c r="I40" s="568" t="n"/>
    </row>
    <row r="41" ht="12.75" customHeight="1" s="244">
      <c r="A41" s="569" t="inlineStr">
        <is>
          <t xml:space="preserve"> (2)</t>
        </is>
      </c>
      <c r="B41" s="243" t="inlineStr">
        <is>
          <t>Kombi gidiş suyu sıcaklığı 45 °C, dönüş 35 °C (ortalama 40 °C) seçilmiştir.</t>
        </is>
      </c>
      <c r="F41" s="568" t="n"/>
      <c r="G41" s="568" t="inlineStr">
        <is>
          <t xml:space="preserve">toplam boru boyu ile çarpımından Δpö (Pa) bulunur.  </t>
        </is>
      </c>
      <c r="H41" s="568" t="n"/>
      <c r="I41" s="568" t="n"/>
    </row>
    <row r="42" ht="12.75" customHeight="1" s="244">
      <c r="A42" s="569" t="inlineStr">
        <is>
          <t xml:space="preserve"> (3)</t>
        </is>
      </c>
      <c r="B42" s="243" t="inlineStr">
        <is>
          <t>Ortalama su sıcaklığı 45/35 °C rejimine göre 40 °C alınmıştır.</t>
        </is>
      </c>
    </row>
    <row r="43" ht="12.75" customHeight="1" s="244">
      <c r="A43" s="569" t="inlineStr">
        <is>
          <t xml:space="preserve"> (4)</t>
        </is>
      </c>
      <c r="B43" s="243" t="inlineStr">
        <is>
          <t>Alta geçen ısı 0,2 q" olarak alınmıştır (1. katın altı ısıtılan iş yeri, 2. katın altı ısıtılan daire).</t>
        </is>
      </c>
    </row>
    <row r="44" ht="12.75" customHeight="1" s="244">
      <c r="A44" s="569" t="inlineStr">
        <is>
          <t xml:space="preserve"> (5)</t>
        </is>
      </c>
      <c r="B44" s="243" t="inlineStr">
        <is>
          <t>R (Pa/m): PEX 16x2,0 (iç çap 12 mm), Blasius bağıntısı ile hesaplanmıştır.</t>
        </is>
      </c>
    </row>
    <row r="45" ht="12.75" customHeight="1" s="244">
      <c r="A45" s="569" t="inlineStr">
        <is>
          <t xml:space="preserve"> (6)</t>
        </is>
      </c>
      <c r="B45" s="243" t="inlineStr">
        <is>
          <t>kollektörden sonraki özel basınç kayıpları, düz boru kayıpları yanında çok küçük olduğundan düz boru basınç kaybının % 5 i kabul edilmiştir.</t>
        </is>
      </c>
    </row>
    <row r="46" ht="12.75" customHeight="1" s="244">
      <c r="A46" s="569" t="inlineStr">
        <is>
          <t xml:space="preserve"> (7)</t>
        </is>
      </c>
      <c r="B46" s="243" t="inlineStr">
        <is>
          <t>Isıtma devrelerinin basıncı kollektördeki debimetreli reglaj vanası ile ayarlanmalıdır.</t>
        </is>
      </c>
    </row>
    <row r="47" ht="12.75" customHeight="1" s="244">
      <c r="A47" s="570" t="n"/>
    </row>
  </sheetData>
  <mergeCells count="7">
    <mergeCell ref="E3:Y4"/>
    <mergeCell ref="A2:B5"/>
    <mergeCell ref="E2:Y2"/>
    <mergeCell ref="C2:C5"/>
    <mergeCell ref="A1:O1"/>
    <mergeCell ref="D3:D4"/>
    <mergeCell ref="D5:J5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76"/>
  <sheetViews>
    <sheetView workbookViewId="0">
      <selection activeCell="A1" sqref="A1"/>
    </sheetView>
  </sheetViews>
  <sheetFormatPr baseColWidth="8" defaultRowHeight="15"/>
  <cols>
    <col width="24" customWidth="1" style="244" min="1" max="1"/>
    <col width="8" customWidth="1" style="244" min="2" max="2"/>
    <col width="12" customWidth="1" style="244" min="3" max="3"/>
    <col width="14" customWidth="1" style="244" min="4" max="4"/>
    <col width="14" customWidth="1" style="244" min="5" max="5"/>
    <col width="14" customWidth="1" style="244" min="6" max="6"/>
    <col width="30" customWidth="1" style="244" min="7" max="7"/>
  </cols>
  <sheetData>
    <row r="1">
      <c r="A1" s="581" t="inlineStr">
        <is>
          <t>DUVAR TİPİ SPLİT KLİMA ISI KAZANCI HESABI VE CİHAZ SEÇİMİ</t>
        </is>
      </c>
    </row>
    <row r="2">
      <c r="A2" s="582" t="inlineStr">
        <is>
          <t>Yöntem: CLTD / SHGF basit yöntem (TS 2164 - ASHRAE esaslı).  Dış 34 °C KT / 24 °C YT (Sakarya), iç 26 °C %50</t>
        </is>
      </c>
    </row>
    <row r="3">
      <c r="A3" s="583" t="inlineStr">
        <is>
          <t>PROJE : TUNCAY BULUT'A AİT İŞ YERİ + MESKEN (SERDİVAN 422 ADA 1 PARSEL)</t>
        </is>
      </c>
    </row>
    <row r="4">
      <c r="A4" s="583" t="inlineStr">
        <is>
          <t>ROTAŞ MÜHENDİSLİK - Mak. Müh. Bayram GENÇ</t>
        </is>
      </c>
    </row>
    <row r="6">
      <c r="A6" s="584" t="inlineStr">
        <is>
          <t>SABİTLER</t>
        </is>
      </c>
      <c r="B6" s="585" t="n"/>
      <c r="C6" s="585" t="n"/>
      <c r="D6" s="585" t="n"/>
      <c r="E6" s="585" t="n"/>
      <c r="F6" s="585" t="n"/>
      <c r="G6" s="586" t="n"/>
    </row>
    <row r="7">
      <c r="A7" s="587" t="inlineStr">
        <is>
          <t>Dış duvar U (W/m²K)</t>
        </is>
      </c>
      <c r="D7" s="588" t="n">
        <v>0.4</v>
      </c>
    </row>
    <row r="8">
      <c r="A8" s="587" t="inlineStr">
        <is>
          <t>Cam U (W/m²K)</t>
        </is>
      </c>
      <c r="D8" s="588" t="n">
        <v>1.8</v>
      </c>
    </row>
    <row r="9">
      <c r="A9" s="587" t="inlineStr">
        <is>
          <t>Cam gölgeleme katsayısı SC</t>
        </is>
      </c>
      <c r="D9" s="588" t="n">
        <v>0.55</v>
      </c>
    </row>
    <row r="10">
      <c r="A10" s="587" t="inlineStr">
        <is>
          <t>Cam soğutma yük faktörü CLF</t>
        </is>
      </c>
      <c r="D10" s="588" t="n">
        <v>0.8</v>
      </c>
    </row>
    <row r="11">
      <c r="A11" s="587" t="inlineStr">
        <is>
          <t>Dış kuru termometre (°C)</t>
        </is>
      </c>
      <c r="D11" s="588" t="n">
        <v>34</v>
      </c>
    </row>
    <row r="12">
      <c r="A12" s="587" t="inlineStr">
        <is>
          <t>İç sıcaklık (°C)</t>
        </is>
      </c>
      <c r="D12" s="588" t="n">
        <v>26</v>
      </c>
    </row>
    <row r="13">
      <c r="A13" s="587" t="inlineStr">
        <is>
          <t>Dış mutlak nem (kg/kg)</t>
        </is>
      </c>
      <c r="D13" s="588" t="n">
        <v>0.01472469675316702</v>
      </c>
    </row>
    <row r="14">
      <c r="A14" s="587" t="inlineStr">
        <is>
          <t>İç mutlak nem (kg/kg)</t>
        </is>
      </c>
      <c r="D14" s="588" t="n">
        <v>0.01053515721774504</v>
      </c>
    </row>
    <row r="15">
      <c r="A15" s="587" t="inlineStr">
        <is>
          <t>m² / kişi</t>
        </is>
      </c>
      <c r="D15" s="588" t="n">
        <v>8</v>
      </c>
    </row>
    <row r="16">
      <c r="A16" s="587" t="inlineStr">
        <is>
          <t>Kişi duyulur (W)</t>
        </is>
      </c>
      <c r="D16" s="588" t="n">
        <v>75</v>
      </c>
    </row>
    <row r="17">
      <c r="A17" s="587" t="inlineStr">
        <is>
          <t>Kişi gizli (W)</t>
        </is>
      </c>
      <c r="D17" s="588" t="n">
        <v>55</v>
      </c>
    </row>
    <row r="18">
      <c r="A18" s="587" t="inlineStr">
        <is>
          <t>Aydınlatma (W/m²)</t>
        </is>
      </c>
      <c r="D18" s="588" t="n">
        <v>12</v>
      </c>
    </row>
    <row r="19">
      <c r="A19" s="587" t="inlineStr">
        <is>
          <t>Cihaz (W/m²)</t>
        </is>
      </c>
      <c r="D19" s="588" t="n">
        <v>8</v>
      </c>
    </row>
    <row r="20">
      <c r="A20" s="587" t="inlineStr">
        <is>
          <t>Taze hava (l/s.kişi)</t>
        </is>
      </c>
      <c r="D20" s="588" t="n">
        <v>8</v>
      </c>
    </row>
    <row r="21">
      <c r="A21" s="587" t="inlineStr">
        <is>
          <t>Emniyet katsayısı</t>
        </is>
      </c>
      <c r="D21" s="588" t="n">
        <v>1.1</v>
      </c>
    </row>
    <row r="23">
      <c r="A23" s="584" t="inlineStr">
        <is>
          <t>YÖNLERE GÖRE CLTD (K) / MAKS. GÜNEŞ KAZANCI (W/m²)</t>
        </is>
      </c>
      <c r="B23" s="585" t="n"/>
      <c r="C23" s="585" t="n"/>
      <c r="D23" s="585" t="n"/>
      <c r="E23" s="585" t="n"/>
      <c r="F23" s="585" t="n"/>
      <c r="G23" s="586" t="n"/>
    </row>
    <row r="24">
      <c r="A24" s="584" t="inlineStr">
        <is>
          <t>YÖN</t>
        </is>
      </c>
      <c r="B24" s="584" t="inlineStr">
        <is>
          <t>CLTD</t>
        </is>
      </c>
      <c r="C24" s="584" t="inlineStr">
        <is>
          <t>SHG</t>
        </is>
      </c>
    </row>
    <row r="25">
      <c r="A25" s="588" t="inlineStr">
        <is>
          <t>KUZEY</t>
        </is>
      </c>
      <c r="B25" s="588" t="n">
        <v>6</v>
      </c>
      <c r="C25" s="588" t="n">
        <v>75</v>
      </c>
    </row>
    <row r="26">
      <c r="A26" s="588" t="inlineStr">
        <is>
          <t>DOĞU</t>
        </is>
      </c>
      <c r="B26" s="588" t="n">
        <v>13</v>
      </c>
      <c r="C26" s="588" t="n">
        <v>420</v>
      </c>
    </row>
    <row r="27">
      <c r="A27" s="588" t="inlineStr">
        <is>
          <t>GÜNEY</t>
        </is>
      </c>
      <c r="B27" s="588" t="n">
        <v>10</v>
      </c>
      <c r="C27" s="588" t="n">
        <v>150</v>
      </c>
    </row>
    <row r="28">
      <c r="A28" s="588" t="inlineStr">
        <is>
          <t>BATI</t>
        </is>
      </c>
      <c r="B28" s="588" t="n">
        <v>15</v>
      </c>
      <c r="C28" s="588" t="n">
        <v>450</v>
      </c>
    </row>
    <row r="30">
      <c r="A30" s="584" t="inlineStr">
        <is>
          <t>İŞ YERİ-2   (A = 50.39 m²)</t>
        </is>
      </c>
    </row>
    <row r="31">
      <c r="A31" s="584" t="inlineStr">
        <is>
          <t>KALEM</t>
        </is>
      </c>
      <c r="B31" s="584" t="inlineStr">
        <is>
          <t>YÖN</t>
        </is>
      </c>
      <c r="C31" s="584" t="inlineStr">
        <is>
          <t>ALAN / ADET</t>
        </is>
      </c>
      <c r="D31" s="584" t="inlineStr">
        <is>
          <t>U / KATSAYI</t>
        </is>
      </c>
      <c r="E31" s="584" t="inlineStr">
        <is>
          <t>ΔT / CLTD / q</t>
        </is>
      </c>
      <c r="F31" s="584" t="inlineStr">
        <is>
          <t>Q (W)</t>
        </is>
      </c>
      <c r="G31" s="584" t="inlineStr">
        <is>
          <t>AÇIKLAMA</t>
        </is>
      </c>
    </row>
    <row r="32">
      <c r="A32" s="587" t="inlineStr">
        <is>
          <t>Alan (m²)</t>
        </is>
      </c>
      <c r="C32" s="588" t="n">
        <v>50.39</v>
      </c>
    </row>
    <row r="33">
      <c r="A33" s="587" t="inlineStr">
        <is>
          <t>Kişi sayısı</t>
        </is>
      </c>
      <c r="C33" s="588">
        <f>ROUNDUP(C32/$D$15,0)</f>
        <v/>
      </c>
    </row>
    <row r="34">
      <c r="A34" s="587" t="inlineStr">
        <is>
          <t>Duvar iletim</t>
        </is>
      </c>
      <c r="B34" s="588" t="inlineStr">
        <is>
          <t>G</t>
        </is>
      </c>
      <c r="C34" s="589">
        <f>7.1*2.5-15.0</f>
        <v/>
      </c>
      <c r="D34" s="588">
        <f>$D$7</f>
        <v/>
      </c>
      <c r="E34" s="588">
        <f>$B$27</f>
        <v/>
      </c>
      <c r="F34" s="590">
        <f>C34*D34*E34</f>
        <v/>
      </c>
      <c r="G34" s="587" t="inlineStr">
        <is>
          <t>L=7.10 m, H=2.50 m</t>
        </is>
      </c>
    </row>
    <row r="35">
      <c r="A35" s="587" t="inlineStr">
        <is>
          <t>Cam iletim</t>
        </is>
      </c>
      <c r="B35" s="588" t="inlineStr">
        <is>
          <t>G</t>
        </is>
      </c>
      <c r="C35" s="589" t="n">
        <v>15</v>
      </c>
      <c r="D35" s="588">
        <f>$D$8</f>
        <v/>
      </c>
      <c r="E35" s="588">
        <f>$D$11-$D$12</f>
        <v/>
      </c>
      <c r="F35" s="590">
        <f>C35*D35*E35</f>
        <v/>
      </c>
      <c r="G35" s="587" t="inlineStr">
        <is>
          <t>6x2.5x1</t>
        </is>
      </c>
    </row>
    <row r="36">
      <c r="A36" s="587" t="inlineStr">
        <is>
          <t>Cam güneş</t>
        </is>
      </c>
      <c r="B36" s="588" t="inlineStr">
        <is>
          <t>G</t>
        </is>
      </c>
      <c r="C36" s="589" t="n">
        <v>15</v>
      </c>
      <c r="D36" s="589">
        <f>$D$9*$D$10</f>
        <v/>
      </c>
      <c r="E36" s="588">
        <f>$C$27</f>
        <v/>
      </c>
      <c r="F36" s="590">
        <f>C36*D36*E36</f>
        <v/>
      </c>
      <c r="G36" s="587" t="inlineStr">
        <is>
          <t>SC x CLF x SHG</t>
        </is>
      </c>
    </row>
    <row r="37">
      <c r="A37" s="587" t="inlineStr">
        <is>
          <t>Duvar iletim</t>
        </is>
      </c>
      <c r="B37" s="588" t="inlineStr">
        <is>
          <t>B</t>
        </is>
      </c>
      <c r="C37" s="589">
        <f>6.7*2.5-5.0</f>
        <v/>
      </c>
      <c r="D37" s="588">
        <f>$D$7</f>
        <v/>
      </c>
      <c r="E37" s="588">
        <f>$B$28</f>
        <v/>
      </c>
      <c r="F37" s="590">
        <f>C37*D37*E37</f>
        <v/>
      </c>
      <c r="G37" s="587" t="inlineStr">
        <is>
          <t>L=6.70 m, H=2.50 m</t>
        </is>
      </c>
    </row>
    <row r="38">
      <c r="A38" s="587" t="inlineStr">
        <is>
          <t>Cam iletim</t>
        </is>
      </c>
      <c r="B38" s="588" t="inlineStr">
        <is>
          <t>B</t>
        </is>
      </c>
      <c r="C38" s="589" t="n">
        <v>5</v>
      </c>
      <c r="D38" s="588">
        <f>$D$8</f>
        <v/>
      </c>
      <c r="E38" s="588">
        <f>$D$11-$D$12</f>
        <v/>
      </c>
      <c r="F38" s="590">
        <f>C38*D38*E38</f>
        <v/>
      </c>
      <c r="G38" s="587" t="inlineStr">
        <is>
          <t>1x2.5x2</t>
        </is>
      </c>
    </row>
    <row r="39">
      <c r="A39" s="587" t="inlineStr">
        <is>
          <t>Cam güneş</t>
        </is>
      </c>
      <c r="B39" s="588" t="inlineStr">
        <is>
          <t>B</t>
        </is>
      </c>
      <c r="C39" s="589" t="n">
        <v>5</v>
      </c>
      <c r="D39" s="589">
        <f>$D$9*$D$10</f>
        <v/>
      </c>
      <c r="E39" s="588">
        <f>$C$28</f>
        <v/>
      </c>
      <c r="F39" s="590">
        <f>C39*D39*E39</f>
        <v/>
      </c>
      <c r="G39" s="587" t="inlineStr">
        <is>
          <t>SC x CLF x SHG</t>
        </is>
      </c>
    </row>
    <row r="40">
      <c r="A40" s="587" t="inlineStr">
        <is>
          <t>Duvar iletim</t>
        </is>
      </c>
      <c r="B40" s="588" t="inlineStr">
        <is>
          <t>K</t>
        </is>
      </c>
      <c r="C40" s="589">
        <f>7.1*2.5-12.379999999999999</f>
        <v/>
      </c>
      <c r="D40" s="588">
        <f>$D$7</f>
        <v/>
      </c>
      <c r="E40" s="588">
        <f>$B$25</f>
        <v/>
      </c>
      <c r="F40" s="590">
        <f>C40*D40*E40</f>
        <v/>
      </c>
      <c r="G40" s="587" t="inlineStr">
        <is>
          <t>L=7.10 m, H=2.50 m</t>
        </is>
      </c>
    </row>
    <row r="41">
      <c r="A41" s="587" t="inlineStr">
        <is>
          <t>Cam iletim</t>
        </is>
      </c>
      <c r="B41" s="588" t="inlineStr">
        <is>
          <t>K</t>
        </is>
      </c>
      <c r="C41" s="589" t="n">
        <v>12.38</v>
      </c>
      <c r="D41" s="588">
        <f>$D$8</f>
        <v/>
      </c>
      <c r="E41" s="588">
        <f>$D$11-$D$12</f>
        <v/>
      </c>
      <c r="F41" s="590">
        <f>C41*D41*E41</f>
        <v/>
      </c>
      <c r="G41" s="587" t="inlineStr">
        <is>
          <t>4.3x1.6x1 + 2.2x2.5x1</t>
        </is>
      </c>
    </row>
    <row r="42">
      <c r="A42" s="587" t="inlineStr">
        <is>
          <t>Cam güneş</t>
        </is>
      </c>
      <c r="B42" s="588" t="inlineStr">
        <is>
          <t>K</t>
        </is>
      </c>
      <c r="C42" s="589" t="n">
        <v>12.38</v>
      </c>
      <c r="D42" s="589">
        <f>$D$9*$D$10</f>
        <v/>
      </c>
      <c r="E42" s="588">
        <f>$C$25</f>
        <v/>
      </c>
      <c r="F42" s="590">
        <f>C42*D42*E42</f>
        <v/>
      </c>
      <c r="G42" s="587" t="inlineStr">
        <is>
          <t>SC x CLF x SHG</t>
        </is>
      </c>
    </row>
    <row r="43">
      <c r="A43" s="587" t="inlineStr">
        <is>
          <t>İnsan duyulur</t>
        </is>
      </c>
      <c r="C43" s="591">
        <f>C33</f>
        <v/>
      </c>
      <c r="D43" s="588" t="n">
        <v>1</v>
      </c>
      <c r="E43" s="588">
        <f>$D$16</f>
        <v/>
      </c>
      <c r="F43" s="590">
        <f>C43*D43*E43</f>
        <v/>
      </c>
      <c r="G43" s="587" t="inlineStr">
        <is>
          <t>kişi x W</t>
        </is>
      </c>
    </row>
    <row r="44">
      <c r="A44" s="587" t="inlineStr">
        <is>
          <t>Aydınlatma</t>
        </is>
      </c>
      <c r="C44" s="591">
        <f>C32</f>
        <v/>
      </c>
      <c r="D44" s="588" t="n">
        <v>1</v>
      </c>
      <c r="E44" s="588">
        <f>$D$18</f>
        <v/>
      </c>
      <c r="F44" s="590">
        <f>C44*D44*E44</f>
        <v/>
      </c>
      <c r="G44" s="587" t="inlineStr">
        <is>
          <t>m² x W/m²</t>
        </is>
      </c>
    </row>
    <row r="45">
      <c r="A45" s="587" t="inlineStr">
        <is>
          <t>Cihaz / ekipman</t>
        </is>
      </c>
      <c r="C45" s="591">
        <f>C32</f>
        <v/>
      </c>
      <c r="D45" s="588" t="n">
        <v>1</v>
      </c>
      <c r="E45" s="588">
        <f>$D$19</f>
        <v/>
      </c>
      <c r="F45" s="590">
        <f>C45*D45*E45</f>
        <v/>
      </c>
      <c r="G45" s="587" t="inlineStr">
        <is>
          <t>m² x W/m²</t>
        </is>
      </c>
    </row>
    <row r="46">
      <c r="A46" s="587" t="inlineStr">
        <is>
          <t>Taze hava duyulur</t>
        </is>
      </c>
      <c r="C46" s="591">
        <f>C33*$D$20/1000</f>
        <v/>
      </c>
      <c r="D46" s="588" t="n">
        <v>1207.2</v>
      </c>
      <c r="E46" s="588">
        <f>$D$11-$D$12</f>
        <v/>
      </c>
      <c r="F46" s="590">
        <f>C46*D46*E46</f>
        <v/>
      </c>
      <c r="G46" s="587" t="inlineStr">
        <is>
          <t>V(m³/s) x ρcp x ΔT</t>
        </is>
      </c>
    </row>
    <row r="47">
      <c r="A47" s="592" t="inlineStr">
        <is>
          <t>DUYULUR TOPLAM</t>
        </is>
      </c>
      <c r="F47" s="593">
        <f>SUM(F34:F46)</f>
        <v/>
      </c>
    </row>
    <row r="48">
      <c r="A48" s="587" t="inlineStr">
        <is>
          <t>İnsan gizli</t>
        </is>
      </c>
      <c r="C48" s="588">
        <f>C33</f>
        <v/>
      </c>
      <c r="D48" s="588" t="n">
        <v>1</v>
      </c>
      <c r="E48" s="588">
        <f>$D$17</f>
        <v/>
      </c>
      <c r="F48" s="590">
        <f>C48*D48*E48</f>
        <v/>
      </c>
    </row>
    <row r="49">
      <c r="A49" s="587" t="inlineStr">
        <is>
          <t>Taze hava gizli</t>
        </is>
      </c>
      <c r="C49" s="591">
        <f>C33*$D$20/1000</f>
        <v/>
      </c>
      <c r="D49" s="588" t="n">
        <v>3001200</v>
      </c>
      <c r="E49" s="594">
        <f>$D$13-$D$14</f>
        <v/>
      </c>
      <c r="F49" s="590">
        <f>C49*D49*E49</f>
        <v/>
      </c>
      <c r="G49" s="587" t="inlineStr">
        <is>
          <t>V x ρ x hfg x Δw</t>
        </is>
      </c>
    </row>
    <row r="50">
      <c r="A50" s="592" t="inlineStr">
        <is>
          <t>GİZLİ TOPLAM</t>
        </is>
      </c>
      <c r="F50" s="593">
        <f>SUM(F48:F49)</f>
        <v/>
      </c>
    </row>
    <row r="51">
      <c r="A51" s="584" t="inlineStr">
        <is>
          <t>TOPLAM ISI KAZANCI (x emniyet)</t>
        </is>
      </c>
      <c r="F51" s="595">
        <f>(F47+F50)*$D$21</f>
        <v/>
      </c>
      <c r="G51" s="587">
        <f>TEXT(F51/1000,"0.00")&amp;" kW  =  "&amp;TEXT(F51*3.412,"0")&amp;" BTU/h"</f>
        <v/>
      </c>
    </row>
    <row r="52">
      <c r="A52" s="592" t="inlineStr">
        <is>
          <t>ISI KAYBI (TS 825, -6 °C)</t>
        </is>
      </c>
      <c r="F52" s="593" t="n">
        <v>4182.8</v>
      </c>
      <c r="G52" s="587" t="inlineStr">
        <is>
          <t>ZEMİN sayfası ile aynı yöntem</t>
        </is>
      </c>
    </row>
    <row r="53">
      <c r="A53" s="584" t="inlineStr">
        <is>
          <t>SEÇİLEN CİHAZ</t>
        </is>
      </c>
      <c r="C53" s="588" t="n">
        <v>2</v>
      </c>
      <c r="D53" s="588" t="inlineStr">
        <is>
          <t>adet x</t>
        </is>
      </c>
      <c r="E53" s="588" t="n">
        <v>12000</v>
      </c>
      <c r="F53" s="590">
        <f>C53*3.52*1000</f>
        <v/>
      </c>
      <c r="G53" s="587">
        <f>IF(AND(F53&gt;=F51,F53*1.1&gt;=F52),"UYGUN - inverter duvar tipi split (soğutma/ısıtma)","KONTROL")</f>
        <v/>
      </c>
    </row>
    <row r="55">
      <c r="A55" s="584" t="inlineStr">
        <is>
          <t>İŞ YERİ-1   (A = 53.34 m²)</t>
        </is>
      </c>
    </row>
    <row r="56">
      <c r="A56" s="584" t="inlineStr">
        <is>
          <t>KALEM</t>
        </is>
      </c>
      <c r="B56" s="584" t="inlineStr">
        <is>
          <t>YÖN</t>
        </is>
      </c>
      <c r="C56" s="584" t="inlineStr">
        <is>
          <t>ALAN / ADET</t>
        </is>
      </c>
      <c r="D56" s="584" t="inlineStr">
        <is>
          <t>U / KATSAYI</t>
        </is>
      </c>
      <c r="E56" s="584" t="inlineStr">
        <is>
          <t>ΔT / CLTD / q</t>
        </is>
      </c>
      <c r="F56" s="584" t="inlineStr">
        <is>
          <t>Q (W)</t>
        </is>
      </c>
      <c r="G56" s="584" t="inlineStr">
        <is>
          <t>AÇIKLAMA</t>
        </is>
      </c>
    </row>
    <row r="57">
      <c r="A57" s="587" t="inlineStr">
        <is>
          <t>Alan (m²)</t>
        </is>
      </c>
      <c r="C57" s="588" t="n">
        <v>53.34</v>
      </c>
    </row>
    <row r="58">
      <c r="A58" s="587" t="inlineStr">
        <is>
          <t>Kişi sayısı</t>
        </is>
      </c>
      <c r="C58" s="588">
        <f>ROUNDUP(C57/$D$15,0)</f>
        <v/>
      </c>
    </row>
    <row r="59">
      <c r="A59" s="587" t="inlineStr">
        <is>
          <t>Duvar iletim</t>
        </is>
      </c>
      <c r="B59" s="588" t="inlineStr">
        <is>
          <t>G</t>
        </is>
      </c>
      <c r="C59" s="589">
        <f>10.0*2.5-17.5</f>
        <v/>
      </c>
      <c r="D59" s="588">
        <f>$D$7</f>
        <v/>
      </c>
      <c r="E59" s="588">
        <f>$B$27</f>
        <v/>
      </c>
      <c r="F59" s="590">
        <f>C59*D59*E59</f>
        <v/>
      </c>
      <c r="G59" s="587" t="inlineStr">
        <is>
          <t>L=10.00 m, H=2.50 m</t>
        </is>
      </c>
    </row>
    <row r="60">
      <c r="A60" s="587" t="inlineStr">
        <is>
          <t>Cam iletim</t>
        </is>
      </c>
      <c r="B60" s="588" t="inlineStr">
        <is>
          <t>G</t>
        </is>
      </c>
      <c r="C60" s="589" t="n">
        <v>17.5</v>
      </c>
      <c r="D60" s="588">
        <f>$D$8</f>
        <v/>
      </c>
      <c r="E60" s="588">
        <f>$D$11-$D$12</f>
        <v/>
      </c>
      <c r="F60" s="590">
        <f>C60*D60*E60</f>
        <v/>
      </c>
      <c r="G60" s="587" t="inlineStr">
        <is>
          <t>7x2.5x1</t>
        </is>
      </c>
    </row>
    <row r="61">
      <c r="A61" s="587" t="inlineStr">
        <is>
          <t>Cam güneş</t>
        </is>
      </c>
      <c r="B61" s="588" t="inlineStr">
        <is>
          <t>G</t>
        </is>
      </c>
      <c r="C61" s="589" t="n">
        <v>17.5</v>
      </c>
      <c r="D61" s="589">
        <f>$D$9*$D$10</f>
        <v/>
      </c>
      <c r="E61" s="588">
        <f>$C$27</f>
        <v/>
      </c>
      <c r="F61" s="590">
        <f>C61*D61*E61</f>
        <v/>
      </c>
      <c r="G61" s="587" t="inlineStr">
        <is>
          <t>SC x CLF x SHG</t>
        </is>
      </c>
    </row>
    <row r="62">
      <c r="A62" s="587" t="inlineStr">
        <is>
          <t>Duvar iletim</t>
        </is>
      </c>
      <c r="B62" s="588" t="inlineStr">
        <is>
          <t>D</t>
        </is>
      </c>
      <c r="C62" s="589">
        <f>6.3*2.5-0</f>
        <v/>
      </c>
      <c r="D62" s="588">
        <f>$D$7</f>
        <v/>
      </c>
      <c r="E62" s="588">
        <f>$B$26</f>
        <v/>
      </c>
      <c r="F62" s="590">
        <f>C62*D62*E62</f>
        <v/>
      </c>
      <c r="G62" s="587" t="inlineStr">
        <is>
          <t>L=6.30 m, H=2.50 m</t>
        </is>
      </c>
    </row>
    <row r="63">
      <c r="A63" s="587" t="inlineStr">
        <is>
          <t>Duvar iletim</t>
        </is>
      </c>
      <c r="B63" s="588" t="inlineStr">
        <is>
          <t>K</t>
        </is>
      </c>
      <c r="C63" s="589">
        <f>10.7*2.5-18.46</f>
        <v/>
      </c>
      <c r="D63" s="588">
        <f>$D$7</f>
        <v/>
      </c>
      <c r="E63" s="588">
        <f>$B$25</f>
        <v/>
      </c>
      <c r="F63" s="590">
        <f>C63*D63*E63</f>
        <v/>
      </c>
      <c r="G63" s="587" t="inlineStr">
        <is>
          <t>L=10.70 m, H=2.50 m</t>
        </is>
      </c>
    </row>
    <row r="64">
      <c r="A64" s="587" t="inlineStr">
        <is>
          <t>Cam iletim</t>
        </is>
      </c>
      <c r="B64" s="588" t="inlineStr">
        <is>
          <t>K</t>
        </is>
      </c>
      <c r="C64" s="589" t="n">
        <v>18.46</v>
      </c>
      <c r="D64" s="588">
        <f>$D$8</f>
        <v/>
      </c>
      <c r="E64" s="588">
        <f>$D$11-$D$12</f>
        <v/>
      </c>
      <c r="F64" s="590">
        <f>C64*D64*E64</f>
        <v/>
      </c>
      <c r="G64" s="587" t="inlineStr">
        <is>
          <t>5.1x1.6x1 + 3x1.6x1 + 2.2x2.5x1</t>
        </is>
      </c>
    </row>
    <row r="65">
      <c r="A65" s="587" t="inlineStr">
        <is>
          <t>Cam güneş</t>
        </is>
      </c>
      <c r="B65" s="588" t="inlineStr">
        <is>
          <t>K</t>
        </is>
      </c>
      <c r="C65" s="589" t="n">
        <v>18.46</v>
      </c>
      <c r="D65" s="589">
        <f>$D$9*$D$10</f>
        <v/>
      </c>
      <c r="E65" s="588">
        <f>$C$25</f>
        <v/>
      </c>
      <c r="F65" s="590">
        <f>C65*D65*E65</f>
        <v/>
      </c>
      <c r="G65" s="587" t="inlineStr">
        <is>
          <t>SC x CLF x SHG</t>
        </is>
      </c>
    </row>
    <row r="66">
      <c r="A66" s="587" t="inlineStr">
        <is>
          <t>İnsan duyulur</t>
        </is>
      </c>
      <c r="C66" s="591">
        <f>C58</f>
        <v/>
      </c>
      <c r="D66" s="588" t="n">
        <v>1</v>
      </c>
      <c r="E66" s="588">
        <f>$D$16</f>
        <v/>
      </c>
      <c r="F66" s="590">
        <f>C66*D66*E66</f>
        <v/>
      </c>
      <c r="G66" s="587" t="inlineStr">
        <is>
          <t>kişi x W</t>
        </is>
      </c>
    </row>
    <row r="67">
      <c r="A67" s="587" t="inlineStr">
        <is>
          <t>Aydınlatma</t>
        </is>
      </c>
      <c r="C67" s="591">
        <f>C57</f>
        <v/>
      </c>
      <c r="D67" s="588" t="n">
        <v>1</v>
      </c>
      <c r="E67" s="588">
        <f>$D$18</f>
        <v/>
      </c>
      <c r="F67" s="590">
        <f>C67*D67*E67</f>
        <v/>
      </c>
      <c r="G67" s="587" t="inlineStr">
        <is>
          <t>m² x W/m²</t>
        </is>
      </c>
    </row>
    <row r="68">
      <c r="A68" s="587" t="inlineStr">
        <is>
          <t>Cihaz / ekipman</t>
        </is>
      </c>
      <c r="C68" s="591">
        <f>C57</f>
        <v/>
      </c>
      <c r="D68" s="588" t="n">
        <v>1</v>
      </c>
      <c r="E68" s="588">
        <f>$D$19</f>
        <v/>
      </c>
      <c r="F68" s="590">
        <f>C68*D68*E68</f>
        <v/>
      </c>
      <c r="G68" s="587" t="inlineStr">
        <is>
          <t>m² x W/m²</t>
        </is>
      </c>
    </row>
    <row r="69">
      <c r="A69" s="587" t="inlineStr">
        <is>
          <t>Taze hava duyulur</t>
        </is>
      </c>
      <c r="C69" s="591">
        <f>C58*$D$20/1000</f>
        <v/>
      </c>
      <c r="D69" s="588" t="n">
        <v>1207.2</v>
      </c>
      <c r="E69" s="588">
        <f>$D$11-$D$12</f>
        <v/>
      </c>
      <c r="F69" s="590">
        <f>C69*D69*E69</f>
        <v/>
      </c>
      <c r="G69" s="587" t="inlineStr">
        <is>
          <t>V(m³/s) x ρcp x ΔT</t>
        </is>
      </c>
    </row>
    <row r="70">
      <c r="A70" s="592" t="inlineStr">
        <is>
          <t>DUYULUR TOPLAM</t>
        </is>
      </c>
      <c r="F70" s="593">
        <f>SUM(F59:F69)</f>
        <v/>
      </c>
    </row>
    <row r="71">
      <c r="A71" s="587" t="inlineStr">
        <is>
          <t>İnsan gizli</t>
        </is>
      </c>
      <c r="C71" s="588">
        <f>C58</f>
        <v/>
      </c>
      <c r="D71" s="588" t="n">
        <v>1</v>
      </c>
      <c r="E71" s="588">
        <f>$D$17</f>
        <v/>
      </c>
      <c r="F71" s="590">
        <f>C71*D71*E71</f>
        <v/>
      </c>
    </row>
    <row r="72">
      <c r="A72" s="587" t="inlineStr">
        <is>
          <t>Taze hava gizli</t>
        </is>
      </c>
      <c r="C72" s="591">
        <f>C58*$D$20/1000</f>
        <v/>
      </c>
      <c r="D72" s="588" t="n">
        <v>3001200</v>
      </c>
      <c r="E72" s="594">
        <f>$D$13-$D$14</f>
        <v/>
      </c>
      <c r="F72" s="590">
        <f>C72*D72*E72</f>
        <v/>
      </c>
      <c r="G72" s="587" t="inlineStr">
        <is>
          <t>V x ρ x hfg x Δw</t>
        </is>
      </c>
    </row>
    <row r="73">
      <c r="A73" s="592" t="inlineStr">
        <is>
          <t>GİZLİ TOPLAM</t>
        </is>
      </c>
      <c r="F73" s="593">
        <f>SUM(F71:F72)</f>
        <v/>
      </c>
    </row>
    <row r="74">
      <c r="A74" s="584" t="inlineStr">
        <is>
          <t>TOPLAM ISI KAZANCI (x emniyet)</t>
        </is>
      </c>
      <c r="F74" s="595">
        <f>(F70+F73)*$D$21</f>
        <v/>
      </c>
      <c r="G74" s="587">
        <f>TEXT(F74/1000,"0.00")&amp;" kW  =  "&amp;TEXT(F74*3.412,"0")&amp;" BTU/h"</f>
        <v/>
      </c>
    </row>
    <row r="75">
      <c r="A75" s="592" t="inlineStr">
        <is>
          <t>ISI KAYBI (TS 825, -6 °C)</t>
        </is>
      </c>
      <c r="F75" s="593" t="n">
        <v>4486.1</v>
      </c>
      <c r="G75" s="587" t="inlineStr">
        <is>
          <t>ZEMİN sayfası ile aynı yöntem</t>
        </is>
      </c>
    </row>
    <row r="76">
      <c r="A76" s="584" t="inlineStr">
        <is>
          <t>SEÇİLEN CİHAZ</t>
        </is>
      </c>
      <c r="C76" s="588" t="n">
        <v>2</v>
      </c>
      <c r="D76" s="588" t="inlineStr">
        <is>
          <t>adet x</t>
        </is>
      </c>
      <c r="E76" s="588" t="n">
        <v>12000</v>
      </c>
      <c r="F76" s="590">
        <f>C76*3.52*1000</f>
        <v/>
      </c>
      <c r="G76" s="587">
        <f>IF(AND(F76&gt;=F74,F76*1.1&gt;=F75),"UYGUN - inverter duvar tipi split (soğutma/ısıtma)","KONTROL")</f>
        <v/>
      </c>
    </row>
  </sheetData>
  <mergeCells count="23">
    <mergeCell ref="A4:G4"/>
    <mergeCell ref="A18:C18"/>
    <mergeCell ref="A21:C21"/>
    <mergeCell ref="A12:C12"/>
    <mergeCell ref="A8:C8"/>
    <mergeCell ref="A14:C14"/>
    <mergeCell ref="A17:C17"/>
    <mergeCell ref="A30:G30"/>
    <mergeCell ref="A20:C20"/>
    <mergeCell ref="A10:C10"/>
    <mergeCell ref="A13:C13"/>
    <mergeCell ref="A1:G1"/>
    <mergeCell ref="A19:C19"/>
    <mergeCell ref="A6:G6"/>
    <mergeCell ref="A9:C9"/>
    <mergeCell ref="A15:C15"/>
    <mergeCell ref="A11:C11"/>
    <mergeCell ref="A3:G3"/>
    <mergeCell ref="A55:G55"/>
    <mergeCell ref="A2:G2"/>
    <mergeCell ref="A7:C7"/>
    <mergeCell ref="A16:C16"/>
    <mergeCell ref="A23:G23"/>
  </mergeCells>
  <pageMargins left="0.75" right="0.75" top="1" bottom="1" header="0.5" footer="0.5"/>
  <pageSetup orientation="portrait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selection activeCell="A1" sqref="A1"/>
    </sheetView>
  </sheetViews>
  <sheetFormatPr baseColWidth="8" defaultRowHeight="15"/>
  <cols>
    <col width="46" customWidth="1" style="244" min="1" max="1"/>
    <col width="14" customWidth="1" style="244" min="2" max="2"/>
    <col width="10" customWidth="1" style="244" min="3" max="3"/>
    <col width="30" customWidth="1" style="244" min="4" max="4"/>
  </cols>
  <sheetData>
    <row r="1">
      <c r="A1" s="581" t="inlineStr">
        <is>
          <t>YAĞMUR SUYU İNİŞ BORUSU ÇAP HESABI</t>
        </is>
      </c>
    </row>
    <row r="2">
      <c r="A2" s="582" t="inlineStr">
        <is>
          <t>ROTAŞ yöntemi: S = P x 0,75 ; A = S / f ; D = 1,13 x √A</t>
        </is>
      </c>
    </row>
    <row r="3">
      <c r="A3" s="583" t="inlineStr">
        <is>
          <t>PROJE : TUNCAY BULUT'A AİT İŞ YERİ + MESKEN (SERDİVAN 422 ADA 1 PARSEL)</t>
        </is>
      </c>
    </row>
    <row r="4">
      <c r="A4" s="583" t="inlineStr">
        <is>
          <t>ROTAŞ MÜHENDİSLİK - Mak. Müh. Bayram GENÇ</t>
        </is>
      </c>
    </row>
    <row r="6">
      <c r="A6" s="587" t="inlineStr">
        <is>
          <t>P = Çatı (+ balkon) yatay izdüşüm alanı</t>
        </is>
      </c>
      <c r="B6" s="589" t="n">
        <v>241.66</v>
      </c>
      <c r="C6" s="588" t="inlineStr">
        <is>
          <t>m²</t>
        </is>
      </c>
    </row>
    <row r="7">
      <c r="A7" s="587" t="inlineStr">
        <is>
          <t>S = P x 0,75 / 1</t>
        </is>
      </c>
      <c r="B7" s="589">
        <f>B6*0.75</f>
        <v/>
      </c>
      <c r="C7" s="588" t="inlineStr">
        <is>
          <t>cm²</t>
        </is>
      </c>
    </row>
    <row r="8">
      <c r="A8" s="587" t="inlineStr">
        <is>
          <t>f = Yağmur iniş borusu adedi</t>
        </is>
      </c>
      <c r="B8" s="589" t="n">
        <v>6</v>
      </c>
      <c r="C8" s="588" t="inlineStr">
        <is>
          <t>adet</t>
        </is>
      </c>
    </row>
    <row r="9">
      <c r="A9" s="587" t="inlineStr">
        <is>
          <t>A = S / f</t>
        </is>
      </c>
      <c r="B9" s="589">
        <f>B7/B8</f>
        <v/>
      </c>
      <c r="C9" s="588" t="inlineStr">
        <is>
          <t>cm²</t>
        </is>
      </c>
    </row>
    <row r="10">
      <c r="A10" s="587" t="inlineStr">
        <is>
          <t>D = 1,13 x √A</t>
        </is>
      </c>
      <c r="B10" s="589">
        <f>1.13*SQRT(B9)</f>
        <v/>
      </c>
      <c r="C10" s="588" t="inlineStr">
        <is>
          <t>cm</t>
        </is>
      </c>
    </row>
    <row r="11">
      <c r="A11" s="587" t="inlineStr">
        <is>
          <t>SEÇİLEN BORU</t>
        </is>
      </c>
      <c r="B11" s="589">
        <f>IF(B10&lt;=7,"Ø70 YETERLİDİR - PROJEDE Ø100 KULLANILMIŞTIR","Ø100 UYGUNDUR")</f>
        <v/>
      </c>
      <c r="C11" s="588" t="inlineStr"/>
    </row>
    <row r="13">
      <c r="A13" s="583" t="inlineStr">
        <is>
          <t>Not: Yağmur suları pis su hattına bağlanmayacak, yağmur suyu kanalına verilecektir.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  <pageSetup orientation="portrait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L21"/>
  <sheetViews>
    <sheetView workbookViewId="0">
      <selection activeCell="A1" sqref="A1"/>
    </sheetView>
  </sheetViews>
  <sheetFormatPr baseColWidth="8" defaultRowHeight="15"/>
  <cols>
    <col width="18" customWidth="1" style="244" min="1" max="1"/>
    <col width="10" customWidth="1" style="244" min="2" max="2"/>
    <col width="10" customWidth="1" style="244" min="3" max="3"/>
    <col width="11" customWidth="1" style="244" min="4" max="4"/>
    <col width="9" customWidth="1" style="244" min="5" max="5"/>
    <col width="12" customWidth="1" style="244" min="6" max="6"/>
    <col width="12" customWidth="1" style="244" min="7" max="7"/>
    <col width="11" customWidth="1" style="244" min="8" max="8"/>
    <col width="8" customWidth="1" style="244" min="9" max="9"/>
    <col width="11" customWidth="1" style="244" min="10" max="10"/>
    <col width="9" customWidth="1" style="244" min="11" max="11"/>
    <col width="14" customWidth="1" style="244" min="12" max="12"/>
  </cols>
  <sheetData>
    <row r="1">
      <c r="A1" s="581" t="inlineStr">
        <is>
          <t>KOMBİ POMPASI, GENLEŞME TANKI VE PEX KANGAL KONTROLÜ</t>
        </is>
      </c>
    </row>
    <row r="2">
      <c r="A2" s="582" t="inlineStr">
        <is>
          <t>Pompa: H = Δp(en uzun devre, Churchill, yerel kayıp x1,3) + kollektör 5 kPa ;  Genleşme: Vmin = (P2+1,013)/(P2-P1) x (0,01 V + ΔV) , 10→50 °C</t>
        </is>
      </c>
    </row>
    <row r="3">
      <c r="A3" s="583" t="inlineStr">
        <is>
          <t>PROJE : TUNCAY BULUT'A AİT İŞ YERİ + MESKEN (SERDİVAN 422 ADA 1 PARSEL)</t>
        </is>
      </c>
    </row>
    <row r="4">
      <c r="A4" s="583" t="inlineStr">
        <is>
          <t>ROTAŞ MÜHENDİSLİK - Mak. Müh. Bayram GENÇ</t>
        </is>
      </c>
    </row>
    <row r="6">
      <c r="A6" s="584" t="inlineStr">
        <is>
          <t>DAİRE</t>
        </is>
      </c>
      <c r="B6" s="584" t="inlineStr">
        <is>
          <t>YÜK (W)</t>
        </is>
      </c>
      <c r="C6" s="584" t="inlineStr">
        <is>
          <t>DEBİ (l/h)</t>
        </is>
      </c>
      <c r="D6" s="584" t="inlineStr">
        <is>
          <t>Δp maks (kPa)</t>
        </is>
      </c>
      <c r="E6" s="584" t="inlineStr">
        <is>
          <t>H (kPa)</t>
        </is>
      </c>
      <c r="F6" s="584" t="inlineStr">
        <is>
          <t>Kombi pompası (kPa)</t>
        </is>
      </c>
      <c r="G6" s="584" t="inlineStr">
        <is>
          <t>POMPA</t>
        </is>
      </c>
      <c r="H6" s="584" t="inlineStr">
        <is>
          <t>Sistem suyu (l)</t>
        </is>
      </c>
      <c r="I6" s="584" t="inlineStr">
        <is>
          <t>ΔV (l)</t>
        </is>
      </c>
      <c r="J6" s="584" t="inlineStr">
        <is>
          <t>P1 / P2 (bar)</t>
        </is>
      </c>
      <c r="K6" s="584" t="inlineStr">
        <is>
          <t>Vmin (l)</t>
        </is>
      </c>
      <c r="L6" s="584" t="inlineStr">
        <is>
          <t>TANK (kombi 8 l)</t>
        </is>
      </c>
    </row>
    <row r="7">
      <c r="A7" s="588" t="inlineStr">
        <is>
          <t>1 NK DAİRE 1</t>
        </is>
      </c>
      <c r="B7" s="588" t="n">
        <v>2502</v>
      </c>
      <c r="C7" s="588" t="n">
        <v>215</v>
      </c>
      <c r="D7" s="589" t="n">
        <v>1.17</v>
      </c>
      <c r="E7" s="589">
        <f>D7+5</f>
        <v/>
      </c>
      <c r="F7" s="588" t="n">
        <v>25</v>
      </c>
      <c r="G7" s="588">
        <f>IF(E7&lt;=F7,"UYGUN","POMPA GRUBU")</f>
        <v/>
      </c>
      <c r="H7" s="588" t="n">
        <v>43.7</v>
      </c>
      <c r="I7" s="589" t="n">
        <v>0.52</v>
      </c>
      <c r="J7" s="588" t="inlineStr">
        <is>
          <t>0.5 / 2.5</t>
        </is>
      </c>
      <c r="K7" s="589">
        <f>(2.5+1.013)/(2.5-0.5)*(0.01*H7+I7)</f>
        <v/>
      </c>
      <c r="L7" s="588">
        <f>IF(K7&lt;=8,"YETERLİ","İLAVE TANK")</f>
        <v/>
      </c>
    </row>
    <row r="8">
      <c r="A8" s="588" t="inlineStr">
        <is>
          <t>1 NK DAİRE 2</t>
        </is>
      </c>
      <c r="B8" s="588" t="n">
        <v>2658</v>
      </c>
      <c r="C8" s="588" t="n">
        <v>229</v>
      </c>
      <c r="D8" s="589" t="n">
        <v>5.02</v>
      </c>
      <c r="E8" s="589">
        <f>D8+5</f>
        <v/>
      </c>
      <c r="F8" s="588" t="n">
        <v>25</v>
      </c>
      <c r="G8" s="588">
        <f>IF(E8&lt;=F8,"UYGUN","POMPA GRUBU")</f>
        <v/>
      </c>
      <c r="H8" s="588" t="n">
        <v>41.5</v>
      </c>
      <c r="I8" s="589" t="n">
        <v>0.49</v>
      </c>
      <c r="J8" s="588" t="inlineStr">
        <is>
          <t>0.5 / 2.5</t>
        </is>
      </c>
      <c r="K8" s="589">
        <f>(2.5+1.013)/(2.5-0.5)*(0.01*H8+I8)</f>
        <v/>
      </c>
      <c r="L8" s="588">
        <f>IF(K8&lt;=8,"YETERLİ","İLAVE TANK")</f>
        <v/>
      </c>
    </row>
    <row r="9">
      <c r="A9" s="588" t="inlineStr">
        <is>
          <t>2 NK DAİRE 3</t>
        </is>
      </c>
      <c r="B9" s="588" t="n">
        <v>2810</v>
      </c>
      <c r="C9" s="588" t="n">
        <v>242</v>
      </c>
      <c r="D9" s="589" t="n">
        <v>1.33</v>
      </c>
      <c r="E9" s="589">
        <f>D9+5</f>
        <v/>
      </c>
      <c r="F9" s="588" t="n">
        <v>25</v>
      </c>
      <c r="G9" s="588">
        <f>IF(E9&lt;=F9,"UYGUN","POMPA GRUBU")</f>
        <v/>
      </c>
      <c r="H9" s="588" t="n">
        <v>43.7</v>
      </c>
      <c r="I9" s="589" t="n">
        <v>0.52</v>
      </c>
      <c r="J9" s="588" t="inlineStr">
        <is>
          <t>0.5 / 2.5</t>
        </is>
      </c>
      <c r="K9" s="589">
        <f>(2.5+1.013)/(2.5-0.5)*(0.01*H9+I9)</f>
        <v/>
      </c>
      <c r="L9" s="588">
        <f>IF(K9&lt;=8,"YETERLİ","İLAVE TANK")</f>
        <v/>
      </c>
    </row>
    <row r="10">
      <c r="A10" s="588" t="inlineStr">
        <is>
          <t>2 NK DAİRE 4</t>
        </is>
      </c>
      <c r="B10" s="588" t="n">
        <v>2981</v>
      </c>
      <c r="C10" s="588" t="n">
        <v>256</v>
      </c>
      <c r="D10" s="589" t="n">
        <v>6.12</v>
      </c>
      <c r="E10" s="589">
        <f>D10+5</f>
        <v/>
      </c>
      <c r="F10" s="588" t="n">
        <v>25</v>
      </c>
      <c r="G10" s="588">
        <f>IF(E10&lt;=F10,"UYGUN","POMPA GRUBU")</f>
        <v/>
      </c>
      <c r="H10" s="588" t="n">
        <v>41.5</v>
      </c>
      <c r="I10" s="589" t="n">
        <v>0.49</v>
      </c>
      <c r="J10" s="588" t="inlineStr">
        <is>
          <t>0.5 / 2.5</t>
        </is>
      </c>
      <c r="K10" s="589">
        <f>(2.5+1.013)/(2.5-0.5)*(0.01*H10+I10)</f>
        <v/>
      </c>
      <c r="L10" s="588">
        <f>IF(K10&lt;=8,"YETERLİ","İLAVE TANK")</f>
        <v/>
      </c>
    </row>
    <row r="12">
      <c r="A12" s="596" t="inlineStr">
        <is>
          <t>PEX 16x2,0 KANGAL METRAJI (devre ortasında ek yapılmaz)</t>
        </is>
      </c>
    </row>
    <row r="13">
      <c r="A13" s="584" t="inlineStr">
        <is>
          <t>DAİRE</t>
        </is>
      </c>
      <c r="B13" s="584" t="inlineStr">
        <is>
          <t>TOPLAM (m)</t>
        </is>
      </c>
      <c r="C13" s="584" t="inlineStr">
        <is>
          <t>200 m kangal</t>
        </is>
      </c>
      <c r="D13" s="584" t="inlineStr">
        <is>
          <t>500 m kangal</t>
        </is>
      </c>
    </row>
    <row r="14">
      <c r="A14" s="588" t="inlineStr">
        <is>
          <t>1 NK DAİRE 1</t>
        </is>
      </c>
      <c r="B14" s="588" t="n">
        <v>342.4</v>
      </c>
      <c r="C14" s="588" t="n">
        <v>2</v>
      </c>
      <c r="D14" s="588" t="n">
        <v>0</v>
      </c>
    </row>
    <row r="15">
      <c r="A15" s="588" t="inlineStr">
        <is>
          <t>1 NK DAİRE 2</t>
        </is>
      </c>
      <c r="B15" s="588" t="n">
        <v>323</v>
      </c>
      <c r="C15" s="588" t="n">
        <v>2</v>
      </c>
      <c r="D15" s="588" t="n">
        <v>0</v>
      </c>
    </row>
    <row r="16">
      <c r="A16" s="588" t="inlineStr">
        <is>
          <t>2 NK DAİRE 3</t>
        </is>
      </c>
      <c r="B16" s="588" t="n">
        <v>342.4</v>
      </c>
      <c r="C16" s="588" t="n">
        <v>2</v>
      </c>
      <c r="D16" s="588" t="n">
        <v>0</v>
      </c>
    </row>
    <row r="17">
      <c r="A17" s="588" t="inlineStr">
        <is>
          <t>2 NK DAİRE 4</t>
        </is>
      </c>
      <c r="B17" s="588" t="n">
        <v>323</v>
      </c>
      <c r="C17" s="588" t="n">
        <v>2</v>
      </c>
      <c r="D17" s="588" t="n">
        <v>0</v>
      </c>
    </row>
    <row r="19">
      <c r="A19" s="583" t="inlineStr">
        <is>
          <t>Kombi pompasının kullanılabilir basma yüksekliği (25 kPa) seçilen kombinin kataloğundan teyit edilecektir.</t>
        </is>
      </c>
    </row>
    <row r="20">
      <c r="A20" s="583" t="inlineStr">
        <is>
          <t>Kombi içi genleşme tankı 8 l, emniyet ventili 3 bar, ilk dolum basıncı 1,0-1,5 bar alınmıştır.</t>
        </is>
      </c>
    </row>
    <row r="21">
      <c r="A21" s="583" t="inlineStr">
        <is>
          <t>Devre debileri kollektördeki debimetreli reglaj vanaları ile ayarlanacaktır.</t>
        </is>
      </c>
    </row>
  </sheetData>
  <mergeCells count="4">
    <mergeCell ref="A3:L3"/>
    <mergeCell ref="A2:L2"/>
    <mergeCell ref="A1:L1"/>
    <mergeCell ref="A4:L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SILA</dc:creator>
  <dc:language xmlns:dc="http://purl.org/dc/elements/1.1/">en-US</dc:language>
  <dcterms:created xmlns:dcterms="http://purl.org/dc/terms/" xmlns:xsi="http://www.w3.org/2001/XMLSchema-instance" xsi:type="dcterms:W3CDTF">2003-04-27T12:58:31Z</dcterms:created>
  <dcterms:modified xmlns:dcterms="http://purl.org/dc/terms/" xmlns:xsi="http://www.w3.org/2001/XMLSchema-instance" xsi:type="dcterms:W3CDTF">2026-10-11T19:30:50Z</dcterms:modified>
  <cp:lastModifiedBy>Can Özkaya</cp:lastModifiedBy>
  <cp:revision>0</cp:revision>
  <cp:lastPrinted>2022-06-03T11:29:57Z</cp:lastPrinted>
</cp:coreProperties>
</file>