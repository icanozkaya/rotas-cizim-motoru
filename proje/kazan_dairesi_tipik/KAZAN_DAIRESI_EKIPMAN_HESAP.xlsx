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İPMAN LİSTESİ" sheetId="1" state="visible" r:id="rId1"/>
    <sheet xmlns:r="http://schemas.openxmlformats.org/officeDocument/2006/relationships" name="HESAP KONTROL" sheetId="2" state="visible" r:id="rId2"/>
  </sheets>
  <definedNames>
    <definedName name="_xlnm.Print_Area" localSheetId="0">'EKİPMAN LİSTESİ'!$A$1:$D$20</definedName>
    <definedName name="_xlnm.Print_Area" localSheetId="1">'HESAP KONTROL'!$A$1:$C$23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70" customWidth="1" min="4" max="4"/>
  </cols>
  <sheetData>
    <row r="1">
      <c r="A1" s="1" t="inlineStr">
        <is>
          <t>ROTAŞ MÜHENDİSLİK - KAZAN DAİRESİ EKİPMAN LİSTESİ</t>
        </is>
      </c>
    </row>
    <row r="3">
      <c r="A3" s="2" t="inlineStr">
        <is>
          <t>NO</t>
        </is>
      </c>
      <c r="B3" s="2" t="inlineStr">
        <is>
          <t>ADI</t>
        </is>
      </c>
      <c r="C3" s="2" t="inlineStr">
        <is>
          <t>ADEDİ</t>
        </is>
      </c>
      <c r="D3" s="2" t="inlineStr">
        <is>
          <t>ÖZELLİĞİ</t>
        </is>
      </c>
    </row>
    <row r="4">
      <c r="A4" s="3" t="n">
        <v>1</v>
      </c>
      <c r="B4" s="3" t="inlineStr">
        <is>
          <t>SU DEPOSU</t>
        </is>
      </c>
      <c r="C4" s="3" t="n">
        <v>1</v>
      </c>
      <c r="D4" s="3" t="inlineStr">
        <is>
          <t>BETONARME 30 TON</t>
        </is>
      </c>
    </row>
    <row r="5">
      <c r="A5" s="3" t="n">
        <v>2</v>
      </c>
      <c r="B5" s="3" t="inlineStr">
        <is>
          <t>HİDROFOR</t>
        </is>
      </c>
      <c r="C5" s="3" t="n">
        <v>1</v>
      </c>
      <c r="D5" s="3" t="inlineStr">
        <is>
          <t>29,00 m³/h, 74 mSS, FREKANS KONTROLLÜ, Elk. Gücü: 0,4 kW</t>
        </is>
      </c>
    </row>
    <row r="6">
      <c r="A6" s="3" t="n">
        <v>3</v>
      </c>
      <c r="B6" s="3" t="inlineStr">
        <is>
          <t>GENLEŞME T.</t>
        </is>
      </c>
      <c r="C6" s="3" t="n">
        <v>1</v>
      </c>
      <c r="D6" s="3" t="inlineStr">
        <is>
          <t>100 LT. (HİDROFOR)</t>
        </is>
      </c>
    </row>
    <row r="7">
      <c r="A7" s="3" t="n">
        <v>4</v>
      </c>
      <c r="B7" s="3" t="inlineStr">
        <is>
          <t>SOĞUK SU KOLLEKTÖRÜ</t>
        </is>
      </c>
      <c r="C7" s="3" t="n">
        <v>1</v>
      </c>
      <c r="D7" s="3" t="inlineStr">
        <is>
          <t>GALVANİZ 3"</t>
        </is>
      </c>
    </row>
    <row r="8">
      <c r="A8" s="3" t="n">
        <v>5</v>
      </c>
      <c r="B8" s="3" t="inlineStr">
        <is>
          <t>SU YUMUŞATMA CİHAZI</t>
        </is>
      </c>
      <c r="C8" s="3" t="n">
        <v>1</v>
      </c>
      <c r="D8" s="3" t="inlineStr">
        <is>
          <t>GALVANİZ 3"</t>
        </is>
      </c>
    </row>
    <row r="9">
      <c r="A9" s="3" t="n">
        <v>6</v>
      </c>
      <c r="B9" s="3" t="inlineStr">
        <is>
          <t>AKTİF KARBON FİLTRE</t>
        </is>
      </c>
      <c r="C9" s="3" t="n">
        <v>1</v>
      </c>
      <c r="D9" s="3" t="inlineStr">
        <is>
          <t>GALVANİZ 3"</t>
        </is>
      </c>
    </row>
    <row r="10">
      <c r="A10" s="3" t="n">
        <v>7</v>
      </c>
      <c r="B10" s="3" t="inlineStr">
        <is>
          <t>RE SİRKÜLASYON POMPASI</t>
        </is>
      </c>
      <c r="C10" s="3" t="n">
        <v>2</v>
      </c>
      <c r="D10" s="3" t="inlineStr">
        <is>
          <t>9,0 m³/h, 3,0 mSS, FREKANS KONTROLLÜ, Elk. Gücü: 0,3 kW</t>
        </is>
      </c>
    </row>
    <row r="11">
      <c r="A11" s="3" t="n">
        <v>8</v>
      </c>
      <c r="B11" s="3" t="inlineStr">
        <is>
          <t>AKÜMÜLASYON TANKI</t>
        </is>
      </c>
      <c r="C11" s="3" t="n">
        <v>7</v>
      </c>
      <c r="D11" s="3" t="inlineStr">
        <is>
          <t>1000 LT. EMAYE KAPLAMALI</t>
        </is>
      </c>
    </row>
    <row r="12">
      <c r="A12" s="3" t="n">
        <v>9</v>
      </c>
      <c r="B12" s="3" t="inlineStr">
        <is>
          <t>SEKONDER SİRKÜLASYON POMPASI</t>
        </is>
      </c>
      <c r="C12" s="3" t="n">
        <v>2</v>
      </c>
      <c r="D12" s="3" t="inlineStr">
        <is>
          <t>30,0 m³/h, 2,0 mSS, FREKANS KONTROLLÜ, Elk. Gücü: 0,3 kW</t>
        </is>
      </c>
    </row>
    <row r="13">
      <c r="A13" s="3" t="n">
        <v>10</v>
      </c>
      <c r="B13" s="3" t="inlineStr">
        <is>
          <t>DÖNÜŞ KOLLEKTÖRÜ</t>
        </is>
      </c>
      <c r="C13" s="3" t="n">
        <v>1</v>
      </c>
      <c r="D13" s="3" t="inlineStr">
        <is>
          <t>GALVANİZ 3"</t>
        </is>
      </c>
    </row>
    <row r="14">
      <c r="A14" s="3" t="n">
        <v>11</v>
      </c>
      <c r="B14" s="3" t="inlineStr">
        <is>
          <t>TORTU AYIRICI</t>
        </is>
      </c>
      <c r="C14" s="3" t="n">
        <v>1</v>
      </c>
      <c r="D14" s="3" t="inlineStr">
        <is>
          <t>50 LT.</t>
        </is>
      </c>
    </row>
    <row r="15">
      <c r="A15" s="3" t="n">
        <v>12</v>
      </c>
      <c r="B15" s="3" t="inlineStr">
        <is>
          <t>PLAKALI EŞANJÖR</t>
        </is>
      </c>
      <c r="C15" s="3" t="n">
        <v>1</v>
      </c>
      <c r="D15" s="3" t="inlineStr">
        <is>
          <t>700 kW</t>
        </is>
      </c>
    </row>
    <row r="16">
      <c r="A16" s="3" t="n">
        <v>13</v>
      </c>
      <c r="B16" s="3" t="inlineStr">
        <is>
          <t>HAVA AYIRICI</t>
        </is>
      </c>
      <c r="C16" s="3" t="n">
        <v>1</v>
      </c>
      <c r="D16" s="3" t="inlineStr">
        <is>
          <t>80 LT.</t>
        </is>
      </c>
    </row>
    <row r="17">
      <c r="A17" s="3" t="n">
        <v>14</v>
      </c>
      <c r="B17" s="3" t="inlineStr">
        <is>
          <t>DUVAR TİPİ KOMBİ</t>
        </is>
      </c>
      <c r="C17" s="3" t="n">
        <v>6</v>
      </c>
      <c r="D17" s="3" t="inlineStr">
        <is>
          <t>95.000 kcal/h (115 kW) GAZ YAKITLI DUVAR TİPİ YOĞUŞMALI KASKAD KAZAN 70/50 °C</t>
        </is>
      </c>
    </row>
    <row r="18">
      <c r="A18" s="3" t="n">
        <v>15</v>
      </c>
      <c r="B18" s="3" t="inlineStr">
        <is>
          <t>GENLEŞME TANKI</t>
        </is>
      </c>
      <c r="C18" s="3" t="n">
        <v>1</v>
      </c>
      <c r="D18" s="3" t="inlineStr">
        <is>
          <t>200 LT. (KAZAN / PRİMER DEVRE)</t>
        </is>
      </c>
    </row>
    <row r="19">
      <c r="A19" s="3" t="n">
        <v>16</v>
      </c>
      <c r="B19" s="3" t="inlineStr">
        <is>
          <t>GENLEŞME TANKI</t>
        </is>
      </c>
      <c r="C19" s="3" t="n">
        <v>1</v>
      </c>
      <c r="D19" s="3" t="inlineStr">
        <is>
          <t>50 LT. (KULLANIM SICAK SUYU)</t>
        </is>
      </c>
    </row>
    <row r="20">
      <c r="A20" s="3" t="n">
        <v>17</v>
      </c>
      <c r="B20" s="3" t="inlineStr">
        <is>
          <t>KOMBİ KOLLEKTÖRÜ</t>
        </is>
      </c>
      <c r="C20" s="3" t="n">
        <v>2</v>
      </c>
      <c r="D20" s="3" t="inlineStr">
        <is>
          <t>SİYAH BORU 3" (GİDİŞ + DÖNÜŞ)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</cols>
  <sheetData>
    <row r="1">
      <c r="A1" s="1" t="inlineStr">
        <is>
          <t>KAZAN DAİRESİ HESAP KONTROLLERİ</t>
        </is>
      </c>
    </row>
    <row r="3">
      <c r="A3" s="4" t="inlineStr">
        <is>
          <t>Kazan adedi</t>
        </is>
      </c>
      <c r="B3" s="5" t="n">
        <v>6</v>
      </c>
      <c r="C3" s="4" t="inlineStr">
        <is>
          <t>adet</t>
        </is>
      </c>
    </row>
    <row r="4">
      <c r="A4" s="4" t="inlineStr">
        <is>
          <t>Kazan kapasitesi</t>
        </is>
      </c>
      <c r="B4" s="5" t="n">
        <v>115</v>
      </c>
      <c r="C4" s="4" t="inlineStr">
        <is>
          <t>kW</t>
        </is>
      </c>
    </row>
    <row r="5">
      <c r="A5" s="4" t="inlineStr">
        <is>
          <t>Toplam kazan kapasitesi</t>
        </is>
      </c>
      <c r="B5" s="5">
        <f>B3*B4</f>
        <v/>
      </c>
      <c r="C5" s="4" t="inlineStr">
        <is>
          <t>kW</t>
        </is>
      </c>
    </row>
    <row r="6">
      <c r="A6" s="4" t="inlineStr">
        <is>
          <t>Eşanjör kapasitesi</t>
        </is>
      </c>
      <c r="B6" s="5" t="n">
        <v>700</v>
      </c>
      <c r="C6" s="4" t="inlineStr">
        <is>
          <t>kW</t>
        </is>
      </c>
    </row>
    <row r="7">
      <c r="A7" s="4" t="inlineStr">
        <is>
          <t>Kontrol</t>
        </is>
      </c>
      <c r="B7" s="5">
        <f>IF(B5&gt;=0.98*B6,"UYGUN","YETERSİZ")</f>
        <v/>
      </c>
      <c r="C7" s="4" t="inlineStr"/>
    </row>
    <row r="8">
      <c r="A8" s="4" t="inlineStr">
        <is>
          <t>Primer gidiş / dönüş</t>
        </is>
      </c>
      <c r="B8" s="5" t="inlineStr">
        <is>
          <t>70/50</t>
        </is>
      </c>
      <c r="C8" s="4" t="inlineStr">
        <is>
          <t>°C</t>
        </is>
      </c>
    </row>
    <row r="9">
      <c r="A9" s="4" t="inlineStr">
        <is>
          <t>ΔT</t>
        </is>
      </c>
      <c r="B9" s="5" t="n">
        <v>20</v>
      </c>
      <c r="C9" s="4" t="inlineStr">
        <is>
          <t>K</t>
        </is>
      </c>
    </row>
    <row r="10">
      <c r="A10" s="4" t="inlineStr">
        <is>
          <t>Primer debi Q = P/(1,163·ΔT)</t>
        </is>
      </c>
      <c r="B10" s="5">
        <f>B6/(1.163*B9)</f>
        <v/>
      </c>
      <c r="C10" s="4" t="inlineStr">
        <is>
          <t>m³/h</t>
        </is>
      </c>
    </row>
    <row r="11">
      <c r="A11" s="4" t="inlineStr">
        <is>
          <t>Seçilen sekonder pompa</t>
        </is>
      </c>
      <c r="B11" s="5" t="n">
        <v>30</v>
      </c>
      <c r="C11" s="4" t="inlineStr">
        <is>
          <t>m³/h</t>
        </is>
      </c>
    </row>
    <row r="12">
      <c r="A12" s="4" t="inlineStr">
        <is>
          <t>Kontrol</t>
        </is>
      </c>
      <c r="B12" s="5">
        <f>IF(B11&gt;=0.99*B10,"UYGUN","ARTIR")</f>
        <v/>
      </c>
      <c r="C12" s="4" t="inlineStr"/>
    </row>
    <row r="13">
      <c r="A13" s="4" t="inlineStr">
        <is>
          <t>3" boru iç çapı</t>
        </is>
      </c>
      <c r="B13" s="5" t="n">
        <v>80.8</v>
      </c>
      <c r="C13" s="4" t="inlineStr">
        <is>
          <t>mm</t>
        </is>
      </c>
    </row>
    <row r="14">
      <c r="A14" s="4" t="inlineStr">
        <is>
          <t>Kollektör hızı</t>
        </is>
      </c>
      <c r="B14" s="5">
        <f>B11/3600/(PI()*(B13/1000)^2/4)</f>
        <v/>
      </c>
      <c r="C14" s="4" t="inlineStr">
        <is>
          <t>m/s</t>
        </is>
      </c>
    </row>
    <row r="15">
      <c r="A15" s="4" t="inlineStr">
        <is>
          <t>Alt havalandırma alanı (6 cm²/kW)</t>
        </is>
      </c>
      <c r="B15" s="5">
        <f>B5*6</f>
        <v/>
      </c>
      <c r="C15" s="4" t="inlineStr">
        <is>
          <t>cm²</t>
        </is>
      </c>
    </row>
    <row r="16">
      <c r="A16" s="4" t="inlineStr">
        <is>
          <t>Seçilen alt menfez 70x60</t>
        </is>
      </c>
      <c r="B16" s="5">
        <f>70*60</f>
        <v/>
      </c>
      <c r="C16" s="4" t="inlineStr">
        <is>
          <t>cm²</t>
        </is>
      </c>
    </row>
    <row r="17">
      <c r="A17" s="4" t="inlineStr">
        <is>
          <t>Üst havalandırma alanı (3 cm²/kW)</t>
        </is>
      </c>
      <c r="B17" s="5">
        <f>B5*3</f>
        <v/>
      </c>
      <c r="C17" s="4" t="inlineStr">
        <is>
          <t>cm²</t>
        </is>
      </c>
    </row>
    <row r="18">
      <c r="A18" s="4" t="inlineStr">
        <is>
          <t>Seçilen üst menfez 50x45</t>
        </is>
      </c>
      <c r="B18" s="5">
        <f>50*45</f>
        <v/>
      </c>
      <c r="C18" s="4" t="inlineStr">
        <is>
          <t>cm²</t>
        </is>
      </c>
    </row>
    <row r="19">
      <c r="A19" s="4" t="inlineStr">
        <is>
          <t>Akümülasyon hacmi</t>
        </is>
      </c>
      <c r="B19" s="5">
        <f>7*1000</f>
        <v/>
      </c>
      <c r="C19" s="4" t="inlineStr">
        <is>
          <t>L</t>
        </is>
      </c>
    </row>
    <row r="20">
      <c r="A20" s="4" t="inlineStr">
        <is>
          <t>Isıtma süresi 10→60 °C</t>
        </is>
      </c>
      <c r="B20" s="5">
        <f>B19*1.163*50/(B6*1000)*60</f>
        <v/>
      </c>
      <c r="C20" s="4" t="inlineStr">
        <is>
          <t>dk</t>
        </is>
      </c>
    </row>
    <row r="21">
      <c r="A21" s="4" t="inlineStr">
        <is>
          <t>Hidrofor debisi</t>
        </is>
      </c>
      <c r="B21" s="5" t="n">
        <v>29</v>
      </c>
      <c r="C21" s="4" t="inlineStr">
        <is>
          <t>m³/h</t>
        </is>
      </c>
    </row>
    <row r="22">
      <c r="A22" s="4" t="inlineStr">
        <is>
          <t>Su deposu</t>
        </is>
      </c>
      <c r="B22" s="5" t="n">
        <v>30</v>
      </c>
      <c r="C22" s="4" t="inlineStr">
        <is>
          <t>ton</t>
        </is>
      </c>
    </row>
    <row r="23">
      <c r="A23" s="4" t="inlineStr">
        <is>
          <t>Depo / hidrofor debisi</t>
        </is>
      </c>
      <c r="B23" s="5">
        <f>B22/B21</f>
        <v/>
      </c>
      <c r="C23" s="4" t="inlineStr">
        <is>
          <t>saat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2026-10-12T20:44:02Z</dcterms:created>
  <dcterms:modified xmlns:dcterms="http://purl.org/dc/terms/" xmlns:xsi="http://www.w3.org/2001/XMLSchema-instance" xsi:type="dcterms:W3CDTF">2026-10-12T20:44:02Z</dcterms:modified>
</cp:coreProperties>
</file>