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ISI KAYBI ZEMİN KAT" sheetId="3" state="visible" r:id="rId3"/>
    <sheet xmlns:r="http://schemas.openxmlformats.org/officeDocument/2006/relationships" name="ISI KAYBI 1. KAT" sheetId="4" state="visible" r:id="rId4"/>
    <sheet xmlns:r="http://schemas.openxmlformats.org/officeDocument/2006/relationships" name="ISI KAYBI 2. KAT" sheetId="5" state="visible" r:id="rId5"/>
    <sheet xmlns:r="http://schemas.openxmlformats.org/officeDocument/2006/relationships" name="YERDEN ISITMA HESABI" sheetId="6" state="visible" r:id="rId6"/>
    <sheet xmlns:r="http://schemas.openxmlformats.org/officeDocument/2006/relationships" name="DEVRE LİSTESİ" sheetId="7" state="visible" r:id="rId7"/>
  </sheets>
  <externalReferences>
    <externalReference xmlns:r="http://schemas.openxmlformats.org/officeDocument/2006/relationships" r:id="rId8"/>
  </externalReferences>
  <definedNames>
    <definedName name="_xlnm.Print_Titles" localSheetId="2">'ISI KAYBI ZEMİN KAT'!$1:$7</definedName>
    <definedName name="_xlnm.Print_Area" localSheetId="2">'ISI KAYBI ZEMİN KAT'!$A$1:$Q$150</definedName>
    <definedName name="_xlnm.Print_Titles" localSheetId="3">'ISI KAYBI 1. KAT'!$1:$7</definedName>
    <definedName name="_xlnm.Print_Area" localSheetId="3">'ISI KAYBI 1. KAT'!$A$1:$Q$136</definedName>
    <definedName name="_xlnm.Print_Titles" localSheetId="4">'ISI KAYBI 2. KAT'!$1:$7</definedName>
    <definedName name="_xlnm.Print_Area" localSheetId="4">'ISI KAYBI 2. KAT'!$A$1:$Q$150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</numFmts>
  <fonts count="57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00DDE6F0"/>
      </patternFill>
    </fill>
  </fills>
  <borders count="55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507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2" applyAlignment="1" applyProtection="1" pivotButton="0" quotePrefix="0" xfId="0">
      <alignment horizontal="center" vertical="center"/>
      <protection locked="0" hidden="0"/>
    </xf>
    <xf numFmtId="167" fontId="28" fillId="0" borderId="23" applyAlignment="1" applyProtection="1" pivotButton="0" quotePrefix="0" xfId="0">
      <alignment horizontal="center" vertical="center"/>
      <protection locked="0" hidden="0"/>
    </xf>
    <xf numFmtId="4" fontId="28" fillId="0" borderId="23" applyAlignment="1" applyProtection="1" pivotButton="0" quotePrefix="0" xfId="0">
      <alignment horizontal="center" vertical="center"/>
      <protection locked="0" hidden="0"/>
    </xf>
    <xf numFmtId="4" fontId="28" fillId="0" borderId="23" applyAlignment="1" pivotButton="0" quotePrefix="0" xfId="0">
      <alignment horizontal="center" vertical="center"/>
    </xf>
    <xf numFmtId="3" fontId="28" fillId="0" borderId="23" applyAlignment="1" applyProtection="1" pivotButton="0" quotePrefix="0" xfId="0">
      <alignment horizontal="center" vertical="center"/>
      <protection locked="0" hidden="0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applyProtection="1" pivotButton="0" quotePrefix="0" xfId="0">
      <alignment horizontal="center" vertical="center"/>
      <protection locked="0" hidden="0"/>
    </xf>
    <xf numFmtId="49" fontId="28" fillId="0" borderId="19" applyAlignment="1" applyProtection="1" pivotButton="0" quotePrefix="0" xfId="0">
      <alignment horizontal="center" vertical="center"/>
      <protection locked="0" hidden="0"/>
    </xf>
    <xf numFmtId="4" fontId="28" fillId="0" borderId="19" applyAlignment="1" applyProtection="1" pivotButton="0" quotePrefix="0" xfId="0">
      <alignment horizontal="left" vertical="center"/>
      <protection locked="0" hidden="0"/>
    </xf>
    <xf numFmtId="4" fontId="35" fillId="0" borderId="19" applyAlignment="1" applyProtection="1" pivotButton="0" quotePrefix="0" xfId="0">
      <alignment horizontal="left" vertical="center"/>
      <protection locked="0" hidden="0"/>
    </xf>
    <xf numFmtId="4" fontId="28" fillId="0" borderId="19" applyAlignment="1" pivotButton="0" quotePrefix="0" xfId="0">
      <alignment horizontal="center" vertical="center"/>
    </xf>
    <xf numFmtId="3" fontId="28" fillId="0" borderId="19" applyAlignment="1" applyProtection="1" pivotButton="0" quotePrefix="0" xfId="0">
      <alignment horizontal="center" vertical="center"/>
      <protection locked="0" hidden="0"/>
    </xf>
    <xf numFmtId="4" fontId="28" fillId="0" borderId="19" applyAlignment="1" applyProtection="1" pivotButton="0" quotePrefix="0" xfId="0">
      <alignment horizontal="center" vertical="center"/>
      <protection locked="0" hidden="0"/>
    </xf>
    <xf numFmtId="4" fontId="31" fillId="0" borderId="19" applyAlignment="1" pivotButton="0" quotePrefix="0" xfId="0">
      <alignment horizontal="right" vertical="center"/>
    </xf>
    <xf numFmtId="4" fontId="32" fillId="0" borderId="0" applyAlignment="1" applyProtection="1" pivotButton="0" quotePrefix="0" xfId="0">
      <alignment horizontal="right" vertical="center"/>
      <protection locked="0" hidden="0"/>
    </xf>
    <xf numFmtId="4" fontId="31" fillId="0" borderId="19" applyAlignment="1" applyProtection="1" pivotButton="0" quotePrefix="0" xfId="0">
      <alignment horizontal="right" vertical="center"/>
      <protection locked="0" hidden="0"/>
    </xf>
    <xf numFmtId="168" fontId="28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applyProtection="1" pivotButton="0" quotePrefix="0" xfId="0">
      <alignment horizontal="center" vertical="center"/>
      <protection locked="0" hidden="0"/>
    </xf>
    <xf numFmtId="3" fontId="28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applyProtection="1" pivotButton="0" quotePrefix="0" xfId="0">
      <alignment horizontal="left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0" applyAlignment="1" applyProtection="1" pivotButton="0" quotePrefix="0" xfId="0">
      <alignment horizontal="left" vertical="center"/>
      <protection locked="0" hidden="0"/>
    </xf>
    <xf numFmtId="4" fontId="36" fillId="0" borderId="0" applyAlignment="1" applyProtection="1" pivotButton="0" quotePrefix="0" xfId="0">
      <alignment horizontal="right" vertical="center"/>
      <protection locked="0" hidden="0"/>
    </xf>
    <xf numFmtId="4" fontId="37" fillId="0" borderId="0" applyAlignment="1" pivotButton="0" quotePrefix="0" xfId="0">
      <alignment horizontal="left" vertical="center"/>
    </xf>
    <xf numFmtId="3" fontId="37" fillId="0" borderId="25" applyAlignment="1" applyProtection="1" pivotButton="0" quotePrefix="0" xfId="0">
      <alignment horizontal="left" vertical="center"/>
      <protection locked="0" hidden="0"/>
    </xf>
    <xf numFmtId="4" fontId="37" fillId="0" borderId="27" applyAlignment="1" applyProtection="1" pivotButton="0" quotePrefix="0" xfId="0">
      <alignment horizontal="left" vertical="center"/>
      <protection locked="0" hidden="0"/>
    </xf>
    <xf numFmtId="4" fontId="28" fillId="0" borderId="27" applyAlignment="1" pivotButton="0" quotePrefix="0" xfId="0">
      <alignment horizontal="center" vertical="center"/>
    </xf>
    <xf numFmtId="4" fontId="32" fillId="0" borderId="26" applyAlignment="1" applyProtection="1" pivotButton="0" quotePrefix="0" xfId="0">
      <alignment horizontal="right" vertical="center"/>
      <protection locked="0" hidden="0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left" vertical="center"/>
      <protection locked="0" hidden="0"/>
    </xf>
    <xf numFmtId="0" fontId="28" fillId="0" borderId="0" applyAlignment="1" applyProtection="1" pivotButton="0" quotePrefix="0" xfId="0">
      <alignment horizontal="left" vertical="center"/>
      <protection locked="0" hidden="0"/>
    </xf>
    <xf numFmtId="3" fontId="28" fillId="0" borderId="0" applyAlignment="1" applyProtection="1" pivotButton="0" quotePrefix="0" xfId="0">
      <alignment horizontal="left" vertical="center"/>
      <protection locked="0" hidden="0"/>
    </xf>
    <xf numFmtId="4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applyProtection="1" pivotButton="0" quotePrefix="0" xfId="0">
      <alignment horizontal="left" vertical="center"/>
      <protection locked="0" hidden="0"/>
    </xf>
    <xf numFmtId="3" fontId="38" fillId="0" borderId="0" applyAlignment="1" applyProtection="1" pivotButton="0" quotePrefix="0" xfId="0">
      <alignment horizontal="left" vertical="center"/>
      <protection locked="0" hidden="0"/>
    </xf>
    <xf numFmtId="4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7" applyAlignment="1" pivotButton="0" quotePrefix="0" xfId="0">
      <alignment horizontal="right" vertical="center"/>
    </xf>
    <xf numFmtId="0" fontId="34" fillId="0" borderId="27" applyAlignment="1" pivotButton="0" quotePrefix="0" xfId="0">
      <alignment horizontal="center" vertical="center"/>
    </xf>
    <xf numFmtId="0" fontId="0" fillId="0" borderId="27" applyProtection="1" pivotButton="0" quotePrefix="0" xfId="0">
      <protection locked="0" hidden="0"/>
    </xf>
    <xf numFmtId="0" fontId="28" fillId="0" borderId="27" applyAlignment="1" pivotButton="0" quotePrefix="0" xfId="0">
      <alignment horizontal="general" vertical="center"/>
    </xf>
    <xf numFmtId="0" fontId="28" fillId="0" borderId="26" applyAlignment="1" pivotButton="0" quotePrefix="0" xfId="0">
      <alignment horizontal="general" vertical="center"/>
    </xf>
    <xf numFmtId="168" fontId="28" fillId="0" borderId="33" applyAlignment="1" pivotButton="0" quotePrefix="0" xfId="0">
      <alignment horizontal="right" vertical="center"/>
    </xf>
    <xf numFmtId="0" fontId="28" fillId="0" borderId="28" applyAlignment="1" pivotButton="0" quotePrefix="0" xfId="0">
      <alignment horizontal="center" vertical="center"/>
    </xf>
    <xf numFmtId="167" fontId="28" fillId="0" borderId="29" applyAlignment="1" pivotButton="0" quotePrefix="0" xfId="0">
      <alignment horizontal="center" vertical="center"/>
    </xf>
    <xf numFmtId="167" fontId="28" fillId="0" borderId="30" applyAlignment="1" pivotButton="0" quotePrefix="0" xfId="0">
      <alignment horizontal="center" vertical="center"/>
    </xf>
    <xf numFmtId="3" fontId="28" fillId="0" borderId="29" applyAlignment="1" pivotButton="0" quotePrefix="0" xfId="0">
      <alignment horizontal="center" vertical="center"/>
    </xf>
    <xf numFmtId="4" fontId="28" fillId="0" borderId="3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3" fontId="28" fillId="0" borderId="32" applyAlignment="1" pivotButton="0" quotePrefix="0" xfId="0">
      <alignment horizontal="center" vertical="center"/>
    </xf>
    <xf numFmtId="168" fontId="28" fillId="0" borderId="31" applyAlignment="1" applyProtection="1" pivotButton="0" quotePrefix="0" xfId="0">
      <alignment horizontal="right" vertical="center"/>
      <protection locked="0" hidden="0"/>
    </xf>
    <xf numFmtId="168" fontId="28" fillId="0" borderId="30" applyAlignment="1" applyProtection="1" pivotButton="0" quotePrefix="0" xfId="0">
      <alignment horizontal="right" vertical="center"/>
      <protection locked="0" hidden="0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applyProtection="1" pivotButton="0" quotePrefix="0" xfId="0">
      <alignment horizontal="right" vertical="center"/>
      <protection locked="0" hidden="0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4" fontId="37" fillId="0" borderId="0" applyAlignment="1" applyProtection="1" pivotButton="0" quotePrefix="0" xfId="0">
      <alignment horizontal="left" vertical="center"/>
      <protection locked="0" hidden="0"/>
    </xf>
    <xf numFmtId="4" fontId="28" fillId="0" borderId="27" applyAlignment="1" applyProtection="1" pivotButton="0" quotePrefix="0" xfId="0">
      <alignment horizontal="center" vertical="center"/>
      <protection locked="0" hidden="0"/>
    </xf>
    <xf numFmtId="4" fontId="32" fillId="0" borderId="26" applyAlignment="1" pivotButton="0" quotePrefix="0" xfId="0">
      <alignment horizontal="right" vertical="center"/>
    </xf>
    <xf numFmtId="168" fontId="28" fillId="0" borderId="4" applyAlignment="1" applyProtection="1" pivotButton="0" quotePrefix="0" xfId="0">
      <alignment horizontal="right" vertical="center"/>
      <protection locked="0" hidden="0"/>
    </xf>
    <xf numFmtId="0" fontId="28" fillId="0" borderId="2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25" applyAlignment="1" pivotButton="0" quotePrefix="0" xfId="0">
      <alignment horizontal="general" vertical="center"/>
    </xf>
    <xf numFmtId="0" fontId="28" fillId="0" borderId="27" applyAlignment="1" pivotButton="0" quotePrefix="0" xfId="0">
      <alignment horizontal="center" vertical="center"/>
    </xf>
    <xf numFmtId="3" fontId="28" fillId="0" borderId="4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0" fontId="0" fillId="0" borderId="23" applyProtection="1" pivotButton="0" quotePrefix="0" xfId="0">
      <protection locked="0" hidden="0"/>
    </xf>
    <xf numFmtId="3" fontId="38" fillId="0" borderId="0" applyAlignment="1" applyProtection="1" pivotButton="0" quotePrefix="0" xfId="0">
      <alignment horizontal="right" vertical="center"/>
      <protection locked="0" hidden="0"/>
    </xf>
    <xf numFmtId="168" fontId="38" fillId="0" borderId="35" applyAlignment="1" applyProtection="1" pivotButton="0" quotePrefix="0" xfId="0">
      <alignment horizontal="right" vertical="center"/>
      <protection locked="0" hidden="0"/>
    </xf>
    <xf numFmtId="167" fontId="28" fillId="0" borderId="23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3" fontId="28" fillId="0" borderId="4" applyAlignment="1" applyProtection="1" pivotButton="0" quotePrefix="0" xfId="0">
      <alignment horizontal="center" vertical="center"/>
      <protection locked="0" hidden="0"/>
    </xf>
    <xf numFmtId="168" fontId="28" fillId="0" borderId="4" applyAlignment="1" pivotButton="0" quotePrefix="0" xfId="0">
      <alignment horizontal="right" vertical="center"/>
    </xf>
    <xf numFmtId="1" fontId="0" fillId="0" borderId="0" pivotButton="0" quotePrefix="0" xfId="0"/>
    <xf numFmtId="0" fontId="28" fillId="0" borderId="21" applyAlignment="1" pivotButton="0" quotePrefix="0" xfId="0">
      <alignment horizontal="left" vertical="center"/>
    </xf>
    <xf numFmtId="4" fontId="28" fillId="0" borderId="23" applyAlignment="1" pivotButton="0" quotePrefix="0" xfId="0">
      <alignment horizontal="center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0" fontId="55" fillId="0" borderId="0" pivotButton="0" quotePrefix="0" xfId="0"/>
    <xf numFmtId="0" fontId="56" fillId="7" borderId="54" applyAlignment="1" pivotButton="0" quotePrefix="0" xfId="0">
      <alignment horizontal="center" wrapText="1"/>
    </xf>
    <xf numFmtId="0" fontId="0" fillId="0" borderId="54" pivotButton="0" quotePrefix="0" xfId="0"/>
    <xf numFmtId="0" fontId="56" fillId="0" borderId="0" pivotButton="0" quotePrefix="0" xfId="0"/>
    <xf numFmtId="0" fontId="56" fillId="0" borderId="54" pivotButton="0" quotePrefix="0" xfId="0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261360</colOff>
      <row>1</row>
      <rowOff>37800</rowOff>
    </from>
    <to>
      <col>0</col>
      <colOff>1379880</colOff>
      <row>5</row>
      <rowOff>9360</rowOff>
    </to>
    <pic>
      <nvPicPr>
        <cNvPr id="0" name="Resi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1360" y="247320"/>
          <a:ext cx="1118520" cy="120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Users/user/Desktop/dcm/PROJE/MEKAN&#304;K%20HESAPLAR/MEKAN&#304;K%20HESAPLAR%20KOMB&#30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pak"/>
      <sheetName val="TEKNİK RAPOR"/>
      <sheetName val="TEKNİK RAPOR (2)"/>
      <sheetName val="ZEMİN"/>
      <sheetName val="1 NK"/>
      <sheetName val="PETEK LİST"/>
      <sheetName val="TAHHÜTNAME"/>
      <sheetName val="FENNİ MESUL"/>
      <sheetName val="HİDRAFOR HESABI ÜMİT"/>
      <sheetName val="Sayfa1"/>
    </sheetNames>
    <sheetDataSet>
      <sheetData sheetId="0">
        <row r="41">
          <cell r="G41">
            <v>44267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Semerciler Mah. Sait Faik Sk. No:22/C Z01 Adapazarı/Sakarya
rotasmuhendislik@gmail.com - 0264 272 00 49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Teknik Ressam</t>
        </is>
      </c>
      <c r="B10" s="268" t="inlineStr">
        <is>
          <t>CAN ÖZKAYA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ISI KAYBI VE YERDEN ISITMA TESİSATI PROJE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ADAPEKER İNŞAAT MALZEMELERİ SANAYİ VE TİCARET LİMİTED ŞİRKETİ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SAKARYA</t>
        </is>
      </c>
      <c r="B36" s="282" t="inlineStr">
        <is>
          <t>ADAPAZARI</t>
        </is>
      </c>
      <c r="C36" s="282">
        <f>B36</f>
        <v/>
      </c>
      <c r="D36" s="282" t="inlineStr">
        <is>
          <t>GÜNEŞLER</t>
        </is>
      </c>
      <c r="E36" s="261" t="inlineStr">
        <is>
          <t>-</t>
        </is>
      </c>
      <c r="F36" s="260" t="n"/>
      <c r="G36" s="262" t="inlineStr">
        <is>
          <t>G24B24B1A</t>
        </is>
      </c>
      <c r="H36" s="282" t="inlineStr">
        <is>
          <t>4653</t>
        </is>
      </c>
      <c r="I36" s="263" t="inlineStr">
        <is>
          <t>19</t>
        </is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inlineStr">
        <is>
          <t>3/A</t>
        </is>
      </c>
      <c r="C41" s="289" t="n">
        <v>6</v>
      </c>
      <c r="D41" s="290" t="inlineStr">
        <is>
          <t>ZEMİN + 2</t>
        </is>
      </c>
      <c r="E41" s="275" t="n"/>
      <c r="F41" s="289" t="n"/>
      <c r="G41" s="291" t="n">
        <v>46313</v>
      </c>
      <c r="H41" s="292" t="inlineStr">
        <is>
          <t>MESKEN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9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ISI KAYBI VE YERDEN ISITMA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inlineStr">
        <is>
          <t xml:space="preserve">   / DÜZCE</t>
        </is>
      </c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:2.Bölge</t>
        </is>
      </c>
      <c r="F9" s="318" t="inlineStr">
        <is>
          <t xml:space="preserve"> -9 Rüzgarlı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 Mesken (Zemin + 2 kat, 6 bağımsız bölüm, kat başına 2 daire)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Duvar tipi yoğuşmalı kombi (her dairede 1 adet, 24 kW, balkonda - mimari yerinde)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ısıtma, PEX 16x2,0 (oksijen bariyerli), boru aralığı 15 cm, 45/35 °C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:Korunmuş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Zemin + 2 normal kat, kat yüksekliği 3,00 m (mimari kesit: +0,50 / +3,50 / +6,50 / çatı +9,50)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PEX 16 x 2,0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20°C</t>
        </is>
      </c>
      <c r="H21" s="321" t="n"/>
      <c r="I21" s="313" t="n"/>
    </row>
    <row r="22" ht="15" customHeight="1" s="244">
      <c r="A22" s="310" t="n"/>
      <c r="B22" s="313" t="inlineStr">
        <is>
          <t>Oda / Yatak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Mutfak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 - WC</t>
        </is>
      </c>
      <c r="F24" s="317" t="inlineStr">
        <is>
          <t>: 24°C</t>
        </is>
      </c>
      <c r="H24" s="321" t="n"/>
      <c r="I24" s="313" t="n"/>
    </row>
    <row r="25" ht="15" customHeight="1" s="244">
      <c r="A25" s="310" t="n"/>
      <c r="B25" s="313" t="inlineStr">
        <is>
          <t>Hol (daire içi)</t>
        </is>
      </c>
      <c r="F25" s="317" t="inlineStr">
        <is>
          <t>: 15°C (yerden ısıtma yok, ayaklar geçer)</t>
        </is>
      </c>
      <c r="H25" s="321" t="n"/>
      <c r="I25" s="313" t="n"/>
    </row>
    <row r="26" ht="15" customHeight="1" s="244">
      <c r="A26" s="310" t="n"/>
      <c r="B26" s="313" t="n"/>
      <c r="F26" s="322" t="n"/>
      <c r="H26" s="321" t="n"/>
      <c r="I26" s="313" t="n"/>
    </row>
    <row r="27" ht="15" customHeight="1" s="244">
      <c r="A27" s="310" t="n"/>
      <c r="B27" s="313" t="n"/>
      <c r="F27" s="322" t="n"/>
      <c r="H27" s="321" t="n"/>
      <c r="I27" s="313" t="n"/>
    </row>
    <row r="28" ht="15" customHeight="1" s="244">
      <c r="A28" s="310" t="n"/>
      <c r="B28" s="313" t="n"/>
      <c r="F28" s="322" t="n"/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 0°C</t>
        </is>
      </c>
      <c r="H29" s="321" t="n"/>
      <c r="I29" s="313" t="n"/>
    </row>
    <row r="30" ht="15" customHeight="1" s="244">
      <c r="A30" s="310" t="n"/>
      <c r="B30" s="313" t="inlineStr">
        <is>
          <t xml:space="preserve">Toprağa Bitişik Döşeme 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Isıtılmayan</t>
        </is>
      </c>
      <c r="F31" s="317" t="inlineStr">
        <is>
          <t>: balkon, çamaşır odası (1,60 m²), merdiven, kat holü, asansör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Isı Yalıtımı (TS 825:2024, İZODER il sayfası - SAKARYA 3. BÖLGE):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inlineStr"/>
      <c r="B35" s="313" t="inlineStr">
        <is>
          <t xml:space="preserve">   Dış duvar U = 0.40 W/m²K, çatı arası tavanı U = 0.30, toprağa oturan döşeme U = 0.35, pencere / balkon kapısı U = 1.80.</t>
        </is>
      </c>
      <c r="E35" s="243" t="n"/>
      <c r="F35" s="317" t="n"/>
      <c r="G35" s="323" t="n"/>
      <c r="H35" s="280" t="n"/>
    </row>
    <row r="36" ht="15" customHeight="1" s="244">
      <c r="A36" s="310" t="n"/>
      <c r="B36" s="313" t="n"/>
      <c r="E36" s="243" t="n"/>
      <c r="F36" s="317" t="n"/>
      <c r="G36" s="323" t="n"/>
      <c r="H36" s="280" t="n"/>
    </row>
    <row r="37" ht="15" customHeight="1" s="244">
      <c r="A37" s="310" t="inlineStr"/>
      <c r="B37" s="313" t="inlineStr">
        <is>
          <t xml:space="preserve">   Bu değerler TS 825:2024 3. bölge tavsiye edilen (aşılmayacak) sınır değerlerdir; yalıtım detayları bunları aşmayacak.</t>
        </is>
      </c>
      <c r="E37" s="243" t="n"/>
      <c r="F37" s="317" t="n"/>
      <c r="G37" s="323" t="n"/>
      <c r="H37" s="280" t="n"/>
    </row>
    <row r="38" ht="15" customHeight="1" s="244">
      <c r="A38" s="310" t="n"/>
      <c r="B38" s="313" t="n"/>
      <c r="E38" s="243" t="n"/>
      <c r="F38" s="317" t="n"/>
      <c r="G38" s="323" t="n"/>
      <c r="H38" s="280" t="n"/>
    </row>
    <row r="39" ht="15" customHeight="1" s="244">
      <c r="A39" s="310" t="inlineStr"/>
      <c r="B39" s="313" t="inlineStr">
        <is>
          <t xml:space="preserve">   Dış hava -3 °C (Adapazarı, TS 2164), toprak 6 °C, merdiven/ortak alan 10 °C, hol 15 °C; kat yüksekliği 3,00 m.</t>
        </is>
      </c>
      <c r="E39" s="243" t="n"/>
      <c r="F39" s="317" t="n"/>
      <c r="G39" s="323" t="n"/>
      <c r="H39" s="280" t="n"/>
    </row>
    <row r="40" ht="15" customHeight="1" s="244">
      <c r="A40" s="310" t="n"/>
      <c r="B40" s="313" t="n"/>
      <c r="E40" s="243" t="n"/>
      <c r="F40" s="317" t="n"/>
      <c r="G40" s="323" t="n"/>
      <c r="H40" s="280" t="n"/>
    </row>
    <row r="41" ht="15" customHeight="1" s="244">
      <c r="A41" s="310" t="inlineStr">
        <is>
          <t>1.4.</t>
        </is>
      </c>
      <c r="B41" s="313" t="inlineStr">
        <is>
          <t>Yerden Isıtma Esası:</t>
        </is>
      </c>
      <c r="E41" s="243" t="n"/>
      <c r="F41" s="317" t="n"/>
      <c r="G41" s="323" t="n"/>
      <c r="H41" s="280" t="n"/>
    </row>
    <row r="42" ht="15" customHeight="1" s="244">
      <c r="A42" s="310" t="n"/>
      <c r="B42" s="313" t="n"/>
      <c r="E42" s="243" t="n"/>
      <c r="F42" s="317" t="n"/>
      <c r="G42" s="323" t="n"/>
      <c r="H42" s="280" t="n"/>
    </row>
    <row r="43" ht="15" customHeight="1" s="244">
      <c r="A43" s="310" t="inlineStr"/>
      <c r="B43" s="313" t="inlineStr">
        <is>
          <t xml:space="preserve">   Boru metresi başına 35 kcal/h (devre kapasitesi = 35 kcal/h × L); devre boyu en çok 80 m, 15 cm aralık.</t>
        </is>
      </c>
      <c r="E43" s="243" t="n"/>
      <c r="F43" s="317" t="n"/>
      <c r="G43" s="323" t="n"/>
      <c r="H43" s="280" t="n"/>
    </row>
    <row r="44" ht="15" customHeight="1" s="244">
      <c r="A44" s="310" t="n"/>
      <c r="B44" s="313" t="n"/>
      <c r="E44" s="243" t="n"/>
      <c r="F44" s="317" t="n"/>
      <c r="G44" s="323" t="n"/>
      <c r="H44" s="280" t="n"/>
    </row>
    <row r="45" ht="15" customHeight="1" s="244">
      <c r="A45" s="310" t="inlineStr"/>
      <c r="B45" s="313" t="inlineStr">
        <is>
          <t xml:space="preserve">   Her mahalde boru kapasitesi ≥ ısı kaybı kontrol edilmiştir (YERDEN ISITMA HESABI sayfası).</t>
        </is>
      </c>
      <c r="E45" s="243" t="n"/>
      <c r="F45" s="317" t="n"/>
      <c r="G45" s="323" t="n"/>
      <c r="H45" s="280" t="n"/>
    </row>
    <row r="46" ht="15" customHeight="1" s="244">
      <c r="A46" s="310" t="n"/>
      <c r="B46" s="313" t="n"/>
      <c r="C46" s="324" t="n"/>
      <c r="D46" s="323" t="n"/>
      <c r="E46" s="243" t="n"/>
      <c r="F46" s="317" t="n"/>
      <c r="G46" s="323" t="n"/>
      <c r="H46" s="280" t="n"/>
    </row>
    <row r="47" ht="15" customHeight="1" s="244">
      <c r="A47" s="310" t="inlineStr"/>
      <c r="B47" s="313" t="inlineStr">
        <is>
          <t xml:space="preserve">   Hazırlayan: Can ÖZKAYA - Teknik Ressam (ROTAŞ Mühendislik).</t>
        </is>
      </c>
      <c r="C47" s="324" t="n"/>
      <c r="D47" s="323" t="n"/>
      <c r="E47" s="243" t="n"/>
      <c r="F47" s="317" t="n"/>
      <c r="G47" s="323" t="n"/>
      <c r="H47" s="280" t="n"/>
    </row>
    <row r="48" ht="15" customHeight="1" s="244">
      <c r="A48" s="310" t="n"/>
      <c r="B48" s="313" t="n"/>
      <c r="C48" s="324" t="n"/>
      <c r="D48" s="323" t="n"/>
      <c r="E48" s="243" t="n"/>
      <c r="F48" s="317" t="n"/>
      <c r="G48" s="323" t="n"/>
      <c r="H48" s="280" t="n"/>
    </row>
    <row r="49" ht="15.75" customHeight="1" s="244">
      <c r="A49" s="310" t="n"/>
      <c r="B49" s="315" t="n"/>
      <c r="D49" s="323" t="n"/>
      <c r="H49" s="280" t="n"/>
    </row>
    <row r="50" ht="15" customHeight="1" s="244">
      <c r="A50" s="310" t="n"/>
      <c r="B50" s="313" t="n"/>
      <c r="D50" s="323" t="n"/>
      <c r="E50" s="317" t="n"/>
      <c r="H50" s="280" t="n"/>
    </row>
    <row r="51" ht="15" customHeight="1" s="244">
      <c r="A51" s="310" t="n"/>
      <c r="B51" s="313" t="n"/>
      <c r="D51" s="323" t="n"/>
      <c r="E51" s="317" t="n"/>
      <c r="H51" s="280" t="n"/>
    </row>
    <row r="52" ht="15" customHeight="1" s="244">
      <c r="A52" s="310" t="n"/>
      <c r="B52" s="313" t="n"/>
      <c r="E52" s="317" t="n"/>
      <c r="H52" s="280" t="n"/>
    </row>
    <row r="53" ht="15" customHeight="1" s="244">
      <c r="A53" s="310" t="n"/>
      <c r="B53" s="313" t="n"/>
      <c r="E53" s="317" t="n"/>
      <c r="H53" s="280" t="n"/>
    </row>
    <row r="54" ht="15" customHeight="1" s="244">
      <c r="A54" s="310" t="n"/>
      <c r="B54" s="313" t="n"/>
      <c r="E54" s="317" t="n"/>
      <c r="H54" s="280" t="n"/>
    </row>
    <row r="55" ht="15" customHeight="1" s="244">
      <c r="A55" s="310" t="n"/>
      <c r="B55" s="313" t="n"/>
      <c r="E55" s="317" t="n"/>
      <c r="H55" s="280" t="n"/>
    </row>
    <row r="56" ht="15" customHeight="1" s="244">
      <c r="A56" s="310" t="n"/>
      <c r="B56" s="313" t="n"/>
      <c r="E56" s="317" t="n"/>
      <c r="H56" s="280" t="n"/>
    </row>
    <row r="57" ht="15" customHeight="1" s="244">
      <c r="A57" s="310" t="n"/>
      <c r="B57" s="313" t="n"/>
      <c r="E57" s="317" t="n"/>
      <c r="H57" s="280" t="n"/>
    </row>
    <row r="58" ht="15" customHeight="1" s="244">
      <c r="A58" s="310" t="n"/>
      <c r="B58" s="313" t="n"/>
      <c r="E58" s="317" t="n"/>
      <c r="H58" s="280" t="n"/>
    </row>
    <row r="59" ht="15" customHeight="1" s="244">
      <c r="A59" s="310" t="n"/>
      <c r="B59" s="313" t="n"/>
      <c r="E59" s="317" t="n"/>
      <c r="H59" s="280" t="n"/>
    </row>
    <row r="60" ht="15" customHeight="1" s="244">
      <c r="A60" s="310" t="n"/>
      <c r="B60" s="313" t="n"/>
      <c r="E60" s="317" t="n"/>
      <c r="H60" s="280" t="n"/>
    </row>
    <row r="61" ht="15" customHeight="1" s="244">
      <c r="A61" s="310" t="n"/>
      <c r="B61" s="313" t="n"/>
      <c r="E61" s="317" t="n"/>
      <c r="H61" s="280" t="n"/>
    </row>
    <row r="62" ht="15" customHeight="1" s="244">
      <c r="A62" s="310" t="n"/>
      <c r="B62" s="313" t="n"/>
      <c r="E62" s="317" t="n"/>
      <c r="H62" s="280" t="n"/>
    </row>
    <row r="63" ht="15" customHeight="1" s="244">
      <c r="A63" s="279" t="n"/>
      <c r="B63" s="313" t="n"/>
      <c r="E63" s="317" t="n"/>
      <c r="H63" s="280" t="n"/>
    </row>
    <row r="64" ht="15" customHeight="1" s="244">
      <c r="A64" s="279" t="n"/>
      <c r="B64" s="313" t="n"/>
      <c r="E64" s="317" t="n"/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  <row r="67"/>
    <row r="68"/>
    <row r="69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150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ZEMİN KAT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 t="inlineStr">
        <is>
          <t>ADAPEKER İNŞAAT MALZEMELERİ SANAYİ VE TİCARET LİMİTED ŞİRKETİ</t>
        </is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Z01</t>
        </is>
      </c>
      <c r="G8" s="362" t="n"/>
      <c r="H8" s="360" t="n"/>
      <c r="I8" s="363" t="inlineStr">
        <is>
          <t>D1 YATAK ODASI</t>
        </is>
      </c>
      <c r="J8" s="2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4" t="n"/>
    </row>
    <row r="9" ht="9.949999999999999" customFormat="1" customHeight="1" s="356">
      <c r="A9" s="365" t="inlineStr">
        <is>
          <t>DD</t>
        </is>
      </c>
      <c r="B9" s="366" t="inlineStr">
        <is>
          <t>K</t>
        </is>
      </c>
      <c r="C9" s="367" t="n"/>
      <c r="D9" s="368" t="n">
        <v>2.78</v>
      </c>
      <c r="E9" s="368" t="n">
        <v>3</v>
      </c>
      <c r="F9" s="369">
        <f>IF(D9=0," ",D9*E9)</f>
        <v/>
      </c>
      <c r="G9" s="370" t="n">
        <v>1</v>
      </c>
      <c r="H9" s="371">
        <f>F10*G10</f>
        <v/>
      </c>
      <c r="I9" s="369">
        <f>IF(F9=" "," ",F9*G9-H9)</f>
        <v/>
      </c>
      <c r="J9" s="368" t="n">
        <v>0.4</v>
      </c>
      <c r="K9" s="370" t="n">
        <v>23</v>
      </c>
      <c r="L9" s="372">
        <f>IF(I9=" "," ",I9*J9*K9)</f>
        <v/>
      </c>
      <c r="M9" s="373" t="n">
        <v>7</v>
      </c>
      <c r="N9" s="370" t="n">
        <v>0</v>
      </c>
      <c r="O9" s="373" t="n">
        <v>5</v>
      </c>
      <c r="P9" s="369">
        <f>IF(M9=" "," ",(1+(M9+N9+O9)/100))</f>
        <v/>
      </c>
      <c r="Q9" s="374">
        <f>IF(L9=" "," ",L9*P9)</f>
        <v/>
      </c>
    </row>
    <row r="10" ht="9.949999999999999" customFormat="1" customHeight="1" s="356">
      <c r="A10" s="365" t="inlineStr">
        <is>
          <t>ÇP</t>
        </is>
      </c>
      <c r="B10" s="366" t="inlineStr">
        <is>
          <t>K</t>
        </is>
      </c>
      <c r="C10" s="367" t="n"/>
      <c r="D10" s="368" t="n">
        <v>1.5</v>
      </c>
      <c r="E10" s="368" t="n">
        <v>2.2</v>
      </c>
      <c r="F10" s="369">
        <f>IF(D10=0," ",D10*E10)</f>
        <v/>
      </c>
      <c r="G10" s="370" t="n">
        <v>1</v>
      </c>
      <c r="H10" s="371" t="n"/>
      <c r="I10" s="369">
        <f>IF(F10=" "," ",F10*G10-H10)</f>
        <v/>
      </c>
      <c r="J10" s="368" t="n">
        <v>1.8</v>
      </c>
      <c r="K10" s="370" t="n">
        <v>23</v>
      </c>
      <c r="L10" s="372">
        <f>IF(I10=" "," ",I10*J10*K10)</f>
        <v/>
      </c>
      <c r="M10" s="373" t="n">
        <v>7</v>
      </c>
      <c r="N10" s="370" t="n">
        <v>0</v>
      </c>
      <c r="O10" s="373" t="n">
        <v>5</v>
      </c>
      <c r="P10" s="369">
        <f>IF(M10=" "," ",(1+(M10+N10+O10)/100))</f>
        <v/>
      </c>
      <c r="Q10" s="374">
        <f>IF(L10=" "," ",L10*P10)</f>
        <v/>
      </c>
    </row>
    <row r="11" ht="9.949999999999999" customFormat="1" customHeight="1" s="356">
      <c r="A11" s="365" t="inlineStr">
        <is>
          <t>DD</t>
        </is>
      </c>
      <c r="B11" s="366" t="inlineStr">
        <is>
          <t>B</t>
        </is>
      </c>
      <c r="C11" s="367" t="n"/>
      <c r="D11" s="368" t="n">
        <v>3.28</v>
      </c>
      <c r="E11" s="368" t="n">
        <v>3</v>
      </c>
      <c r="F11" s="369">
        <f>IF(D11=0," ",D11*E11)</f>
        <v/>
      </c>
      <c r="G11" s="370" t="n">
        <v>1</v>
      </c>
      <c r="H11" s="371" t="n"/>
      <c r="I11" s="369">
        <f>IF(F11=" "," ",F11*G11-H11)</f>
        <v/>
      </c>
      <c r="J11" s="368" t="n">
        <v>0.4</v>
      </c>
      <c r="K11" s="370" t="n">
        <v>23</v>
      </c>
      <c r="L11" s="372">
        <f>IF(I11=" "," ",I11*J11*K11)</f>
        <v/>
      </c>
      <c r="M11" s="373" t="n">
        <v>7</v>
      </c>
      <c r="N11" s="370" t="n">
        <v>0</v>
      </c>
      <c r="O11" s="373" t="n">
        <v>0</v>
      </c>
      <c r="P11" s="369">
        <f>IF(M11=" "," ",(1+(M11+N11+O11)/100))</f>
        <v/>
      </c>
      <c r="Q11" s="374">
        <f>IF(L11=" "," ",L11*P11)</f>
        <v/>
      </c>
    </row>
    <row r="12" ht="9.949999999999999" customFormat="1" customHeight="1" s="356">
      <c r="A12" s="365" t="inlineStr">
        <is>
          <t>Dö</t>
        </is>
      </c>
      <c r="B12" s="366" t="n"/>
      <c r="C12" s="367" t="n"/>
      <c r="D12" s="368" t="n">
        <v>9.93</v>
      </c>
      <c r="E12" s="368" t="n">
        <v>1</v>
      </c>
      <c r="F12" s="369">
        <f>IF(D12=0," ",D12*E12)</f>
        <v/>
      </c>
      <c r="G12" s="370" t="n">
        <v>1</v>
      </c>
      <c r="H12" s="371" t="n"/>
      <c r="I12" s="369">
        <f>IF(F12=" "," ",F12*G12-H12)</f>
        <v/>
      </c>
      <c r="J12" s="368" t="n">
        <v>0.35</v>
      </c>
      <c r="K12" s="370" t="n">
        <v>14</v>
      </c>
      <c r="L12" s="372">
        <f>IF(I12=" "," ",I12*J12*K12)</f>
        <v/>
      </c>
      <c r="M12" s="373" t="n">
        <v>7</v>
      </c>
      <c r="N12" s="370" t="n">
        <v>0</v>
      </c>
      <c r="O12" s="373" t="n">
        <v>0</v>
      </c>
      <c r="P12" s="369">
        <f>IF(M12=" "," ",(1+(M12+N12+O12)/100))</f>
        <v/>
      </c>
      <c r="Q12" s="374">
        <f>IF(L12=" "," ",L12*P12)</f>
        <v/>
      </c>
    </row>
    <row r="13" ht="9.949999999999999" customFormat="1" customHeight="1" s="356">
      <c r="A13" s="375" t="n"/>
      <c r="B13" s="376" t="n"/>
      <c r="C13" s="376" t="n"/>
      <c r="D13" s="377" t="n"/>
      <c r="E13" s="377" t="n"/>
      <c r="F13" s="378" t="n"/>
      <c r="G13" s="379" t="n"/>
      <c r="H13" s="377" t="n"/>
      <c r="I13" s="378" t="n"/>
      <c r="J13" s="377" t="n"/>
      <c r="K13" s="379" t="n"/>
      <c r="L13" s="380" t="n"/>
      <c r="M13" s="381" t="n"/>
      <c r="N13" s="381" t="n"/>
      <c r="O13" s="381" t="n"/>
      <c r="P13" s="382" t="n"/>
      <c r="Q13" s="383">
        <f>SUM(Q9:Q12)</f>
        <v/>
      </c>
    </row>
    <row r="14" ht="9.949999999999999" customFormat="1" customHeight="1" s="356">
      <c r="A14" s="384" t="n"/>
      <c r="B14" s="385" t="n"/>
      <c r="C14" s="385" t="n"/>
      <c r="D14" s="386" t="n"/>
      <c r="E14" s="387" t="n"/>
      <c r="F14" s="388" t="n"/>
      <c r="G14" s="389" t="n"/>
      <c r="H14" s="390" t="n"/>
      <c r="I14" s="391" t="n"/>
      <c r="J14" s="392" t="inlineStr">
        <is>
          <t>Qs=</t>
        </is>
      </c>
      <c r="K14" s="393" t="inlineStr">
        <is>
          <t>a</t>
        </is>
      </c>
      <c r="L14" s="388" t="inlineStr">
        <is>
          <t>L</t>
        </is>
      </c>
      <c r="M14" s="389" t="inlineStr">
        <is>
          <t>R</t>
        </is>
      </c>
      <c r="N14" s="394" t="inlineStr">
        <is>
          <t>H</t>
        </is>
      </c>
      <c r="O14" s="395" t="inlineStr">
        <is>
          <t>D  T</t>
        </is>
      </c>
      <c r="P14" s="396" t="inlineStr">
        <is>
          <t>Ze</t>
        </is>
      </c>
      <c r="Q14" s="397" t="n"/>
    </row>
    <row r="15" ht="9.949999999999999" customFormat="1" customHeight="1" s="356">
      <c r="A15" s="398" t="n"/>
      <c r="B15" s="399" t="n"/>
      <c r="C15" s="400" t="n"/>
      <c r="D15" s="400" t="n"/>
      <c r="E15" s="401" t="n"/>
      <c r="F15" s="402" t="n"/>
      <c r="G15" s="403" t="n"/>
      <c r="H15" s="404" t="n"/>
      <c r="I15" s="405" t="n"/>
      <c r="J15" s="406" t="inlineStr">
        <is>
          <t>Qs  =</t>
        </is>
      </c>
      <c r="K15" s="407" t="n">
        <v>2</v>
      </c>
      <c r="L15" s="382">
        <f>(D10+E10)*2*G10</f>
        <v/>
      </c>
      <c r="M15" s="407" t="n">
        <v>0.9</v>
      </c>
      <c r="N15" s="407" t="n">
        <v>0.67</v>
      </c>
      <c r="O15" s="381" t="n">
        <v>23</v>
      </c>
      <c r="P15" s="382" t="n">
        <v>1.2</v>
      </c>
      <c r="Q15" s="383">
        <f>K15*L15*M15*N15*O15*P15</f>
        <v/>
      </c>
    </row>
    <row r="16" ht="9.949999999999999" customFormat="1" customHeight="1" s="356">
      <c r="A16" s="408" t="n"/>
      <c r="B16" s="409" t="n"/>
      <c r="C16" s="400" t="n"/>
      <c r="D16" s="400" t="n"/>
      <c r="E16" s="377" t="n"/>
      <c r="F16" s="256" t="n"/>
      <c r="G16" s="410" t="n"/>
      <c r="H16" s="400" t="n"/>
      <c r="I16" s="411" t="n"/>
      <c r="J16" s="400" t="n"/>
      <c r="K16" s="410" t="n"/>
      <c r="L16" s="412" t="n"/>
      <c r="M16" s="413" t="inlineStr">
        <is>
          <t xml:space="preserve">   TOPLAM ISI KAYBI =</t>
        </is>
      </c>
      <c r="N16" s="413" t="n"/>
      <c r="O16" s="414" t="n"/>
      <c r="P16" s="415" t="n"/>
      <c r="Q16" s="416">
        <f>Q13+Q15</f>
        <v/>
      </c>
    </row>
    <row r="17" ht="9.949999999999999" customFormat="1" customHeight="1" s="356">
      <c r="A17" s="417" t="n"/>
      <c r="B17" s="399" t="n"/>
      <c r="C17" s="418" t="n"/>
      <c r="D17" s="419" t="n"/>
      <c r="E17" s="419" t="n"/>
      <c r="F17" s="420" t="n"/>
      <c r="G17" s="421" t="n"/>
      <c r="H17" s="422" t="n"/>
      <c r="I17" s="420" t="n"/>
      <c r="J17" s="419" t="n"/>
      <c r="K17" s="421" t="n"/>
      <c r="L17" s="423" t="n"/>
      <c r="M17" s="424" t="n"/>
      <c r="N17" s="421" t="n"/>
      <c r="O17" s="424" t="n"/>
      <c r="P17" s="420" t="n"/>
      <c r="Q17" s="425" t="n"/>
    </row>
    <row r="18" ht="9.949999999999999" customFormat="1" customHeight="1" s="356">
      <c r="A18" s="359" t="n"/>
      <c r="B18" s="360" t="n"/>
      <c r="C18" s="360" t="n"/>
      <c r="D18" s="360" t="n"/>
      <c r="E18" s="360" t="n"/>
      <c r="F18" s="426" t="inlineStr">
        <is>
          <t>Z02</t>
        </is>
      </c>
      <c r="G18" s="362" t="n"/>
      <c r="H18" s="360" t="n"/>
      <c r="I18" s="427" t="inlineStr">
        <is>
          <t>D1 YATAK ODASI</t>
        </is>
      </c>
      <c r="J18" s="428" t="n"/>
      <c r="K18" s="360" t="inlineStr">
        <is>
          <t>20ºC</t>
        </is>
      </c>
      <c r="L18" s="429" t="n"/>
      <c r="M18" s="360" t="n"/>
      <c r="N18" s="360" t="n"/>
      <c r="O18" s="360" t="n"/>
      <c r="P18" s="429" t="n"/>
      <c r="Q18" s="430" t="n"/>
    </row>
    <row r="19" ht="9.949999999999999" customFormat="1" customHeight="1" s="356">
      <c r="A19" s="365" t="inlineStr">
        <is>
          <t>DD</t>
        </is>
      </c>
      <c r="B19" s="366" t="inlineStr">
        <is>
          <t>B</t>
        </is>
      </c>
      <c r="C19" s="367" t="n"/>
      <c r="D19" s="368" t="n">
        <v>3.12</v>
      </c>
      <c r="E19" s="368" t="n">
        <v>3</v>
      </c>
      <c r="F19" s="369">
        <f>IF(D19=0," ",D19*E19)</f>
        <v/>
      </c>
      <c r="G19" s="370" t="n">
        <v>1</v>
      </c>
      <c r="H19" s="371">
        <f>F20*G20</f>
        <v/>
      </c>
      <c r="I19" s="369">
        <f>IF(F19=" "," ",F19*G19-H19)</f>
        <v/>
      </c>
      <c r="J19" s="368" t="n">
        <v>0.4</v>
      </c>
      <c r="K19" s="370" t="n">
        <v>23</v>
      </c>
      <c r="L19" s="372">
        <f>IF(I19=" "," ",I19*J19*K19)</f>
        <v/>
      </c>
      <c r="M19" s="373" t="n">
        <v>7</v>
      </c>
      <c r="N19" s="370" t="n">
        <v>0</v>
      </c>
      <c r="O19" s="373" t="n">
        <v>0</v>
      </c>
      <c r="P19" s="369">
        <f>IF(M19=" "," ",(1+(M19+N19+O19)/100))</f>
        <v/>
      </c>
      <c r="Q19" s="374">
        <f>IF(L19=" "," ",L19*P19)</f>
        <v/>
      </c>
    </row>
    <row r="20" ht="9.949999999999999" customFormat="1" customHeight="1" s="356">
      <c r="A20" s="365" t="inlineStr">
        <is>
          <t>ÇP</t>
        </is>
      </c>
      <c r="B20" s="366" t="inlineStr">
        <is>
          <t>B</t>
        </is>
      </c>
      <c r="C20" s="367" t="n"/>
      <c r="D20" s="368" t="n">
        <v>1.5</v>
      </c>
      <c r="E20" s="368" t="n">
        <v>1.6</v>
      </c>
      <c r="F20" s="369">
        <f>IF(D20=0," ",D20*E20)</f>
        <v/>
      </c>
      <c r="G20" s="370" t="n">
        <v>1</v>
      </c>
      <c r="H20" s="371" t="n"/>
      <c r="I20" s="369">
        <f>IF(F20=" "," ",F20*G20-H20)</f>
        <v/>
      </c>
      <c r="J20" s="368" t="n">
        <v>1.8</v>
      </c>
      <c r="K20" s="370" t="n">
        <v>23</v>
      </c>
      <c r="L20" s="372">
        <f>IF(I20=" "," ",I20*J20*K20)</f>
        <v/>
      </c>
      <c r="M20" s="373" t="n">
        <v>7</v>
      </c>
      <c r="N20" s="370" t="n">
        <v>0</v>
      </c>
      <c r="O20" s="373" t="n">
        <v>0</v>
      </c>
      <c r="P20" s="369">
        <f>IF(M20=" "," ",(1+(M20+N20+O20)/100))</f>
        <v/>
      </c>
      <c r="Q20" s="374">
        <f>IF(L20=" "," ",L20*P20)</f>
        <v/>
      </c>
    </row>
    <row r="21" ht="9.949999999999999" customFormat="1" customHeight="1" s="356">
      <c r="A21" s="365" t="inlineStr">
        <is>
          <t>İD</t>
        </is>
      </c>
      <c r="B21" s="366" t="n"/>
      <c r="C21" s="367" t="n"/>
      <c r="D21" s="368" t="n">
        <v>3.06</v>
      </c>
      <c r="E21" s="368" t="n">
        <v>3</v>
      </c>
      <c r="F21" s="369">
        <f>IF(D21=0," ",D21*E21)</f>
        <v/>
      </c>
      <c r="G21" s="370" t="n">
        <v>1</v>
      </c>
      <c r="H21" s="371" t="n"/>
      <c r="I21" s="369">
        <f>IF(F21=" "," ",F21*G21-H21)</f>
        <v/>
      </c>
      <c r="J21" s="368" t="n">
        <v>0.8139999999999999</v>
      </c>
      <c r="K21" s="370" t="n">
        <v>5</v>
      </c>
      <c r="L21" s="372">
        <f>IF(I21=" "," ",I21*J21*K21)</f>
        <v/>
      </c>
      <c r="M21" s="373" t="n">
        <v>7</v>
      </c>
      <c r="N21" s="370" t="n">
        <v>0</v>
      </c>
      <c r="O21" s="373" t="n">
        <v>0</v>
      </c>
      <c r="P21" s="369">
        <f>IF(M21=" "," ",(1+(M21+N21+O21)/100))</f>
        <v/>
      </c>
      <c r="Q21" s="374">
        <f>IF(L21=" "," ",L21*P21)</f>
        <v/>
      </c>
    </row>
    <row r="22" ht="9.949999999999999" customFormat="1" customHeight="1" s="356">
      <c r="A22" s="365" t="inlineStr">
        <is>
          <t>Dö</t>
        </is>
      </c>
      <c r="B22" s="366" t="n"/>
      <c r="C22" s="367" t="n"/>
      <c r="D22" s="368" t="n">
        <v>9.640000000000001</v>
      </c>
      <c r="E22" s="368" t="n">
        <v>1</v>
      </c>
      <c r="F22" s="369">
        <f>IF(D22=0," ",D22*E22)</f>
        <v/>
      </c>
      <c r="G22" s="370" t="n">
        <v>1</v>
      </c>
      <c r="H22" s="371" t="n"/>
      <c r="I22" s="369">
        <f>IF(F22=" "," ",F22*G22-H22)</f>
        <v/>
      </c>
      <c r="J22" s="368" t="n">
        <v>0.35</v>
      </c>
      <c r="K22" s="370" t="n">
        <v>14</v>
      </c>
      <c r="L22" s="372">
        <f>IF(I22=" "," ",I22*J22*K22)</f>
        <v/>
      </c>
      <c r="M22" s="373" t="n">
        <v>7</v>
      </c>
      <c r="N22" s="370" t="n">
        <v>0</v>
      </c>
      <c r="O22" s="373" t="n">
        <v>0</v>
      </c>
      <c r="P22" s="369">
        <f>IF(M22=" "," ",(1+(M22+N22+O22)/100))</f>
        <v/>
      </c>
      <c r="Q22" s="374">
        <f>IF(L22=" "," ",L22*P22)</f>
        <v/>
      </c>
    </row>
    <row r="23" ht="9.949999999999999" customFormat="1" customHeight="1" s="356">
      <c r="A23" s="375" t="n"/>
      <c r="B23" s="376" t="n"/>
      <c r="C23" s="376" t="n"/>
      <c r="D23" s="377" t="n"/>
      <c r="E23" s="377" t="n"/>
      <c r="F23" s="378" t="n"/>
      <c r="G23" s="379" t="n"/>
      <c r="H23" s="377" t="n"/>
      <c r="I23" s="378" t="n"/>
      <c r="J23" s="377" t="n"/>
      <c r="K23" s="379" t="n"/>
      <c r="L23" s="380" t="n"/>
      <c r="M23" s="381" t="n"/>
      <c r="N23" s="381" t="n"/>
      <c r="O23" s="381" t="n"/>
      <c r="P23" s="382" t="n"/>
      <c r="Q23" s="383">
        <f>SUM(Q19:Q22)</f>
        <v/>
      </c>
    </row>
    <row r="24" ht="9.949999999999999" customFormat="1" customHeight="1" s="356">
      <c r="A24" s="384" t="n"/>
      <c r="B24" s="385" t="n"/>
      <c r="C24" s="385" t="n"/>
      <c r="D24" s="386" t="n"/>
      <c r="E24" s="387" t="n"/>
      <c r="F24" s="388" t="n"/>
      <c r="G24" s="389" t="n"/>
      <c r="H24" s="390" t="n"/>
      <c r="I24" s="391" t="n"/>
      <c r="J24" s="392" t="inlineStr">
        <is>
          <t>Qs=</t>
        </is>
      </c>
      <c r="K24" s="393" t="inlineStr">
        <is>
          <t>a</t>
        </is>
      </c>
      <c r="L24" s="388" t="inlineStr">
        <is>
          <t>L</t>
        </is>
      </c>
      <c r="M24" s="389" t="inlineStr">
        <is>
          <t>R</t>
        </is>
      </c>
      <c r="N24" s="394" t="inlineStr">
        <is>
          <t>H</t>
        </is>
      </c>
      <c r="O24" s="395" t="inlineStr">
        <is>
          <t>D  T</t>
        </is>
      </c>
      <c r="P24" s="396" t="inlineStr">
        <is>
          <t>Ze</t>
        </is>
      </c>
      <c r="Q24" s="397" t="n"/>
    </row>
    <row r="25" ht="9.949999999999999" customFormat="1" customHeight="1" s="356">
      <c r="A25" s="398" t="n"/>
      <c r="B25" s="399" t="n"/>
      <c r="C25" s="400" t="n"/>
      <c r="D25" s="400" t="n"/>
      <c r="E25" s="401" t="n"/>
      <c r="F25" s="402" t="n"/>
      <c r="G25" s="403" t="n"/>
      <c r="H25" s="404" t="n"/>
      <c r="I25" s="405" t="n"/>
      <c r="J25" s="406" t="inlineStr">
        <is>
          <t>Qs  =</t>
        </is>
      </c>
      <c r="K25" s="407" t="n">
        <v>2</v>
      </c>
      <c r="L25" s="382">
        <f>(D20+E20)*2*G20</f>
        <v/>
      </c>
      <c r="M25" s="407" t="n">
        <v>0.9</v>
      </c>
      <c r="N25" s="407" t="n">
        <v>0.67</v>
      </c>
      <c r="O25" s="381" t="n">
        <v>23</v>
      </c>
      <c r="P25" s="382" t="n">
        <v>1.2</v>
      </c>
      <c r="Q25" s="383">
        <f>K25*L25*M25*N25*O25*P25</f>
        <v/>
      </c>
    </row>
    <row r="26" ht="9.949999999999999" customFormat="1" customHeight="1" s="356">
      <c r="A26" s="408" t="n"/>
      <c r="B26" s="409" t="n"/>
      <c r="C26" s="400" t="n"/>
      <c r="D26" s="400" t="n"/>
      <c r="E26" s="377" t="n"/>
      <c r="F26" s="256" t="n"/>
      <c r="G26" s="410" t="n"/>
      <c r="H26" s="400" t="n"/>
      <c r="I26" s="411" t="n"/>
      <c r="J26" s="400" t="n"/>
      <c r="K26" s="410" t="n"/>
      <c r="L26" s="412" t="n"/>
      <c r="M26" s="413" t="inlineStr">
        <is>
          <t xml:space="preserve">   TOPLAM ISI KAYBI =</t>
        </is>
      </c>
      <c r="N26" s="413" t="n"/>
      <c r="O26" s="414" t="n"/>
      <c r="P26" s="415" t="n"/>
      <c r="Q26" s="416">
        <f>Q23+Q25</f>
        <v/>
      </c>
    </row>
    <row r="27" ht="9.949999999999999" customFormat="1" customHeight="1" s="356">
      <c r="A27" s="417" t="n"/>
      <c r="B27" s="399" t="n"/>
      <c r="C27" s="418" t="n"/>
      <c r="D27" s="419" t="n"/>
      <c r="E27" s="419" t="n"/>
      <c r="F27" s="420" t="n"/>
      <c r="G27" s="421" t="n"/>
      <c r="H27" s="422" t="n"/>
      <c r="I27" s="420" t="n"/>
      <c r="J27" s="419" t="n"/>
      <c r="K27" s="421" t="n"/>
      <c r="L27" s="423" t="n"/>
      <c r="M27" s="424" t="n"/>
      <c r="N27" s="421" t="n"/>
      <c r="O27" s="424" t="n"/>
      <c r="P27" s="420" t="n"/>
      <c r="Q27" s="431" t="n"/>
    </row>
    <row r="28" ht="9.949999999999999" customFormat="1" customHeight="1" s="356">
      <c r="A28" s="359" t="n"/>
      <c r="B28" s="360" t="n"/>
      <c r="C28" s="360" t="n"/>
      <c r="D28" s="360" t="n"/>
      <c r="E28" s="360" t="n"/>
      <c r="F28" s="426" t="inlineStr">
        <is>
          <t>Z03</t>
        </is>
      </c>
      <c r="G28" s="362" t="n"/>
      <c r="H28" s="360" t="n"/>
      <c r="I28" s="427" t="inlineStr">
        <is>
          <t>D1 ODA</t>
        </is>
      </c>
      <c r="J28" s="428" t="n"/>
      <c r="K28" s="360" t="inlineStr">
        <is>
          <t>20ºC</t>
        </is>
      </c>
      <c r="L28" s="429" t="n"/>
      <c r="M28" s="360" t="n"/>
      <c r="N28" s="360" t="n"/>
      <c r="O28" s="360" t="n"/>
      <c r="P28" s="429" t="n"/>
      <c r="Q28" s="430" t="n"/>
    </row>
    <row r="29" ht="9.949999999999999" customFormat="1" customHeight="1" s="356">
      <c r="A29" s="432" t="inlineStr">
        <is>
          <t>DD</t>
        </is>
      </c>
      <c r="B29" s="433" t="inlineStr">
        <is>
          <t>K</t>
        </is>
      </c>
      <c r="C29" s="434" t="n"/>
      <c r="D29" s="369" t="n">
        <v>3.64</v>
      </c>
      <c r="E29" s="369" t="n">
        <v>3</v>
      </c>
      <c r="F29" s="369">
        <f>IF(D29=0," ",D29*E29)</f>
        <v/>
      </c>
      <c r="G29" s="435" t="n">
        <v>1</v>
      </c>
      <c r="H29" s="436">
        <f>F30*G30</f>
        <v/>
      </c>
      <c r="I29" s="369">
        <f>IF(F29=" "," ",F29*G29-H29)</f>
        <v/>
      </c>
      <c r="J29" s="369" t="n">
        <v>0.4</v>
      </c>
      <c r="K29" s="435" t="n">
        <v>23</v>
      </c>
      <c r="L29" s="372">
        <f>IF(I29=" "," ",I29*J29*K29)</f>
        <v/>
      </c>
      <c r="M29" s="373" t="n">
        <v>7</v>
      </c>
      <c r="N29" s="370" t="n">
        <v>0</v>
      </c>
      <c r="O29" s="373" t="n">
        <v>5</v>
      </c>
      <c r="P29" s="369">
        <f>IF(M29=" "," ",(1+(M29+N29+O29)/100))</f>
        <v/>
      </c>
      <c r="Q29" s="374">
        <f>IF(L29=" "," ",L29*P29)</f>
        <v/>
      </c>
    </row>
    <row r="30" ht="9.949999999999999" customFormat="1" customHeight="1" s="437">
      <c r="A30" s="432" t="inlineStr">
        <is>
          <t>ÇP</t>
        </is>
      </c>
      <c r="B30" s="433" t="inlineStr">
        <is>
          <t>K</t>
        </is>
      </c>
      <c r="C30" s="434" t="n"/>
      <c r="D30" s="369" t="n">
        <v>1.5</v>
      </c>
      <c r="E30" s="369" t="n">
        <v>2.2</v>
      </c>
      <c r="F30" s="369">
        <f>IF(D30=0," ",D30*E30)</f>
        <v/>
      </c>
      <c r="G30" s="435" t="n">
        <v>1</v>
      </c>
      <c r="H30" s="436" t="n"/>
      <c r="I30" s="369">
        <f>IF(F30=" "," ",F30*G30-H30)</f>
        <v/>
      </c>
      <c r="J30" s="369" t="n">
        <v>1.8</v>
      </c>
      <c r="K30" s="435" t="n">
        <v>23</v>
      </c>
      <c r="L30" s="372">
        <f>IF(I30=" "," ",I30*J30*K30)</f>
        <v/>
      </c>
      <c r="M30" s="438" t="n">
        <v>7</v>
      </c>
      <c r="N30" s="435" t="n">
        <v>0</v>
      </c>
      <c r="O30" s="438" t="n">
        <v>5</v>
      </c>
      <c r="P30" s="369">
        <f>IF(M30=" "," ",(1+(M30+N30+O30)/100))</f>
        <v/>
      </c>
      <c r="Q30" s="374">
        <f>IF(L30=" "," ",L30*P30)</f>
        <v/>
      </c>
    </row>
    <row r="31" ht="9.949999999999999" customFormat="1" customHeight="1" s="437">
      <c r="A31" s="432" t="inlineStr">
        <is>
          <t>DD</t>
        </is>
      </c>
      <c r="B31" s="433" t="inlineStr">
        <is>
          <t>B</t>
        </is>
      </c>
      <c r="C31" s="434" t="n"/>
      <c r="D31" s="369" t="n">
        <v>0.8100000000000001</v>
      </c>
      <c r="E31" s="369" t="n">
        <v>3</v>
      </c>
      <c r="F31" s="369">
        <f>IF(D31=0," ",D31*E31)</f>
        <v/>
      </c>
      <c r="G31" s="435" t="n">
        <v>1</v>
      </c>
      <c r="H31" s="436" t="n"/>
      <c r="I31" s="369">
        <f>IF(F31=" "," ",F31*G31-H31)</f>
        <v/>
      </c>
      <c r="J31" s="369" t="n">
        <v>0.4</v>
      </c>
      <c r="K31" s="370" t="n">
        <v>23</v>
      </c>
      <c r="L31" s="439">
        <f>IF(I31=" "," ",I31*J31*K31)</f>
        <v/>
      </c>
      <c r="M31" s="373" t="n">
        <v>7</v>
      </c>
      <c r="N31" s="370" t="n">
        <v>0</v>
      </c>
      <c r="O31" s="373" t="n">
        <v>0</v>
      </c>
      <c r="P31" s="368">
        <f>IF(M31=" "," ",(1+(M31+N31+O31)/100))</f>
        <v/>
      </c>
      <c r="Q31" s="374">
        <f>IF(L31=" "," ",L31*P31)</f>
        <v/>
      </c>
    </row>
    <row r="32" ht="9.949999999999999" customFormat="1" customHeight="1" s="351">
      <c r="A32" s="432" t="inlineStr">
        <is>
          <t>İD</t>
        </is>
      </c>
      <c r="B32" s="433" t="n"/>
      <c r="C32" s="434" t="n"/>
      <c r="D32" s="369" t="n">
        <v>2.86</v>
      </c>
      <c r="E32" s="369" t="n">
        <v>3</v>
      </c>
      <c r="F32" s="369">
        <f>IF(D32=0," ",D32*E32)</f>
        <v/>
      </c>
      <c r="G32" s="435" t="n">
        <v>1</v>
      </c>
      <c r="H32" s="436" t="n"/>
      <c r="I32" s="369">
        <f>IF(F32=" "," ",F32*G32-H32)</f>
        <v/>
      </c>
      <c r="J32" s="369" t="n">
        <v>0.8139999999999999</v>
      </c>
      <c r="K32" s="435" t="n">
        <v>5</v>
      </c>
      <c r="L32" s="372">
        <f>IF(I32=" "," ",I32*J32*K32)</f>
        <v/>
      </c>
      <c r="M32" s="438" t="n">
        <v>7</v>
      </c>
      <c r="N32" s="435" t="n">
        <v>0</v>
      </c>
      <c r="O32" s="438" t="n">
        <v>0</v>
      </c>
      <c r="P32" s="369">
        <f>IF(M32=" "," ",(1+(M32+N32+O32)/100))</f>
        <v/>
      </c>
      <c r="Q32" s="374">
        <f>IF(L32=" "," ",L32*P32)</f>
        <v/>
      </c>
    </row>
    <row r="33" ht="9.75" customFormat="1" customHeight="1" s="356">
      <c r="A33" s="365" t="inlineStr">
        <is>
          <t>Dö</t>
        </is>
      </c>
      <c r="B33" s="366" t="n"/>
      <c r="C33" s="367" t="n"/>
      <c r="D33" s="368" t="n">
        <v>12.68</v>
      </c>
      <c r="E33" s="368" t="n">
        <v>1</v>
      </c>
      <c r="F33" s="368">
        <f>IF(D33=0," ",D33*E33)</f>
        <v/>
      </c>
      <c r="G33" s="370" t="n">
        <v>1</v>
      </c>
      <c r="H33" s="371" t="n"/>
      <c r="I33" s="368">
        <f>IF(F33=" "," ",F33*G33-H33)</f>
        <v/>
      </c>
      <c r="J33" s="369" t="n">
        <v>0.35</v>
      </c>
      <c r="K33" s="370" t="n">
        <v>14</v>
      </c>
      <c r="L33" s="439">
        <f>IF(I33=" "," ",I33*J33*K33)</f>
        <v/>
      </c>
      <c r="M33" s="373" t="n">
        <v>7</v>
      </c>
      <c r="N33" s="370" t="n">
        <v>0</v>
      </c>
      <c r="O33" s="373" t="n">
        <v>0</v>
      </c>
      <c r="P33" s="368">
        <f>IF(M33=" "," ",(1+(M33+N33+O33)/100))</f>
        <v/>
      </c>
      <c r="Q33" s="440">
        <f>IF(L33=" "," ",L33*P33)</f>
        <v/>
      </c>
    </row>
    <row r="34" ht="9.949999999999999" customFormat="1" customHeight="1" s="356">
      <c r="A34" s="375" t="n"/>
      <c r="B34" s="376" t="n"/>
      <c r="C34" s="376" t="n"/>
      <c r="D34" s="377" t="n"/>
      <c r="E34" s="377" t="n"/>
      <c r="F34" s="378" t="n"/>
      <c r="G34" s="379" t="n"/>
      <c r="H34" s="377" t="n"/>
      <c r="I34" s="378" t="n"/>
      <c r="J34" s="377" t="n"/>
      <c r="K34" s="379" t="n"/>
      <c r="L34" s="380" t="n"/>
      <c r="M34" s="381" t="n"/>
      <c r="N34" s="381" t="n"/>
      <c r="O34" s="381" t="n"/>
      <c r="P34" s="382" t="n"/>
      <c r="Q34" s="383">
        <f>SUM(Q29:Q33)</f>
        <v/>
      </c>
    </row>
    <row r="35" ht="9.949999999999999" customFormat="1" customHeight="1" s="356">
      <c r="A35" s="384" t="n"/>
      <c r="B35" s="385" t="n"/>
      <c r="C35" s="385" t="n"/>
      <c r="D35" s="386" t="n"/>
      <c r="E35" s="387" t="n"/>
      <c r="F35" s="388" t="n"/>
      <c r="G35" s="389" t="n"/>
      <c r="H35" s="390" t="n"/>
      <c r="I35" s="391" t="n"/>
      <c r="J35" s="392" t="inlineStr">
        <is>
          <t>Qs=</t>
        </is>
      </c>
      <c r="K35" s="393" t="inlineStr">
        <is>
          <t>a</t>
        </is>
      </c>
      <c r="L35" s="388" t="inlineStr">
        <is>
          <t>L</t>
        </is>
      </c>
      <c r="M35" s="389" t="inlineStr">
        <is>
          <t>R</t>
        </is>
      </c>
      <c r="N35" s="394" t="inlineStr">
        <is>
          <t>H</t>
        </is>
      </c>
      <c r="O35" s="395" t="inlineStr">
        <is>
          <t>D  T</t>
        </is>
      </c>
      <c r="P35" s="396" t="inlineStr">
        <is>
          <t>Ze</t>
        </is>
      </c>
      <c r="Q35" s="397" t="n"/>
    </row>
    <row r="36" ht="9.949999999999999" customFormat="1" customHeight="1" s="356">
      <c r="A36" s="398" t="n"/>
      <c r="B36" s="399" t="n"/>
      <c r="C36" s="400" t="n"/>
      <c r="D36" s="400" t="n"/>
      <c r="E36" s="401" t="n"/>
      <c r="F36" s="402" t="n"/>
      <c r="G36" s="403" t="n"/>
      <c r="H36" s="404" t="n"/>
      <c r="I36" s="405" t="n"/>
      <c r="J36" s="406" t="inlineStr">
        <is>
          <t>Qs  =</t>
        </is>
      </c>
      <c r="K36" s="407" t="n">
        <v>2</v>
      </c>
      <c r="L36" s="382">
        <f>(D30+E30)*2*G30</f>
        <v/>
      </c>
      <c r="M36" s="407" t="n">
        <v>0.9</v>
      </c>
      <c r="N36" s="407" t="n">
        <v>0.67</v>
      </c>
      <c r="O36" s="381" t="n">
        <v>23</v>
      </c>
      <c r="P36" s="382" t="n">
        <v>1.2</v>
      </c>
      <c r="Q36" s="383">
        <f>K36*L36*M36*N36*O36*P36</f>
        <v/>
      </c>
    </row>
    <row r="37" ht="9.949999999999999" customFormat="1" customHeight="1" s="356">
      <c r="A37" s="408" t="n"/>
      <c r="B37" s="409" t="n"/>
      <c r="C37" s="400" t="n"/>
      <c r="D37" s="400" t="n"/>
      <c r="E37" s="377" t="n"/>
      <c r="F37" s="256" t="n"/>
      <c r="G37" s="410" t="n"/>
      <c r="H37" s="400" t="n"/>
      <c r="I37" s="411" t="n"/>
      <c r="J37" s="400" t="n"/>
      <c r="K37" s="410" t="n"/>
      <c r="L37" s="412" t="n"/>
      <c r="M37" s="413" t="inlineStr">
        <is>
          <t xml:space="preserve">   TOPLAM ISI KAYBI =</t>
        </is>
      </c>
      <c r="N37" s="413" t="n"/>
      <c r="O37" s="414" t="n"/>
      <c r="P37" s="415" t="n"/>
      <c r="Q37" s="416">
        <f>Q34+Q36</f>
        <v/>
      </c>
    </row>
    <row r="38" ht="9.949999999999999" customFormat="1" customHeight="1" s="356">
      <c r="A38" s="417" t="n"/>
      <c r="B38" s="399" t="n"/>
      <c r="C38" s="418" t="n"/>
      <c r="D38" s="419" t="n"/>
      <c r="E38" s="419" t="n"/>
      <c r="F38" s="420" t="n"/>
      <c r="G38" s="421" t="n"/>
      <c r="H38" s="422" t="n"/>
      <c r="I38" s="420" t="n"/>
      <c r="J38" s="419" t="n"/>
      <c r="K38" s="421" t="n"/>
      <c r="L38" s="423" t="n"/>
      <c r="M38" s="424" t="n"/>
      <c r="N38" s="421" t="n"/>
      <c r="O38" s="424" t="n"/>
      <c r="P38" s="420" t="n"/>
      <c r="Q38" s="425" t="n"/>
    </row>
    <row r="39" ht="9.949999999999999" customFormat="1" customHeight="1" s="356">
      <c r="A39" s="359" t="n"/>
      <c r="B39" s="360" t="n"/>
      <c r="C39" s="360" t="n"/>
      <c r="D39" s="360" t="n"/>
      <c r="E39" s="360" t="n"/>
      <c r="F39" s="426" t="inlineStr">
        <is>
          <t>Z04</t>
        </is>
      </c>
      <c r="G39" s="362" t="n"/>
      <c r="H39" s="360" t="n"/>
      <c r="I39" s="427" t="inlineStr">
        <is>
          <t>D1 SALON</t>
        </is>
      </c>
      <c r="J39" s="428" t="n"/>
      <c r="K39" s="360" t="inlineStr">
        <is>
          <t>20ºC</t>
        </is>
      </c>
      <c r="L39" s="429" t="n"/>
      <c r="M39" s="360" t="n"/>
      <c r="N39" s="360" t="n"/>
      <c r="O39" s="360" t="n"/>
      <c r="P39" s="429" t="n"/>
      <c r="Q39" s="430" t="n"/>
    </row>
    <row r="40" ht="9.949999999999999" customFormat="1" customHeight="1" s="356">
      <c r="A40" s="365" t="inlineStr">
        <is>
          <t>DD</t>
        </is>
      </c>
      <c r="B40" s="366" t="inlineStr">
        <is>
          <t>D</t>
        </is>
      </c>
      <c r="C40" s="367" t="n"/>
      <c r="D40" s="368" t="n">
        <v>1.16</v>
      </c>
      <c r="E40" s="368" t="n">
        <v>3</v>
      </c>
      <c r="F40" s="369">
        <f>IF(D40=0," ",D40*E40)</f>
        <v/>
      </c>
      <c r="G40" s="370" t="n">
        <v>1</v>
      </c>
      <c r="H40" s="371" t="n"/>
      <c r="I40" s="369">
        <f>IF(F40=" "," ",F40*G40-H40)</f>
        <v/>
      </c>
      <c r="J40" s="368" t="n">
        <v>0.4</v>
      </c>
      <c r="K40" s="370" t="n">
        <v>23</v>
      </c>
      <c r="L40" s="372">
        <f>IF(I40=" "," ",I40*J40*K40)</f>
        <v/>
      </c>
      <c r="M40" s="373" t="n">
        <v>7</v>
      </c>
      <c r="N40" s="370" t="n">
        <v>0</v>
      </c>
      <c r="O40" s="373" t="n">
        <v>0</v>
      </c>
      <c r="P40" s="369">
        <f>IF(M40=" "," ",(1+(M40+N40+O40)/100))</f>
        <v/>
      </c>
      <c r="Q40" s="374">
        <f>IF(L40=" "," ",L40*P40)</f>
        <v/>
      </c>
    </row>
    <row r="41" ht="9.949999999999999" customFormat="1" customHeight="1" s="356">
      <c r="A41" s="432" t="inlineStr">
        <is>
          <t>DD</t>
        </is>
      </c>
      <c r="B41" s="433" t="inlineStr">
        <is>
          <t>G</t>
        </is>
      </c>
      <c r="C41" s="434" t="n"/>
      <c r="D41" s="369" t="n">
        <v>3.28</v>
      </c>
      <c r="E41" s="369" t="n">
        <v>3</v>
      </c>
      <c r="F41" s="369">
        <f>IF(D41=0," ",D41*E41)</f>
        <v/>
      </c>
      <c r="G41" s="435" t="n">
        <v>1</v>
      </c>
      <c r="H41" s="436">
        <f>F42*G42</f>
        <v/>
      </c>
      <c r="I41" s="369">
        <f>IF(F41=" "," ",F41*G41-H41)</f>
        <v/>
      </c>
      <c r="J41" s="369" t="n">
        <v>0.4</v>
      </c>
      <c r="K41" s="435" t="n">
        <v>23</v>
      </c>
      <c r="L41" s="372">
        <f>IF(I41=" "," ",I41*J41*K41)</f>
        <v/>
      </c>
      <c r="M41" s="373" t="n">
        <v>7</v>
      </c>
      <c r="N41" s="370" t="n">
        <v>0</v>
      </c>
      <c r="O41" s="373" t="n">
        <v>-5</v>
      </c>
      <c r="P41" s="369">
        <f>IF(M41=" "," ",(1+(M41+N41+O41)/100))</f>
        <v/>
      </c>
      <c r="Q41" s="374">
        <f>IF(L41=" "," ",L41*P41)</f>
        <v/>
      </c>
    </row>
    <row r="42" ht="9.949999999999999" customFormat="1" customHeight="1" s="437">
      <c r="A42" s="432" t="inlineStr">
        <is>
          <t>ÇP</t>
        </is>
      </c>
      <c r="B42" s="433" t="inlineStr">
        <is>
          <t>G</t>
        </is>
      </c>
      <c r="C42" s="434" t="n"/>
      <c r="D42" s="369" t="n">
        <v>2</v>
      </c>
      <c r="E42" s="369" t="n">
        <v>2.2</v>
      </c>
      <c r="F42" s="369">
        <f>IF(D42=0," ",D42*E42)</f>
        <v/>
      </c>
      <c r="G42" s="435" t="n">
        <v>1</v>
      </c>
      <c r="H42" s="436" t="n"/>
      <c r="I42" s="369">
        <f>IF(F42=" "," ",F42*G42-H42)</f>
        <v/>
      </c>
      <c r="J42" s="369" t="n">
        <v>1.8</v>
      </c>
      <c r="K42" s="435" t="n">
        <v>23</v>
      </c>
      <c r="L42" s="372">
        <f>IF(I42=" "," ",I42*J42*K42)</f>
        <v/>
      </c>
      <c r="M42" s="438" t="n">
        <v>7</v>
      </c>
      <c r="N42" s="435" t="n">
        <v>0</v>
      </c>
      <c r="O42" s="438" t="n">
        <v>-5</v>
      </c>
      <c r="P42" s="369">
        <f>IF(M42=" "," ",(1+(M42+N42+O42)/100))</f>
        <v/>
      </c>
      <c r="Q42" s="374">
        <f>IF(L42=" "," ",L42*P42)</f>
        <v/>
      </c>
    </row>
    <row r="43" ht="9.949999999999999" customFormat="1" customHeight="1" s="437">
      <c r="A43" s="432" t="inlineStr">
        <is>
          <t>DD</t>
        </is>
      </c>
      <c r="B43" s="433" t="inlineStr">
        <is>
          <t>B</t>
        </is>
      </c>
      <c r="C43" s="434" t="n"/>
      <c r="D43" s="369" t="n">
        <v>6.14</v>
      </c>
      <c r="E43" s="369" t="n">
        <v>3</v>
      </c>
      <c r="F43" s="369">
        <f>IF(D43=0," ",D43*E43)</f>
        <v/>
      </c>
      <c r="G43" s="435" t="n">
        <v>1</v>
      </c>
      <c r="H43" s="436">
        <f>F44*G44</f>
        <v/>
      </c>
      <c r="I43" s="369">
        <f>IF(F43=" "," ",F43*G43-H43)</f>
        <v/>
      </c>
      <c r="J43" s="369" t="n">
        <v>0.4</v>
      </c>
      <c r="K43" s="370" t="n">
        <v>23</v>
      </c>
      <c r="L43" s="439">
        <f>IF(I43=" "," ",I43*J43*K43)</f>
        <v/>
      </c>
      <c r="M43" s="373" t="n">
        <v>7</v>
      </c>
      <c r="N43" s="370" t="n">
        <v>0</v>
      </c>
      <c r="O43" s="373" t="n">
        <v>0</v>
      </c>
      <c r="P43" s="368">
        <f>IF(M43=" "," ",(1+(M43+N43+O43)/100))</f>
        <v/>
      </c>
      <c r="Q43" s="374">
        <f>IF(L43=" "," ",L43*P43)</f>
        <v/>
      </c>
    </row>
    <row r="44" ht="9.949999999999999" customFormat="1" customHeight="1" s="351">
      <c r="A44" s="432" t="inlineStr">
        <is>
          <t>ÇP</t>
        </is>
      </c>
      <c r="B44" s="433" t="inlineStr">
        <is>
          <t>B</t>
        </is>
      </c>
      <c r="C44" s="434" t="n"/>
      <c r="D44" s="369" t="n">
        <v>1.5</v>
      </c>
      <c r="E44" s="369" t="n">
        <v>2.2</v>
      </c>
      <c r="F44" s="369">
        <f>IF(D44=0," ",D44*E44)</f>
        <v/>
      </c>
      <c r="G44" s="435" t="n">
        <v>1</v>
      </c>
      <c r="H44" s="436" t="n"/>
      <c r="I44" s="369">
        <f>IF(F44=" "," ",F44*G44-H44)</f>
        <v/>
      </c>
      <c r="J44" s="369" t="n">
        <v>1.8</v>
      </c>
      <c r="K44" s="435" t="n">
        <v>23</v>
      </c>
      <c r="L44" s="372">
        <f>IF(I44=" "," ",I44*J44*K44)</f>
        <v/>
      </c>
      <c r="M44" s="438" t="n">
        <v>7</v>
      </c>
      <c r="N44" s="435" t="n">
        <v>0</v>
      </c>
      <c r="O44" s="438" t="n">
        <v>0</v>
      </c>
      <c r="P44" s="369">
        <f>IF(M44=" "," ",(1+(M44+N44+O44)/100))</f>
        <v/>
      </c>
      <c r="Q44" s="374">
        <f>IF(L44=" "," ",L44*P44)</f>
        <v/>
      </c>
    </row>
    <row r="45" ht="9.949999999999999" customFormat="1" customHeight="1" s="356">
      <c r="A45" s="365" t="inlineStr">
        <is>
          <t>Dö</t>
        </is>
      </c>
      <c r="B45" s="366" t="n"/>
      <c r="C45" s="367" t="n"/>
      <c r="D45" s="368" t="n">
        <v>22.41</v>
      </c>
      <c r="E45" s="368" t="n">
        <v>1</v>
      </c>
      <c r="F45" s="368">
        <f>IF(D45=0," ",D45*E45)</f>
        <v/>
      </c>
      <c r="G45" s="370" t="n">
        <v>1</v>
      </c>
      <c r="H45" s="371" t="n"/>
      <c r="I45" s="368">
        <f>IF(F45=" "," ",F45*G45-H45)</f>
        <v/>
      </c>
      <c r="J45" s="369" t="n">
        <v>0.35</v>
      </c>
      <c r="K45" s="370" t="n">
        <v>14</v>
      </c>
      <c r="L45" s="439">
        <f>IF(I45=" "," ",I45*J45*K45)</f>
        <v/>
      </c>
      <c r="M45" s="373" t="n">
        <v>7</v>
      </c>
      <c r="N45" s="370" t="n">
        <v>0</v>
      </c>
      <c r="O45" s="373" t="n">
        <v>0</v>
      </c>
      <c r="P45" s="368">
        <f>IF(M45=" "," ",(1+(M45+N45+O45)/100))</f>
        <v/>
      </c>
      <c r="Q45" s="440">
        <f>IF(L45=" "," ",L45*P45)</f>
        <v/>
      </c>
    </row>
    <row r="46" ht="9.949999999999999" customFormat="1" customHeight="1" s="356">
      <c r="A46" s="375" t="n"/>
      <c r="B46" s="376" t="n"/>
      <c r="C46" s="376" t="n"/>
      <c r="D46" s="377" t="n"/>
      <c r="E46" s="377" t="n"/>
      <c r="F46" s="378" t="n"/>
      <c r="G46" s="379" t="n"/>
      <c r="H46" s="377" t="n"/>
      <c r="I46" s="378" t="n"/>
      <c r="J46" s="377" t="n"/>
      <c r="K46" s="379" t="n"/>
      <c r="L46" s="380" t="n"/>
      <c r="M46" s="381" t="n"/>
      <c r="N46" s="381" t="n"/>
      <c r="O46" s="381" t="n"/>
      <c r="P46" s="382" t="n"/>
      <c r="Q46" s="383">
        <f>SUM(Q40:Q45)</f>
        <v/>
      </c>
    </row>
    <row r="47" ht="9.949999999999999" customFormat="1" customHeight="1" s="356">
      <c r="A47" s="384" t="n"/>
      <c r="B47" s="385" t="n"/>
      <c r="C47" s="385" t="n"/>
      <c r="D47" s="386" t="n"/>
      <c r="E47" s="387" t="n"/>
      <c r="F47" s="388" t="n"/>
      <c r="G47" s="389" t="n"/>
      <c r="H47" s="390" t="n"/>
      <c r="I47" s="391" t="n"/>
      <c r="J47" s="392" t="inlineStr">
        <is>
          <t>Qs=</t>
        </is>
      </c>
      <c r="K47" s="393" t="inlineStr">
        <is>
          <t>a</t>
        </is>
      </c>
      <c r="L47" s="388" t="inlineStr">
        <is>
          <t>L</t>
        </is>
      </c>
      <c r="M47" s="389" t="inlineStr">
        <is>
          <t>R</t>
        </is>
      </c>
      <c r="N47" s="394" t="inlineStr">
        <is>
          <t>H</t>
        </is>
      </c>
      <c r="O47" s="395" t="inlineStr">
        <is>
          <t>D  T</t>
        </is>
      </c>
      <c r="P47" s="396" t="inlineStr">
        <is>
          <t>Ze</t>
        </is>
      </c>
      <c r="Q47" s="397" t="n"/>
    </row>
    <row r="48" ht="9.949999999999999" customFormat="1" customHeight="1" s="356">
      <c r="A48" s="398" t="n"/>
      <c r="B48" s="399" t="n"/>
      <c r="C48" s="400" t="n"/>
      <c r="D48" s="400" t="n"/>
      <c r="E48" s="401" t="n"/>
      <c r="F48" s="402" t="n"/>
      <c r="G48" s="403" t="n"/>
      <c r="H48" s="404" t="n"/>
      <c r="I48" s="405" t="n"/>
      <c r="J48" s="406" t="inlineStr">
        <is>
          <t>Qs  =</t>
        </is>
      </c>
      <c r="K48" s="407" t="n">
        <v>2</v>
      </c>
      <c r="L48" s="382">
        <f>(D42+E42)*2*G42+(D44+E44)*2*G44</f>
        <v/>
      </c>
      <c r="M48" s="407" t="n">
        <v>0.9</v>
      </c>
      <c r="N48" s="407" t="n">
        <v>0.67</v>
      </c>
      <c r="O48" s="381" t="n">
        <v>23</v>
      </c>
      <c r="P48" s="382" t="n">
        <v>1.2</v>
      </c>
      <c r="Q48" s="383">
        <f>K48*L48*M48*N48*O48*P48</f>
        <v/>
      </c>
    </row>
    <row r="49" ht="9.949999999999999" customFormat="1" customHeight="1" s="356">
      <c r="A49" s="408" t="n"/>
      <c r="B49" s="409" t="n"/>
      <c r="C49" s="400" t="n"/>
      <c r="D49" s="400" t="n"/>
      <c r="E49" s="377" t="n"/>
      <c r="F49" s="256" t="n"/>
      <c r="G49" s="410" t="n"/>
      <c r="H49" s="400" t="n"/>
      <c r="I49" s="411" t="n"/>
      <c r="J49" s="400" t="n"/>
      <c r="K49" s="410" t="n"/>
      <c r="L49" s="412" t="n"/>
      <c r="M49" s="413" t="inlineStr">
        <is>
          <t xml:space="preserve">   TOPLAM ISI KAYBI =</t>
        </is>
      </c>
      <c r="N49" s="413" t="n"/>
      <c r="O49" s="414" t="n"/>
      <c r="P49" s="415" t="n"/>
      <c r="Q49" s="416">
        <f>Q46+Q48</f>
        <v/>
      </c>
    </row>
    <row r="50" ht="9.949999999999999" customFormat="1" customHeight="1" s="356">
      <c r="A50" s="417" t="n"/>
      <c r="B50" s="399" t="n"/>
      <c r="C50" s="418" t="n"/>
      <c r="D50" s="419" t="n"/>
      <c r="E50" s="419" t="n"/>
      <c r="F50" s="420" t="n"/>
      <c r="G50" s="421" t="n"/>
      <c r="H50" s="422" t="n"/>
      <c r="I50" s="420" t="n"/>
      <c r="J50" s="419" t="n"/>
      <c r="K50" s="421" t="n"/>
      <c r="L50" s="423" t="n"/>
      <c r="M50" s="424" t="n"/>
      <c r="N50" s="421" t="n"/>
      <c r="O50" s="424" t="n"/>
      <c r="P50" s="420" t="n"/>
      <c r="Q50" s="425" t="n"/>
    </row>
    <row r="51" ht="9.949999999999999" customFormat="1" customHeight="1" s="356">
      <c r="A51" s="359" t="n"/>
      <c r="B51" s="360" t="n"/>
      <c r="C51" s="360" t="n"/>
      <c r="D51" s="360" t="n"/>
      <c r="E51" s="360" t="n"/>
      <c r="F51" s="426" t="inlineStr">
        <is>
          <t>Z05</t>
        </is>
      </c>
      <c r="G51" s="362" t="n"/>
      <c r="H51" s="360" t="n"/>
      <c r="I51" s="427" t="inlineStr">
        <is>
          <t>D1 MUTFAK</t>
        </is>
      </c>
      <c r="J51" s="428" t="n"/>
      <c r="K51" s="360" t="inlineStr">
        <is>
          <t>20ºC</t>
        </is>
      </c>
      <c r="L51" s="429" t="n"/>
      <c r="M51" s="360" t="n"/>
      <c r="N51" s="360" t="n"/>
      <c r="O51" s="360" t="n"/>
      <c r="P51" s="429" t="n"/>
      <c r="Q51" s="430" t="n"/>
    </row>
    <row r="52" ht="9.949999999999999" customFormat="1" customHeight="1" s="356">
      <c r="A52" s="365" t="inlineStr">
        <is>
          <t>DD</t>
        </is>
      </c>
      <c r="B52" s="366" t="inlineStr">
        <is>
          <t>G</t>
        </is>
      </c>
      <c r="C52" s="367" t="n"/>
      <c r="D52" s="368" t="n">
        <v>2.7</v>
      </c>
      <c r="E52" s="368" t="n">
        <v>3</v>
      </c>
      <c r="F52" s="369">
        <f>IF(D52=0," ",D52*E52)</f>
        <v/>
      </c>
      <c r="G52" s="370" t="n">
        <v>1</v>
      </c>
      <c r="H52" s="371" t="n"/>
      <c r="I52" s="369">
        <f>IF(F52=" "," ",F52*G52-H52)</f>
        <v/>
      </c>
      <c r="J52" s="368" t="n">
        <v>0.4</v>
      </c>
      <c r="K52" s="370" t="n">
        <v>23</v>
      </c>
      <c r="L52" s="372">
        <f>IF(I52=" "," ",I52*J52*K52)</f>
        <v/>
      </c>
      <c r="M52" s="373" t="n">
        <v>7</v>
      </c>
      <c r="N52" s="370" t="n">
        <v>0</v>
      </c>
      <c r="O52" s="373" t="n">
        <v>-5</v>
      </c>
      <c r="P52" s="369">
        <f>IF(M52=" "," ",(1+(M52+N52+O52)/100))</f>
        <v/>
      </c>
      <c r="Q52" s="374">
        <f>IF(L52=" "," ",L52*P52)</f>
        <v/>
      </c>
    </row>
    <row r="53" ht="9.949999999999999" customFormat="1" customHeight="1" s="356">
      <c r="A53" s="365" t="inlineStr">
        <is>
          <t>İD</t>
        </is>
      </c>
      <c r="B53" s="366" t="n"/>
      <c r="C53" s="367" t="n"/>
      <c r="D53" s="368" t="n">
        <v>3.4</v>
      </c>
      <c r="E53" s="368" t="n">
        <v>3</v>
      </c>
      <c r="F53" s="369">
        <f>IF(D53=0," ",D53*E53)</f>
        <v/>
      </c>
      <c r="G53" s="370" t="n">
        <v>1</v>
      </c>
      <c r="H53" s="371" t="n"/>
      <c r="I53" s="369">
        <f>IF(F53=" "," ",F53*G53-H53)</f>
        <v/>
      </c>
      <c r="J53" s="368" t="n">
        <v>0.8139999999999999</v>
      </c>
      <c r="K53" s="370" t="n">
        <v>10</v>
      </c>
      <c r="L53" s="372">
        <f>IF(I53=" "," ",I53*J53*K53)</f>
        <v/>
      </c>
      <c r="M53" s="373" t="n">
        <v>7</v>
      </c>
      <c r="N53" s="370" t="n">
        <v>0</v>
      </c>
      <c r="O53" s="373" t="n">
        <v>0</v>
      </c>
      <c r="P53" s="369">
        <f>IF(M53=" "," ",(1+(M53+N53+O53)/100))</f>
        <v/>
      </c>
      <c r="Q53" s="374">
        <f>IF(L53=" "," ",L53*P53)</f>
        <v/>
      </c>
    </row>
    <row r="54" ht="9.949999999999999" customFormat="1" customHeight="1" s="356">
      <c r="A54" s="432" t="inlineStr">
        <is>
          <t>İD</t>
        </is>
      </c>
      <c r="B54" s="433" t="n"/>
      <c r="C54" s="434" t="n"/>
      <c r="D54" s="369" t="n">
        <v>2.8</v>
      </c>
      <c r="E54" s="369" t="n">
        <v>3</v>
      </c>
      <c r="F54" s="369">
        <f>IF(D54=0," ",D54*E54)</f>
        <v/>
      </c>
      <c r="G54" s="435" t="n">
        <v>1</v>
      </c>
      <c r="H54" s="436" t="n"/>
      <c r="I54" s="369">
        <f>IF(F54=" "," ",F54*G54-H54)</f>
        <v/>
      </c>
      <c r="J54" s="369" t="n">
        <v>0.8139999999999999</v>
      </c>
      <c r="K54" s="435" t="n">
        <v>5</v>
      </c>
      <c r="L54" s="372">
        <f>IF(I54=" "," ",I54*J54*K54)</f>
        <v/>
      </c>
      <c r="M54" s="373" t="n">
        <v>7</v>
      </c>
      <c r="N54" s="370" t="n">
        <v>0</v>
      </c>
      <c r="O54" s="373" t="n">
        <v>0</v>
      </c>
      <c r="P54" s="369">
        <f>IF(M54=" "," ",(1+(M54+N54+O54)/100))</f>
        <v/>
      </c>
      <c r="Q54" s="374">
        <f>IF(L54=" "," ",L54*P54)</f>
        <v/>
      </c>
    </row>
    <row r="55" ht="9.949999999999999" customFormat="1" customHeight="1" s="437">
      <c r="A55" s="432" t="inlineStr">
        <is>
          <t>Dö</t>
        </is>
      </c>
      <c r="B55" s="433" t="n"/>
      <c r="C55" s="434" t="n"/>
      <c r="D55" s="369" t="n">
        <v>9.52</v>
      </c>
      <c r="E55" s="369" t="n">
        <v>1</v>
      </c>
      <c r="F55" s="369">
        <f>IF(D55=0," ",D55*E55)</f>
        <v/>
      </c>
      <c r="G55" s="435" t="n">
        <v>1</v>
      </c>
      <c r="H55" s="436" t="n"/>
      <c r="I55" s="369">
        <f>IF(F55=" "," ",F55*G55-H55)</f>
        <v/>
      </c>
      <c r="J55" s="369" t="n">
        <v>0.35</v>
      </c>
      <c r="K55" s="435" t="n">
        <v>14</v>
      </c>
      <c r="L55" s="372">
        <f>IF(I55=" "," ",I55*J55*K55)</f>
        <v/>
      </c>
      <c r="M55" s="438" t="n">
        <v>7</v>
      </c>
      <c r="N55" s="435" t="n">
        <v>0</v>
      </c>
      <c r="O55" s="438" t="n">
        <v>0</v>
      </c>
      <c r="P55" s="369">
        <f>IF(M55=" "," ",(1+(M55+N55+O55)/100))</f>
        <v/>
      </c>
      <c r="Q55" s="374">
        <f>IF(L55=" "," ",L55*P55)</f>
        <v/>
      </c>
    </row>
    <row r="56" ht="9.949999999999999" customFormat="1" customHeight="1" s="437">
      <c r="A56" s="441" t="n"/>
      <c r="B56" s="442" t="n"/>
      <c r="C56" s="442" t="n"/>
      <c r="D56" s="378" t="n"/>
      <c r="E56" s="378" t="n"/>
      <c r="F56" s="378" t="n"/>
      <c r="G56" s="443" t="n"/>
      <c r="H56" s="378" t="n"/>
      <c r="I56" s="378" t="n"/>
      <c r="J56" s="378" t="n"/>
      <c r="K56" s="379" t="n"/>
      <c r="L56" s="444" t="n"/>
      <c r="M56" s="381" t="n"/>
      <c r="N56" s="381" t="n"/>
      <c r="O56" s="381" t="n"/>
      <c r="P56" s="407" t="n"/>
      <c r="Q56" s="383">
        <f>SUM(Q52:Q55)</f>
        <v/>
      </c>
    </row>
    <row r="57" ht="9.949999999999999" customFormat="1" customHeight="1" s="351">
      <c r="A57" s="445" t="n"/>
      <c r="B57" s="446" t="n"/>
      <c r="C57" s="446" t="n"/>
      <c r="D57" s="447" t="n"/>
      <c r="E57" s="448" t="n"/>
      <c r="F57" s="388" t="n"/>
      <c r="G57" s="396" t="n"/>
      <c r="H57" s="388" t="n"/>
      <c r="I57" s="391" t="n"/>
      <c r="J57" s="449" t="inlineStr">
        <is>
          <t>Qs=</t>
        </is>
      </c>
      <c r="K57" s="391" t="inlineStr">
        <is>
          <t>a</t>
        </is>
      </c>
      <c r="L57" s="388" t="inlineStr">
        <is>
          <t>L</t>
        </is>
      </c>
      <c r="M57" s="396" t="inlineStr">
        <is>
          <t>R</t>
        </is>
      </c>
      <c r="N57" s="450" t="inlineStr">
        <is>
          <t>H</t>
        </is>
      </c>
      <c r="O57" s="451" t="inlineStr">
        <is>
          <t>D  T</t>
        </is>
      </c>
      <c r="P57" s="396" t="inlineStr">
        <is>
          <t>Ze</t>
        </is>
      </c>
      <c r="Q57" s="397" t="n"/>
    </row>
    <row r="58" ht="9.949999999999999" customFormat="1" customHeight="1" s="356">
      <c r="A58" s="398" t="n"/>
      <c r="B58" s="452" t="n"/>
      <c r="C58" s="400" t="n"/>
      <c r="D58" s="400" t="n"/>
      <c r="E58" s="401" t="n"/>
      <c r="F58" s="453" t="n"/>
      <c r="G58" s="403" t="n"/>
      <c r="H58" s="404" t="n"/>
      <c r="I58" s="454" t="n"/>
      <c r="J58" s="455" t="inlineStr">
        <is>
          <t>Qs  =</t>
        </is>
      </c>
      <c r="K58" s="407" t="n">
        <v>2</v>
      </c>
      <c r="L58" s="407" t="n">
        <v>0</v>
      </c>
      <c r="M58" s="407" t="n">
        <v>0.9</v>
      </c>
      <c r="N58" s="407" t="n">
        <v>0.67</v>
      </c>
      <c r="O58" s="381" t="n">
        <v>23</v>
      </c>
      <c r="P58" s="407" t="n">
        <v>1.2</v>
      </c>
      <c r="Q58" s="456">
        <f>K58*L58*M58*N58*O58*P58</f>
        <v/>
      </c>
    </row>
    <row r="59" ht="9.949999999999999" customFormat="1" customHeight="1" s="356">
      <c r="A59" s="408" t="n"/>
      <c r="B59" s="409" t="n"/>
      <c r="C59" s="400" t="n"/>
      <c r="D59" s="400" t="n"/>
      <c r="E59" s="377" t="n"/>
      <c r="F59" s="256" t="n"/>
      <c r="G59" s="410" t="n"/>
      <c r="H59" s="400" t="n"/>
      <c r="I59" s="411" t="n"/>
      <c r="J59" s="400" t="n"/>
      <c r="K59" s="410" t="n"/>
      <c r="L59" s="412" t="n"/>
      <c r="M59" s="413" t="inlineStr">
        <is>
          <t xml:space="preserve">   TOPLAM ISI KAYBI =</t>
        </is>
      </c>
      <c r="N59" s="413" t="n"/>
      <c r="O59" s="414" t="n"/>
      <c r="P59" s="415" t="n"/>
      <c r="Q59" s="416">
        <f>Q56+Q58</f>
        <v/>
      </c>
    </row>
    <row r="60" ht="9.949999999999999" customFormat="1" customHeight="1" s="356">
      <c r="A60" s="417" t="n"/>
      <c r="B60" s="399" t="n"/>
      <c r="C60" s="418" t="n"/>
      <c r="D60" s="419" t="n"/>
      <c r="E60" s="419" t="n"/>
      <c r="F60" s="420" t="n"/>
      <c r="G60" s="421" t="n"/>
      <c r="H60" s="422" t="n"/>
      <c r="I60" s="420" t="n"/>
      <c r="J60" s="419" t="n"/>
      <c r="K60" s="421" t="n"/>
      <c r="L60" s="423" t="n"/>
      <c r="M60" s="424" t="n"/>
      <c r="N60" s="421" t="n"/>
      <c r="O60" s="424" t="n"/>
      <c r="P60" s="420" t="n"/>
      <c r="Q60" s="425" t="n"/>
    </row>
    <row r="61" ht="9.949999999999999" customFormat="1" customHeight="1" s="356">
      <c r="A61" s="359" t="n"/>
      <c r="B61" s="360" t="n"/>
      <c r="C61" s="360" t="n"/>
      <c r="D61" s="360" t="n"/>
      <c r="E61" s="360" t="n"/>
      <c r="F61" s="426" t="inlineStr">
        <is>
          <t>Z06</t>
        </is>
      </c>
      <c r="G61" s="362" t="n"/>
      <c r="H61" s="360" t="n"/>
      <c r="I61" s="427" t="inlineStr">
        <is>
          <t>D1 BANYO-WC</t>
        </is>
      </c>
      <c r="J61" s="428" t="n"/>
      <c r="K61" s="360" t="inlineStr">
        <is>
          <t>24ºC</t>
        </is>
      </c>
      <c r="L61" s="429" t="n"/>
      <c r="M61" s="360" t="n"/>
      <c r="N61" s="360" t="n"/>
      <c r="O61" s="360" t="n"/>
      <c r="P61" s="429" t="n"/>
      <c r="Q61" s="430" t="n"/>
    </row>
    <row r="62" ht="9.949999999999999" customFormat="1" customHeight="1" s="356">
      <c r="A62" s="365" t="inlineStr">
        <is>
          <t>İD</t>
        </is>
      </c>
      <c r="B62" s="366" t="n"/>
      <c r="C62" s="367" t="n"/>
      <c r="D62" s="368" t="n">
        <v>1.82</v>
      </c>
      <c r="E62" s="368" t="n">
        <v>3</v>
      </c>
      <c r="F62" s="369">
        <f>IF(D62=0," ",D62*E62)</f>
        <v/>
      </c>
      <c r="G62" s="370" t="n">
        <v>1</v>
      </c>
      <c r="H62" s="371" t="n"/>
      <c r="I62" s="369">
        <f>IF(F62=" "," ",F62*G62-H62)</f>
        <v/>
      </c>
      <c r="J62" s="368" t="n">
        <v>0.8139999999999999</v>
      </c>
      <c r="K62" s="370" t="n">
        <v>14</v>
      </c>
      <c r="L62" s="372">
        <f>IF(I62=" "," ",I62*J62*K62)</f>
        <v/>
      </c>
      <c r="M62" s="373" t="n">
        <v>7</v>
      </c>
      <c r="N62" s="370" t="n">
        <v>0</v>
      </c>
      <c r="O62" s="373" t="n">
        <v>0</v>
      </c>
      <c r="P62" s="369">
        <f>IF(M62=" "," ",(1+(M62+N62+O62)/100))</f>
        <v/>
      </c>
      <c r="Q62" s="374">
        <f>IF(L62=" "," ",L62*P62)</f>
        <v/>
      </c>
    </row>
    <row r="63" ht="9.949999999999999" customFormat="1" customHeight="1" s="356">
      <c r="A63" s="365" t="inlineStr">
        <is>
          <t>İD</t>
        </is>
      </c>
      <c r="B63" s="366" t="n"/>
      <c r="C63" s="367" t="n"/>
      <c r="D63" s="368" t="n">
        <v>5.58</v>
      </c>
      <c r="E63" s="368" t="n">
        <v>3</v>
      </c>
      <c r="F63" s="369">
        <f>IF(D63=0," ",D63*E63)</f>
        <v/>
      </c>
      <c r="G63" s="370" t="n">
        <v>1</v>
      </c>
      <c r="H63" s="371" t="n"/>
      <c r="I63" s="369">
        <f>IF(F63=" "," ",F63*G63-H63)</f>
        <v/>
      </c>
      <c r="J63" s="368" t="n">
        <v>0.8139999999999999</v>
      </c>
      <c r="K63" s="370" t="n">
        <v>9</v>
      </c>
      <c r="L63" s="372">
        <f>IF(I63=" "," ",I63*J63*K63)</f>
        <v/>
      </c>
      <c r="M63" s="373" t="n">
        <v>7</v>
      </c>
      <c r="N63" s="370" t="n">
        <v>0</v>
      </c>
      <c r="O63" s="373" t="n">
        <v>0</v>
      </c>
      <c r="P63" s="369">
        <f>IF(M63=" "," ",(1+(M63+N63+O63)/100))</f>
        <v/>
      </c>
      <c r="Q63" s="374">
        <f>IF(L63=" "," ",L63*P63)</f>
        <v/>
      </c>
    </row>
    <row r="64" ht="9.949999999999999" customFormat="1" customHeight="1" s="356">
      <c r="A64" s="365" t="inlineStr">
        <is>
          <t>Dö</t>
        </is>
      </c>
      <c r="B64" s="366" t="n"/>
      <c r="C64" s="367" t="n"/>
      <c r="D64" s="368" t="n">
        <v>4.06</v>
      </c>
      <c r="E64" s="368" t="n">
        <v>1</v>
      </c>
      <c r="F64" s="369">
        <f>IF(D64=0," ",D64*E64)</f>
        <v/>
      </c>
      <c r="G64" s="370" t="n">
        <v>1</v>
      </c>
      <c r="H64" s="371" t="n"/>
      <c r="I64" s="369">
        <f>IF(F64=" "," ",F64*G64-H64)</f>
        <v/>
      </c>
      <c r="J64" s="368" t="n">
        <v>0.35</v>
      </c>
      <c r="K64" s="370" t="n">
        <v>18</v>
      </c>
      <c r="L64" s="372">
        <f>IF(I64=" "," ",I64*J64*K64)</f>
        <v/>
      </c>
      <c r="M64" s="373" t="n">
        <v>7</v>
      </c>
      <c r="N64" s="370" t="n">
        <v>0</v>
      </c>
      <c r="O64" s="373" t="n">
        <v>0</v>
      </c>
      <c r="P64" s="369">
        <f>IF(M64=" "," ",(1+(M64+N64+O64)/100))</f>
        <v/>
      </c>
      <c r="Q64" s="374">
        <f>IF(L64=" "," ",L64*P64)</f>
        <v/>
      </c>
    </row>
    <row r="65" ht="9.949999999999999" customFormat="1" customHeight="1" s="356">
      <c r="A65" s="375" t="n"/>
      <c r="B65" s="376" t="n"/>
      <c r="C65" s="376" t="n"/>
      <c r="D65" s="377" t="n"/>
      <c r="E65" s="377" t="n"/>
      <c r="F65" s="378" t="n"/>
      <c r="G65" s="379" t="n"/>
      <c r="H65" s="377" t="n"/>
      <c r="I65" s="378" t="n"/>
      <c r="J65" s="377" t="n"/>
      <c r="K65" s="379" t="n"/>
      <c r="L65" s="380" t="n"/>
      <c r="M65" s="381" t="n"/>
      <c r="N65" s="381" t="n"/>
      <c r="O65" s="381" t="n"/>
      <c r="P65" s="382" t="n"/>
      <c r="Q65" s="383">
        <f>SUM(Q62:Q64)</f>
        <v/>
      </c>
    </row>
    <row r="66" ht="9.949999999999999" customFormat="1" customHeight="1" s="356">
      <c r="A66" s="384" t="n"/>
      <c r="B66" s="385" t="n"/>
      <c r="C66" s="385" t="n"/>
      <c r="D66" s="386" t="n"/>
      <c r="E66" s="387" t="n"/>
      <c r="F66" s="388" t="n"/>
      <c r="G66" s="389" t="n"/>
      <c r="H66" s="390" t="n"/>
      <c r="I66" s="391" t="n"/>
      <c r="J66" s="392" t="inlineStr">
        <is>
          <t>Qs=</t>
        </is>
      </c>
      <c r="K66" s="393" t="inlineStr">
        <is>
          <t>a</t>
        </is>
      </c>
      <c r="L66" s="388" t="inlineStr">
        <is>
          <t>L</t>
        </is>
      </c>
      <c r="M66" s="389" t="inlineStr">
        <is>
          <t>R</t>
        </is>
      </c>
      <c r="N66" s="394" t="inlineStr">
        <is>
          <t>H</t>
        </is>
      </c>
      <c r="O66" s="395" t="inlineStr">
        <is>
          <t>D  T</t>
        </is>
      </c>
      <c r="P66" s="396" t="inlineStr">
        <is>
          <t>Ze</t>
        </is>
      </c>
      <c r="Q66" s="397" t="n"/>
    </row>
    <row r="67" ht="9.949999999999999" customFormat="1" customHeight="1" s="356">
      <c r="A67" s="398" t="n"/>
      <c r="B67" s="399" t="n"/>
      <c r="C67" s="400" t="n"/>
      <c r="D67" s="400" t="n"/>
      <c r="E67" s="401" t="n"/>
      <c r="F67" s="402" t="n"/>
      <c r="G67" s="403" t="n"/>
      <c r="H67" s="404" t="n"/>
      <c r="I67" s="405" t="n"/>
      <c r="J67" s="406" t="inlineStr">
        <is>
          <t>Qs  =</t>
        </is>
      </c>
      <c r="K67" s="407" t="n">
        <v>2</v>
      </c>
      <c r="L67" s="382" t="n">
        <v>0</v>
      </c>
      <c r="M67" s="407" t="n">
        <v>0.9</v>
      </c>
      <c r="N67" s="407" t="n">
        <v>0.67</v>
      </c>
      <c r="O67" s="381" t="n">
        <v>27</v>
      </c>
      <c r="P67" s="382" t="n">
        <v>1.2</v>
      </c>
      <c r="Q67" s="383">
        <f>K67*L67*M67*N67*O67*P67</f>
        <v/>
      </c>
    </row>
    <row r="68" ht="9.949999999999999" customFormat="1" customHeight="1" s="356">
      <c r="A68" s="457" t="n"/>
      <c r="B68" s="458" t="n"/>
      <c r="C68" s="411" t="n"/>
      <c r="D68" s="411" t="n"/>
      <c r="E68" s="378" t="n"/>
      <c r="F68" s="256" t="n"/>
      <c r="G68" s="459" t="n"/>
      <c r="H68" s="411" t="n"/>
      <c r="I68" s="411" t="n"/>
      <c r="J68" s="411" t="n"/>
      <c r="K68" s="459" t="n"/>
      <c r="L68" s="412" t="n"/>
      <c r="M68" s="413" t="inlineStr">
        <is>
          <t xml:space="preserve">   TOPLAM ISI KAYBI =</t>
        </is>
      </c>
      <c r="N68" s="413" t="n"/>
      <c r="O68" s="414" t="n"/>
      <c r="P68" s="415" t="n"/>
      <c r="Q68" s="416">
        <f>Q65+Q67</f>
        <v/>
      </c>
    </row>
    <row r="69" ht="9.949999999999999" customFormat="1" customHeight="1" s="437">
      <c r="A69" s="460" t="n"/>
      <c r="B69" s="461" t="n"/>
      <c r="C69" s="461" t="n"/>
      <c r="D69" s="462" t="n"/>
      <c r="E69" s="463" t="n"/>
      <c r="F69" s="464" t="n"/>
      <c r="G69" s="465" t="n"/>
      <c r="H69" s="464" t="n"/>
      <c r="I69" s="466" t="n"/>
      <c r="J69" s="467" t="n"/>
      <c r="K69" s="466" t="n"/>
      <c r="L69" s="464" t="n"/>
      <c r="M69" s="465" t="n"/>
      <c r="N69" s="468" t="n"/>
      <c r="O69" s="469" t="n"/>
      <c r="P69" s="465" t="n"/>
      <c r="Q69" s="470" t="n"/>
    </row>
    <row r="70" ht="9.949999999999999" customFormat="1" customHeight="1" s="437">
      <c r="A70" s="471" t="n"/>
      <c r="B70" s="429" t="n"/>
      <c r="C70" s="429" t="n"/>
      <c r="D70" s="429" t="n"/>
      <c r="E70" s="429" t="n"/>
      <c r="F70" s="426" t="inlineStr">
        <is>
          <t>Z07</t>
        </is>
      </c>
      <c r="G70" s="472" t="n"/>
      <c r="H70" s="429" t="n"/>
      <c r="I70" s="427" t="inlineStr">
        <is>
          <t>D1 BANYO-WC</t>
        </is>
      </c>
      <c r="J70" s="264" t="n"/>
      <c r="K70" s="360" t="inlineStr">
        <is>
          <t>24ºC</t>
        </is>
      </c>
      <c r="L70" s="360" t="n"/>
      <c r="M70" s="360" t="n"/>
      <c r="N70" s="360" t="n"/>
      <c r="O70" s="360" t="n"/>
      <c r="P70" s="360" t="n"/>
      <c r="Q70" s="430" t="n"/>
    </row>
    <row r="71" ht="9.949999999999999" customFormat="1" customHeight="1" s="351">
      <c r="A71" s="432" t="inlineStr">
        <is>
          <t>İD</t>
        </is>
      </c>
      <c r="B71" s="433" t="n"/>
      <c r="C71" s="434" t="n"/>
      <c r="D71" s="369" t="n">
        <v>1.76</v>
      </c>
      <c r="E71" s="369" t="n">
        <v>3</v>
      </c>
      <c r="F71" s="369">
        <f>IF(D71=0," ",D71*E71)</f>
        <v/>
      </c>
      <c r="G71" s="435" t="n">
        <v>1</v>
      </c>
      <c r="H71" s="436" t="n"/>
      <c r="I71" s="369">
        <f>IF(F71=" "," ",F71*G71-H71)</f>
        <v/>
      </c>
      <c r="J71" s="369" t="n">
        <v>0.8139999999999999</v>
      </c>
      <c r="K71" s="435" t="n">
        <v>9</v>
      </c>
      <c r="L71" s="372">
        <f>IF(I71=" "," ",I71*J71*K71)</f>
        <v/>
      </c>
      <c r="M71" s="438" t="n">
        <v>7</v>
      </c>
      <c r="N71" s="435" t="n">
        <v>0</v>
      </c>
      <c r="O71" s="438" t="n">
        <v>0</v>
      </c>
      <c r="P71" s="369">
        <f>IF(M71=" "," ",(1+(M71+N71+O71)/100))</f>
        <v/>
      </c>
      <c r="Q71" s="374">
        <f>IF(L71=" "," ",L71*P71)</f>
        <v/>
      </c>
    </row>
    <row r="72" ht="9.949999999999999" customFormat="1" customHeight="1" s="351">
      <c r="A72" s="432" t="inlineStr">
        <is>
          <t>İD</t>
        </is>
      </c>
      <c r="B72" s="433" t="n"/>
      <c r="C72" s="434" t="n"/>
      <c r="D72" s="369" t="n">
        <v>1.16</v>
      </c>
      <c r="E72" s="369" t="n">
        <v>3</v>
      </c>
      <c r="F72" s="369">
        <f>IF(D72=0," ",D72*E72)</f>
        <v/>
      </c>
      <c r="G72" s="435" t="n">
        <v>1</v>
      </c>
      <c r="H72" s="436" t="n"/>
      <c r="I72" s="369">
        <f>IF(F72=" "," ",F72*G72-H72)</f>
        <v/>
      </c>
      <c r="J72" s="369" t="n">
        <v>0.8139999999999999</v>
      </c>
      <c r="K72" s="435" t="n">
        <v>4</v>
      </c>
      <c r="L72" s="372">
        <f>IF(I72=" "," ",I72*J72*K72)</f>
        <v/>
      </c>
      <c r="M72" s="438" t="n">
        <v>7</v>
      </c>
      <c r="N72" s="435" t="n">
        <v>0</v>
      </c>
      <c r="O72" s="438" t="n">
        <v>0</v>
      </c>
      <c r="P72" s="369">
        <f>IF(M72=" "," ",(1+(M72+N72+O72)/100))</f>
        <v/>
      </c>
      <c r="Q72" s="374">
        <f>IF(L72=" "," ",L72*P72)</f>
        <v/>
      </c>
    </row>
    <row r="73" ht="9.949999999999999" customFormat="1" customHeight="1" s="351">
      <c r="A73" s="432" t="inlineStr">
        <is>
          <t>Dö</t>
        </is>
      </c>
      <c r="B73" s="433" t="n"/>
      <c r="C73" s="434" t="n"/>
      <c r="D73" s="369" t="n">
        <v>2.41</v>
      </c>
      <c r="E73" s="369" t="n">
        <v>1</v>
      </c>
      <c r="F73" s="369">
        <f>IF(D73=0," ",D73*E73)</f>
        <v/>
      </c>
      <c r="G73" s="435" t="n">
        <v>1</v>
      </c>
      <c r="H73" s="436" t="n"/>
      <c r="I73" s="369">
        <f>IF(F73=" "," ",F73*G73-H73)</f>
        <v/>
      </c>
      <c r="J73" s="369" t="n">
        <v>0.35</v>
      </c>
      <c r="K73" s="435" t="n">
        <v>18</v>
      </c>
      <c r="L73" s="372">
        <f>IF(I73=" "," ",I73*J73*K73)</f>
        <v/>
      </c>
      <c r="M73" s="438" t="n">
        <v>7</v>
      </c>
      <c r="N73" s="435" t="n">
        <v>0</v>
      </c>
      <c r="O73" s="438" t="n">
        <v>0</v>
      </c>
      <c r="P73" s="369">
        <f>IF(M73=" "," ",(1+(M73+N73+O73)/100))</f>
        <v/>
      </c>
      <c r="Q73" s="374">
        <f>IF(L73=" "," ",L73*P73)</f>
        <v/>
      </c>
    </row>
    <row r="74" ht="9.949999999999999" customFormat="1" customHeight="1" s="351">
      <c r="A74" s="441" t="n"/>
      <c r="B74" s="442" t="n"/>
      <c r="C74" s="442" t="n"/>
      <c r="D74" s="378" t="n"/>
      <c r="E74" s="378" t="n"/>
      <c r="F74" s="378" t="n"/>
      <c r="G74" s="443" t="n"/>
      <c r="H74" s="378" t="n"/>
      <c r="I74" s="378" t="n"/>
      <c r="J74" s="378" t="n"/>
      <c r="K74" s="443" t="n"/>
      <c r="L74" s="380" t="n"/>
      <c r="M74" s="473" t="n"/>
      <c r="N74" s="473" t="n"/>
      <c r="O74" s="473" t="n"/>
      <c r="P74" s="382" t="n"/>
      <c r="Q74" s="383">
        <f>SUM(Q71:Q73)</f>
        <v/>
      </c>
    </row>
    <row r="75" ht="9.949999999999999" customFormat="1" customHeight="1" s="351">
      <c r="A75" s="445" t="n"/>
      <c r="B75" s="446" t="n"/>
      <c r="C75" s="446" t="n"/>
      <c r="D75" s="447" t="n"/>
      <c r="E75" s="448" t="n"/>
      <c r="F75" s="388" t="n"/>
      <c r="G75" s="396" t="n"/>
      <c r="H75" s="388" t="n"/>
      <c r="I75" s="391" t="n"/>
      <c r="J75" s="449" t="inlineStr">
        <is>
          <t>Qs=</t>
        </is>
      </c>
      <c r="K75" s="391" t="inlineStr">
        <is>
          <t>a</t>
        </is>
      </c>
      <c r="L75" s="388" t="inlineStr">
        <is>
          <t>L</t>
        </is>
      </c>
      <c r="M75" s="396" t="inlineStr">
        <is>
          <t>R</t>
        </is>
      </c>
      <c r="N75" s="450" t="inlineStr">
        <is>
          <t>H</t>
        </is>
      </c>
      <c r="O75" s="451" t="inlineStr">
        <is>
          <t>D  T</t>
        </is>
      </c>
      <c r="P75" s="396" t="inlineStr">
        <is>
          <t>Ze</t>
        </is>
      </c>
      <c r="Q75" s="397" t="n"/>
    </row>
    <row r="76">
      <c r="A76" s="474" t="n"/>
      <c r="C76" s="411" t="n"/>
      <c r="D76" s="411" t="n"/>
      <c r="E76" s="475" t="n"/>
      <c r="F76" s="402" t="n"/>
      <c r="G76" s="476" t="n"/>
      <c r="H76" s="477" t="n"/>
      <c r="I76" s="405" t="n"/>
      <c r="J76" s="455" t="inlineStr">
        <is>
          <t>Qs  =</t>
        </is>
      </c>
      <c r="K76" s="382" t="n">
        <v>2</v>
      </c>
      <c r="L76" s="382" t="n">
        <v>0</v>
      </c>
      <c r="M76" s="382" t="n">
        <v>0.9</v>
      </c>
      <c r="N76" s="382" t="n">
        <v>0.67</v>
      </c>
      <c r="O76" s="473" t="n">
        <v>27</v>
      </c>
      <c r="P76" s="382" t="n">
        <v>1.2</v>
      </c>
      <c r="Q76" s="383">
        <f>K76*L76*M76*N76*O76*P76</f>
        <v/>
      </c>
    </row>
    <row r="77">
      <c r="A77" s="457" t="n"/>
      <c r="B77" s="458" t="n"/>
      <c r="C77" s="411" t="n"/>
      <c r="D77" s="411" t="n"/>
      <c r="E77" s="378" t="n"/>
      <c r="F77" s="256" t="n"/>
      <c r="G77" s="459" t="n"/>
      <c r="H77" s="411" t="n"/>
      <c r="I77" s="411" t="n"/>
      <c r="J77" s="411" t="n"/>
      <c r="K77" s="459" t="n"/>
      <c r="L77" s="412" t="n"/>
      <c r="M77" s="415" t="inlineStr">
        <is>
          <t xml:space="preserve">   TOPLAM ISI KAYBI =</t>
        </is>
      </c>
      <c r="N77" s="415" t="n"/>
      <c r="O77" s="478" t="n"/>
      <c r="P77" s="415" t="n"/>
      <c r="Q77" s="416">
        <f>Q74+Q76</f>
        <v/>
      </c>
    </row>
    <row r="78"/>
    <row r="79">
      <c r="A79" s="471" t="n"/>
      <c r="B79" s="429" t="n"/>
      <c r="C79" s="429" t="n"/>
      <c r="D79" s="429" t="n"/>
      <c r="E79" s="429" t="n"/>
      <c r="F79" s="426" t="inlineStr">
        <is>
          <t>Z08</t>
        </is>
      </c>
      <c r="G79" s="472" t="n"/>
      <c r="H79" s="429" t="n"/>
      <c r="I79" s="427" t="inlineStr">
        <is>
          <t>D2 YATAK ODASI</t>
        </is>
      </c>
      <c r="J79" s="264" t="n"/>
      <c r="K79" s="429" t="inlineStr">
        <is>
          <t>20ºC</t>
        </is>
      </c>
      <c r="L79" s="429" t="n"/>
      <c r="M79" s="429" t="n"/>
      <c r="N79" s="429" t="n"/>
      <c r="O79" s="429" t="n"/>
      <c r="P79" s="429" t="n"/>
      <c r="Q79" s="430" t="n"/>
    </row>
    <row r="80" ht="9.75" customFormat="1" customHeight="1" s="329">
      <c r="A80" s="432" t="inlineStr">
        <is>
          <t>DD</t>
        </is>
      </c>
      <c r="B80" s="433" t="inlineStr">
        <is>
          <t>K</t>
        </is>
      </c>
      <c r="C80" s="434" t="n"/>
      <c r="D80" s="369" t="n">
        <v>2.78</v>
      </c>
      <c r="E80" s="369" t="n">
        <v>3</v>
      </c>
      <c r="F80" s="369">
        <f>IF(D80=0," ",D80*E80)</f>
        <v/>
      </c>
      <c r="G80" s="435" t="n">
        <v>1</v>
      </c>
      <c r="H80" s="436">
        <f>F81*G81</f>
        <v/>
      </c>
      <c r="I80" s="369">
        <f>IF(F80=" "," ",F80*G80-H80)</f>
        <v/>
      </c>
      <c r="J80" s="369" t="n">
        <v>0.4</v>
      </c>
      <c r="K80" s="435" t="n">
        <v>23</v>
      </c>
      <c r="L80" s="372">
        <f>IF(I80=" "," ",I80*J80*K80)</f>
        <v/>
      </c>
      <c r="M80" s="438" t="n">
        <v>7</v>
      </c>
      <c r="N80" s="435" t="n">
        <v>0</v>
      </c>
      <c r="O80" s="373" t="n">
        <v>5</v>
      </c>
      <c r="P80" s="368">
        <f>IF(M80=" "," ",(1+(M80+N80+O80)/100))</f>
        <v/>
      </c>
      <c r="Q80" s="440">
        <f>IF(L80=" "," ",L80*P80)</f>
        <v/>
      </c>
    </row>
    <row r="81" ht="10.5" customFormat="1" customHeight="1" s="339">
      <c r="A81" s="432" t="inlineStr">
        <is>
          <t>ÇP</t>
        </is>
      </c>
      <c r="B81" s="433" t="inlineStr">
        <is>
          <t>K</t>
        </is>
      </c>
      <c r="C81" s="434" t="n"/>
      <c r="D81" s="369" t="n">
        <v>1.5</v>
      </c>
      <c r="E81" s="369" t="n">
        <v>2.2</v>
      </c>
      <c r="F81" s="369">
        <f>IF(D81=0," ",D81*E81)</f>
        <v/>
      </c>
      <c r="G81" s="435" t="n">
        <v>1</v>
      </c>
      <c r="H81" s="371" t="n"/>
      <c r="I81" s="368">
        <f>IF(F81=" "," ",F81*G81-H81)</f>
        <v/>
      </c>
      <c r="J81" s="368" t="n">
        <v>1.8</v>
      </c>
      <c r="K81" s="370" t="n">
        <v>23</v>
      </c>
      <c r="L81" s="439">
        <f>IF(I81=" "," ",I81*J81*K81)</f>
        <v/>
      </c>
      <c r="M81" s="438" t="n">
        <v>7</v>
      </c>
      <c r="N81" s="435" t="n">
        <v>0</v>
      </c>
      <c r="O81" s="373" t="n">
        <v>5</v>
      </c>
      <c r="P81" s="368">
        <f>IF(M81=" "," ",(1+(M81+N81+O81)/100))</f>
        <v/>
      </c>
      <c r="Q81" s="440">
        <f>IF(L81=" "," ",L81*P81)</f>
        <v/>
      </c>
    </row>
    <row r="82" ht="8.25" customFormat="1" customHeight="1" s="339">
      <c r="A82" s="432" t="inlineStr">
        <is>
          <t>DD</t>
        </is>
      </c>
      <c r="B82" s="433" t="inlineStr">
        <is>
          <t>D</t>
        </is>
      </c>
      <c r="C82" s="434" t="n"/>
      <c r="D82" s="369" t="n">
        <v>3.28</v>
      </c>
      <c r="E82" s="369" t="n">
        <v>3</v>
      </c>
      <c r="F82" s="369">
        <f>IF(D82=0," ",D82*E82)</f>
        <v/>
      </c>
      <c r="G82" s="435" t="n">
        <v>1</v>
      </c>
      <c r="H82" s="436" t="n"/>
      <c r="I82" s="369">
        <f>IF(F82=" "," ",F82*G82-H82)</f>
        <v/>
      </c>
      <c r="J82" s="369" t="n">
        <v>0.4</v>
      </c>
      <c r="K82" s="435" t="n">
        <v>23</v>
      </c>
      <c r="L82" s="372">
        <f>IF(I82=" "," ",I82*J82*K82)</f>
        <v/>
      </c>
      <c r="M82" s="438" t="n">
        <v>7</v>
      </c>
      <c r="N82" s="435" t="n">
        <v>0</v>
      </c>
      <c r="O82" s="438" t="n">
        <v>0</v>
      </c>
      <c r="P82" s="369">
        <f>IF(M82=" "," ",(1+(M82+N82+O82)/100))</f>
        <v/>
      </c>
      <c r="Q82" s="374">
        <f>IF(L82=" "," ",L82*P82)</f>
        <v/>
      </c>
    </row>
    <row r="83" ht="31.5" customFormat="1" customHeight="1" s="351">
      <c r="A83" s="432" t="inlineStr">
        <is>
          <t>Dö</t>
        </is>
      </c>
      <c r="B83" s="433" t="n"/>
      <c r="C83" s="434" t="n"/>
      <c r="D83" s="369" t="n">
        <v>9.93</v>
      </c>
      <c r="E83" s="369" t="n">
        <v>1</v>
      </c>
      <c r="F83" s="369">
        <f>IF(D83=0," ",D83*E83)</f>
        <v/>
      </c>
      <c r="G83" s="435" t="n">
        <v>1</v>
      </c>
      <c r="H83" s="436" t="n"/>
      <c r="I83" s="369">
        <f>IF(F83=" "," ",F83*G83-H83)</f>
        <v/>
      </c>
      <c r="J83" s="369" t="n">
        <v>0.35</v>
      </c>
      <c r="K83" s="435" t="n">
        <v>14</v>
      </c>
      <c r="L83" s="372">
        <f>IF(I83=" "," ",I83*J83*K83)</f>
        <v/>
      </c>
      <c r="M83" s="438" t="n">
        <v>7</v>
      </c>
      <c r="N83" s="435" t="n">
        <v>0</v>
      </c>
      <c r="O83" s="438" t="n">
        <v>0</v>
      </c>
      <c r="P83" s="369">
        <f>IF(M83=" "," ",(1+(M83+N83+O83)/100))</f>
        <v/>
      </c>
      <c r="Q83" s="374">
        <f>IF(L83=" "," ",L83*P83)</f>
        <v/>
      </c>
    </row>
    <row r="84" ht="9.75" customFormat="1" customHeight="1" s="351">
      <c r="A84" s="441" t="n"/>
      <c r="B84" s="442" t="n"/>
      <c r="C84" s="442" t="n"/>
      <c r="D84" s="378" t="n"/>
      <c r="E84" s="378" t="n"/>
      <c r="F84" s="378" t="n"/>
      <c r="G84" s="443" t="n"/>
      <c r="H84" s="378" t="n"/>
      <c r="I84" s="378" t="n"/>
      <c r="J84" s="378" t="n"/>
      <c r="K84" s="443" t="n"/>
      <c r="L84" s="380" t="n"/>
      <c r="M84" s="473" t="n"/>
      <c r="N84" s="473" t="n"/>
      <c r="O84" s="473" t="n"/>
      <c r="P84" s="382" t="n"/>
      <c r="Q84" s="383">
        <f>SUM(Q80:Q83)</f>
        <v/>
      </c>
    </row>
    <row r="85" ht="15.75" customFormat="1" customHeight="1" s="356">
      <c r="A85" s="445" t="n"/>
      <c r="B85" s="446" t="n"/>
      <c r="C85" s="446" t="n"/>
      <c r="D85" s="447" t="n"/>
      <c r="E85" s="448" t="n"/>
      <c r="F85" s="388" t="n"/>
      <c r="G85" s="396" t="n"/>
      <c r="H85" s="388" t="n"/>
      <c r="I85" s="391" t="n"/>
      <c r="J85" s="449" t="inlineStr">
        <is>
          <t>Qs=</t>
        </is>
      </c>
      <c r="K85" s="391" t="inlineStr">
        <is>
          <t>a</t>
        </is>
      </c>
      <c r="L85" s="388" t="inlineStr">
        <is>
          <t>L</t>
        </is>
      </c>
      <c r="M85" s="396" t="inlineStr">
        <is>
          <t>R</t>
        </is>
      </c>
      <c r="N85" s="450" t="inlineStr">
        <is>
          <t>H</t>
        </is>
      </c>
      <c r="O85" s="451" t="inlineStr">
        <is>
          <t>D  T</t>
        </is>
      </c>
      <c r="P85" s="396" t="inlineStr">
        <is>
          <t>Ze</t>
        </is>
      </c>
      <c r="Q85" s="397" t="n"/>
    </row>
    <row r="86" ht="11.25" customFormat="1" customHeight="1" s="356">
      <c r="A86" s="474" t="n"/>
      <c r="B86" s="346" t="n"/>
      <c r="C86" s="411" t="n"/>
      <c r="D86" s="411" t="n"/>
      <c r="E86" s="475" t="n"/>
      <c r="F86" s="402" t="n"/>
      <c r="G86" s="476" t="n"/>
      <c r="H86" s="477" t="n"/>
      <c r="I86" s="405" t="n"/>
      <c r="J86" s="455" t="inlineStr">
        <is>
          <t>Qs  =</t>
        </is>
      </c>
      <c r="K86" s="382" t="n">
        <v>2</v>
      </c>
      <c r="L86" s="382">
        <f>(D81+E81)*2*G81</f>
        <v/>
      </c>
      <c r="M86" s="382" t="n">
        <v>0.9</v>
      </c>
      <c r="N86" s="382" t="n">
        <v>0.67</v>
      </c>
      <c r="O86" s="473" t="n">
        <v>23</v>
      </c>
      <c r="P86" s="382" t="n">
        <v>1.2</v>
      </c>
      <c r="Q86" s="383">
        <f>K86*L86*M86*N86*O86*P86</f>
        <v/>
      </c>
    </row>
    <row r="87" ht="9.75" customFormat="1" customHeight="1" s="356">
      <c r="A87" s="408" t="n"/>
      <c r="B87" s="409" t="n"/>
      <c r="C87" s="400" t="n"/>
      <c r="D87" s="400" t="n"/>
      <c r="E87" s="377" t="n"/>
      <c r="F87" s="479" t="n"/>
      <c r="G87" s="410" t="n"/>
      <c r="H87" s="400" t="n"/>
      <c r="I87" s="400" t="n"/>
      <c r="J87" s="411" t="n"/>
      <c r="K87" s="410" t="n"/>
      <c r="L87" s="480" t="n"/>
      <c r="M87" s="413" t="inlineStr">
        <is>
          <t xml:space="preserve">   TOPLAM ISI KAYBI =</t>
        </is>
      </c>
      <c r="N87" s="413" t="n"/>
      <c r="O87" s="414" t="n"/>
      <c r="P87" s="413" t="n"/>
      <c r="Q87" s="481">
        <f>Q84+Q86</f>
        <v/>
      </c>
    </row>
    <row r="88" ht="9.949999999999999" customFormat="1" customHeight="1" s="356">
      <c r="A88" s="417" t="n"/>
      <c r="B88" s="399" t="n"/>
      <c r="C88" s="418" t="n"/>
      <c r="D88" s="419" t="n"/>
      <c r="E88" s="419" t="n"/>
      <c r="F88" s="420" t="n"/>
      <c r="G88" s="421" t="n"/>
      <c r="H88" s="422" t="n"/>
      <c r="I88" s="420" t="n"/>
      <c r="J88" s="419" t="n"/>
      <c r="K88" s="421" t="n"/>
      <c r="L88" s="423" t="n"/>
      <c r="M88" s="424" t="n"/>
      <c r="N88" s="421" t="n"/>
      <c r="O88" s="424" t="n"/>
      <c r="P88" s="420" t="n"/>
      <c r="Q88" s="425" t="n"/>
    </row>
    <row r="89" ht="9.949999999999999" customFormat="1" customHeight="1" s="356">
      <c r="A89" s="359" t="n"/>
      <c r="B89" s="360" t="n"/>
      <c r="C89" s="360" t="n"/>
      <c r="D89" s="360" t="n"/>
      <c r="E89" s="360" t="n"/>
      <c r="F89" s="426" t="inlineStr">
        <is>
          <t>Z09</t>
        </is>
      </c>
      <c r="G89" s="362" t="n"/>
      <c r="H89" s="360" t="n"/>
      <c r="I89" s="427" t="inlineStr">
        <is>
          <t>D2 YATAK ODASI</t>
        </is>
      </c>
      <c r="J89" s="428" t="n"/>
      <c r="K89" s="360" t="inlineStr">
        <is>
          <t>20ºC</t>
        </is>
      </c>
      <c r="L89" s="429" t="n"/>
      <c r="M89" s="360" t="n"/>
      <c r="N89" s="360" t="n"/>
      <c r="O89" s="360" t="n"/>
      <c r="P89" s="429" t="n"/>
      <c r="Q89" s="430" t="n"/>
    </row>
    <row r="90" ht="9.949999999999999" customFormat="1" customHeight="1" s="356">
      <c r="A90" s="365" t="inlineStr">
        <is>
          <t>DD</t>
        </is>
      </c>
      <c r="B90" s="366" t="inlineStr">
        <is>
          <t>D</t>
        </is>
      </c>
      <c r="C90" s="367" t="n"/>
      <c r="D90" s="368" t="n">
        <v>3.12</v>
      </c>
      <c r="E90" s="368" t="n">
        <v>3</v>
      </c>
      <c r="F90" s="369">
        <f>IF(D90=0," ",D90*E90)</f>
        <v/>
      </c>
      <c r="G90" s="370" t="n">
        <v>1</v>
      </c>
      <c r="H90" s="371">
        <f>F91*G91</f>
        <v/>
      </c>
      <c r="I90" s="369">
        <f>IF(F90=" "," ",F90*G90-H90)</f>
        <v/>
      </c>
      <c r="J90" s="368" t="n">
        <v>0.4</v>
      </c>
      <c r="K90" s="370" t="n">
        <v>23</v>
      </c>
      <c r="L90" s="372">
        <f>IF(I90=" "," ",I90*J90*K90)</f>
        <v/>
      </c>
      <c r="M90" s="373" t="n">
        <v>7</v>
      </c>
      <c r="N90" s="370" t="n">
        <v>0</v>
      </c>
      <c r="O90" s="373" t="n">
        <v>0</v>
      </c>
      <c r="P90" s="369">
        <f>IF(M90=" "," ",(1+(M90+N90+O90)/100))</f>
        <v/>
      </c>
      <c r="Q90" s="374">
        <f>IF(L90=" "," ",L90*P90)</f>
        <v/>
      </c>
    </row>
    <row r="91" ht="9.949999999999999" customFormat="1" customHeight="1" s="356">
      <c r="A91" s="365" t="inlineStr">
        <is>
          <t>ÇP</t>
        </is>
      </c>
      <c r="B91" s="366" t="inlineStr">
        <is>
          <t>D</t>
        </is>
      </c>
      <c r="C91" s="367" t="n"/>
      <c r="D91" s="368" t="n">
        <v>1.5</v>
      </c>
      <c r="E91" s="368" t="n">
        <v>1.6</v>
      </c>
      <c r="F91" s="369">
        <f>IF(D91=0," ",D91*E91)</f>
        <v/>
      </c>
      <c r="G91" s="370" t="n">
        <v>1</v>
      </c>
      <c r="H91" s="371" t="n"/>
      <c r="I91" s="369">
        <f>IF(F91=" "," ",F91*G91-H91)</f>
        <v/>
      </c>
      <c r="J91" s="368" t="n">
        <v>1.8</v>
      </c>
      <c r="K91" s="370" t="n">
        <v>23</v>
      </c>
      <c r="L91" s="372">
        <f>IF(I91=" "," ",I91*J91*K91)</f>
        <v/>
      </c>
      <c r="M91" s="373" t="n">
        <v>7</v>
      </c>
      <c r="N91" s="370" t="n">
        <v>0</v>
      </c>
      <c r="O91" s="373" t="n">
        <v>0</v>
      </c>
      <c r="P91" s="369">
        <f>IF(M91=" "," ",(1+(M91+N91+O91)/100))</f>
        <v/>
      </c>
      <c r="Q91" s="374">
        <f>IF(L91=" "," ",L91*P91)</f>
        <v/>
      </c>
    </row>
    <row r="92" ht="9.949999999999999" customFormat="1" customHeight="1" s="356">
      <c r="A92" s="365" t="inlineStr">
        <is>
          <t>İD</t>
        </is>
      </c>
      <c r="B92" s="366" t="n"/>
      <c r="C92" s="367" t="n"/>
      <c r="D92" s="368" t="n">
        <v>3.06</v>
      </c>
      <c r="E92" s="368" t="n">
        <v>3</v>
      </c>
      <c r="F92" s="369">
        <f>IF(D92=0," ",D92*E92)</f>
        <v/>
      </c>
      <c r="G92" s="370" t="n">
        <v>1</v>
      </c>
      <c r="H92" s="371" t="n"/>
      <c r="I92" s="369">
        <f>IF(F92=" "," ",F92*G92-H92)</f>
        <v/>
      </c>
      <c r="J92" s="368" t="n">
        <v>0.8139999999999999</v>
      </c>
      <c r="K92" s="370" t="n">
        <v>5</v>
      </c>
      <c r="L92" s="372">
        <f>IF(I92=" "," ",I92*J92*K92)</f>
        <v/>
      </c>
      <c r="M92" s="373" t="n">
        <v>7</v>
      </c>
      <c r="N92" s="370" t="n">
        <v>0</v>
      </c>
      <c r="O92" s="373" t="n">
        <v>0</v>
      </c>
      <c r="P92" s="369">
        <f>IF(M92=" "," ",(1+(M92+N92+O92)/100))</f>
        <v/>
      </c>
      <c r="Q92" s="374">
        <f>IF(L92=" "," ",L92*P92)</f>
        <v/>
      </c>
    </row>
    <row r="93" ht="9.949999999999999" customFormat="1" customHeight="1" s="356">
      <c r="A93" s="365" t="inlineStr">
        <is>
          <t>Dö</t>
        </is>
      </c>
      <c r="B93" s="366" t="n"/>
      <c r="C93" s="367" t="n"/>
      <c r="D93" s="368" t="n">
        <v>9.640000000000001</v>
      </c>
      <c r="E93" s="368" t="n">
        <v>1</v>
      </c>
      <c r="F93" s="369">
        <f>IF(D93=0," ",D93*E93)</f>
        <v/>
      </c>
      <c r="G93" s="370" t="n">
        <v>1</v>
      </c>
      <c r="H93" s="371" t="n"/>
      <c r="I93" s="369">
        <f>IF(F93=" "," ",F93*G93-H93)</f>
        <v/>
      </c>
      <c r="J93" s="368" t="n">
        <v>0.35</v>
      </c>
      <c r="K93" s="370" t="n">
        <v>14</v>
      </c>
      <c r="L93" s="372">
        <f>IF(I93=" "," ",I93*J93*K93)</f>
        <v/>
      </c>
      <c r="M93" s="373" t="n">
        <v>7</v>
      </c>
      <c r="N93" s="370" t="n">
        <v>0</v>
      </c>
      <c r="O93" s="373" t="n">
        <v>0</v>
      </c>
      <c r="P93" s="369">
        <f>IF(M93=" "," ",(1+(M93+N93+O93)/100))</f>
        <v/>
      </c>
      <c r="Q93" s="374">
        <f>IF(L93=" "," ",L93*P93)</f>
        <v/>
      </c>
    </row>
    <row r="94" ht="9.949999999999999" customFormat="1" customHeight="1" s="356">
      <c r="A94" s="375" t="n"/>
      <c r="B94" s="376" t="n"/>
      <c r="C94" s="376" t="n"/>
      <c r="D94" s="377" t="n"/>
      <c r="E94" s="377" t="n"/>
      <c r="F94" s="378" t="n"/>
      <c r="G94" s="379" t="n"/>
      <c r="H94" s="377" t="n"/>
      <c r="I94" s="378" t="n"/>
      <c r="J94" s="377" t="n"/>
      <c r="K94" s="379" t="n"/>
      <c r="L94" s="380" t="n"/>
      <c r="M94" s="381" t="n"/>
      <c r="N94" s="381" t="n"/>
      <c r="O94" s="381" t="n"/>
      <c r="P94" s="382" t="n"/>
      <c r="Q94" s="383">
        <f>SUM(Q90:Q93)</f>
        <v/>
      </c>
    </row>
    <row r="95" ht="9.949999999999999" customFormat="1" customHeight="1" s="356">
      <c r="A95" s="384" t="n"/>
      <c r="B95" s="385" t="n"/>
      <c r="C95" s="385" t="n"/>
      <c r="D95" s="386" t="n"/>
      <c r="E95" s="387" t="n"/>
      <c r="F95" s="388" t="n"/>
      <c r="G95" s="389" t="n"/>
      <c r="H95" s="390" t="n"/>
      <c r="I95" s="391" t="n"/>
      <c r="J95" s="392" t="inlineStr">
        <is>
          <t>Qs=</t>
        </is>
      </c>
      <c r="K95" s="393" t="inlineStr">
        <is>
          <t>a</t>
        </is>
      </c>
      <c r="L95" s="388" t="inlineStr">
        <is>
          <t>L</t>
        </is>
      </c>
      <c r="M95" s="389" t="inlineStr">
        <is>
          <t>R</t>
        </is>
      </c>
      <c r="N95" s="394" t="inlineStr">
        <is>
          <t>H</t>
        </is>
      </c>
      <c r="O95" s="395" t="inlineStr">
        <is>
          <t>D  T</t>
        </is>
      </c>
      <c r="P95" s="396" t="inlineStr">
        <is>
          <t>Ze</t>
        </is>
      </c>
      <c r="Q95" s="397" t="n"/>
    </row>
    <row r="96" ht="9.949999999999999" customFormat="1" customHeight="1" s="356">
      <c r="A96" s="474" t="n"/>
      <c r="B96" s="482" t="n"/>
      <c r="C96" s="411" t="n"/>
      <c r="D96" s="411" t="n"/>
      <c r="E96" s="475" t="n"/>
      <c r="F96" s="402" t="n"/>
      <c r="G96" s="476" t="n"/>
      <c r="H96" s="477" t="n"/>
      <c r="I96" s="405" t="n"/>
      <c r="J96" s="455" t="inlineStr">
        <is>
          <t>Qs  =</t>
        </is>
      </c>
      <c r="K96" s="382" t="n">
        <v>2</v>
      </c>
      <c r="L96" s="382">
        <f>(D91+E91)*2*G91</f>
        <v/>
      </c>
      <c r="M96" s="407" t="n">
        <v>0.9</v>
      </c>
      <c r="N96" s="407" t="n">
        <v>0.67</v>
      </c>
      <c r="O96" s="381" t="n">
        <v>23</v>
      </c>
      <c r="P96" s="382" t="n">
        <v>1.2</v>
      </c>
      <c r="Q96" s="383">
        <f>K96*L96*M96*N96*O96*P96</f>
        <v/>
      </c>
    </row>
    <row r="97" ht="9.949999999999999" customFormat="1" customHeight="1" s="437">
      <c r="A97" s="457" t="n"/>
      <c r="B97" s="458" t="n"/>
      <c r="C97" s="411" t="n"/>
      <c r="D97" s="411" t="n"/>
      <c r="E97" s="378" t="n"/>
      <c r="F97" s="256" t="n"/>
      <c r="G97" s="459" t="n"/>
      <c r="H97" s="411" t="n"/>
      <c r="I97" s="411" t="n"/>
      <c r="J97" s="411" t="n"/>
      <c r="K97" s="459" t="n"/>
      <c r="L97" s="412" t="n"/>
      <c r="M97" s="415" t="inlineStr">
        <is>
          <t xml:space="preserve">   TOPLAM ISI KAYBI =</t>
        </is>
      </c>
      <c r="N97" s="415" t="n"/>
      <c r="O97" s="478" t="n"/>
      <c r="P97" s="415" t="n"/>
      <c r="Q97" s="416">
        <f>Q94+Q96</f>
        <v/>
      </c>
    </row>
    <row r="98" ht="9.949999999999999" customFormat="1" customHeight="1" s="437">
      <c r="A98" s="483" t="n"/>
      <c r="C98" s="484" t="n"/>
      <c r="D98" s="484" t="n"/>
      <c r="E98" s="485" t="n"/>
      <c r="F98" s="486" t="n"/>
      <c r="G98" s="487" t="n"/>
      <c r="H98" s="488" t="n"/>
      <c r="I98" s="489" t="n"/>
      <c r="J98" s="490" t="n"/>
      <c r="K98" s="491" t="n"/>
      <c r="L98" s="491" t="n"/>
      <c r="M98" s="491" t="n"/>
      <c r="N98" s="491" t="n"/>
      <c r="O98" s="492" t="n"/>
      <c r="P98" s="491" t="n"/>
      <c r="Q98" s="493" t="n"/>
    </row>
    <row r="99" ht="9.949999999999999" customFormat="1" customHeight="1" s="351">
      <c r="A99" s="471" t="n"/>
      <c r="B99" s="429" t="n"/>
      <c r="C99" s="429" t="n"/>
      <c r="D99" s="429" t="n"/>
      <c r="E99" s="429" t="n"/>
      <c r="F99" s="426" t="inlineStr">
        <is>
          <t>Z10</t>
        </is>
      </c>
      <c r="G99" s="472" t="n"/>
      <c r="H99" s="429" t="n"/>
      <c r="I99" s="427" t="inlineStr">
        <is>
          <t>D2 ODA</t>
        </is>
      </c>
      <c r="J99" s="264" t="n"/>
      <c r="K99" s="429" t="inlineStr">
        <is>
          <t>20ºC</t>
        </is>
      </c>
      <c r="L99" s="429" t="n"/>
      <c r="M99" s="429" t="n"/>
      <c r="N99" s="429" t="n"/>
      <c r="O99" s="429" t="n"/>
      <c r="P99" s="429" t="n"/>
      <c r="Q99" s="430" t="n"/>
    </row>
    <row r="100">
      <c r="A100" s="432" t="inlineStr">
        <is>
          <t>DD</t>
        </is>
      </c>
      <c r="B100" s="433" t="inlineStr">
        <is>
          <t>K</t>
        </is>
      </c>
      <c r="C100" s="434" t="n"/>
      <c r="D100" s="369" t="n">
        <v>3.64</v>
      </c>
      <c r="E100" s="369" t="n">
        <v>3</v>
      </c>
      <c r="F100" s="369">
        <f>IF(D100=0," ",D100*E100)</f>
        <v/>
      </c>
      <c r="G100" s="435" t="n">
        <v>1</v>
      </c>
      <c r="H100" s="436">
        <f>F101*G101</f>
        <v/>
      </c>
      <c r="I100" s="369">
        <f>IF(F100=" "," ",F100*G100-H100)</f>
        <v/>
      </c>
      <c r="J100" s="369" t="n">
        <v>0.4</v>
      </c>
      <c r="K100" s="435" t="n">
        <v>23</v>
      </c>
      <c r="L100" s="372">
        <f>IF(I100=" "," ",I100*J100*K100)</f>
        <v/>
      </c>
      <c r="M100" s="438" t="n">
        <v>7</v>
      </c>
      <c r="N100" s="435" t="n">
        <v>0</v>
      </c>
      <c r="O100" s="438" t="n">
        <v>5</v>
      </c>
      <c r="P100" s="369">
        <f>IF(M100=" "," ",(1+(M100+N100+O100)/100))</f>
        <v/>
      </c>
      <c r="Q100" s="374">
        <f>IF(L100=" "," ",L100*P100)</f>
        <v/>
      </c>
    </row>
    <row r="101">
      <c r="A101" s="432" t="inlineStr">
        <is>
          <t>ÇP</t>
        </is>
      </c>
      <c r="B101" s="433" t="inlineStr">
        <is>
          <t>K</t>
        </is>
      </c>
      <c r="C101" s="434" t="n"/>
      <c r="D101" s="369" t="n">
        <v>1.5</v>
      </c>
      <c r="E101" s="369" t="n">
        <v>2.2</v>
      </c>
      <c r="F101" s="369">
        <f>IF(D101=0," ",D101*E101)</f>
        <v/>
      </c>
      <c r="G101" s="435" t="n">
        <v>1</v>
      </c>
      <c r="H101" s="436" t="n"/>
      <c r="I101" s="369">
        <f>IF(F101=" "," ",F101*G101-H101)</f>
        <v/>
      </c>
      <c r="J101" s="369" t="n">
        <v>1.8</v>
      </c>
      <c r="K101" s="435" t="n">
        <v>23</v>
      </c>
      <c r="L101" s="372">
        <f>IF(I101=" "," ",I101*J101*K101)</f>
        <v/>
      </c>
      <c r="M101" s="438" t="n">
        <v>7</v>
      </c>
      <c r="N101" s="435" t="n">
        <v>0</v>
      </c>
      <c r="O101" s="438" t="n">
        <v>5</v>
      </c>
      <c r="P101" s="369">
        <f>IF(M101=" "," ",(1+(M101+N101+O101)/100))</f>
        <v/>
      </c>
      <c r="Q101" s="374">
        <f>IF(L101=" "," ",L101*P101)</f>
        <v/>
      </c>
    </row>
    <row r="102">
      <c r="A102" s="432" t="inlineStr">
        <is>
          <t>DD</t>
        </is>
      </c>
      <c r="B102" s="433" t="inlineStr">
        <is>
          <t>D</t>
        </is>
      </c>
      <c r="C102" s="434" t="n"/>
      <c r="D102" s="369" t="n">
        <v>0.8100000000000001</v>
      </c>
      <c r="E102" s="369" t="n">
        <v>3</v>
      </c>
      <c r="F102" s="369">
        <f>IF(D102=0," ",D102*E102)</f>
        <v/>
      </c>
      <c r="G102" s="435" t="n">
        <v>1</v>
      </c>
      <c r="H102" s="436" t="n"/>
      <c r="I102" s="369">
        <f>IF(F102=" "," ",F102*G102-H102)</f>
        <v/>
      </c>
      <c r="J102" s="369" t="n">
        <v>0.4</v>
      </c>
      <c r="K102" s="435" t="n">
        <v>23</v>
      </c>
      <c r="L102" s="372">
        <f>IF(I102=" "," ",I102*J102*K102)</f>
        <v/>
      </c>
      <c r="M102" s="438" t="n">
        <v>7</v>
      </c>
      <c r="N102" s="435" t="n">
        <v>0</v>
      </c>
      <c r="O102" s="438" t="n">
        <v>0</v>
      </c>
      <c r="P102" s="369">
        <f>IF(M102=" "," ",(1+(M102+N102+O102)/100))</f>
        <v/>
      </c>
      <c r="Q102" s="374">
        <f>IF(L102=" "," ",L102*P102)</f>
        <v/>
      </c>
    </row>
    <row r="103">
      <c r="A103" s="432" t="inlineStr">
        <is>
          <t>İD</t>
        </is>
      </c>
      <c r="B103" s="433" t="n"/>
      <c r="C103" s="434" t="n"/>
      <c r="D103" s="369" t="n">
        <v>2.86</v>
      </c>
      <c r="E103" s="369" t="n">
        <v>3</v>
      </c>
      <c r="F103" s="369">
        <f>IF(D103=0," ",D103*E103)</f>
        <v/>
      </c>
      <c r="G103" s="435" t="n">
        <v>1</v>
      </c>
      <c r="H103" s="436" t="n"/>
      <c r="I103" s="369">
        <f>IF(F103=" "," ",F103*G103-H103)</f>
        <v/>
      </c>
      <c r="J103" s="369" t="n">
        <v>0.8139999999999999</v>
      </c>
      <c r="K103" s="435" t="n">
        <v>5</v>
      </c>
      <c r="L103" s="372">
        <f>IF(I103=" "," ",I103*J103*K103)</f>
        <v/>
      </c>
      <c r="M103" s="438" t="n">
        <v>7</v>
      </c>
      <c r="N103" s="435" t="n">
        <v>0</v>
      </c>
      <c r="O103" s="438" t="n">
        <v>0</v>
      </c>
      <c r="P103" s="369">
        <f>IF(M103=" "," ",(1+(M103+N103+O103)/100))</f>
        <v/>
      </c>
      <c r="Q103" s="374">
        <f>IF(L103=" "," ",L103*P103)</f>
        <v/>
      </c>
    </row>
    <row r="104">
      <c r="A104" s="432" t="inlineStr">
        <is>
          <t>Dö</t>
        </is>
      </c>
      <c r="B104" s="433" t="n"/>
      <c r="C104" s="434" t="n"/>
      <c r="D104" s="369" t="n">
        <v>12.68</v>
      </c>
      <c r="E104" s="369" t="n">
        <v>1</v>
      </c>
      <c r="F104" s="369">
        <f>IF(D104=0," ",D104*E104)</f>
        <v/>
      </c>
      <c r="G104" s="435" t="n">
        <v>1</v>
      </c>
      <c r="H104" s="436" t="n"/>
      <c r="I104" s="369">
        <f>IF(F104=" "," ",F104*G104-H104)</f>
        <v/>
      </c>
      <c r="J104" s="369" t="n">
        <v>0.35</v>
      </c>
      <c r="K104" s="435" t="n">
        <v>14</v>
      </c>
      <c r="L104" s="372">
        <f>IF(I104=" "," ",I104*J104*K104)</f>
        <v/>
      </c>
      <c r="M104" s="438" t="n">
        <v>7</v>
      </c>
      <c r="N104" s="435" t="n">
        <v>0</v>
      </c>
      <c r="O104" s="438" t="n">
        <v>0</v>
      </c>
      <c r="P104" s="369">
        <f>IF(M104=" "," ",(1+(M104+N104+O104)/100))</f>
        <v/>
      </c>
      <c r="Q104" s="374">
        <f>IF(L104=" "," ",L104*P104)</f>
        <v/>
      </c>
    </row>
    <row r="105">
      <c r="A105" s="441" t="n"/>
      <c r="B105" s="442" t="n"/>
      <c r="C105" s="442" t="n"/>
      <c r="D105" s="378" t="n"/>
      <c r="E105" s="378" t="n"/>
      <c r="F105" s="378" t="n"/>
      <c r="G105" s="443" t="n"/>
      <c r="H105" s="378" t="n"/>
      <c r="I105" s="378" t="n"/>
      <c r="J105" s="378" t="n"/>
      <c r="K105" s="443" t="n"/>
      <c r="L105" s="380" t="n"/>
      <c r="M105" s="473" t="n"/>
      <c r="N105" s="473" t="n"/>
      <c r="O105" s="473" t="n"/>
      <c r="P105" s="382" t="n"/>
      <c r="Q105" s="383">
        <f>SUM(Q100:Q104)</f>
        <v/>
      </c>
    </row>
    <row r="106">
      <c r="A106" s="445" t="n"/>
      <c r="B106" s="446" t="n"/>
      <c r="C106" s="446" t="n"/>
      <c r="D106" s="447" t="n"/>
      <c r="E106" s="448" t="n"/>
      <c r="F106" s="388" t="n"/>
      <c r="G106" s="396" t="n"/>
      <c r="H106" s="388" t="n"/>
      <c r="I106" s="391" t="n"/>
      <c r="J106" s="449" t="inlineStr">
        <is>
          <t>Qs=</t>
        </is>
      </c>
      <c r="K106" s="391" t="inlineStr">
        <is>
          <t>a</t>
        </is>
      </c>
      <c r="L106" s="388" t="inlineStr">
        <is>
          <t>L</t>
        </is>
      </c>
      <c r="M106" s="396" t="inlineStr">
        <is>
          <t>R</t>
        </is>
      </c>
      <c r="N106" s="450" t="inlineStr">
        <is>
          <t>H</t>
        </is>
      </c>
      <c r="O106" s="451" t="inlineStr">
        <is>
          <t>D  T</t>
        </is>
      </c>
      <c r="P106" s="396" t="inlineStr">
        <is>
          <t>Ze</t>
        </is>
      </c>
      <c r="Q106" s="397" t="n"/>
    </row>
    <row r="107">
      <c r="A107" s="474" t="n"/>
      <c r="C107" s="411" t="n"/>
      <c r="D107" s="411" t="n"/>
      <c r="E107" s="475" t="n"/>
      <c r="F107" s="402" t="n"/>
      <c r="G107" s="476" t="n"/>
      <c r="H107" s="477" t="n"/>
      <c r="I107" s="405" t="n"/>
      <c r="J107" s="455" t="inlineStr">
        <is>
          <t>Qs  =</t>
        </is>
      </c>
      <c r="K107" s="382" t="n">
        <v>2</v>
      </c>
      <c r="L107" s="382">
        <f>(D101+E101)*2*G101</f>
        <v/>
      </c>
      <c r="M107" s="382" t="n">
        <v>0.9</v>
      </c>
      <c r="N107" s="382" t="n">
        <v>0.67</v>
      </c>
      <c r="O107" s="473" t="n">
        <v>23</v>
      </c>
      <c r="P107" s="382" t="n">
        <v>1.2</v>
      </c>
      <c r="Q107" s="383">
        <f>K107*L107*M107*N107*O107*P107</f>
        <v/>
      </c>
    </row>
    <row r="108">
      <c r="A108" s="457" t="n"/>
      <c r="B108" s="458" t="n"/>
      <c r="C108" s="411" t="n"/>
      <c r="D108" s="411" t="n"/>
      <c r="E108" s="378" t="n"/>
      <c r="F108" s="256" t="n"/>
      <c r="G108" s="459" t="n"/>
      <c r="H108" s="411" t="n"/>
      <c r="I108" s="411" t="n"/>
      <c r="J108" s="411" t="n"/>
      <c r="K108" s="459" t="n"/>
      <c r="L108" s="412" t="n"/>
      <c r="M108" s="415" t="inlineStr">
        <is>
          <t xml:space="preserve">   TOPLAM ISI KAYBI =</t>
        </is>
      </c>
      <c r="N108" s="415" t="n"/>
      <c r="O108" s="478" t="n"/>
      <c r="P108" s="415" t="n"/>
      <c r="Q108" s="416">
        <f>Q105+Q107</f>
        <v/>
      </c>
    </row>
    <row r="110">
      <c r="A110" s="471" t="n"/>
      <c r="B110" s="429" t="n"/>
      <c r="C110" s="429" t="n"/>
      <c r="D110" s="429" t="n"/>
      <c r="E110" s="429" t="n"/>
      <c r="F110" s="426" t="inlineStr">
        <is>
          <t>Z11</t>
        </is>
      </c>
      <c r="G110" s="472" t="n"/>
      <c r="H110" s="429" t="n"/>
      <c r="I110" s="427" t="inlineStr">
        <is>
          <t>D2 SALON</t>
        </is>
      </c>
      <c r="J110" s="264" t="n"/>
      <c r="K110" s="429" t="inlineStr">
        <is>
          <t>20ºC</t>
        </is>
      </c>
      <c r="L110" s="429" t="n"/>
      <c r="M110" s="429" t="n"/>
      <c r="N110" s="429" t="n"/>
      <c r="O110" s="429" t="n"/>
      <c r="P110" s="429" t="n"/>
      <c r="Q110" s="430" t="n"/>
    </row>
    <row r="111">
      <c r="A111" s="432" t="inlineStr">
        <is>
          <t>DD</t>
        </is>
      </c>
      <c r="B111" s="433" t="inlineStr">
        <is>
          <t>D</t>
        </is>
      </c>
      <c r="C111" s="434" t="n"/>
      <c r="D111" s="369" t="n">
        <v>6.14</v>
      </c>
      <c r="E111" s="369" t="n">
        <v>3</v>
      </c>
      <c r="F111" s="369">
        <f>IF(D111=0," ",D111*E111)</f>
        <v/>
      </c>
      <c r="G111" s="435" t="n">
        <v>1</v>
      </c>
      <c r="H111" s="436">
        <f>F112*G112</f>
        <v/>
      </c>
      <c r="I111" s="369">
        <f>IF(F111=" "," ",F111*G111-H111)</f>
        <v/>
      </c>
      <c r="J111" s="369" t="n">
        <v>0.4</v>
      </c>
      <c r="K111" s="435" t="n">
        <v>23</v>
      </c>
      <c r="L111" s="372">
        <f>IF(I111=" "," ",I111*J111*K111)</f>
        <v/>
      </c>
      <c r="M111" s="438" t="n">
        <v>7</v>
      </c>
      <c r="N111" s="435" t="n">
        <v>0</v>
      </c>
      <c r="O111" s="438" t="n">
        <v>0</v>
      </c>
      <c r="P111" s="369">
        <f>IF(M111=" "," ",(1+(M111+N111+O111)/100))</f>
        <v/>
      </c>
      <c r="Q111" s="374">
        <f>IF(L111=" "," ",L111*P111)</f>
        <v/>
      </c>
    </row>
    <row r="112">
      <c r="A112" s="432" t="inlineStr">
        <is>
          <t>ÇP</t>
        </is>
      </c>
      <c r="B112" s="433" t="inlineStr">
        <is>
          <t>D</t>
        </is>
      </c>
      <c r="C112" s="434" t="n"/>
      <c r="D112" s="369" t="n">
        <v>1.5</v>
      </c>
      <c r="E112" s="369" t="n">
        <v>2.2</v>
      </c>
      <c r="F112" s="369">
        <f>IF(D112=0," ",D112*E112)</f>
        <v/>
      </c>
      <c r="G112" s="435" t="n">
        <v>1</v>
      </c>
      <c r="H112" s="436" t="n"/>
      <c r="I112" s="369">
        <f>IF(F112=" "," ",F112*G112-H112)</f>
        <v/>
      </c>
      <c r="J112" s="369" t="n">
        <v>1.8</v>
      </c>
      <c r="K112" s="435" t="n">
        <v>23</v>
      </c>
      <c r="L112" s="372">
        <f>IF(I112=" "," ",I112*J112*K112)</f>
        <v/>
      </c>
      <c r="M112" s="438" t="n">
        <v>7</v>
      </c>
      <c r="N112" s="435" t="n">
        <v>0</v>
      </c>
      <c r="O112" s="438" t="n">
        <v>0</v>
      </c>
      <c r="P112" s="369">
        <f>IF(M112=" "," ",(1+(M112+N112+O112)/100))</f>
        <v/>
      </c>
      <c r="Q112" s="374">
        <f>IF(L112=" "," ",L112*P112)</f>
        <v/>
      </c>
    </row>
    <row r="113">
      <c r="A113" s="432" t="inlineStr">
        <is>
          <t>DD</t>
        </is>
      </c>
      <c r="B113" s="433" t="inlineStr">
        <is>
          <t>G</t>
        </is>
      </c>
      <c r="C113" s="434" t="n"/>
      <c r="D113" s="369" t="n">
        <v>3.28</v>
      </c>
      <c r="E113" s="369" t="n">
        <v>3</v>
      </c>
      <c r="F113" s="369">
        <f>IF(D113=0," ",D113*E113)</f>
        <v/>
      </c>
      <c r="G113" s="435" t="n">
        <v>1</v>
      </c>
      <c r="H113" s="436">
        <f>F114*G114</f>
        <v/>
      </c>
      <c r="I113" s="369">
        <f>IF(F113=" "," ",F113*G113-H113)</f>
        <v/>
      </c>
      <c r="J113" s="369" t="n">
        <v>0.4</v>
      </c>
      <c r="K113" s="435" t="n">
        <v>23</v>
      </c>
      <c r="L113" s="372">
        <f>IF(I113=" "," ",I113*J113*K113)</f>
        <v/>
      </c>
      <c r="M113" s="438" t="n">
        <v>7</v>
      </c>
      <c r="N113" s="435" t="n">
        <v>0</v>
      </c>
      <c r="O113" s="438" t="n">
        <v>-5</v>
      </c>
      <c r="P113" s="369">
        <f>IF(M113=" "," ",(1+(M113+N113+O113)/100))</f>
        <v/>
      </c>
      <c r="Q113" s="374">
        <f>IF(L113=" "," ",L113*P113)</f>
        <v/>
      </c>
    </row>
    <row r="114">
      <c r="A114" s="432" t="inlineStr">
        <is>
          <t>ÇP</t>
        </is>
      </c>
      <c r="B114" s="433" t="inlineStr">
        <is>
          <t>G</t>
        </is>
      </c>
      <c r="C114" s="434" t="n"/>
      <c r="D114" s="369" t="n">
        <v>2</v>
      </c>
      <c r="E114" s="369" t="n">
        <v>2.2</v>
      </c>
      <c r="F114" s="369">
        <f>IF(D114=0," ",D114*E114)</f>
        <v/>
      </c>
      <c r="G114" s="435" t="n">
        <v>1</v>
      </c>
      <c r="H114" s="436" t="n"/>
      <c r="I114" s="369">
        <f>IF(F114=" "," ",F114*G114-H114)</f>
        <v/>
      </c>
      <c r="J114" s="369" t="n">
        <v>1.8</v>
      </c>
      <c r="K114" s="435" t="n">
        <v>23</v>
      </c>
      <c r="L114" s="372">
        <f>IF(I114=" "," ",I114*J114*K114)</f>
        <v/>
      </c>
      <c r="M114" s="438" t="n">
        <v>7</v>
      </c>
      <c r="N114" s="435" t="n">
        <v>0</v>
      </c>
      <c r="O114" s="438" t="n">
        <v>-5</v>
      </c>
      <c r="P114" s="369">
        <f>IF(M114=" "," ",(1+(M114+N114+O114)/100))</f>
        <v/>
      </c>
      <c r="Q114" s="374">
        <f>IF(L114=" "," ",L114*P114)</f>
        <v/>
      </c>
    </row>
    <row r="115">
      <c r="A115" s="432" t="inlineStr">
        <is>
          <t>DD</t>
        </is>
      </c>
      <c r="B115" s="433" t="inlineStr">
        <is>
          <t>B</t>
        </is>
      </c>
      <c r="C115" s="434" t="n"/>
      <c r="D115" s="369" t="n">
        <v>1.16</v>
      </c>
      <c r="E115" s="369" t="n">
        <v>3</v>
      </c>
      <c r="F115" s="369">
        <f>IF(D115=0," ",D115*E115)</f>
        <v/>
      </c>
      <c r="G115" s="435" t="n">
        <v>1</v>
      </c>
      <c r="H115" s="436" t="n"/>
      <c r="I115" s="369">
        <f>IF(F115=" "," ",F115*G115-H115)</f>
        <v/>
      </c>
      <c r="J115" s="369" t="n">
        <v>0.4</v>
      </c>
      <c r="K115" s="435" t="n">
        <v>23</v>
      </c>
      <c r="L115" s="372">
        <f>IF(I115=" "," ",I115*J115*K115)</f>
        <v/>
      </c>
      <c r="M115" s="438" t="n">
        <v>7</v>
      </c>
      <c r="N115" s="435" t="n">
        <v>0</v>
      </c>
      <c r="O115" s="438" t="n">
        <v>0</v>
      </c>
      <c r="P115" s="369">
        <f>IF(M115=" "," ",(1+(M115+N115+O115)/100))</f>
        <v/>
      </c>
      <c r="Q115" s="374">
        <f>IF(L115=" "," ",L115*P115)</f>
        <v/>
      </c>
    </row>
    <row r="116">
      <c r="A116" s="432" t="inlineStr">
        <is>
          <t>Dö</t>
        </is>
      </c>
      <c r="B116" s="433" t="n"/>
      <c r="C116" s="434" t="n"/>
      <c r="D116" s="369" t="n">
        <v>22.41</v>
      </c>
      <c r="E116" s="369" t="n">
        <v>1</v>
      </c>
      <c r="F116" s="369">
        <f>IF(D116=0," ",D116*E116)</f>
        <v/>
      </c>
      <c r="G116" s="435" t="n">
        <v>1</v>
      </c>
      <c r="H116" s="436" t="n"/>
      <c r="I116" s="369">
        <f>IF(F116=" "," ",F116*G116-H116)</f>
        <v/>
      </c>
      <c r="J116" s="369" t="n">
        <v>0.35</v>
      </c>
      <c r="K116" s="435" t="n">
        <v>14</v>
      </c>
      <c r="L116" s="372">
        <f>IF(I116=" "," ",I116*J116*K116)</f>
        <v/>
      </c>
      <c r="M116" s="438" t="n">
        <v>7</v>
      </c>
      <c r="N116" s="435" t="n">
        <v>0</v>
      </c>
      <c r="O116" s="438" t="n">
        <v>0</v>
      </c>
      <c r="P116" s="369">
        <f>IF(M116=" "," ",(1+(M116+N116+O116)/100))</f>
        <v/>
      </c>
      <c r="Q116" s="374">
        <f>IF(L116=" "," ",L116*P116)</f>
        <v/>
      </c>
    </row>
    <row r="117">
      <c r="A117" s="441" t="n"/>
      <c r="B117" s="442" t="n"/>
      <c r="C117" s="442" t="n"/>
      <c r="D117" s="378" t="n"/>
      <c r="E117" s="378" t="n"/>
      <c r="F117" s="378" t="n"/>
      <c r="G117" s="443" t="n"/>
      <c r="H117" s="378" t="n"/>
      <c r="I117" s="378" t="n"/>
      <c r="J117" s="378" t="n"/>
      <c r="K117" s="443" t="n"/>
      <c r="L117" s="380" t="n"/>
      <c r="M117" s="473" t="n"/>
      <c r="N117" s="473" t="n"/>
      <c r="O117" s="473" t="n"/>
      <c r="P117" s="382" t="n"/>
      <c r="Q117" s="383">
        <f>SUM(Q111:Q116)</f>
        <v/>
      </c>
    </row>
    <row r="118">
      <c r="A118" s="445" t="n"/>
      <c r="B118" s="446" t="n"/>
      <c r="C118" s="446" t="n"/>
      <c r="D118" s="447" t="n"/>
      <c r="E118" s="448" t="n"/>
      <c r="F118" s="388" t="n"/>
      <c r="G118" s="396" t="n"/>
      <c r="H118" s="388" t="n"/>
      <c r="I118" s="391" t="n"/>
      <c r="J118" s="449" t="inlineStr">
        <is>
          <t>Qs=</t>
        </is>
      </c>
      <c r="K118" s="391" t="inlineStr">
        <is>
          <t>a</t>
        </is>
      </c>
      <c r="L118" s="388" t="inlineStr">
        <is>
          <t>L</t>
        </is>
      </c>
      <c r="M118" s="396" t="inlineStr">
        <is>
          <t>R</t>
        </is>
      </c>
      <c r="N118" s="450" t="inlineStr">
        <is>
          <t>H</t>
        </is>
      </c>
      <c r="O118" s="451" t="inlineStr">
        <is>
          <t>D  T</t>
        </is>
      </c>
      <c r="P118" s="396" t="inlineStr">
        <is>
          <t>Ze</t>
        </is>
      </c>
      <c r="Q118" s="397" t="n"/>
    </row>
    <row r="119">
      <c r="A119" s="474" t="n"/>
      <c r="C119" s="411" t="n"/>
      <c r="D119" s="411" t="n"/>
      <c r="E119" s="475" t="n"/>
      <c r="F119" s="402" t="n"/>
      <c r="G119" s="476" t="n"/>
      <c r="H119" s="477" t="n"/>
      <c r="I119" s="405" t="n"/>
      <c r="J119" s="455" t="inlineStr">
        <is>
          <t>Qs  =</t>
        </is>
      </c>
      <c r="K119" s="382" t="n">
        <v>2</v>
      </c>
      <c r="L119" s="382">
        <f>(D112+E112)*2*G112+(D114+E114)*2*G114</f>
        <v/>
      </c>
      <c r="M119" s="382" t="n">
        <v>0.9</v>
      </c>
      <c r="N119" s="382" t="n">
        <v>0.67</v>
      </c>
      <c r="O119" s="473" t="n">
        <v>23</v>
      </c>
      <c r="P119" s="382" t="n">
        <v>1.2</v>
      </c>
      <c r="Q119" s="383">
        <f>K119*L119*M119*N119*O119*P119</f>
        <v/>
      </c>
    </row>
    <row r="120">
      <c r="A120" s="457" t="n"/>
      <c r="B120" s="458" t="n"/>
      <c r="C120" s="411" t="n"/>
      <c r="D120" s="411" t="n"/>
      <c r="E120" s="378" t="n"/>
      <c r="F120" s="256" t="n"/>
      <c r="G120" s="459" t="n"/>
      <c r="H120" s="411" t="n"/>
      <c r="I120" s="411" t="n"/>
      <c r="J120" s="411" t="n"/>
      <c r="K120" s="459" t="n"/>
      <c r="L120" s="412" t="n"/>
      <c r="M120" s="415" t="inlineStr">
        <is>
          <t xml:space="preserve">   TOPLAM ISI KAYBI =</t>
        </is>
      </c>
      <c r="N120" s="415" t="n"/>
      <c r="O120" s="478" t="n"/>
      <c r="P120" s="415" t="n"/>
      <c r="Q120" s="416">
        <f>Q117+Q119</f>
        <v/>
      </c>
    </row>
    <row r="122">
      <c r="A122" s="471" t="n"/>
      <c r="B122" s="429" t="n"/>
      <c r="C122" s="429" t="n"/>
      <c r="D122" s="429" t="n"/>
      <c r="E122" s="429" t="n"/>
      <c r="F122" s="426" t="inlineStr">
        <is>
          <t>Z12</t>
        </is>
      </c>
      <c r="G122" s="472" t="n"/>
      <c r="H122" s="429" t="n"/>
      <c r="I122" s="427" t="inlineStr">
        <is>
          <t>D2 MUTFAK</t>
        </is>
      </c>
      <c r="J122" s="264" t="n"/>
      <c r="K122" s="429" t="inlineStr">
        <is>
          <t>20ºC</t>
        </is>
      </c>
      <c r="L122" s="429" t="n"/>
      <c r="M122" s="429" t="n"/>
      <c r="N122" s="429" t="n"/>
      <c r="O122" s="429" t="n"/>
      <c r="P122" s="429" t="n"/>
      <c r="Q122" s="430" t="n"/>
    </row>
    <row r="123">
      <c r="A123" s="432" t="inlineStr">
        <is>
          <t>DD</t>
        </is>
      </c>
      <c r="B123" s="433" t="inlineStr">
        <is>
          <t>G</t>
        </is>
      </c>
      <c r="C123" s="434" t="n"/>
      <c r="D123" s="369" t="n">
        <v>2.7</v>
      </c>
      <c r="E123" s="369" t="n">
        <v>3</v>
      </c>
      <c r="F123" s="369">
        <f>IF(D123=0," ",D123*E123)</f>
        <v/>
      </c>
      <c r="G123" s="435" t="n">
        <v>1</v>
      </c>
      <c r="H123" s="436" t="n"/>
      <c r="I123" s="369">
        <f>IF(F123=" "," ",F123*G123-H123)</f>
        <v/>
      </c>
      <c r="J123" s="369" t="n">
        <v>0.4</v>
      </c>
      <c r="K123" s="435" t="n">
        <v>23</v>
      </c>
      <c r="L123" s="372">
        <f>IF(I123=" "," ",I123*J123*K123)</f>
        <v/>
      </c>
      <c r="M123" s="438" t="n">
        <v>7</v>
      </c>
      <c r="N123" s="435" t="n">
        <v>0</v>
      </c>
      <c r="O123" s="438" t="n">
        <v>-5</v>
      </c>
      <c r="P123" s="369">
        <f>IF(M123=" "," ",(1+(M123+N123+O123)/100))</f>
        <v/>
      </c>
      <c r="Q123" s="374">
        <f>IF(L123=" "," ",L123*P123)</f>
        <v/>
      </c>
    </row>
    <row r="124">
      <c r="A124" s="432" t="inlineStr">
        <is>
          <t>İD</t>
        </is>
      </c>
      <c r="B124" s="433" t="n"/>
      <c r="C124" s="434" t="n"/>
      <c r="D124" s="369" t="n">
        <v>3.4</v>
      </c>
      <c r="E124" s="369" t="n">
        <v>3</v>
      </c>
      <c r="F124" s="369">
        <f>IF(D124=0," ",D124*E124)</f>
        <v/>
      </c>
      <c r="G124" s="435" t="n">
        <v>1</v>
      </c>
      <c r="H124" s="436" t="n"/>
      <c r="I124" s="369">
        <f>IF(F124=" "," ",F124*G124-H124)</f>
        <v/>
      </c>
      <c r="J124" s="369" t="n">
        <v>0.8139999999999999</v>
      </c>
      <c r="K124" s="435" t="n">
        <v>10</v>
      </c>
      <c r="L124" s="372">
        <f>IF(I124=" "," ",I124*J124*K124)</f>
        <v/>
      </c>
      <c r="M124" s="438" t="n">
        <v>7</v>
      </c>
      <c r="N124" s="435" t="n">
        <v>0</v>
      </c>
      <c r="O124" s="438" t="n">
        <v>0</v>
      </c>
      <c r="P124" s="369">
        <f>IF(M124=" "," ",(1+(M124+N124+O124)/100))</f>
        <v/>
      </c>
      <c r="Q124" s="374">
        <f>IF(L124=" "," ",L124*P124)</f>
        <v/>
      </c>
    </row>
    <row r="125">
      <c r="A125" s="432" t="inlineStr">
        <is>
          <t>İD</t>
        </is>
      </c>
      <c r="B125" s="433" t="n"/>
      <c r="C125" s="434" t="n"/>
      <c r="D125" s="369" t="n">
        <v>2.8</v>
      </c>
      <c r="E125" s="369" t="n">
        <v>3</v>
      </c>
      <c r="F125" s="369">
        <f>IF(D125=0," ",D125*E125)</f>
        <v/>
      </c>
      <c r="G125" s="435" t="n">
        <v>1</v>
      </c>
      <c r="H125" s="436" t="n"/>
      <c r="I125" s="369">
        <f>IF(F125=" "," ",F125*G125-H125)</f>
        <v/>
      </c>
      <c r="J125" s="369" t="n">
        <v>0.8139999999999999</v>
      </c>
      <c r="K125" s="435" t="n">
        <v>5</v>
      </c>
      <c r="L125" s="372">
        <f>IF(I125=" "," ",I125*J125*K125)</f>
        <v/>
      </c>
      <c r="M125" s="438" t="n">
        <v>7</v>
      </c>
      <c r="N125" s="435" t="n">
        <v>0</v>
      </c>
      <c r="O125" s="438" t="n">
        <v>0</v>
      </c>
      <c r="P125" s="369">
        <f>IF(M125=" "," ",(1+(M125+N125+O125)/100))</f>
        <v/>
      </c>
      <c r="Q125" s="374">
        <f>IF(L125=" "," ",L125*P125)</f>
        <v/>
      </c>
    </row>
    <row r="126">
      <c r="A126" s="432" t="inlineStr">
        <is>
          <t>Dö</t>
        </is>
      </c>
      <c r="B126" s="433" t="n"/>
      <c r="C126" s="434" t="n"/>
      <c r="D126" s="369" t="n">
        <v>9.52</v>
      </c>
      <c r="E126" s="369" t="n">
        <v>1</v>
      </c>
      <c r="F126" s="369">
        <f>IF(D126=0," ",D126*E126)</f>
        <v/>
      </c>
      <c r="G126" s="435" t="n">
        <v>1</v>
      </c>
      <c r="H126" s="436" t="n"/>
      <c r="I126" s="369">
        <f>IF(F126=" "," ",F126*G126-H126)</f>
        <v/>
      </c>
      <c r="J126" s="369" t="n">
        <v>0.35</v>
      </c>
      <c r="K126" s="435" t="n">
        <v>14</v>
      </c>
      <c r="L126" s="372">
        <f>IF(I126=" "," ",I126*J126*K126)</f>
        <v/>
      </c>
      <c r="M126" s="438" t="n">
        <v>7</v>
      </c>
      <c r="N126" s="435" t="n">
        <v>0</v>
      </c>
      <c r="O126" s="438" t="n">
        <v>0</v>
      </c>
      <c r="P126" s="369">
        <f>IF(M126=" "," ",(1+(M126+N126+O126)/100))</f>
        <v/>
      </c>
      <c r="Q126" s="374">
        <f>IF(L126=" "," ",L126*P126)</f>
        <v/>
      </c>
    </row>
    <row r="127">
      <c r="A127" s="441" t="n"/>
      <c r="B127" s="442" t="n"/>
      <c r="C127" s="442" t="n"/>
      <c r="D127" s="378" t="n"/>
      <c r="E127" s="378" t="n"/>
      <c r="F127" s="378" t="n"/>
      <c r="G127" s="443" t="n"/>
      <c r="H127" s="378" t="n"/>
      <c r="I127" s="378" t="n"/>
      <c r="J127" s="378" t="n"/>
      <c r="K127" s="443" t="n"/>
      <c r="L127" s="380" t="n"/>
      <c r="M127" s="473" t="n"/>
      <c r="N127" s="473" t="n"/>
      <c r="O127" s="473" t="n"/>
      <c r="P127" s="382" t="n"/>
      <c r="Q127" s="383">
        <f>SUM(Q123:Q126)</f>
        <v/>
      </c>
    </row>
    <row r="128">
      <c r="A128" s="445" t="n"/>
      <c r="B128" s="446" t="n"/>
      <c r="C128" s="446" t="n"/>
      <c r="D128" s="447" t="n"/>
      <c r="E128" s="448" t="n"/>
      <c r="F128" s="388" t="n"/>
      <c r="G128" s="396" t="n"/>
      <c r="H128" s="388" t="n"/>
      <c r="I128" s="391" t="n"/>
      <c r="J128" s="449" t="inlineStr">
        <is>
          <t>Qs=</t>
        </is>
      </c>
      <c r="K128" s="391" t="inlineStr">
        <is>
          <t>a</t>
        </is>
      </c>
      <c r="L128" s="388" t="inlineStr">
        <is>
          <t>L</t>
        </is>
      </c>
      <c r="M128" s="396" t="inlineStr">
        <is>
          <t>R</t>
        </is>
      </c>
      <c r="N128" s="450" t="inlineStr">
        <is>
          <t>H</t>
        </is>
      </c>
      <c r="O128" s="451" t="inlineStr">
        <is>
          <t>D  T</t>
        </is>
      </c>
      <c r="P128" s="396" t="inlineStr">
        <is>
          <t>Ze</t>
        </is>
      </c>
      <c r="Q128" s="397" t="n"/>
    </row>
    <row r="129">
      <c r="A129" s="474" t="n"/>
      <c r="C129" s="411" t="n"/>
      <c r="D129" s="411" t="n"/>
      <c r="E129" s="475" t="n"/>
      <c r="F129" s="402" t="n"/>
      <c r="G129" s="476" t="n"/>
      <c r="H129" s="477" t="n"/>
      <c r="I129" s="405" t="n"/>
      <c r="J129" s="455" t="inlineStr">
        <is>
          <t>Qs  =</t>
        </is>
      </c>
      <c r="K129" s="382" t="n">
        <v>2</v>
      </c>
      <c r="L129" s="382" t="n">
        <v>0</v>
      </c>
      <c r="M129" s="382" t="n">
        <v>0.9</v>
      </c>
      <c r="N129" s="382" t="n">
        <v>0.67</v>
      </c>
      <c r="O129" s="473" t="n">
        <v>23</v>
      </c>
      <c r="P129" s="382" t="n">
        <v>1.2</v>
      </c>
      <c r="Q129" s="383">
        <f>K129*L129*M129*N129*O129*P129</f>
        <v/>
      </c>
    </row>
    <row r="130">
      <c r="A130" s="457" t="n"/>
      <c r="B130" s="458" t="n"/>
      <c r="C130" s="411" t="n"/>
      <c r="D130" s="411" t="n"/>
      <c r="E130" s="378" t="n"/>
      <c r="F130" s="256" t="n"/>
      <c r="G130" s="459" t="n"/>
      <c r="H130" s="411" t="n"/>
      <c r="I130" s="411" t="n"/>
      <c r="J130" s="411" t="n"/>
      <c r="K130" s="459" t="n"/>
      <c r="L130" s="412" t="n"/>
      <c r="M130" s="415" t="inlineStr">
        <is>
          <t xml:space="preserve">   TOPLAM ISI KAYBI =</t>
        </is>
      </c>
      <c r="N130" s="415" t="n"/>
      <c r="O130" s="478" t="n"/>
      <c r="P130" s="415" t="n"/>
      <c r="Q130" s="416">
        <f>Q127+Q129</f>
        <v/>
      </c>
    </row>
    <row r="132">
      <c r="A132" s="471" t="n"/>
      <c r="B132" s="429" t="n"/>
      <c r="C132" s="429" t="n"/>
      <c r="D132" s="429" t="n"/>
      <c r="E132" s="429" t="n"/>
      <c r="F132" s="426" t="inlineStr">
        <is>
          <t>Z13</t>
        </is>
      </c>
      <c r="G132" s="472" t="n"/>
      <c r="H132" s="429" t="n"/>
      <c r="I132" s="427" t="inlineStr">
        <is>
          <t>D2 BANYO-WC</t>
        </is>
      </c>
      <c r="J132" s="264" t="n"/>
      <c r="K132" s="429" t="inlineStr">
        <is>
          <t>24ºC</t>
        </is>
      </c>
      <c r="L132" s="429" t="n"/>
      <c r="M132" s="429" t="n"/>
      <c r="N132" s="429" t="n"/>
      <c r="O132" s="429" t="n"/>
      <c r="P132" s="429" t="n"/>
      <c r="Q132" s="430" t="n"/>
    </row>
    <row r="133">
      <c r="A133" s="432" t="inlineStr">
        <is>
          <t>İD</t>
        </is>
      </c>
      <c r="B133" s="433" t="n"/>
      <c r="C133" s="434" t="n"/>
      <c r="D133" s="369" t="n">
        <v>1.82</v>
      </c>
      <c r="E133" s="369" t="n">
        <v>3</v>
      </c>
      <c r="F133" s="369">
        <f>IF(D133=0," ",D133*E133)</f>
        <v/>
      </c>
      <c r="G133" s="435" t="n">
        <v>1</v>
      </c>
      <c r="H133" s="436" t="n"/>
      <c r="I133" s="369">
        <f>IF(F133=" "," ",F133*G133-H133)</f>
        <v/>
      </c>
      <c r="J133" s="369" t="n">
        <v>0.8139999999999999</v>
      </c>
      <c r="K133" s="435" t="n">
        <v>14</v>
      </c>
      <c r="L133" s="372">
        <f>IF(I133=" "," ",I133*J133*K133)</f>
        <v/>
      </c>
      <c r="M133" s="438" t="n">
        <v>7</v>
      </c>
      <c r="N133" s="435" t="n">
        <v>0</v>
      </c>
      <c r="O133" s="438" t="n">
        <v>0</v>
      </c>
      <c r="P133" s="369">
        <f>IF(M133=" "," ",(1+(M133+N133+O133)/100))</f>
        <v/>
      </c>
      <c r="Q133" s="374">
        <f>IF(L133=" "," ",L133*P133)</f>
        <v/>
      </c>
    </row>
    <row r="134">
      <c r="A134" s="432" t="inlineStr">
        <is>
          <t>İD</t>
        </is>
      </c>
      <c r="B134" s="433" t="n"/>
      <c r="C134" s="434" t="n"/>
      <c r="D134" s="369" t="n">
        <v>5.58</v>
      </c>
      <c r="E134" s="369" t="n">
        <v>3</v>
      </c>
      <c r="F134" s="369">
        <f>IF(D134=0," ",D134*E134)</f>
        <v/>
      </c>
      <c r="G134" s="435" t="n">
        <v>1</v>
      </c>
      <c r="H134" s="436" t="n"/>
      <c r="I134" s="369">
        <f>IF(F134=" "," ",F134*G134-H134)</f>
        <v/>
      </c>
      <c r="J134" s="369" t="n">
        <v>0.8139999999999999</v>
      </c>
      <c r="K134" s="435" t="n">
        <v>9</v>
      </c>
      <c r="L134" s="372">
        <f>IF(I134=" "," ",I134*J134*K134)</f>
        <v/>
      </c>
      <c r="M134" s="438" t="n">
        <v>7</v>
      </c>
      <c r="N134" s="435" t="n">
        <v>0</v>
      </c>
      <c r="O134" s="438" t="n">
        <v>0</v>
      </c>
      <c r="P134" s="369">
        <f>IF(M134=" "," ",(1+(M134+N134+O134)/100))</f>
        <v/>
      </c>
      <c r="Q134" s="374">
        <f>IF(L134=" "," ",L134*P134)</f>
        <v/>
      </c>
    </row>
    <row r="135">
      <c r="A135" s="432" t="inlineStr">
        <is>
          <t>Dö</t>
        </is>
      </c>
      <c r="B135" s="433" t="n"/>
      <c r="C135" s="434" t="n"/>
      <c r="D135" s="369" t="n">
        <v>4.06</v>
      </c>
      <c r="E135" s="369" t="n">
        <v>1</v>
      </c>
      <c r="F135" s="369">
        <f>IF(D135=0," ",D135*E135)</f>
        <v/>
      </c>
      <c r="G135" s="435" t="n">
        <v>1</v>
      </c>
      <c r="H135" s="436" t="n"/>
      <c r="I135" s="369">
        <f>IF(F135=" "," ",F135*G135-H135)</f>
        <v/>
      </c>
      <c r="J135" s="369" t="n">
        <v>0.35</v>
      </c>
      <c r="K135" s="435" t="n">
        <v>18</v>
      </c>
      <c r="L135" s="372">
        <f>IF(I135=" "," ",I135*J135*K135)</f>
        <v/>
      </c>
      <c r="M135" s="438" t="n">
        <v>7</v>
      </c>
      <c r="N135" s="435" t="n">
        <v>0</v>
      </c>
      <c r="O135" s="438" t="n">
        <v>0</v>
      </c>
      <c r="P135" s="369">
        <f>IF(M135=" "," ",(1+(M135+N135+O135)/100))</f>
        <v/>
      </c>
      <c r="Q135" s="374">
        <f>IF(L135=" "," ",L135*P135)</f>
        <v/>
      </c>
    </row>
    <row r="136">
      <c r="A136" s="441" t="n"/>
      <c r="B136" s="442" t="n"/>
      <c r="C136" s="442" t="n"/>
      <c r="D136" s="378" t="n"/>
      <c r="E136" s="378" t="n"/>
      <c r="F136" s="378" t="n"/>
      <c r="G136" s="443" t="n"/>
      <c r="H136" s="378" t="n"/>
      <c r="I136" s="378" t="n"/>
      <c r="J136" s="378" t="n"/>
      <c r="K136" s="443" t="n"/>
      <c r="L136" s="380" t="n"/>
      <c r="M136" s="473" t="n"/>
      <c r="N136" s="473" t="n"/>
      <c r="O136" s="473" t="n"/>
      <c r="P136" s="382" t="n"/>
      <c r="Q136" s="383">
        <f>SUM(Q133:Q135)</f>
        <v/>
      </c>
    </row>
    <row r="137">
      <c r="A137" s="445" t="n"/>
      <c r="B137" s="446" t="n"/>
      <c r="C137" s="446" t="n"/>
      <c r="D137" s="447" t="n"/>
      <c r="E137" s="448" t="n"/>
      <c r="F137" s="388" t="n"/>
      <c r="G137" s="396" t="n"/>
      <c r="H137" s="388" t="n"/>
      <c r="I137" s="391" t="n"/>
      <c r="J137" s="449" t="inlineStr">
        <is>
          <t>Qs=</t>
        </is>
      </c>
      <c r="K137" s="391" t="inlineStr">
        <is>
          <t>a</t>
        </is>
      </c>
      <c r="L137" s="388" t="inlineStr">
        <is>
          <t>L</t>
        </is>
      </c>
      <c r="M137" s="396" t="inlineStr">
        <is>
          <t>R</t>
        </is>
      </c>
      <c r="N137" s="450" t="inlineStr">
        <is>
          <t>H</t>
        </is>
      </c>
      <c r="O137" s="451" t="inlineStr">
        <is>
          <t>D  T</t>
        </is>
      </c>
      <c r="P137" s="396" t="inlineStr">
        <is>
          <t>Ze</t>
        </is>
      </c>
      <c r="Q137" s="397" t="n"/>
    </row>
    <row r="138">
      <c r="A138" s="474" t="n"/>
      <c r="C138" s="411" t="n"/>
      <c r="D138" s="411" t="n"/>
      <c r="E138" s="475" t="n"/>
      <c r="F138" s="402" t="n"/>
      <c r="G138" s="476" t="n"/>
      <c r="H138" s="477" t="n"/>
      <c r="I138" s="405" t="n"/>
      <c r="J138" s="455" t="inlineStr">
        <is>
          <t>Qs  =</t>
        </is>
      </c>
      <c r="K138" s="382" t="n">
        <v>2</v>
      </c>
      <c r="L138" s="382" t="n">
        <v>0</v>
      </c>
      <c r="M138" s="382" t="n">
        <v>0.9</v>
      </c>
      <c r="N138" s="382" t="n">
        <v>0.67</v>
      </c>
      <c r="O138" s="473" t="n">
        <v>27</v>
      </c>
      <c r="P138" s="382" t="n">
        <v>1.2</v>
      </c>
      <c r="Q138" s="383">
        <f>K138*L138*M138*N138*O138*P138</f>
        <v/>
      </c>
    </row>
    <row r="139">
      <c r="A139" s="457" t="n"/>
      <c r="B139" s="458" t="n"/>
      <c r="C139" s="411" t="n"/>
      <c r="D139" s="411" t="n"/>
      <c r="E139" s="378" t="n"/>
      <c r="F139" s="256" t="n"/>
      <c r="G139" s="459" t="n"/>
      <c r="H139" s="411" t="n"/>
      <c r="I139" s="411" t="n"/>
      <c r="J139" s="411" t="n"/>
      <c r="K139" s="459" t="n"/>
      <c r="L139" s="412" t="n"/>
      <c r="M139" s="415" t="inlineStr">
        <is>
          <t xml:space="preserve">   TOPLAM ISI KAYBI =</t>
        </is>
      </c>
      <c r="N139" s="415" t="n"/>
      <c r="O139" s="478" t="n"/>
      <c r="P139" s="415" t="n"/>
      <c r="Q139" s="416">
        <f>Q136+Q138</f>
        <v/>
      </c>
    </row>
    <row r="141">
      <c r="A141" s="471" t="n"/>
      <c r="B141" s="429" t="n"/>
      <c r="C141" s="429" t="n"/>
      <c r="D141" s="429" t="n"/>
      <c r="E141" s="429" t="n"/>
      <c r="F141" s="426" t="inlineStr">
        <is>
          <t>Z14</t>
        </is>
      </c>
      <c r="G141" s="472" t="n"/>
      <c r="H141" s="429" t="n"/>
      <c r="I141" s="427" t="inlineStr">
        <is>
          <t>D2 BANYO-WC</t>
        </is>
      </c>
      <c r="J141" s="264" t="n"/>
      <c r="K141" s="429" t="inlineStr">
        <is>
          <t>24ºC</t>
        </is>
      </c>
      <c r="L141" s="429" t="n"/>
      <c r="M141" s="429" t="n"/>
      <c r="N141" s="429" t="n"/>
      <c r="O141" s="429" t="n"/>
      <c r="P141" s="429" t="n"/>
      <c r="Q141" s="430" t="n"/>
    </row>
    <row r="142">
      <c r="A142" s="432" t="inlineStr">
        <is>
          <t>İD</t>
        </is>
      </c>
      <c r="B142" s="433" t="n"/>
      <c r="C142" s="434" t="n"/>
      <c r="D142" s="369" t="n">
        <v>1.76</v>
      </c>
      <c r="E142" s="369" t="n">
        <v>3</v>
      </c>
      <c r="F142" s="369">
        <f>IF(D142=0," ",D142*E142)</f>
        <v/>
      </c>
      <c r="G142" s="435" t="n">
        <v>1</v>
      </c>
      <c r="H142" s="436" t="n"/>
      <c r="I142" s="369">
        <f>IF(F142=" "," ",F142*G142-H142)</f>
        <v/>
      </c>
      <c r="J142" s="369" t="n">
        <v>0.8139999999999999</v>
      </c>
      <c r="K142" s="435" t="n">
        <v>9</v>
      </c>
      <c r="L142" s="372">
        <f>IF(I142=" "," ",I142*J142*K142)</f>
        <v/>
      </c>
      <c r="M142" s="438" t="n">
        <v>7</v>
      </c>
      <c r="N142" s="435" t="n">
        <v>0</v>
      </c>
      <c r="O142" s="438" t="n">
        <v>0</v>
      </c>
      <c r="P142" s="369">
        <f>IF(M142=" "," ",(1+(M142+N142+O142)/100))</f>
        <v/>
      </c>
      <c r="Q142" s="374">
        <f>IF(L142=" "," ",L142*P142)</f>
        <v/>
      </c>
    </row>
    <row r="143">
      <c r="A143" s="432" t="inlineStr">
        <is>
          <t>İD</t>
        </is>
      </c>
      <c r="B143" s="433" t="n"/>
      <c r="C143" s="434" t="n"/>
      <c r="D143" s="369" t="n">
        <v>1.16</v>
      </c>
      <c r="E143" s="369" t="n">
        <v>3</v>
      </c>
      <c r="F143" s="369">
        <f>IF(D143=0," ",D143*E143)</f>
        <v/>
      </c>
      <c r="G143" s="435" t="n">
        <v>1</v>
      </c>
      <c r="H143" s="436" t="n"/>
      <c r="I143" s="369">
        <f>IF(F143=" "," ",F143*G143-H143)</f>
        <v/>
      </c>
      <c r="J143" s="369" t="n">
        <v>0.8139999999999999</v>
      </c>
      <c r="K143" s="435" t="n">
        <v>4</v>
      </c>
      <c r="L143" s="372">
        <f>IF(I143=" "," ",I143*J143*K143)</f>
        <v/>
      </c>
      <c r="M143" s="438" t="n">
        <v>7</v>
      </c>
      <c r="N143" s="435" t="n">
        <v>0</v>
      </c>
      <c r="O143" s="438" t="n">
        <v>0</v>
      </c>
      <c r="P143" s="369">
        <f>IF(M143=" "," ",(1+(M143+N143+O143)/100))</f>
        <v/>
      </c>
      <c r="Q143" s="374">
        <f>IF(L143=" "," ",L143*P143)</f>
        <v/>
      </c>
    </row>
    <row r="144">
      <c r="A144" s="432" t="inlineStr">
        <is>
          <t>Dö</t>
        </is>
      </c>
      <c r="B144" s="433" t="n"/>
      <c r="C144" s="434" t="n"/>
      <c r="D144" s="369" t="n">
        <v>2.41</v>
      </c>
      <c r="E144" s="369" t="n">
        <v>1</v>
      </c>
      <c r="F144" s="369">
        <f>IF(D144=0," ",D144*E144)</f>
        <v/>
      </c>
      <c r="G144" s="435" t="n">
        <v>1</v>
      </c>
      <c r="H144" s="436" t="n"/>
      <c r="I144" s="369">
        <f>IF(F144=" "," ",F144*G144-H144)</f>
        <v/>
      </c>
      <c r="J144" s="369" t="n">
        <v>0.35</v>
      </c>
      <c r="K144" s="435" t="n">
        <v>18</v>
      </c>
      <c r="L144" s="372">
        <f>IF(I144=" "," ",I144*J144*K144)</f>
        <v/>
      </c>
      <c r="M144" s="438" t="n">
        <v>7</v>
      </c>
      <c r="N144" s="435" t="n">
        <v>0</v>
      </c>
      <c r="O144" s="438" t="n">
        <v>0</v>
      </c>
      <c r="P144" s="369">
        <f>IF(M144=" "," ",(1+(M144+N144+O144)/100))</f>
        <v/>
      </c>
      <c r="Q144" s="374">
        <f>IF(L144=" "," ",L144*P144)</f>
        <v/>
      </c>
    </row>
    <row r="145">
      <c r="A145" s="441" t="n"/>
      <c r="B145" s="442" t="n"/>
      <c r="C145" s="442" t="n"/>
      <c r="D145" s="378" t="n"/>
      <c r="E145" s="378" t="n"/>
      <c r="F145" s="378" t="n"/>
      <c r="G145" s="443" t="n"/>
      <c r="H145" s="378" t="n"/>
      <c r="I145" s="378" t="n"/>
      <c r="J145" s="378" t="n"/>
      <c r="K145" s="443" t="n"/>
      <c r="L145" s="380" t="n"/>
      <c r="M145" s="473" t="n"/>
      <c r="N145" s="473" t="n"/>
      <c r="O145" s="473" t="n"/>
      <c r="P145" s="382" t="n"/>
      <c r="Q145" s="383">
        <f>SUM(Q142:Q144)</f>
        <v/>
      </c>
    </row>
    <row r="146">
      <c r="A146" s="445" t="n"/>
      <c r="B146" s="446" t="n"/>
      <c r="C146" s="446" t="n"/>
      <c r="D146" s="447" t="n"/>
      <c r="E146" s="448" t="n"/>
      <c r="F146" s="388" t="n"/>
      <c r="G146" s="396" t="n"/>
      <c r="H146" s="388" t="n"/>
      <c r="I146" s="391" t="n"/>
      <c r="J146" s="449" t="inlineStr">
        <is>
          <t>Qs=</t>
        </is>
      </c>
      <c r="K146" s="391" t="inlineStr">
        <is>
          <t>a</t>
        </is>
      </c>
      <c r="L146" s="388" t="inlineStr">
        <is>
          <t>L</t>
        </is>
      </c>
      <c r="M146" s="396" t="inlineStr">
        <is>
          <t>R</t>
        </is>
      </c>
      <c r="N146" s="450" t="inlineStr">
        <is>
          <t>H</t>
        </is>
      </c>
      <c r="O146" s="451" t="inlineStr">
        <is>
          <t>D  T</t>
        </is>
      </c>
      <c r="P146" s="396" t="inlineStr">
        <is>
          <t>Ze</t>
        </is>
      </c>
      <c r="Q146" s="397" t="n"/>
    </row>
    <row r="147">
      <c r="A147" s="474" t="n"/>
      <c r="C147" s="411" t="n"/>
      <c r="D147" s="411" t="n"/>
      <c r="E147" s="475" t="n"/>
      <c r="F147" s="402" t="n"/>
      <c r="G147" s="476" t="n"/>
      <c r="H147" s="477" t="n"/>
      <c r="I147" s="405" t="n"/>
      <c r="J147" s="455" t="inlineStr">
        <is>
          <t>Qs  =</t>
        </is>
      </c>
      <c r="K147" s="382" t="n">
        <v>2</v>
      </c>
      <c r="L147" s="382" t="n">
        <v>0</v>
      </c>
      <c r="M147" s="382" t="n">
        <v>0.9</v>
      </c>
      <c r="N147" s="382" t="n">
        <v>0.67</v>
      </c>
      <c r="O147" s="473" t="n">
        <v>27</v>
      </c>
      <c r="P147" s="382" t="n">
        <v>1.2</v>
      </c>
      <c r="Q147" s="383">
        <f>K147*L147*M147*N147*O147*P147</f>
        <v/>
      </c>
    </row>
    <row r="148">
      <c r="A148" s="457" t="n"/>
      <c r="B148" s="458" t="n"/>
      <c r="C148" s="411" t="n"/>
      <c r="D148" s="411" t="n"/>
      <c r="E148" s="378" t="n"/>
      <c r="F148" s="256" t="n"/>
      <c r="G148" s="459" t="n"/>
      <c r="H148" s="411" t="n"/>
      <c r="I148" s="411" t="n"/>
      <c r="J148" s="411" t="n"/>
      <c r="K148" s="459" t="n"/>
      <c r="L148" s="412" t="n"/>
      <c r="M148" s="415" t="inlineStr">
        <is>
          <t xml:space="preserve">   TOPLAM ISI KAYBI =</t>
        </is>
      </c>
      <c r="N148" s="415" t="n"/>
      <c r="O148" s="478" t="n"/>
      <c r="P148" s="415" t="n"/>
      <c r="Q148" s="416">
        <f>Q145+Q147</f>
        <v/>
      </c>
    </row>
    <row r="150">
      <c r="M150" t="inlineStr">
        <is>
          <t>ZEMİN KAT TOPLAM =</t>
        </is>
      </c>
      <c r="Q150" s="494">
        <f>Q16+Q26+Q37+Q49+Q59+Q68+Q77+Q87+Q97+Q108+Q120+Q130+Q139+Q148</f>
        <v/>
      </c>
    </row>
  </sheetData>
  <mergeCells count="4">
    <mergeCell ref="M3:P3"/>
    <mergeCell ref="E3:H3"/>
    <mergeCell ref="I3:L3"/>
    <mergeCell ref="A3:D3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136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1. KAT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 t="inlineStr">
        <is>
          <t>ADAPEKER İNŞAAT MALZEMELERİ SANAYİ VE TİCARET LİMİTED ŞİRKETİ</t>
        </is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101</t>
        </is>
      </c>
      <c r="G8" s="362" t="n"/>
      <c r="H8" s="360" t="n"/>
      <c r="I8" s="363" t="inlineStr">
        <is>
          <t>D3 YATAK ODASI</t>
        </is>
      </c>
      <c r="J8" s="2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4" t="n"/>
    </row>
    <row r="9" ht="9.949999999999999" customFormat="1" customHeight="1" s="356">
      <c r="A9" s="365" t="inlineStr">
        <is>
          <t>DD</t>
        </is>
      </c>
      <c r="B9" s="366" t="inlineStr">
        <is>
          <t>K</t>
        </is>
      </c>
      <c r="C9" s="367" t="n"/>
      <c r="D9" s="368" t="n">
        <v>2.78</v>
      </c>
      <c r="E9" s="368" t="n">
        <v>3</v>
      </c>
      <c r="F9" s="369">
        <f>IF(D9=0," ",D9*E9)</f>
        <v/>
      </c>
      <c r="G9" s="370" t="n">
        <v>1</v>
      </c>
      <c r="H9" s="371">
        <f>F10*G10</f>
        <v/>
      </c>
      <c r="I9" s="369">
        <f>IF(F9=" "," ",F9*G9-H9)</f>
        <v/>
      </c>
      <c r="J9" s="368" t="n">
        <v>0.4</v>
      </c>
      <c r="K9" s="370" t="n">
        <v>23</v>
      </c>
      <c r="L9" s="372">
        <f>IF(I9=" "," ",I9*J9*K9)</f>
        <v/>
      </c>
      <c r="M9" s="373" t="n">
        <v>7</v>
      </c>
      <c r="N9" s="370" t="n">
        <v>0</v>
      </c>
      <c r="O9" s="373" t="n">
        <v>5</v>
      </c>
      <c r="P9" s="369">
        <f>IF(M9=" "," ",(1+(M9+N9+O9)/100))</f>
        <v/>
      </c>
      <c r="Q9" s="374">
        <f>IF(L9=" "," ",L9*P9)</f>
        <v/>
      </c>
    </row>
    <row r="10" ht="9.949999999999999" customFormat="1" customHeight="1" s="356">
      <c r="A10" s="365" t="inlineStr">
        <is>
          <t>ÇP</t>
        </is>
      </c>
      <c r="B10" s="366" t="inlineStr">
        <is>
          <t>K</t>
        </is>
      </c>
      <c r="C10" s="367" t="n"/>
      <c r="D10" s="368" t="n">
        <v>1.5</v>
      </c>
      <c r="E10" s="368" t="n">
        <v>2.2</v>
      </c>
      <c r="F10" s="369">
        <f>IF(D10=0," ",D10*E10)</f>
        <v/>
      </c>
      <c r="G10" s="370" t="n">
        <v>1</v>
      </c>
      <c r="H10" s="371" t="n"/>
      <c r="I10" s="369">
        <f>IF(F10=" "," ",F10*G10-H10)</f>
        <v/>
      </c>
      <c r="J10" s="368" t="n">
        <v>1.8</v>
      </c>
      <c r="K10" s="370" t="n">
        <v>23</v>
      </c>
      <c r="L10" s="372">
        <f>IF(I10=" "," ",I10*J10*K10)</f>
        <v/>
      </c>
      <c r="M10" s="373" t="n">
        <v>7</v>
      </c>
      <c r="N10" s="370" t="n">
        <v>0</v>
      </c>
      <c r="O10" s="373" t="n">
        <v>5</v>
      </c>
      <c r="P10" s="369">
        <f>IF(M10=" "," ",(1+(M10+N10+O10)/100))</f>
        <v/>
      </c>
      <c r="Q10" s="374">
        <f>IF(L10=" "," ",L10*P10)</f>
        <v/>
      </c>
    </row>
    <row r="11" ht="9.949999999999999" customFormat="1" customHeight="1" s="356">
      <c r="A11" s="365" t="inlineStr">
        <is>
          <t>DD</t>
        </is>
      </c>
      <c r="B11" s="366" t="inlineStr">
        <is>
          <t>B</t>
        </is>
      </c>
      <c r="C11" s="367" t="n"/>
      <c r="D11" s="368" t="n">
        <v>3.28</v>
      </c>
      <c r="E11" s="368" t="n">
        <v>3</v>
      </c>
      <c r="F11" s="369">
        <f>IF(D11=0," ",D11*E11)</f>
        <v/>
      </c>
      <c r="G11" s="370" t="n">
        <v>1</v>
      </c>
      <c r="H11" s="371" t="n"/>
      <c r="I11" s="369">
        <f>IF(F11=" "," ",F11*G11-H11)</f>
        <v/>
      </c>
      <c r="J11" s="368" t="n">
        <v>0.4</v>
      </c>
      <c r="K11" s="370" t="n">
        <v>23</v>
      </c>
      <c r="L11" s="372">
        <f>IF(I11=" "," ",I11*J11*K11)</f>
        <v/>
      </c>
      <c r="M11" s="373" t="n">
        <v>7</v>
      </c>
      <c r="N11" s="370" t="n">
        <v>0</v>
      </c>
      <c r="O11" s="373" t="n">
        <v>0</v>
      </c>
      <c r="P11" s="369">
        <f>IF(M11=" "," ",(1+(M11+N11+O11)/100))</f>
        <v/>
      </c>
      <c r="Q11" s="374">
        <f>IF(L11=" "," ",L11*P11)</f>
        <v/>
      </c>
    </row>
    <row r="12" ht="9.949999999999999" customFormat="1" customHeight="1" s="356">
      <c r="A12" s="375" t="n"/>
      <c r="B12" s="376" t="n"/>
      <c r="C12" s="376" t="n"/>
      <c r="D12" s="377" t="n"/>
      <c r="E12" s="377" t="n"/>
      <c r="F12" s="378" t="n"/>
      <c r="G12" s="379" t="n"/>
      <c r="H12" s="377" t="n"/>
      <c r="I12" s="378" t="n"/>
      <c r="J12" s="377" t="n"/>
      <c r="K12" s="379" t="n"/>
      <c r="L12" s="380" t="n"/>
      <c r="M12" s="381" t="n"/>
      <c r="N12" s="381" t="n"/>
      <c r="O12" s="381" t="n"/>
      <c r="P12" s="382" t="n"/>
      <c r="Q12" s="383">
        <f>SUM(Q9:Q11)</f>
        <v/>
      </c>
    </row>
    <row r="13" ht="9.949999999999999" customFormat="1" customHeight="1" s="356">
      <c r="A13" s="384" t="n"/>
      <c r="B13" s="385" t="n"/>
      <c r="C13" s="385" t="n"/>
      <c r="D13" s="386" t="n"/>
      <c r="E13" s="387" t="n"/>
      <c r="F13" s="388" t="n"/>
      <c r="G13" s="389" t="n"/>
      <c r="H13" s="390" t="n"/>
      <c r="I13" s="391" t="n"/>
      <c r="J13" s="392" t="inlineStr">
        <is>
          <t>Qs=</t>
        </is>
      </c>
      <c r="K13" s="393" t="inlineStr">
        <is>
          <t>a</t>
        </is>
      </c>
      <c r="L13" s="388" t="inlineStr">
        <is>
          <t>L</t>
        </is>
      </c>
      <c r="M13" s="389" t="inlineStr">
        <is>
          <t>R</t>
        </is>
      </c>
      <c r="N13" s="394" t="inlineStr">
        <is>
          <t>H</t>
        </is>
      </c>
      <c r="O13" s="395" t="inlineStr">
        <is>
          <t>D  T</t>
        </is>
      </c>
      <c r="P13" s="396" t="inlineStr">
        <is>
          <t>Ze</t>
        </is>
      </c>
      <c r="Q13" s="397" t="n"/>
    </row>
    <row r="14" ht="9.949999999999999" customFormat="1" customHeight="1" s="356">
      <c r="A14" s="398" t="n"/>
      <c r="B14" s="399" t="n"/>
      <c r="C14" s="400" t="n"/>
      <c r="D14" s="400" t="n"/>
      <c r="E14" s="401" t="n"/>
      <c r="F14" s="402" t="n"/>
      <c r="G14" s="403" t="n"/>
      <c r="H14" s="404" t="n"/>
      <c r="I14" s="405" t="n"/>
      <c r="J14" s="406" t="inlineStr">
        <is>
          <t>Qs  =</t>
        </is>
      </c>
      <c r="K14" s="407" t="n">
        <v>2</v>
      </c>
      <c r="L14" s="382">
        <f>(D10+E10)*2*G10</f>
        <v/>
      </c>
      <c r="M14" s="407" t="n">
        <v>0.9</v>
      </c>
      <c r="N14" s="407" t="n">
        <v>0.67</v>
      </c>
      <c r="O14" s="381" t="n">
        <v>23</v>
      </c>
      <c r="P14" s="382" t="n">
        <v>1.2</v>
      </c>
      <c r="Q14" s="383">
        <f>K14*L14*M14*N14*O14*P14</f>
        <v/>
      </c>
    </row>
    <row r="15" ht="9.949999999999999" customFormat="1" customHeight="1" s="356">
      <c r="A15" s="408" t="n"/>
      <c r="B15" s="409" t="n"/>
      <c r="C15" s="400" t="n"/>
      <c r="D15" s="400" t="n"/>
      <c r="E15" s="377" t="n"/>
      <c r="F15" s="256" t="n"/>
      <c r="G15" s="410" t="n"/>
      <c r="H15" s="400" t="n"/>
      <c r="I15" s="411" t="n"/>
      <c r="J15" s="400" t="n"/>
      <c r="K15" s="410" t="n"/>
      <c r="L15" s="412" t="n"/>
      <c r="M15" s="413" t="inlineStr">
        <is>
          <t xml:space="preserve">   TOPLAM ISI KAYBI =</t>
        </is>
      </c>
      <c r="N15" s="413" t="n"/>
      <c r="O15" s="414" t="n"/>
      <c r="P15" s="415" t="n"/>
      <c r="Q15" s="416">
        <f>Q12+Q14</f>
        <v/>
      </c>
    </row>
    <row r="16" ht="9.949999999999999" customFormat="1" customHeight="1" s="356">
      <c r="A16" s="417" t="n"/>
      <c r="B16" s="399" t="n"/>
      <c r="C16" s="418" t="n"/>
      <c r="D16" s="419" t="n"/>
      <c r="E16" s="419" t="n"/>
      <c r="F16" s="420" t="n"/>
      <c r="G16" s="421" t="n"/>
      <c r="H16" s="422" t="n"/>
      <c r="I16" s="420" t="n"/>
      <c r="J16" s="419" t="n"/>
      <c r="K16" s="421" t="n"/>
      <c r="L16" s="423" t="n"/>
      <c r="M16" s="424" t="n"/>
      <c r="N16" s="421" t="n"/>
      <c r="O16" s="424" t="n"/>
      <c r="P16" s="420" t="n"/>
      <c r="Q16" s="431" t="n"/>
    </row>
    <row r="17" ht="9.949999999999999" customFormat="1" customHeight="1" s="356">
      <c r="A17" s="359" t="n"/>
      <c r="B17" s="360" t="n"/>
      <c r="C17" s="360" t="n"/>
      <c r="D17" s="360" t="n"/>
      <c r="E17" s="360" t="n"/>
      <c r="F17" s="426" t="inlineStr">
        <is>
          <t>102</t>
        </is>
      </c>
      <c r="G17" s="362" t="n"/>
      <c r="H17" s="360" t="n"/>
      <c r="I17" s="427" t="inlineStr">
        <is>
          <t>D3 YATAK ODASI</t>
        </is>
      </c>
      <c r="J17" s="428" t="n"/>
      <c r="K17" s="360" t="inlineStr">
        <is>
          <t>20ºC</t>
        </is>
      </c>
      <c r="L17" s="429" t="n"/>
      <c r="M17" s="360" t="n"/>
      <c r="N17" s="360" t="n"/>
      <c r="O17" s="360" t="n"/>
      <c r="P17" s="429" t="n"/>
      <c r="Q17" s="430" t="n"/>
    </row>
    <row r="18" ht="9.949999999999999" customFormat="1" customHeight="1" s="356">
      <c r="A18" s="365" t="inlineStr">
        <is>
          <t>DD</t>
        </is>
      </c>
      <c r="B18" s="366" t="inlineStr">
        <is>
          <t>B</t>
        </is>
      </c>
      <c r="C18" s="367" t="n"/>
      <c r="D18" s="368" t="n">
        <v>3.12</v>
      </c>
      <c r="E18" s="368" t="n">
        <v>3</v>
      </c>
      <c r="F18" s="369">
        <f>IF(D18=0," ",D18*E18)</f>
        <v/>
      </c>
      <c r="G18" s="370" t="n">
        <v>1</v>
      </c>
      <c r="H18" s="371">
        <f>F19*G19</f>
        <v/>
      </c>
      <c r="I18" s="369">
        <f>IF(F18=" "," ",F18*G18-H18)</f>
        <v/>
      </c>
      <c r="J18" s="368" t="n">
        <v>0.4</v>
      </c>
      <c r="K18" s="370" t="n">
        <v>23</v>
      </c>
      <c r="L18" s="372">
        <f>IF(I18=" "," ",I18*J18*K18)</f>
        <v/>
      </c>
      <c r="M18" s="373" t="n">
        <v>7</v>
      </c>
      <c r="N18" s="370" t="n">
        <v>0</v>
      </c>
      <c r="O18" s="373" t="n">
        <v>0</v>
      </c>
      <c r="P18" s="369">
        <f>IF(M18=" "," ",(1+(M18+N18+O18)/100))</f>
        <v/>
      </c>
      <c r="Q18" s="374">
        <f>IF(L18=" "," ",L18*P18)</f>
        <v/>
      </c>
    </row>
    <row r="19" ht="9.949999999999999" customFormat="1" customHeight="1" s="356">
      <c r="A19" s="365" t="inlineStr">
        <is>
          <t>ÇP</t>
        </is>
      </c>
      <c r="B19" s="366" t="inlineStr">
        <is>
          <t>B</t>
        </is>
      </c>
      <c r="C19" s="367" t="n"/>
      <c r="D19" s="368" t="n">
        <v>1.5</v>
      </c>
      <c r="E19" s="368" t="n">
        <v>1.6</v>
      </c>
      <c r="F19" s="369">
        <f>IF(D19=0," ",D19*E19)</f>
        <v/>
      </c>
      <c r="G19" s="370" t="n">
        <v>1</v>
      </c>
      <c r="H19" s="371" t="n"/>
      <c r="I19" s="369">
        <f>IF(F19=" "," ",F19*G19-H19)</f>
        <v/>
      </c>
      <c r="J19" s="368" t="n">
        <v>1.8</v>
      </c>
      <c r="K19" s="370" t="n">
        <v>23</v>
      </c>
      <c r="L19" s="372">
        <f>IF(I19=" "," ",I19*J19*K19)</f>
        <v/>
      </c>
      <c r="M19" s="373" t="n">
        <v>7</v>
      </c>
      <c r="N19" s="370" t="n">
        <v>0</v>
      </c>
      <c r="O19" s="373" t="n">
        <v>0</v>
      </c>
      <c r="P19" s="369">
        <f>IF(M19=" "," ",(1+(M19+N19+O19)/100))</f>
        <v/>
      </c>
      <c r="Q19" s="374">
        <f>IF(L19=" "," ",L19*P19)</f>
        <v/>
      </c>
    </row>
    <row r="20" ht="9.949999999999999" customFormat="1" customHeight="1" s="356">
      <c r="A20" s="365" t="inlineStr">
        <is>
          <t>İD</t>
        </is>
      </c>
      <c r="B20" s="366" t="n"/>
      <c r="C20" s="367" t="n"/>
      <c r="D20" s="368" t="n">
        <v>3.06</v>
      </c>
      <c r="E20" s="368" t="n">
        <v>3</v>
      </c>
      <c r="F20" s="369">
        <f>IF(D20=0," ",D20*E20)</f>
        <v/>
      </c>
      <c r="G20" s="370" t="n">
        <v>1</v>
      </c>
      <c r="H20" s="371" t="n"/>
      <c r="I20" s="369">
        <f>IF(F20=" "," ",F20*G20-H20)</f>
        <v/>
      </c>
      <c r="J20" s="368" t="n">
        <v>0.8139999999999999</v>
      </c>
      <c r="K20" s="370" t="n">
        <v>5</v>
      </c>
      <c r="L20" s="372">
        <f>IF(I20=" "," ",I20*J20*K20)</f>
        <v/>
      </c>
      <c r="M20" s="373" t="n">
        <v>7</v>
      </c>
      <c r="N20" s="370" t="n">
        <v>0</v>
      </c>
      <c r="O20" s="373" t="n">
        <v>0</v>
      </c>
      <c r="P20" s="369">
        <f>IF(M20=" "," ",(1+(M20+N20+O20)/100))</f>
        <v/>
      </c>
      <c r="Q20" s="374">
        <f>IF(L20=" "," ",L20*P20)</f>
        <v/>
      </c>
    </row>
    <row r="21" ht="9.949999999999999" customFormat="1" customHeight="1" s="356">
      <c r="A21" s="375" t="n"/>
      <c r="B21" s="376" t="n"/>
      <c r="C21" s="376" t="n"/>
      <c r="D21" s="377" t="n"/>
      <c r="E21" s="377" t="n"/>
      <c r="F21" s="378" t="n"/>
      <c r="G21" s="379" t="n"/>
      <c r="H21" s="377" t="n"/>
      <c r="I21" s="378" t="n"/>
      <c r="J21" s="377" t="n"/>
      <c r="K21" s="379" t="n"/>
      <c r="L21" s="380" t="n"/>
      <c r="M21" s="381" t="n"/>
      <c r="N21" s="381" t="n"/>
      <c r="O21" s="381" t="n"/>
      <c r="P21" s="382" t="n"/>
      <c r="Q21" s="383">
        <f>SUM(Q18:Q20)</f>
        <v/>
      </c>
    </row>
    <row r="22" ht="9.949999999999999" customFormat="1" customHeight="1" s="356">
      <c r="A22" s="384" t="n"/>
      <c r="B22" s="385" t="n"/>
      <c r="C22" s="385" t="n"/>
      <c r="D22" s="386" t="n"/>
      <c r="E22" s="387" t="n"/>
      <c r="F22" s="388" t="n"/>
      <c r="G22" s="389" t="n"/>
      <c r="H22" s="390" t="n"/>
      <c r="I22" s="391" t="n"/>
      <c r="J22" s="392" t="inlineStr">
        <is>
          <t>Qs=</t>
        </is>
      </c>
      <c r="K22" s="393" t="inlineStr">
        <is>
          <t>a</t>
        </is>
      </c>
      <c r="L22" s="388" t="inlineStr">
        <is>
          <t>L</t>
        </is>
      </c>
      <c r="M22" s="389" t="inlineStr">
        <is>
          <t>R</t>
        </is>
      </c>
      <c r="N22" s="394" t="inlineStr">
        <is>
          <t>H</t>
        </is>
      </c>
      <c r="O22" s="395" t="inlineStr">
        <is>
          <t>D  T</t>
        </is>
      </c>
      <c r="P22" s="396" t="inlineStr">
        <is>
          <t>Ze</t>
        </is>
      </c>
      <c r="Q22" s="397" t="n"/>
    </row>
    <row r="23" ht="9.949999999999999" customFormat="1" customHeight="1" s="356">
      <c r="A23" s="398" t="n"/>
      <c r="B23" s="399" t="n"/>
      <c r="C23" s="400" t="n"/>
      <c r="D23" s="400" t="n"/>
      <c r="E23" s="401" t="n"/>
      <c r="F23" s="402" t="n"/>
      <c r="G23" s="403" t="n"/>
      <c r="H23" s="404" t="n"/>
      <c r="I23" s="405" t="n"/>
      <c r="J23" s="406" t="inlineStr">
        <is>
          <t>Qs  =</t>
        </is>
      </c>
      <c r="K23" s="407" t="n">
        <v>2</v>
      </c>
      <c r="L23" s="382">
        <f>(D19+E19)*2*G19</f>
        <v/>
      </c>
      <c r="M23" s="407" t="n">
        <v>0.9</v>
      </c>
      <c r="N23" s="407" t="n">
        <v>0.67</v>
      </c>
      <c r="O23" s="381" t="n">
        <v>23</v>
      </c>
      <c r="P23" s="382" t="n">
        <v>1.2</v>
      </c>
      <c r="Q23" s="383">
        <f>K23*L23*M23*N23*O23*P23</f>
        <v/>
      </c>
    </row>
    <row r="24" ht="9.949999999999999" customFormat="1" customHeight="1" s="356">
      <c r="A24" s="408" t="n"/>
      <c r="B24" s="409" t="n"/>
      <c r="C24" s="400" t="n"/>
      <c r="D24" s="400" t="n"/>
      <c r="E24" s="377" t="n"/>
      <c r="F24" s="256" t="n"/>
      <c r="G24" s="410" t="n"/>
      <c r="H24" s="400" t="n"/>
      <c r="I24" s="411" t="n"/>
      <c r="J24" s="400" t="n"/>
      <c r="K24" s="410" t="n"/>
      <c r="L24" s="412" t="n"/>
      <c r="M24" s="413" t="inlineStr">
        <is>
          <t xml:space="preserve">   TOPLAM ISI KAYBI =</t>
        </is>
      </c>
      <c r="N24" s="413" t="n"/>
      <c r="O24" s="414" t="n"/>
      <c r="P24" s="415" t="n"/>
      <c r="Q24" s="416">
        <f>Q21+Q23</f>
        <v/>
      </c>
    </row>
    <row r="25" ht="9.949999999999999" customFormat="1" customHeight="1" s="356">
      <c r="A25" s="417" t="n"/>
      <c r="B25" s="399" t="n"/>
      <c r="C25" s="418" t="n"/>
      <c r="D25" s="419" t="n"/>
      <c r="E25" s="419" t="n"/>
      <c r="F25" s="420" t="n"/>
      <c r="G25" s="421" t="n"/>
      <c r="H25" s="422" t="n"/>
      <c r="I25" s="420" t="n"/>
      <c r="J25" s="419" t="n"/>
      <c r="K25" s="421" t="n"/>
      <c r="L25" s="423" t="n"/>
      <c r="M25" s="424" t="n"/>
      <c r="N25" s="421" t="n"/>
      <c r="O25" s="424" t="n"/>
      <c r="P25" s="420" t="n"/>
      <c r="Q25" s="431" t="n"/>
    </row>
    <row r="26" ht="9.949999999999999" customFormat="1" customHeight="1" s="356">
      <c r="A26" s="359" t="n"/>
      <c r="B26" s="360" t="n"/>
      <c r="C26" s="360" t="n"/>
      <c r="D26" s="360" t="n"/>
      <c r="E26" s="360" t="n"/>
      <c r="F26" s="426" t="inlineStr">
        <is>
          <t>103</t>
        </is>
      </c>
      <c r="G26" s="362" t="n"/>
      <c r="H26" s="360" t="n"/>
      <c r="I26" s="427" t="inlineStr">
        <is>
          <t>D3 ODA</t>
        </is>
      </c>
      <c r="J26" s="428" t="n"/>
      <c r="K26" s="360" t="inlineStr">
        <is>
          <t>20ºC</t>
        </is>
      </c>
      <c r="L26" s="429" t="n"/>
      <c r="M26" s="360" t="n"/>
      <c r="N26" s="360" t="n"/>
      <c r="O26" s="360" t="n"/>
      <c r="P26" s="429" t="n"/>
      <c r="Q26" s="430" t="n"/>
    </row>
    <row r="27" ht="9.949999999999999" customFormat="1" customHeight="1" s="356">
      <c r="A27" s="365" t="inlineStr">
        <is>
          <t>DD</t>
        </is>
      </c>
      <c r="B27" s="366" t="inlineStr">
        <is>
          <t>K</t>
        </is>
      </c>
      <c r="C27" s="367" t="n"/>
      <c r="D27" s="368" t="n">
        <v>3.64</v>
      </c>
      <c r="E27" s="368" t="n">
        <v>3</v>
      </c>
      <c r="F27" s="369">
        <f>IF(D27=0," ",D27*E27)</f>
        <v/>
      </c>
      <c r="G27" s="370" t="n">
        <v>1</v>
      </c>
      <c r="H27" s="371">
        <f>F28*G28</f>
        <v/>
      </c>
      <c r="I27" s="369">
        <f>IF(F27=" "," ",F27*G27-H27)</f>
        <v/>
      </c>
      <c r="J27" s="368" t="n">
        <v>0.4</v>
      </c>
      <c r="K27" s="370" t="n">
        <v>23</v>
      </c>
      <c r="L27" s="372">
        <f>IF(I27=" "," ",I27*J27*K27)</f>
        <v/>
      </c>
      <c r="M27" s="373" t="n">
        <v>7</v>
      </c>
      <c r="N27" s="370" t="n">
        <v>0</v>
      </c>
      <c r="O27" s="373" t="n">
        <v>5</v>
      </c>
      <c r="P27" s="369">
        <f>IF(M27=" "," ",(1+(M27+N27+O27)/100))</f>
        <v/>
      </c>
      <c r="Q27" s="374">
        <f>IF(L27=" "," ",L27*P27)</f>
        <v/>
      </c>
    </row>
    <row r="28" ht="9.949999999999999" customFormat="1" customHeight="1" s="356">
      <c r="A28" s="365" t="inlineStr">
        <is>
          <t>ÇP</t>
        </is>
      </c>
      <c r="B28" s="366" t="inlineStr">
        <is>
          <t>K</t>
        </is>
      </c>
      <c r="C28" s="367" t="n"/>
      <c r="D28" s="368" t="n">
        <v>1.5</v>
      </c>
      <c r="E28" s="368" t="n">
        <v>2.2</v>
      </c>
      <c r="F28" s="369">
        <f>IF(D28=0," ",D28*E28)</f>
        <v/>
      </c>
      <c r="G28" s="370" t="n">
        <v>1</v>
      </c>
      <c r="H28" s="371" t="n"/>
      <c r="I28" s="369">
        <f>IF(F28=" "," ",F28*G28-H28)</f>
        <v/>
      </c>
      <c r="J28" s="368" t="n">
        <v>1.8</v>
      </c>
      <c r="K28" s="370" t="n">
        <v>23</v>
      </c>
      <c r="L28" s="372">
        <f>IF(I28=" "," ",I28*J28*K28)</f>
        <v/>
      </c>
      <c r="M28" s="373" t="n">
        <v>7</v>
      </c>
      <c r="N28" s="370" t="n">
        <v>0</v>
      </c>
      <c r="O28" s="373" t="n">
        <v>5</v>
      </c>
      <c r="P28" s="369">
        <f>IF(M28=" "," ",(1+(M28+N28+O28)/100))</f>
        <v/>
      </c>
      <c r="Q28" s="374">
        <f>IF(L28=" "," ",L28*P28)</f>
        <v/>
      </c>
    </row>
    <row r="29" ht="9.949999999999999" customFormat="1" customHeight="1" s="356">
      <c r="A29" s="432" t="inlineStr">
        <is>
          <t>DD</t>
        </is>
      </c>
      <c r="B29" s="433" t="inlineStr">
        <is>
          <t>B</t>
        </is>
      </c>
      <c r="C29" s="434" t="n"/>
      <c r="D29" s="369" t="n">
        <v>0.8100000000000001</v>
      </c>
      <c r="E29" s="369" t="n">
        <v>3</v>
      </c>
      <c r="F29" s="369">
        <f>IF(D29=0," ",D29*E29)</f>
        <v/>
      </c>
      <c r="G29" s="435" t="n">
        <v>1</v>
      </c>
      <c r="H29" s="436" t="n"/>
      <c r="I29" s="369">
        <f>IF(F29=" "," ",F29*G29-H29)</f>
        <v/>
      </c>
      <c r="J29" s="369" t="n">
        <v>0.4</v>
      </c>
      <c r="K29" s="435" t="n">
        <v>23</v>
      </c>
      <c r="L29" s="372">
        <f>IF(I29=" "," ",I29*J29*K29)</f>
        <v/>
      </c>
      <c r="M29" s="373" t="n">
        <v>7</v>
      </c>
      <c r="N29" s="370" t="n">
        <v>0</v>
      </c>
      <c r="O29" s="373" t="n">
        <v>0</v>
      </c>
      <c r="P29" s="369">
        <f>IF(M29=" "," ",(1+(M29+N29+O29)/100))</f>
        <v/>
      </c>
      <c r="Q29" s="374">
        <f>IF(L29=" "," ",L29*P29)</f>
        <v/>
      </c>
    </row>
    <row r="30" ht="9.949999999999999" customFormat="1" customHeight="1" s="437">
      <c r="A30" s="432" t="inlineStr">
        <is>
          <t>İD</t>
        </is>
      </c>
      <c r="B30" s="433" t="n"/>
      <c r="C30" s="434" t="n"/>
      <c r="D30" s="369" t="n">
        <v>2.86</v>
      </c>
      <c r="E30" s="369" t="n">
        <v>3</v>
      </c>
      <c r="F30" s="369">
        <f>IF(D30=0," ",D30*E30)</f>
        <v/>
      </c>
      <c r="G30" s="435" t="n">
        <v>1</v>
      </c>
      <c r="H30" s="436" t="n"/>
      <c r="I30" s="369">
        <f>IF(F30=" "," ",F30*G30-H30)</f>
        <v/>
      </c>
      <c r="J30" s="369" t="n">
        <v>0.8139999999999999</v>
      </c>
      <c r="K30" s="435" t="n">
        <v>5</v>
      </c>
      <c r="L30" s="372">
        <f>IF(I30=" "," ",I30*J30*K30)</f>
        <v/>
      </c>
      <c r="M30" s="438" t="n">
        <v>7</v>
      </c>
      <c r="N30" s="435" t="n">
        <v>0</v>
      </c>
      <c r="O30" s="438" t="n">
        <v>0</v>
      </c>
      <c r="P30" s="369">
        <f>IF(M30=" "," ",(1+(M30+N30+O30)/100))</f>
        <v/>
      </c>
      <c r="Q30" s="374">
        <f>IF(L30=" "," ",L30*P30)</f>
        <v/>
      </c>
    </row>
    <row r="31" ht="9.949999999999999" customFormat="1" customHeight="1" s="437">
      <c r="A31" s="441" t="n"/>
      <c r="B31" s="442" t="n"/>
      <c r="C31" s="442" t="n"/>
      <c r="D31" s="378" t="n"/>
      <c r="E31" s="378" t="n"/>
      <c r="F31" s="378" t="n"/>
      <c r="G31" s="443" t="n"/>
      <c r="H31" s="378" t="n"/>
      <c r="I31" s="378" t="n"/>
      <c r="J31" s="378" t="n"/>
      <c r="K31" s="379" t="n"/>
      <c r="L31" s="444" t="n"/>
      <c r="M31" s="381" t="n"/>
      <c r="N31" s="381" t="n"/>
      <c r="O31" s="381" t="n"/>
      <c r="P31" s="407" t="n"/>
      <c r="Q31" s="383">
        <f>SUM(Q27:Q30)</f>
        <v/>
      </c>
    </row>
    <row r="32" ht="9.949999999999999" customFormat="1" customHeight="1" s="351">
      <c r="A32" s="445" t="n"/>
      <c r="B32" s="446" t="n"/>
      <c r="C32" s="446" t="n"/>
      <c r="D32" s="447" t="n"/>
      <c r="E32" s="448" t="n"/>
      <c r="F32" s="388" t="n"/>
      <c r="G32" s="396" t="n"/>
      <c r="H32" s="388" t="n"/>
      <c r="I32" s="391" t="n"/>
      <c r="J32" s="449" t="inlineStr">
        <is>
          <t>Qs=</t>
        </is>
      </c>
      <c r="K32" s="391" t="inlineStr">
        <is>
          <t>a</t>
        </is>
      </c>
      <c r="L32" s="388" t="inlineStr">
        <is>
          <t>L</t>
        </is>
      </c>
      <c r="M32" s="396" t="inlineStr">
        <is>
          <t>R</t>
        </is>
      </c>
      <c r="N32" s="450" t="inlineStr">
        <is>
          <t>H</t>
        </is>
      </c>
      <c r="O32" s="451" t="inlineStr">
        <is>
          <t>D  T</t>
        </is>
      </c>
      <c r="P32" s="396" t="inlineStr">
        <is>
          <t>Ze</t>
        </is>
      </c>
      <c r="Q32" s="397" t="n"/>
    </row>
    <row r="33" ht="9.75" customFormat="1" customHeight="1" s="356">
      <c r="A33" s="398" t="n"/>
      <c r="B33" s="452" t="n"/>
      <c r="C33" s="400" t="n"/>
      <c r="D33" s="400" t="n"/>
      <c r="E33" s="401" t="n"/>
      <c r="F33" s="453" t="n"/>
      <c r="G33" s="403" t="n"/>
      <c r="H33" s="404" t="n"/>
      <c r="I33" s="454" t="n"/>
      <c r="J33" s="455" t="inlineStr">
        <is>
          <t>Qs  =</t>
        </is>
      </c>
      <c r="K33" s="407" t="n">
        <v>2</v>
      </c>
      <c r="L33" s="407">
        <f>(D28+E28)*2*G28</f>
        <v/>
      </c>
      <c r="M33" s="407" t="n">
        <v>0.9</v>
      </c>
      <c r="N33" s="407" t="n">
        <v>0.67</v>
      </c>
      <c r="O33" s="381" t="n">
        <v>23</v>
      </c>
      <c r="P33" s="407" t="n">
        <v>1.2</v>
      </c>
      <c r="Q33" s="456">
        <f>K33*L33*M33*N33*O33*P33</f>
        <v/>
      </c>
    </row>
    <row r="34" ht="9.949999999999999" customFormat="1" customHeight="1" s="356">
      <c r="A34" s="408" t="n"/>
      <c r="B34" s="409" t="n"/>
      <c r="C34" s="400" t="n"/>
      <c r="D34" s="400" t="n"/>
      <c r="E34" s="377" t="n"/>
      <c r="F34" s="256" t="n"/>
      <c r="G34" s="410" t="n"/>
      <c r="H34" s="400" t="n"/>
      <c r="I34" s="411" t="n"/>
      <c r="J34" s="400" t="n"/>
      <c r="K34" s="410" t="n"/>
      <c r="L34" s="412" t="n"/>
      <c r="M34" s="413" t="inlineStr">
        <is>
          <t xml:space="preserve">   TOPLAM ISI KAYBI =</t>
        </is>
      </c>
      <c r="N34" s="413" t="n"/>
      <c r="O34" s="414" t="n"/>
      <c r="P34" s="415" t="n"/>
      <c r="Q34" s="416">
        <f>Q31+Q33</f>
        <v/>
      </c>
    </row>
    <row r="35" ht="9.949999999999999" customFormat="1" customHeight="1" s="356">
      <c r="A35" s="417" t="n"/>
      <c r="B35" s="399" t="n"/>
      <c r="C35" s="418" t="n"/>
      <c r="D35" s="419" t="n"/>
      <c r="E35" s="419" t="n"/>
      <c r="F35" s="420" t="n"/>
      <c r="G35" s="421" t="n"/>
      <c r="H35" s="422" t="n"/>
      <c r="I35" s="420" t="n"/>
      <c r="J35" s="419" t="n"/>
      <c r="K35" s="421" t="n"/>
      <c r="L35" s="423" t="n"/>
      <c r="M35" s="424" t="n"/>
      <c r="N35" s="421" t="n"/>
      <c r="O35" s="424" t="n"/>
      <c r="P35" s="420" t="n"/>
      <c r="Q35" s="425" t="n"/>
    </row>
    <row r="36" ht="9.949999999999999" customFormat="1" customHeight="1" s="356">
      <c r="A36" s="359" t="n"/>
      <c r="B36" s="360" t="n"/>
      <c r="C36" s="360" t="n"/>
      <c r="D36" s="360" t="n"/>
      <c r="E36" s="360" t="n"/>
      <c r="F36" s="426" t="inlineStr">
        <is>
          <t>104</t>
        </is>
      </c>
      <c r="G36" s="362" t="n"/>
      <c r="H36" s="360" t="n"/>
      <c r="I36" s="427" t="inlineStr">
        <is>
          <t>D3 SALON</t>
        </is>
      </c>
      <c r="J36" s="428" t="n"/>
      <c r="K36" s="360" t="inlineStr">
        <is>
          <t>20ºC</t>
        </is>
      </c>
      <c r="L36" s="429" t="n"/>
      <c r="M36" s="360" t="n"/>
      <c r="N36" s="360" t="n"/>
      <c r="O36" s="360" t="n"/>
      <c r="P36" s="429" t="n"/>
      <c r="Q36" s="430" t="n"/>
    </row>
    <row r="37" ht="9.949999999999999" customFormat="1" customHeight="1" s="356">
      <c r="A37" s="365" t="inlineStr">
        <is>
          <t>DD</t>
        </is>
      </c>
      <c r="B37" s="366" t="inlineStr">
        <is>
          <t>D</t>
        </is>
      </c>
      <c r="C37" s="367" t="n"/>
      <c r="D37" s="368" t="n">
        <v>1.16</v>
      </c>
      <c r="E37" s="368" t="n">
        <v>3</v>
      </c>
      <c r="F37" s="369">
        <f>IF(D37=0," ",D37*E37)</f>
        <v/>
      </c>
      <c r="G37" s="370" t="n">
        <v>1</v>
      </c>
      <c r="H37" s="371" t="n"/>
      <c r="I37" s="369">
        <f>IF(F37=" "," ",F37*G37-H37)</f>
        <v/>
      </c>
      <c r="J37" s="368" t="n">
        <v>0.4</v>
      </c>
      <c r="K37" s="370" t="n">
        <v>23</v>
      </c>
      <c r="L37" s="372">
        <f>IF(I37=" "," ",I37*J37*K37)</f>
        <v/>
      </c>
      <c r="M37" s="373" t="n">
        <v>7</v>
      </c>
      <c r="N37" s="370" t="n">
        <v>0</v>
      </c>
      <c r="O37" s="373" t="n">
        <v>0</v>
      </c>
      <c r="P37" s="369">
        <f>IF(M37=" "," ",(1+(M37+N37+O37)/100))</f>
        <v/>
      </c>
      <c r="Q37" s="374">
        <f>IF(L37=" "," ",L37*P37)</f>
        <v/>
      </c>
    </row>
    <row r="38" ht="9.949999999999999" customFormat="1" customHeight="1" s="356">
      <c r="A38" s="365" t="inlineStr">
        <is>
          <t>DD</t>
        </is>
      </c>
      <c r="B38" s="366" t="inlineStr">
        <is>
          <t>G</t>
        </is>
      </c>
      <c r="C38" s="367" t="n"/>
      <c r="D38" s="368" t="n">
        <v>3.28</v>
      </c>
      <c r="E38" s="368" t="n">
        <v>3</v>
      </c>
      <c r="F38" s="369">
        <f>IF(D38=0," ",D38*E38)</f>
        <v/>
      </c>
      <c r="G38" s="370" t="n">
        <v>1</v>
      </c>
      <c r="H38" s="371">
        <f>F39*G39</f>
        <v/>
      </c>
      <c r="I38" s="369">
        <f>IF(F38=" "," ",F38*G38-H38)</f>
        <v/>
      </c>
      <c r="J38" s="368" t="n">
        <v>0.4</v>
      </c>
      <c r="K38" s="370" t="n">
        <v>23</v>
      </c>
      <c r="L38" s="372">
        <f>IF(I38=" "," ",I38*J38*K38)</f>
        <v/>
      </c>
      <c r="M38" s="373" t="n">
        <v>7</v>
      </c>
      <c r="N38" s="370" t="n">
        <v>0</v>
      </c>
      <c r="O38" s="373" t="n">
        <v>-5</v>
      </c>
      <c r="P38" s="369">
        <f>IF(M38=" "," ",(1+(M38+N38+O38)/100))</f>
        <v/>
      </c>
      <c r="Q38" s="374">
        <f>IF(L38=" "," ",L38*P38)</f>
        <v/>
      </c>
    </row>
    <row r="39" ht="9.949999999999999" customFormat="1" customHeight="1" s="356">
      <c r="A39" s="365" t="inlineStr">
        <is>
          <t>ÇP</t>
        </is>
      </c>
      <c r="B39" s="366" t="inlineStr">
        <is>
          <t>G</t>
        </is>
      </c>
      <c r="C39" s="367" t="n"/>
      <c r="D39" s="368" t="n">
        <v>2</v>
      </c>
      <c r="E39" s="368" t="n">
        <v>2.2</v>
      </c>
      <c r="F39" s="369">
        <f>IF(D39=0," ",D39*E39)</f>
        <v/>
      </c>
      <c r="G39" s="370" t="n">
        <v>1</v>
      </c>
      <c r="H39" s="371" t="n"/>
      <c r="I39" s="369">
        <f>IF(F39=" "," ",F39*G39-H39)</f>
        <v/>
      </c>
      <c r="J39" s="368" t="n">
        <v>1.8</v>
      </c>
      <c r="K39" s="370" t="n">
        <v>23</v>
      </c>
      <c r="L39" s="372">
        <f>IF(I39=" "," ",I39*J39*K39)</f>
        <v/>
      </c>
      <c r="M39" s="373" t="n">
        <v>7</v>
      </c>
      <c r="N39" s="370" t="n">
        <v>0</v>
      </c>
      <c r="O39" s="373" t="n">
        <v>-5</v>
      </c>
      <c r="P39" s="369">
        <f>IF(M39=" "," ",(1+(M39+N39+O39)/100))</f>
        <v/>
      </c>
      <c r="Q39" s="374">
        <f>IF(L39=" "," ",L39*P39)</f>
        <v/>
      </c>
    </row>
    <row r="40" ht="9.949999999999999" customFormat="1" customHeight="1" s="356">
      <c r="A40" s="365" t="inlineStr">
        <is>
          <t>DD</t>
        </is>
      </c>
      <c r="B40" s="366" t="inlineStr">
        <is>
          <t>B</t>
        </is>
      </c>
      <c r="C40" s="367" t="n"/>
      <c r="D40" s="368" t="n">
        <v>6.14</v>
      </c>
      <c r="E40" s="368" t="n">
        <v>3</v>
      </c>
      <c r="F40" s="369">
        <f>IF(D40=0," ",D40*E40)</f>
        <v/>
      </c>
      <c r="G40" s="370" t="n">
        <v>1</v>
      </c>
      <c r="H40" s="371">
        <f>F41*G41</f>
        <v/>
      </c>
      <c r="I40" s="369">
        <f>IF(F40=" "," ",F40*G40-H40)</f>
        <v/>
      </c>
      <c r="J40" s="368" t="n">
        <v>0.4</v>
      </c>
      <c r="K40" s="370" t="n">
        <v>23</v>
      </c>
      <c r="L40" s="372">
        <f>IF(I40=" "," ",I40*J40*K40)</f>
        <v/>
      </c>
      <c r="M40" s="373" t="n">
        <v>7</v>
      </c>
      <c r="N40" s="370" t="n">
        <v>0</v>
      </c>
      <c r="O40" s="373" t="n">
        <v>0</v>
      </c>
      <c r="P40" s="369">
        <f>IF(M40=" "," ",(1+(M40+N40+O40)/100))</f>
        <v/>
      </c>
      <c r="Q40" s="374">
        <f>IF(L40=" "," ",L40*P40)</f>
        <v/>
      </c>
    </row>
    <row r="41" ht="9.949999999999999" customFormat="1" customHeight="1" s="356">
      <c r="A41" s="432" t="inlineStr">
        <is>
          <t>ÇP</t>
        </is>
      </c>
      <c r="B41" s="433" t="inlineStr">
        <is>
          <t>B</t>
        </is>
      </c>
      <c r="C41" s="434" t="n"/>
      <c r="D41" s="369" t="n">
        <v>1.5</v>
      </c>
      <c r="E41" s="369" t="n">
        <v>2.2</v>
      </c>
      <c r="F41" s="369">
        <f>IF(D41=0," ",D41*E41)</f>
        <v/>
      </c>
      <c r="G41" s="435" t="n">
        <v>1</v>
      </c>
      <c r="H41" s="436" t="n"/>
      <c r="I41" s="369">
        <f>IF(F41=" "," ",F41*G41-H41)</f>
        <v/>
      </c>
      <c r="J41" s="369" t="n">
        <v>1.8</v>
      </c>
      <c r="K41" s="435" t="n">
        <v>23</v>
      </c>
      <c r="L41" s="372">
        <f>IF(I41=" "," ",I41*J41*K41)</f>
        <v/>
      </c>
      <c r="M41" s="373" t="n">
        <v>7</v>
      </c>
      <c r="N41" s="370" t="n">
        <v>0</v>
      </c>
      <c r="O41" s="373" t="n">
        <v>0</v>
      </c>
      <c r="P41" s="369">
        <f>IF(M41=" "," ",(1+(M41+N41+O41)/100))</f>
        <v/>
      </c>
      <c r="Q41" s="374">
        <f>IF(L41=" "," ",L41*P41)</f>
        <v/>
      </c>
    </row>
    <row r="42" ht="9.949999999999999" customFormat="1" customHeight="1" s="437">
      <c r="A42" s="441" t="n"/>
      <c r="B42" s="442" t="n"/>
      <c r="C42" s="442" t="n"/>
      <c r="D42" s="378" t="n"/>
      <c r="E42" s="378" t="n"/>
      <c r="F42" s="378" t="n"/>
      <c r="G42" s="443" t="n"/>
      <c r="H42" s="378" t="n"/>
      <c r="I42" s="378" t="n"/>
      <c r="J42" s="378" t="n"/>
      <c r="K42" s="443" t="n"/>
      <c r="L42" s="380" t="n"/>
      <c r="M42" s="473" t="n"/>
      <c r="N42" s="473" t="n"/>
      <c r="O42" s="473" t="n"/>
      <c r="P42" s="382" t="n"/>
      <c r="Q42" s="383">
        <f>SUM(Q37:Q41)</f>
        <v/>
      </c>
    </row>
    <row r="43" ht="9.949999999999999" customFormat="1" customHeight="1" s="437">
      <c r="A43" s="445" t="n"/>
      <c r="B43" s="446" t="n"/>
      <c r="C43" s="446" t="n"/>
      <c r="D43" s="447" t="n"/>
      <c r="E43" s="448" t="n"/>
      <c r="F43" s="388" t="n"/>
      <c r="G43" s="396" t="n"/>
      <c r="H43" s="388" t="n"/>
      <c r="I43" s="391" t="n"/>
      <c r="J43" s="449" t="inlineStr">
        <is>
          <t>Qs=</t>
        </is>
      </c>
      <c r="K43" s="393" t="inlineStr">
        <is>
          <t>a</t>
        </is>
      </c>
      <c r="L43" s="390" t="inlineStr">
        <is>
          <t>L</t>
        </is>
      </c>
      <c r="M43" s="389" t="inlineStr">
        <is>
          <t>R</t>
        </is>
      </c>
      <c r="N43" s="394" t="inlineStr">
        <is>
          <t>H</t>
        </is>
      </c>
      <c r="O43" s="395" t="inlineStr">
        <is>
          <t>D  T</t>
        </is>
      </c>
      <c r="P43" s="389" t="inlineStr">
        <is>
          <t>Ze</t>
        </is>
      </c>
      <c r="Q43" s="397" t="n"/>
    </row>
    <row r="44" ht="9.949999999999999" customFormat="1" customHeight="1" s="351">
      <c r="A44" s="474" t="n"/>
      <c r="B44" s="437" t="n"/>
      <c r="C44" s="411" t="n"/>
      <c r="D44" s="411" t="n"/>
      <c r="E44" s="475" t="n"/>
      <c r="F44" s="402" t="n"/>
      <c r="G44" s="476" t="n"/>
      <c r="H44" s="477" t="n"/>
      <c r="I44" s="405" t="n"/>
      <c r="J44" s="455" t="inlineStr">
        <is>
          <t>Qs  =</t>
        </is>
      </c>
      <c r="K44" s="382" t="n">
        <v>2</v>
      </c>
      <c r="L44" s="382">
        <f>(D39+E39)*2*G39+(D41+E41)*2*G41</f>
        <v/>
      </c>
      <c r="M44" s="382" t="n">
        <v>0.9</v>
      </c>
      <c r="N44" s="382" t="n">
        <v>0.67</v>
      </c>
      <c r="O44" s="473" t="n">
        <v>23</v>
      </c>
      <c r="P44" s="382" t="n">
        <v>1.2</v>
      </c>
      <c r="Q44" s="383">
        <f>K44*L44*M44*N44*O44*P44</f>
        <v/>
      </c>
    </row>
    <row r="45" ht="9.949999999999999" customFormat="1" customHeight="1" s="356">
      <c r="A45" s="408" t="n"/>
      <c r="B45" s="409" t="n"/>
      <c r="C45" s="400" t="n"/>
      <c r="D45" s="400" t="n"/>
      <c r="E45" s="377" t="n"/>
      <c r="F45" s="479" t="n"/>
      <c r="G45" s="410" t="n"/>
      <c r="H45" s="400" t="n"/>
      <c r="I45" s="400" t="n"/>
      <c r="J45" s="411" t="n"/>
      <c r="K45" s="410" t="n"/>
      <c r="L45" s="480" t="n"/>
      <c r="M45" s="413" t="inlineStr">
        <is>
          <t xml:space="preserve">   TOPLAM ISI KAYBI =</t>
        </is>
      </c>
      <c r="N45" s="413" t="n"/>
      <c r="O45" s="414" t="n"/>
      <c r="P45" s="413" t="n"/>
      <c r="Q45" s="481">
        <f>Q42+Q44</f>
        <v/>
      </c>
    </row>
    <row r="46" ht="9.949999999999999" customFormat="1" customHeight="1" s="356">
      <c r="A46" s="417" t="n"/>
      <c r="B46" s="399" t="n"/>
      <c r="C46" s="418" t="n"/>
      <c r="D46" s="419" t="n"/>
      <c r="E46" s="419" t="n"/>
      <c r="F46" s="420" t="n"/>
      <c r="G46" s="421" t="n"/>
      <c r="H46" s="422" t="n"/>
      <c r="I46" s="420" t="n"/>
      <c r="J46" s="419" t="n"/>
      <c r="K46" s="421" t="n"/>
      <c r="L46" s="423" t="n"/>
      <c r="M46" s="424" t="n"/>
      <c r="N46" s="421" t="n"/>
      <c r="O46" s="424" t="n"/>
      <c r="P46" s="420" t="n"/>
      <c r="Q46" s="425" t="n"/>
    </row>
    <row r="47" ht="9.949999999999999" customFormat="1" customHeight="1" s="356">
      <c r="A47" s="359" t="n"/>
      <c r="B47" s="360" t="n"/>
      <c r="C47" s="360" t="n"/>
      <c r="D47" s="360" t="n"/>
      <c r="E47" s="360" t="n"/>
      <c r="F47" s="426" t="inlineStr">
        <is>
          <t>105</t>
        </is>
      </c>
      <c r="G47" s="362" t="n"/>
      <c r="H47" s="360" t="n"/>
      <c r="I47" s="427" t="inlineStr">
        <is>
          <t>D3 MUTFAK</t>
        </is>
      </c>
      <c r="J47" s="428" t="n"/>
      <c r="K47" s="360" t="inlineStr">
        <is>
          <t>20ºC</t>
        </is>
      </c>
      <c r="L47" s="429" t="n"/>
      <c r="M47" s="360" t="n"/>
      <c r="N47" s="360" t="n"/>
      <c r="O47" s="360" t="n"/>
      <c r="P47" s="429" t="n"/>
      <c r="Q47" s="430" t="n"/>
    </row>
    <row r="48" ht="9.949999999999999" customFormat="1" customHeight="1" s="356">
      <c r="A48" s="365" t="inlineStr">
        <is>
          <t>DD</t>
        </is>
      </c>
      <c r="B48" s="366" t="inlineStr">
        <is>
          <t>G</t>
        </is>
      </c>
      <c r="C48" s="367" t="n"/>
      <c r="D48" s="368" t="n">
        <v>2.7</v>
      </c>
      <c r="E48" s="368" t="n">
        <v>3</v>
      </c>
      <c r="F48" s="369">
        <f>IF(D48=0," ",D48*E48)</f>
        <v/>
      </c>
      <c r="G48" s="370" t="n">
        <v>1</v>
      </c>
      <c r="H48" s="371" t="n"/>
      <c r="I48" s="369">
        <f>IF(F48=" "," ",F48*G48-H48)</f>
        <v/>
      </c>
      <c r="J48" s="368" t="n">
        <v>0.4</v>
      </c>
      <c r="K48" s="370" t="n">
        <v>23</v>
      </c>
      <c r="L48" s="372">
        <f>IF(I48=" "," ",I48*J48*K48)</f>
        <v/>
      </c>
      <c r="M48" s="373" t="n">
        <v>7</v>
      </c>
      <c r="N48" s="370" t="n">
        <v>0</v>
      </c>
      <c r="O48" s="373" t="n">
        <v>-5</v>
      </c>
      <c r="P48" s="369">
        <f>IF(M48=" "," ",(1+(M48+N48+O48)/100))</f>
        <v/>
      </c>
      <c r="Q48" s="374">
        <f>IF(L48=" "," ",L48*P48)</f>
        <v/>
      </c>
    </row>
    <row r="49" ht="9.949999999999999" customFormat="1" customHeight="1" s="356">
      <c r="A49" s="365" t="inlineStr">
        <is>
          <t>İD</t>
        </is>
      </c>
      <c r="B49" s="366" t="n"/>
      <c r="C49" s="367" t="n"/>
      <c r="D49" s="368" t="n">
        <v>3.4</v>
      </c>
      <c r="E49" s="368" t="n">
        <v>3</v>
      </c>
      <c r="F49" s="369">
        <f>IF(D49=0," ",D49*E49)</f>
        <v/>
      </c>
      <c r="G49" s="370" t="n">
        <v>1</v>
      </c>
      <c r="H49" s="371" t="n"/>
      <c r="I49" s="369">
        <f>IF(F49=" "," ",F49*G49-H49)</f>
        <v/>
      </c>
      <c r="J49" s="368" t="n">
        <v>0.8139999999999999</v>
      </c>
      <c r="K49" s="370" t="n">
        <v>10</v>
      </c>
      <c r="L49" s="372">
        <f>IF(I49=" "," ",I49*J49*K49)</f>
        <v/>
      </c>
      <c r="M49" s="373" t="n">
        <v>7</v>
      </c>
      <c r="N49" s="370" t="n">
        <v>0</v>
      </c>
      <c r="O49" s="373" t="n">
        <v>0</v>
      </c>
      <c r="P49" s="369">
        <f>IF(M49=" "," ",(1+(M49+N49+O49)/100))</f>
        <v/>
      </c>
      <c r="Q49" s="374">
        <f>IF(L49=" "," ",L49*P49)</f>
        <v/>
      </c>
    </row>
    <row r="50" ht="9.949999999999999" customFormat="1" customHeight="1" s="356">
      <c r="A50" s="365" t="inlineStr">
        <is>
          <t>İD</t>
        </is>
      </c>
      <c r="B50" s="366" t="n"/>
      <c r="C50" s="367" t="n"/>
      <c r="D50" s="368" t="n">
        <v>2.8</v>
      </c>
      <c r="E50" s="368" t="n">
        <v>3</v>
      </c>
      <c r="F50" s="369">
        <f>IF(D50=0," ",D50*E50)</f>
        <v/>
      </c>
      <c r="G50" s="370" t="n">
        <v>1</v>
      </c>
      <c r="H50" s="371" t="n"/>
      <c r="I50" s="369">
        <f>IF(F50=" "," ",F50*G50-H50)</f>
        <v/>
      </c>
      <c r="J50" s="368" t="n">
        <v>0.8139999999999999</v>
      </c>
      <c r="K50" s="370" t="n">
        <v>5</v>
      </c>
      <c r="L50" s="372">
        <f>IF(I50=" "," ",I50*J50*K50)</f>
        <v/>
      </c>
      <c r="M50" s="373" t="n">
        <v>7</v>
      </c>
      <c r="N50" s="370" t="n">
        <v>0</v>
      </c>
      <c r="O50" s="373" t="n">
        <v>0</v>
      </c>
      <c r="P50" s="369">
        <f>IF(M50=" "," ",(1+(M50+N50+O50)/100))</f>
        <v/>
      </c>
      <c r="Q50" s="374">
        <f>IF(L50=" "," ",L50*P50)</f>
        <v/>
      </c>
    </row>
    <row r="51" ht="9.949999999999999" customFormat="1" customHeight="1" s="356">
      <c r="A51" s="375" t="n"/>
      <c r="B51" s="376" t="n"/>
      <c r="C51" s="376" t="n"/>
      <c r="D51" s="377" t="n"/>
      <c r="E51" s="377" t="n"/>
      <c r="F51" s="378" t="n"/>
      <c r="G51" s="379" t="n"/>
      <c r="H51" s="377" t="n"/>
      <c r="I51" s="378" t="n"/>
      <c r="J51" s="377" t="n"/>
      <c r="K51" s="379" t="n"/>
      <c r="L51" s="380" t="n"/>
      <c r="M51" s="381" t="n"/>
      <c r="N51" s="381" t="n"/>
      <c r="O51" s="381" t="n"/>
      <c r="P51" s="382" t="n"/>
      <c r="Q51" s="383">
        <f>SUM(Q48:Q50)</f>
        <v/>
      </c>
    </row>
    <row r="52" ht="9.949999999999999" customFormat="1" customHeight="1" s="356">
      <c r="A52" s="384" t="n"/>
      <c r="B52" s="385" t="n"/>
      <c r="C52" s="385" t="n"/>
      <c r="D52" s="386" t="n"/>
      <c r="E52" s="387" t="n"/>
      <c r="F52" s="388" t="n"/>
      <c r="G52" s="389" t="n"/>
      <c r="H52" s="390" t="n"/>
      <c r="I52" s="391" t="n"/>
      <c r="J52" s="392" t="inlineStr">
        <is>
          <t>Qs=</t>
        </is>
      </c>
      <c r="K52" s="393" t="inlineStr">
        <is>
          <t>a</t>
        </is>
      </c>
      <c r="L52" s="388" t="inlineStr">
        <is>
          <t>L</t>
        </is>
      </c>
      <c r="M52" s="389" t="inlineStr">
        <is>
          <t>R</t>
        </is>
      </c>
      <c r="N52" s="394" t="inlineStr">
        <is>
          <t>H</t>
        </is>
      </c>
      <c r="O52" s="395" t="inlineStr">
        <is>
          <t>D  T</t>
        </is>
      </c>
      <c r="P52" s="396" t="inlineStr">
        <is>
          <t>Ze</t>
        </is>
      </c>
      <c r="Q52" s="397" t="n"/>
    </row>
    <row r="53" ht="9.949999999999999" customFormat="1" customHeight="1" s="356">
      <c r="A53" s="398" t="n"/>
      <c r="B53" s="399" t="n"/>
      <c r="C53" s="400" t="n"/>
      <c r="D53" s="400" t="n"/>
      <c r="E53" s="401" t="n"/>
      <c r="F53" s="402" t="n"/>
      <c r="G53" s="403" t="n"/>
      <c r="H53" s="404" t="n"/>
      <c r="I53" s="405" t="n"/>
      <c r="J53" s="406" t="inlineStr">
        <is>
          <t>Qs  =</t>
        </is>
      </c>
      <c r="K53" s="407" t="n">
        <v>2</v>
      </c>
      <c r="L53" s="382" t="n">
        <v>0</v>
      </c>
      <c r="M53" s="407" t="n">
        <v>0.9</v>
      </c>
      <c r="N53" s="407" t="n">
        <v>0.67</v>
      </c>
      <c r="O53" s="381" t="n">
        <v>23</v>
      </c>
      <c r="P53" s="382" t="n">
        <v>1.2</v>
      </c>
      <c r="Q53" s="383">
        <f>K53*L53*M53*N53*O53*P53</f>
        <v/>
      </c>
    </row>
    <row r="54" ht="9.949999999999999" customFormat="1" customHeight="1" s="356">
      <c r="A54" s="457" t="n"/>
      <c r="B54" s="458" t="n"/>
      <c r="C54" s="411" t="n"/>
      <c r="D54" s="411" t="n"/>
      <c r="E54" s="378" t="n"/>
      <c r="F54" s="256" t="n"/>
      <c r="G54" s="459" t="n"/>
      <c r="H54" s="411" t="n"/>
      <c r="I54" s="411" t="n"/>
      <c r="J54" s="411" t="n"/>
      <c r="K54" s="459" t="n"/>
      <c r="L54" s="412" t="n"/>
      <c r="M54" s="413" t="inlineStr">
        <is>
          <t xml:space="preserve">   TOPLAM ISI KAYBI =</t>
        </is>
      </c>
      <c r="N54" s="413" t="n"/>
      <c r="O54" s="414" t="n"/>
      <c r="P54" s="415" t="n"/>
      <c r="Q54" s="416">
        <f>Q51+Q53</f>
        <v/>
      </c>
    </row>
    <row r="55" ht="9.949999999999999" customFormat="1" customHeight="1" s="437">
      <c r="A55" s="460" t="n"/>
      <c r="B55" s="461" t="n"/>
      <c r="C55" s="461" t="n"/>
      <c r="D55" s="462" t="n"/>
      <c r="E55" s="463" t="n"/>
      <c r="F55" s="464" t="n"/>
      <c r="G55" s="465" t="n"/>
      <c r="H55" s="464" t="n"/>
      <c r="I55" s="466" t="n"/>
      <c r="J55" s="467" t="n"/>
      <c r="K55" s="466" t="n"/>
      <c r="L55" s="464" t="n"/>
      <c r="M55" s="465" t="n"/>
      <c r="N55" s="468" t="n"/>
      <c r="O55" s="469" t="n"/>
      <c r="P55" s="465" t="n"/>
      <c r="Q55" s="470" t="n"/>
    </row>
    <row r="56" ht="9.949999999999999" customFormat="1" customHeight="1" s="437">
      <c r="A56" s="471" t="n"/>
      <c r="B56" s="429" t="n"/>
      <c r="C56" s="429" t="n"/>
      <c r="D56" s="429" t="n"/>
      <c r="E56" s="429" t="n"/>
      <c r="F56" s="426" t="inlineStr">
        <is>
          <t>106</t>
        </is>
      </c>
      <c r="G56" s="472" t="n"/>
      <c r="H56" s="429" t="n"/>
      <c r="I56" s="427" t="inlineStr">
        <is>
          <t>D3 BANYO-WC</t>
        </is>
      </c>
      <c r="J56" s="264" t="n"/>
      <c r="K56" s="360" t="inlineStr">
        <is>
          <t>24ºC</t>
        </is>
      </c>
      <c r="L56" s="360" t="n"/>
      <c r="M56" s="360" t="n"/>
      <c r="N56" s="360" t="n"/>
      <c r="O56" s="360" t="n"/>
      <c r="P56" s="360" t="n"/>
      <c r="Q56" s="430" t="n"/>
    </row>
    <row r="57" ht="9.949999999999999" customFormat="1" customHeight="1" s="351">
      <c r="A57" s="432" t="inlineStr">
        <is>
          <t>İD</t>
        </is>
      </c>
      <c r="B57" s="433" t="n"/>
      <c r="C57" s="434" t="n"/>
      <c r="D57" s="369" t="n">
        <v>1.82</v>
      </c>
      <c r="E57" s="369" t="n">
        <v>3</v>
      </c>
      <c r="F57" s="369">
        <f>IF(D57=0," ",D57*E57)</f>
        <v/>
      </c>
      <c r="G57" s="435" t="n">
        <v>1</v>
      </c>
      <c r="H57" s="436" t="n"/>
      <c r="I57" s="369">
        <f>IF(F57=" "," ",F57*G57-H57)</f>
        <v/>
      </c>
      <c r="J57" s="369" t="n">
        <v>0.8139999999999999</v>
      </c>
      <c r="K57" s="435" t="n">
        <v>14</v>
      </c>
      <c r="L57" s="372">
        <f>IF(I57=" "," ",I57*J57*K57)</f>
        <v/>
      </c>
      <c r="M57" s="438" t="n">
        <v>7</v>
      </c>
      <c r="N57" s="435" t="n">
        <v>0</v>
      </c>
      <c r="O57" s="438" t="n">
        <v>0</v>
      </c>
      <c r="P57" s="369">
        <f>IF(M57=" "," ",(1+(M57+N57+O57)/100))</f>
        <v/>
      </c>
      <c r="Q57" s="374">
        <f>IF(L57=" "," ",L57*P57)</f>
        <v/>
      </c>
    </row>
    <row r="58" ht="9.949999999999999" customFormat="1" customHeight="1" s="356">
      <c r="A58" s="365" t="inlineStr">
        <is>
          <t>İD</t>
        </is>
      </c>
      <c r="B58" s="366" t="n"/>
      <c r="C58" s="367" t="n"/>
      <c r="D58" s="368" t="n">
        <v>5.58</v>
      </c>
      <c r="E58" s="368" t="n">
        <v>3</v>
      </c>
      <c r="F58" s="368">
        <f>IF(D58=0," ",D58*E58)</f>
        <v/>
      </c>
      <c r="G58" s="370" t="n">
        <v>1</v>
      </c>
      <c r="H58" s="371" t="n"/>
      <c r="I58" s="368">
        <f>IF(F58=" "," ",F58*G58-H58)</f>
        <v/>
      </c>
      <c r="J58" s="369" t="n">
        <v>0.8139999999999999</v>
      </c>
      <c r="K58" s="370" t="n">
        <v>9</v>
      </c>
      <c r="L58" s="439">
        <f>IF(I58=" "," ",I58*J58*K58)</f>
        <v/>
      </c>
      <c r="M58" s="373" t="n">
        <v>7</v>
      </c>
      <c r="N58" s="370" t="n">
        <v>0</v>
      </c>
      <c r="O58" s="373" t="n">
        <v>0</v>
      </c>
      <c r="P58" s="368">
        <f>IF(M58=" "," ",(1+(M58+N58+O58)/100))</f>
        <v/>
      </c>
      <c r="Q58" s="440">
        <f>IF(L58=" "," ",L58*P58)</f>
        <v/>
      </c>
    </row>
    <row r="59" ht="9.949999999999999" customFormat="1" customHeight="1" s="356">
      <c r="A59" s="375" t="n"/>
      <c r="B59" s="376" t="n"/>
      <c r="C59" s="376" t="n"/>
      <c r="D59" s="377" t="n"/>
      <c r="E59" s="377" t="n"/>
      <c r="F59" s="378" t="n"/>
      <c r="G59" s="379" t="n"/>
      <c r="H59" s="377" t="n"/>
      <c r="I59" s="378" t="n"/>
      <c r="J59" s="377" t="n"/>
      <c r="K59" s="379" t="n"/>
      <c r="L59" s="380" t="n"/>
      <c r="M59" s="381" t="n"/>
      <c r="N59" s="381" t="n"/>
      <c r="O59" s="381" t="n"/>
      <c r="P59" s="382" t="n"/>
      <c r="Q59" s="383">
        <f>SUM(Q57:Q58)</f>
        <v/>
      </c>
    </row>
    <row r="60" ht="9.949999999999999" customFormat="1" customHeight="1" s="356">
      <c r="A60" s="384" t="n"/>
      <c r="B60" s="385" t="n"/>
      <c r="C60" s="385" t="n"/>
      <c r="D60" s="386" t="n"/>
      <c r="E60" s="387" t="n"/>
      <c r="F60" s="388" t="n"/>
      <c r="G60" s="389" t="n"/>
      <c r="H60" s="390" t="n"/>
      <c r="I60" s="391" t="n"/>
      <c r="J60" s="392" t="inlineStr">
        <is>
          <t>Qs=</t>
        </is>
      </c>
      <c r="K60" s="393" t="inlineStr">
        <is>
          <t>a</t>
        </is>
      </c>
      <c r="L60" s="388" t="inlineStr">
        <is>
          <t>L</t>
        </is>
      </c>
      <c r="M60" s="389" t="inlineStr">
        <is>
          <t>R</t>
        </is>
      </c>
      <c r="N60" s="394" t="inlineStr">
        <is>
          <t>H</t>
        </is>
      </c>
      <c r="O60" s="395" t="inlineStr">
        <is>
          <t>D  T</t>
        </is>
      </c>
      <c r="P60" s="396" t="inlineStr">
        <is>
          <t>Ze</t>
        </is>
      </c>
      <c r="Q60" s="397" t="n"/>
    </row>
    <row r="61" ht="9.949999999999999" customFormat="1" customHeight="1" s="356">
      <c r="A61" s="398" t="n"/>
      <c r="B61" s="399" t="n"/>
      <c r="C61" s="400" t="n"/>
      <c r="D61" s="400" t="n"/>
      <c r="E61" s="401" t="n"/>
      <c r="F61" s="402" t="n"/>
      <c r="G61" s="403" t="n"/>
      <c r="H61" s="404" t="n"/>
      <c r="I61" s="405" t="n"/>
      <c r="J61" s="406" t="inlineStr">
        <is>
          <t>Qs  =</t>
        </is>
      </c>
      <c r="K61" s="407" t="n">
        <v>2</v>
      </c>
      <c r="L61" s="382" t="n">
        <v>0</v>
      </c>
      <c r="M61" s="407" t="n">
        <v>0.9</v>
      </c>
      <c r="N61" s="407" t="n">
        <v>0.67</v>
      </c>
      <c r="O61" s="381" t="n">
        <v>27</v>
      </c>
      <c r="P61" s="382" t="n">
        <v>1.2</v>
      </c>
      <c r="Q61" s="383">
        <f>K61*L61*M61*N61*O61*P61</f>
        <v/>
      </c>
    </row>
    <row r="62" ht="9.949999999999999" customFormat="1" customHeight="1" s="356">
      <c r="A62" s="408" t="n"/>
      <c r="B62" s="409" t="n"/>
      <c r="C62" s="400" t="n"/>
      <c r="D62" s="400" t="n"/>
      <c r="E62" s="377" t="n"/>
      <c r="F62" s="256" t="n"/>
      <c r="G62" s="410" t="n"/>
      <c r="H62" s="400" t="n"/>
      <c r="I62" s="411" t="n"/>
      <c r="J62" s="400" t="n"/>
      <c r="K62" s="410" t="n"/>
      <c r="L62" s="412" t="n"/>
      <c r="M62" s="413" t="inlineStr">
        <is>
          <t xml:space="preserve">   TOPLAM ISI KAYBI =</t>
        </is>
      </c>
      <c r="N62" s="413" t="n"/>
      <c r="O62" s="414" t="n"/>
      <c r="P62" s="415" t="n"/>
      <c r="Q62" s="416">
        <f>Q59+Q61</f>
        <v/>
      </c>
    </row>
    <row r="63" ht="9.949999999999999" customFormat="1" customHeight="1" s="356">
      <c r="A63" s="417" t="n"/>
      <c r="B63" s="399" t="n"/>
      <c r="C63" s="418" t="n"/>
      <c r="D63" s="419" t="n"/>
      <c r="E63" s="419" t="n"/>
      <c r="F63" s="420" t="n"/>
      <c r="G63" s="421" t="n"/>
      <c r="H63" s="422" t="n"/>
      <c r="I63" s="420" t="n"/>
      <c r="J63" s="419" t="n"/>
      <c r="K63" s="421" t="n"/>
      <c r="L63" s="423" t="n"/>
      <c r="M63" s="424" t="n"/>
      <c r="N63" s="421" t="n"/>
      <c r="O63" s="424" t="n"/>
      <c r="P63" s="420" t="n"/>
      <c r="Q63" s="425" t="n"/>
    </row>
    <row r="64" ht="9.949999999999999" customFormat="1" customHeight="1" s="356">
      <c r="A64" s="359" t="n"/>
      <c r="B64" s="360" t="n"/>
      <c r="C64" s="360" t="n"/>
      <c r="D64" s="360" t="n"/>
      <c r="E64" s="360" t="n"/>
      <c r="F64" s="426" t="inlineStr">
        <is>
          <t>107</t>
        </is>
      </c>
      <c r="G64" s="362" t="n"/>
      <c r="H64" s="360" t="n"/>
      <c r="I64" s="427" t="inlineStr">
        <is>
          <t>D3 BANYO-WC</t>
        </is>
      </c>
      <c r="J64" s="428" t="n"/>
      <c r="K64" s="360" t="inlineStr">
        <is>
          <t>24ºC</t>
        </is>
      </c>
      <c r="L64" s="429" t="n"/>
      <c r="M64" s="360" t="n"/>
      <c r="N64" s="360" t="n"/>
      <c r="O64" s="360" t="n"/>
      <c r="P64" s="429" t="n"/>
      <c r="Q64" s="430" t="n"/>
    </row>
    <row r="65" ht="9.949999999999999" customFormat="1" customHeight="1" s="356">
      <c r="A65" s="365" t="inlineStr">
        <is>
          <t>İD</t>
        </is>
      </c>
      <c r="B65" s="366" t="n"/>
      <c r="C65" s="367" t="n"/>
      <c r="D65" s="368" t="n">
        <v>1.76</v>
      </c>
      <c r="E65" s="368" t="n">
        <v>3</v>
      </c>
      <c r="F65" s="369">
        <f>IF(D65=0," ",D65*E65)</f>
        <v/>
      </c>
      <c r="G65" s="370" t="n">
        <v>1</v>
      </c>
      <c r="H65" s="371" t="n"/>
      <c r="I65" s="369">
        <f>IF(F65=" "," ",F65*G65-H65)</f>
        <v/>
      </c>
      <c r="J65" s="368" t="n">
        <v>0.8139999999999999</v>
      </c>
      <c r="K65" s="370" t="n">
        <v>9</v>
      </c>
      <c r="L65" s="372">
        <f>IF(I65=" "," ",I65*J65*K65)</f>
        <v/>
      </c>
      <c r="M65" s="373" t="n">
        <v>7</v>
      </c>
      <c r="N65" s="370" t="n">
        <v>0</v>
      </c>
      <c r="O65" s="373" t="n">
        <v>0</v>
      </c>
      <c r="P65" s="369">
        <f>IF(M65=" "," ",(1+(M65+N65+O65)/100))</f>
        <v/>
      </c>
      <c r="Q65" s="374">
        <f>IF(L65=" "," ",L65*P65)</f>
        <v/>
      </c>
    </row>
    <row r="66" ht="9.949999999999999" customFormat="1" customHeight="1" s="356">
      <c r="A66" s="365" t="inlineStr">
        <is>
          <t>İD</t>
        </is>
      </c>
      <c r="B66" s="366" t="n"/>
      <c r="C66" s="367" t="n"/>
      <c r="D66" s="368" t="n">
        <v>1.16</v>
      </c>
      <c r="E66" s="368" t="n">
        <v>3</v>
      </c>
      <c r="F66" s="369">
        <f>IF(D66=0," ",D66*E66)</f>
        <v/>
      </c>
      <c r="G66" s="370" t="n">
        <v>1</v>
      </c>
      <c r="H66" s="371" t="n"/>
      <c r="I66" s="369">
        <f>IF(F66=" "," ",F66*G66-H66)</f>
        <v/>
      </c>
      <c r="J66" s="368" t="n">
        <v>0.8139999999999999</v>
      </c>
      <c r="K66" s="370" t="n">
        <v>4</v>
      </c>
      <c r="L66" s="372">
        <f>IF(I66=" "," ",I66*J66*K66)</f>
        <v/>
      </c>
      <c r="M66" s="373" t="n">
        <v>7</v>
      </c>
      <c r="N66" s="370" t="n">
        <v>0</v>
      </c>
      <c r="O66" s="373" t="n">
        <v>0</v>
      </c>
      <c r="P66" s="369">
        <f>IF(M66=" "," ",(1+(M66+N66+O66)/100))</f>
        <v/>
      </c>
      <c r="Q66" s="374">
        <f>IF(L66=" "," ",L66*P66)</f>
        <v/>
      </c>
    </row>
    <row r="67" ht="9.949999999999999" customFormat="1" customHeight="1" s="356">
      <c r="A67" s="375" t="n"/>
      <c r="B67" s="376" t="n"/>
      <c r="C67" s="376" t="n"/>
      <c r="D67" s="377" t="n"/>
      <c r="E67" s="377" t="n"/>
      <c r="F67" s="378" t="n"/>
      <c r="G67" s="379" t="n"/>
      <c r="H67" s="377" t="n"/>
      <c r="I67" s="378" t="n"/>
      <c r="J67" s="377" t="n"/>
      <c r="K67" s="379" t="n"/>
      <c r="L67" s="380" t="n"/>
      <c r="M67" s="381" t="n"/>
      <c r="N67" s="381" t="n"/>
      <c r="O67" s="381" t="n"/>
      <c r="P67" s="382" t="n"/>
      <c r="Q67" s="383">
        <f>SUM(Q65:Q66)</f>
        <v/>
      </c>
    </row>
    <row r="68" ht="9.949999999999999" customFormat="1" customHeight="1" s="356">
      <c r="A68" s="445" t="n"/>
      <c r="B68" s="446" t="n"/>
      <c r="C68" s="446" t="n"/>
      <c r="D68" s="447" t="n"/>
      <c r="E68" s="448" t="n"/>
      <c r="F68" s="388" t="n"/>
      <c r="G68" s="396" t="n"/>
      <c r="H68" s="388" t="n"/>
      <c r="I68" s="391" t="n"/>
      <c r="J68" s="449" t="inlineStr">
        <is>
          <t>Qs=</t>
        </is>
      </c>
      <c r="K68" s="391" t="inlineStr">
        <is>
          <t>a</t>
        </is>
      </c>
      <c r="L68" s="388" t="inlineStr">
        <is>
          <t>L</t>
        </is>
      </c>
      <c r="M68" s="389" t="inlineStr">
        <is>
          <t>R</t>
        </is>
      </c>
      <c r="N68" s="394" t="inlineStr">
        <is>
          <t>H</t>
        </is>
      </c>
      <c r="O68" s="395" t="inlineStr">
        <is>
          <t>D  T</t>
        </is>
      </c>
      <c r="P68" s="396" t="inlineStr">
        <is>
          <t>Ze</t>
        </is>
      </c>
      <c r="Q68" s="397" t="n"/>
    </row>
    <row r="69" ht="9.949999999999999" customFormat="1" customHeight="1" s="437">
      <c r="A69" s="474" t="n"/>
      <c r="B69" s="461" t="n"/>
      <c r="C69" s="411" t="n"/>
      <c r="D69" s="411" t="n"/>
      <c r="E69" s="475" t="n"/>
      <c r="F69" s="402" t="n"/>
      <c r="G69" s="476" t="n"/>
      <c r="H69" s="477" t="n"/>
      <c r="I69" s="405" t="n"/>
      <c r="J69" s="455" t="inlineStr">
        <is>
          <t>Qs  =</t>
        </is>
      </c>
      <c r="K69" s="382" t="n">
        <v>2</v>
      </c>
      <c r="L69" s="382" t="n">
        <v>0</v>
      </c>
      <c r="M69" s="382" t="n">
        <v>0.9</v>
      </c>
      <c r="N69" s="382" t="n">
        <v>0.67</v>
      </c>
      <c r="O69" s="473" t="n">
        <v>27</v>
      </c>
      <c r="P69" s="382" t="n">
        <v>1.2</v>
      </c>
      <c r="Q69" s="383">
        <f>K69*L69*M69*N69*O69*P69</f>
        <v/>
      </c>
    </row>
    <row r="70" ht="9.949999999999999" customFormat="1" customHeight="1" s="437">
      <c r="A70" s="457" t="n"/>
      <c r="B70" s="458" t="n"/>
      <c r="C70" s="411" t="n"/>
      <c r="D70" s="411" t="n"/>
      <c r="E70" s="378" t="n"/>
      <c r="F70" s="256" t="n"/>
      <c r="G70" s="459" t="n"/>
      <c r="H70" s="411" t="n"/>
      <c r="I70" s="411" t="n"/>
      <c r="J70" s="411" t="n"/>
      <c r="K70" s="410" t="n"/>
      <c r="L70" s="480" t="n"/>
      <c r="M70" s="413" t="inlineStr">
        <is>
          <t xml:space="preserve">   TOPLAM ISI KAYBI =</t>
        </is>
      </c>
      <c r="N70" s="413" t="n"/>
      <c r="O70" s="414" t="n"/>
      <c r="P70" s="413" t="n"/>
      <c r="Q70" s="416">
        <f>Q67+Q69</f>
        <v/>
      </c>
    </row>
    <row r="71" ht="9.949999999999999" customFormat="1" customHeight="1" s="351">
      <c r="A71" s="495" t="n"/>
      <c r="B71" s="437" t="n"/>
      <c r="C71" s="484" t="n"/>
      <c r="D71" s="484" t="n"/>
      <c r="E71" s="496" t="n"/>
      <c r="G71" s="497" t="n"/>
      <c r="H71" s="484" t="n"/>
      <c r="I71" s="484" t="n"/>
      <c r="J71" s="484" t="n"/>
      <c r="K71" s="497" t="n"/>
      <c r="L71" s="498" t="n"/>
      <c r="M71" s="499" t="n"/>
      <c r="N71" s="499" t="n"/>
      <c r="O71" s="500" t="n"/>
      <c r="P71" s="499" t="n"/>
      <c r="Q71" s="501" t="n"/>
    </row>
    <row r="72" ht="9.949999999999999" customFormat="1" customHeight="1" s="351">
      <c r="A72" s="471" t="n"/>
      <c r="B72" s="429" t="n"/>
      <c r="C72" s="429" t="n"/>
      <c r="D72" s="429" t="n"/>
      <c r="E72" s="429" t="n"/>
      <c r="F72" s="426" t="inlineStr">
        <is>
          <t>108</t>
        </is>
      </c>
      <c r="G72" s="472" t="n"/>
      <c r="H72" s="429" t="n"/>
      <c r="I72" s="427" t="inlineStr">
        <is>
          <t>D4 YATAK ODASI</t>
        </is>
      </c>
      <c r="J72" s="264" t="n"/>
      <c r="K72" s="429" t="inlineStr">
        <is>
          <t>20ºC</t>
        </is>
      </c>
      <c r="L72" s="429" t="n"/>
      <c r="M72" s="429" t="n"/>
      <c r="N72" s="429" t="n"/>
      <c r="O72" s="429" t="n"/>
      <c r="P72" s="429" t="n"/>
      <c r="Q72" s="430" t="n"/>
    </row>
    <row r="73" ht="9.949999999999999" customFormat="1" customHeight="1" s="351">
      <c r="A73" s="432" t="inlineStr">
        <is>
          <t>DD</t>
        </is>
      </c>
      <c r="B73" s="433" t="inlineStr">
        <is>
          <t>K</t>
        </is>
      </c>
      <c r="C73" s="434" t="n"/>
      <c r="D73" s="369" t="n">
        <v>2.78</v>
      </c>
      <c r="E73" s="369" t="n">
        <v>3</v>
      </c>
      <c r="F73" s="369">
        <f>IF(D73=0," ",D73*E73)</f>
        <v/>
      </c>
      <c r="G73" s="435" t="n">
        <v>1</v>
      </c>
      <c r="H73" s="436">
        <f>F74*G74</f>
        <v/>
      </c>
      <c r="I73" s="369">
        <f>IF(F73=" "," ",F73*G73-H73)</f>
        <v/>
      </c>
      <c r="J73" s="369" t="n">
        <v>0.4</v>
      </c>
      <c r="K73" s="435" t="n">
        <v>23</v>
      </c>
      <c r="L73" s="372">
        <f>IF(I73=" "," ",I73*J73*K73)</f>
        <v/>
      </c>
      <c r="M73" s="438" t="n">
        <v>7</v>
      </c>
      <c r="N73" s="435" t="n">
        <v>0</v>
      </c>
      <c r="O73" s="438" t="n">
        <v>5</v>
      </c>
      <c r="P73" s="369">
        <f>IF(M73=" "," ",(1+(M73+N73+O73)/100))</f>
        <v/>
      </c>
      <c r="Q73" s="374">
        <f>IF(L73=" "," ",L73*P73)</f>
        <v/>
      </c>
    </row>
    <row r="74" ht="9.949999999999999" customFormat="1" customHeight="1" s="351">
      <c r="A74" s="432" t="inlineStr">
        <is>
          <t>ÇP</t>
        </is>
      </c>
      <c r="B74" s="433" t="inlineStr">
        <is>
          <t>K</t>
        </is>
      </c>
      <c r="C74" s="434" t="n"/>
      <c r="D74" s="369" t="n">
        <v>1.5</v>
      </c>
      <c r="E74" s="369" t="n">
        <v>2.2</v>
      </c>
      <c r="F74" s="369">
        <f>IF(D74=0," ",D74*E74)</f>
        <v/>
      </c>
      <c r="G74" s="435" t="n">
        <v>1</v>
      </c>
      <c r="H74" s="436" t="n"/>
      <c r="I74" s="369">
        <f>IF(F74=" "," ",F74*G74-H74)</f>
        <v/>
      </c>
      <c r="J74" s="369" t="n">
        <v>1.8</v>
      </c>
      <c r="K74" s="435" t="n">
        <v>23</v>
      </c>
      <c r="L74" s="372">
        <f>IF(I74=" "," ",I74*J74*K74)</f>
        <v/>
      </c>
      <c r="M74" s="438" t="n">
        <v>7</v>
      </c>
      <c r="N74" s="435" t="n">
        <v>0</v>
      </c>
      <c r="O74" s="438" t="n">
        <v>5</v>
      </c>
      <c r="P74" s="369">
        <f>IF(M74=" "," ",(1+(M74+N74+O74)/100))</f>
        <v/>
      </c>
      <c r="Q74" s="374">
        <f>IF(L74=" "," ",L74*P74)</f>
        <v/>
      </c>
    </row>
    <row r="75" ht="9.949999999999999" customFormat="1" customHeight="1" s="351">
      <c r="A75" s="432" t="inlineStr">
        <is>
          <t>DD</t>
        </is>
      </c>
      <c r="B75" s="433" t="inlineStr">
        <is>
          <t>D</t>
        </is>
      </c>
      <c r="C75" s="434" t="n"/>
      <c r="D75" s="369" t="n">
        <v>3.28</v>
      </c>
      <c r="E75" s="369" t="n">
        <v>3</v>
      </c>
      <c r="F75" s="369">
        <f>IF(D75=0," ",D75*E75)</f>
        <v/>
      </c>
      <c r="G75" s="435" t="n">
        <v>1</v>
      </c>
      <c r="H75" s="436" t="n"/>
      <c r="I75" s="369">
        <f>IF(F75=" "," ",F75*G75-H75)</f>
        <v/>
      </c>
      <c r="J75" s="369" t="n">
        <v>0.4</v>
      </c>
      <c r="K75" s="435" t="n">
        <v>23</v>
      </c>
      <c r="L75" s="372">
        <f>IF(I75=" "," ",I75*J75*K75)</f>
        <v/>
      </c>
      <c r="M75" s="438" t="n">
        <v>7</v>
      </c>
      <c r="N75" s="435" t="n">
        <v>0</v>
      </c>
      <c r="O75" s="438" t="n">
        <v>0</v>
      </c>
      <c r="P75" s="369">
        <f>IF(M75=" "," ",(1+(M75+N75+O75)/100))</f>
        <v/>
      </c>
      <c r="Q75" s="374">
        <f>IF(L75=" "," ",L75*P75)</f>
        <v/>
      </c>
    </row>
    <row r="76">
      <c r="A76" s="441" t="n"/>
      <c r="B76" s="442" t="n"/>
      <c r="C76" s="442" t="n"/>
      <c r="D76" s="378" t="n"/>
      <c r="E76" s="378" t="n"/>
      <c r="F76" s="378" t="n"/>
      <c r="G76" s="443" t="n"/>
      <c r="H76" s="378" t="n"/>
      <c r="I76" s="378" t="n"/>
      <c r="J76" s="378" t="n"/>
      <c r="K76" s="443" t="n"/>
      <c r="L76" s="380" t="n"/>
      <c r="M76" s="473" t="n"/>
      <c r="N76" s="473" t="n"/>
      <c r="O76" s="473" t="n"/>
      <c r="P76" s="382" t="n"/>
      <c r="Q76" s="383">
        <f>SUM(Q73:Q75)</f>
        <v/>
      </c>
    </row>
    <row r="77">
      <c r="A77" s="445" t="n"/>
      <c r="B77" s="446" t="n"/>
      <c r="C77" s="446" t="n"/>
      <c r="D77" s="447" t="n"/>
      <c r="E77" s="448" t="n"/>
      <c r="F77" s="388" t="n"/>
      <c r="G77" s="396" t="n"/>
      <c r="H77" s="388" t="n"/>
      <c r="I77" s="391" t="n"/>
      <c r="J77" s="449" t="inlineStr">
        <is>
          <t>Qs=</t>
        </is>
      </c>
      <c r="K77" s="391" t="inlineStr">
        <is>
          <t>a</t>
        </is>
      </c>
      <c r="L77" s="388" t="inlineStr">
        <is>
          <t>L</t>
        </is>
      </c>
      <c r="M77" s="396" t="inlineStr">
        <is>
          <t>R</t>
        </is>
      </c>
      <c r="N77" s="450" t="inlineStr">
        <is>
          <t>H</t>
        </is>
      </c>
      <c r="O77" s="451" t="inlineStr">
        <is>
          <t>D  T</t>
        </is>
      </c>
      <c r="P77" s="396" t="inlineStr">
        <is>
          <t>Ze</t>
        </is>
      </c>
      <c r="Q77" s="397" t="n"/>
    </row>
    <row r="78">
      <c r="A78" s="474" t="n"/>
      <c r="C78" s="411" t="n"/>
      <c r="D78" s="411" t="n"/>
      <c r="E78" s="475" t="n"/>
      <c r="F78" s="402" t="n"/>
      <c r="G78" s="476" t="n"/>
      <c r="H78" s="477" t="n"/>
      <c r="I78" s="405" t="n"/>
      <c r="J78" s="455" t="inlineStr">
        <is>
          <t>Qs  =</t>
        </is>
      </c>
      <c r="K78" s="382" t="n">
        <v>2</v>
      </c>
      <c r="L78" s="382">
        <f>(D74+E74)*2*G74</f>
        <v/>
      </c>
      <c r="M78" s="382" t="n">
        <v>0.9</v>
      </c>
      <c r="N78" s="382" t="n">
        <v>0.67</v>
      </c>
      <c r="O78" s="473" t="n">
        <v>23</v>
      </c>
      <c r="P78" s="382" t="n">
        <v>1.2</v>
      </c>
      <c r="Q78" s="383">
        <f>K78*L78*M78*N78*O78*P78</f>
        <v/>
      </c>
    </row>
    <row r="79">
      <c r="A79" s="457" t="n"/>
      <c r="B79" s="458" t="n"/>
      <c r="C79" s="411" t="n"/>
      <c r="D79" s="411" t="n"/>
      <c r="E79" s="378" t="n"/>
      <c r="F79" s="256" t="n"/>
      <c r="G79" s="459" t="n"/>
      <c r="H79" s="411" t="n"/>
      <c r="I79" s="411" t="n"/>
      <c r="J79" s="411" t="n"/>
      <c r="K79" s="459" t="n"/>
      <c r="L79" s="412" t="n"/>
      <c r="M79" s="415" t="inlineStr">
        <is>
          <t xml:space="preserve">   TOPLAM ISI KAYBI =</t>
        </is>
      </c>
      <c r="N79" s="415" t="n"/>
      <c r="O79" s="478" t="n"/>
      <c r="P79" s="415" t="n"/>
      <c r="Q79" s="416">
        <f>Q76+Q78</f>
        <v/>
      </c>
    </row>
    <row r="80" ht="9.75" customFormat="1" customHeight="1" s="329">
      <c r="A80" s="330" t="n"/>
      <c r="B80" s="331" t="n"/>
      <c r="C80" s="331" t="n"/>
      <c r="D80" s="331" t="n"/>
      <c r="E80" s="331" t="n"/>
      <c r="F80" s="332" t="n"/>
      <c r="G80" s="333" t="n"/>
      <c r="H80" s="334" t="n"/>
      <c r="I80" s="333" t="n"/>
      <c r="J80" s="333" t="n"/>
      <c r="K80" s="331" t="n"/>
      <c r="L80" s="335" t="n"/>
      <c r="M80" s="331" t="n"/>
      <c r="N80" s="336" t="n"/>
      <c r="O80" s="337" t="n"/>
      <c r="P80" s="337" t="n"/>
      <c r="Q80" s="338" t="n"/>
    </row>
    <row r="81" ht="10.5" customFormat="1" customHeight="1" s="339">
      <c r="A81" s="471" t="n"/>
      <c r="B81" s="429" t="n"/>
      <c r="C81" s="429" t="n"/>
      <c r="D81" s="429" t="n"/>
      <c r="E81" s="429" t="n"/>
      <c r="F81" s="426" t="inlineStr">
        <is>
          <t>109</t>
        </is>
      </c>
      <c r="G81" s="472" t="n"/>
      <c r="H81" s="360" t="n"/>
      <c r="I81" s="363" t="inlineStr">
        <is>
          <t>D4 YATAK ODASI</t>
        </is>
      </c>
      <c r="J81" s="428" t="n"/>
      <c r="K81" s="360" t="inlineStr">
        <is>
          <t>20ºC</t>
        </is>
      </c>
      <c r="L81" s="360" t="n"/>
      <c r="M81" s="429" t="n"/>
      <c r="N81" s="429" t="n"/>
      <c r="O81" s="360" t="n"/>
      <c r="P81" s="360" t="n"/>
      <c r="Q81" s="364" t="n"/>
    </row>
    <row r="82" ht="8.25" customFormat="1" customHeight="1" s="339">
      <c r="A82" s="432" t="inlineStr">
        <is>
          <t>DD</t>
        </is>
      </c>
      <c r="B82" s="433" t="inlineStr">
        <is>
          <t>D</t>
        </is>
      </c>
      <c r="C82" s="434" t="n"/>
      <c r="D82" s="369" t="n">
        <v>3.12</v>
      </c>
      <c r="E82" s="369" t="n">
        <v>3</v>
      </c>
      <c r="F82" s="369">
        <f>IF(D82=0," ",D82*E82)</f>
        <v/>
      </c>
      <c r="G82" s="435" t="n">
        <v>1</v>
      </c>
      <c r="H82" s="436">
        <f>F83*G83</f>
        <v/>
      </c>
      <c r="I82" s="369">
        <f>IF(F82=" "," ",F82*G82-H82)</f>
        <v/>
      </c>
      <c r="J82" s="369" t="n">
        <v>0.4</v>
      </c>
      <c r="K82" s="435" t="n">
        <v>23</v>
      </c>
      <c r="L82" s="372">
        <f>IF(I82=" "," ",I82*J82*K82)</f>
        <v/>
      </c>
      <c r="M82" s="438" t="n">
        <v>7</v>
      </c>
      <c r="N82" s="435" t="n">
        <v>0</v>
      </c>
      <c r="O82" s="438" t="n">
        <v>0</v>
      </c>
      <c r="P82" s="369">
        <f>IF(M82=" "," ",(1+(M82+N82+O82)/100))</f>
        <v/>
      </c>
      <c r="Q82" s="374">
        <f>IF(L82=" "," ",L82*P82)</f>
        <v/>
      </c>
    </row>
    <row r="83" ht="31.5" customFormat="1" customHeight="1" s="351">
      <c r="A83" s="432" t="inlineStr">
        <is>
          <t>ÇP</t>
        </is>
      </c>
      <c r="B83" s="433" t="inlineStr">
        <is>
          <t>D</t>
        </is>
      </c>
      <c r="C83" s="434" t="n"/>
      <c r="D83" s="369" t="n">
        <v>1.5</v>
      </c>
      <c r="E83" s="369" t="n">
        <v>1.6</v>
      </c>
      <c r="F83" s="369">
        <f>IF(D83=0," ",D83*E83)</f>
        <v/>
      </c>
      <c r="G83" s="435" t="n">
        <v>1</v>
      </c>
      <c r="H83" s="436" t="n"/>
      <c r="I83" s="369">
        <f>IF(F83=" "," ",F83*G83-H83)</f>
        <v/>
      </c>
      <c r="J83" s="369" t="n">
        <v>1.8</v>
      </c>
      <c r="K83" s="435" t="n">
        <v>23</v>
      </c>
      <c r="L83" s="372">
        <f>IF(I83=" "," ",I83*J83*K83)</f>
        <v/>
      </c>
      <c r="M83" s="438" t="n">
        <v>7</v>
      </c>
      <c r="N83" s="435" t="n">
        <v>0</v>
      </c>
      <c r="O83" s="438" t="n">
        <v>0</v>
      </c>
      <c r="P83" s="369">
        <f>IF(M83=" "," ",(1+(M83+N83+O83)/100))</f>
        <v/>
      </c>
      <c r="Q83" s="374">
        <f>IF(L83=" "," ",L83*P83)</f>
        <v/>
      </c>
    </row>
    <row r="84" ht="9.75" customFormat="1" customHeight="1" s="351">
      <c r="A84" s="432" t="inlineStr">
        <is>
          <t>İD</t>
        </is>
      </c>
      <c r="B84" s="433" t="n"/>
      <c r="C84" s="434" t="n"/>
      <c r="D84" s="369" t="n">
        <v>3.06</v>
      </c>
      <c r="E84" s="369" t="n">
        <v>3</v>
      </c>
      <c r="F84" s="369">
        <f>IF(D84=0," ",D84*E84)</f>
        <v/>
      </c>
      <c r="G84" s="435" t="n">
        <v>1</v>
      </c>
      <c r="H84" s="436" t="n"/>
      <c r="I84" s="369">
        <f>IF(F84=" "," ",F84*G84-H84)</f>
        <v/>
      </c>
      <c r="J84" s="369" t="n">
        <v>0.8139999999999999</v>
      </c>
      <c r="K84" s="435" t="n">
        <v>5</v>
      </c>
      <c r="L84" s="372">
        <f>IF(I84=" "," ",I84*J84*K84)</f>
        <v/>
      </c>
      <c r="M84" s="438" t="n">
        <v>7</v>
      </c>
      <c r="N84" s="435" t="n">
        <v>0</v>
      </c>
      <c r="O84" s="438" t="n">
        <v>0</v>
      </c>
      <c r="P84" s="369">
        <f>IF(M84=" "," ",(1+(M84+N84+O84)/100))</f>
        <v/>
      </c>
      <c r="Q84" s="374">
        <f>IF(L84=" "," ",L84*P84)</f>
        <v/>
      </c>
    </row>
    <row r="85" ht="15.75" customFormat="1" customHeight="1" s="356">
      <c r="A85" s="441" t="n"/>
      <c r="B85" s="442" t="n"/>
      <c r="C85" s="442" t="n"/>
      <c r="D85" s="378" t="n"/>
      <c r="E85" s="378" t="n"/>
      <c r="F85" s="378" t="n"/>
      <c r="G85" s="443" t="n"/>
      <c r="H85" s="378" t="n"/>
      <c r="I85" s="378" t="n"/>
      <c r="J85" s="378" t="n"/>
      <c r="K85" s="443" t="n"/>
      <c r="L85" s="380" t="n"/>
      <c r="M85" s="473" t="n"/>
      <c r="N85" s="473" t="n"/>
      <c r="O85" s="473" t="n"/>
      <c r="P85" s="382" t="n"/>
      <c r="Q85" s="383">
        <f>SUM(Q82:Q84)</f>
        <v/>
      </c>
    </row>
    <row r="86" ht="11.25" customFormat="1" customHeight="1" s="356">
      <c r="A86" s="445" t="n"/>
      <c r="B86" s="446" t="n"/>
      <c r="C86" s="446" t="n"/>
      <c r="D86" s="447" t="n"/>
      <c r="E86" s="448" t="n"/>
      <c r="F86" s="388" t="n"/>
      <c r="G86" s="396" t="n"/>
      <c r="H86" s="388" t="n"/>
      <c r="I86" s="391" t="n"/>
      <c r="J86" s="449" t="inlineStr">
        <is>
          <t>Qs=</t>
        </is>
      </c>
      <c r="K86" s="391" t="inlineStr">
        <is>
          <t>a</t>
        </is>
      </c>
      <c r="L86" s="388" t="inlineStr">
        <is>
          <t>L</t>
        </is>
      </c>
      <c r="M86" s="396" t="inlineStr">
        <is>
          <t>R</t>
        </is>
      </c>
      <c r="N86" s="450" t="inlineStr">
        <is>
          <t>H</t>
        </is>
      </c>
      <c r="O86" s="451" t="inlineStr">
        <is>
          <t>D  T</t>
        </is>
      </c>
      <c r="P86" s="396" t="inlineStr">
        <is>
          <t>Ze</t>
        </is>
      </c>
      <c r="Q86" s="397" t="n"/>
    </row>
    <row r="87" ht="9.75" customFormat="1" customHeight="1" s="356">
      <c r="A87" s="398" t="n"/>
      <c r="B87" s="452" t="n"/>
      <c r="C87" s="400" t="n"/>
      <c r="D87" s="400" t="n"/>
      <c r="E87" s="401" t="n"/>
      <c r="F87" s="453" t="n"/>
      <c r="G87" s="403" t="n"/>
      <c r="H87" s="404" t="n"/>
      <c r="I87" s="454" t="n"/>
      <c r="J87" s="455" t="inlineStr">
        <is>
          <t>Qs  =</t>
        </is>
      </c>
      <c r="K87" s="407" t="n">
        <v>2</v>
      </c>
      <c r="L87" s="407">
        <f>(D83+E83)*2*G83</f>
        <v/>
      </c>
      <c r="M87" s="407" t="n">
        <v>0.9</v>
      </c>
      <c r="N87" s="407" t="n">
        <v>0.67</v>
      </c>
      <c r="O87" s="381" t="n">
        <v>23</v>
      </c>
      <c r="P87" s="407" t="n">
        <v>1.2</v>
      </c>
      <c r="Q87" s="456">
        <f>K87*L87*M87*N87*O87*P87</f>
        <v/>
      </c>
    </row>
    <row r="88" ht="9.949999999999999" customFormat="1" customHeight="1" s="356">
      <c r="A88" s="408" t="n"/>
      <c r="B88" s="409" t="n"/>
      <c r="C88" s="400" t="n"/>
      <c r="D88" s="400" t="n"/>
      <c r="E88" s="377" t="n"/>
      <c r="F88" s="256" t="n"/>
      <c r="G88" s="410" t="n"/>
      <c r="H88" s="400" t="n"/>
      <c r="I88" s="411" t="n"/>
      <c r="J88" s="400" t="n"/>
      <c r="K88" s="410" t="n"/>
      <c r="L88" s="412" t="n"/>
      <c r="M88" s="413" t="inlineStr">
        <is>
          <t xml:space="preserve">   TOPLAM ISI KAYBI =</t>
        </is>
      </c>
      <c r="N88" s="413" t="n"/>
      <c r="O88" s="414" t="n"/>
      <c r="P88" s="415" t="n"/>
      <c r="Q88" s="416">
        <f>Q85+Q87</f>
        <v/>
      </c>
    </row>
    <row r="89" ht="9.949999999999999" customFormat="1" customHeight="1" s="356">
      <c r="A89" s="417" t="n"/>
      <c r="B89" s="399" t="n"/>
      <c r="C89" s="418" t="n"/>
      <c r="D89" s="419" t="n"/>
      <c r="E89" s="419" t="n"/>
      <c r="F89" s="420" t="n"/>
      <c r="G89" s="421" t="n"/>
      <c r="H89" s="422" t="n"/>
      <c r="I89" s="420" t="n"/>
      <c r="J89" s="419" t="n"/>
      <c r="K89" s="421" t="n"/>
      <c r="L89" s="423" t="n"/>
      <c r="M89" s="424" t="n"/>
      <c r="N89" s="421" t="n"/>
      <c r="O89" s="424" t="n"/>
      <c r="P89" s="420" t="n"/>
      <c r="Q89" s="425" t="n"/>
    </row>
    <row r="90" ht="9.949999999999999" customFormat="1" customHeight="1" s="356">
      <c r="A90" s="359" t="n"/>
      <c r="B90" s="360" t="n"/>
      <c r="C90" s="360" t="n"/>
      <c r="D90" s="360" t="n"/>
      <c r="E90" s="360" t="n"/>
      <c r="F90" s="426" t="inlineStr">
        <is>
          <t>110</t>
        </is>
      </c>
      <c r="G90" s="362" t="n"/>
      <c r="H90" s="360" t="n"/>
      <c r="I90" s="427" t="inlineStr">
        <is>
          <t>D4 ODA</t>
        </is>
      </c>
      <c r="J90" s="428" t="n"/>
      <c r="K90" s="360" t="inlineStr">
        <is>
          <t>20ºC</t>
        </is>
      </c>
      <c r="L90" s="429" t="n"/>
      <c r="M90" s="360" t="n"/>
      <c r="N90" s="360" t="n"/>
      <c r="O90" s="360" t="n"/>
      <c r="P90" s="429" t="n"/>
      <c r="Q90" s="430" t="n"/>
    </row>
    <row r="91" ht="9.949999999999999" customFormat="1" customHeight="1" s="356">
      <c r="A91" s="365" t="inlineStr">
        <is>
          <t>DD</t>
        </is>
      </c>
      <c r="B91" s="366" t="inlineStr">
        <is>
          <t>K</t>
        </is>
      </c>
      <c r="C91" s="367" t="n"/>
      <c r="D91" s="368" t="n">
        <v>3.64</v>
      </c>
      <c r="E91" s="368" t="n">
        <v>3</v>
      </c>
      <c r="F91" s="369">
        <f>IF(D91=0," ",D91*E91)</f>
        <v/>
      </c>
      <c r="G91" s="370" t="n">
        <v>1</v>
      </c>
      <c r="H91" s="371">
        <f>F92*G92</f>
        <v/>
      </c>
      <c r="I91" s="369">
        <f>IF(F91=" "," ",F91*G91-H91)</f>
        <v/>
      </c>
      <c r="J91" s="368" t="n">
        <v>0.4</v>
      </c>
      <c r="K91" s="370" t="n">
        <v>23</v>
      </c>
      <c r="L91" s="372">
        <f>IF(I91=" "," ",I91*J91*K91)</f>
        <v/>
      </c>
      <c r="M91" s="373" t="n">
        <v>7</v>
      </c>
      <c r="N91" s="370" t="n">
        <v>0</v>
      </c>
      <c r="O91" s="373" t="n">
        <v>5</v>
      </c>
      <c r="P91" s="369">
        <f>IF(M91=" "," ",(1+(M91+N91+O91)/100))</f>
        <v/>
      </c>
      <c r="Q91" s="374">
        <f>IF(L91=" "," ",L91*P91)</f>
        <v/>
      </c>
    </row>
    <row r="92" ht="9.949999999999999" customFormat="1" customHeight="1" s="356">
      <c r="A92" s="365" t="inlineStr">
        <is>
          <t>ÇP</t>
        </is>
      </c>
      <c r="B92" s="366" t="inlineStr">
        <is>
          <t>K</t>
        </is>
      </c>
      <c r="C92" s="367" t="n"/>
      <c r="D92" s="368" t="n">
        <v>1.5</v>
      </c>
      <c r="E92" s="368" t="n">
        <v>2.2</v>
      </c>
      <c r="F92" s="369">
        <f>IF(D92=0," ",D92*E92)</f>
        <v/>
      </c>
      <c r="G92" s="370" t="n">
        <v>1</v>
      </c>
      <c r="H92" s="371" t="n"/>
      <c r="I92" s="369">
        <f>IF(F92=" "," ",F92*G92-H92)</f>
        <v/>
      </c>
      <c r="J92" s="368" t="n">
        <v>1.8</v>
      </c>
      <c r="K92" s="370" t="n">
        <v>23</v>
      </c>
      <c r="L92" s="372">
        <f>IF(I92=" "," ",I92*J92*K92)</f>
        <v/>
      </c>
      <c r="M92" s="373" t="n">
        <v>7</v>
      </c>
      <c r="N92" s="370" t="n">
        <v>0</v>
      </c>
      <c r="O92" s="373" t="n">
        <v>5</v>
      </c>
      <c r="P92" s="369">
        <f>IF(M92=" "," ",(1+(M92+N92+O92)/100))</f>
        <v/>
      </c>
      <c r="Q92" s="374">
        <f>IF(L92=" "," ",L92*P92)</f>
        <v/>
      </c>
    </row>
    <row r="93" ht="9.949999999999999" customFormat="1" customHeight="1" s="356">
      <c r="A93" s="365" t="inlineStr">
        <is>
          <t>DD</t>
        </is>
      </c>
      <c r="B93" s="366" t="inlineStr">
        <is>
          <t>D</t>
        </is>
      </c>
      <c r="C93" s="367" t="n"/>
      <c r="D93" s="368" t="n">
        <v>0.8100000000000001</v>
      </c>
      <c r="E93" s="368" t="n">
        <v>3</v>
      </c>
      <c r="F93" s="369">
        <f>IF(D93=0," ",D93*E93)</f>
        <v/>
      </c>
      <c r="G93" s="370" t="n">
        <v>1</v>
      </c>
      <c r="H93" s="371" t="n"/>
      <c r="I93" s="369">
        <f>IF(F93=" "," ",F93*G93-H93)</f>
        <v/>
      </c>
      <c r="J93" s="368" t="n">
        <v>0.4</v>
      </c>
      <c r="K93" s="370" t="n">
        <v>23</v>
      </c>
      <c r="L93" s="372">
        <f>IF(I93=" "," ",I93*J93*K93)</f>
        <v/>
      </c>
      <c r="M93" s="373" t="n">
        <v>7</v>
      </c>
      <c r="N93" s="370" t="n">
        <v>0</v>
      </c>
      <c r="O93" s="373" t="n">
        <v>0</v>
      </c>
      <c r="P93" s="369">
        <f>IF(M93=" "," ",(1+(M93+N93+O93)/100))</f>
        <v/>
      </c>
      <c r="Q93" s="374">
        <f>IF(L93=" "," ",L93*P93)</f>
        <v/>
      </c>
    </row>
    <row r="94" ht="9.949999999999999" customFormat="1" customHeight="1" s="356">
      <c r="A94" s="365" t="inlineStr">
        <is>
          <t>İD</t>
        </is>
      </c>
      <c r="B94" s="366" t="n"/>
      <c r="C94" s="367" t="n"/>
      <c r="D94" s="368" t="n">
        <v>2.86</v>
      </c>
      <c r="E94" s="368" t="n">
        <v>3</v>
      </c>
      <c r="F94" s="369">
        <f>IF(D94=0," ",D94*E94)</f>
        <v/>
      </c>
      <c r="G94" s="370" t="n">
        <v>1</v>
      </c>
      <c r="H94" s="371" t="n"/>
      <c r="I94" s="369">
        <f>IF(F94=" "," ",F94*G94-H94)</f>
        <v/>
      </c>
      <c r="J94" s="368" t="n">
        <v>0.8139999999999999</v>
      </c>
      <c r="K94" s="370" t="n">
        <v>5</v>
      </c>
      <c r="L94" s="372">
        <f>IF(I94=" "," ",I94*J94*K94)</f>
        <v/>
      </c>
      <c r="M94" s="373" t="n">
        <v>7</v>
      </c>
      <c r="N94" s="370" t="n">
        <v>0</v>
      </c>
      <c r="O94" s="373" t="n">
        <v>0</v>
      </c>
      <c r="P94" s="369">
        <f>IF(M94=" "," ",(1+(M94+N94+O94)/100))</f>
        <v/>
      </c>
      <c r="Q94" s="374">
        <f>IF(L94=" "," ",L94*P94)</f>
        <v/>
      </c>
    </row>
    <row r="95" ht="9.949999999999999" customFormat="1" customHeight="1" s="356">
      <c r="A95" s="375" t="n"/>
      <c r="B95" s="376" t="n"/>
      <c r="C95" s="376" t="n"/>
      <c r="D95" s="377" t="n"/>
      <c r="E95" s="377" t="n"/>
      <c r="F95" s="378" t="n"/>
      <c r="G95" s="379" t="n"/>
      <c r="H95" s="377" t="n"/>
      <c r="I95" s="378" t="n"/>
      <c r="J95" s="377" t="n"/>
      <c r="K95" s="379" t="n"/>
      <c r="L95" s="380" t="n"/>
      <c r="M95" s="381" t="n"/>
      <c r="N95" s="381" t="n"/>
      <c r="O95" s="381" t="n"/>
      <c r="P95" s="382" t="n"/>
      <c r="Q95" s="383">
        <f>SUM(Q91:Q94)</f>
        <v/>
      </c>
    </row>
    <row r="96" ht="9.949999999999999" customFormat="1" customHeight="1" s="356">
      <c r="A96" s="445" t="n"/>
      <c r="B96" s="446" t="n"/>
      <c r="C96" s="446" t="n"/>
      <c r="D96" s="447" t="n"/>
      <c r="E96" s="448" t="n"/>
      <c r="F96" s="388" t="n"/>
      <c r="G96" s="396" t="n"/>
      <c r="H96" s="388" t="n"/>
      <c r="I96" s="391" t="n"/>
      <c r="J96" s="449" t="inlineStr">
        <is>
          <t>Qs=</t>
        </is>
      </c>
      <c r="K96" s="391" t="inlineStr">
        <is>
          <t>a</t>
        </is>
      </c>
      <c r="L96" s="388" t="inlineStr">
        <is>
          <t>L</t>
        </is>
      </c>
      <c r="M96" s="389" t="inlineStr">
        <is>
          <t>R</t>
        </is>
      </c>
      <c r="N96" s="394" t="inlineStr">
        <is>
          <t>H</t>
        </is>
      </c>
      <c r="O96" s="395" t="inlineStr">
        <is>
          <t>D  T</t>
        </is>
      </c>
      <c r="P96" s="396" t="inlineStr">
        <is>
          <t>Ze</t>
        </is>
      </c>
      <c r="Q96" s="397" t="n"/>
    </row>
    <row r="97" ht="9.949999999999999" customFormat="1" customHeight="1" s="437">
      <c r="A97" s="474" t="n"/>
      <c r="B97" s="461" t="n"/>
      <c r="C97" s="411" t="n"/>
      <c r="D97" s="411" t="n"/>
      <c r="E97" s="475" t="n"/>
      <c r="F97" s="402" t="n"/>
      <c r="G97" s="476" t="n"/>
      <c r="H97" s="477" t="n"/>
      <c r="I97" s="405" t="n"/>
      <c r="J97" s="455" t="inlineStr">
        <is>
          <t>Qs  =</t>
        </is>
      </c>
      <c r="K97" s="382" t="n">
        <v>2</v>
      </c>
      <c r="L97" s="382">
        <f>(D92+E92)*2*G92</f>
        <v/>
      </c>
      <c r="M97" s="382" t="n">
        <v>0.9</v>
      </c>
      <c r="N97" s="382" t="n">
        <v>0.67</v>
      </c>
      <c r="O97" s="473" t="n">
        <v>23</v>
      </c>
      <c r="P97" s="382" t="n">
        <v>1.2</v>
      </c>
      <c r="Q97" s="383">
        <f>K97*L97*M97*N97*O97*P97</f>
        <v/>
      </c>
    </row>
    <row r="98" ht="9.949999999999999" customFormat="1" customHeight="1" s="437">
      <c r="A98" s="457" t="n"/>
      <c r="B98" s="458" t="n"/>
      <c r="C98" s="411" t="n"/>
      <c r="D98" s="411" t="n"/>
      <c r="E98" s="378" t="n"/>
      <c r="F98" s="256" t="n"/>
      <c r="G98" s="459" t="n"/>
      <c r="H98" s="411" t="n"/>
      <c r="I98" s="411" t="n"/>
      <c r="J98" s="411" t="n"/>
      <c r="K98" s="410" t="n"/>
      <c r="L98" s="480" t="n"/>
      <c r="M98" s="413" t="inlineStr">
        <is>
          <t xml:space="preserve">   TOPLAM ISI KAYBI =</t>
        </is>
      </c>
      <c r="N98" s="413" t="n"/>
      <c r="O98" s="414" t="n"/>
      <c r="P98" s="413" t="n"/>
      <c r="Q98" s="416">
        <f>Q95+Q97</f>
        <v/>
      </c>
    </row>
    <row r="99" ht="9.949999999999999" customFormat="1" customHeight="1" s="351">
      <c r="A99" s="495" t="n"/>
      <c r="B99" s="437" t="n"/>
      <c r="C99" s="484" t="n"/>
      <c r="D99" s="484" t="n"/>
      <c r="E99" s="496" t="n"/>
      <c r="G99" s="497" t="n"/>
      <c r="H99" s="484" t="n"/>
      <c r="I99" s="484" t="n"/>
      <c r="J99" s="484" t="n"/>
      <c r="K99" s="497" t="n"/>
      <c r="L99" s="498" t="n"/>
      <c r="M99" s="499" t="n"/>
      <c r="N99" s="499" t="n"/>
      <c r="O99" s="500" t="n"/>
      <c r="P99" s="499" t="n"/>
      <c r="Q99" s="501" t="n"/>
    </row>
    <row r="100">
      <c r="A100" s="471" t="n"/>
      <c r="B100" s="429" t="n"/>
      <c r="C100" s="429" t="n"/>
      <c r="D100" s="429" t="n"/>
      <c r="E100" s="429" t="n"/>
      <c r="F100" s="426" t="inlineStr">
        <is>
          <t>111</t>
        </is>
      </c>
      <c r="G100" s="472" t="n"/>
      <c r="H100" s="429" t="n"/>
      <c r="I100" s="427" t="inlineStr">
        <is>
          <t>D4 SALON</t>
        </is>
      </c>
      <c r="J100" s="264" t="n"/>
      <c r="K100" s="429" t="inlineStr">
        <is>
          <t>20ºC</t>
        </is>
      </c>
      <c r="L100" s="429" t="n"/>
      <c r="M100" s="429" t="n"/>
      <c r="N100" s="429" t="n"/>
      <c r="O100" s="429" t="n"/>
      <c r="P100" s="429" t="n"/>
      <c r="Q100" s="430" t="n"/>
    </row>
    <row r="101">
      <c r="A101" s="432" t="inlineStr">
        <is>
          <t>DD</t>
        </is>
      </c>
      <c r="B101" s="433" t="inlineStr">
        <is>
          <t>D</t>
        </is>
      </c>
      <c r="C101" s="434" t="n"/>
      <c r="D101" s="369" t="n">
        <v>6.14</v>
      </c>
      <c r="E101" s="369" t="n">
        <v>3</v>
      </c>
      <c r="F101" s="369">
        <f>IF(D101=0," ",D101*E101)</f>
        <v/>
      </c>
      <c r="G101" s="435" t="n">
        <v>1</v>
      </c>
      <c r="H101" s="436">
        <f>F102*G102</f>
        <v/>
      </c>
      <c r="I101" s="369">
        <f>IF(F101=" "," ",F101*G101-H101)</f>
        <v/>
      </c>
      <c r="J101" s="369" t="n">
        <v>0.4</v>
      </c>
      <c r="K101" s="435" t="n">
        <v>23</v>
      </c>
      <c r="L101" s="372">
        <f>IF(I101=" "," ",I101*J101*K101)</f>
        <v/>
      </c>
      <c r="M101" s="438" t="n">
        <v>7</v>
      </c>
      <c r="N101" s="435" t="n">
        <v>0</v>
      </c>
      <c r="O101" s="438" t="n">
        <v>0</v>
      </c>
      <c r="P101" s="369">
        <f>IF(M101=" "," ",(1+(M101+N101+O101)/100))</f>
        <v/>
      </c>
      <c r="Q101" s="374">
        <f>IF(L101=" "," ",L101*P101)</f>
        <v/>
      </c>
    </row>
    <row r="102">
      <c r="A102" s="432" t="inlineStr">
        <is>
          <t>ÇP</t>
        </is>
      </c>
      <c r="B102" s="433" t="inlineStr">
        <is>
          <t>D</t>
        </is>
      </c>
      <c r="C102" s="434" t="n"/>
      <c r="D102" s="369" t="n">
        <v>1.5</v>
      </c>
      <c r="E102" s="369" t="n">
        <v>2.2</v>
      </c>
      <c r="F102" s="369">
        <f>IF(D102=0," ",D102*E102)</f>
        <v/>
      </c>
      <c r="G102" s="435" t="n">
        <v>1</v>
      </c>
      <c r="H102" s="436" t="n"/>
      <c r="I102" s="369">
        <f>IF(F102=" "," ",F102*G102-H102)</f>
        <v/>
      </c>
      <c r="J102" s="369" t="n">
        <v>1.8</v>
      </c>
      <c r="K102" s="435" t="n">
        <v>23</v>
      </c>
      <c r="L102" s="372">
        <f>IF(I102=" "," ",I102*J102*K102)</f>
        <v/>
      </c>
      <c r="M102" s="438" t="n">
        <v>7</v>
      </c>
      <c r="N102" s="435" t="n">
        <v>0</v>
      </c>
      <c r="O102" s="438" t="n">
        <v>0</v>
      </c>
      <c r="P102" s="369">
        <f>IF(M102=" "," ",(1+(M102+N102+O102)/100))</f>
        <v/>
      </c>
      <c r="Q102" s="374">
        <f>IF(L102=" "," ",L102*P102)</f>
        <v/>
      </c>
    </row>
    <row r="103">
      <c r="A103" s="432" t="inlineStr">
        <is>
          <t>DD</t>
        </is>
      </c>
      <c r="B103" s="433" t="inlineStr">
        <is>
          <t>G</t>
        </is>
      </c>
      <c r="C103" s="434" t="n"/>
      <c r="D103" s="369" t="n">
        <v>3.28</v>
      </c>
      <c r="E103" s="369" t="n">
        <v>3</v>
      </c>
      <c r="F103" s="369">
        <f>IF(D103=0," ",D103*E103)</f>
        <v/>
      </c>
      <c r="G103" s="435" t="n">
        <v>1</v>
      </c>
      <c r="H103" s="436">
        <f>F104*G104</f>
        <v/>
      </c>
      <c r="I103" s="369">
        <f>IF(F103=" "," ",F103*G103-H103)</f>
        <v/>
      </c>
      <c r="J103" s="369" t="n">
        <v>0.4</v>
      </c>
      <c r="K103" s="435" t="n">
        <v>23</v>
      </c>
      <c r="L103" s="372">
        <f>IF(I103=" "," ",I103*J103*K103)</f>
        <v/>
      </c>
      <c r="M103" s="438" t="n">
        <v>7</v>
      </c>
      <c r="N103" s="435" t="n">
        <v>0</v>
      </c>
      <c r="O103" s="438" t="n">
        <v>-5</v>
      </c>
      <c r="P103" s="369">
        <f>IF(M103=" "," ",(1+(M103+N103+O103)/100))</f>
        <v/>
      </c>
      <c r="Q103" s="374">
        <f>IF(L103=" "," ",L103*P103)</f>
        <v/>
      </c>
    </row>
    <row r="104">
      <c r="A104" s="432" t="inlineStr">
        <is>
          <t>ÇP</t>
        </is>
      </c>
      <c r="B104" s="433" t="inlineStr">
        <is>
          <t>G</t>
        </is>
      </c>
      <c r="C104" s="434" t="n"/>
      <c r="D104" s="369" t="n">
        <v>2</v>
      </c>
      <c r="E104" s="369" t="n">
        <v>2.2</v>
      </c>
      <c r="F104" s="369">
        <f>IF(D104=0," ",D104*E104)</f>
        <v/>
      </c>
      <c r="G104" s="435" t="n">
        <v>1</v>
      </c>
      <c r="H104" s="436" t="n"/>
      <c r="I104" s="369">
        <f>IF(F104=" "," ",F104*G104-H104)</f>
        <v/>
      </c>
      <c r="J104" s="369" t="n">
        <v>1.8</v>
      </c>
      <c r="K104" s="435" t="n">
        <v>23</v>
      </c>
      <c r="L104" s="372">
        <f>IF(I104=" "," ",I104*J104*K104)</f>
        <v/>
      </c>
      <c r="M104" s="438" t="n">
        <v>7</v>
      </c>
      <c r="N104" s="435" t="n">
        <v>0</v>
      </c>
      <c r="O104" s="438" t="n">
        <v>-5</v>
      </c>
      <c r="P104" s="369">
        <f>IF(M104=" "," ",(1+(M104+N104+O104)/100))</f>
        <v/>
      </c>
      <c r="Q104" s="374">
        <f>IF(L104=" "," ",L104*P104)</f>
        <v/>
      </c>
    </row>
    <row r="105">
      <c r="A105" s="432" t="inlineStr">
        <is>
          <t>DD</t>
        </is>
      </c>
      <c r="B105" s="433" t="inlineStr">
        <is>
          <t>B</t>
        </is>
      </c>
      <c r="C105" s="434" t="n"/>
      <c r="D105" s="369" t="n">
        <v>1.16</v>
      </c>
      <c r="E105" s="369" t="n">
        <v>3</v>
      </c>
      <c r="F105" s="369">
        <f>IF(D105=0," ",D105*E105)</f>
        <v/>
      </c>
      <c r="G105" s="435" t="n">
        <v>1</v>
      </c>
      <c r="H105" s="436" t="n"/>
      <c r="I105" s="369">
        <f>IF(F105=" "," ",F105*G105-H105)</f>
        <v/>
      </c>
      <c r="J105" s="369" t="n">
        <v>0.4</v>
      </c>
      <c r="K105" s="435" t="n">
        <v>23</v>
      </c>
      <c r="L105" s="372">
        <f>IF(I105=" "," ",I105*J105*K105)</f>
        <v/>
      </c>
      <c r="M105" s="438" t="n">
        <v>7</v>
      </c>
      <c r="N105" s="435" t="n">
        <v>0</v>
      </c>
      <c r="O105" s="438" t="n">
        <v>0</v>
      </c>
      <c r="P105" s="369">
        <f>IF(M105=" "," ",(1+(M105+N105+O105)/100))</f>
        <v/>
      </c>
      <c r="Q105" s="374">
        <f>IF(L105=" "," ",L105*P105)</f>
        <v/>
      </c>
    </row>
    <row r="106">
      <c r="A106" s="441" t="n"/>
      <c r="B106" s="442" t="n"/>
      <c r="C106" s="442" t="n"/>
      <c r="D106" s="378" t="n"/>
      <c r="E106" s="378" t="n"/>
      <c r="F106" s="378" t="n"/>
      <c r="G106" s="443" t="n"/>
      <c r="H106" s="378" t="n"/>
      <c r="I106" s="378" t="n"/>
      <c r="J106" s="378" t="n"/>
      <c r="K106" s="443" t="n"/>
      <c r="L106" s="380" t="n"/>
      <c r="M106" s="473" t="n"/>
      <c r="N106" s="473" t="n"/>
      <c r="O106" s="473" t="n"/>
      <c r="P106" s="382" t="n"/>
      <c r="Q106" s="383">
        <f>SUM(Q101:Q105)</f>
        <v/>
      </c>
    </row>
    <row r="107">
      <c r="A107" s="445" t="n"/>
      <c r="B107" s="446" t="n"/>
      <c r="C107" s="446" t="n"/>
      <c r="D107" s="447" t="n"/>
      <c r="E107" s="448" t="n"/>
      <c r="F107" s="388" t="n"/>
      <c r="G107" s="396" t="n"/>
      <c r="H107" s="388" t="n"/>
      <c r="I107" s="391" t="n"/>
      <c r="J107" s="449" t="inlineStr">
        <is>
          <t>Qs=</t>
        </is>
      </c>
      <c r="K107" s="391" t="inlineStr">
        <is>
          <t>a</t>
        </is>
      </c>
      <c r="L107" s="388" t="inlineStr">
        <is>
          <t>L</t>
        </is>
      </c>
      <c r="M107" s="396" t="inlineStr">
        <is>
          <t>R</t>
        </is>
      </c>
      <c r="N107" s="450" t="inlineStr">
        <is>
          <t>H</t>
        </is>
      </c>
      <c r="O107" s="451" t="inlineStr">
        <is>
          <t>D  T</t>
        </is>
      </c>
      <c r="P107" s="396" t="inlineStr">
        <is>
          <t>Ze</t>
        </is>
      </c>
      <c r="Q107" s="397" t="n"/>
    </row>
    <row r="108">
      <c r="A108" s="474" t="n"/>
      <c r="C108" s="411" t="n"/>
      <c r="D108" s="411" t="n"/>
      <c r="E108" s="475" t="n"/>
      <c r="F108" s="402" t="n"/>
      <c r="G108" s="476" t="n"/>
      <c r="H108" s="477" t="n"/>
      <c r="I108" s="405" t="n"/>
      <c r="J108" s="455" t="inlineStr">
        <is>
          <t>Qs  =</t>
        </is>
      </c>
      <c r="K108" s="382" t="n">
        <v>2</v>
      </c>
      <c r="L108" s="382">
        <f>(D102+E102)*2*G102+(D104+E104)*2*G104</f>
        <v/>
      </c>
      <c r="M108" s="382" t="n">
        <v>0.9</v>
      </c>
      <c r="N108" s="382" t="n">
        <v>0.67</v>
      </c>
      <c r="O108" s="473" t="n">
        <v>23</v>
      </c>
      <c r="P108" s="382" t="n">
        <v>1.2</v>
      </c>
      <c r="Q108" s="383">
        <f>K108*L108*M108*N108*O108*P108</f>
        <v/>
      </c>
    </row>
    <row r="109">
      <c r="A109" s="457" t="n"/>
      <c r="B109" s="458" t="n"/>
      <c r="C109" s="411" t="n"/>
      <c r="D109" s="411" t="n"/>
      <c r="E109" s="378" t="n"/>
      <c r="F109" s="256" t="n"/>
      <c r="G109" s="459" t="n"/>
      <c r="H109" s="411" t="n"/>
      <c r="I109" s="411" t="n"/>
      <c r="J109" s="411" t="n"/>
      <c r="K109" s="459" t="n"/>
      <c r="L109" s="412" t="n"/>
      <c r="M109" s="415" t="inlineStr">
        <is>
          <t xml:space="preserve">   TOPLAM ISI KAYBI =</t>
        </is>
      </c>
      <c r="N109" s="415" t="n"/>
      <c r="O109" s="478" t="n"/>
      <c r="P109" s="415" t="n"/>
      <c r="Q109" s="416">
        <f>Q106+Q108</f>
        <v/>
      </c>
    </row>
    <row r="111">
      <c r="A111" s="471" t="n"/>
      <c r="B111" s="429" t="n"/>
      <c r="C111" s="429" t="n"/>
      <c r="D111" s="429" t="n"/>
      <c r="E111" s="429" t="n"/>
      <c r="F111" s="426" t="inlineStr">
        <is>
          <t>112</t>
        </is>
      </c>
      <c r="G111" s="472" t="n"/>
      <c r="H111" s="429" t="n"/>
      <c r="I111" s="427" t="inlineStr">
        <is>
          <t>D4 MUTFAK</t>
        </is>
      </c>
      <c r="J111" s="264" t="n"/>
      <c r="K111" s="429" t="inlineStr">
        <is>
          <t>20ºC</t>
        </is>
      </c>
      <c r="L111" s="429" t="n"/>
      <c r="M111" s="429" t="n"/>
      <c r="N111" s="429" t="n"/>
      <c r="O111" s="429" t="n"/>
      <c r="P111" s="429" t="n"/>
      <c r="Q111" s="430" t="n"/>
    </row>
    <row r="112">
      <c r="A112" s="432" t="inlineStr">
        <is>
          <t>DD</t>
        </is>
      </c>
      <c r="B112" s="433" t="inlineStr">
        <is>
          <t>G</t>
        </is>
      </c>
      <c r="C112" s="434" t="n"/>
      <c r="D112" s="369" t="n">
        <v>2.7</v>
      </c>
      <c r="E112" s="369" t="n">
        <v>3</v>
      </c>
      <c r="F112" s="369">
        <f>IF(D112=0," ",D112*E112)</f>
        <v/>
      </c>
      <c r="G112" s="435" t="n">
        <v>1</v>
      </c>
      <c r="H112" s="436" t="n"/>
      <c r="I112" s="369">
        <f>IF(F112=" "," ",F112*G112-H112)</f>
        <v/>
      </c>
      <c r="J112" s="369" t="n">
        <v>0.4</v>
      </c>
      <c r="K112" s="435" t="n">
        <v>23</v>
      </c>
      <c r="L112" s="372">
        <f>IF(I112=" "," ",I112*J112*K112)</f>
        <v/>
      </c>
      <c r="M112" s="438" t="n">
        <v>7</v>
      </c>
      <c r="N112" s="435" t="n">
        <v>0</v>
      </c>
      <c r="O112" s="438" t="n">
        <v>-5</v>
      </c>
      <c r="P112" s="369">
        <f>IF(M112=" "," ",(1+(M112+N112+O112)/100))</f>
        <v/>
      </c>
      <c r="Q112" s="374">
        <f>IF(L112=" "," ",L112*P112)</f>
        <v/>
      </c>
    </row>
    <row r="113">
      <c r="A113" s="432" t="inlineStr">
        <is>
          <t>İD</t>
        </is>
      </c>
      <c r="B113" s="433" t="n"/>
      <c r="C113" s="434" t="n"/>
      <c r="D113" s="369" t="n">
        <v>3.4</v>
      </c>
      <c r="E113" s="369" t="n">
        <v>3</v>
      </c>
      <c r="F113" s="369">
        <f>IF(D113=0," ",D113*E113)</f>
        <v/>
      </c>
      <c r="G113" s="435" t="n">
        <v>1</v>
      </c>
      <c r="H113" s="436" t="n"/>
      <c r="I113" s="369">
        <f>IF(F113=" "," ",F113*G113-H113)</f>
        <v/>
      </c>
      <c r="J113" s="369" t="n">
        <v>0.8139999999999999</v>
      </c>
      <c r="K113" s="435" t="n">
        <v>10</v>
      </c>
      <c r="L113" s="372">
        <f>IF(I113=" "," ",I113*J113*K113)</f>
        <v/>
      </c>
      <c r="M113" s="438" t="n">
        <v>7</v>
      </c>
      <c r="N113" s="435" t="n">
        <v>0</v>
      </c>
      <c r="O113" s="438" t="n">
        <v>0</v>
      </c>
      <c r="P113" s="369">
        <f>IF(M113=" "," ",(1+(M113+N113+O113)/100))</f>
        <v/>
      </c>
      <c r="Q113" s="374">
        <f>IF(L113=" "," ",L113*P113)</f>
        <v/>
      </c>
    </row>
    <row r="114">
      <c r="A114" s="432" t="inlineStr">
        <is>
          <t>İD</t>
        </is>
      </c>
      <c r="B114" s="433" t="n"/>
      <c r="C114" s="434" t="n"/>
      <c r="D114" s="369" t="n">
        <v>2.8</v>
      </c>
      <c r="E114" s="369" t="n">
        <v>3</v>
      </c>
      <c r="F114" s="369">
        <f>IF(D114=0," ",D114*E114)</f>
        <v/>
      </c>
      <c r="G114" s="435" t="n">
        <v>1</v>
      </c>
      <c r="H114" s="436" t="n"/>
      <c r="I114" s="369">
        <f>IF(F114=" "," ",F114*G114-H114)</f>
        <v/>
      </c>
      <c r="J114" s="369" t="n">
        <v>0.8139999999999999</v>
      </c>
      <c r="K114" s="435" t="n">
        <v>5</v>
      </c>
      <c r="L114" s="372">
        <f>IF(I114=" "," ",I114*J114*K114)</f>
        <v/>
      </c>
      <c r="M114" s="438" t="n">
        <v>7</v>
      </c>
      <c r="N114" s="435" t="n">
        <v>0</v>
      </c>
      <c r="O114" s="438" t="n">
        <v>0</v>
      </c>
      <c r="P114" s="369">
        <f>IF(M114=" "," ",(1+(M114+N114+O114)/100))</f>
        <v/>
      </c>
      <c r="Q114" s="374">
        <f>IF(L114=" "," ",L114*P114)</f>
        <v/>
      </c>
    </row>
    <row r="115">
      <c r="A115" s="441" t="n"/>
      <c r="B115" s="442" t="n"/>
      <c r="C115" s="442" t="n"/>
      <c r="D115" s="378" t="n"/>
      <c r="E115" s="378" t="n"/>
      <c r="F115" s="378" t="n"/>
      <c r="G115" s="443" t="n"/>
      <c r="H115" s="378" t="n"/>
      <c r="I115" s="378" t="n"/>
      <c r="J115" s="378" t="n"/>
      <c r="K115" s="443" t="n"/>
      <c r="L115" s="380" t="n"/>
      <c r="M115" s="473" t="n"/>
      <c r="N115" s="473" t="n"/>
      <c r="O115" s="473" t="n"/>
      <c r="P115" s="382" t="n"/>
      <c r="Q115" s="383">
        <f>SUM(Q112:Q114)</f>
        <v/>
      </c>
    </row>
    <row r="116">
      <c r="A116" s="445" t="n"/>
      <c r="B116" s="446" t="n"/>
      <c r="C116" s="446" t="n"/>
      <c r="D116" s="447" t="n"/>
      <c r="E116" s="448" t="n"/>
      <c r="F116" s="388" t="n"/>
      <c r="G116" s="396" t="n"/>
      <c r="H116" s="388" t="n"/>
      <c r="I116" s="391" t="n"/>
      <c r="J116" s="449" t="inlineStr">
        <is>
          <t>Qs=</t>
        </is>
      </c>
      <c r="K116" s="391" t="inlineStr">
        <is>
          <t>a</t>
        </is>
      </c>
      <c r="L116" s="388" t="inlineStr">
        <is>
          <t>L</t>
        </is>
      </c>
      <c r="M116" s="396" t="inlineStr">
        <is>
          <t>R</t>
        </is>
      </c>
      <c r="N116" s="450" t="inlineStr">
        <is>
          <t>H</t>
        </is>
      </c>
      <c r="O116" s="451" t="inlineStr">
        <is>
          <t>D  T</t>
        </is>
      </c>
      <c r="P116" s="396" t="inlineStr">
        <is>
          <t>Ze</t>
        </is>
      </c>
      <c r="Q116" s="397" t="n"/>
    </row>
    <row r="117">
      <c r="A117" s="474" t="n"/>
      <c r="C117" s="411" t="n"/>
      <c r="D117" s="411" t="n"/>
      <c r="E117" s="475" t="n"/>
      <c r="F117" s="402" t="n"/>
      <c r="G117" s="476" t="n"/>
      <c r="H117" s="477" t="n"/>
      <c r="I117" s="405" t="n"/>
      <c r="J117" s="455" t="inlineStr">
        <is>
          <t>Qs  =</t>
        </is>
      </c>
      <c r="K117" s="382" t="n">
        <v>2</v>
      </c>
      <c r="L117" s="382" t="n">
        <v>0</v>
      </c>
      <c r="M117" s="382" t="n">
        <v>0.9</v>
      </c>
      <c r="N117" s="382" t="n">
        <v>0.67</v>
      </c>
      <c r="O117" s="473" t="n">
        <v>23</v>
      </c>
      <c r="P117" s="382" t="n">
        <v>1.2</v>
      </c>
      <c r="Q117" s="383">
        <f>K117*L117*M117*N117*O117*P117</f>
        <v/>
      </c>
    </row>
    <row r="118">
      <c r="A118" s="457" t="n"/>
      <c r="B118" s="458" t="n"/>
      <c r="C118" s="411" t="n"/>
      <c r="D118" s="411" t="n"/>
      <c r="E118" s="378" t="n"/>
      <c r="F118" s="256" t="n"/>
      <c r="G118" s="459" t="n"/>
      <c r="H118" s="411" t="n"/>
      <c r="I118" s="411" t="n"/>
      <c r="J118" s="411" t="n"/>
      <c r="K118" s="459" t="n"/>
      <c r="L118" s="412" t="n"/>
      <c r="M118" s="415" t="inlineStr">
        <is>
          <t xml:space="preserve">   TOPLAM ISI KAYBI =</t>
        </is>
      </c>
      <c r="N118" s="415" t="n"/>
      <c r="O118" s="478" t="n"/>
      <c r="P118" s="415" t="n"/>
      <c r="Q118" s="416">
        <f>Q115+Q117</f>
        <v/>
      </c>
    </row>
    <row r="120">
      <c r="A120" s="471" t="n"/>
      <c r="B120" s="429" t="n"/>
      <c r="C120" s="429" t="n"/>
      <c r="D120" s="429" t="n"/>
      <c r="E120" s="429" t="n"/>
      <c r="F120" s="426" t="inlineStr">
        <is>
          <t>113</t>
        </is>
      </c>
      <c r="G120" s="472" t="n"/>
      <c r="H120" s="429" t="n"/>
      <c r="I120" s="427" t="inlineStr">
        <is>
          <t>D4 BANYO-WC</t>
        </is>
      </c>
      <c r="J120" s="264" t="n"/>
      <c r="K120" s="429" t="inlineStr">
        <is>
          <t>24ºC</t>
        </is>
      </c>
      <c r="L120" s="429" t="n"/>
      <c r="M120" s="429" t="n"/>
      <c r="N120" s="429" t="n"/>
      <c r="O120" s="429" t="n"/>
      <c r="P120" s="429" t="n"/>
      <c r="Q120" s="430" t="n"/>
    </row>
    <row r="121">
      <c r="A121" s="432" t="inlineStr">
        <is>
          <t>İD</t>
        </is>
      </c>
      <c r="B121" s="433" t="n"/>
      <c r="C121" s="434" t="n"/>
      <c r="D121" s="369" t="n">
        <v>1.82</v>
      </c>
      <c r="E121" s="369" t="n">
        <v>3</v>
      </c>
      <c r="F121" s="369">
        <f>IF(D121=0," ",D121*E121)</f>
        <v/>
      </c>
      <c r="G121" s="435" t="n">
        <v>1</v>
      </c>
      <c r="H121" s="436" t="n"/>
      <c r="I121" s="369">
        <f>IF(F121=" "," ",F121*G121-H121)</f>
        <v/>
      </c>
      <c r="J121" s="369" t="n">
        <v>0.8139999999999999</v>
      </c>
      <c r="K121" s="435" t="n">
        <v>14</v>
      </c>
      <c r="L121" s="372">
        <f>IF(I121=" "," ",I121*J121*K121)</f>
        <v/>
      </c>
      <c r="M121" s="438" t="n">
        <v>7</v>
      </c>
      <c r="N121" s="435" t="n">
        <v>0</v>
      </c>
      <c r="O121" s="438" t="n">
        <v>0</v>
      </c>
      <c r="P121" s="369">
        <f>IF(M121=" "," ",(1+(M121+N121+O121)/100))</f>
        <v/>
      </c>
      <c r="Q121" s="374">
        <f>IF(L121=" "," ",L121*P121)</f>
        <v/>
      </c>
    </row>
    <row r="122">
      <c r="A122" s="432" t="inlineStr">
        <is>
          <t>İD</t>
        </is>
      </c>
      <c r="B122" s="433" t="n"/>
      <c r="C122" s="434" t="n"/>
      <c r="D122" s="369" t="n">
        <v>5.58</v>
      </c>
      <c r="E122" s="369" t="n">
        <v>3</v>
      </c>
      <c r="F122" s="369">
        <f>IF(D122=0," ",D122*E122)</f>
        <v/>
      </c>
      <c r="G122" s="435" t="n">
        <v>1</v>
      </c>
      <c r="H122" s="436" t="n"/>
      <c r="I122" s="369">
        <f>IF(F122=" "," ",F122*G122-H122)</f>
        <v/>
      </c>
      <c r="J122" s="369" t="n">
        <v>0.8139999999999999</v>
      </c>
      <c r="K122" s="435" t="n">
        <v>9</v>
      </c>
      <c r="L122" s="372">
        <f>IF(I122=" "," ",I122*J122*K122)</f>
        <v/>
      </c>
      <c r="M122" s="438" t="n">
        <v>7</v>
      </c>
      <c r="N122" s="435" t="n">
        <v>0</v>
      </c>
      <c r="O122" s="438" t="n">
        <v>0</v>
      </c>
      <c r="P122" s="369">
        <f>IF(M122=" "," ",(1+(M122+N122+O122)/100))</f>
        <v/>
      </c>
      <c r="Q122" s="374">
        <f>IF(L122=" "," ",L122*P122)</f>
        <v/>
      </c>
    </row>
    <row r="123">
      <c r="A123" s="441" t="n"/>
      <c r="B123" s="442" t="n"/>
      <c r="C123" s="442" t="n"/>
      <c r="D123" s="378" t="n"/>
      <c r="E123" s="378" t="n"/>
      <c r="F123" s="378" t="n"/>
      <c r="G123" s="443" t="n"/>
      <c r="H123" s="378" t="n"/>
      <c r="I123" s="378" t="n"/>
      <c r="J123" s="378" t="n"/>
      <c r="K123" s="443" t="n"/>
      <c r="L123" s="380" t="n"/>
      <c r="M123" s="473" t="n"/>
      <c r="N123" s="473" t="n"/>
      <c r="O123" s="473" t="n"/>
      <c r="P123" s="382" t="n"/>
      <c r="Q123" s="383">
        <f>SUM(Q121:Q122)</f>
        <v/>
      </c>
    </row>
    <row r="124">
      <c r="A124" s="445" t="n"/>
      <c r="B124" s="446" t="n"/>
      <c r="C124" s="446" t="n"/>
      <c r="D124" s="447" t="n"/>
      <c r="E124" s="448" t="n"/>
      <c r="F124" s="388" t="n"/>
      <c r="G124" s="396" t="n"/>
      <c r="H124" s="388" t="n"/>
      <c r="I124" s="391" t="n"/>
      <c r="J124" s="449" t="inlineStr">
        <is>
          <t>Qs=</t>
        </is>
      </c>
      <c r="K124" s="391" t="inlineStr">
        <is>
          <t>a</t>
        </is>
      </c>
      <c r="L124" s="388" t="inlineStr">
        <is>
          <t>L</t>
        </is>
      </c>
      <c r="M124" s="396" t="inlineStr">
        <is>
          <t>R</t>
        </is>
      </c>
      <c r="N124" s="450" t="inlineStr">
        <is>
          <t>H</t>
        </is>
      </c>
      <c r="O124" s="451" t="inlineStr">
        <is>
          <t>D  T</t>
        </is>
      </c>
      <c r="P124" s="396" t="inlineStr">
        <is>
          <t>Ze</t>
        </is>
      </c>
      <c r="Q124" s="397" t="n"/>
    </row>
    <row r="125">
      <c r="A125" s="474" t="n"/>
      <c r="C125" s="411" t="n"/>
      <c r="D125" s="411" t="n"/>
      <c r="E125" s="475" t="n"/>
      <c r="F125" s="402" t="n"/>
      <c r="G125" s="476" t="n"/>
      <c r="H125" s="477" t="n"/>
      <c r="I125" s="405" t="n"/>
      <c r="J125" s="455" t="inlineStr">
        <is>
          <t>Qs  =</t>
        </is>
      </c>
      <c r="K125" s="382" t="n">
        <v>2</v>
      </c>
      <c r="L125" s="382" t="n">
        <v>0</v>
      </c>
      <c r="M125" s="382" t="n">
        <v>0.9</v>
      </c>
      <c r="N125" s="382" t="n">
        <v>0.67</v>
      </c>
      <c r="O125" s="473" t="n">
        <v>27</v>
      </c>
      <c r="P125" s="382" t="n">
        <v>1.2</v>
      </c>
      <c r="Q125" s="383">
        <f>K125*L125*M125*N125*O125*P125</f>
        <v/>
      </c>
    </row>
    <row r="126">
      <c r="A126" s="457" t="n"/>
      <c r="B126" s="458" t="n"/>
      <c r="C126" s="411" t="n"/>
      <c r="D126" s="411" t="n"/>
      <c r="E126" s="378" t="n"/>
      <c r="F126" s="256" t="n"/>
      <c r="G126" s="459" t="n"/>
      <c r="H126" s="411" t="n"/>
      <c r="I126" s="411" t="n"/>
      <c r="J126" s="411" t="n"/>
      <c r="K126" s="459" t="n"/>
      <c r="L126" s="412" t="n"/>
      <c r="M126" s="415" t="inlineStr">
        <is>
          <t xml:space="preserve">   TOPLAM ISI KAYBI =</t>
        </is>
      </c>
      <c r="N126" s="415" t="n"/>
      <c r="O126" s="478" t="n"/>
      <c r="P126" s="415" t="n"/>
      <c r="Q126" s="416">
        <f>Q123+Q125</f>
        <v/>
      </c>
    </row>
    <row r="128">
      <c r="A128" s="471" t="n"/>
      <c r="B128" s="429" t="n"/>
      <c r="C128" s="429" t="n"/>
      <c r="D128" s="429" t="n"/>
      <c r="E128" s="429" t="n"/>
      <c r="F128" s="426" t="inlineStr">
        <is>
          <t>114</t>
        </is>
      </c>
      <c r="G128" s="472" t="n"/>
      <c r="H128" s="429" t="n"/>
      <c r="I128" s="427" t="inlineStr">
        <is>
          <t>D4 BANYO-WC</t>
        </is>
      </c>
      <c r="J128" s="264" t="n"/>
      <c r="K128" s="429" t="inlineStr">
        <is>
          <t>24ºC</t>
        </is>
      </c>
      <c r="L128" s="429" t="n"/>
      <c r="M128" s="429" t="n"/>
      <c r="N128" s="429" t="n"/>
      <c r="O128" s="429" t="n"/>
      <c r="P128" s="429" t="n"/>
      <c r="Q128" s="430" t="n"/>
    </row>
    <row r="129">
      <c r="A129" s="432" t="inlineStr">
        <is>
          <t>İD</t>
        </is>
      </c>
      <c r="B129" s="433" t="n"/>
      <c r="C129" s="434" t="n"/>
      <c r="D129" s="369" t="n">
        <v>1.76</v>
      </c>
      <c r="E129" s="369" t="n">
        <v>3</v>
      </c>
      <c r="F129" s="369">
        <f>IF(D129=0," ",D129*E129)</f>
        <v/>
      </c>
      <c r="G129" s="435" t="n">
        <v>1</v>
      </c>
      <c r="H129" s="436" t="n"/>
      <c r="I129" s="369">
        <f>IF(F129=" "," ",F129*G129-H129)</f>
        <v/>
      </c>
      <c r="J129" s="369" t="n">
        <v>0.8139999999999999</v>
      </c>
      <c r="K129" s="435" t="n">
        <v>9</v>
      </c>
      <c r="L129" s="372">
        <f>IF(I129=" "," ",I129*J129*K129)</f>
        <v/>
      </c>
      <c r="M129" s="438" t="n">
        <v>7</v>
      </c>
      <c r="N129" s="435" t="n">
        <v>0</v>
      </c>
      <c r="O129" s="438" t="n">
        <v>0</v>
      </c>
      <c r="P129" s="369">
        <f>IF(M129=" "," ",(1+(M129+N129+O129)/100))</f>
        <v/>
      </c>
      <c r="Q129" s="374">
        <f>IF(L129=" "," ",L129*P129)</f>
        <v/>
      </c>
    </row>
    <row r="130">
      <c r="A130" s="432" t="inlineStr">
        <is>
          <t>İD</t>
        </is>
      </c>
      <c r="B130" s="433" t="n"/>
      <c r="C130" s="434" t="n"/>
      <c r="D130" s="369" t="n">
        <v>1.16</v>
      </c>
      <c r="E130" s="369" t="n">
        <v>3</v>
      </c>
      <c r="F130" s="369">
        <f>IF(D130=0," ",D130*E130)</f>
        <v/>
      </c>
      <c r="G130" s="435" t="n">
        <v>1</v>
      </c>
      <c r="H130" s="436" t="n"/>
      <c r="I130" s="369">
        <f>IF(F130=" "," ",F130*G130-H130)</f>
        <v/>
      </c>
      <c r="J130" s="369" t="n">
        <v>0.8139999999999999</v>
      </c>
      <c r="K130" s="435" t="n">
        <v>4</v>
      </c>
      <c r="L130" s="372">
        <f>IF(I130=" "," ",I130*J130*K130)</f>
        <v/>
      </c>
      <c r="M130" s="438" t="n">
        <v>7</v>
      </c>
      <c r="N130" s="435" t="n">
        <v>0</v>
      </c>
      <c r="O130" s="438" t="n">
        <v>0</v>
      </c>
      <c r="P130" s="369">
        <f>IF(M130=" "," ",(1+(M130+N130+O130)/100))</f>
        <v/>
      </c>
      <c r="Q130" s="374">
        <f>IF(L130=" "," ",L130*P130)</f>
        <v/>
      </c>
    </row>
    <row r="131">
      <c r="A131" s="441" t="n"/>
      <c r="B131" s="442" t="n"/>
      <c r="C131" s="442" t="n"/>
      <c r="D131" s="378" t="n"/>
      <c r="E131" s="378" t="n"/>
      <c r="F131" s="378" t="n"/>
      <c r="G131" s="443" t="n"/>
      <c r="H131" s="378" t="n"/>
      <c r="I131" s="378" t="n"/>
      <c r="J131" s="378" t="n"/>
      <c r="K131" s="443" t="n"/>
      <c r="L131" s="380" t="n"/>
      <c r="M131" s="473" t="n"/>
      <c r="N131" s="473" t="n"/>
      <c r="O131" s="473" t="n"/>
      <c r="P131" s="382" t="n"/>
      <c r="Q131" s="383">
        <f>SUM(Q129:Q130)</f>
        <v/>
      </c>
    </row>
    <row r="132">
      <c r="A132" s="445" t="n"/>
      <c r="B132" s="446" t="n"/>
      <c r="C132" s="446" t="n"/>
      <c r="D132" s="447" t="n"/>
      <c r="E132" s="448" t="n"/>
      <c r="F132" s="388" t="n"/>
      <c r="G132" s="396" t="n"/>
      <c r="H132" s="388" t="n"/>
      <c r="I132" s="391" t="n"/>
      <c r="J132" s="449" t="inlineStr">
        <is>
          <t>Qs=</t>
        </is>
      </c>
      <c r="K132" s="391" t="inlineStr">
        <is>
          <t>a</t>
        </is>
      </c>
      <c r="L132" s="388" t="inlineStr">
        <is>
          <t>L</t>
        </is>
      </c>
      <c r="M132" s="396" t="inlineStr">
        <is>
          <t>R</t>
        </is>
      </c>
      <c r="N132" s="450" t="inlineStr">
        <is>
          <t>H</t>
        </is>
      </c>
      <c r="O132" s="451" t="inlineStr">
        <is>
          <t>D  T</t>
        </is>
      </c>
      <c r="P132" s="396" t="inlineStr">
        <is>
          <t>Ze</t>
        </is>
      </c>
      <c r="Q132" s="397" t="n"/>
    </row>
    <row r="133">
      <c r="A133" s="474" t="n"/>
      <c r="C133" s="411" t="n"/>
      <c r="D133" s="411" t="n"/>
      <c r="E133" s="475" t="n"/>
      <c r="F133" s="402" t="n"/>
      <c r="G133" s="476" t="n"/>
      <c r="H133" s="477" t="n"/>
      <c r="I133" s="405" t="n"/>
      <c r="J133" s="455" t="inlineStr">
        <is>
          <t>Qs  =</t>
        </is>
      </c>
      <c r="K133" s="382" t="n">
        <v>2</v>
      </c>
      <c r="L133" s="382" t="n">
        <v>0</v>
      </c>
      <c r="M133" s="382" t="n">
        <v>0.9</v>
      </c>
      <c r="N133" s="382" t="n">
        <v>0.67</v>
      </c>
      <c r="O133" s="473" t="n">
        <v>27</v>
      </c>
      <c r="P133" s="382" t="n">
        <v>1.2</v>
      </c>
      <c r="Q133" s="383">
        <f>K133*L133*M133*N133*O133*P133</f>
        <v/>
      </c>
    </row>
    <row r="134">
      <c r="A134" s="457" t="n"/>
      <c r="B134" s="458" t="n"/>
      <c r="C134" s="411" t="n"/>
      <c r="D134" s="411" t="n"/>
      <c r="E134" s="378" t="n"/>
      <c r="F134" s="256" t="n"/>
      <c r="G134" s="459" t="n"/>
      <c r="H134" s="411" t="n"/>
      <c r="I134" s="411" t="n"/>
      <c r="J134" s="411" t="n"/>
      <c r="K134" s="459" t="n"/>
      <c r="L134" s="412" t="n"/>
      <c r="M134" s="415" t="inlineStr">
        <is>
          <t xml:space="preserve">   TOPLAM ISI KAYBI =</t>
        </is>
      </c>
      <c r="N134" s="415" t="n"/>
      <c r="O134" s="478" t="n"/>
      <c r="P134" s="415" t="n"/>
      <c r="Q134" s="416">
        <f>Q131+Q133</f>
        <v/>
      </c>
    </row>
    <row r="136">
      <c r="M136" t="inlineStr">
        <is>
          <t>1. KAT TOPLAM =</t>
        </is>
      </c>
      <c r="Q136" s="494">
        <f>Q15+Q24+Q34+Q45+Q54+Q62+Q70+Q79+Q88+Q98+Q109+Q118+Q126+Q134</f>
        <v/>
      </c>
    </row>
  </sheetData>
  <mergeCells count="4">
    <mergeCell ref="M3:P3"/>
    <mergeCell ref="E3:H3"/>
    <mergeCell ref="I3:L3"/>
    <mergeCell ref="A3:D3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Q150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2. KAT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 t="inlineStr">
        <is>
          <t>ADAPEKER İNŞAAT MALZEMELERİ SANAYİ VE TİCARET LİMİTED ŞİRKETİ</t>
        </is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201</t>
        </is>
      </c>
      <c r="G8" s="362" t="n"/>
      <c r="H8" s="360" t="n"/>
      <c r="I8" s="363" t="inlineStr">
        <is>
          <t>D5 YATAK ODASI</t>
        </is>
      </c>
      <c r="J8" s="2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4" t="n"/>
    </row>
    <row r="9" ht="9.949999999999999" customFormat="1" customHeight="1" s="356">
      <c r="A9" s="365" t="inlineStr">
        <is>
          <t>DD</t>
        </is>
      </c>
      <c r="B9" s="366" t="inlineStr">
        <is>
          <t>K</t>
        </is>
      </c>
      <c r="C9" s="367" t="n"/>
      <c r="D9" s="368" t="n">
        <v>2.78</v>
      </c>
      <c r="E9" s="368" t="n">
        <v>3</v>
      </c>
      <c r="F9" s="369">
        <f>IF(D9=0," ",D9*E9)</f>
        <v/>
      </c>
      <c r="G9" s="370" t="n">
        <v>1</v>
      </c>
      <c r="H9" s="371">
        <f>F10*G10</f>
        <v/>
      </c>
      <c r="I9" s="369">
        <f>IF(F9=" "," ",F9*G9-H9)</f>
        <v/>
      </c>
      <c r="J9" s="368" t="n">
        <v>0.4</v>
      </c>
      <c r="K9" s="370" t="n">
        <v>23</v>
      </c>
      <c r="L9" s="372">
        <f>IF(I9=" "," ",I9*J9*K9)</f>
        <v/>
      </c>
      <c r="M9" s="373" t="n">
        <v>7</v>
      </c>
      <c r="N9" s="370" t="n">
        <v>0</v>
      </c>
      <c r="O9" s="373" t="n">
        <v>5</v>
      </c>
      <c r="P9" s="369">
        <f>IF(M9=" "," ",(1+(M9+N9+O9)/100))</f>
        <v/>
      </c>
      <c r="Q9" s="374">
        <f>IF(L9=" "," ",L9*P9)</f>
        <v/>
      </c>
    </row>
    <row r="10" ht="9.949999999999999" customFormat="1" customHeight="1" s="356">
      <c r="A10" s="365" t="inlineStr">
        <is>
          <t>ÇP</t>
        </is>
      </c>
      <c r="B10" s="366" t="inlineStr">
        <is>
          <t>K</t>
        </is>
      </c>
      <c r="C10" s="367" t="n"/>
      <c r="D10" s="368" t="n">
        <v>1.5</v>
      </c>
      <c r="E10" s="368" t="n">
        <v>2.2</v>
      </c>
      <c r="F10" s="369">
        <f>IF(D10=0," ",D10*E10)</f>
        <v/>
      </c>
      <c r="G10" s="370" t="n">
        <v>1</v>
      </c>
      <c r="H10" s="371" t="n"/>
      <c r="I10" s="369">
        <f>IF(F10=" "," ",F10*G10-H10)</f>
        <v/>
      </c>
      <c r="J10" s="368" t="n">
        <v>1.8</v>
      </c>
      <c r="K10" s="370" t="n">
        <v>23</v>
      </c>
      <c r="L10" s="372">
        <f>IF(I10=" "," ",I10*J10*K10)</f>
        <v/>
      </c>
      <c r="M10" s="373" t="n">
        <v>7</v>
      </c>
      <c r="N10" s="370" t="n">
        <v>0</v>
      </c>
      <c r="O10" s="373" t="n">
        <v>5</v>
      </c>
      <c r="P10" s="369">
        <f>IF(M10=" "," ",(1+(M10+N10+O10)/100))</f>
        <v/>
      </c>
      <c r="Q10" s="374">
        <f>IF(L10=" "," ",L10*P10)</f>
        <v/>
      </c>
    </row>
    <row r="11" ht="9.949999999999999" customFormat="1" customHeight="1" s="356">
      <c r="A11" s="365" t="inlineStr">
        <is>
          <t>DD</t>
        </is>
      </c>
      <c r="B11" s="366" t="inlineStr">
        <is>
          <t>B</t>
        </is>
      </c>
      <c r="C11" s="367" t="n"/>
      <c r="D11" s="368" t="n">
        <v>3.28</v>
      </c>
      <c r="E11" s="368" t="n">
        <v>3</v>
      </c>
      <c r="F11" s="369">
        <f>IF(D11=0," ",D11*E11)</f>
        <v/>
      </c>
      <c r="G11" s="370" t="n">
        <v>1</v>
      </c>
      <c r="H11" s="371" t="n"/>
      <c r="I11" s="369">
        <f>IF(F11=" "," ",F11*G11-H11)</f>
        <v/>
      </c>
      <c r="J11" s="368" t="n">
        <v>0.4</v>
      </c>
      <c r="K11" s="370" t="n">
        <v>23</v>
      </c>
      <c r="L11" s="372">
        <f>IF(I11=" "," ",I11*J11*K11)</f>
        <v/>
      </c>
      <c r="M11" s="373" t="n">
        <v>7</v>
      </c>
      <c r="N11" s="370" t="n">
        <v>0</v>
      </c>
      <c r="O11" s="373" t="n">
        <v>0</v>
      </c>
      <c r="P11" s="369">
        <f>IF(M11=" "," ",(1+(M11+N11+O11)/100))</f>
        <v/>
      </c>
      <c r="Q11" s="374">
        <f>IF(L11=" "," ",L11*P11)</f>
        <v/>
      </c>
    </row>
    <row r="12" ht="9.949999999999999" customFormat="1" customHeight="1" s="356">
      <c r="A12" s="365" t="inlineStr">
        <is>
          <t>Ta</t>
        </is>
      </c>
      <c r="B12" s="366" t="n"/>
      <c r="C12" s="367" t="n"/>
      <c r="D12" s="368" t="n">
        <v>9.93</v>
      </c>
      <c r="E12" s="368" t="n">
        <v>1</v>
      </c>
      <c r="F12" s="369">
        <f>IF(D12=0," ",D12*E12)</f>
        <v/>
      </c>
      <c r="G12" s="370" t="n">
        <v>1</v>
      </c>
      <c r="H12" s="371" t="n"/>
      <c r="I12" s="369">
        <f>IF(F12=" "," ",F12*G12-H12)</f>
        <v/>
      </c>
      <c r="J12" s="368" t="n">
        <v>0.3</v>
      </c>
      <c r="K12" s="370" t="n">
        <v>23</v>
      </c>
      <c r="L12" s="372">
        <f>IF(I12=" "," ",I12*J12*K12)</f>
        <v/>
      </c>
      <c r="M12" s="373" t="n">
        <v>7</v>
      </c>
      <c r="N12" s="370" t="n">
        <v>0</v>
      </c>
      <c r="O12" s="373" t="n">
        <v>0</v>
      </c>
      <c r="P12" s="369">
        <f>IF(M12=" "," ",(1+(M12+N12+O12)/100))</f>
        <v/>
      </c>
      <c r="Q12" s="374">
        <f>IF(L12=" "," ",L12*P12)</f>
        <v/>
      </c>
    </row>
    <row r="13" ht="9.949999999999999" customFormat="1" customHeight="1" s="356">
      <c r="A13" s="375" t="n"/>
      <c r="B13" s="376" t="n"/>
      <c r="C13" s="376" t="n"/>
      <c r="D13" s="377" t="n"/>
      <c r="E13" s="377" t="n"/>
      <c r="F13" s="378" t="n"/>
      <c r="G13" s="379" t="n"/>
      <c r="H13" s="377" t="n"/>
      <c r="I13" s="378" t="n"/>
      <c r="J13" s="377" t="n"/>
      <c r="K13" s="379" t="n"/>
      <c r="L13" s="380" t="n"/>
      <c r="M13" s="381" t="n"/>
      <c r="N13" s="381" t="n"/>
      <c r="O13" s="381" t="n"/>
      <c r="P13" s="382" t="n"/>
      <c r="Q13" s="383">
        <f>SUM(Q9:Q12)</f>
        <v/>
      </c>
    </row>
    <row r="14" ht="9.949999999999999" customFormat="1" customHeight="1" s="356">
      <c r="A14" s="384" t="n"/>
      <c r="B14" s="385" t="n"/>
      <c r="C14" s="385" t="n"/>
      <c r="D14" s="386" t="n"/>
      <c r="E14" s="387" t="n"/>
      <c r="F14" s="388" t="n"/>
      <c r="G14" s="389" t="n"/>
      <c r="H14" s="390" t="n"/>
      <c r="I14" s="391" t="n"/>
      <c r="J14" s="392" t="inlineStr">
        <is>
          <t>Qs=</t>
        </is>
      </c>
      <c r="K14" s="393" t="inlineStr">
        <is>
          <t>a</t>
        </is>
      </c>
      <c r="L14" s="388" t="inlineStr">
        <is>
          <t>L</t>
        </is>
      </c>
      <c r="M14" s="389" t="inlineStr">
        <is>
          <t>R</t>
        </is>
      </c>
      <c r="N14" s="394" t="inlineStr">
        <is>
          <t>H</t>
        </is>
      </c>
      <c r="O14" s="395" t="inlineStr">
        <is>
          <t>D  T</t>
        </is>
      </c>
      <c r="P14" s="396" t="inlineStr">
        <is>
          <t>Ze</t>
        </is>
      </c>
      <c r="Q14" s="397" t="n"/>
    </row>
    <row r="15" ht="9.949999999999999" customFormat="1" customHeight="1" s="356">
      <c r="A15" s="398" t="n"/>
      <c r="B15" s="399" t="n"/>
      <c r="C15" s="400" t="n"/>
      <c r="D15" s="400" t="n"/>
      <c r="E15" s="401" t="n"/>
      <c r="F15" s="402" t="n"/>
      <c r="G15" s="403" t="n"/>
      <c r="H15" s="404" t="n"/>
      <c r="I15" s="405" t="n"/>
      <c r="J15" s="406" t="inlineStr">
        <is>
          <t>Qs  =</t>
        </is>
      </c>
      <c r="K15" s="407" t="n">
        <v>2</v>
      </c>
      <c r="L15" s="382">
        <f>(D10+E10)*2*G10</f>
        <v/>
      </c>
      <c r="M15" s="407" t="n">
        <v>0.9</v>
      </c>
      <c r="N15" s="407" t="n">
        <v>0.67</v>
      </c>
      <c r="O15" s="381" t="n">
        <v>23</v>
      </c>
      <c r="P15" s="382" t="n">
        <v>1.2</v>
      </c>
      <c r="Q15" s="383">
        <f>K15*L15*M15*N15*O15*P15</f>
        <v/>
      </c>
    </row>
    <row r="16" ht="9.949999999999999" customFormat="1" customHeight="1" s="356">
      <c r="A16" s="408" t="n"/>
      <c r="B16" s="409" t="n"/>
      <c r="C16" s="400" t="n"/>
      <c r="D16" s="400" t="n"/>
      <c r="E16" s="377" t="n"/>
      <c r="F16" s="256" t="n"/>
      <c r="G16" s="410" t="n"/>
      <c r="H16" s="400" t="n"/>
      <c r="I16" s="411" t="n"/>
      <c r="J16" s="400" t="n"/>
      <c r="K16" s="410" t="n"/>
      <c r="L16" s="412" t="n"/>
      <c r="M16" s="413" t="inlineStr">
        <is>
          <t xml:space="preserve">   TOPLAM ISI KAYBI =</t>
        </is>
      </c>
      <c r="N16" s="413" t="n"/>
      <c r="O16" s="414" t="n"/>
      <c r="P16" s="415" t="n"/>
      <c r="Q16" s="416">
        <f>Q13+Q15</f>
        <v/>
      </c>
    </row>
    <row r="17" ht="9.949999999999999" customFormat="1" customHeight="1" s="356">
      <c r="A17" s="417" t="n"/>
      <c r="B17" s="399" t="n"/>
      <c r="C17" s="418" t="n"/>
      <c r="D17" s="419" t="n"/>
      <c r="E17" s="419" t="n"/>
      <c r="F17" s="420" t="n"/>
      <c r="G17" s="421" t="n"/>
      <c r="H17" s="422" t="n"/>
      <c r="I17" s="420" t="n"/>
      <c r="J17" s="419" t="n"/>
      <c r="K17" s="421" t="n"/>
      <c r="L17" s="423" t="n"/>
      <c r="M17" s="424" t="n"/>
      <c r="N17" s="421" t="n"/>
      <c r="O17" s="424" t="n"/>
      <c r="P17" s="420" t="n"/>
      <c r="Q17" s="425" t="n"/>
    </row>
    <row r="18" ht="9.949999999999999" customFormat="1" customHeight="1" s="356">
      <c r="A18" s="359" t="n"/>
      <c r="B18" s="360" t="n"/>
      <c r="C18" s="360" t="n"/>
      <c r="D18" s="360" t="n"/>
      <c r="E18" s="360" t="n"/>
      <c r="F18" s="426" t="inlineStr">
        <is>
          <t>202</t>
        </is>
      </c>
      <c r="G18" s="362" t="n"/>
      <c r="H18" s="360" t="n"/>
      <c r="I18" s="427" t="inlineStr">
        <is>
          <t>D5 YATAK ODASI</t>
        </is>
      </c>
      <c r="J18" s="428" t="n"/>
      <c r="K18" s="360" t="inlineStr">
        <is>
          <t>20ºC</t>
        </is>
      </c>
      <c r="L18" s="429" t="n"/>
      <c r="M18" s="360" t="n"/>
      <c r="N18" s="360" t="n"/>
      <c r="O18" s="360" t="n"/>
      <c r="P18" s="429" t="n"/>
      <c r="Q18" s="430" t="n"/>
    </row>
    <row r="19" ht="9.949999999999999" customFormat="1" customHeight="1" s="356">
      <c r="A19" s="365" t="inlineStr">
        <is>
          <t>DD</t>
        </is>
      </c>
      <c r="B19" s="366" t="inlineStr">
        <is>
          <t>B</t>
        </is>
      </c>
      <c r="C19" s="367" t="n"/>
      <c r="D19" s="368" t="n">
        <v>3.12</v>
      </c>
      <c r="E19" s="368" t="n">
        <v>3</v>
      </c>
      <c r="F19" s="369">
        <f>IF(D19=0," ",D19*E19)</f>
        <v/>
      </c>
      <c r="G19" s="370" t="n">
        <v>1</v>
      </c>
      <c r="H19" s="371">
        <f>F20*G20</f>
        <v/>
      </c>
      <c r="I19" s="369">
        <f>IF(F19=" "," ",F19*G19-H19)</f>
        <v/>
      </c>
      <c r="J19" s="368" t="n">
        <v>0.4</v>
      </c>
      <c r="K19" s="370" t="n">
        <v>23</v>
      </c>
      <c r="L19" s="372">
        <f>IF(I19=" "," ",I19*J19*K19)</f>
        <v/>
      </c>
      <c r="M19" s="373" t="n">
        <v>7</v>
      </c>
      <c r="N19" s="370" t="n">
        <v>0</v>
      </c>
      <c r="O19" s="373" t="n">
        <v>0</v>
      </c>
      <c r="P19" s="369">
        <f>IF(M19=" "," ",(1+(M19+N19+O19)/100))</f>
        <v/>
      </c>
      <c r="Q19" s="374">
        <f>IF(L19=" "," ",L19*P19)</f>
        <v/>
      </c>
    </row>
    <row r="20" ht="9.949999999999999" customFormat="1" customHeight="1" s="356">
      <c r="A20" s="365" t="inlineStr">
        <is>
          <t>ÇP</t>
        </is>
      </c>
      <c r="B20" s="366" t="inlineStr">
        <is>
          <t>B</t>
        </is>
      </c>
      <c r="C20" s="367" t="n"/>
      <c r="D20" s="368" t="n">
        <v>1.5</v>
      </c>
      <c r="E20" s="368" t="n">
        <v>1.6</v>
      </c>
      <c r="F20" s="369">
        <f>IF(D20=0," ",D20*E20)</f>
        <v/>
      </c>
      <c r="G20" s="370" t="n">
        <v>1</v>
      </c>
      <c r="H20" s="371" t="n"/>
      <c r="I20" s="369">
        <f>IF(F20=" "," ",F20*G20-H20)</f>
        <v/>
      </c>
      <c r="J20" s="368" t="n">
        <v>1.8</v>
      </c>
      <c r="K20" s="370" t="n">
        <v>23</v>
      </c>
      <c r="L20" s="372">
        <f>IF(I20=" "," ",I20*J20*K20)</f>
        <v/>
      </c>
      <c r="M20" s="373" t="n">
        <v>7</v>
      </c>
      <c r="N20" s="370" t="n">
        <v>0</v>
      </c>
      <c r="O20" s="373" t="n">
        <v>0</v>
      </c>
      <c r="P20" s="369">
        <f>IF(M20=" "," ",(1+(M20+N20+O20)/100))</f>
        <v/>
      </c>
      <c r="Q20" s="374">
        <f>IF(L20=" "," ",L20*P20)</f>
        <v/>
      </c>
    </row>
    <row r="21" ht="9.949999999999999" customFormat="1" customHeight="1" s="356">
      <c r="A21" s="365" t="inlineStr">
        <is>
          <t>İD</t>
        </is>
      </c>
      <c r="B21" s="366" t="n"/>
      <c r="C21" s="367" t="n"/>
      <c r="D21" s="368" t="n">
        <v>3.06</v>
      </c>
      <c r="E21" s="368" t="n">
        <v>3</v>
      </c>
      <c r="F21" s="369">
        <f>IF(D21=0," ",D21*E21)</f>
        <v/>
      </c>
      <c r="G21" s="370" t="n">
        <v>1</v>
      </c>
      <c r="H21" s="371" t="n"/>
      <c r="I21" s="369">
        <f>IF(F21=" "," ",F21*G21-H21)</f>
        <v/>
      </c>
      <c r="J21" s="368" t="n">
        <v>0.8139999999999999</v>
      </c>
      <c r="K21" s="370" t="n">
        <v>5</v>
      </c>
      <c r="L21" s="372">
        <f>IF(I21=" "," ",I21*J21*K21)</f>
        <v/>
      </c>
      <c r="M21" s="373" t="n">
        <v>7</v>
      </c>
      <c r="N21" s="370" t="n">
        <v>0</v>
      </c>
      <c r="O21" s="373" t="n">
        <v>0</v>
      </c>
      <c r="P21" s="369">
        <f>IF(M21=" "," ",(1+(M21+N21+O21)/100))</f>
        <v/>
      </c>
      <c r="Q21" s="374">
        <f>IF(L21=" "," ",L21*P21)</f>
        <v/>
      </c>
    </row>
    <row r="22" ht="9.949999999999999" customFormat="1" customHeight="1" s="356">
      <c r="A22" s="365" t="inlineStr">
        <is>
          <t>Ta</t>
        </is>
      </c>
      <c r="B22" s="366" t="n"/>
      <c r="C22" s="367" t="n"/>
      <c r="D22" s="368" t="n">
        <v>9.640000000000001</v>
      </c>
      <c r="E22" s="368" t="n">
        <v>1</v>
      </c>
      <c r="F22" s="369">
        <f>IF(D22=0," ",D22*E22)</f>
        <v/>
      </c>
      <c r="G22" s="370" t="n">
        <v>1</v>
      </c>
      <c r="H22" s="371" t="n"/>
      <c r="I22" s="369">
        <f>IF(F22=" "," ",F22*G22-H22)</f>
        <v/>
      </c>
      <c r="J22" s="368" t="n">
        <v>0.3</v>
      </c>
      <c r="K22" s="370" t="n">
        <v>23</v>
      </c>
      <c r="L22" s="372">
        <f>IF(I22=" "," ",I22*J22*K22)</f>
        <v/>
      </c>
      <c r="M22" s="373" t="n">
        <v>7</v>
      </c>
      <c r="N22" s="370" t="n">
        <v>0</v>
      </c>
      <c r="O22" s="373" t="n">
        <v>0</v>
      </c>
      <c r="P22" s="369">
        <f>IF(M22=" "," ",(1+(M22+N22+O22)/100))</f>
        <v/>
      </c>
      <c r="Q22" s="374">
        <f>IF(L22=" "," ",L22*P22)</f>
        <v/>
      </c>
    </row>
    <row r="23" ht="9.949999999999999" customFormat="1" customHeight="1" s="356">
      <c r="A23" s="375" t="n"/>
      <c r="B23" s="376" t="n"/>
      <c r="C23" s="376" t="n"/>
      <c r="D23" s="377" t="n"/>
      <c r="E23" s="377" t="n"/>
      <c r="F23" s="378" t="n"/>
      <c r="G23" s="379" t="n"/>
      <c r="H23" s="377" t="n"/>
      <c r="I23" s="378" t="n"/>
      <c r="J23" s="377" t="n"/>
      <c r="K23" s="379" t="n"/>
      <c r="L23" s="380" t="n"/>
      <c r="M23" s="381" t="n"/>
      <c r="N23" s="381" t="n"/>
      <c r="O23" s="381" t="n"/>
      <c r="P23" s="382" t="n"/>
      <c r="Q23" s="383">
        <f>SUM(Q19:Q22)</f>
        <v/>
      </c>
    </row>
    <row r="24" ht="9.949999999999999" customFormat="1" customHeight="1" s="356">
      <c r="A24" s="384" t="n"/>
      <c r="B24" s="385" t="n"/>
      <c r="C24" s="385" t="n"/>
      <c r="D24" s="386" t="n"/>
      <c r="E24" s="387" t="n"/>
      <c r="F24" s="388" t="n"/>
      <c r="G24" s="389" t="n"/>
      <c r="H24" s="390" t="n"/>
      <c r="I24" s="391" t="n"/>
      <c r="J24" s="392" t="inlineStr">
        <is>
          <t>Qs=</t>
        </is>
      </c>
      <c r="K24" s="393" t="inlineStr">
        <is>
          <t>a</t>
        </is>
      </c>
      <c r="L24" s="388" t="inlineStr">
        <is>
          <t>L</t>
        </is>
      </c>
      <c r="M24" s="389" t="inlineStr">
        <is>
          <t>R</t>
        </is>
      </c>
      <c r="N24" s="394" t="inlineStr">
        <is>
          <t>H</t>
        </is>
      </c>
      <c r="O24" s="395" t="inlineStr">
        <is>
          <t>D  T</t>
        </is>
      </c>
      <c r="P24" s="396" t="inlineStr">
        <is>
          <t>Ze</t>
        </is>
      </c>
      <c r="Q24" s="397" t="n"/>
    </row>
    <row r="25" ht="9.949999999999999" customFormat="1" customHeight="1" s="356">
      <c r="A25" s="398" t="n"/>
      <c r="B25" s="399" t="n"/>
      <c r="C25" s="400" t="n"/>
      <c r="D25" s="400" t="n"/>
      <c r="E25" s="401" t="n"/>
      <c r="F25" s="402" t="n"/>
      <c r="G25" s="403" t="n"/>
      <c r="H25" s="404" t="n"/>
      <c r="I25" s="405" t="n"/>
      <c r="J25" s="406" t="inlineStr">
        <is>
          <t>Qs  =</t>
        </is>
      </c>
      <c r="K25" s="407" t="n">
        <v>2</v>
      </c>
      <c r="L25" s="382">
        <f>(D20+E20)*2*G20</f>
        <v/>
      </c>
      <c r="M25" s="407" t="n">
        <v>0.9</v>
      </c>
      <c r="N25" s="407" t="n">
        <v>0.67</v>
      </c>
      <c r="O25" s="381" t="n">
        <v>23</v>
      </c>
      <c r="P25" s="382" t="n">
        <v>1.2</v>
      </c>
      <c r="Q25" s="383">
        <f>K25*L25*M25*N25*O25*P25</f>
        <v/>
      </c>
    </row>
    <row r="26" ht="9.949999999999999" customFormat="1" customHeight="1" s="356">
      <c r="A26" s="408" t="n"/>
      <c r="B26" s="409" t="n"/>
      <c r="C26" s="400" t="n"/>
      <c r="D26" s="400" t="n"/>
      <c r="E26" s="377" t="n"/>
      <c r="F26" s="256" t="n"/>
      <c r="G26" s="410" t="n"/>
      <c r="H26" s="400" t="n"/>
      <c r="I26" s="411" t="n"/>
      <c r="J26" s="400" t="n"/>
      <c r="K26" s="410" t="n"/>
      <c r="L26" s="412" t="n"/>
      <c r="M26" s="413" t="inlineStr">
        <is>
          <t xml:space="preserve">   TOPLAM ISI KAYBI =</t>
        </is>
      </c>
      <c r="N26" s="413" t="n"/>
      <c r="O26" s="414" t="n"/>
      <c r="P26" s="415" t="n"/>
      <c r="Q26" s="416">
        <f>Q23+Q25</f>
        <v/>
      </c>
    </row>
    <row r="27" ht="9.949999999999999" customFormat="1" customHeight="1" s="356">
      <c r="A27" s="417" t="n"/>
      <c r="B27" s="399" t="n"/>
      <c r="C27" s="418" t="n"/>
      <c r="D27" s="419" t="n"/>
      <c r="E27" s="419" t="n"/>
      <c r="F27" s="420" t="n"/>
      <c r="G27" s="421" t="n"/>
      <c r="H27" s="422" t="n"/>
      <c r="I27" s="420" t="n"/>
      <c r="J27" s="419" t="n"/>
      <c r="K27" s="421" t="n"/>
      <c r="L27" s="423" t="n"/>
      <c r="M27" s="424" t="n"/>
      <c r="N27" s="421" t="n"/>
      <c r="O27" s="424" t="n"/>
      <c r="P27" s="420" t="n"/>
      <c r="Q27" s="431" t="n"/>
    </row>
    <row r="28" ht="9.949999999999999" customFormat="1" customHeight="1" s="356">
      <c r="A28" s="359" t="n"/>
      <c r="B28" s="360" t="n"/>
      <c r="C28" s="360" t="n"/>
      <c r="D28" s="360" t="n"/>
      <c r="E28" s="360" t="n"/>
      <c r="F28" s="426" t="inlineStr">
        <is>
          <t>203</t>
        </is>
      </c>
      <c r="G28" s="362" t="n"/>
      <c r="H28" s="360" t="n"/>
      <c r="I28" s="427" t="inlineStr">
        <is>
          <t>D5 ODA</t>
        </is>
      </c>
      <c r="J28" s="428" t="n"/>
      <c r="K28" s="360" t="inlineStr">
        <is>
          <t>20ºC</t>
        </is>
      </c>
      <c r="L28" s="429" t="n"/>
      <c r="M28" s="360" t="n"/>
      <c r="N28" s="360" t="n"/>
      <c r="O28" s="360" t="n"/>
      <c r="P28" s="429" t="n"/>
      <c r="Q28" s="430" t="n"/>
    </row>
    <row r="29" ht="9.949999999999999" customFormat="1" customHeight="1" s="356">
      <c r="A29" s="432" t="inlineStr">
        <is>
          <t>DD</t>
        </is>
      </c>
      <c r="B29" s="433" t="inlineStr">
        <is>
          <t>K</t>
        </is>
      </c>
      <c r="C29" s="434" t="n"/>
      <c r="D29" s="369" t="n">
        <v>3.64</v>
      </c>
      <c r="E29" s="369" t="n">
        <v>3</v>
      </c>
      <c r="F29" s="369">
        <f>IF(D29=0," ",D29*E29)</f>
        <v/>
      </c>
      <c r="G29" s="435" t="n">
        <v>1</v>
      </c>
      <c r="H29" s="436">
        <f>F30*G30</f>
        <v/>
      </c>
      <c r="I29" s="369">
        <f>IF(F29=" "," ",F29*G29-H29)</f>
        <v/>
      </c>
      <c r="J29" s="369" t="n">
        <v>0.4</v>
      </c>
      <c r="K29" s="435" t="n">
        <v>23</v>
      </c>
      <c r="L29" s="372">
        <f>IF(I29=" "," ",I29*J29*K29)</f>
        <v/>
      </c>
      <c r="M29" s="373" t="n">
        <v>7</v>
      </c>
      <c r="N29" s="370" t="n">
        <v>0</v>
      </c>
      <c r="O29" s="373" t="n">
        <v>5</v>
      </c>
      <c r="P29" s="369">
        <f>IF(M29=" "," ",(1+(M29+N29+O29)/100))</f>
        <v/>
      </c>
      <c r="Q29" s="374">
        <f>IF(L29=" "," ",L29*P29)</f>
        <v/>
      </c>
    </row>
    <row r="30" ht="9.949999999999999" customFormat="1" customHeight="1" s="437">
      <c r="A30" s="432" t="inlineStr">
        <is>
          <t>ÇP</t>
        </is>
      </c>
      <c r="B30" s="433" t="inlineStr">
        <is>
          <t>K</t>
        </is>
      </c>
      <c r="C30" s="434" t="n"/>
      <c r="D30" s="369" t="n">
        <v>1.5</v>
      </c>
      <c r="E30" s="369" t="n">
        <v>2.2</v>
      </c>
      <c r="F30" s="369">
        <f>IF(D30=0," ",D30*E30)</f>
        <v/>
      </c>
      <c r="G30" s="435" t="n">
        <v>1</v>
      </c>
      <c r="H30" s="436" t="n"/>
      <c r="I30" s="369">
        <f>IF(F30=" "," ",F30*G30-H30)</f>
        <v/>
      </c>
      <c r="J30" s="369" t="n">
        <v>1.8</v>
      </c>
      <c r="K30" s="435" t="n">
        <v>23</v>
      </c>
      <c r="L30" s="372">
        <f>IF(I30=" "," ",I30*J30*K30)</f>
        <v/>
      </c>
      <c r="M30" s="438" t="n">
        <v>7</v>
      </c>
      <c r="N30" s="435" t="n">
        <v>0</v>
      </c>
      <c r="O30" s="438" t="n">
        <v>5</v>
      </c>
      <c r="P30" s="369">
        <f>IF(M30=" "," ",(1+(M30+N30+O30)/100))</f>
        <v/>
      </c>
      <c r="Q30" s="374">
        <f>IF(L30=" "," ",L30*P30)</f>
        <v/>
      </c>
    </row>
    <row r="31" ht="9.949999999999999" customFormat="1" customHeight="1" s="437">
      <c r="A31" s="432" t="inlineStr">
        <is>
          <t>DD</t>
        </is>
      </c>
      <c r="B31" s="433" t="inlineStr">
        <is>
          <t>B</t>
        </is>
      </c>
      <c r="C31" s="434" t="n"/>
      <c r="D31" s="369" t="n">
        <v>0.8100000000000001</v>
      </c>
      <c r="E31" s="369" t="n">
        <v>3</v>
      </c>
      <c r="F31" s="369">
        <f>IF(D31=0," ",D31*E31)</f>
        <v/>
      </c>
      <c r="G31" s="435" t="n">
        <v>1</v>
      </c>
      <c r="H31" s="436" t="n"/>
      <c r="I31" s="369">
        <f>IF(F31=" "," ",F31*G31-H31)</f>
        <v/>
      </c>
      <c r="J31" s="369" t="n">
        <v>0.4</v>
      </c>
      <c r="K31" s="370" t="n">
        <v>23</v>
      </c>
      <c r="L31" s="439">
        <f>IF(I31=" "," ",I31*J31*K31)</f>
        <v/>
      </c>
      <c r="M31" s="373" t="n">
        <v>7</v>
      </c>
      <c r="N31" s="370" t="n">
        <v>0</v>
      </c>
      <c r="O31" s="373" t="n">
        <v>0</v>
      </c>
      <c r="P31" s="368">
        <f>IF(M31=" "," ",(1+(M31+N31+O31)/100))</f>
        <v/>
      </c>
      <c r="Q31" s="374">
        <f>IF(L31=" "," ",L31*P31)</f>
        <v/>
      </c>
    </row>
    <row r="32" ht="9.949999999999999" customFormat="1" customHeight="1" s="351">
      <c r="A32" s="432" t="inlineStr">
        <is>
          <t>İD</t>
        </is>
      </c>
      <c r="B32" s="433" t="n"/>
      <c r="C32" s="434" t="n"/>
      <c r="D32" s="369" t="n">
        <v>2.86</v>
      </c>
      <c r="E32" s="369" t="n">
        <v>3</v>
      </c>
      <c r="F32" s="369">
        <f>IF(D32=0," ",D32*E32)</f>
        <v/>
      </c>
      <c r="G32" s="435" t="n">
        <v>1</v>
      </c>
      <c r="H32" s="436" t="n"/>
      <c r="I32" s="369">
        <f>IF(F32=" "," ",F32*G32-H32)</f>
        <v/>
      </c>
      <c r="J32" s="369" t="n">
        <v>0.8139999999999999</v>
      </c>
      <c r="K32" s="435" t="n">
        <v>5</v>
      </c>
      <c r="L32" s="372">
        <f>IF(I32=" "," ",I32*J32*K32)</f>
        <v/>
      </c>
      <c r="M32" s="438" t="n">
        <v>7</v>
      </c>
      <c r="N32" s="435" t="n">
        <v>0</v>
      </c>
      <c r="O32" s="438" t="n">
        <v>0</v>
      </c>
      <c r="P32" s="369">
        <f>IF(M32=" "," ",(1+(M32+N32+O32)/100))</f>
        <v/>
      </c>
      <c r="Q32" s="374">
        <f>IF(L32=" "," ",L32*P32)</f>
        <v/>
      </c>
    </row>
    <row r="33" ht="9.75" customFormat="1" customHeight="1" s="356">
      <c r="A33" s="365" t="inlineStr">
        <is>
          <t>Ta</t>
        </is>
      </c>
      <c r="B33" s="366" t="n"/>
      <c r="C33" s="367" t="n"/>
      <c r="D33" s="368" t="n">
        <v>12.68</v>
      </c>
      <c r="E33" s="368" t="n">
        <v>1</v>
      </c>
      <c r="F33" s="368">
        <f>IF(D33=0," ",D33*E33)</f>
        <v/>
      </c>
      <c r="G33" s="370" t="n">
        <v>1</v>
      </c>
      <c r="H33" s="371" t="n"/>
      <c r="I33" s="368">
        <f>IF(F33=" "," ",F33*G33-H33)</f>
        <v/>
      </c>
      <c r="J33" s="369" t="n">
        <v>0.3</v>
      </c>
      <c r="K33" s="370" t="n">
        <v>23</v>
      </c>
      <c r="L33" s="439">
        <f>IF(I33=" "," ",I33*J33*K33)</f>
        <v/>
      </c>
      <c r="M33" s="373" t="n">
        <v>7</v>
      </c>
      <c r="N33" s="370" t="n">
        <v>0</v>
      </c>
      <c r="O33" s="373" t="n">
        <v>0</v>
      </c>
      <c r="P33" s="368">
        <f>IF(M33=" "," ",(1+(M33+N33+O33)/100))</f>
        <v/>
      </c>
      <c r="Q33" s="440">
        <f>IF(L33=" "," ",L33*P33)</f>
        <v/>
      </c>
    </row>
    <row r="34" ht="9.949999999999999" customFormat="1" customHeight="1" s="356">
      <c r="A34" s="375" t="n"/>
      <c r="B34" s="376" t="n"/>
      <c r="C34" s="376" t="n"/>
      <c r="D34" s="377" t="n"/>
      <c r="E34" s="377" t="n"/>
      <c r="F34" s="378" t="n"/>
      <c r="G34" s="379" t="n"/>
      <c r="H34" s="377" t="n"/>
      <c r="I34" s="378" t="n"/>
      <c r="J34" s="377" t="n"/>
      <c r="K34" s="379" t="n"/>
      <c r="L34" s="380" t="n"/>
      <c r="M34" s="381" t="n"/>
      <c r="N34" s="381" t="n"/>
      <c r="O34" s="381" t="n"/>
      <c r="P34" s="382" t="n"/>
      <c r="Q34" s="383">
        <f>SUM(Q29:Q33)</f>
        <v/>
      </c>
    </row>
    <row r="35" ht="9.949999999999999" customFormat="1" customHeight="1" s="356">
      <c r="A35" s="384" t="n"/>
      <c r="B35" s="385" t="n"/>
      <c r="C35" s="385" t="n"/>
      <c r="D35" s="386" t="n"/>
      <c r="E35" s="387" t="n"/>
      <c r="F35" s="388" t="n"/>
      <c r="G35" s="389" t="n"/>
      <c r="H35" s="390" t="n"/>
      <c r="I35" s="391" t="n"/>
      <c r="J35" s="392" t="inlineStr">
        <is>
          <t>Qs=</t>
        </is>
      </c>
      <c r="K35" s="393" t="inlineStr">
        <is>
          <t>a</t>
        </is>
      </c>
      <c r="L35" s="388" t="inlineStr">
        <is>
          <t>L</t>
        </is>
      </c>
      <c r="M35" s="389" t="inlineStr">
        <is>
          <t>R</t>
        </is>
      </c>
      <c r="N35" s="394" t="inlineStr">
        <is>
          <t>H</t>
        </is>
      </c>
      <c r="O35" s="395" t="inlineStr">
        <is>
          <t>D  T</t>
        </is>
      </c>
      <c r="P35" s="396" t="inlineStr">
        <is>
          <t>Ze</t>
        </is>
      </c>
      <c r="Q35" s="397" t="n"/>
    </row>
    <row r="36" ht="9.949999999999999" customFormat="1" customHeight="1" s="356">
      <c r="A36" s="398" t="n"/>
      <c r="B36" s="399" t="n"/>
      <c r="C36" s="400" t="n"/>
      <c r="D36" s="400" t="n"/>
      <c r="E36" s="401" t="n"/>
      <c r="F36" s="402" t="n"/>
      <c r="G36" s="403" t="n"/>
      <c r="H36" s="404" t="n"/>
      <c r="I36" s="405" t="n"/>
      <c r="J36" s="406" t="inlineStr">
        <is>
          <t>Qs  =</t>
        </is>
      </c>
      <c r="K36" s="407" t="n">
        <v>2</v>
      </c>
      <c r="L36" s="382">
        <f>(D30+E30)*2*G30</f>
        <v/>
      </c>
      <c r="M36" s="407" t="n">
        <v>0.9</v>
      </c>
      <c r="N36" s="407" t="n">
        <v>0.67</v>
      </c>
      <c r="O36" s="381" t="n">
        <v>23</v>
      </c>
      <c r="P36" s="382" t="n">
        <v>1.2</v>
      </c>
      <c r="Q36" s="383">
        <f>K36*L36*M36*N36*O36*P36</f>
        <v/>
      </c>
    </row>
    <row r="37" ht="9.949999999999999" customFormat="1" customHeight="1" s="356">
      <c r="A37" s="408" t="n"/>
      <c r="B37" s="409" t="n"/>
      <c r="C37" s="400" t="n"/>
      <c r="D37" s="400" t="n"/>
      <c r="E37" s="377" t="n"/>
      <c r="F37" s="256" t="n"/>
      <c r="G37" s="410" t="n"/>
      <c r="H37" s="400" t="n"/>
      <c r="I37" s="411" t="n"/>
      <c r="J37" s="400" t="n"/>
      <c r="K37" s="410" t="n"/>
      <c r="L37" s="412" t="n"/>
      <c r="M37" s="413" t="inlineStr">
        <is>
          <t xml:space="preserve">   TOPLAM ISI KAYBI =</t>
        </is>
      </c>
      <c r="N37" s="413" t="n"/>
      <c r="O37" s="414" t="n"/>
      <c r="P37" s="415" t="n"/>
      <c r="Q37" s="416">
        <f>Q34+Q36</f>
        <v/>
      </c>
    </row>
    <row r="38" ht="9.949999999999999" customFormat="1" customHeight="1" s="356">
      <c r="A38" s="417" t="n"/>
      <c r="B38" s="399" t="n"/>
      <c r="C38" s="418" t="n"/>
      <c r="D38" s="419" t="n"/>
      <c r="E38" s="419" t="n"/>
      <c r="F38" s="420" t="n"/>
      <c r="G38" s="421" t="n"/>
      <c r="H38" s="422" t="n"/>
      <c r="I38" s="420" t="n"/>
      <c r="J38" s="419" t="n"/>
      <c r="K38" s="421" t="n"/>
      <c r="L38" s="423" t="n"/>
      <c r="M38" s="424" t="n"/>
      <c r="N38" s="421" t="n"/>
      <c r="O38" s="424" t="n"/>
      <c r="P38" s="420" t="n"/>
      <c r="Q38" s="425" t="n"/>
    </row>
    <row r="39" ht="9.949999999999999" customFormat="1" customHeight="1" s="356">
      <c r="A39" s="359" t="n"/>
      <c r="B39" s="360" t="n"/>
      <c r="C39" s="360" t="n"/>
      <c r="D39" s="360" t="n"/>
      <c r="E39" s="360" t="n"/>
      <c r="F39" s="426" t="inlineStr">
        <is>
          <t>204</t>
        </is>
      </c>
      <c r="G39" s="362" t="n"/>
      <c r="H39" s="360" t="n"/>
      <c r="I39" s="427" t="inlineStr">
        <is>
          <t>D5 SALON</t>
        </is>
      </c>
      <c r="J39" s="428" t="n"/>
      <c r="K39" s="360" t="inlineStr">
        <is>
          <t>20ºC</t>
        </is>
      </c>
      <c r="L39" s="429" t="n"/>
      <c r="M39" s="360" t="n"/>
      <c r="N39" s="360" t="n"/>
      <c r="O39" s="360" t="n"/>
      <c r="P39" s="429" t="n"/>
      <c r="Q39" s="430" t="n"/>
    </row>
    <row r="40" ht="9.949999999999999" customFormat="1" customHeight="1" s="356">
      <c r="A40" s="365" t="inlineStr">
        <is>
          <t>DD</t>
        </is>
      </c>
      <c r="B40" s="366" t="inlineStr">
        <is>
          <t>D</t>
        </is>
      </c>
      <c r="C40" s="367" t="n"/>
      <c r="D40" s="368" t="n">
        <v>1.16</v>
      </c>
      <c r="E40" s="368" t="n">
        <v>3</v>
      </c>
      <c r="F40" s="369">
        <f>IF(D40=0," ",D40*E40)</f>
        <v/>
      </c>
      <c r="G40" s="370" t="n">
        <v>1</v>
      </c>
      <c r="H40" s="371" t="n"/>
      <c r="I40" s="369">
        <f>IF(F40=" "," ",F40*G40-H40)</f>
        <v/>
      </c>
      <c r="J40" s="368" t="n">
        <v>0.4</v>
      </c>
      <c r="K40" s="370" t="n">
        <v>23</v>
      </c>
      <c r="L40" s="372">
        <f>IF(I40=" "," ",I40*J40*K40)</f>
        <v/>
      </c>
      <c r="M40" s="373" t="n">
        <v>7</v>
      </c>
      <c r="N40" s="370" t="n">
        <v>0</v>
      </c>
      <c r="O40" s="373" t="n">
        <v>0</v>
      </c>
      <c r="P40" s="369">
        <f>IF(M40=" "," ",(1+(M40+N40+O40)/100))</f>
        <v/>
      </c>
      <c r="Q40" s="374">
        <f>IF(L40=" "," ",L40*P40)</f>
        <v/>
      </c>
    </row>
    <row r="41" ht="9.949999999999999" customFormat="1" customHeight="1" s="356">
      <c r="A41" s="432" t="inlineStr">
        <is>
          <t>DD</t>
        </is>
      </c>
      <c r="B41" s="433" t="inlineStr">
        <is>
          <t>G</t>
        </is>
      </c>
      <c r="C41" s="434" t="n"/>
      <c r="D41" s="369" t="n">
        <v>3.28</v>
      </c>
      <c r="E41" s="369" t="n">
        <v>3</v>
      </c>
      <c r="F41" s="369">
        <f>IF(D41=0," ",D41*E41)</f>
        <v/>
      </c>
      <c r="G41" s="435" t="n">
        <v>1</v>
      </c>
      <c r="H41" s="436">
        <f>F42*G42</f>
        <v/>
      </c>
      <c r="I41" s="369">
        <f>IF(F41=" "," ",F41*G41-H41)</f>
        <v/>
      </c>
      <c r="J41" s="369" t="n">
        <v>0.4</v>
      </c>
      <c r="K41" s="435" t="n">
        <v>23</v>
      </c>
      <c r="L41" s="372">
        <f>IF(I41=" "," ",I41*J41*K41)</f>
        <v/>
      </c>
      <c r="M41" s="373" t="n">
        <v>7</v>
      </c>
      <c r="N41" s="370" t="n">
        <v>0</v>
      </c>
      <c r="O41" s="373" t="n">
        <v>-5</v>
      </c>
      <c r="P41" s="369">
        <f>IF(M41=" "," ",(1+(M41+N41+O41)/100))</f>
        <v/>
      </c>
      <c r="Q41" s="374">
        <f>IF(L41=" "," ",L41*P41)</f>
        <v/>
      </c>
    </row>
    <row r="42" ht="9.949999999999999" customFormat="1" customHeight="1" s="437">
      <c r="A42" s="432" t="inlineStr">
        <is>
          <t>ÇP</t>
        </is>
      </c>
      <c r="B42" s="433" t="inlineStr">
        <is>
          <t>G</t>
        </is>
      </c>
      <c r="C42" s="434" t="n"/>
      <c r="D42" s="369" t="n">
        <v>2</v>
      </c>
      <c r="E42" s="369" t="n">
        <v>2.2</v>
      </c>
      <c r="F42" s="369">
        <f>IF(D42=0," ",D42*E42)</f>
        <v/>
      </c>
      <c r="G42" s="435" t="n">
        <v>1</v>
      </c>
      <c r="H42" s="436" t="n"/>
      <c r="I42" s="369">
        <f>IF(F42=" "," ",F42*G42-H42)</f>
        <v/>
      </c>
      <c r="J42" s="369" t="n">
        <v>1.8</v>
      </c>
      <c r="K42" s="435" t="n">
        <v>23</v>
      </c>
      <c r="L42" s="372">
        <f>IF(I42=" "," ",I42*J42*K42)</f>
        <v/>
      </c>
      <c r="M42" s="438" t="n">
        <v>7</v>
      </c>
      <c r="N42" s="435" t="n">
        <v>0</v>
      </c>
      <c r="O42" s="438" t="n">
        <v>-5</v>
      </c>
      <c r="P42" s="369">
        <f>IF(M42=" "," ",(1+(M42+N42+O42)/100))</f>
        <v/>
      </c>
      <c r="Q42" s="374">
        <f>IF(L42=" "," ",L42*P42)</f>
        <v/>
      </c>
    </row>
    <row r="43" ht="9.949999999999999" customFormat="1" customHeight="1" s="437">
      <c r="A43" s="432" t="inlineStr">
        <is>
          <t>DD</t>
        </is>
      </c>
      <c r="B43" s="433" t="inlineStr">
        <is>
          <t>B</t>
        </is>
      </c>
      <c r="C43" s="434" t="n"/>
      <c r="D43" s="369" t="n">
        <v>6.14</v>
      </c>
      <c r="E43" s="369" t="n">
        <v>3</v>
      </c>
      <c r="F43" s="369">
        <f>IF(D43=0," ",D43*E43)</f>
        <v/>
      </c>
      <c r="G43" s="435" t="n">
        <v>1</v>
      </c>
      <c r="H43" s="436">
        <f>F44*G44</f>
        <v/>
      </c>
      <c r="I43" s="369">
        <f>IF(F43=" "," ",F43*G43-H43)</f>
        <v/>
      </c>
      <c r="J43" s="369" t="n">
        <v>0.4</v>
      </c>
      <c r="K43" s="370" t="n">
        <v>23</v>
      </c>
      <c r="L43" s="439">
        <f>IF(I43=" "," ",I43*J43*K43)</f>
        <v/>
      </c>
      <c r="M43" s="373" t="n">
        <v>7</v>
      </c>
      <c r="N43" s="370" t="n">
        <v>0</v>
      </c>
      <c r="O43" s="373" t="n">
        <v>0</v>
      </c>
      <c r="P43" s="368">
        <f>IF(M43=" "," ",(1+(M43+N43+O43)/100))</f>
        <v/>
      </c>
      <c r="Q43" s="374">
        <f>IF(L43=" "," ",L43*P43)</f>
        <v/>
      </c>
    </row>
    <row r="44" ht="9.949999999999999" customFormat="1" customHeight="1" s="351">
      <c r="A44" s="432" t="inlineStr">
        <is>
          <t>ÇP</t>
        </is>
      </c>
      <c r="B44" s="433" t="inlineStr">
        <is>
          <t>B</t>
        </is>
      </c>
      <c r="C44" s="434" t="n"/>
      <c r="D44" s="369" t="n">
        <v>1.5</v>
      </c>
      <c r="E44" s="369" t="n">
        <v>2.2</v>
      </c>
      <c r="F44" s="369">
        <f>IF(D44=0," ",D44*E44)</f>
        <v/>
      </c>
      <c r="G44" s="435" t="n">
        <v>1</v>
      </c>
      <c r="H44" s="436" t="n"/>
      <c r="I44" s="369">
        <f>IF(F44=" "," ",F44*G44-H44)</f>
        <v/>
      </c>
      <c r="J44" s="369" t="n">
        <v>1.8</v>
      </c>
      <c r="K44" s="435" t="n">
        <v>23</v>
      </c>
      <c r="L44" s="372">
        <f>IF(I44=" "," ",I44*J44*K44)</f>
        <v/>
      </c>
      <c r="M44" s="438" t="n">
        <v>7</v>
      </c>
      <c r="N44" s="435" t="n">
        <v>0</v>
      </c>
      <c r="O44" s="438" t="n">
        <v>0</v>
      </c>
      <c r="P44" s="369">
        <f>IF(M44=" "," ",(1+(M44+N44+O44)/100))</f>
        <v/>
      </c>
      <c r="Q44" s="374">
        <f>IF(L44=" "," ",L44*P44)</f>
        <v/>
      </c>
    </row>
    <row r="45" ht="9.949999999999999" customFormat="1" customHeight="1" s="356">
      <c r="A45" s="365" t="inlineStr">
        <is>
          <t>Ta</t>
        </is>
      </c>
      <c r="B45" s="366" t="n"/>
      <c r="C45" s="367" t="n"/>
      <c r="D45" s="368" t="n">
        <v>22.41</v>
      </c>
      <c r="E45" s="368" t="n">
        <v>1</v>
      </c>
      <c r="F45" s="368">
        <f>IF(D45=0," ",D45*E45)</f>
        <v/>
      </c>
      <c r="G45" s="370" t="n">
        <v>1</v>
      </c>
      <c r="H45" s="371" t="n"/>
      <c r="I45" s="368">
        <f>IF(F45=" "," ",F45*G45-H45)</f>
        <v/>
      </c>
      <c r="J45" s="369" t="n">
        <v>0.3</v>
      </c>
      <c r="K45" s="370" t="n">
        <v>23</v>
      </c>
      <c r="L45" s="439">
        <f>IF(I45=" "," ",I45*J45*K45)</f>
        <v/>
      </c>
      <c r="M45" s="373" t="n">
        <v>7</v>
      </c>
      <c r="N45" s="370" t="n">
        <v>0</v>
      </c>
      <c r="O45" s="373" t="n">
        <v>0</v>
      </c>
      <c r="P45" s="368">
        <f>IF(M45=" "," ",(1+(M45+N45+O45)/100))</f>
        <v/>
      </c>
      <c r="Q45" s="440">
        <f>IF(L45=" "," ",L45*P45)</f>
        <v/>
      </c>
    </row>
    <row r="46" ht="9.949999999999999" customFormat="1" customHeight="1" s="356">
      <c r="A46" s="375" t="n"/>
      <c r="B46" s="376" t="n"/>
      <c r="C46" s="376" t="n"/>
      <c r="D46" s="377" t="n"/>
      <c r="E46" s="377" t="n"/>
      <c r="F46" s="378" t="n"/>
      <c r="G46" s="379" t="n"/>
      <c r="H46" s="377" t="n"/>
      <c r="I46" s="378" t="n"/>
      <c r="J46" s="377" t="n"/>
      <c r="K46" s="379" t="n"/>
      <c r="L46" s="380" t="n"/>
      <c r="M46" s="381" t="n"/>
      <c r="N46" s="381" t="n"/>
      <c r="O46" s="381" t="n"/>
      <c r="P46" s="382" t="n"/>
      <c r="Q46" s="383">
        <f>SUM(Q40:Q45)</f>
        <v/>
      </c>
    </row>
    <row r="47" ht="9.949999999999999" customFormat="1" customHeight="1" s="356">
      <c r="A47" s="384" t="n"/>
      <c r="B47" s="385" t="n"/>
      <c r="C47" s="385" t="n"/>
      <c r="D47" s="386" t="n"/>
      <c r="E47" s="387" t="n"/>
      <c r="F47" s="388" t="n"/>
      <c r="G47" s="389" t="n"/>
      <c r="H47" s="390" t="n"/>
      <c r="I47" s="391" t="n"/>
      <c r="J47" s="392" t="inlineStr">
        <is>
          <t>Qs=</t>
        </is>
      </c>
      <c r="K47" s="393" t="inlineStr">
        <is>
          <t>a</t>
        </is>
      </c>
      <c r="L47" s="388" t="inlineStr">
        <is>
          <t>L</t>
        </is>
      </c>
      <c r="M47" s="389" t="inlineStr">
        <is>
          <t>R</t>
        </is>
      </c>
      <c r="N47" s="394" t="inlineStr">
        <is>
          <t>H</t>
        </is>
      </c>
      <c r="O47" s="395" t="inlineStr">
        <is>
          <t>D  T</t>
        </is>
      </c>
      <c r="P47" s="396" t="inlineStr">
        <is>
          <t>Ze</t>
        </is>
      </c>
      <c r="Q47" s="397" t="n"/>
    </row>
    <row r="48" ht="9.949999999999999" customFormat="1" customHeight="1" s="356">
      <c r="A48" s="398" t="n"/>
      <c r="B48" s="399" t="n"/>
      <c r="C48" s="400" t="n"/>
      <c r="D48" s="400" t="n"/>
      <c r="E48" s="401" t="n"/>
      <c r="F48" s="402" t="n"/>
      <c r="G48" s="403" t="n"/>
      <c r="H48" s="404" t="n"/>
      <c r="I48" s="405" t="n"/>
      <c r="J48" s="406" t="inlineStr">
        <is>
          <t>Qs  =</t>
        </is>
      </c>
      <c r="K48" s="407" t="n">
        <v>2</v>
      </c>
      <c r="L48" s="382">
        <f>(D42+E42)*2*G42+(D44+E44)*2*G44</f>
        <v/>
      </c>
      <c r="M48" s="407" t="n">
        <v>0.9</v>
      </c>
      <c r="N48" s="407" t="n">
        <v>0.67</v>
      </c>
      <c r="O48" s="381" t="n">
        <v>23</v>
      </c>
      <c r="P48" s="382" t="n">
        <v>1.2</v>
      </c>
      <c r="Q48" s="383">
        <f>K48*L48*M48*N48*O48*P48</f>
        <v/>
      </c>
    </row>
    <row r="49" ht="9.949999999999999" customFormat="1" customHeight="1" s="356">
      <c r="A49" s="408" t="n"/>
      <c r="B49" s="409" t="n"/>
      <c r="C49" s="400" t="n"/>
      <c r="D49" s="400" t="n"/>
      <c r="E49" s="377" t="n"/>
      <c r="F49" s="256" t="n"/>
      <c r="G49" s="410" t="n"/>
      <c r="H49" s="400" t="n"/>
      <c r="I49" s="411" t="n"/>
      <c r="J49" s="400" t="n"/>
      <c r="K49" s="410" t="n"/>
      <c r="L49" s="412" t="n"/>
      <c r="M49" s="413" t="inlineStr">
        <is>
          <t xml:space="preserve">   TOPLAM ISI KAYBI =</t>
        </is>
      </c>
      <c r="N49" s="413" t="n"/>
      <c r="O49" s="414" t="n"/>
      <c r="P49" s="415" t="n"/>
      <c r="Q49" s="416">
        <f>Q46+Q48</f>
        <v/>
      </c>
    </row>
    <row r="50" ht="9.949999999999999" customFormat="1" customHeight="1" s="356">
      <c r="A50" s="417" t="n"/>
      <c r="B50" s="399" t="n"/>
      <c r="C50" s="418" t="n"/>
      <c r="D50" s="419" t="n"/>
      <c r="E50" s="419" t="n"/>
      <c r="F50" s="420" t="n"/>
      <c r="G50" s="421" t="n"/>
      <c r="H50" s="422" t="n"/>
      <c r="I50" s="420" t="n"/>
      <c r="J50" s="419" t="n"/>
      <c r="K50" s="421" t="n"/>
      <c r="L50" s="423" t="n"/>
      <c r="M50" s="424" t="n"/>
      <c r="N50" s="421" t="n"/>
      <c r="O50" s="424" t="n"/>
      <c r="P50" s="420" t="n"/>
      <c r="Q50" s="425" t="n"/>
    </row>
    <row r="51" ht="9.949999999999999" customFormat="1" customHeight="1" s="356">
      <c r="A51" s="359" t="n"/>
      <c r="B51" s="360" t="n"/>
      <c r="C51" s="360" t="n"/>
      <c r="D51" s="360" t="n"/>
      <c r="E51" s="360" t="n"/>
      <c r="F51" s="426" t="inlineStr">
        <is>
          <t>205</t>
        </is>
      </c>
      <c r="G51" s="362" t="n"/>
      <c r="H51" s="360" t="n"/>
      <c r="I51" s="427" t="inlineStr">
        <is>
          <t>D5 MUTFAK</t>
        </is>
      </c>
      <c r="J51" s="428" t="n"/>
      <c r="K51" s="360" t="inlineStr">
        <is>
          <t>20ºC</t>
        </is>
      </c>
      <c r="L51" s="429" t="n"/>
      <c r="M51" s="360" t="n"/>
      <c r="N51" s="360" t="n"/>
      <c r="O51" s="360" t="n"/>
      <c r="P51" s="429" t="n"/>
      <c r="Q51" s="430" t="n"/>
    </row>
    <row r="52" ht="9.949999999999999" customFormat="1" customHeight="1" s="356">
      <c r="A52" s="365" t="inlineStr">
        <is>
          <t>DD</t>
        </is>
      </c>
      <c r="B52" s="366" t="inlineStr">
        <is>
          <t>G</t>
        </is>
      </c>
      <c r="C52" s="367" t="n"/>
      <c r="D52" s="368" t="n">
        <v>2.7</v>
      </c>
      <c r="E52" s="368" t="n">
        <v>3</v>
      </c>
      <c r="F52" s="369">
        <f>IF(D52=0," ",D52*E52)</f>
        <v/>
      </c>
      <c r="G52" s="370" t="n">
        <v>1</v>
      </c>
      <c r="H52" s="371" t="n"/>
      <c r="I52" s="369">
        <f>IF(F52=" "," ",F52*G52-H52)</f>
        <v/>
      </c>
      <c r="J52" s="368" t="n">
        <v>0.4</v>
      </c>
      <c r="K52" s="370" t="n">
        <v>23</v>
      </c>
      <c r="L52" s="372">
        <f>IF(I52=" "," ",I52*J52*K52)</f>
        <v/>
      </c>
      <c r="M52" s="373" t="n">
        <v>7</v>
      </c>
      <c r="N52" s="370" t="n">
        <v>0</v>
      </c>
      <c r="O52" s="373" t="n">
        <v>-5</v>
      </c>
      <c r="P52" s="369">
        <f>IF(M52=" "," ",(1+(M52+N52+O52)/100))</f>
        <v/>
      </c>
      <c r="Q52" s="374">
        <f>IF(L52=" "," ",L52*P52)</f>
        <v/>
      </c>
    </row>
    <row r="53" ht="9.949999999999999" customFormat="1" customHeight="1" s="356">
      <c r="A53" s="365" t="inlineStr">
        <is>
          <t>İD</t>
        </is>
      </c>
      <c r="B53" s="366" t="n"/>
      <c r="C53" s="367" t="n"/>
      <c r="D53" s="368" t="n">
        <v>3.4</v>
      </c>
      <c r="E53" s="368" t="n">
        <v>3</v>
      </c>
      <c r="F53" s="369">
        <f>IF(D53=0," ",D53*E53)</f>
        <v/>
      </c>
      <c r="G53" s="370" t="n">
        <v>1</v>
      </c>
      <c r="H53" s="371" t="n"/>
      <c r="I53" s="369">
        <f>IF(F53=" "," ",F53*G53-H53)</f>
        <v/>
      </c>
      <c r="J53" s="368" t="n">
        <v>0.8139999999999999</v>
      </c>
      <c r="K53" s="370" t="n">
        <v>10</v>
      </c>
      <c r="L53" s="372">
        <f>IF(I53=" "," ",I53*J53*K53)</f>
        <v/>
      </c>
      <c r="M53" s="373" t="n">
        <v>7</v>
      </c>
      <c r="N53" s="370" t="n">
        <v>0</v>
      </c>
      <c r="O53" s="373" t="n">
        <v>0</v>
      </c>
      <c r="P53" s="369">
        <f>IF(M53=" "," ",(1+(M53+N53+O53)/100))</f>
        <v/>
      </c>
      <c r="Q53" s="374">
        <f>IF(L53=" "," ",L53*P53)</f>
        <v/>
      </c>
    </row>
    <row r="54" ht="9.949999999999999" customFormat="1" customHeight="1" s="356">
      <c r="A54" s="432" t="inlineStr">
        <is>
          <t>İD</t>
        </is>
      </c>
      <c r="B54" s="433" t="n"/>
      <c r="C54" s="434" t="n"/>
      <c r="D54" s="369" t="n">
        <v>2.8</v>
      </c>
      <c r="E54" s="369" t="n">
        <v>3</v>
      </c>
      <c r="F54" s="369">
        <f>IF(D54=0," ",D54*E54)</f>
        <v/>
      </c>
      <c r="G54" s="435" t="n">
        <v>1</v>
      </c>
      <c r="H54" s="436" t="n"/>
      <c r="I54" s="369">
        <f>IF(F54=" "," ",F54*G54-H54)</f>
        <v/>
      </c>
      <c r="J54" s="369" t="n">
        <v>0.8139999999999999</v>
      </c>
      <c r="K54" s="435" t="n">
        <v>5</v>
      </c>
      <c r="L54" s="372">
        <f>IF(I54=" "," ",I54*J54*K54)</f>
        <v/>
      </c>
      <c r="M54" s="373" t="n">
        <v>7</v>
      </c>
      <c r="N54" s="370" t="n">
        <v>0</v>
      </c>
      <c r="O54" s="373" t="n">
        <v>0</v>
      </c>
      <c r="P54" s="369">
        <f>IF(M54=" "," ",(1+(M54+N54+O54)/100))</f>
        <v/>
      </c>
      <c r="Q54" s="374">
        <f>IF(L54=" "," ",L54*P54)</f>
        <v/>
      </c>
    </row>
    <row r="55" ht="9.949999999999999" customFormat="1" customHeight="1" s="437">
      <c r="A55" s="432" t="inlineStr">
        <is>
          <t>Ta</t>
        </is>
      </c>
      <c r="B55" s="433" t="n"/>
      <c r="C55" s="434" t="n"/>
      <c r="D55" s="369" t="n">
        <v>9.52</v>
      </c>
      <c r="E55" s="369" t="n">
        <v>1</v>
      </c>
      <c r="F55" s="369">
        <f>IF(D55=0," ",D55*E55)</f>
        <v/>
      </c>
      <c r="G55" s="435" t="n">
        <v>1</v>
      </c>
      <c r="H55" s="436" t="n"/>
      <c r="I55" s="369">
        <f>IF(F55=" "," ",F55*G55-H55)</f>
        <v/>
      </c>
      <c r="J55" s="369" t="n">
        <v>0.3</v>
      </c>
      <c r="K55" s="435" t="n">
        <v>23</v>
      </c>
      <c r="L55" s="372">
        <f>IF(I55=" "," ",I55*J55*K55)</f>
        <v/>
      </c>
      <c r="M55" s="438" t="n">
        <v>7</v>
      </c>
      <c r="N55" s="435" t="n">
        <v>0</v>
      </c>
      <c r="O55" s="438" t="n">
        <v>0</v>
      </c>
      <c r="P55" s="369">
        <f>IF(M55=" "," ",(1+(M55+N55+O55)/100))</f>
        <v/>
      </c>
      <c r="Q55" s="374">
        <f>IF(L55=" "," ",L55*P55)</f>
        <v/>
      </c>
    </row>
    <row r="56" ht="9.949999999999999" customFormat="1" customHeight="1" s="437">
      <c r="A56" s="441" t="n"/>
      <c r="B56" s="442" t="n"/>
      <c r="C56" s="442" t="n"/>
      <c r="D56" s="378" t="n"/>
      <c r="E56" s="378" t="n"/>
      <c r="F56" s="378" t="n"/>
      <c r="G56" s="443" t="n"/>
      <c r="H56" s="378" t="n"/>
      <c r="I56" s="378" t="n"/>
      <c r="J56" s="378" t="n"/>
      <c r="K56" s="379" t="n"/>
      <c r="L56" s="444" t="n"/>
      <c r="M56" s="381" t="n"/>
      <c r="N56" s="381" t="n"/>
      <c r="O56" s="381" t="n"/>
      <c r="P56" s="407" t="n"/>
      <c r="Q56" s="383">
        <f>SUM(Q52:Q55)</f>
        <v/>
      </c>
    </row>
    <row r="57" ht="9.949999999999999" customFormat="1" customHeight="1" s="351">
      <c r="A57" s="445" t="n"/>
      <c r="B57" s="446" t="n"/>
      <c r="C57" s="446" t="n"/>
      <c r="D57" s="447" t="n"/>
      <c r="E57" s="448" t="n"/>
      <c r="F57" s="388" t="n"/>
      <c r="G57" s="396" t="n"/>
      <c r="H57" s="388" t="n"/>
      <c r="I57" s="391" t="n"/>
      <c r="J57" s="449" t="inlineStr">
        <is>
          <t>Qs=</t>
        </is>
      </c>
      <c r="K57" s="391" t="inlineStr">
        <is>
          <t>a</t>
        </is>
      </c>
      <c r="L57" s="388" t="inlineStr">
        <is>
          <t>L</t>
        </is>
      </c>
      <c r="M57" s="396" t="inlineStr">
        <is>
          <t>R</t>
        </is>
      </c>
      <c r="N57" s="450" t="inlineStr">
        <is>
          <t>H</t>
        </is>
      </c>
      <c r="O57" s="451" t="inlineStr">
        <is>
          <t>D  T</t>
        </is>
      </c>
      <c r="P57" s="396" t="inlineStr">
        <is>
          <t>Ze</t>
        </is>
      </c>
      <c r="Q57" s="397" t="n"/>
    </row>
    <row r="58" ht="9.949999999999999" customFormat="1" customHeight="1" s="356">
      <c r="A58" s="398" t="n"/>
      <c r="B58" s="452" t="n"/>
      <c r="C58" s="400" t="n"/>
      <c r="D58" s="400" t="n"/>
      <c r="E58" s="401" t="n"/>
      <c r="F58" s="453" t="n"/>
      <c r="G58" s="403" t="n"/>
      <c r="H58" s="404" t="n"/>
      <c r="I58" s="454" t="n"/>
      <c r="J58" s="455" t="inlineStr">
        <is>
          <t>Qs  =</t>
        </is>
      </c>
      <c r="K58" s="407" t="n">
        <v>2</v>
      </c>
      <c r="L58" s="407" t="n">
        <v>0</v>
      </c>
      <c r="M58" s="407" t="n">
        <v>0.9</v>
      </c>
      <c r="N58" s="407" t="n">
        <v>0.67</v>
      </c>
      <c r="O58" s="381" t="n">
        <v>23</v>
      </c>
      <c r="P58" s="407" t="n">
        <v>1.2</v>
      </c>
      <c r="Q58" s="456">
        <f>K58*L58*M58*N58*O58*P58</f>
        <v/>
      </c>
    </row>
    <row r="59" ht="9.949999999999999" customFormat="1" customHeight="1" s="356">
      <c r="A59" s="408" t="n"/>
      <c r="B59" s="409" t="n"/>
      <c r="C59" s="400" t="n"/>
      <c r="D59" s="400" t="n"/>
      <c r="E59" s="377" t="n"/>
      <c r="F59" s="256" t="n"/>
      <c r="G59" s="410" t="n"/>
      <c r="H59" s="400" t="n"/>
      <c r="I59" s="411" t="n"/>
      <c r="J59" s="400" t="n"/>
      <c r="K59" s="410" t="n"/>
      <c r="L59" s="412" t="n"/>
      <c r="M59" s="413" t="inlineStr">
        <is>
          <t xml:space="preserve">   TOPLAM ISI KAYBI =</t>
        </is>
      </c>
      <c r="N59" s="413" t="n"/>
      <c r="O59" s="414" t="n"/>
      <c r="P59" s="415" t="n"/>
      <c r="Q59" s="416">
        <f>Q56+Q58</f>
        <v/>
      </c>
    </row>
    <row r="60" ht="9.949999999999999" customFormat="1" customHeight="1" s="356">
      <c r="A60" s="417" t="n"/>
      <c r="B60" s="399" t="n"/>
      <c r="C60" s="418" t="n"/>
      <c r="D60" s="419" t="n"/>
      <c r="E60" s="419" t="n"/>
      <c r="F60" s="420" t="n"/>
      <c r="G60" s="421" t="n"/>
      <c r="H60" s="422" t="n"/>
      <c r="I60" s="420" t="n"/>
      <c r="J60" s="419" t="n"/>
      <c r="K60" s="421" t="n"/>
      <c r="L60" s="423" t="n"/>
      <c r="M60" s="424" t="n"/>
      <c r="N60" s="421" t="n"/>
      <c r="O60" s="424" t="n"/>
      <c r="P60" s="420" t="n"/>
      <c r="Q60" s="425" t="n"/>
    </row>
    <row r="61" ht="9.949999999999999" customFormat="1" customHeight="1" s="356">
      <c r="A61" s="359" t="n"/>
      <c r="B61" s="360" t="n"/>
      <c r="C61" s="360" t="n"/>
      <c r="D61" s="360" t="n"/>
      <c r="E61" s="360" t="n"/>
      <c r="F61" s="426" t="inlineStr">
        <is>
          <t>206</t>
        </is>
      </c>
      <c r="G61" s="362" t="n"/>
      <c r="H61" s="360" t="n"/>
      <c r="I61" s="427" t="inlineStr">
        <is>
          <t>D5 BANYO-WC</t>
        </is>
      </c>
      <c r="J61" s="428" t="n"/>
      <c r="K61" s="360" t="inlineStr">
        <is>
          <t>24ºC</t>
        </is>
      </c>
      <c r="L61" s="429" t="n"/>
      <c r="M61" s="360" t="n"/>
      <c r="N61" s="360" t="n"/>
      <c r="O61" s="360" t="n"/>
      <c r="P61" s="429" t="n"/>
      <c r="Q61" s="430" t="n"/>
    </row>
    <row r="62" ht="9.949999999999999" customFormat="1" customHeight="1" s="356">
      <c r="A62" s="365" t="inlineStr">
        <is>
          <t>İD</t>
        </is>
      </c>
      <c r="B62" s="366" t="n"/>
      <c r="C62" s="367" t="n"/>
      <c r="D62" s="368" t="n">
        <v>1.82</v>
      </c>
      <c r="E62" s="368" t="n">
        <v>3</v>
      </c>
      <c r="F62" s="369">
        <f>IF(D62=0," ",D62*E62)</f>
        <v/>
      </c>
      <c r="G62" s="370" t="n">
        <v>1</v>
      </c>
      <c r="H62" s="371" t="n"/>
      <c r="I62" s="369">
        <f>IF(F62=" "," ",F62*G62-H62)</f>
        <v/>
      </c>
      <c r="J62" s="368" t="n">
        <v>0.8139999999999999</v>
      </c>
      <c r="K62" s="370" t="n">
        <v>14</v>
      </c>
      <c r="L62" s="372">
        <f>IF(I62=" "," ",I62*J62*K62)</f>
        <v/>
      </c>
      <c r="M62" s="373" t="n">
        <v>7</v>
      </c>
      <c r="N62" s="370" t="n">
        <v>0</v>
      </c>
      <c r="O62" s="373" t="n">
        <v>0</v>
      </c>
      <c r="P62" s="369">
        <f>IF(M62=" "," ",(1+(M62+N62+O62)/100))</f>
        <v/>
      </c>
      <c r="Q62" s="374">
        <f>IF(L62=" "," ",L62*P62)</f>
        <v/>
      </c>
    </row>
    <row r="63" ht="9.949999999999999" customFormat="1" customHeight="1" s="356">
      <c r="A63" s="365" t="inlineStr">
        <is>
          <t>İD</t>
        </is>
      </c>
      <c r="B63" s="366" t="n"/>
      <c r="C63" s="367" t="n"/>
      <c r="D63" s="368" t="n">
        <v>5.58</v>
      </c>
      <c r="E63" s="368" t="n">
        <v>3</v>
      </c>
      <c r="F63" s="369">
        <f>IF(D63=0," ",D63*E63)</f>
        <v/>
      </c>
      <c r="G63" s="370" t="n">
        <v>1</v>
      </c>
      <c r="H63" s="371" t="n"/>
      <c r="I63" s="369">
        <f>IF(F63=" "," ",F63*G63-H63)</f>
        <v/>
      </c>
      <c r="J63" s="368" t="n">
        <v>0.8139999999999999</v>
      </c>
      <c r="K63" s="370" t="n">
        <v>9</v>
      </c>
      <c r="L63" s="372">
        <f>IF(I63=" "," ",I63*J63*K63)</f>
        <v/>
      </c>
      <c r="M63" s="373" t="n">
        <v>7</v>
      </c>
      <c r="N63" s="370" t="n">
        <v>0</v>
      </c>
      <c r="O63" s="373" t="n">
        <v>0</v>
      </c>
      <c r="P63" s="369">
        <f>IF(M63=" "," ",(1+(M63+N63+O63)/100))</f>
        <v/>
      </c>
      <c r="Q63" s="374">
        <f>IF(L63=" "," ",L63*P63)</f>
        <v/>
      </c>
    </row>
    <row r="64" ht="9.949999999999999" customFormat="1" customHeight="1" s="356">
      <c r="A64" s="365" t="inlineStr">
        <is>
          <t>Ta</t>
        </is>
      </c>
      <c r="B64" s="366" t="n"/>
      <c r="C64" s="367" t="n"/>
      <c r="D64" s="368" t="n">
        <v>4.06</v>
      </c>
      <c r="E64" s="368" t="n">
        <v>1</v>
      </c>
      <c r="F64" s="369">
        <f>IF(D64=0," ",D64*E64)</f>
        <v/>
      </c>
      <c r="G64" s="370" t="n">
        <v>1</v>
      </c>
      <c r="H64" s="371" t="n"/>
      <c r="I64" s="369">
        <f>IF(F64=" "," ",F64*G64-H64)</f>
        <v/>
      </c>
      <c r="J64" s="368" t="n">
        <v>0.3</v>
      </c>
      <c r="K64" s="370" t="n">
        <v>27</v>
      </c>
      <c r="L64" s="372">
        <f>IF(I64=" "," ",I64*J64*K64)</f>
        <v/>
      </c>
      <c r="M64" s="373" t="n">
        <v>7</v>
      </c>
      <c r="N64" s="370" t="n">
        <v>0</v>
      </c>
      <c r="O64" s="373" t="n">
        <v>0</v>
      </c>
      <c r="P64" s="369">
        <f>IF(M64=" "," ",(1+(M64+N64+O64)/100))</f>
        <v/>
      </c>
      <c r="Q64" s="374">
        <f>IF(L64=" "," ",L64*P64)</f>
        <v/>
      </c>
    </row>
    <row r="65" ht="9.949999999999999" customFormat="1" customHeight="1" s="356">
      <c r="A65" s="375" t="n"/>
      <c r="B65" s="376" t="n"/>
      <c r="C65" s="376" t="n"/>
      <c r="D65" s="377" t="n"/>
      <c r="E65" s="377" t="n"/>
      <c r="F65" s="378" t="n"/>
      <c r="G65" s="379" t="n"/>
      <c r="H65" s="377" t="n"/>
      <c r="I65" s="378" t="n"/>
      <c r="J65" s="377" t="n"/>
      <c r="K65" s="379" t="n"/>
      <c r="L65" s="380" t="n"/>
      <c r="M65" s="381" t="n"/>
      <c r="N65" s="381" t="n"/>
      <c r="O65" s="381" t="n"/>
      <c r="P65" s="382" t="n"/>
      <c r="Q65" s="383">
        <f>SUM(Q62:Q64)</f>
        <v/>
      </c>
    </row>
    <row r="66" ht="9.949999999999999" customFormat="1" customHeight="1" s="356">
      <c r="A66" s="384" t="n"/>
      <c r="B66" s="385" t="n"/>
      <c r="C66" s="385" t="n"/>
      <c r="D66" s="386" t="n"/>
      <c r="E66" s="387" t="n"/>
      <c r="F66" s="388" t="n"/>
      <c r="G66" s="389" t="n"/>
      <c r="H66" s="390" t="n"/>
      <c r="I66" s="391" t="n"/>
      <c r="J66" s="392" t="inlineStr">
        <is>
          <t>Qs=</t>
        </is>
      </c>
      <c r="K66" s="393" t="inlineStr">
        <is>
          <t>a</t>
        </is>
      </c>
      <c r="L66" s="388" t="inlineStr">
        <is>
          <t>L</t>
        </is>
      </c>
      <c r="M66" s="389" t="inlineStr">
        <is>
          <t>R</t>
        </is>
      </c>
      <c r="N66" s="394" t="inlineStr">
        <is>
          <t>H</t>
        </is>
      </c>
      <c r="O66" s="395" t="inlineStr">
        <is>
          <t>D  T</t>
        </is>
      </c>
      <c r="P66" s="396" t="inlineStr">
        <is>
          <t>Ze</t>
        </is>
      </c>
      <c r="Q66" s="397" t="n"/>
    </row>
    <row r="67" ht="9.949999999999999" customFormat="1" customHeight="1" s="356">
      <c r="A67" s="398" t="n"/>
      <c r="B67" s="399" t="n"/>
      <c r="C67" s="400" t="n"/>
      <c r="D67" s="400" t="n"/>
      <c r="E67" s="401" t="n"/>
      <c r="F67" s="402" t="n"/>
      <c r="G67" s="403" t="n"/>
      <c r="H67" s="404" t="n"/>
      <c r="I67" s="405" t="n"/>
      <c r="J67" s="406" t="inlineStr">
        <is>
          <t>Qs  =</t>
        </is>
      </c>
      <c r="K67" s="407" t="n">
        <v>2</v>
      </c>
      <c r="L67" s="382" t="n">
        <v>0</v>
      </c>
      <c r="M67" s="407" t="n">
        <v>0.9</v>
      </c>
      <c r="N67" s="407" t="n">
        <v>0.67</v>
      </c>
      <c r="O67" s="381" t="n">
        <v>27</v>
      </c>
      <c r="P67" s="382" t="n">
        <v>1.2</v>
      </c>
      <c r="Q67" s="383">
        <f>K67*L67*M67*N67*O67*P67</f>
        <v/>
      </c>
    </row>
    <row r="68" ht="9.949999999999999" customFormat="1" customHeight="1" s="356">
      <c r="A68" s="457" t="n"/>
      <c r="B68" s="458" t="n"/>
      <c r="C68" s="411" t="n"/>
      <c r="D68" s="411" t="n"/>
      <c r="E68" s="378" t="n"/>
      <c r="F68" s="256" t="n"/>
      <c r="G68" s="459" t="n"/>
      <c r="H68" s="411" t="n"/>
      <c r="I68" s="411" t="n"/>
      <c r="J68" s="411" t="n"/>
      <c r="K68" s="459" t="n"/>
      <c r="L68" s="412" t="n"/>
      <c r="M68" s="413" t="inlineStr">
        <is>
          <t xml:space="preserve">   TOPLAM ISI KAYBI =</t>
        </is>
      </c>
      <c r="N68" s="413" t="n"/>
      <c r="O68" s="414" t="n"/>
      <c r="P68" s="415" t="n"/>
      <c r="Q68" s="416">
        <f>Q65+Q67</f>
        <v/>
      </c>
    </row>
    <row r="69" ht="9.949999999999999" customFormat="1" customHeight="1" s="437">
      <c r="A69" s="460" t="n"/>
      <c r="B69" s="461" t="n"/>
      <c r="C69" s="461" t="n"/>
      <c r="D69" s="462" t="n"/>
      <c r="E69" s="463" t="n"/>
      <c r="F69" s="464" t="n"/>
      <c r="G69" s="465" t="n"/>
      <c r="H69" s="464" t="n"/>
      <c r="I69" s="466" t="n"/>
      <c r="J69" s="467" t="n"/>
      <c r="K69" s="466" t="n"/>
      <c r="L69" s="464" t="n"/>
      <c r="M69" s="465" t="n"/>
      <c r="N69" s="468" t="n"/>
      <c r="O69" s="469" t="n"/>
      <c r="P69" s="465" t="n"/>
      <c r="Q69" s="470" t="n"/>
    </row>
    <row r="70" ht="9.949999999999999" customFormat="1" customHeight="1" s="437">
      <c r="A70" s="471" t="n"/>
      <c r="B70" s="429" t="n"/>
      <c r="C70" s="429" t="n"/>
      <c r="D70" s="429" t="n"/>
      <c r="E70" s="429" t="n"/>
      <c r="F70" s="426" t="inlineStr">
        <is>
          <t>207</t>
        </is>
      </c>
      <c r="G70" s="472" t="n"/>
      <c r="H70" s="429" t="n"/>
      <c r="I70" s="427" t="inlineStr">
        <is>
          <t>D5 BANYO-WC</t>
        </is>
      </c>
      <c r="J70" s="264" t="n"/>
      <c r="K70" s="360" t="inlineStr">
        <is>
          <t>24ºC</t>
        </is>
      </c>
      <c r="L70" s="360" t="n"/>
      <c r="M70" s="360" t="n"/>
      <c r="N70" s="360" t="n"/>
      <c r="O70" s="360" t="n"/>
      <c r="P70" s="360" t="n"/>
      <c r="Q70" s="430" t="n"/>
    </row>
    <row r="71" ht="9.949999999999999" customFormat="1" customHeight="1" s="351">
      <c r="A71" s="432" t="inlineStr">
        <is>
          <t>İD</t>
        </is>
      </c>
      <c r="B71" s="433" t="n"/>
      <c r="C71" s="434" t="n"/>
      <c r="D71" s="369" t="n">
        <v>1.76</v>
      </c>
      <c r="E71" s="369" t="n">
        <v>3</v>
      </c>
      <c r="F71" s="369">
        <f>IF(D71=0," ",D71*E71)</f>
        <v/>
      </c>
      <c r="G71" s="435" t="n">
        <v>1</v>
      </c>
      <c r="H71" s="436" t="n"/>
      <c r="I71" s="369">
        <f>IF(F71=" "," ",F71*G71-H71)</f>
        <v/>
      </c>
      <c r="J71" s="369" t="n">
        <v>0.8139999999999999</v>
      </c>
      <c r="K71" s="435" t="n">
        <v>9</v>
      </c>
      <c r="L71" s="372">
        <f>IF(I71=" "," ",I71*J71*K71)</f>
        <v/>
      </c>
      <c r="M71" s="438" t="n">
        <v>7</v>
      </c>
      <c r="N71" s="435" t="n">
        <v>0</v>
      </c>
      <c r="O71" s="438" t="n">
        <v>0</v>
      </c>
      <c r="P71" s="369">
        <f>IF(M71=" "," ",(1+(M71+N71+O71)/100))</f>
        <v/>
      </c>
      <c r="Q71" s="374">
        <f>IF(L71=" "," ",L71*P71)</f>
        <v/>
      </c>
    </row>
    <row r="72" ht="9.949999999999999" customFormat="1" customHeight="1" s="351">
      <c r="A72" s="432" t="inlineStr">
        <is>
          <t>İD</t>
        </is>
      </c>
      <c r="B72" s="433" t="n"/>
      <c r="C72" s="434" t="n"/>
      <c r="D72" s="369" t="n">
        <v>1.16</v>
      </c>
      <c r="E72" s="369" t="n">
        <v>3</v>
      </c>
      <c r="F72" s="369">
        <f>IF(D72=0," ",D72*E72)</f>
        <v/>
      </c>
      <c r="G72" s="435" t="n">
        <v>1</v>
      </c>
      <c r="H72" s="436" t="n"/>
      <c r="I72" s="369">
        <f>IF(F72=" "," ",F72*G72-H72)</f>
        <v/>
      </c>
      <c r="J72" s="369" t="n">
        <v>0.8139999999999999</v>
      </c>
      <c r="K72" s="435" t="n">
        <v>4</v>
      </c>
      <c r="L72" s="372">
        <f>IF(I72=" "," ",I72*J72*K72)</f>
        <v/>
      </c>
      <c r="M72" s="438" t="n">
        <v>7</v>
      </c>
      <c r="N72" s="435" t="n">
        <v>0</v>
      </c>
      <c r="O72" s="438" t="n">
        <v>0</v>
      </c>
      <c r="P72" s="369">
        <f>IF(M72=" "," ",(1+(M72+N72+O72)/100))</f>
        <v/>
      </c>
      <c r="Q72" s="374">
        <f>IF(L72=" "," ",L72*P72)</f>
        <v/>
      </c>
    </row>
    <row r="73" ht="9.949999999999999" customFormat="1" customHeight="1" s="351">
      <c r="A73" s="432" t="inlineStr">
        <is>
          <t>Ta</t>
        </is>
      </c>
      <c r="B73" s="433" t="n"/>
      <c r="C73" s="434" t="n"/>
      <c r="D73" s="369" t="n">
        <v>2.41</v>
      </c>
      <c r="E73" s="369" t="n">
        <v>1</v>
      </c>
      <c r="F73" s="369">
        <f>IF(D73=0," ",D73*E73)</f>
        <v/>
      </c>
      <c r="G73" s="435" t="n">
        <v>1</v>
      </c>
      <c r="H73" s="436" t="n"/>
      <c r="I73" s="369">
        <f>IF(F73=" "," ",F73*G73-H73)</f>
        <v/>
      </c>
      <c r="J73" s="369" t="n">
        <v>0.3</v>
      </c>
      <c r="K73" s="435" t="n">
        <v>27</v>
      </c>
      <c r="L73" s="372">
        <f>IF(I73=" "," ",I73*J73*K73)</f>
        <v/>
      </c>
      <c r="M73" s="438" t="n">
        <v>7</v>
      </c>
      <c r="N73" s="435" t="n">
        <v>0</v>
      </c>
      <c r="O73" s="438" t="n">
        <v>0</v>
      </c>
      <c r="P73" s="369">
        <f>IF(M73=" "," ",(1+(M73+N73+O73)/100))</f>
        <v/>
      </c>
      <c r="Q73" s="374">
        <f>IF(L73=" "," ",L73*P73)</f>
        <v/>
      </c>
    </row>
    <row r="74" ht="9.949999999999999" customFormat="1" customHeight="1" s="351">
      <c r="A74" s="441" t="n"/>
      <c r="B74" s="442" t="n"/>
      <c r="C74" s="442" t="n"/>
      <c r="D74" s="378" t="n"/>
      <c r="E74" s="378" t="n"/>
      <c r="F74" s="378" t="n"/>
      <c r="G74" s="443" t="n"/>
      <c r="H74" s="378" t="n"/>
      <c r="I74" s="378" t="n"/>
      <c r="J74" s="378" t="n"/>
      <c r="K74" s="443" t="n"/>
      <c r="L74" s="380" t="n"/>
      <c r="M74" s="473" t="n"/>
      <c r="N74" s="473" t="n"/>
      <c r="O74" s="473" t="n"/>
      <c r="P74" s="382" t="n"/>
      <c r="Q74" s="383">
        <f>SUM(Q71:Q73)</f>
        <v/>
      </c>
    </row>
    <row r="75" ht="9.949999999999999" customFormat="1" customHeight="1" s="351">
      <c r="A75" s="445" t="n"/>
      <c r="B75" s="446" t="n"/>
      <c r="C75" s="446" t="n"/>
      <c r="D75" s="447" t="n"/>
      <c r="E75" s="448" t="n"/>
      <c r="F75" s="388" t="n"/>
      <c r="G75" s="396" t="n"/>
      <c r="H75" s="388" t="n"/>
      <c r="I75" s="391" t="n"/>
      <c r="J75" s="449" t="inlineStr">
        <is>
          <t>Qs=</t>
        </is>
      </c>
      <c r="K75" s="391" t="inlineStr">
        <is>
          <t>a</t>
        </is>
      </c>
      <c r="L75" s="388" t="inlineStr">
        <is>
          <t>L</t>
        </is>
      </c>
      <c r="M75" s="396" t="inlineStr">
        <is>
          <t>R</t>
        </is>
      </c>
      <c r="N75" s="450" t="inlineStr">
        <is>
          <t>H</t>
        </is>
      </c>
      <c r="O75" s="451" t="inlineStr">
        <is>
          <t>D  T</t>
        </is>
      </c>
      <c r="P75" s="396" t="inlineStr">
        <is>
          <t>Ze</t>
        </is>
      </c>
      <c r="Q75" s="397" t="n"/>
    </row>
    <row r="76">
      <c r="A76" s="474" t="n"/>
      <c r="C76" s="411" t="n"/>
      <c r="D76" s="411" t="n"/>
      <c r="E76" s="475" t="n"/>
      <c r="F76" s="402" t="n"/>
      <c r="G76" s="476" t="n"/>
      <c r="H76" s="477" t="n"/>
      <c r="I76" s="405" t="n"/>
      <c r="J76" s="455" t="inlineStr">
        <is>
          <t>Qs  =</t>
        </is>
      </c>
      <c r="K76" s="382" t="n">
        <v>2</v>
      </c>
      <c r="L76" s="382" t="n">
        <v>0</v>
      </c>
      <c r="M76" s="382" t="n">
        <v>0.9</v>
      </c>
      <c r="N76" s="382" t="n">
        <v>0.67</v>
      </c>
      <c r="O76" s="473" t="n">
        <v>27</v>
      </c>
      <c r="P76" s="382" t="n">
        <v>1.2</v>
      </c>
      <c r="Q76" s="383">
        <f>K76*L76*M76*N76*O76*P76</f>
        <v/>
      </c>
    </row>
    <row r="77">
      <c r="A77" s="457" t="n"/>
      <c r="B77" s="458" t="n"/>
      <c r="C77" s="411" t="n"/>
      <c r="D77" s="411" t="n"/>
      <c r="E77" s="378" t="n"/>
      <c r="F77" s="256" t="n"/>
      <c r="G77" s="459" t="n"/>
      <c r="H77" s="411" t="n"/>
      <c r="I77" s="411" t="n"/>
      <c r="J77" s="411" t="n"/>
      <c r="K77" s="459" t="n"/>
      <c r="L77" s="412" t="n"/>
      <c r="M77" s="415" t="inlineStr">
        <is>
          <t xml:space="preserve">   TOPLAM ISI KAYBI =</t>
        </is>
      </c>
      <c r="N77" s="415" t="n"/>
      <c r="O77" s="478" t="n"/>
      <c r="P77" s="415" t="n"/>
      <c r="Q77" s="416">
        <f>Q74+Q76</f>
        <v/>
      </c>
    </row>
    <row r="78"/>
    <row r="79">
      <c r="A79" s="471" t="n"/>
      <c r="B79" s="429" t="n"/>
      <c r="C79" s="429" t="n"/>
      <c r="D79" s="429" t="n"/>
      <c r="E79" s="429" t="n"/>
      <c r="F79" s="426" t="inlineStr">
        <is>
          <t>208</t>
        </is>
      </c>
      <c r="G79" s="472" t="n"/>
      <c r="H79" s="429" t="n"/>
      <c r="I79" s="427" t="inlineStr">
        <is>
          <t>D6 YATAK ODASI</t>
        </is>
      </c>
      <c r="J79" s="264" t="n"/>
      <c r="K79" s="429" t="inlineStr">
        <is>
          <t>20ºC</t>
        </is>
      </c>
      <c r="L79" s="429" t="n"/>
      <c r="M79" s="429" t="n"/>
      <c r="N79" s="429" t="n"/>
      <c r="O79" s="429" t="n"/>
      <c r="P79" s="429" t="n"/>
      <c r="Q79" s="430" t="n"/>
    </row>
    <row r="80" ht="9.75" customFormat="1" customHeight="1" s="329">
      <c r="A80" s="432" t="inlineStr">
        <is>
          <t>DD</t>
        </is>
      </c>
      <c r="B80" s="433" t="inlineStr">
        <is>
          <t>K</t>
        </is>
      </c>
      <c r="C80" s="434" t="n"/>
      <c r="D80" s="369" t="n">
        <v>2.78</v>
      </c>
      <c r="E80" s="369" t="n">
        <v>3</v>
      </c>
      <c r="F80" s="369">
        <f>IF(D80=0," ",D80*E80)</f>
        <v/>
      </c>
      <c r="G80" s="435" t="n">
        <v>1</v>
      </c>
      <c r="H80" s="436">
        <f>F81*G81</f>
        <v/>
      </c>
      <c r="I80" s="369">
        <f>IF(F80=" "," ",F80*G80-H80)</f>
        <v/>
      </c>
      <c r="J80" s="369" t="n">
        <v>0.4</v>
      </c>
      <c r="K80" s="435" t="n">
        <v>23</v>
      </c>
      <c r="L80" s="372">
        <f>IF(I80=" "," ",I80*J80*K80)</f>
        <v/>
      </c>
      <c r="M80" s="438" t="n">
        <v>7</v>
      </c>
      <c r="N80" s="435" t="n">
        <v>0</v>
      </c>
      <c r="O80" s="373" t="n">
        <v>5</v>
      </c>
      <c r="P80" s="368">
        <f>IF(M80=" "," ",(1+(M80+N80+O80)/100))</f>
        <v/>
      </c>
      <c r="Q80" s="440">
        <f>IF(L80=" "," ",L80*P80)</f>
        <v/>
      </c>
    </row>
    <row r="81" ht="10.5" customFormat="1" customHeight="1" s="339">
      <c r="A81" s="432" t="inlineStr">
        <is>
          <t>ÇP</t>
        </is>
      </c>
      <c r="B81" s="433" t="inlineStr">
        <is>
          <t>K</t>
        </is>
      </c>
      <c r="C81" s="434" t="n"/>
      <c r="D81" s="369" t="n">
        <v>1.5</v>
      </c>
      <c r="E81" s="369" t="n">
        <v>2.2</v>
      </c>
      <c r="F81" s="369">
        <f>IF(D81=0," ",D81*E81)</f>
        <v/>
      </c>
      <c r="G81" s="435" t="n">
        <v>1</v>
      </c>
      <c r="H81" s="371" t="n"/>
      <c r="I81" s="368">
        <f>IF(F81=" "," ",F81*G81-H81)</f>
        <v/>
      </c>
      <c r="J81" s="368" t="n">
        <v>1.8</v>
      </c>
      <c r="K81" s="370" t="n">
        <v>23</v>
      </c>
      <c r="L81" s="439">
        <f>IF(I81=" "," ",I81*J81*K81)</f>
        <v/>
      </c>
      <c r="M81" s="438" t="n">
        <v>7</v>
      </c>
      <c r="N81" s="435" t="n">
        <v>0</v>
      </c>
      <c r="O81" s="373" t="n">
        <v>5</v>
      </c>
      <c r="P81" s="368">
        <f>IF(M81=" "," ",(1+(M81+N81+O81)/100))</f>
        <v/>
      </c>
      <c r="Q81" s="440">
        <f>IF(L81=" "," ",L81*P81)</f>
        <v/>
      </c>
    </row>
    <row r="82" ht="8.25" customFormat="1" customHeight="1" s="339">
      <c r="A82" s="432" t="inlineStr">
        <is>
          <t>DD</t>
        </is>
      </c>
      <c r="B82" s="433" t="inlineStr">
        <is>
          <t>D</t>
        </is>
      </c>
      <c r="C82" s="434" t="n"/>
      <c r="D82" s="369" t="n">
        <v>3.28</v>
      </c>
      <c r="E82" s="369" t="n">
        <v>3</v>
      </c>
      <c r="F82" s="369">
        <f>IF(D82=0," ",D82*E82)</f>
        <v/>
      </c>
      <c r="G82" s="435" t="n">
        <v>1</v>
      </c>
      <c r="H82" s="436" t="n"/>
      <c r="I82" s="369">
        <f>IF(F82=" "," ",F82*G82-H82)</f>
        <v/>
      </c>
      <c r="J82" s="369" t="n">
        <v>0.4</v>
      </c>
      <c r="K82" s="435" t="n">
        <v>23</v>
      </c>
      <c r="L82" s="372">
        <f>IF(I82=" "," ",I82*J82*K82)</f>
        <v/>
      </c>
      <c r="M82" s="438" t="n">
        <v>7</v>
      </c>
      <c r="N82" s="435" t="n">
        <v>0</v>
      </c>
      <c r="O82" s="438" t="n">
        <v>0</v>
      </c>
      <c r="P82" s="369">
        <f>IF(M82=" "," ",(1+(M82+N82+O82)/100))</f>
        <v/>
      </c>
      <c r="Q82" s="374">
        <f>IF(L82=" "," ",L82*P82)</f>
        <v/>
      </c>
    </row>
    <row r="83" ht="31.5" customFormat="1" customHeight="1" s="351">
      <c r="A83" s="432" t="inlineStr">
        <is>
          <t>Ta</t>
        </is>
      </c>
      <c r="B83" s="433" t="n"/>
      <c r="C83" s="434" t="n"/>
      <c r="D83" s="369" t="n">
        <v>9.93</v>
      </c>
      <c r="E83" s="369" t="n">
        <v>1</v>
      </c>
      <c r="F83" s="369">
        <f>IF(D83=0," ",D83*E83)</f>
        <v/>
      </c>
      <c r="G83" s="435" t="n">
        <v>1</v>
      </c>
      <c r="H83" s="436" t="n"/>
      <c r="I83" s="369">
        <f>IF(F83=" "," ",F83*G83-H83)</f>
        <v/>
      </c>
      <c r="J83" s="369" t="n">
        <v>0.3</v>
      </c>
      <c r="K83" s="435" t="n">
        <v>23</v>
      </c>
      <c r="L83" s="372">
        <f>IF(I83=" "," ",I83*J83*K83)</f>
        <v/>
      </c>
      <c r="M83" s="438" t="n">
        <v>7</v>
      </c>
      <c r="N83" s="435" t="n">
        <v>0</v>
      </c>
      <c r="O83" s="438" t="n">
        <v>0</v>
      </c>
      <c r="P83" s="369">
        <f>IF(M83=" "," ",(1+(M83+N83+O83)/100))</f>
        <v/>
      </c>
      <c r="Q83" s="374">
        <f>IF(L83=" "," ",L83*P83)</f>
        <v/>
      </c>
    </row>
    <row r="84" ht="9.75" customFormat="1" customHeight="1" s="351">
      <c r="A84" s="441" t="n"/>
      <c r="B84" s="442" t="n"/>
      <c r="C84" s="442" t="n"/>
      <c r="D84" s="378" t="n"/>
      <c r="E84" s="378" t="n"/>
      <c r="F84" s="378" t="n"/>
      <c r="G84" s="443" t="n"/>
      <c r="H84" s="378" t="n"/>
      <c r="I84" s="378" t="n"/>
      <c r="J84" s="378" t="n"/>
      <c r="K84" s="443" t="n"/>
      <c r="L84" s="380" t="n"/>
      <c r="M84" s="473" t="n"/>
      <c r="N84" s="473" t="n"/>
      <c r="O84" s="473" t="n"/>
      <c r="P84" s="382" t="n"/>
      <c r="Q84" s="383">
        <f>SUM(Q80:Q83)</f>
        <v/>
      </c>
    </row>
    <row r="85" ht="15.75" customFormat="1" customHeight="1" s="356">
      <c r="A85" s="445" t="n"/>
      <c r="B85" s="446" t="n"/>
      <c r="C85" s="446" t="n"/>
      <c r="D85" s="447" t="n"/>
      <c r="E85" s="448" t="n"/>
      <c r="F85" s="388" t="n"/>
      <c r="G85" s="396" t="n"/>
      <c r="H85" s="388" t="n"/>
      <c r="I85" s="391" t="n"/>
      <c r="J85" s="449" t="inlineStr">
        <is>
          <t>Qs=</t>
        </is>
      </c>
      <c r="K85" s="391" t="inlineStr">
        <is>
          <t>a</t>
        </is>
      </c>
      <c r="L85" s="388" t="inlineStr">
        <is>
          <t>L</t>
        </is>
      </c>
      <c r="M85" s="396" t="inlineStr">
        <is>
          <t>R</t>
        </is>
      </c>
      <c r="N85" s="450" t="inlineStr">
        <is>
          <t>H</t>
        </is>
      </c>
      <c r="O85" s="451" t="inlineStr">
        <is>
          <t>D  T</t>
        </is>
      </c>
      <c r="P85" s="396" t="inlineStr">
        <is>
          <t>Ze</t>
        </is>
      </c>
      <c r="Q85" s="397" t="n"/>
    </row>
    <row r="86" ht="11.25" customFormat="1" customHeight="1" s="356">
      <c r="A86" s="474" t="n"/>
      <c r="B86" s="346" t="n"/>
      <c r="C86" s="411" t="n"/>
      <c r="D86" s="411" t="n"/>
      <c r="E86" s="475" t="n"/>
      <c r="F86" s="402" t="n"/>
      <c r="G86" s="476" t="n"/>
      <c r="H86" s="477" t="n"/>
      <c r="I86" s="405" t="n"/>
      <c r="J86" s="455" t="inlineStr">
        <is>
          <t>Qs  =</t>
        </is>
      </c>
      <c r="K86" s="382" t="n">
        <v>2</v>
      </c>
      <c r="L86" s="382">
        <f>(D81+E81)*2*G81</f>
        <v/>
      </c>
      <c r="M86" s="382" t="n">
        <v>0.9</v>
      </c>
      <c r="N86" s="382" t="n">
        <v>0.67</v>
      </c>
      <c r="O86" s="473" t="n">
        <v>23</v>
      </c>
      <c r="P86" s="382" t="n">
        <v>1.2</v>
      </c>
      <c r="Q86" s="383">
        <f>K86*L86*M86*N86*O86*P86</f>
        <v/>
      </c>
    </row>
    <row r="87" ht="9.75" customFormat="1" customHeight="1" s="356">
      <c r="A87" s="408" t="n"/>
      <c r="B87" s="409" t="n"/>
      <c r="C87" s="400" t="n"/>
      <c r="D87" s="400" t="n"/>
      <c r="E87" s="377" t="n"/>
      <c r="F87" s="479" t="n"/>
      <c r="G87" s="410" t="n"/>
      <c r="H87" s="400" t="n"/>
      <c r="I87" s="400" t="n"/>
      <c r="J87" s="411" t="n"/>
      <c r="K87" s="410" t="n"/>
      <c r="L87" s="480" t="n"/>
      <c r="M87" s="413" t="inlineStr">
        <is>
          <t xml:space="preserve">   TOPLAM ISI KAYBI =</t>
        </is>
      </c>
      <c r="N87" s="413" t="n"/>
      <c r="O87" s="414" t="n"/>
      <c r="P87" s="413" t="n"/>
      <c r="Q87" s="481">
        <f>Q84+Q86</f>
        <v/>
      </c>
    </row>
    <row r="88" ht="9.949999999999999" customFormat="1" customHeight="1" s="356">
      <c r="A88" s="417" t="n"/>
      <c r="B88" s="399" t="n"/>
      <c r="C88" s="418" t="n"/>
      <c r="D88" s="419" t="n"/>
      <c r="E88" s="419" t="n"/>
      <c r="F88" s="420" t="n"/>
      <c r="G88" s="421" t="n"/>
      <c r="H88" s="422" t="n"/>
      <c r="I88" s="420" t="n"/>
      <c r="J88" s="419" t="n"/>
      <c r="K88" s="421" t="n"/>
      <c r="L88" s="423" t="n"/>
      <c r="M88" s="424" t="n"/>
      <c r="N88" s="421" t="n"/>
      <c r="O88" s="424" t="n"/>
      <c r="P88" s="420" t="n"/>
      <c r="Q88" s="425" t="n"/>
    </row>
    <row r="89" ht="9.949999999999999" customFormat="1" customHeight="1" s="356">
      <c r="A89" s="359" t="n"/>
      <c r="B89" s="360" t="n"/>
      <c r="C89" s="360" t="n"/>
      <c r="D89" s="360" t="n"/>
      <c r="E89" s="360" t="n"/>
      <c r="F89" s="426" t="inlineStr">
        <is>
          <t>209</t>
        </is>
      </c>
      <c r="G89" s="362" t="n"/>
      <c r="H89" s="360" t="n"/>
      <c r="I89" s="427" t="inlineStr">
        <is>
          <t>D6 YATAK ODASI</t>
        </is>
      </c>
      <c r="J89" s="428" t="n"/>
      <c r="K89" s="360" t="inlineStr">
        <is>
          <t>20ºC</t>
        </is>
      </c>
      <c r="L89" s="429" t="n"/>
      <c r="M89" s="360" t="n"/>
      <c r="N89" s="360" t="n"/>
      <c r="O89" s="360" t="n"/>
      <c r="P89" s="429" t="n"/>
      <c r="Q89" s="430" t="n"/>
    </row>
    <row r="90" ht="9.949999999999999" customFormat="1" customHeight="1" s="356">
      <c r="A90" s="365" t="inlineStr">
        <is>
          <t>DD</t>
        </is>
      </c>
      <c r="B90" s="366" t="inlineStr">
        <is>
          <t>D</t>
        </is>
      </c>
      <c r="C90" s="367" t="n"/>
      <c r="D90" s="368" t="n">
        <v>3.12</v>
      </c>
      <c r="E90" s="368" t="n">
        <v>3</v>
      </c>
      <c r="F90" s="369">
        <f>IF(D90=0," ",D90*E90)</f>
        <v/>
      </c>
      <c r="G90" s="370" t="n">
        <v>1</v>
      </c>
      <c r="H90" s="371">
        <f>F91*G91</f>
        <v/>
      </c>
      <c r="I90" s="369">
        <f>IF(F90=" "," ",F90*G90-H90)</f>
        <v/>
      </c>
      <c r="J90" s="368" t="n">
        <v>0.4</v>
      </c>
      <c r="K90" s="370" t="n">
        <v>23</v>
      </c>
      <c r="L90" s="372">
        <f>IF(I90=" "," ",I90*J90*K90)</f>
        <v/>
      </c>
      <c r="M90" s="373" t="n">
        <v>7</v>
      </c>
      <c r="N90" s="370" t="n">
        <v>0</v>
      </c>
      <c r="O90" s="373" t="n">
        <v>0</v>
      </c>
      <c r="P90" s="369">
        <f>IF(M90=" "," ",(1+(M90+N90+O90)/100))</f>
        <v/>
      </c>
      <c r="Q90" s="374">
        <f>IF(L90=" "," ",L90*P90)</f>
        <v/>
      </c>
    </row>
    <row r="91" ht="9.949999999999999" customFormat="1" customHeight="1" s="356">
      <c r="A91" s="365" t="inlineStr">
        <is>
          <t>ÇP</t>
        </is>
      </c>
      <c r="B91" s="366" t="inlineStr">
        <is>
          <t>D</t>
        </is>
      </c>
      <c r="C91" s="367" t="n"/>
      <c r="D91" s="368" t="n">
        <v>1.5</v>
      </c>
      <c r="E91" s="368" t="n">
        <v>1.6</v>
      </c>
      <c r="F91" s="369">
        <f>IF(D91=0," ",D91*E91)</f>
        <v/>
      </c>
      <c r="G91" s="370" t="n">
        <v>1</v>
      </c>
      <c r="H91" s="371" t="n"/>
      <c r="I91" s="369">
        <f>IF(F91=" "," ",F91*G91-H91)</f>
        <v/>
      </c>
      <c r="J91" s="368" t="n">
        <v>1.8</v>
      </c>
      <c r="K91" s="370" t="n">
        <v>23</v>
      </c>
      <c r="L91" s="372">
        <f>IF(I91=" "," ",I91*J91*K91)</f>
        <v/>
      </c>
      <c r="M91" s="373" t="n">
        <v>7</v>
      </c>
      <c r="N91" s="370" t="n">
        <v>0</v>
      </c>
      <c r="O91" s="373" t="n">
        <v>0</v>
      </c>
      <c r="P91" s="369">
        <f>IF(M91=" "," ",(1+(M91+N91+O91)/100))</f>
        <v/>
      </c>
      <c r="Q91" s="374">
        <f>IF(L91=" "," ",L91*P91)</f>
        <v/>
      </c>
    </row>
    <row r="92" ht="9.949999999999999" customFormat="1" customHeight="1" s="356">
      <c r="A92" s="365" t="inlineStr">
        <is>
          <t>İD</t>
        </is>
      </c>
      <c r="B92" s="366" t="n"/>
      <c r="C92" s="367" t="n"/>
      <c r="D92" s="368" t="n">
        <v>3.06</v>
      </c>
      <c r="E92" s="368" t="n">
        <v>3</v>
      </c>
      <c r="F92" s="369">
        <f>IF(D92=0," ",D92*E92)</f>
        <v/>
      </c>
      <c r="G92" s="370" t="n">
        <v>1</v>
      </c>
      <c r="H92" s="371" t="n"/>
      <c r="I92" s="369">
        <f>IF(F92=" "," ",F92*G92-H92)</f>
        <v/>
      </c>
      <c r="J92" s="368" t="n">
        <v>0.8139999999999999</v>
      </c>
      <c r="K92" s="370" t="n">
        <v>5</v>
      </c>
      <c r="L92" s="372">
        <f>IF(I92=" "," ",I92*J92*K92)</f>
        <v/>
      </c>
      <c r="M92" s="373" t="n">
        <v>7</v>
      </c>
      <c r="N92" s="370" t="n">
        <v>0</v>
      </c>
      <c r="O92" s="373" t="n">
        <v>0</v>
      </c>
      <c r="P92" s="369">
        <f>IF(M92=" "," ",(1+(M92+N92+O92)/100))</f>
        <v/>
      </c>
      <c r="Q92" s="374">
        <f>IF(L92=" "," ",L92*P92)</f>
        <v/>
      </c>
    </row>
    <row r="93" ht="9.949999999999999" customFormat="1" customHeight="1" s="356">
      <c r="A93" s="365" t="inlineStr">
        <is>
          <t>Ta</t>
        </is>
      </c>
      <c r="B93" s="366" t="n"/>
      <c r="C93" s="367" t="n"/>
      <c r="D93" s="368" t="n">
        <v>9.640000000000001</v>
      </c>
      <c r="E93" s="368" t="n">
        <v>1</v>
      </c>
      <c r="F93" s="369">
        <f>IF(D93=0," ",D93*E93)</f>
        <v/>
      </c>
      <c r="G93" s="370" t="n">
        <v>1</v>
      </c>
      <c r="H93" s="371" t="n"/>
      <c r="I93" s="369">
        <f>IF(F93=" "," ",F93*G93-H93)</f>
        <v/>
      </c>
      <c r="J93" s="368" t="n">
        <v>0.3</v>
      </c>
      <c r="K93" s="370" t="n">
        <v>23</v>
      </c>
      <c r="L93" s="372">
        <f>IF(I93=" "," ",I93*J93*K93)</f>
        <v/>
      </c>
      <c r="M93" s="373" t="n">
        <v>7</v>
      </c>
      <c r="N93" s="370" t="n">
        <v>0</v>
      </c>
      <c r="O93" s="373" t="n">
        <v>0</v>
      </c>
      <c r="P93" s="369">
        <f>IF(M93=" "," ",(1+(M93+N93+O93)/100))</f>
        <v/>
      </c>
      <c r="Q93" s="374">
        <f>IF(L93=" "," ",L93*P93)</f>
        <v/>
      </c>
    </row>
    <row r="94" ht="9.949999999999999" customFormat="1" customHeight="1" s="356">
      <c r="A94" s="375" t="n"/>
      <c r="B94" s="376" t="n"/>
      <c r="C94" s="376" t="n"/>
      <c r="D94" s="377" t="n"/>
      <c r="E94" s="377" t="n"/>
      <c r="F94" s="378" t="n"/>
      <c r="G94" s="379" t="n"/>
      <c r="H94" s="377" t="n"/>
      <c r="I94" s="378" t="n"/>
      <c r="J94" s="377" t="n"/>
      <c r="K94" s="379" t="n"/>
      <c r="L94" s="380" t="n"/>
      <c r="M94" s="381" t="n"/>
      <c r="N94" s="381" t="n"/>
      <c r="O94" s="381" t="n"/>
      <c r="P94" s="382" t="n"/>
      <c r="Q94" s="383">
        <f>SUM(Q90:Q93)</f>
        <v/>
      </c>
    </row>
    <row r="95" ht="9.949999999999999" customFormat="1" customHeight="1" s="356">
      <c r="A95" s="384" t="n"/>
      <c r="B95" s="385" t="n"/>
      <c r="C95" s="385" t="n"/>
      <c r="D95" s="386" t="n"/>
      <c r="E95" s="387" t="n"/>
      <c r="F95" s="388" t="n"/>
      <c r="G95" s="389" t="n"/>
      <c r="H95" s="390" t="n"/>
      <c r="I95" s="391" t="n"/>
      <c r="J95" s="392" t="inlineStr">
        <is>
          <t>Qs=</t>
        </is>
      </c>
      <c r="K95" s="393" t="inlineStr">
        <is>
          <t>a</t>
        </is>
      </c>
      <c r="L95" s="388" t="inlineStr">
        <is>
          <t>L</t>
        </is>
      </c>
      <c r="M95" s="389" t="inlineStr">
        <is>
          <t>R</t>
        </is>
      </c>
      <c r="N95" s="394" t="inlineStr">
        <is>
          <t>H</t>
        </is>
      </c>
      <c r="O95" s="395" t="inlineStr">
        <is>
          <t>D  T</t>
        </is>
      </c>
      <c r="P95" s="396" t="inlineStr">
        <is>
          <t>Ze</t>
        </is>
      </c>
      <c r="Q95" s="397" t="n"/>
    </row>
    <row r="96" ht="9.949999999999999" customFormat="1" customHeight="1" s="356">
      <c r="A96" s="474" t="n"/>
      <c r="B96" s="482" t="n"/>
      <c r="C96" s="411" t="n"/>
      <c r="D96" s="411" t="n"/>
      <c r="E96" s="475" t="n"/>
      <c r="F96" s="402" t="n"/>
      <c r="G96" s="476" t="n"/>
      <c r="H96" s="477" t="n"/>
      <c r="I96" s="405" t="n"/>
      <c r="J96" s="455" t="inlineStr">
        <is>
          <t>Qs  =</t>
        </is>
      </c>
      <c r="K96" s="382" t="n">
        <v>2</v>
      </c>
      <c r="L96" s="382">
        <f>(D91+E91)*2*G91</f>
        <v/>
      </c>
      <c r="M96" s="407" t="n">
        <v>0.9</v>
      </c>
      <c r="N96" s="407" t="n">
        <v>0.67</v>
      </c>
      <c r="O96" s="381" t="n">
        <v>23</v>
      </c>
      <c r="P96" s="382" t="n">
        <v>1.2</v>
      </c>
      <c r="Q96" s="383">
        <f>K96*L96*M96*N96*O96*P96</f>
        <v/>
      </c>
    </row>
    <row r="97" ht="9.949999999999999" customFormat="1" customHeight="1" s="437">
      <c r="A97" s="457" t="n"/>
      <c r="B97" s="458" t="n"/>
      <c r="C97" s="411" t="n"/>
      <c r="D97" s="411" t="n"/>
      <c r="E97" s="378" t="n"/>
      <c r="F97" s="256" t="n"/>
      <c r="G97" s="459" t="n"/>
      <c r="H97" s="411" t="n"/>
      <c r="I97" s="411" t="n"/>
      <c r="J97" s="411" t="n"/>
      <c r="K97" s="459" t="n"/>
      <c r="L97" s="412" t="n"/>
      <c r="M97" s="415" t="inlineStr">
        <is>
          <t xml:space="preserve">   TOPLAM ISI KAYBI =</t>
        </is>
      </c>
      <c r="N97" s="415" t="n"/>
      <c r="O97" s="478" t="n"/>
      <c r="P97" s="415" t="n"/>
      <c r="Q97" s="416">
        <f>Q94+Q96</f>
        <v/>
      </c>
    </row>
    <row r="98" ht="9.949999999999999" customFormat="1" customHeight="1" s="437">
      <c r="A98" s="483" t="n"/>
      <c r="C98" s="484" t="n"/>
      <c r="D98" s="484" t="n"/>
      <c r="E98" s="485" t="n"/>
      <c r="F98" s="486" t="n"/>
      <c r="G98" s="487" t="n"/>
      <c r="H98" s="488" t="n"/>
      <c r="I98" s="489" t="n"/>
      <c r="J98" s="490" t="n"/>
      <c r="K98" s="491" t="n"/>
      <c r="L98" s="491" t="n"/>
      <c r="M98" s="491" t="n"/>
      <c r="N98" s="491" t="n"/>
      <c r="O98" s="492" t="n"/>
      <c r="P98" s="491" t="n"/>
      <c r="Q98" s="493" t="n"/>
    </row>
    <row r="99" ht="9.949999999999999" customFormat="1" customHeight="1" s="351">
      <c r="A99" s="471" t="n"/>
      <c r="B99" s="429" t="n"/>
      <c r="C99" s="429" t="n"/>
      <c r="D99" s="429" t="n"/>
      <c r="E99" s="429" t="n"/>
      <c r="F99" s="426" t="inlineStr">
        <is>
          <t>210</t>
        </is>
      </c>
      <c r="G99" s="472" t="n"/>
      <c r="H99" s="429" t="n"/>
      <c r="I99" s="427" t="inlineStr">
        <is>
          <t>D6 ODA</t>
        </is>
      </c>
      <c r="J99" s="264" t="n"/>
      <c r="K99" s="429" t="inlineStr">
        <is>
          <t>20ºC</t>
        </is>
      </c>
      <c r="L99" s="429" t="n"/>
      <c r="M99" s="429" t="n"/>
      <c r="N99" s="429" t="n"/>
      <c r="O99" s="429" t="n"/>
      <c r="P99" s="429" t="n"/>
      <c r="Q99" s="430" t="n"/>
    </row>
    <row r="100">
      <c r="A100" s="432" t="inlineStr">
        <is>
          <t>DD</t>
        </is>
      </c>
      <c r="B100" s="433" t="inlineStr">
        <is>
          <t>K</t>
        </is>
      </c>
      <c r="C100" s="434" t="n"/>
      <c r="D100" s="369" t="n">
        <v>3.64</v>
      </c>
      <c r="E100" s="369" t="n">
        <v>3</v>
      </c>
      <c r="F100" s="369">
        <f>IF(D100=0," ",D100*E100)</f>
        <v/>
      </c>
      <c r="G100" s="435" t="n">
        <v>1</v>
      </c>
      <c r="H100" s="436">
        <f>F101*G101</f>
        <v/>
      </c>
      <c r="I100" s="369">
        <f>IF(F100=" "," ",F100*G100-H100)</f>
        <v/>
      </c>
      <c r="J100" s="369" t="n">
        <v>0.4</v>
      </c>
      <c r="K100" s="435" t="n">
        <v>23</v>
      </c>
      <c r="L100" s="372">
        <f>IF(I100=" "," ",I100*J100*K100)</f>
        <v/>
      </c>
      <c r="M100" s="438" t="n">
        <v>7</v>
      </c>
      <c r="N100" s="435" t="n">
        <v>0</v>
      </c>
      <c r="O100" s="438" t="n">
        <v>5</v>
      </c>
      <c r="P100" s="369">
        <f>IF(M100=" "," ",(1+(M100+N100+O100)/100))</f>
        <v/>
      </c>
      <c r="Q100" s="374">
        <f>IF(L100=" "," ",L100*P100)</f>
        <v/>
      </c>
    </row>
    <row r="101">
      <c r="A101" s="432" t="inlineStr">
        <is>
          <t>ÇP</t>
        </is>
      </c>
      <c r="B101" s="433" t="inlineStr">
        <is>
          <t>K</t>
        </is>
      </c>
      <c r="C101" s="434" t="n"/>
      <c r="D101" s="369" t="n">
        <v>1.5</v>
      </c>
      <c r="E101" s="369" t="n">
        <v>2.2</v>
      </c>
      <c r="F101" s="369">
        <f>IF(D101=0," ",D101*E101)</f>
        <v/>
      </c>
      <c r="G101" s="435" t="n">
        <v>1</v>
      </c>
      <c r="H101" s="436" t="n"/>
      <c r="I101" s="369">
        <f>IF(F101=" "," ",F101*G101-H101)</f>
        <v/>
      </c>
      <c r="J101" s="369" t="n">
        <v>1.8</v>
      </c>
      <c r="K101" s="435" t="n">
        <v>23</v>
      </c>
      <c r="L101" s="372">
        <f>IF(I101=" "," ",I101*J101*K101)</f>
        <v/>
      </c>
      <c r="M101" s="438" t="n">
        <v>7</v>
      </c>
      <c r="N101" s="435" t="n">
        <v>0</v>
      </c>
      <c r="O101" s="438" t="n">
        <v>5</v>
      </c>
      <c r="P101" s="369">
        <f>IF(M101=" "," ",(1+(M101+N101+O101)/100))</f>
        <v/>
      </c>
      <c r="Q101" s="374">
        <f>IF(L101=" "," ",L101*P101)</f>
        <v/>
      </c>
    </row>
    <row r="102">
      <c r="A102" s="432" t="inlineStr">
        <is>
          <t>DD</t>
        </is>
      </c>
      <c r="B102" s="433" t="inlineStr">
        <is>
          <t>D</t>
        </is>
      </c>
      <c r="C102" s="434" t="n"/>
      <c r="D102" s="369" t="n">
        <v>0.8100000000000001</v>
      </c>
      <c r="E102" s="369" t="n">
        <v>3</v>
      </c>
      <c r="F102" s="369">
        <f>IF(D102=0," ",D102*E102)</f>
        <v/>
      </c>
      <c r="G102" s="435" t="n">
        <v>1</v>
      </c>
      <c r="H102" s="436" t="n"/>
      <c r="I102" s="369">
        <f>IF(F102=" "," ",F102*G102-H102)</f>
        <v/>
      </c>
      <c r="J102" s="369" t="n">
        <v>0.4</v>
      </c>
      <c r="K102" s="435" t="n">
        <v>23</v>
      </c>
      <c r="L102" s="372">
        <f>IF(I102=" "," ",I102*J102*K102)</f>
        <v/>
      </c>
      <c r="M102" s="438" t="n">
        <v>7</v>
      </c>
      <c r="N102" s="435" t="n">
        <v>0</v>
      </c>
      <c r="O102" s="438" t="n">
        <v>0</v>
      </c>
      <c r="P102" s="369">
        <f>IF(M102=" "," ",(1+(M102+N102+O102)/100))</f>
        <v/>
      </c>
      <c r="Q102" s="374">
        <f>IF(L102=" "," ",L102*P102)</f>
        <v/>
      </c>
    </row>
    <row r="103">
      <c r="A103" s="432" t="inlineStr">
        <is>
          <t>İD</t>
        </is>
      </c>
      <c r="B103" s="433" t="n"/>
      <c r="C103" s="434" t="n"/>
      <c r="D103" s="369" t="n">
        <v>2.86</v>
      </c>
      <c r="E103" s="369" t="n">
        <v>3</v>
      </c>
      <c r="F103" s="369">
        <f>IF(D103=0," ",D103*E103)</f>
        <v/>
      </c>
      <c r="G103" s="435" t="n">
        <v>1</v>
      </c>
      <c r="H103" s="436" t="n"/>
      <c r="I103" s="369">
        <f>IF(F103=" "," ",F103*G103-H103)</f>
        <v/>
      </c>
      <c r="J103" s="369" t="n">
        <v>0.8139999999999999</v>
      </c>
      <c r="K103" s="435" t="n">
        <v>5</v>
      </c>
      <c r="L103" s="372">
        <f>IF(I103=" "," ",I103*J103*K103)</f>
        <v/>
      </c>
      <c r="M103" s="438" t="n">
        <v>7</v>
      </c>
      <c r="N103" s="435" t="n">
        <v>0</v>
      </c>
      <c r="O103" s="438" t="n">
        <v>0</v>
      </c>
      <c r="P103" s="369">
        <f>IF(M103=" "," ",(1+(M103+N103+O103)/100))</f>
        <v/>
      </c>
      <c r="Q103" s="374">
        <f>IF(L103=" "," ",L103*P103)</f>
        <v/>
      </c>
    </row>
    <row r="104">
      <c r="A104" s="432" t="inlineStr">
        <is>
          <t>Ta</t>
        </is>
      </c>
      <c r="B104" s="433" t="n"/>
      <c r="C104" s="434" t="n"/>
      <c r="D104" s="369" t="n">
        <v>12.68</v>
      </c>
      <c r="E104" s="369" t="n">
        <v>1</v>
      </c>
      <c r="F104" s="369">
        <f>IF(D104=0," ",D104*E104)</f>
        <v/>
      </c>
      <c r="G104" s="435" t="n">
        <v>1</v>
      </c>
      <c r="H104" s="436" t="n"/>
      <c r="I104" s="369">
        <f>IF(F104=" "," ",F104*G104-H104)</f>
        <v/>
      </c>
      <c r="J104" s="369" t="n">
        <v>0.3</v>
      </c>
      <c r="K104" s="435" t="n">
        <v>23</v>
      </c>
      <c r="L104" s="372">
        <f>IF(I104=" "," ",I104*J104*K104)</f>
        <v/>
      </c>
      <c r="M104" s="438" t="n">
        <v>7</v>
      </c>
      <c r="N104" s="435" t="n">
        <v>0</v>
      </c>
      <c r="O104" s="438" t="n">
        <v>0</v>
      </c>
      <c r="P104" s="369">
        <f>IF(M104=" "," ",(1+(M104+N104+O104)/100))</f>
        <v/>
      </c>
      <c r="Q104" s="374">
        <f>IF(L104=" "," ",L104*P104)</f>
        <v/>
      </c>
    </row>
    <row r="105">
      <c r="A105" s="441" t="n"/>
      <c r="B105" s="442" t="n"/>
      <c r="C105" s="442" t="n"/>
      <c r="D105" s="378" t="n"/>
      <c r="E105" s="378" t="n"/>
      <c r="F105" s="378" t="n"/>
      <c r="G105" s="443" t="n"/>
      <c r="H105" s="378" t="n"/>
      <c r="I105" s="378" t="n"/>
      <c r="J105" s="378" t="n"/>
      <c r="K105" s="443" t="n"/>
      <c r="L105" s="380" t="n"/>
      <c r="M105" s="473" t="n"/>
      <c r="N105" s="473" t="n"/>
      <c r="O105" s="473" t="n"/>
      <c r="P105" s="382" t="n"/>
      <c r="Q105" s="383">
        <f>SUM(Q100:Q104)</f>
        <v/>
      </c>
    </row>
    <row r="106">
      <c r="A106" s="445" t="n"/>
      <c r="B106" s="446" t="n"/>
      <c r="C106" s="446" t="n"/>
      <c r="D106" s="447" t="n"/>
      <c r="E106" s="448" t="n"/>
      <c r="F106" s="388" t="n"/>
      <c r="G106" s="396" t="n"/>
      <c r="H106" s="388" t="n"/>
      <c r="I106" s="391" t="n"/>
      <c r="J106" s="449" t="inlineStr">
        <is>
          <t>Qs=</t>
        </is>
      </c>
      <c r="K106" s="391" t="inlineStr">
        <is>
          <t>a</t>
        </is>
      </c>
      <c r="L106" s="388" t="inlineStr">
        <is>
          <t>L</t>
        </is>
      </c>
      <c r="M106" s="396" t="inlineStr">
        <is>
          <t>R</t>
        </is>
      </c>
      <c r="N106" s="450" t="inlineStr">
        <is>
          <t>H</t>
        </is>
      </c>
      <c r="O106" s="451" t="inlineStr">
        <is>
          <t>D  T</t>
        </is>
      </c>
      <c r="P106" s="396" t="inlineStr">
        <is>
          <t>Ze</t>
        </is>
      </c>
      <c r="Q106" s="397" t="n"/>
    </row>
    <row r="107">
      <c r="A107" s="474" t="n"/>
      <c r="C107" s="411" t="n"/>
      <c r="D107" s="411" t="n"/>
      <c r="E107" s="475" t="n"/>
      <c r="F107" s="402" t="n"/>
      <c r="G107" s="476" t="n"/>
      <c r="H107" s="477" t="n"/>
      <c r="I107" s="405" t="n"/>
      <c r="J107" s="455" t="inlineStr">
        <is>
          <t>Qs  =</t>
        </is>
      </c>
      <c r="K107" s="382" t="n">
        <v>2</v>
      </c>
      <c r="L107" s="382">
        <f>(D101+E101)*2*G101</f>
        <v/>
      </c>
      <c r="M107" s="382" t="n">
        <v>0.9</v>
      </c>
      <c r="N107" s="382" t="n">
        <v>0.67</v>
      </c>
      <c r="O107" s="473" t="n">
        <v>23</v>
      </c>
      <c r="P107" s="382" t="n">
        <v>1.2</v>
      </c>
      <c r="Q107" s="383">
        <f>K107*L107*M107*N107*O107*P107</f>
        <v/>
      </c>
    </row>
    <row r="108">
      <c r="A108" s="457" t="n"/>
      <c r="B108" s="458" t="n"/>
      <c r="C108" s="411" t="n"/>
      <c r="D108" s="411" t="n"/>
      <c r="E108" s="378" t="n"/>
      <c r="F108" s="256" t="n"/>
      <c r="G108" s="459" t="n"/>
      <c r="H108" s="411" t="n"/>
      <c r="I108" s="411" t="n"/>
      <c r="J108" s="411" t="n"/>
      <c r="K108" s="459" t="n"/>
      <c r="L108" s="412" t="n"/>
      <c r="M108" s="415" t="inlineStr">
        <is>
          <t xml:space="preserve">   TOPLAM ISI KAYBI =</t>
        </is>
      </c>
      <c r="N108" s="415" t="n"/>
      <c r="O108" s="478" t="n"/>
      <c r="P108" s="415" t="n"/>
      <c r="Q108" s="416">
        <f>Q105+Q107</f>
        <v/>
      </c>
    </row>
    <row r="110">
      <c r="A110" s="471" t="n"/>
      <c r="B110" s="429" t="n"/>
      <c r="C110" s="429" t="n"/>
      <c r="D110" s="429" t="n"/>
      <c r="E110" s="429" t="n"/>
      <c r="F110" s="426" t="inlineStr">
        <is>
          <t>211</t>
        </is>
      </c>
      <c r="G110" s="472" t="n"/>
      <c r="H110" s="429" t="n"/>
      <c r="I110" s="427" t="inlineStr">
        <is>
          <t>D6 SALON</t>
        </is>
      </c>
      <c r="J110" s="264" t="n"/>
      <c r="K110" s="429" t="inlineStr">
        <is>
          <t>20ºC</t>
        </is>
      </c>
      <c r="L110" s="429" t="n"/>
      <c r="M110" s="429" t="n"/>
      <c r="N110" s="429" t="n"/>
      <c r="O110" s="429" t="n"/>
      <c r="P110" s="429" t="n"/>
      <c r="Q110" s="430" t="n"/>
    </row>
    <row r="111">
      <c r="A111" s="432" t="inlineStr">
        <is>
          <t>DD</t>
        </is>
      </c>
      <c r="B111" s="433" t="inlineStr">
        <is>
          <t>D</t>
        </is>
      </c>
      <c r="C111" s="434" t="n"/>
      <c r="D111" s="369" t="n">
        <v>6.14</v>
      </c>
      <c r="E111" s="369" t="n">
        <v>3</v>
      </c>
      <c r="F111" s="369">
        <f>IF(D111=0," ",D111*E111)</f>
        <v/>
      </c>
      <c r="G111" s="435" t="n">
        <v>1</v>
      </c>
      <c r="H111" s="436">
        <f>F112*G112</f>
        <v/>
      </c>
      <c r="I111" s="369">
        <f>IF(F111=" "," ",F111*G111-H111)</f>
        <v/>
      </c>
      <c r="J111" s="369" t="n">
        <v>0.4</v>
      </c>
      <c r="K111" s="435" t="n">
        <v>23</v>
      </c>
      <c r="L111" s="372">
        <f>IF(I111=" "," ",I111*J111*K111)</f>
        <v/>
      </c>
      <c r="M111" s="438" t="n">
        <v>7</v>
      </c>
      <c r="N111" s="435" t="n">
        <v>0</v>
      </c>
      <c r="O111" s="438" t="n">
        <v>0</v>
      </c>
      <c r="P111" s="369">
        <f>IF(M111=" "," ",(1+(M111+N111+O111)/100))</f>
        <v/>
      </c>
      <c r="Q111" s="374">
        <f>IF(L111=" "," ",L111*P111)</f>
        <v/>
      </c>
    </row>
    <row r="112">
      <c r="A112" s="432" t="inlineStr">
        <is>
          <t>ÇP</t>
        </is>
      </c>
      <c r="B112" s="433" t="inlineStr">
        <is>
          <t>D</t>
        </is>
      </c>
      <c r="C112" s="434" t="n"/>
      <c r="D112" s="369" t="n">
        <v>1.5</v>
      </c>
      <c r="E112" s="369" t="n">
        <v>2.2</v>
      </c>
      <c r="F112" s="369">
        <f>IF(D112=0," ",D112*E112)</f>
        <v/>
      </c>
      <c r="G112" s="435" t="n">
        <v>1</v>
      </c>
      <c r="H112" s="436" t="n"/>
      <c r="I112" s="369">
        <f>IF(F112=" "," ",F112*G112-H112)</f>
        <v/>
      </c>
      <c r="J112" s="369" t="n">
        <v>1.8</v>
      </c>
      <c r="K112" s="435" t="n">
        <v>23</v>
      </c>
      <c r="L112" s="372">
        <f>IF(I112=" "," ",I112*J112*K112)</f>
        <v/>
      </c>
      <c r="M112" s="438" t="n">
        <v>7</v>
      </c>
      <c r="N112" s="435" t="n">
        <v>0</v>
      </c>
      <c r="O112" s="438" t="n">
        <v>0</v>
      </c>
      <c r="P112" s="369">
        <f>IF(M112=" "," ",(1+(M112+N112+O112)/100))</f>
        <v/>
      </c>
      <c r="Q112" s="374">
        <f>IF(L112=" "," ",L112*P112)</f>
        <v/>
      </c>
    </row>
    <row r="113">
      <c r="A113" s="432" t="inlineStr">
        <is>
          <t>DD</t>
        </is>
      </c>
      <c r="B113" s="433" t="inlineStr">
        <is>
          <t>G</t>
        </is>
      </c>
      <c r="C113" s="434" t="n"/>
      <c r="D113" s="369" t="n">
        <v>3.28</v>
      </c>
      <c r="E113" s="369" t="n">
        <v>3</v>
      </c>
      <c r="F113" s="369">
        <f>IF(D113=0," ",D113*E113)</f>
        <v/>
      </c>
      <c r="G113" s="435" t="n">
        <v>1</v>
      </c>
      <c r="H113" s="436">
        <f>F114*G114</f>
        <v/>
      </c>
      <c r="I113" s="369">
        <f>IF(F113=" "," ",F113*G113-H113)</f>
        <v/>
      </c>
      <c r="J113" s="369" t="n">
        <v>0.4</v>
      </c>
      <c r="K113" s="435" t="n">
        <v>23</v>
      </c>
      <c r="L113" s="372">
        <f>IF(I113=" "," ",I113*J113*K113)</f>
        <v/>
      </c>
      <c r="M113" s="438" t="n">
        <v>7</v>
      </c>
      <c r="N113" s="435" t="n">
        <v>0</v>
      </c>
      <c r="O113" s="438" t="n">
        <v>-5</v>
      </c>
      <c r="P113" s="369">
        <f>IF(M113=" "," ",(1+(M113+N113+O113)/100))</f>
        <v/>
      </c>
      <c r="Q113" s="374">
        <f>IF(L113=" "," ",L113*P113)</f>
        <v/>
      </c>
    </row>
    <row r="114">
      <c r="A114" s="432" t="inlineStr">
        <is>
          <t>ÇP</t>
        </is>
      </c>
      <c r="B114" s="433" t="inlineStr">
        <is>
          <t>G</t>
        </is>
      </c>
      <c r="C114" s="434" t="n"/>
      <c r="D114" s="369" t="n">
        <v>2</v>
      </c>
      <c r="E114" s="369" t="n">
        <v>2.2</v>
      </c>
      <c r="F114" s="369">
        <f>IF(D114=0," ",D114*E114)</f>
        <v/>
      </c>
      <c r="G114" s="435" t="n">
        <v>1</v>
      </c>
      <c r="H114" s="436" t="n"/>
      <c r="I114" s="369">
        <f>IF(F114=" "," ",F114*G114-H114)</f>
        <v/>
      </c>
      <c r="J114" s="369" t="n">
        <v>1.8</v>
      </c>
      <c r="K114" s="435" t="n">
        <v>23</v>
      </c>
      <c r="L114" s="372">
        <f>IF(I114=" "," ",I114*J114*K114)</f>
        <v/>
      </c>
      <c r="M114" s="438" t="n">
        <v>7</v>
      </c>
      <c r="N114" s="435" t="n">
        <v>0</v>
      </c>
      <c r="O114" s="438" t="n">
        <v>-5</v>
      </c>
      <c r="P114" s="369">
        <f>IF(M114=" "," ",(1+(M114+N114+O114)/100))</f>
        <v/>
      </c>
      <c r="Q114" s="374">
        <f>IF(L114=" "," ",L114*P114)</f>
        <v/>
      </c>
    </row>
    <row r="115">
      <c r="A115" s="432" t="inlineStr">
        <is>
          <t>DD</t>
        </is>
      </c>
      <c r="B115" s="433" t="inlineStr">
        <is>
          <t>B</t>
        </is>
      </c>
      <c r="C115" s="434" t="n"/>
      <c r="D115" s="369" t="n">
        <v>1.16</v>
      </c>
      <c r="E115" s="369" t="n">
        <v>3</v>
      </c>
      <c r="F115" s="369">
        <f>IF(D115=0," ",D115*E115)</f>
        <v/>
      </c>
      <c r="G115" s="435" t="n">
        <v>1</v>
      </c>
      <c r="H115" s="436" t="n"/>
      <c r="I115" s="369">
        <f>IF(F115=" "," ",F115*G115-H115)</f>
        <v/>
      </c>
      <c r="J115" s="369" t="n">
        <v>0.4</v>
      </c>
      <c r="K115" s="435" t="n">
        <v>23</v>
      </c>
      <c r="L115" s="372">
        <f>IF(I115=" "," ",I115*J115*K115)</f>
        <v/>
      </c>
      <c r="M115" s="438" t="n">
        <v>7</v>
      </c>
      <c r="N115" s="435" t="n">
        <v>0</v>
      </c>
      <c r="O115" s="438" t="n">
        <v>0</v>
      </c>
      <c r="P115" s="369">
        <f>IF(M115=" "," ",(1+(M115+N115+O115)/100))</f>
        <v/>
      </c>
      <c r="Q115" s="374">
        <f>IF(L115=" "," ",L115*P115)</f>
        <v/>
      </c>
    </row>
    <row r="116">
      <c r="A116" s="432" t="inlineStr">
        <is>
          <t>Ta</t>
        </is>
      </c>
      <c r="B116" s="433" t="n"/>
      <c r="C116" s="434" t="n"/>
      <c r="D116" s="369" t="n">
        <v>22.41</v>
      </c>
      <c r="E116" s="369" t="n">
        <v>1</v>
      </c>
      <c r="F116" s="369">
        <f>IF(D116=0," ",D116*E116)</f>
        <v/>
      </c>
      <c r="G116" s="435" t="n">
        <v>1</v>
      </c>
      <c r="H116" s="436" t="n"/>
      <c r="I116" s="369">
        <f>IF(F116=" "," ",F116*G116-H116)</f>
        <v/>
      </c>
      <c r="J116" s="369" t="n">
        <v>0.3</v>
      </c>
      <c r="K116" s="435" t="n">
        <v>23</v>
      </c>
      <c r="L116" s="372">
        <f>IF(I116=" "," ",I116*J116*K116)</f>
        <v/>
      </c>
      <c r="M116" s="438" t="n">
        <v>7</v>
      </c>
      <c r="N116" s="435" t="n">
        <v>0</v>
      </c>
      <c r="O116" s="438" t="n">
        <v>0</v>
      </c>
      <c r="P116" s="369">
        <f>IF(M116=" "," ",(1+(M116+N116+O116)/100))</f>
        <v/>
      </c>
      <c r="Q116" s="374">
        <f>IF(L116=" "," ",L116*P116)</f>
        <v/>
      </c>
    </row>
    <row r="117">
      <c r="A117" s="441" t="n"/>
      <c r="B117" s="442" t="n"/>
      <c r="C117" s="442" t="n"/>
      <c r="D117" s="378" t="n"/>
      <c r="E117" s="378" t="n"/>
      <c r="F117" s="378" t="n"/>
      <c r="G117" s="443" t="n"/>
      <c r="H117" s="378" t="n"/>
      <c r="I117" s="378" t="n"/>
      <c r="J117" s="378" t="n"/>
      <c r="K117" s="443" t="n"/>
      <c r="L117" s="380" t="n"/>
      <c r="M117" s="473" t="n"/>
      <c r="N117" s="473" t="n"/>
      <c r="O117" s="473" t="n"/>
      <c r="P117" s="382" t="n"/>
      <c r="Q117" s="383">
        <f>SUM(Q111:Q116)</f>
        <v/>
      </c>
    </row>
    <row r="118">
      <c r="A118" s="445" t="n"/>
      <c r="B118" s="446" t="n"/>
      <c r="C118" s="446" t="n"/>
      <c r="D118" s="447" t="n"/>
      <c r="E118" s="448" t="n"/>
      <c r="F118" s="388" t="n"/>
      <c r="G118" s="396" t="n"/>
      <c r="H118" s="388" t="n"/>
      <c r="I118" s="391" t="n"/>
      <c r="J118" s="449" t="inlineStr">
        <is>
          <t>Qs=</t>
        </is>
      </c>
      <c r="K118" s="391" t="inlineStr">
        <is>
          <t>a</t>
        </is>
      </c>
      <c r="L118" s="388" t="inlineStr">
        <is>
          <t>L</t>
        </is>
      </c>
      <c r="M118" s="396" t="inlineStr">
        <is>
          <t>R</t>
        </is>
      </c>
      <c r="N118" s="450" t="inlineStr">
        <is>
          <t>H</t>
        </is>
      </c>
      <c r="O118" s="451" t="inlineStr">
        <is>
          <t>D  T</t>
        </is>
      </c>
      <c r="P118" s="396" t="inlineStr">
        <is>
          <t>Ze</t>
        </is>
      </c>
      <c r="Q118" s="397" t="n"/>
    </row>
    <row r="119">
      <c r="A119" s="474" t="n"/>
      <c r="C119" s="411" t="n"/>
      <c r="D119" s="411" t="n"/>
      <c r="E119" s="475" t="n"/>
      <c r="F119" s="402" t="n"/>
      <c r="G119" s="476" t="n"/>
      <c r="H119" s="477" t="n"/>
      <c r="I119" s="405" t="n"/>
      <c r="J119" s="455" t="inlineStr">
        <is>
          <t>Qs  =</t>
        </is>
      </c>
      <c r="K119" s="382" t="n">
        <v>2</v>
      </c>
      <c r="L119" s="382">
        <f>(D112+E112)*2*G112+(D114+E114)*2*G114</f>
        <v/>
      </c>
      <c r="M119" s="382" t="n">
        <v>0.9</v>
      </c>
      <c r="N119" s="382" t="n">
        <v>0.67</v>
      </c>
      <c r="O119" s="473" t="n">
        <v>23</v>
      </c>
      <c r="P119" s="382" t="n">
        <v>1.2</v>
      </c>
      <c r="Q119" s="383">
        <f>K119*L119*M119*N119*O119*P119</f>
        <v/>
      </c>
    </row>
    <row r="120">
      <c r="A120" s="457" t="n"/>
      <c r="B120" s="458" t="n"/>
      <c r="C120" s="411" t="n"/>
      <c r="D120" s="411" t="n"/>
      <c r="E120" s="378" t="n"/>
      <c r="F120" s="256" t="n"/>
      <c r="G120" s="459" t="n"/>
      <c r="H120" s="411" t="n"/>
      <c r="I120" s="411" t="n"/>
      <c r="J120" s="411" t="n"/>
      <c r="K120" s="459" t="n"/>
      <c r="L120" s="412" t="n"/>
      <c r="M120" s="415" t="inlineStr">
        <is>
          <t xml:space="preserve">   TOPLAM ISI KAYBI =</t>
        </is>
      </c>
      <c r="N120" s="415" t="n"/>
      <c r="O120" s="478" t="n"/>
      <c r="P120" s="415" t="n"/>
      <c r="Q120" s="416">
        <f>Q117+Q119</f>
        <v/>
      </c>
    </row>
    <row r="122">
      <c r="A122" s="471" t="n"/>
      <c r="B122" s="429" t="n"/>
      <c r="C122" s="429" t="n"/>
      <c r="D122" s="429" t="n"/>
      <c r="E122" s="429" t="n"/>
      <c r="F122" s="426" t="inlineStr">
        <is>
          <t>212</t>
        </is>
      </c>
      <c r="G122" s="472" t="n"/>
      <c r="H122" s="429" t="n"/>
      <c r="I122" s="427" t="inlineStr">
        <is>
          <t>D6 MUTFAK</t>
        </is>
      </c>
      <c r="J122" s="264" t="n"/>
      <c r="K122" s="429" t="inlineStr">
        <is>
          <t>20ºC</t>
        </is>
      </c>
      <c r="L122" s="429" t="n"/>
      <c r="M122" s="429" t="n"/>
      <c r="N122" s="429" t="n"/>
      <c r="O122" s="429" t="n"/>
      <c r="P122" s="429" t="n"/>
      <c r="Q122" s="430" t="n"/>
    </row>
    <row r="123">
      <c r="A123" s="432" t="inlineStr">
        <is>
          <t>DD</t>
        </is>
      </c>
      <c r="B123" s="433" t="inlineStr">
        <is>
          <t>G</t>
        </is>
      </c>
      <c r="C123" s="434" t="n"/>
      <c r="D123" s="369" t="n">
        <v>2.7</v>
      </c>
      <c r="E123" s="369" t="n">
        <v>3</v>
      </c>
      <c r="F123" s="369">
        <f>IF(D123=0," ",D123*E123)</f>
        <v/>
      </c>
      <c r="G123" s="435" t="n">
        <v>1</v>
      </c>
      <c r="H123" s="436" t="n"/>
      <c r="I123" s="369">
        <f>IF(F123=" "," ",F123*G123-H123)</f>
        <v/>
      </c>
      <c r="J123" s="369" t="n">
        <v>0.4</v>
      </c>
      <c r="K123" s="435" t="n">
        <v>23</v>
      </c>
      <c r="L123" s="372">
        <f>IF(I123=" "," ",I123*J123*K123)</f>
        <v/>
      </c>
      <c r="M123" s="438" t="n">
        <v>7</v>
      </c>
      <c r="N123" s="435" t="n">
        <v>0</v>
      </c>
      <c r="O123" s="438" t="n">
        <v>-5</v>
      </c>
      <c r="P123" s="369">
        <f>IF(M123=" "," ",(1+(M123+N123+O123)/100))</f>
        <v/>
      </c>
      <c r="Q123" s="374">
        <f>IF(L123=" "," ",L123*P123)</f>
        <v/>
      </c>
    </row>
    <row r="124">
      <c r="A124" s="432" t="inlineStr">
        <is>
          <t>İD</t>
        </is>
      </c>
      <c r="B124" s="433" t="n"/>
      <c r="C124" s="434" t="n"/>
      <c r="D124" s="369" t="n">
        <v>3.4</v>
      </c>
      <c r="E124" s="369" t="n">
        <v>3</v>
      </c>
      <c r="F124" s="369">
        <f>IF(D124=0," ",D124*E124)</f>
        <v/>
      </c>
      <c r="G124" s="435" t="n">
        <v>1</v>
      </c>
      <c r="H124" s="436" t="n"/>
      <c r="I124" s="369">
        <f>IF(F124=" "," ",F124*G124-H124)</f>
        <v/>
      </c>
      <c r="J124" s="369" t="n">
        <v>0.8139999999999999</v>
      </c>
      <c r="K124" s="435" t="n">
        <v>10</v>
      </c>
      <c r="L124" s="372">
        <f>IF(I124=" "," ",I124*J124*K124)</f>
        <v/>
      </c>
      <c r="M124" s="438" t="n">
        <v>7</v>
      </c>
      <c r="N124" s="435" t="n">
        <v>0</v>
      </c>
      <c r="O124" s="438" t="n">
        <v>0</v>
      </c>
      <c r="P124" s="369">
        <f>IF(M124=" "," ",(1+(M124+N124+O124)/100))</f>
        <v/>
      </c>
      <c r="Q124" s="374">
        <f>IF(L124=" "," ",L124*P124)</f>
        <v/>
      </c>
    </row>
    <row r="125">
      <c r="A125" s="432" t="inlineStr">
        <is>
          <t>İD</t>
        </is>
      </c>
      <c r="B125" s="433" t="n"/>
      <c r="C125" s="434" t="n"/>
      <c r="D125" s="369" t="n">
        <v>2.8</v>
      </c>
      <c r="E125" s="369" t="n">
        <v>3</v>
      </c>
      <c r="F125" s="369">
        <f>IF(D125=0," ",D125*E125)</f>
        <v/>
      </c>
      <c r="G125" s="435" t="n">
        <v>1</v>
      </c>
      <c r="H125" s="436" t="n"/>
      <c r="I125" s="369">
        <f>IF(F125=" "," ",F125*G125-H125)</f>
        <v/>
      </c>
      <c r="J125" s="369" t="n">
        <v>0.8139999999999999</v>
      </c>
      <c r="K125" s="435" t="n">
        <v>5</v>
      </c>
      <c r="L125" s="372">
        <f>IF(I125=" "," ",I125*J125*K125)</f>
        <v/>
      </c>
      <c r="M125" s="438" t="n">
        <v>7</v>
      </c>
      <c r="N125" s="435" t="n">
        <v>0</v>
      </c>
      <c r="O125" s="438" t="n">
        <v>0</v>
      </c>
      <c r="P125" s="369">
        <f>IF(M125=" "," ",(1+(M125+N125+O125)/100))</f>
        <v/>
      </c>
      <c r="Q125" s="374">
        <f>IF(L125=" "," ",L125*P125)</f>
        <v/>
      </c>
    </row>
    <row r="126">
      <c r="A126" s="432" t="inlineStr">
        <is>
          <t>Ta</t>
        </is>
      </c>
      <c r="B126" s="433" t="n"/>
      <c r="C126" s="434" t="n"/>
      <c r="D126" s="369" t="n">
        <v>9.52</v>
      </c>
      <c r="E126" s="369" t="n">
        <v>1</v>
      </c>
      <c r="F126" s="369">
        <f>IF(D126=0," ",D126*E126)</f>
        <v/>
      </c>
      <c r="G126" s="435" t="n">
        <v>1</v>
      </c>
      <c r="H126" s="436" t="n"/>
      <c r="I126" s="369">
        <f>IF(F126=" "," ",F126*G126-H126)</f>
        <v/>
      </c>
      <c r="J126" s="369" t="n">
        <v>0.3</v>
      </c>
      <c r="K126" s="435" t="n">
        <v>23</v>
      </c>
      <c r="L126" s="372">
        <f>IF(I126=" "," ",I126*J126*K126)</f>
        <v/>
      </c>
      <c r="M126" s="438" t="n">
        <v>7</v>
      </c>
      <c r="N126" s="435" t="n">
        <v>0</v>
      </c>
      <c r="O126" s="438" t="n">
        <v>0</v>
      </c>
      <c r="P126" s="369">
        <f>IF(M126=" "," ",(1+(M126+N126+O126)/100))</f>
        <v/>
      </c>
      <c r="Q126" s="374">
        <f>IF(L126=" "," ",L126*P126)</f>
        <v/>
      </c>
    </row>
    <row r="127">
      <c r="A127" s="441" t="n"/>
      <c r="B127" s="442" t="n"/>
      <c r="C127" s="442" t="n"/>
      <c r="D127" s="378" t="n"/>
      <c r="E127" s="378" t="n"/>
      <c r="F127" s="378" t="n"/>
      <c r="G127" s="443" t="n"/>
      <c r="H127" s="378" t="n"/>
      <c r="I127" s="378" t="n"/>
      <c r="J127" s="378" t="n"/>
      <c r="K127" s="443" t="n"/>
      <c r="L127" s="380" t="n"/>
      <c r="M127" s="473" t="n"/>
      <c r="N127" s="473" t="n"/>
      <c r="O127" s="473" t="n"/>
      <c r="P127" s="382" t="n"/>
      <c r="Q127" s="383">
        <f>SUM(Q123:Q126)</f>
        <v/>
      </c>
    </row>
    <row r="128">
      <c r="A128" s="445" t="n"/>
      <c r="B128" s="446" t="n"/>
      <c r="C128" s="446" t="n"/>
      <c r="D128" s="447" t="n"/>
      <c r="E128" s="448" t="n"/>
      <c r="F128" s="388" t="n"/>
      <c r="G128" s="396" t="n"/>
      <c r="H128" s="388" t="n"/>
      <c r="I128" s="391" t="n"/>
      <c r="J128" s="449" t="inlineStr">
        <is>
          <t>Qs=</t>
        </is>
      </c>
      <c r="K128" s="391" t="inlineStr">
        <is>
          <t>a</t>
        </is>
      </c>
      <c r="L128" s="388" t="inlineStr">
        <is>
          <t>L</t>
        </is>
      </c>
      <c r="M128" s="396" t="inlineStr">
        <is>
          <t>R</t>
        </is>
      </c>
      <c r="N128" s="450" t="inlineStr">
        <is>
          <t>H</t>
        </is>
      </c>
      <c r="O128" s="451" t="inlineStr">
        <is>
          <t>D  T</t>
        </is>
      </c>
      <c r="P128" s="396" t="inlineStr">
        <is>
          <t>Ze</t>
        </is>
      </c>
      <c r="Q128" s="397" t="n"/>
    </row>
    <row r="129">
      <c r="A129" s="474" t="n"/>
      <c r="C129" s="411" t="n"/>
      <c r="D129" s="411" t="n"/>
      <c r="E129" s="475" t="n"/>
      <c r="F129" s="402" t="n"/>
      <c r="G129" s="476" t="n"/>
      <c r="H129" s="477" t="n"/>
      <c r="I129" s="405" t="n"/>
      <c r="J129" s="455" t="inlineStr">
        <is>
          <t>Qs  =</t>
        </is>
      </c>
      <c r="K129" s="382" t="n">
        <v>2</v>
      </c>
      <c r="L129" s="382" t="n">
        <v>0</v>
      </c>
      <c r="M129" s="382" t="n">
        <v>0.9</v>
      </c>
      <c r="N129" s="382" t="n">
        <v>0.67</v>
      </c>
      <c r="O129" s="473" t="n">
        <v>23</v>
      </c>
      <c r="P129" s="382" t="n">
        <v>1.2</v>
      </c>
      <c r="Q129" s="383">
        <f>K129*L129*M129*N129*O129*P129</f>
        <v/>
      </c>
    </row>
    <row r="130">
      <c r="A130" s="457" t="n"/>
      <c r="B130" s="458" t="n"/>
      <c r="C130" s="411" t="n"/>
      <c r="D130" s="411" t="n"/>
      <c r="E130" s="378" t="n"/>
      <c r="F130" s="256" t="n"/>
      <c r="G130" s="459" t="n"/>
      <c r="H130" s="411" t="n"/>
      <c r="I130" s="411" t="n"/>
      <c r="J130" s="411" t="n"/>
      <c r="K130" s="459" t="n"/>
      <c r="L130" s="412" t="n"/>
      <c r="M130" s="415" t="inlineStr">
        <is>
          <t xml:space="preserve">   TOPLAM ISI KAYBI =</t>
        </is>
      </c>
      <c r="N130" s="415" t="n"/>
      <c r="O130" s="478" t="n"/>
      <c r="P130" s="415" t="n"/>
      <c r="Q130" s="416">
        <f>Q127+Q129</f>
        <v/>
      </c>
    </row>
    <row r="132">
      <c r="A132" s="471" t="n"/>
      <c r="B132" s="429" t="n"/>
      <c r="C132" s="429" t="n"/>
      <c r="D132" s="429" t="n"/>
      <c r="E132" s="429" t="n"/>
      <c r="F132" s="426" t="inlineStr">
        <is>
          <t>213</t>
        </is>
      </c>
      <c r="G132" s="472" t="n"/>
      <c r="H132" s="429" t="n"/>
      <c r="I132" s="427" t="inlineStr">
        <is>
          <t>D6 BANYO-WC</t>
        </is>
      </c>
      <c r="J132" s="264" t="n"/>
      <c r="K132" s="429" t="inlineStr">
        <is>
          <t>24ºC</t>
        </is>
      </c>
      <c r="L132" s="429" t="n"/>
      <c r="M132" s="429" t="n"/>
      <c r="N132" s="429" t="n"/>
      <c r="O132" s="429" t="n"/>
      <c r="P132" s="429" t="n"/>
      <c r="Q132" s="430" t="n"/>
    </row>
    <row r="133">
      <c r="A133" s="432" t="inlineStr">
        <is>
          <t>İD</t>
        </is>
      </c>
      <c r="B133" s="433" t="n"/>
      <c r="C133" s="434" t="n"/>
      <c r="D133" s="369" t="n">
        <v>1.82</v>
      </c>
      <c r="E133" s="369" t="n">
        <v>3</v>
      </c>
      <c r="F133" s="369">
        <f>IF(D133=0," ",D133*E133)</f>
        <v/>
      </c>
      <c r="G133" s="435" t="n">
        <v>1</v>
      </c>
      <c r="H133" s="436" t="n"/>
      <c r="I133" s="369">
        <f>IF(F133=" "," ",F133*G133-H133)</f>
        <v/>
      </c>
      <c r="J133" s="369" t="n">
        <v>0.8139999999999999</v>
      </c>
      <c r="K133" s="435" t="n">
        <v>14</v>
      </c>
      <c r="L133" s="372">
        <f>IF(I133=" "," ",I133*J133*K133)</f>
        <v/>
      </c>
      <c r="M133" s="438" t="n">
        <v>7</v>
      </c>
      <c r="N133" s="435" t="n">
        <v>0</v>
      </c>
      <c r="O133" s="438" t="n">
        <v>0</v>
      </c>
      <c r="P133" s="369">
        <f>IF(M133=" "," ",(1+(M133+N133+O133)/100))</f>
        <v/>
      </c>
      <c r="Q133" s="374">
        <f>IF(L133=" "," ",L133*P133)</f>
        <v/>
      </c>
    </row>
    <row r="134">
      <c r="A134" s="432" t="inlineStr">
        <is>
          <t>İD</t>
        </is>
      </c>
      <c r="B134" s="433" t="n"/>
      <c r="C134" s="434" t="n"/>
      <c r="D134" s="369" t="n">
        <v>5.58</v>
      </c>
      <c r="E134" s="369" t="n">
        <v>3</v>
      </c>
      <c r="F134" s="369">
        <f>IF(D134=0," ",D134*E134)</f>
        <v/>
      </c>
      <c r="G134" s="435" t="n">
        <v>1</v>
      </c>
      <c r="H134" s="436" t="n"/>
      <c r="I134" s="369">
        <f>IF(F134=" "," ",F134*G134-H134)</f>
        <v/>
      </c>
      <c r="J134" s="369" t="n">
        <v>0.8139999999999999</v>
      </c>
      <c r="K134" s="435" t="n">
        <v>9</v>
      </c>
      <c r="L134" s="372">
        <f>IF(I134=" "," ",I134*J134*K134)</f>
        <v/>
      </c>
      <c r="M134" s="438" t="n">
        <v>7</v>
      </c>
      <c r="N134" s="435" t="n">
        <v>0</v>
      </c>
      <c r="O134" s="438" t="n">
        <v>0</v>
      </c>
      <c r="P134" s="369">
        <f>IF(M134=" "," ",(1+(M134+N134+O134)/100))</f>
        <v/>
      </c>
      <c r="Q134" s="374">
        <f>IF(L134=" "," ",L134*P134)</f>
        <v/>
      </c>
    </row>
    <row r="135">
      <c r="A135" s="432" t="inlineStr">
        <is>
          <t>Ta</t>
        </is>
      </c>
      <c r="B135" s="433" t="n"/>
      <c r="C135" s="434" t="n"/>
      <c r="D135" s="369" t="n">
        <v>4.06</v>
      </c>
      <c r="E135" s="369" t="n">
        <v>1</v>
      </c>
      <c r="F135" s="369">
        <f>IF(D135=0," ",D135*E135)</f>
        <v/>
      </c>
      <c r="G135" s="435" t="n">
        <v>1</v>
      </c>
      <c r="H135" s="436" t="n"/>
      <c r="I135" s="369">
        <f>IF(F135=" "," ",F135*G135-H135)</f>
        <v/>
      </c>
      <c r="J135" s="369" t="n">
        <v>0.3</v>
      </c>
      <c r="K135" s="435" t="n">
        <v>27</v>
      </c>
      <c r="L135" s="372">
        <f>IF(I135=" "," ",I135*J135*K135)</f>
        <v/>
      </c>
      <c r="M135" s="438" t="n">
        <v>7</v>
      </c>
      <c r="N135" s="435" t="n">
        <v>0</v>
      </c>
      <c r="O135" s="438" t="n">
        <v>0</v>
      </c>
      <c r="P135" s="369">
        <f>IF(M135=" "," ",(1+(M135+N135+O135)/100))</f>
        <v/>
      </c>
      <c r="Q135" s="374">
        <f>IF(L135=" "," ",L135*P135)</f>
        <v/>
      </c>
    </row>
    <row r="136">
      <c r="A136" s="441" t="n"/>
      <c r="B136" s="442" t="n"/>
      <c r="C136" s="442" t="n"/>
      <c r="D136" s="378" t="n"/>
      <c r="E136" s="378" t="n"/>
      <c r="F136" s="378" t="n"/>
      <c r="G136" s="443" t="n"/>
      <c r="H136" s="378" t="n"/>
      <c r="I136" s="378" t="n"/>
      <c r="J136" s="378" t="n"/>
      <c r="K136" s="443" t="n"/>
      <c r="L136" s="380" t="n"/>
      <c r="M136" s="473" t="n"/>
      <c r="N136" s="473" t="n"/>
      <c r="O136" s="473" t="n"/>
      <c r="P136" s="382" t="n"/>
      <c r="Q136" s="383">
        <f>SUM(Q133:Q135)</f>
        <v/>
      </c>
    </row>
    <row r="137">
      <c r="A137" s="445" t="n"/>
      <c r="B137" s="446" t="n"/>
      <c r="C137" s="446" t="n"/>
      <c r="D137" s="447" t="n"/>
      <c r="E137" s="448" t="n"/>
      <c r="F137" s="388" t="n"/>
      <c r="G137" s="396" t="n"/>
      <c r="H137" s="388" t="n"/>
      <c r="I137" s="391" t="n"/>
      <c r="J137" s="449" t="inlineStr">
        <is>
          <t>Qs=</t>
        </is>
      </c>
      <c r="K137" s="391" t="inlineStr">
        <is>
          <t>a</t>
        </is>
      </c>
      <c r="L137" s="388" t="inlineStr">
        <is>
          <t>L</t>
        </is>
      </c>
      <c r="M137" s="396" t="inlineStr">
        <is>
          <t>R</t>
        </is>
      </c>
      <c r="N137" s="450" t="inlineStr">
        <is>
          <t>H</t>
        </is>
      </c>
      <c r="O137" s="451" t="inlineStr">
        <is>
          <t>D  T</t>
        </is>
      </c>
      <c r="P137" s="396" t="inlineStr">
        <is>
          <t>Ze</t>
        </is>
      </c>
      <c r="Q137" s="397" t="n"/>
    </row>
    <row r="138">
      <c r="A138" s="474" t="n"/>
      <c r="C138" s="411" t="n"/>
      <c r="D138" s="411" t="n"/>
      <c r="E138" s="475" t="n"/>
      <c r="F138" s="402" t="n"/>
      <c r="G138" s="476" t="n"/>
      <c r="H138" s="477" t="n"/>
      <c r="I138" s="405" t="n"/>
      <c r="J138" s="455" t="inlineStr">
        <is>
          <t>Qs  =</t>
        </is>
      </c>
      <c r="K138" s="382" t="n">
        <v>2</v>
      </c>
      <c r="L138" s="382" t="n">
        <v>0</v>
      </c>
      <c r="M138" s="382" t="n">
        <v>0.9</v>
      </c>
      <c r="N138" s="382" t="n">
        <v>0.67</v>
      </c>
      <c r="O138" s="473" t="n">
        <v>27</v>
      </c>
      <c r="P138" s="382" t="n">
        <v>1.2</v>
      </c>
      <c r="Q138" s="383">
        <f>K138*L138*M138*N138*O138*P138</f>
        <v/>
      </c>
    </row>
    <row r="139">
      <c r="A139" s="457" t="n"/>
      <c r="B139" s="458" t="n"/>
      <c r="C139" s="411" t="n"/>
      <c r="D139" s="411" t="n"/>
      <c r="E139" s="378" t="n"/>
      <c r="F139" s="256" t="n"/>
      <c r="G139" s="459" t="n"/>
      <c r="H139" s="411" t="n"/>
      <c r="I139" s="411" t="n"/>
      <c r="J139" s="411" t="n"/>
      <c r="K139" s="459" t="n"/>
      <c r="L139" s="412" t="n"/>
      <c r="M139" s="415" t="inlineStr">
        <is>
          <t xml:space="preserve">   TOPLAM ISI KAYBI =</t>
        </is>
      </c>
      <c r="N139" s="415" t="n"/>
      <c r="O139" s="478" t="n"/>
      <c r="P139" s="415" t="n"/>
      <c r="Q139" s="416">
        <f>Q136+Q138</f>
        <v/>
      </c>
    </row>
    <row r="141">
      <c r="A141" s="471" t="n"/>
      <c r="B141" s="429" t="n"/>
      <c r="C141" s="429" t="n"/>
      <c r="D141" s="429" t="n"/>
      <c r="E141" s="429" t="n"/>
      <c r="F141" s="426" t="inlineStr">
        <is>
          <t>214</t>
        </is>
      </c>
      <c r="G141" s="472" t="n"/>
      <c r="H141" s="429" t="n"/>
      <c r="I141" s="427" t="inlineStr">
        <is>
          <t>D6 BANYO-WC</t>
        </is>
      </c>
      <c r="J141" s="264" t="n"/>
      <c r="K141" s="429" t="inlineStr">
        <is>
          <t>24ºC</t>
        </is>
      </c>
      <c r="L141" s="429" t="n"/>
      <c r="M141" s="429" t="n"/>
      <c r="N141" s="429" t="n"/>
      <c r="O141" s="429" t="n"/>
      <c r="P141" s="429" t="n"/>
      <c r="Q141" s="430" t="n"/>
    </row>
    <row r="142">
      <c r="A142" s="432" t="inlineStr">
        <is>
          <t>İD</t>
        </is>
      </c>
      <c r="B142" s="433" t="n"/>
      <c r="C142" s="434" t="n"/>
      <c r="D142" s="369" t="n">
        <v>1.76</v>
      </c>
      <c r="E142" s="369" t="n">
        <v>3</v>
      </c>
      <c r="F142" s="369">
        <f>IF(D142=0," ",D142*E142)</f>
        <v/>
      </c>
      <c r="G142" s="435" t="n">
        <v>1</v>
      </c>
      <c r="H142" s="436" t="n"/>
      <c r="I142" s="369">
        <f>IF(F142=" "," ",F142*G142-H142)</f>
        <v/>
      </c>
      <c r="J142" s="369" t="n">
        <v>0.8139999999999999</v>
      </c>
      <c r="K142" s="435" t="n">
        <v>9</v>
      </c>
      <c r="L142" s="372">
        <f>IF(I142=" "," ",I142*J142*K142)</f>
        <v/>
      </c>
      <c r="M142" s="438" t="n">
        <v>7</v>
      </c>
      <c r="N142" s="435" t="n">
        <v>0</v>
      </c>
      <c r="O142" s="438" t="n">
        <v>0</v>
      </c>
      <c r="P142" s="369">
        <f>IF(M142=" "," ",(1+(M142+N142+O142)/100))</f>
        <v/>
      </c>
      <c r="Q142" s="374">
        <f>IF(L142=" "," ",L142*P142)</f>
        <v/>
      </c>
    </row>
    <row r="143">
      <c r="A143" s="432" t="inlineStr">
        <is>
          <t>İD</t>
        </is>
      </c>
      <c r="B143" s="433" t="n"/>
      <c r="C143" s="434" t="n"/>
      <c r="D143" s="369" t="n">
        <v>1.16</v>
      </c>
      <c r="E143" s="369" t="n">
        <v>3</v>
      </c>
      <c r="F143" s="369">
        <f>IF(D143=0," ",D143*E143)</f>
        <v/>
      </c>
      <c r="G143" s="435" t="n">
        <v>1</v>
      </c>
      <c r="H143" s="436" t="n"/>
      <c r="I143" s="369">
        <f>IF(F143=" "," ",F143*G143-H143)</f>
        <v/>
      </c>
      <c r="J143" s="369" t="n">
        <v>0.8139999999999999</v>
      </c>
      <c r="K143" s="435" t="n">
        <v>4</v>
      </c>
      <c r="L143" s="372">
        <f>IF(I143=" "," ",I143*J143*K143)</f>
        <v/>
      </c>
      <c r="M143" s="438" t="n">
        <v>7</v>
      </c>
      <c r="N143" s="435" t="n">
        <v>0</v>
      </c>
      <c r="O143" s="438" t="n">
        <v>0</v>
      </c>
      <c r="P143" s="369">
        <f>IF(M143=" "," ",(1+(M143+N143+O143)/100))</f>
        <v/>
      </c>
      <c r="Q143" s="374">
        <f>IF(L143=" "," ",L143*P143)</f>
        <v/>
      </c>
    </row>
    <row r="144">
      <c r="A144" s="432" t="inlineStr">
        <is>
          <t>Ta</t>
        </is>
      </c>
      <c r="B144" s="433" t="n"/>
      <c r="C144" s="434" t="n"/>
      <c r="D144" s="369" t="n">
        <v>2.41</v>
      </c>
      <c r="E144" s="369" t="n">
        <v>1</v>
      </c>
      <c r="F144" s="369">
        <f>IF(D144=0," ",D144*E144)</f>
        <v/>
      </c>
      <c r="G144" s="435" t="n">
        <v>1</v>
      </c>
      <c r="H144" s="436" t="n"/>
      <c r="I144" s="369">
        <f>IF(F144=" "," ",F144*G144-H144)</f>
        <v/>
      </c>
      <c r="J144" s="369" t="n">
        <v>0.3</v>
      </c>
      <c r="K144" s="435" t="n">
        <v>27</v>
      </c>
      <c r="L144" s="372">
        <f>IF(I144=" "," ",I144*J144*K144)</f>
        <v/>
      </c>
      <c r="M144" s="438" t="n">
        <v>7</v>
      </c>
      <c r="N144" s="435" t="n">
        <v>0</v>
      </c>
      <c r="O144" s="438" t="n">
        <v>0</v>
      </c>
      <c r="P144" s="369">
        <f>IF(M144=" "," ",(1+(M144+N144+O144)/100))</f>
        <v/>
      </c>
      <c r="Q144" s="374">
        <f>IF(L144=" "," ",L144*P144)</f>
        <v/>
      </c>
    </row>
    <row r="145">
      <c r="A145" s="441" t="n"/>
      <c r="B145" s="442" t="n"/>
      <c r="C145" s="442" t="n"/>
      <c r="D145" s="378" t="n"/>
      <c r="E145" s="378" t="n"/>
      <c r="F145" s="378" t="n"/>
      <c r="G145" s="443" t="n"/>
      <c r="H145" s="378" t="n"/>
      <c r="I145" s="378" t="n"/>
      <c r="J145" s="378" t="n"/>
      <c r="K145" s="443" t="n"/>
      <c r="L145" s="380" t="n"/>
      <c r="M145" s="473" t="n"/>
      <c r="N145" s="473" t="n"/>
      <c r="O145" s="473" t="n"/>
      <c r="P145" s="382" t="n"/>
      <c r="Q145" s="383">
        <f>SUM(Q142:Q144)</f>
        <v/>
      </c>
    </row>
    <row r="146">
      <c r="A146" s="445" t="n"/>
      <c r="B146" s="446" t="n"/>
      <c r="C146" s="446" t="n"/>
      <c r="D146" s="447" t="n"/>
      <c r="E146" s="448" t="n"/>
      <c r="F146" s="388" t="n"/>
      <c r="G146" s="396" t="n"/>
      <c r="H146" s="388" t="n"/>
      <c r="I146" s="391" t="n"/>
      <c r="J146" s="449" t="inlineStr">
        <is>
          <t>Qs=</t>
        </is>
      </c>
      <c r="K146" s="391" t="inlineStr">
        <is>
          <t>a</t>
        </is>
      </c>
      <c r="L146" s="388" t="inlineStr">
        <is>
          <t>L</t>
        </is>
      </c>
      <c r="M146" s="396" t="inlineStr">
        <is>
          <t>R</t>
        </is>
      </c>
      <c r="N146" s="450" t="inlineStr">
        <is>
          <t>H</t>
        </is>
      </c>
      <c r="O146" s="451" t="inlineStr">
        <is>
          <t>D  T</t>
        </is>
      </c>
      <c r="P146" s="396" t="inlineStr">
        <is>
          <t>Ze</t>
        </is>
      </c>
      <c r="Q146" s="397" t="n"/>
    </row>
    <row r="147">
      <c r="A147" s="474" t="n"/>
      <c r="C147" s="411" t="n"/>
      <c r="D147" s="411" t="n"/>
      <c r="E147" s="475" t="n"/>
      <c r="F147" s="402" t="n"/>
      <c r="G147" s="476" t="n"/>
      <c r="H147" s="477" t="n"/>
      <c r="I147" s="405" t="n"/>
      <c r="J147" s="455" t="inlineStr">
        <is>
          <t>Qs  =</t>
        </is>
      </c>
      <c r="K147" s="382" t="n">
        <v>2</v>
      </c>
      <c r="L147" s="382" t="n">
        <v>0</v>
      </c>
      <c r="M147" s="382" t="n">
        <v>0.9</v>
      </c>
      <c r="N147" s="382" t="n">
        <v>0.67</v>
      </c>
      <c r="O147" s="473" t="n">
        <v>27</v>
      </c>
      <c r="P147" s="382" t="n">
        <v>1.2</v>
      </c>
      <c r="Q147" s="383">
        <f>K147*L147*M147*N147*O147*P147</f>
        <v/>
      </c>
    </row>
    <row r="148">
      <c r="A148" s="457" t="n"/>
      <c r="B148" s="458" t="n"/>
      <c r="C148" s="411" t="n"/>
      <c r="D148" s="411" t="n"/>
      <c r="E148" s="378" t="n"/>
      <c r="F148" s="256" t="n"/>
      <c r="G148" s="459" t="n"/>
      <c r="H148" s="411" t="n"/>
      <c r="I148" s="411" t="n"/>
      <c r="J148" s="411" t="n"/>
      <c r="K148" s="459" t="n"/>
      <c r="L148" s="412" t="n"/>
      <c r="M148" s="415" t="inlineStr">
        <is>
          <t xml:space="preserve">   TOPLAM ISI KAYBI =</t>
        </is>
      </c>
      <c r="N148" s="415" t="n"/>
      <c r="O148" s="478" t="n"/>
      <c r="P148" s="415" t="n"/>
      <c r="Q148" s="416">
        <f>Q145+Q147</f>
        <v/>
      </c>
    </row>
    <row r="150">
      <c r="M150" t="inlineStr">
        <is>
          <t>2. KAT TOPLAM =</t>
        </is>
      </c>
      <c r="Q150" s="494">
        <f>Q16+Q26+Q37+Q49+Q59+Q68+Q77+Q87+Q97+Q108+Q120+Q130+Q139+Q148</f>
        <v/>
      </c>
    </row>
  </sheetData>
  <mergeCells count="4">
    <mergeCell ref="M3:P3"/>
    <mergeCell ref="E3:H3"/>
    <mergeCell ref="I3:L3"/>
    <mergeCell ref="A3:D3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1" customWidth="1" style="244" min="1" max="1"/>
    <col width="7" customWidth="1" style="244" min="2" max="2"/>
    <col width="7" customWidth="1" style="244" min="3" max="3"/>
    <col width="16" customWidth="1" style="244" min="4" max="4"/>
    <col width="7" customWidth="1" style="244" min="5" max="5"/>
    <col width="9" customWidth="1" style="244" min="6" max="6"/>
    <col width="12" customWidth="1" style="244" min="7" max="7"/>
    <col width="13" customWidth="1" style="244" min="8" max="8"/>
    <col width="11" customWidth="1" style="244" min="9" max="9"/>
    <col width="7" customWidth="1" style="244" min="10" max="10"/>
    <col width="14" customWidth="1" style="244" min="11" max="11"/>
    <col width="15" customWidth="1" style="244" min="12" max="12"/>
  </cols>
  <sheetData>
    <row r="1">
      <c r="A1" s="502" t="inlineStr">
        <is>
          <t>YERDEN ISITMA HESABI - MAHAL ISI KAYBI / BORU KAPASİTESİ (35 kcal/h · m)</t>
        </is>
      </c>
    </row>
    <row r="2">
      <c r="A2" t="inlineStr">
        <is>
          <t>ADAPEKER İNŞAAT MALZEMELERİ SAN. ve TİC. LTD. ŞTİ. - 6 BAĞIMSIZ BÖLÜMLÜ MESKEN - Ada 4653 Parsel 19 - Sakarya 3. bölge</t>
        </is>
      </c>
    </row>
    <row r="4">
      <c r="A4" s="503" t="inlineStr">
        <is>
          <t>KAT</t>
        </is>
      </c>
      <c r="B4" s="503" t="inlineStr">
        <is>
          <t>DAİRE</t>
        </is>
      </c>
      <c r="C4" s="503" t="inlineStr">
        <is>
          <t>ZON</t>
        </is>
      </c>
      <c r="D4" s="503" t="inlineStr">
        <is>
          <t>MAHAL</t>
        </is>
      </c>
      <c r="E4" s="503" t="inlineStr">
        <is>
          <t>Ti °C</t>
        </is>
      </c>
      <c r="F4" s="503" t="inlineStr">
        <is>
          <t>ALAN m²</t>
        </is>
      </c>
      <c r="G4" s="503" t="inlineStr">
        <is>
          <t>ISI KAYBI W</t>
        </is>
      </c>
      <c r="H4" s="503" t="inlineStr">
        <is>
          <t>ISI KAYBI kcal/h</t>
        </is>
      </c>
      <c r="I4" s="503" t="inlineStr">
        <is>
          <t>BORU L (m)</t>
        </is>
      </c>
      <c r="J4" s="503" t="inlineStr">
        <is>
          <t>DEVRE</t>
        </is>
      </c>
      <c r="K4" s="503" t="inlineStr">
        <is>
          <t>KAPASİTE kcal/h</t>
        </is>
      </c>
      <c r="L4" s="503" t="inlineStr">
        <is>
          <t>DURUM</t>
        </is>
      </c>
    </row>
    <row r="5">
      <c r="A5" s="504" t="inlineStr">
        <is>
          <t>ZEMİN KAT</t>
        </is>
      </c>
      <c r="B5" s="504" t="inlineStr">
        <is>
          <t>D1</t>
        </is>
      </c>
      <c r="C5" s="504" t="inlineStr">
        <is>
          <t>Z01</t>
        </is>
      </c>
      <c r="D5" s="504" t="inlineStr">
        <is>
          <t>YATAK ODASI</t>
        </is>
      </c>
      <c r="E5" s="504" t="n">
        <v>20</v>
      </c>
      <c r="F5" s="504" t="n">
        <v>10.28</v>
      </c>
      <c r="G5" s="504">
        <f>'ISI KAYBI ZEMİN KAT'!Q16</f>
        <v/>
      </c>
      <c r="H5" s="504">
        <f>ROUND(G5/1.163,1)</f>
        <v/>
      </c>
      <c r="I5" s="504" t="n">
        <v>75.33</v>
      </c>
      <c r="J5" s="504" t="n">
        <v>1</v>
      </c>
      <c r="K5" s="504">
        <f>ROUND(35*I5,0)</f>
        <v/>
      </c>
      <c r="L5" s="504">
        <f>IF(K5&gt;=H5,"YETERLİ","İLAVE GEREKLİ")</f>
        <v/>
      </c>
    </row>
    <row r="6">
      <c r="A6" s="504" t="inlineStr">
        <is>
          <t>ZEMİN KAT</t>
        </is>
      </c>
      <c r="B6" s="504" t="inlineStr">
        <is>
          <t>D1</t>
        </is>
      </c>
      <c r="C6" s="504" t="inlineStr">
        <is>
          <t>Z02</t>
        </is>
      </c>
      <c r="D6" s="504" t="inlineStr">
        <is>
          <t>YATAK ODASI</t>
        </is>
      </c>
      <c r="E6" s="504" t="n">
        <v>20</v>
      </c>
      <c r="F6" s="504" t="n">
        <v>10.07</v>
      </c>
      <c r="G6" s="504">
        <f>'ISI KAYBI ZEMİN KAT'!Q26</f>
        <v/>
      </c>
      <c r="H6" s="504">
        <f>ROUND(G6/1.163,1)</f>
        <v/>
      </c>
      <c r="I6" s="504" t="n">
        <v>73.73999999999999</v>
      </c>
      <c r="J6" s="504" t="n">
        <v>1</v>
      </c>
      <c r="K6" s="504">
        <f>ROUND(35*I6,0)</f>
        <v/>
      </c>
      <c r="L6" s="504">
        <f>IF(K6&gt;=H6,"YETERLİ","İLAVE GEREKLİ")</f>
        <v/>
      </c>
    </row>
    <row r="7">
      <c r="A7" s="504" t="inlineStr">
        <is>
          <t>ZEMİN KAT</t>
        </is>
      </c>
      <c r="B7" s="504" t="inlineStr">
        <is>
          <t>D1</t>
        </is>
      </c>
      <c r="C7" s="504" t="inlineStr">
        <is>
          <t>Z03</t>
        </is>
      </c>
      <c r="D7" s="504" t="inlineStr">
        <is>
          <t>ODA</t>
        </is>
      </c>
      <c r="E7" s="504" t="n">
        <v>20</v>
      </c>
      <c r="F7" s="504" t="n">
        <v>12.91</v>
      </c>
      <c r="G7" s="504">
        <f>'ISI KAYBI ZEMİN KAT'!Q37</f>
        <v/>
      </c>
      <c r="H7" s="504">
        <f>ROUND(G7/1.163,1)</f>
        <v/>
      </c>
      <c r="I7" s="504" t="n">
        <v>104.4</v>
      </c>
      <c r="J7" s="504" t="n">
        <v>2</v>
      </c>
      <c r="K7" s="504">
        <f>ROUND(35*I7,0)</f>
        <v/>
      </c>
      <c r="L7" s="504">
        <f>IF(K7&gt;=H7,"YETERLİ","İLAVE GEREKLİ")</f>
        <v/>
      </c>
    </row>
    <row r="8">
      <c r="A8" s="504" t="inlineStr">
        <is>
          <t>ZEMİN KAT</t>
        </is>
      </c>
      <c r="B8" s="504" t="inlineStr">
        <is>
          <t>D1</t>
        </is>
      </c>
      <c r="C8" s="504" t="inlineStr">
        <is>
          <t>Z04</t>
        </is>
      </c>
      <c r="D8" s="504" t="inlineStr">
        <is>
          <t>SALON</t>
        </is>
      </c>
      <c r="E8" s="504" t="n">
        <v>20</v>
      </c>
      <c r="F8" s="504" t="n">
        <v>23.08</v>
      </c>
      <c r="G8" s="504">
        <f>'ISI KAYBI ZEMİN KAT'!Q49</f>
        <v/>
      </c>
      <c r="H8" s="504">
        <f>ROUND(G8/1.163,1)</f>
        <v/>
      </c>
      <c r="I8" s="504" t="n">
        <v>142.75</v>
      </c>
      <c r="J8" s="504" t="n">
        <v>2</v>
      </c>
      <c r="K8" s="504">
        <f>ROUND(35*I8,0)</f>
        <v/>
      </c>
      <c r="L8" s="504">
        <f>IF(K8&gt;=H8,"YETERLİ","İLAVE GEREKLİ")</f>
        <v/>
      </c>
    </row>
    <row r="9">
      <c r="A9" s="504" t="inlineStr">
        <is>
          <t>ZEMİN KAT</t>
        </is>
      </c>
      <c r="B9" s="504" t="inlineStr">
        <is>
          <t>D1</t>
        </is>
      </c>
      <c r="C9" s="504" t="inlineStr">
        <is>
          <t>Z05</t>
        </is>
      </c>
      <c r="D9" s="504" t="inlineStr">
        <is>
          <t>MUTFAK</t>
        </is>
      </c>
      <c r="E9" s="504" t="n">
        <v>20</v>
      </c>
      <c r="F9" s="504" t="n">
        <v>9.5</v>
      </c>
      <c r="G9" s="504">
        <f>'ISI KAYBI ZEMİN KAT'!Q59</f>
        <v/>
      </c>
      <c r="H9" s="504">
        <f>ROUND(G9/1.163,1)</f>
        <v/>
      </c>
      <c r="I9" s="504" t="n">
        <v>50.05</v>
      </c>
      <c r="J9" s="504" t="n">
        <v>1</v>
      </c>
      <c r="K9" s="504">
        <f>ROUND(35*I9,0)</f>
        <v/>
      </c>
      <c r="L9" s="504">
        <f>IF(K9&gt;=H9,"YETERLİ","İLAVE GEREKLİ")</f>
        <v/>
      </c>
    </row>
    <row r="10">
      <c r="A10" s="504" t="inlineStr">
        <is>
          <t>ZEMİN KAT</t>
        </is>
      </c>
      <c r="B10" s="504" t="inlineStr">
        <is>
          <t>D1</t>
        </is>
      </c>
      <c r="C10" s="504" t="inlineStr">
        <is>
          <t>Z06</t>
        </is>
      </c>
      <c r="D10" s="504" t="inlineStr">
        <is>
          <t>BANYO-WC</t>
        </is>
      </c>
      <c r="E10" s="504" t="n">
        <v>24</v>
      </c>
      <c r="F10" s="504" t="n">
        <v>4.33</v>
      </c>
      <c r="G10" s="504">
        <f>'ISI KAYBI ZEMİN KAT'!Q68</f>
        <v/>
      </c>
      <c r="H10" s="504">
        <f>ROUND(G10/1.163,1)</f>
        <v/>
      </c>
      <c r="I10" s="504" t="n">
        <v>22.17</v>
      </c>
      <c r="J10" s="504" t="n">
        <v>1</v>
      </c>
      <c r="K10" s="504">
        <f>ROUND(35*I10,0)</f>
        <v/>
      </c>
      <c r="L10" s="504">
        <f>IF(K10&gt;=H10,"YETERLİ","İLAVE GEREKLİ")</f>
        <v/>
      </c>
    </row>
    <row r="11">
      <c r="A11" s="504" t="inlineStr">
        <is>
          <t>ZEMİN KAT</t>
        </is>
      </c>
      <c r="B11" s="504" t="inlineStr">
        <is>
          <t>D1</t>
        </is>
      </c>
      <c r="C11" s="504" t="inlineStr">
        <is>
          <t>Z07</t>
        </is>
      </c>
      <c r="D11" s="504" t="inlineStr">
        <is>
          <t>BANYO-WC</t>
        </is>
      </c>
      <c r="E11" s="504" t="n">
        <v>24</v>
      </c>
      <c r="F11" s="504" t="n">
        <v>2.6</v>
      </c>
      <c r="G11" s="504">
        <f>'ISI KAYBI ZEMİN KAT'!Q77</f>
        <v/>
      </c>
      <c r="H11" s="504">
        <f>ROUND(G11/1.163,1)</f>
        <v/>
      </c>
      <c r="I11" s="504" t="n">
        <v>26.68</v>
      </c>
      <c r="J11" s="504" t="n">
        <v>1</v>
      </c>
      <c r="K11" s="504">
        <f>ROUND(35*I11,0)</f>
        <v/>
      </c>
      <c r="L11" s="504">
        <f>IF(K11&gt;=H11,"YETERLİ","İLAVE GEREKLİ")</f>
        <v/>
      </c>
    </row>
    <row r="12">
      <c r="A12" s="504" t="inlineStr">
        <is>
          <t>ZEMİN KAT</t>
        </is>
      </c>
      <c r="B12" s="504" t="inlineStr">
        <is>
          <t>D2</t>
        </is>
      </c>
      <c r="C12" s="504" t="inlineStr">
        <is>
          <t>Z08</t>
        </is>
      </c>
      <c r="D12" s="504" t="inlineStr">
        <is>
          <t>YATAK ODASI</t>
        </is>
      </c>
      <c r="E12" s="504" t="n">
        <v>20</v>
      </c>
      <c r="F12" s="504" t="n">
        <v>10.28</v>
      </c>
      <c r="G12" s="504">
        <f>'ISI KAYBI ZEMİN KAT'!Q87</f>
        <v/>
      </c>
      <c r="H12" s="504">
        <f>ROUND(G12/1.163,1)</f>
        <v/>
      </c>
      <c r="I12" s="504" t="n">
        <v>75.33</v>
      </c>
      <c r="J12" s="504" t="n">
        <v>1</v>
      </c>
      <c r="K12" s="504">
        <f>ROUND(35*I12,0)</f>
        <v/>
      </c>
      <c r="L12" s="504">
        <f>IF(K12&gt;=H12,"YETERLİ","İLAVE GEREKLİ")</f>
        <v/>
      </c>
    </row>
    <row r="13">
      <c r="A13" s="504" t="inlineStr">
        <is>
          <t>ZEMİN KAT</t>
        </is>
      </c>
      <c r="B13" s="504" t="inlineStr">
        <is>
          <t>D2</t>
        </is>
      </c>
      <c r="C13" s="504" t="inlineStr">
        <is>
          <t>Z09</t>
        </is>
      </c>
      <c r="D13" s="504" t="inlineStr">
        <is>
          <t>YATAK ODASI</t>
        </is>
      </c>
      <c r="E13" s="504" t="n">
        <v>20</v>
      </c>
      <c r="F13" s="504" t="n">
        <v>10.07</v>
      </c>
      <c r="G13" s="504">
        <f>'ISI KAYBI ZEMİN KAT'!Q97</f>
        <v/>
      </c>
      <c r="H13" s="504">
        <f>ROUND(G13/1.163,1)</f>
        <v/>
      </c>
      <c r="I13" s="504" t="n">
        <v>73.73999999999999</v>
      </c>
      <c r="J13" s="504" t="n">
        <v>1</v>
      </c>
      <c r="K13" s="504">
        <f>ROUND(35*I13,0)</f>
        <v/>
      </c>
      <c r="L13" s="504">
        <f>IF(K13&gt;=H13,"YETERLİ","İLAVE GEREKLİ")</f>
        <v/>
      </c>
    </row>
    <row r="14">
      <c r="A14" s="504" t="inlineStr">
        <is>
          <t>ZEMİN KAT</t>
        </is>
      </c>
      <c r="B14" s="504" t="inlineStr">
        <is>
          <t>D2</t>
        </is>
      </c>
      <c r="C14" s="504" t="inlineStr">
        <is>
          <t>Z10</t>
        </is>
      </c>
      <c r="D14" s="504" t="inlineStr">
        <is>
          <t>ODA</t>
        </is>
      </c>
      <c r="E14" s="504" t="n">
        <v>20</v>
      </c>
      <c r="F14" s="504" t="n">
        <v>12.91</v>
      </c>
      <c r="G14" s="504">
        <f>'ISI KAYBI ZEMİN KAT'!Q108</f>
        <v/>
      </c>
      <c r="H14" s="504">
        <f>ROUND(G14/1.163,1)</f>
        <v/>
      </c>
      <c r="I14" s="504" t="n">
        <v>104.4</v>
      </c>
      <c r="J14" s="504" t="n">
        <v>2</v>
      </c>
      <c r="K14" s="504">
        <f>ROUND(35*I14,0)</f>
        <v/>
      </c>
      <c r="L14" s="504">
        <f>IF(K14&gt;=H14,"YETERLİ","İLAVE GEREKLİ")</f>
        <v/>
      </c>
    </row>
    <row r="15">
      <c r="A15" s="504" t="inlineStr">
        <is>
          <t>ZEMİN KAT</t>
        </is>
      </c>
      <c r="B15" s="504" t="inlineStr">
        <is>
          <t>D2</t>
        </is>
      </c>
      <c r="C15" s="504" t="inlineStr">
        <is>
          <t>Z11</t>
        </is>
      </c>
      <c r="D15" s="504" t="inlineStr">
        <is>
          <t>SALON</t>
        </is>
      </c>
      <c r="E15" s="504" t="n">
        <v>20</v>
      </c>
      <c r="F15" s="504" t="n">
        <v>23.08</v>
      </c>
      <c r="G15" s="504">
        <f>'ISI KAYBI ZEMİN KAT'!Q120</f>
        <v/>
      </c>
      <c r="H15" s="504">
        <f>ROUND(G15/1.163,1)</f>
        <v/>
      </c>
      <c r="I15" s="504" t="n">
        <v>142.75</v>
      </c>
      <c r="J15" s="504" t="n">
        <v>2</v>
      </c>
      <c r="K15" s="504">
        <f>ROUND(35*I15,0)</f>
        <v/>
      </c>
      <c r="L15" s="504">
        <f>IF(K15&gt;=H15,"YETERLİ","İLAVE GEREKLİ")</f>
        <v/>
      </c>
    </row>
    <row r="16">
      <c r="A16" s="504" t="inlineStr">
        <is>
          <t>ZEMİN KAT</t>
        </is>
      </c>
      <c r="B16" s="504" t="inlineStr">
        <is>
          <t>D2</t>
        </is>
      </c>
      <c r="C16" s="504" t="inlineStr">
        <is>
          <t>Z12</t>
        </is>
      </c>
      <c r="D16" s="504" t="inlineStr">
        <is>
          <t>MUTFAK</t>
        </is>
      </c>
      <c r="E16" s="504" t="n">
        <v>20</v>
      </c>
      <c r="F16" s="504" t="n">
        <v>9.5</v>
      </c>
      <c r="G16" s="504">
        <f>'ISI KAYBI ZEMİN KAT'!Q130</f>
        <v/>
      </c>
      <c r="H16" s="504">
        <f>ROUND(G16/1.163,1)</f>
        <v/>
      </c>
      <c r="I16" s="504" t="n">
        <v>50.05</v>
      </c>
      <c r="J16" s="504" t="n">
        <v>1</v>
      </c>
      <c r="K16" s="504">
        <f>ROUND(35*I16,0)</f>
        <v/>
      </c>
      <c r="L16" s="504">
        <f>IF(K16&gt;=H16,"YETERLİ","İLAVE GEREKLİ")</f>
        <v/>
      </c>
    </row>
    <row r="17">
      <c r="A17" s="504" t="inlineStr">
        <is>
          <t>ZEMİN KAT</t>
        </is>
      </c>
      <c r="B17" s="504" t="inlineStr">
        <is>
          <t>D2</t>
        </is>
      </c>
      <c r="C17" s="504" t="inlineStr">
        <is>
          <t>Z13</t>
        </is>
      </c>
      <c r="D17" s="504" t="inlineStr">
        <is>
          <t>BANYO-WC</t>
        </is>
      </c>
      <c r="E17" s="504" t="n">
        <v>24</v>
      </c>
      <c r="F17" s="504" t="n">
        <v>4.33</v>
      </c>
      <c r="G17" s="504">
        <f>'ISI KAYBI ZEMİN KAT'!Q139</f>
        <v/>
      </c>
      <c r="H17" s="504">
        <f>ROUND(G17/1.163,1)</f>
        <v/>
      </c>
      <c r="I17" s="504" t="n">
        <v>22.17</v>
      </c>
      <c r="J17" s="504" t="n">
        <v>1</v>
      </c>
      <c r="K17" s="504">
        <f>ROUND(35*I17,0)</f>
        <v/>
      </c>
      <c r="L17" s="504">
        <f>IF(K17&gt;=H17,"YETERLİ","İLAVE GEREKLİ")</f>
        <v/>
      </c>
    </row>
    <row r="18">
      <c r="A18" s="504" t="inlineStr">
        <is>
          <t>ZEMİN KAT</t>
        </is>
      </c>
      <c r="B18" s="504" t="inlineStr">
        <is>
          <t>D2</t>
        </is>
      </c>
      <c r="C18" s="504" t="inlineStr">
        <is>
          <t>Z14</t>
        </is>
      </c>
      <c r="D18" s="504" t="inlineStr">
        <is>
          <t>BANYO-WC</t>
        </is>
      </c>
      <c r="E18" s="504" t="n">
        <v>24</v>
      </c>
      <c r="F18" s="504" t="n">
        <v>2.6</v>
      </c>
      <c r="G18" s="504">
        <f>'ISI KAYBI ZEMİN KAT'!Q148</f>
        <v/>
      </c>
      <c r="H18" s="504">
        <f>ROUND(G18/1.163,1)</f>
        <v/>
      </c>
      <c r="I18" s="504" t="n">
        <v>26.68</v>
      </c>
      <c r="J18" s="504" t="n">
        <v>1</v>
      </c>
      <c r="K18" s="504">
        <f>ROUND(35*I18,0)</f>
        <v/>
      </c>
      <c r="L18" s="504">
        <f>IF(K18&gt;=H18,"YETERLİ","İLAVE GEREKLİ")</f>
        <v/>
      </c>
    </row>
    <row r="19">
      <c r="A19" s="504" t="inlineStr">
        <is>
          <t>1. KAT</t>
        </is>
      </c>
      <c r="B19" s="504" t="inlineStr">
        <is>
          <t>D3</t>
        </is>
      </c>
      <c r="C19" s="504" t="inlineStr">
        <is>
          <t>101</t>
        </is>
      </c>
      <c r="D19" s="504" t="inlineStr">
        <is>
          <t>YATAK ODASI</t>
        </is>
      </c>
      <c r="E19" s="504" t="n">
        <v>20</v>
      </c>
      <c r="F19" s="504" t="n">
        <v>10.28</v>
      </c>
      <c r="G19" s="504">
        <f>'ISI KAYBI 1. KAT'!Q15</f>
        <v/>
      </c>
      <c r="H19" s="504">
        <f>ROUND(G19/1.163,1)</f>
        <v/>
      </c>
      <c r="I19" s="504" t="n">
        <v>75.33</v>
      </c>
      <c r="J19" s="504" t="n">
        <v>1</v>
      </c>
      <c r="K19" s="504">
        <f>ROUND(35*I19,0)</f>
        <v/>
      </c>
      <c r="L19" s="504">
        <f>IF(K19&gt;=H19,"YETERLİ","İLAVE GEREKLİ")</f>
        <v/>
      </c>
    </row>
    <row r="20">
      <c r="A20" s="504" t="inlineStr">
        <is>
          <t>1. KAT</t>
        </is>
      </c>
      <c r="B20" s="504" t="inlineStr">
        <is>
          <t>D3</t>
        </is>
      </c>
      <c r="C20" s="504" t="inlineStr">
        <is>
          <t>102</t>
        </is>
      </c>
      <c r="D20" s="504" t="inlineStr">
        <is>
          <t>YATAK ODASI</t>
        </is>
      </c>
      <c r="E20" s="504" t="n">
        <v>20</v>
      </c>
      <c r="F20" s="504" t="n">
        <v>10.07</v>
      </c>
      <c r="G20" s="504">
        <f>'ISI KAYBI 1. KAT'!Q24</f>
        <v/>
      </c>
      <c r="H20" s="504">
        <f>ROUND(G20/1.163,1)</f>
        <v/>
      </c>
      <c r="I20" s="504" t="n">
        <v>73.73999999999999</v>
      </c>
      <c r="J20" s="504" t="n">
        <v>1</v>
      </c>
      <c r="K20" s="504">
        <f>ROUND(35*I20,0)</f>
        <v/>
      </c>
      <c r="L20" s="504">
        <f>IF(K20&gt;=H20,"YETERLİ","İLAVE GEREKLİ")</f>
        <v/>
      </c>
    </row>
    <row r="21">
      <c r="A21" s="504" t="inlineStr">
        <is>
          <t>1. KAT</t>
        </is>
      </c>
      <c r="B21" s="504" t="inlineStr">
        <is>
          <t>D3</t>
        </is>
      </c>
      <c r="C21" s="504" t="inlineStr">
        <is>
          <t>103</t>
        </is>
      </c>
      <c r="D21" s="504" t="inlineStr">
        <is>
          <t>ODA</t>
        </is>
      </c>
      <c r="E21" s="504" t="n">
        <v>20</v>
      </c>
      <c r="F21" s="504" t="n">
        <v>12.91</v>
      </c>
      <c r="G21" s="504">
        <f>'ISI KAYBI 1. KAT'!Q34</f>
        <v/>
      </c>
      <c r="H21" s="504">
        <f>ROUND(G21/1.163,1)</f>
        <v/>
      </c>
      <c r="I21" s="504" t="n">
        <v>104.4</v>
      </c>
      <c r="J21" s="504" t="n">
        <v>2</v>
      </c>
      <c r="K21" s="504">
        <f>ROUND(35*I21,0)</f>
        <v/>
      </c>
      <c r="L21" s="504">
        <f>IF(K21&gt;=H21,"YETERLİ","İLAVE GEREKLİ")</f>
        <v/>
      </c>
    </row>
    <row r="22">
      <c r="A22" s="504" t="inlineStr">
        <is>
          <t>1. KAT</t>
        </is>
      </c>
      <c r="B22" s="504" t="inlineStr">
        <is>
          <t>D3</t>
        </is>
      </c>
      <c r="C22" s="504" t="inlineStr">
        <is>
          <t>104</t>
        </is>
      </c>
      <c r="D22" s="504" t="inlineStr">
        <is>
          <t>SALON</t>
        </is>
      </c>
      <c r="E22" s="504" t="n">
        <v>20</v>
      </c>
      <c r="F22" s="504" t="n">
        <v>23.08</v>
      </c>
      <c r="G22" s="504">
        <f>'ISI KAYBI 1. KAT'!Q45</f>
        <v/>
      </c>
      <c r="H22" s="504">
        <f>ROUND(G22/1.163,1)</f>
        <v/>
      </c>
      <c r="I22" s="504" t="n">
        <v>142.75</v>
      </c>
      <c r="J22" s="504" t="n">
        <v>2</v>
      </c>
      <c r="K22" s="504">
        <f>ROUND(35*I22,0)</f>
        <v/>
      </c>
      <c r="L22" s="504">
        <f>IF(K22&gt;=H22,"YETERLİ","İLAVE GEREKLİ")</f>
        <v/>
      </c>
    </row>
    <row r="23">
      <c r="A23" s="504" t="inlineStr">
        <is>
          <t>1. KAT</t>
        </is>
      </c>
      <c r="B23" s="504" t="inlineStr">
        <is>
          <t>D3</t>
        </is>
      </c>
      <c r="C23" s="504" t="inlineStr">
        <is>
          <t>105</t>
        </is>
      </c>
      <c r="D23" s="504" t="inlineStr">
        <is>
          <t>MUTFAK</t>
        </is>
      </c>
      <c r="E23" s="504" t="n">
        <v>20</v>
      </c>
      <c r="F23" s="504" t="n">
        <v>9.5</v>
      </c>
      <c r="G23" s="504">
        <f>'ISI KAYBI 1. KAT'!Q54</f>
        <v/>
      </c>
      <c r="H23" s="504">
        <f>ROUND(G23/1.163,1)</f>
        <v/>
      </c>
      <c r="I23" s="504" t="n">
        <v>50.05</v>
      </c>
      <c r="J23" s="504" t="n">
        <v>1</v>
      </c>
      <c r="K23" s="504">
        <f>ROUND(35*I23,0)</f>
        <v/>
      </c>
      <c r="L23" s="504">
        <f>IF(K23&gt;=H23,"YETERLİ","İLAVE GEREKLİ")</f>
        <v/>
      </c>
    </row>
    <row r="24">
      <c r="A24" s="504" t="inlineStr">
        <is>
          <t>1. KAT</t>
        </is>
      </c>
      <c r="B24" s="504" t="inlineStr">
        <is>
          <t>D3</t>
        </is>
      </c>
      <c r="C24" s="504" t="inlineStr">
        <is>
          <t>106</t>
        </is>
      </c>
      <c r="D24" s="504" t="inlineStr">
        <is>
          <t>BANYO-WC</t>
        </is>
      </c>
      <c r="E24" s="504" t="n">
        <v>24</v>
      </c>
      <c r="F24" s="504" t="n">
        <v>4.33</v>
      </c>
      <c r="G24" s="504">
        <f>'ISI KAYBI 1. KAT'!Q62</f>
        <v/>
      </c>
      <c r="H24" s="504">
        <f>ROUND(G24/1.163,1)</f>
        <v/>
      </c>
      <c r="I24" s="504" t="n">
        <v>22.17</v>
      </c>
      <c r="J24" s="504" t="n">
        <v>1</v>
      </c>
      <c r="K24" s="504">
        <f>ROUND(35*I24,0)</f>
        <v/>
      </c>
      <c r="L24" s="504">
        <f>IF(K24&gt;=H24,"YETERLİ","İLAVE GEREKLİ")</f>
        <v/>
      </c>
    </row>
    <row r="25">
      <c r="A25" s="504" t="inlineStr">
        <is>
          <t>1. KAT</t>
        </is>
      </c>
      <c r="B25" s="504" t="inlineStr">
        <is>
          <t>D3</t>
        </is>
      </c>
      <c r="C25" s="504" t="inlineStr">
        <is>
          <t>107</t>
        </is>
      </c>
      <c r="D25" s="504" t="inlineStr">
        <is>
          <t>BANYO-WC</t>
        </is>
      </c>
      <c r="E25" s="504" t="n">
        <v>24</v>
      </c>
      <c r="F25" s="504" t="n">
        <v>2.6</v>
      </c>
      <c r="G25" s="504">
        <f>'ISI KAYBI 1. KAT'!Q70</f>
        <v/>
      </c>
      <c r="H25" s="504">
        <f>ROUND(G25/1.163,1)</f>
        <v/>
      </c>
      <c r="I25" s="504" t="n">
        <v>26.68</v>
      </c>
      <c r="J25" s="504" t="n">
        <v>1</v>
      </c>
      <c r="K25" s="504">
        <f>ROUND(35*I25,0)</f>
        <v/>
      </c>
      <c r="L25" s="504">
        <f>IF(K25&gt;=H25,"YETERLİ","İLAVE GEREKLİ")</f>
        <v/>
      </c>
    </row>
    <row r="26">
      <c r="A26" s="504" t="inlineStr">
        <is>
          <t>1. KAT</t>
        </is>
      </c>
      <c r="B26" s="504" t="inlineStr">
        <is>
          <t>D4</t>
        </is>
      </c>
      <c r="C26" s="504" t="inlineStr">
        <is>
          <t>108</t>
        </is>
      </c>
      <c r="D26" s="504" t="inlineStr">
        <is>
          <t>YATAK ODASI</t>
        </is>
      </c>
      <c r="E26" s="504" t="n">
        <v>20</v>
      </c>
      <c r="F26" s="504" t="n">
        <v>10.28</v>
      </c>
      <c r="G26" s="504">
        <f>'ISI KAYBI 1. KAT'!Q79</f>
        <v/>
      </c>
      <c r="H26" s="504">
        <f>ROUND(G26/1.163,1)</f>
        <v/>
      </c>
      <c r="I26" s="504" t="n">
        <v>75.33</v>
      </c>
      <c r="J26" s="504" t="n">
        <v>1</v>
      </c>
      <c r="K26" s="504">
        <f>ROUND(35*I26,0)</f>
        <v/>
      </c>
      <c r="L26" s="504">
        <f>IF(K26&gt;=H26,"YETERLİ","İLAVE GEREKLİ")</f>
        <v/>
      </c>
    </row>
    <row r="27">
      <c r="A27" s="504" t="inlineStr">
        <is>
          <t>1. KAT</t>
        </is>
      </c>
      <c r="B27" s="504" t="inlineStr">
        <is>
          <t>D4</t>
        </is>
      </c>
      <c r="C27" s="504" t="inlineStr">
        <is>
          <t>109</t>
        </is>
      </c>
      <c r="D27" s="504" t="inlineStr">
        <is>
          <t>YATAK ODASI</t>
        </is>
      </c>
      <c r="E27" s="504" t="n">
        <v>20</v>
      </c>
      <c r="F27" s="504" t="n">
        <v>10.07</v>
      </c>
      <c r="G27" s="504">
        <f>'ISI KAYBI 1. KAT'!Q88</f>
        <v/>
      </c>
      <c r="H27" s="504">
        <f>ROUND(G27/1.163,1)</f>
        <v/>
      </c>
      <c r="I27" s="504" t="n">
        <v>73.73999999999999</v>
      </c>
      <c r="J27" s="504" t="n">
        <v>1</v>
      </c>
      <c r="K27" s="504">
        <f>ROUND(35*I27,0)</f>
        <v/>
      </c>
      <c r="L27" s="504">
        <f>IF(K27&gt;=H27,"YETERLİ","İLAVE GEREKLİ")</f>
        <v/>
      </c>
    </row>
    <row r="28">
      <c r="A28" s="504" t="inlineStr">
        <is>
          <t>1. KAT</t>
        </is>
      </c>
      <c r="B28" s="504" t="inlineStr">
        <is>
          <t>D4</t>
        </is>
      </c>
      <c r="C28" s="504" t="inlineStr">
        <is>
          <t>110</t>
        </is>
      </c>
      <c r="D28" s="504" t="inlineStr">
        <is>
          <t>ODA</t>
        </is>
      </c>
      <c r="E28" s="504" t="n">
        <v>20</v>
      </c>
      <c r="F28" s="504" t="n">
        <v>12.91</v>
      </c>
      <c r="G28" s="504">
        <f>'ISI KAYBI 1. KAT'!Q98</f>
        <v/>
      </c>
      <c r="H28" s="504">
        <f>ROUND(G28/1.163,1)</f>
        <v/>
      </c>
      <c r="I28" s="504" t="n">
        <v>104.4</v>
      </c>
      <c r="J28" s="504" t="n">
        <v>2</v>
      </c>
      <c r="K28" s="504">
        <f>ROUND(35*I28,0)</f>
        <v/>
      </c>
      <c r="L28" s="504">
        <f>IF(K28&gt;=H28,"YETERLİ","İLAVE GEREKLİ")</f>
        <v/>
      </c>
    </row>
    <row r="29">
      <c r="A29" s="504" t="inlineStr">
        <is>
          <t>1. KAT</t>
        </is>
      </c>
      <c r="B29" s="504" t="inlineStr">
        <is>
          <t>D4</t>
        </is>
      </c>
      <c r="C29" s="504" t="inlineStr">
        <is>
          <t>111</t>
        </is>
      </c>
      <c r="D29" s="504" t="inlineStr">
        <is>
          <t>SALON</t>
        </is>
      </c>
      <c r="E29" s="504" t="n">
        <v>20</v>
      </c>
      <c r="F29" s="504" t="n">
        <v>23.08</v>
      </c>
      <c r="G29" s="504">
        <f>'ISI KAYBI 1. KAT'!Q109</f>
        <v/>
      </c>
      <c r="H29" s="504">
        <f>ROUND(G29/1.163,1)</f>
        <v/>
      </c>
      <c r="I29" s="504" t="n">
        <v>142.75</v>
      </c>
      <c r="J29" s="504" t="n">
        <v>2</v>
      </c>
      <c r="K29" s="504">
        <f>ROUND(35*I29,0)</f>
        <v/>
      </c>
      <c r="L29" s="504">
        <f>IF(K29&gt;=H29,"YETERLİ","İLAVE GEREKLİ")</f>
        <v/>
      </c>
    </row>
    <row r="30">
      <c r="A30" s="504" t="inlineStr">
        <is>
          <t>1. KAT</t>
        </is>
      </c>
      <c r="B30" s="504" t="inlineStr">
        <is>
          <t>D4</t>
        </is>
      </c>
      <c r="C30" s="504" t="inlineStr">
        <is>
          <t>112</t>
        </is>
      </c>
      <c r="D30" s="504" t="inlineStr">
        <is>
          <t>MUTFAK</t>
        </is>
      </c>
      <c r="E30" s="504" t="n">
        <v>20</v>
      </c>
      <c r="F30" s="504" t="n">
        <v>9.5</v>
      </c>
      <c r="G30" s="504">
        <f>'ISI KAYBI 1. KAT'!Q118</f>
        <v/>
      </c>
      <c r="H30" s="504">
        <f>ROUND(G30/1.163,1)</f>
        <v/>
      </c>
      <c r="I30" s="504" t="n">
        <v>50.05</v>
      </c>
      <c r="J30" s="504" t="n">
        <v>1</v>
      </c>
      <c r="K30" s="504">
        <f>ROUND(35*I30,0)</f>
        <v/>
      </c>
      <c r="L30" s="504">
        <f>IF(K30&gt;=H30,"YETERLİ","İLAVE GEREKLİ")</f>
        <v/>
      </c>
    </row>
    <row r="31">
      <c r="A31" s="504" t="inlineStr">
        <is>
          <t>1. KAT</t>
        </is>
      </c>
      <c r="B31" s="504" t="inlineStr">
        <is>
          <t>D4</t>
        </is>
      </c>
      <c r="C31" s="504" t="inlineStr">
        <is>
          <t>113</t>
        </is>
      </c>
      <c r="D31" s="504" t="inlineStr">
        <is>
          <t>BANYO-WC</t>
        </is>
      </c>
      <c r="E31" s="504" t="n">
        <v>24</v>
      </c>
      <c r="F31" s="504" t="n">
        <v>4.33</v>
      </c>
      <c r="G31" s="504">
        <f>'ISI KAYBI 1. KAT'!Q126</f>
        <v/>
      </c>
      <c r="H31" s="504">
        <f>ROUND(G31/1.163,1)</f>
        <v/>
      </c>
      <c r="I31" s="504" t="n">
        <v>22.17</v>
      </c>
      <c r="J31" s="504" t="n">
        <v>1</v>
      </c>
      <c r="K31" s="504">
        <f>ROUND(35*I31,0)</f>
        <v/>
      </c>
      <c r="L31" s="504">
        <f>IF(K31&gt;=H31,"YETERLİ","İLAVE GEREKLİ")</f>
        <v/>
      </c>
    </row>
    <row r="32">
      <c r="A32" s="504" t="inlineStr">
        <is>
          <t>1. KAT</t>
        </is>
      </c>
      <c r="B32" s="504" t="inlineStr">
        <is>
          <t>D4</t>
        </is>
      </c>
      <c r="C32" s="504" t="inlineStr">
        <is>
          <t>114</t>
        </is>
      </c>
      <c r="D32" s="504" t="inlineStr">
        <is>
          <t>BANYO-WC</t>
        </is>
      </c>
      <c r="E32" s="504" t="n">
        <v>24</v>
      </c>
      <c r="F32" s="504" t="n">
        <v>2.6</v>
      </c>
      <c r="G32" s="504">
        <f>'ISI KAYBI 1. KAT'!Q134</f>
        <v/>
      </c>
      <c r="H32" s="504">
        <f>ROUND(G32/1.163,1)</f>
        <v/>
      </c>
      <c r="I32" s="504" t="n">
        <v>26.68</v>
      </c>
      <c r="J32" s="504" t="n">
        <v>1</v>
      </c>
      <c r="K32" s="504">
        <f>ROUND(35*I32,0)</f>
        <v/>
      </c>
      <c r="L32" s="504">
        <f>IF(K32&gt;=H32,"YETERLİ","İLAVE GEREKLİ")</f>
        <v/>
      </c>
    </row>
    <row r="33">
      <c r="A33" s="504" t="inlineStr">
        <is>
          <t>2. KAT</t>
        </is>
      </c>
      <c r="B33" s="504" t="inlineStr">
        <is>
          <t>D5</t>
        </is>
      </c>
      <c r="C33" s="504" t="inlineStr">
        <is>
          <t>201</t>
        </is>
      </c>
      <c r="D33" s="504" t="inlineStr">
        <is>
          <t>YATAK ODASI</t>
        </is>
      </c>
      <c r="E33" s="504" t="n">
        <v>20</v>
      </c>
      <c r="F33" s="504" t="n">
        <v>10.28</v>
      </c>
      <c r="G33" s="504">
        <f>'ISI KAYBI 2. KAT'!Q16</f>
        <v/>
      </c>
      <c r="H33" s="504">
        <f>ROUND(G33/1.163,1)</f>
        <v/>
      </c>
      <c r="I33" s="504" t="n">
        <v>75.33</v>
      </c>
      <c r="J33" s="504" t="n">
        <v>1</v>
      </c>
      <c r="K33" s="504">
        <f>ROUND(35*I33,0)</f>
        <v/>
      </c>
      <c r="L33" s="504">
        <f>IF(K33&gt;=H33,"YETERLİ","İLAVE GEREKLİ")</f>
        <v/>
      </c>
    </row>
    <row r="34">
      <c r="A34" s="504" t="inlineStr">
        <is>
          <t>2. KAT</t>
        </is>
      </c>
      <c r="B34" s="504" t="inlineStr">
        <is>
          <t>D5</t>
        </is>
      </c>
      <c r="C34" s="504" t="inlineStr">
        <is>
          <t>202</t>
        </is>
      </c>
      <c r="D34" s="504" t="inlineStr">
        <is>
          <t>YATAK ODASI</t>
        </is>
      </c>
      <c r="E34" s="504" t="n">
        <v>20</v>
      </c>
      <c r="F34" s="504" t="n">
        <v>10.07</v>
      </c>
      <c r="G34" s="504">
        <f>'ISI KAYBI 2. KAT'!Q26</f>
        <v/>
      </c>
      <c r="H34" s="504">
        <f>ROUND(G34/1.163,1)</f>
        <v/>
      </c>
      <c r="I34" s="504" t="n">
        <v>73.73999999999999</v>
      </c>
      <c r="J34" s="504" t="n">
        <v>1</v>
      </c>
      <c r="K34" s="504">
        <f>ROUND(35*I34,0)</f>
        <v/>
      </c>
      <c r="L34" s="504">
        <f>IF(K34&gt;=H34,"YETERLİ","İLAVE GEREKLİ")</f>
        <v/>
      </c>
    </row>
    <row r="35">
      <c r="A35" s="504" t="inlineStr">
        <is>
          <t>2. KAT</t>
        </is>
      </c>
      <c r="B35" s="504" t="inlineStr">
        <is>
          <t>D5</t>
        </is>
      </c>
      <c r="C35" s="504" t="inlineStr">
        <is>
          <t>203</t>
        </is>
      </c>
      <c r="D35" s="504" t="inlineStr">
        <is>
          <t>ODA</t>
        </is>
      </c>
      <c r="E35" s="504" t="n">
        <v>20</v>
      </c>
      <c r="F35" s="504" t="n">
        <v>12.91</v>
      </c>
      <c r="G35" s="504">
        <f>'ISI KAYBI 2. KAT'!Q37</f>
        <v/>
      </c>
      <c r="H35" s="504">
        <f>ROUND(G35/1.163,1)</f>
        <v/>
      </c>
      <c r="I35" s="504" t="n">
        <v>104.4</v>
      </c>
      <c r="J35" s="504" t="n">
        <v>2</v>
      </c>
      <c r="K35" s="504">
        <f>ROUND(35*I35,0)</f>
        <v/>
      </c>
      <c r="L35" s="504">
        <f>IF(K35&gt;=H35,"YETERLİ","İLAVE GEREKLİ")</f>
        <v/>
      </c>
    </row>
    <row r="36">
      <c r="A36" s="504" t="inlineStr">
        <is>
          <t>2. KAT</t>
        </is>
      </c>
      <c r="B36" s="504" t="inlineStr">
        <is>
          <t>D5</t>
        </is>
      </c>
      <c r="C36" s="504" t="inlineStr">
        <is>
          <t>204</t>
        </is>
      </c>
      <c r="D36" s="504" t="inlineStr">
        <is>
          <t>SALON</t>
        </is>
      </c>
      <c r="E36" s="504" t="n">
        <v>20</v>
      </c>
      <c r="F36" s="504" t="n">
        <v>23.08</v>
      </c>
      <c r="G36" s="504">
        <f>'ISI KAYBI 2. KAT'!Q49</f>
        <v/>
      </c>
      <c r="H36" s="504">
        <f>ROUND(G36/1.163,1)</f>
        <v/>
      </c>
      <c r="I36" s="504" t="n">
        <v>142.75</v>
      </c>
      <c r="J36" s="504" t="n">
        <v>2</v>
      </c>
      <c r="K36" s="504">
        <f>ROUND(35*I36,0)</f>
        <v/>
      </c>
      <c r="L36" s="504">
        <f>IF(K36&gt;=H36,"YETERLİ","İLAVE GEREKLİ")</f>
        <v/>
      </c>
    </row>
    <row r="37">
      <c r="A37" s="504" t="inlineStr">
        <is>
          <t>2. KAT</t>
        </is>
      </c>
      <c r="B37" s="504" t="inlineStr">
        <is>
          <t>D5</t>
        </is>
      </c>
      <c r="C37" s="504" t="inlineStr">
        <is>
          <t>205</t>
        </is>
      </c>
      <c r="D37" s="504" t="inlineStr">
        <is>
          <t>MUTFAK</t>
        </is>
      </c>
      <c r="E37" s="504" t="n">
        <v>20</v>
      </c>
      <c r="F37" s="504" t="n">
        <v>9.5</v>
      </c>
      <c r="G37" s="504">
        <f>'ISI KAYBI 2. KAT'!Q59</f>
        <v/>
      </c>
      <c r="H37" s="504">
        <f>ROUND(G37/1.163,1)</f>
        <v/>
      </c>
      <c r="I37" s="504" t="n">
        <v>50.05</v>
      </c>
      <c r="J37" s="504" t="n">
        <v>1</v>
      </c>
      <c r="K37" s="504">
        <f>ROUND(35*I37,0)</f>
        <v/>
      </c>
      <c r="L37" s="504">
        <f>IF(K37&gt;=H37,"YETERLİ","İLAVE GEREKLİ")</f>
        <v/>
      </c>
    </row>
    <row r="38">
      <c r="A38" s="504" t="inlineStr">
        <is>
          <t>2. KAT</t>
        </is>
      </c>
      <c r="B38" s="504" t="inlineStr">
        <is>
          <t>D5</t>
        </is>
      </c>
      <c r="C38" s="504" t="inlineStr">
        <is>
          <t>206</t>
        </is>
      </c>
      <c r="D38" s="504" t="inlineStr">
        <is>
          <t>BANYO-WC</t>
        </is>
      </c>
      <c r="E38" s="504" t="n">
        <v>24</v>
      </c>
      <c r="F38" s="504" t="n">
        <v>4.33</v>
      </c>
      <c r="G38" s="504">
        <f>'ISI KAYBI 2. KAT'!Q68</f>
        <v/>
      </c>
      <c r="H38" s="504">
        <f>ROUND(G38/1.163,1)</f>
        <v/>
      </c>
      <c r="I38" s="504" t="n">
        <v>22.17</v>
      </c>
      <c r="J38" s="504" t="n">
        <v>1</v>
      </c>
      <c r="K38" s="504">
        <f>ROUND(35*I38,0)</f>
        <v/>
      </c>
      <c r="L38" s="504">
        <f>IF(K38&gt;=H38,"YETERLİ","İLAVE GEREKLİ")</f>
        <v/>
      </c>
    </row>
    <row r="39">
      <c r="A39" s="504" t="inlineStr">
        <is>
          <t>2. KAT</t>
        </is>
      </c>
      <c r="B39" s="504" t="inlineStr">
        <is>
          <t>D5</t>
        </is>
      </c>
      <c r="C39" s="504" t="inlineStr">
        <is>
          <t>207</t>
        </is>
      </c>
      <c r="D39" s="504" t="inlineStr">
        <is>
          <t>BANYO-WC</t>
        </is>
      </c>
      <c r="E39" s="504" t="n">
        <v>24</v>
      </c>
      <c r="F39" s="504" t="n">
        <v>2.6</v>
      </c>
      <c r="G39" s="504">
        <f>'ISI KAYBI 2. KAT'!Q77</f>
        <v/>
      </c>
      <c r="H39" s="504">
        <f>ROUND(G39/1.163,1)</f>
        <v/>
      </c>
      <c r="I39" s="504" t="n">
        <v>26.68</v>
      </c>
      <c r="J39" s="504" t="n">
        <v>1</v>
      </c>
      <c r="K39" s="504">
        <f>ROUND(35*I39,0)</f>
        <v/>
      </c>
      <c r="L39" s="504">
        <f>IF(K39&gt;=H39,"YETERLİ","İLAVE GEREKLİ")</f>
        <v/>
      </c>
    </row>
    <row r="40">
      <c r="A40" s="504" t="inlineStr">
        <is>
          <t>2. KAT</t>
        </is>
      </c>
      <c r="B40" s="504" t="inlineStr">
        <is>
          <t>D6</t>
        </is>
      </c>
      <c r="C40" s="504" t="inlineStr">
        <is>
          <t>208</t>
        </is>
      </c>
      <c r="D40" s="504" t="inlineStr">
        <is>
          <t>YATAK ODASI</t>
        </is>
      </c>
      <c r="E40" s="504" t="n">
        <v>20</v>
      </c>
      <c r="F40" s="504" t="n">
        <v>10.28</v>
      </c>
      <c r="G40" s="504">
        <f>'ISI KAYBI 2. KAT'!Q87</f>
        <v/>
      </c>
      <c r="H40" s="504">
        <f>ROUND(G40/1.163,1)</f>
        <v/>
      </c>
      <c r="I40" s="504" t="n">
        <v>75.33</v>
      </c>
      <c r="J40" s="504" t="n">
        <v>1</v>
      </c>
      <c r="K40" s="504">
        <f>ROUND(35*I40,0)</f>
        <v/>
      </c>
      <c r="L40" s="504">
        <f>IF(K40&gt;=H40,"YETERLİ","İLAVE GEREKLİ")</f>
        <v/>
      </c>
    </row>
    <row r="41">
      <c r="A41" s="504" t="inlineStr">
        <is>
          <t>2. KAT</t>
        </is>
      </c>
      <c r="B41" s="504" t="inlineStr">
        <is>
          <t>D6</t>
        </is>
      </c>
      <c r="C41" s="504" t="inlineStr">
        <is>
          <t>209</t>
        </is>
      </c>
      <c r="D41" s="504" t="inlineStr">
        <is>
          <t>YATAK ODASI</t>
        </is>
      </c>
      <c r="E41" s="504" t="n">
        <v>20</v>
      </c>
      <c r="F41" s="504" t="n">
        <v>10.07</v>
      </c>
      <c r="G41" s="504">
        <f>'ISI KAYBI 2. KAT'!Q97</f>
        <v/>
      </c>
      <c r="H41" s="504">
        <f>ROUND(G41/1.163,1)</f>
        <v/>
      </c>
      <c r="I41" s="504" t="n">
        <v>73.73999999999999</v>
      </c>
      <c r="J41" s="504" t="n">
        <v>1</v>
      </c>
      <c r="K41" s="504">
        <f>ROUND(35*I41,0)</f>
        <v/>
      </c>
      <c r="L41" s="504">
        <f>IF(K41&gt;=H41,"YETERLİ","İLAVE GEREKLİ")</f>
        <v/>
      </c>
    </row>
    <row r="42">
      <c r="A42" s="504" t="inlineStr">
        <is>
          <t>2. KAT</t>
        </is>
      </c>
      <c r="B42" s="504" t="inlineStr">
        <is>
          <t>D6</t>
        </is>
      </c>
      <c r="C42" s="504" t="inlineStr">
        <is>
          <t>210</t>
        </is>
      </c>
      <c r="D42" s="504" t="inlineStr">
        <is>
          <t>ODA</t>
        </is>
      </c>
      <c r="E42" s="504" t="n">
        <v>20</v>
      </c>
      <c r="F42" s="504" t="n">
        <v>12.91</v>
      </c>
      <c r="G42" s="504">
        <f>'ISI KAYBI 2. KAT'!Q108</f>
        <v/>
      </c>
      <c r="H42" s="504">
        <f>ROUND(G42/1.163,1)</f>
        <v/>
      </c>
      <c r="I42" s="504" t="n">
        <v>104.4</v>
      </c>
      <c r="J42" s="504" t="n">
        <v>2</v>
      </c>
      <c r="K42" s="504">
        <f>ROUND(35*I42,0)</f>
        <v/>
      </c>
      <c r="L42" s="504">
        <f>IF(K42&gt;=H42,"YETERLİ","İLAVE GEREKLİ")</f>
        <v/>
      </c>
    </row>
    <row r="43">
      <c r="A43" s="504" t="inlineStr">
        <is>
          <t>2. KAT</t>
        </is>
      </c>
      <c r="B43" s="504" t="inlineStr">
        <is>
          <t>D6</t>
        </is>
      </c>
      <c r="C43" s="504" t="inlineStr">
        <is>
          <t>211</t>
        </is>
      </c>
      <c r="D43" s="504" t="inlineStr">
        <is>
          <t>SALON</t>
        </is>
      </c>
      <c r="E43" s="504" t="n">
        <v>20</v>
      </c>
      <c r="F43" s="504" t="n">
        <v>23.08</v>
      </c>
      <c r="G43" s="504">
        <f>'ISI KAYBI 2. KAT'!Q120</f>
        <v/>
      </c>
      <c r="H43" s="504">
        <f>ROUND(G43/1.163,1)</f>
        <v/>
      </c>
      <c r="I43" s="504" t="n">
        <v>142.75</v>
      </c>
      <c r="J43" s="504" t="n">
        <v>2</v>
      </c>
      <c r="K43" s="504">
        <f>ROUND(35*I43,0)</f>
        <v/>
      </c>
      <c r="L43" s="504">
        <f>IF(K43&gt;=H43,"YETERLİ","İLAVE GEREKLİ")</f>
        <v/>
      </c>
    </row>
    <row r="44">
      <c r="A44" s="504" t="inlineStr">
        <is>
          <t>2. KAT</t>
        </is>
      </c>
      <c r="B44" s="504" t="inlineStr">
        <is>
          <t>D6</t>
        </is>
      </c>
      <c r="C44" s="504" t="inlineStr">
        <is>
          <t>212</t>
        </is>
      </c>
      <c r="D44" s="504" t="inlineStr">
        <is>
          <t>MUTFAK</t>
        </is>
      </c>
      <c r="E44" s="504" t="n">
        <v>20</v>
      </c>
      <c r="F44" s="504" t="n">
        <v>9.5</v>
      </c>
      <c r="G44" s="504">
        <f>'ISI KAYBI 2. KAT'!Q130</f>
        <v/>
      </c>
      <c r="H44" s="504">
        <f>ROUND(G44/1.163,1)</f>
        <v/>
      </c>
      <c r="I44" s="504" t="n">
        <v>50.05</v>
      </c>
      <c r="J44" s="504" t="n">
        <v>1</v>
      </c>
      <c r="K44" s="504">
        <f>ROUND(35*I44,0)</f>
        <v/>
      </c>
      <c r="L44" s="504">
        <f>IF(K44&gt;=H44,"YETERLİ","İLAVE GEREKLİ")</f>
        <v/>
      </c>
    </row>
    <row r="45">
      <c r="A45" s="504" t="inlineStr">
        <is>
          <t>2. KAT</t>
        </is>
      </c>
      <c r="B45" s="504" t="inlineStr">
        <is>
          <t>D6</t>
        </is>
      </c>
      <c r="C45" s="504" t="inlineStr">
        <is>
          <t>213</t>
        </is>
      </c>
      <c r="D45" s="504" t="inlineStr">
        <is>
          <t>BANYO-WC</t>
        </is>
      </c>
      <c r="E45" s="504" t="n">
        <v>24</v>
      </c>
      <c r="F45" s="504" t="n">
        <v>4.33</v>
      </c>
      <c r="G45" s="504">
        <f>'ISI KAYBI 2. KAT'!Q139</f>
        <v/>
      </c>
      <c r="H45" s="504">
        <f>ROUND(G45/1.163,1)</f>
        <v/>
      </c>
      <c r="I45" s="504" t="n">
        <v>22.17</v>
      </c>
      <c r="J45" s="504" t="n">
        <v>1</v>
      </c>
      <c r="K45" s="504">
        <f>ROUND(35*I45,0)</f>
        <v/>
      </c>
      <c r="L45" s="504">
        <f>IF(K45&gt;=H45,"YETERLİ","İLAVE GEREKLİ")</f>
        <v/>
      </c>
    </row>
    <row r="46">
      <c r="A46" s="504" t="inlineStr">
        <is>
          <t>2. KAT</t>
        </is>
      </c>
      <c r="B46" s="504" t="inlineStr">
        <is>
          <t>D6</t>
        </is>
      </c>
      <c r="C46" s="504" t="inlineStr">
        <is>
          <t>214</t>
        </is>
      </c>
      <c r="D46" s="504" t="inlineStr">
        <is>
          <t>BANYO-WC</t>
        </is>
      </c>
      <c r="E46" s="504" t="n">
        <v>24</v>
      </c>
      <c r="F46" s="504" t="n">
        <v>2.6</v>
      </c>
      <c r="G46" s="504">
        <f>'ISI KAYBI 2. KAT'!Q148</f>
        <v/>
      </c>
      <c r="H46" s="504">
        <f>ROUND(G46/1.163,1)</f>
        <v/>
      </c>
      <c r="I46" s="504" t="n">
        <v>26.68</v>
      </c>
      <c r="J46" s="504" t="n">
        <v>1</v>
      </c>
      <c r="K46" s="504">
        <f>ROUND(35*I46,0)</f>
        <v/>
      </c>
      <c r="L46" s="504">
        <f>IF(K46&gt;=H46,"YETERLİ","İLAVE GEREKLİ")</f>
        <v/>
      </c>
    </row>
    <row r="47">
      <c r="F47" s="505" t="inlineStr">
        <is>
          <t>TOPLAM</t>
        </is>
      </c>
      <c r="G47">
        <f>SUM(G5:G46)</f>
        <v/>
      </c>
      <c r="H47">
        <f>SUM(H5:H46)</f>
        <v/>
      </c>
      <c r="I47">
        <f>SUM(I5:I46)</f>
        <v/>
      </c>
      <c r="K47">
        <f>SUM(K5:K46)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502" t="inlineStr">
        <is>
          <t>YERDEN ISITMA DEVRE LİSTESİ (kollektör ağız sırası şemadaki gibi)</t>
        </is>
      </c>
    </row>
    <row r="3">
      <c r="A3" s="506" t="inlineStr">
        <is>
          <t>KAT</t>
        </is>
      </c>
      <c r="B3" s="506" t="inlineStr">
        <is>
          <t>DAİRE</t>
        </is>
      </c>
      <c r="C3" s="506" t="inlineStr">
        <is>
          <t>ZON</t>
        </is>
      </c>
      <c r="D3" s="506" t="inlineStr">
        <is>
          <t>MAHAL</t>
        </is>
      </c>
      <c r="E3" s="506" t="inlineStr">
        <is>
          <t>DEVRE NO</t>
        </is>
      </c>
      <c r="F3" s="506" t="inlineStr">
        <is>
          <t>L (m)</t>
        </is>
      </c>
      <c r="G3" s="506" t="inlineStr">
        <is>
          <t>ARALIK cm</t>
        </is>
      </c>
      <c r="H3" s="506" t="inlineStr">
        <is>
          <t>KAPASİTE kcal/h</t>
        </is>
      </c>
      <c r="I3" s="506" t="inlineStr">
        <is>
          <t>MAHAL PAYI kcal/h</t>
        </is>
      </c>
    </row>
    <row r="4">
      <c r="A4" s="504" t="inlineStr">
        <is>
          <t>Z</t>
        </is>
      </c>
      <c r="B4" s="504" t="inlineStr">
        <is>
          <t>D1</t>
        </is>
      </c>
      <c r="C4" s="504" t="inlineStr">
        <is>
          <t>Z01</t>
        </is>
      </c>
      <c r="D4" s="504" t="inlineStr">
        <is>
          <t>YATAK ODASI</t>
        </is>
      </c>
      <c r="E4" s="504" t="n">
        <v>1</v>
      </c>
      <c r="F4" s="504" t="n">
        <v>75.33</v>
      </c>
      <c r="G4" s="504" t="n">
        <v>15</v>
      </c>
      <c r="H4" s="504" t="n">
        <v>2636.6</v>
      </c>
      <c r="I4" s="504" t="n">
        <v>516.1</v>
      </c>
    </row>
    <row r="5">
      <c r="A5" s="504" t="inlineStr">
        <is>
          <t>Z</t>
        </is>
      </c>
      <c r="B5" s="504" t="inlineStr">
        <is>
          <t>D1</t>
        </is>
      </c>
      <c r="C5" s="504" t="inlineStr">
        <is>
          <t>Z02</t>
        </is>
      </c>
      <c r="D5" s="504" t="inlineStr">
        <is>
          <t>YATAK ODASI</t>
        </is>
      </c>
      <c r="E5" s="504" t="n">
        <v>2</v>
      </c>
      <c r="F5" s="504" t="n">
        <v>73.73999999999999</v>
      </c>
      <c r="G5" s="504" t="n">
        <v>15</v>
      </c>
      <c r="H5" s="504" t="n">
        <v>2580.9</v>
      </c>
      <c r="I5" s="504" t="n">
        <v>405.6</v>
      </c>
    </row>
    <row r="6">
      <c r="A6" s="504" t="inlineStr">
        <is>
          <t>Z</t>
        </is>
      </c>
      <c r="B6" s="504" t="inlineStr">
        <is>
          <t>D1</t>
        </is>
      </c>
      <c r="C6" s="504" t="inlineStr">
        <is>
          <t>Z03</t>
        </is>
      </c>
      <c r="D6" s="504" t="inlineStr">
        <is>
          <t>ODA</t>
        </is>
      </c>
      <c r="E6" s="504" t="n">
        <v>3</v>
      </c>
      <c r="F6" s="504" t="n">
        <v>50.04</v>
      </c>
      <c r="G6" s="504" t="n">
        <v>15</v>
      </c>
      <c r="H6" s="504" t="n">
        <v>1751.5</v>
      </c>
      <c r="I6" s="504" t="n">
        <v>249.6</v>
      </c>
    </row>
    <row r="7">
      <c r="A7" s="504" t="inlineStr">
        <is>
          <t>Z</t>
        </is>
      </c>
      <c r="B7" s="504" t="inlineStr">
        <is>
          <t>D1</t>
        </is>
      </c>
      <c r="C7" s="504" t="inlineStr">
        <is>
          <t>Z03</t>
        </is>
      </c>
      <c r="D7" s="504" t="inlineStr">
        <is>
          <t>ODA</t>
        </is>
      </c>
      <c r="E7" s="504" t="n">
        <v>4</v>
      </c>
      <c r="F7" s="504" t="n">
        <v>54.35</v>
      </c>
      <c r="G7" s="504" t="n">
        <v>15</v>
      </c>
      <c r="H7" s="504" t="n">
        <v>1902.4</v>
      </c>
      <c r="I7" s="504" t="n">
        <v>271.1</v>
      </c>
    </row>
    <row r="8">
      <c r="A8" s="504" t="inlineStr">
        <is>
          <t>Z</t>
        </is>
      </c>
      <c r="B8" s="504" t="inlineStr">
        <is>
          <t>D1</t>
        </is>
      </c>
      <c r="C8" s="504" t="inlineStr">
        <is>
          <t>Z04</t>
        </is>
      </c>
      <c r="D8" s="504" t="inlineStr">
        <is>
          <t>SALON</t>
        </is>
      </c>
      <c r="E8" s="504" t="n">
        <v>5</v>
      </c>
      <c r="F8" s="504" t="n">
        <v>69.67</v>
      </c>
      <c r="G8" s="504" t="n">
        <v>15</v>
      </c>
      <c r="H8" s="504" t="n">
        <v>2438.3</v>
      </c>
      <c r="I8" s="504" t="n">
        <v>507.6</v>
      </c>
    </row>
    <row r="9">
      <c r="A9" s="504" t="inlineStr">
        <is>
          <t>Z</t>
        </is>
      </c>
      <c r="B9" s="504" t="inlineStr">
        <is>
          <t>D1</t>
        </is>
      </c>
      <c r="C9" s="504" t="inlineStr">
        <is>
          <t>Z04</t>
        </is>
      </c>
      <c r="D9" s="504" t="inlineStr">
        <is>
          <t>SALON</t>
        </is>
      </c>
      <c r="E9" s="504" t="n">
        <v>6</v>
      </c>
      <c r="F9" s="504" t="n">
        <v>73.08</v>
      </c>
      <c r="G9" s="504" t="n">
        <v>15</v>
      </c>
      <c r="H9" s="504" t="n">
        <v>2557.8</v>
      </c>
      <c r="I9" s="504" t="n">
        <v>532.4</v>
      </c>
    </row>
    <row r="10">
      <c r="A10" s="504" t="inlineStr">
        <is>
          <t>Z</t>
        </is>
      </c>
      <c r="B10" s="504" t="inlineStr">
        <is>
          <t>D1</t>
        </is>
      </c>
      <c r="C10" s="504" t="inlineStr">
        <is>
          <t>Z05</t>
        </is>
      </c>
      <c r="D10" s="504" t="inlineStr">
        <is>
          <t>MUTFAK</t>
        </is>
      </c>
      <c r="E10" s="504" t="n">
        <v>7</v>
      </c>
      <c r="F10" s="504" t="n">
        <v>50.05</v>
      </c>
      <c r="G10" s="504" t="n">
        <v>15</v>
      </c>
      <c r="H10" s="504" t="n">
        <v>1751.7</v>
      </c>
      <c r="I10" s="504" t="n">
        <v>216.1</v>
      </c>
    </row>
    <row r="11">
      <c r="A11" s="504" t="inlineStr">
        <is>
          <t>Z</t>
        </is>
      </c>
      <c r="B11" s="504" t="inlineStr">
        <is>
          <t>D1</t>
        </is>
      </c>
      <c r="C11" s="504" t="inlineStr">
        <is>
          <t>Z06</t>
        </is>
      </c>
      <c r="D11" s="504" t="inlineStr">
        <is>
          <t>BANYO-WC</t>
        </is>
      </c>
      <c r="E11" s="504" t="n">
        <v>8</v>
      </c>
      <c r="F11" s="504" t="n">
        <v>22.17</v>
      </c>
      <c r="G11" s="504" t="n">
        <v>15</v>
      </c>
      <c r="H11" s="504" t="n">
        <v>776</v>
      </c>
      <c r="I11" s="504" t="n">
        <v>193.6</v>
      </c>
    </row>
    <row r="12">
      <c r="A12" s="504" t="inlineStr">
        <is>
          <t>Z</t>
        </is>
      </c>
      <c r="B12" s="504" t="inlineStr">
        <is>
          <t>D1</t>
        </is>
      </c>
      <c r="C12" s="504" t="inlineStr">
        <is>
          <t>Z07</t>
        </is>
      </c>
      <c r="D12" s="504" t="inlineStr">
        <is>
          <t>BANYO-WC</t>
        </is>
      </c>
      <c r="E12" s="504" t="n">
        <v>9</v>
      </c>
      <c r="F12" s="504" t="n">
        <v>26.68</v>
      </c>
      <c r="G12" s="504" t="n">
        <v>15</v>
      </c>
      <c r="H12" s="504" t="n">
        <v>933.7</v>
      </c>
      <c r="I12" s="504" t="n">
        <v>60</v>
      </c>
    </row>
    <row r="13">
      <c r="A13" s="504" t="inlineStr">
        <is>
          <t>Z</t>
        </is>
      </c>
      <c r="B13" s="504" t="inlineStr">
        <is>
          <t>D2</t>
        </is>
      </c>
      <c r="C13" s="504" t="inlineStr">
        <is>
          <t>Z08</t>
        </is>
      </c>
      <c r="D13" s="504" t="inlineStr">
        <is>
          <t>YATAK ODASI</t>
        </is>
      </c>
      <c r="E13" s="504" t="n">
        <v>10</v>
      </c>
      <c r="F13" s="504" t="n">
        <v>75.33</v>
      </c>
      <c r="G13" s="504" t="n">
        <v>15</v>
      </c>
      <c r="H13" s="504" t="n">
        <v>2636.6</v>
      </c>
      <c r="I13" s="504" t="n">
        <v>516.1</v>
      </c>
    </row>
    <row r="14">
      <c r="A14" s="504" t="inlineStr">
        <is>
          <t>Z</t>
        </is>
      </c>
      <c r="B14" s="504" t="inlineStr">
        <is>
          <t>D2</t>
        </is>
      </c>
      <c r="C14" s="504" t="inlineStr">
        <is>
          <t>Z09</t>
        </is>
      </c>
      <c r="D14" s="504" t="inlineStr">
        <is>
          <t>YATAK ODASI</t>
        </is>
      </c>
      <c r="E14" s="504" t="n">
        <v>11</v>
      </c>
      <c r="F14" s="504" t="n">
        <v>73.73999999999999</v>
      </c>
      <c r="G14" s="504" t="n">
        <v>15</v>
      </c>
      <c r="H14" s="504" t="n">
        <v>2580.9</v>
      </c>
      <c r="I14" s="504" t="n">
        <v>405.6</v>
      </c>
    </row>
    <row r="15">
      <c r="A15" s="504" t="inlineStr">
        <is>
          <t>Z</t>
        </is>
      </c>
      <c r="B15" s="504" t="inlineStr">
        <is>
          <t>D2</t>
        </is>
      </c>
      <c r="C15" s="504" t="inlineStr">
        <is>
          <t>Z10</t>
        </is>
      </c>
      <c r="D15" s="504" t="inlineStr">
        <is>
          <t>ODA</t>
        </is>
      </c>
      <c r="E15" s="504" t="n">
        <v>12</v>
      </c>
      <c r="F15" s="504" t="n">
        <v>50.04</v>
      </c>
      <c r="G15" s="504" t="n">
        <v>15</v>
      </c>
      <c r="H15" s="504" t="n">
        <v>1751.5</v>
      </c>
      <c r="I15" s="504" t="n">
        <v>249.6</v>
      </c>
    </row>
    <row r="16">
      <c r="A16" s="504" t="inlineStr">
        <is>
          <t>Z</t>
        </is>
      </c>
      <c r="B16" s="504" t="inlineStr">
        <is>
          <t>D2</t>
        </is>
      </c>
      <c r="C16" s="504" t="inlineStr">
        <is>
          <t>Z10</t>
        </is>
      </c>
      <c r="D16" s="504" t="inlineStr">
        <is>
          <t>ODA</t>
        </is>
      </c>
      <c r="E16" s="504" t="n">
        <v>13</v>
      </c>
      <c r="F16" s="504" t="n">
        <v>54.35</v>
      </c>
      <c r="G16" s="504" t="n">
        <v>15</v>
      </c>
      <c r="H16" s="504" t="n">
        <v>1902.4</v>
      </c>
      <c r="I16" s="504" t="n">
        <v>271.1</v>
      </c>
    </row>
    <row r="17">
      <c r="A17" s="504" t="inlineStr">
        <is>
          <t>Z</t>
        </is>
      </c>
      <c r="B17" s="504" t="inlineStr">
        <is>
          <t>D2</t>
        </is>
      </c>
      <c r="C17" s="504" t="inlineStr">
        <is>
          <t>Z11</t>
        </is>
      </c>
      <c r="D17" s="504" t="inlineStr">
        <is>
          <t>SALON</t>
        </is>
      </c>
      <c r="E17" s="504" t="n">
        <v>14</v>
      </c>
      <c r="F17" s="504" t="n">
        <v>69.67</v>
      </c>
      <c r="G17" s="504" t="n">
        <v>15</v>
      </c>
      <c r="H17" s="504" t="n">
        <v>2438.3</v>
      </c>
      <c r="I17" s="504" t="n">
        <v>507.6</v>
      </c>
    </row>
    <row r="18">
      <c r="A18" s="504" t="inlineStr">
        <is>
          <t>Z</t>
        </is>
      </c>
      <c r="B18" s="504" t="inlineStr">
        <is>
          <t>D2</t>
        </is>
      </c>
      <c r="C18" s="504" t="inlineStr">
        <is>
          <t>Z11</t>
        </is>
      </c>
      <c r="D18" s="504" t="inlineStr">
        <is>
          <t>SALON</t>
        </is>
      </c>
      <c r="E18" s="504" t="n">
        <v>15</v>
      </c>
      <c r="F18" s="504" t="n">
        <v>73.08</v>
      </c>
      <c r="G18" s="504" t="n">
        <v>15</v>
      </c>
      <c r="H18" s="504" t="n">
        <v>2557.8</v>
      </c>
      <c r="I18" s="504" t="n">
        <v>532.4</v>
      </c>
    </row>
    <row r="19">
      <c r="A19" s="504" t="inlineStr">
        <is>
          <t>Z</t>
        </is>
      </c>
      <c r="B19" s="504" t="inlineStr">
        <is>
          <t>D2</t>
        </is>
      </c>
      <c r="C19" s="504" t="inlineStr">
        <is>
          <t>Z12</t>
        </is>
      </c>
      <c r="D19" s="504" t="inlineStr">
        <is>
          <t>MUTFAK</t>
        </is>
      </c>
      <c r="E19" s="504" t="n">
        <v>16</v>
      </c>
      <c r="F19" s="504" t="n">
        <v>50.05</v>
      </c>
      <c r="G19" s="504" t="n">
        <v>15</v>
      </c>
      <c r="H19" s="504" t="n">
        <v>1751.7</v>
      </c>
      <c r="I19" s="504" t="n">
        <v>216.1</v>
      </c>
    </row>
    <row r="20">
      <c r="A20" s="504" t="inlineStr">
        <is>
          <t>Z</t>
        </is>
      </c>
      <c r="B20" s="504" t="inlineStr">
        <is>
          <t>D2</t>
        </is>
      </c>
      <c r="C20" s="504" t="inlineStr">
        <is>
          <t>Z13</t>
        </is>
      </c>
      <c r="D20" s="504" t="inlineStr">
        <is>
          <t>BANYO-WC</t>
        </is>
      </c>
      <c r="E20" s="504" t="n">
        <v>17</v>
      </c>
      <c r="F20" s="504" t="n">
        <v>22.17</v>
      </c>
      <c r="G20" s="504" t="n">
        <v>15</v>
      </c>
      <c r="H20" s="504" t="n">
        <v>776</v>
      </c>
      <c r="I20" s="504" t="n">
        <v>193.6</v>
      </c>
    </row>
    <row r="21">
      <c r="A21" s="504" t="inlineStr">
        <is>
          <t>Z</t>
        </is>
      </c>
      <c r="B21" s="504" t="inlineStr">
        <is>
          <t>D2</t>
        </is>
      </c>
      <c r="C21" s="504" t="inlineStr">
        <is>
          <t>Z14</t>
        </is>
      </c>
      <c r="D21" s="504" t="inlineStr">
        <is>
          <t>BANYO-WC</t>
        </is>
      </c>
      <c r="E21" s="504" t="n">
        <v>18</v>
      </c>
      <c r="F21" s="504" t="n">
        <v>26.68</v>
      </c>
      <c r="G21" s="504" t="n">
        <v>15</v>
      </c>
      <c r="H21" s="504" t="n">
        <v>933.7</v>
      </c>
      <c r="I21" s="504" t="n">
        <v>60</v>
      </c>
    </row>
    <row r="22">
      <c r="A22" s="504" t="inlineStr">
        <is>
          <t>1</t>
        </is>
      </c>
      <c r="B22" s="504" t="inlineStr">
        <is>
          <t>D3</t>
        </is>
      </c>
      <c r="C22" s="504" t="inlineStr">
        <is>
          <t>101</t>
        </is>
      </c>
      <c r="D22" s="504" t="inlineStr">
        <is>
          <t>YATAK ODASI</t>
        </is>
      </c>
      <c r="E22" s="504" t="n">
        <v>19</v>
      </c>
      <c r="F22" s="504" t="n">
        <v>75.33</v>
      </c>
      <c r="G22" s="504" t="n">
        <v>15</v>
      </c>
      <c r="H22" s="504" t="n">
        <v>2636.6</v>
      </c>
      <c r="I22" s="504" t="n">
        <v>471.3</v>
      </c>
    </row>
    <row r="23">
      <c r="A23" s="504" t="inlineStr">
        <is>
          <t>1</t>
        </is>
      </c>
      <c r="B23" s="504" t="inlineStr">
        <is>
          <t>D3</t>
        </is>
      </c>
      <c r="C23" s="504" t="inlineStr">
        <is>
          <t>102</t>
        </is>
      </c>
      <c r="D23" s="504" t="inlineStr">
        <is>
          <t>YATAK ODASI</t>
        </is>
      </c>
      <c r="E23" s="504" t="n">
        <v>20</v>
      </c>
      <c r="F23" s="504" t="n">
        <v>73.73999999999999</v>
      </c>
      <c r="G23" s="504" t="n">
        <v>15</v>
      </c>
      <c r="H23" s="504" t="n">
        <v>2580.9</v>
      </c>
      <c r="I23" s="504" t="n">
        <v>362.2</v>
      </c>
    </row>
    <row r="24">
      <c r="A24" s="504" t="inlineStr">
        <is>
          <t>1</t>
        </is>
      </c>
      <c r="B24" s="504" t="inlineStr">
        <is>
          <t>D3</t>
        </is>
      </c>
      <c r="C24" s="504" t="inlineStr">
        <is>
          <t>103</t>
        </is>
      </c>
      <c r="D24" s="504" t="inlineStr">
        <is>
          <t>ODA</t>
        </is>
      </c>
      <c r="E24" s="504" t="n">
        <v>21</v>
      </c>
      <c r="F24" s="504" t="n">
        <v>50.04</v>
      </c>
      <c r="G24" s="504" t="n">
        <v>15</v>
      </c>
      <c r="H24" s="504" t="n">
        <v>1751.5</v>
      </c>
      <c r="I24" s="504" t="n">
        <v>222.2</v>
      </c>
    </row>
    <row r="25">
      <c r="A25" s="504" t="inlineStr">
        <is>
          <t>1</t>
        </is>
      </c>
      <c r="B25" s="504" t="inlineStr">
        <is>
          <t>D3</t>
        </is>
      </c>
      <c r="C25" s="504" t="inlineStr">
        <is>
          <t>103</t>
        </is>
      </c>
      <c r="D25" s="504" t="inlineStr">
        <is>
          <t>ODA</t>
        </is>
      </c>
      <c r="E25" s="504" t="n">
        <v>22</v>
      </c>
      <c r="F25" s="504" t="n">
        <v>54.35</v>
      </c>
      <c r="G25" s="504" t="n">
        <v>15</v>
      </c>
      <c r="H25" s="504" t="n">
        <v>1902.4</v>
      </c>
      <c r="I25" s="504" t="n">
        <v>241.3</v>
      </c>
    </row>
    <row r="26">
      <c r="A26" s="504" t="inlineStr">
        <is>
          <t>1</t>
        </is>
      </c>
      <c r="B26" s="504" t="inlineStr">
        <is>
          <t>D3</t>
        </is>
      </c>
      <c r="C26" s="504" t="inlineStr">
        <is>
          <t>104</t>
        </is>
      </c>
      <c r="D26" s="504" t="inlineStr">
        <is>
          <t>SALON</t>
        </is>
      </c>
      <c r="E26" s="504" t="n">
        <v>23</v>
      </c>
      <c r="F26" s="504" t="n">
        <v>69.67</v>
      </c>
      <c r="G26" s="504" t="n">
        <v>15</v>
      </c>
      <c r="H26" s="504" t="n">
        <v>2438.3</v>
      </c>
      <c r="I26" s="504" t="n">
        <v>458.2</v>
      </c>
    </row>
    <row r="27">
      <c r="A27" s="504" t="inlineStr">
        <is>
          <t>1</t>
        </is>
      </c>
      <c r="B27" s="504" t="inlineStr">
        <is>
          <t>D3</t>
        </is>
      </c>
      <c r="C27" s="504" t="inlineStr">
        <is>
          <t>104</t>
        </is>
      </c>
      <c r="D27" s="504" t="inlineStr">
        <is>
          <t>SALON</t>
        </is>
      </c>
      <c r="E27" s="504" t="n">
        <v>24</v>
      </c>
      <c r="F27" s="504" t="n">
        <v>73.08</v>
      </c>
      <c r="G27" s="504" t="n">
        <v>15</v>
      </c>
      <c r="H27" s="504" t="n">
        <v>2557.8</v>
      </c>
      <c r="I27" s="504" t="n">
        <v>480.7</v>
      </c>
    </row>
    <row r="28">
      <c r="A28" s="504" t="inlineStr">
        <is>
          <t>1</t>
        </is>
      </c>
      <c r="B28" s="504" t="inlineStr">
        <is>
          <t>D3</t>
        </is>
      </c>
      <c r="C28" s="504" t="inlineStr">
        <is>
          <t>105</t>
        </is>
      </c>
      <c r="D28" s="504" t="inlineStr">
        <is>
          <t>MUTFAK</t>
        </is>
      </c>
      <c r="E28" s="504" t="n">
        <v>25</v>
      </c>
      <c r="F28" s="504" t="n">
        <v>50.05</v>
      </c>
      <c r="G28" s="504" t="n">
        <v>15</v>
      </c>
      <c r="H28" s="504" t="n">
        <v>1751.7</v>
      </c>
      <c r="I28" s="504" t="n">
        <v>173.2</v>
      </c>
    </row>
    <row r="29">
      <c r="A29" s="504" t="inlineStr">
        <is>
          <t>1</t>
        </is>
      </c>
      <c r="B29" s="504" t="inlineStr">
        <is>
          <t>D3</t>
        </is>
      </c>
      <c r="C29" s="504" t="inlineStr">
        <is>
          <t>106</t>
        </is>
      </c>
      <c r="D29" s="504" t="inlineStr">
        <is>
          <t>BANYO-WC</t>
        </is>
      </c>
      <c r="E29" s="504" t="n">
        <v>26</v>
      </c>
      <c r="F29" s="504" t="n">
        <v>22.17</v>
      </c>
      <c r="G29" s="504" t="n">
        <v>15</v>
      </c>
      <c r="H29" s="504" t="n">
        <v>776</v>
      </c>
      <c r="I29" s="504" t="n">
        <v>170.1</v>
      </c>
    </row>
    <row r="30">
      <c r="A30" s="504" t="inlineStr">
        <is>
          <t>1</t>
        </is>
      </c>
      <c r="B30" s="504" t="inlineStr">
        <is>
          <t>D3</t>
        </is>
      </c>
      <c r="C30" s="504" t="inlineStr">
        <is>
          <t>107</t>
        </is>
      </c>
      <c r="D30" s="504" t="inlineStr">
        <is>
          <t>BANYO-WC</t>
        </is>
      </c>
      <c r="E30" s="504" t="n">
        <v>27</v>
      </c>
      <c r="F30" s="504" t="n">
        <v>26.68</v>
      </c>
      <c r="G30" s="504" t="n">
        <v>15</v>
      </c>
      <c r="H30" s="504" t="n">
        <v>933.7</v>
      </c>
      <c r="I30" s="504" t="n">
        <v>46</v>
      </c>
    </row>
    <row r="31">
      <c r="A31" s="504" t="inlineStr">
        <is>
          <t>1</t>
        </is>
      </c>
      <c r="B31" s="504" t="inlineStr">
        <is>
          <t>D4</t>
        </is>
      </c>
      <c r="C31" s="504" t="inlineStr">
        <is>
          <t>108</t>
        </is>
      </c>
      <c r="D31" s="504" t="inlineStr">
        <is>
          <t>YATAK ODASI</t>
        </is>
      </c>
      <c r="E31" s="504" t="n">
        <v>28</v>
      </c>
      <c r="F31" s="504" t="n">
        <v>75.33</v>
      </c>
      <c r="G31" s="504" t="n">
        <v>15</v>
      </c>
      <c r="H31" s="504" t="n">
        <v>2636.6</v>
      </c>
      <c r="I31" s="504" t="n">
        <v>471.3</v>
      </c>
    </row>
    <row r="32">
      <c r="A32" s="504" t="inlineStr">
        <is>
          <t>1</t>
        </is>
      </c>
      <c r="B32" s="504" t="inlineStr">
        <is>
          <t>D4</t>
        </is>
      </c>
      <c r="C32" s="504" t="inlineStr">
        <is>
          <t>109</t>
        </is>
      </c>
      <c r="D32" s="504" t="inlineStr">
        <is>
          <t>YATAK ODASI</t>
        </is>
      </c>
      <c r="E32" s="504" t="n">
        <v>29</v>
      </c>
      <c r="F32" s="504" t="n">
        <v>73.73999999999999</v>
      </c>
      <c r="G32" s="504" t="n">
        <v>15</v>
      </c>
      <c r="H32" s="504" t="n">
        <v>2580.9</v>
      </c>
      <c r="I32" s="504" t="n">
        <v>362.2</v>
      </c>
    </row>
    <row r="33">
      <c r="A33" s="504" t="inlineStr">
        <is>
          <t>1</t>
        </is>
      </c>
      <c r="B33" s="504" t="inlineStr">
        <is>
          <t>D4</t>
        </is>
      </c>
      <c r="C33" s="504" t="inlineStr">
        <is>
          <t>110</t>
        </is>
      </c>
      <c r="D33" s="504" t="inlineStr">
        <is>
          <t>ODA</t>
        </is>
      </c>
      <c r="E33" s="504" t="n">
        <v>30</v>
      </c>
      <c r="F33" s="504" t="n">
        <v>50.04</v>
      </c>
      <c r="G33" s="504" t="n">
        <v>15</v>
      </c>
      <c r="H33" s="504" t="n">
        <v>1751.5</v>
      </c>
      <c r="I33" s="504" t="n">
        <v>222.2</v>
      </c>
    </row>
    <row r="34">
      <c r="A34" s="504" t="inlineStr">
        <is>
          <t>1</t>
        </is>
      </c>
      <c r="B34" s="504" t="inlineStr">
        <is>
          <t>D4</t>
        </is>
      </c>
      <c r="C34" s="504" t="inlineStr">
        <is>
          <t>110</t>
        </is>
      </c>
      <c r="D34" s="504" t="inlineStr">
        <is>
          <t>ODA</t>
        </is>
      </c>
      <c r="E34" s="504" t="n">
        <v>31</v>
      </c>
      <c r="F34" s="504" t="n">
        <v>54.35</v>
      </c>
      <c r="G34" s="504" t="n">
        <v>15</v>
      </c>
      <c r="H34" s="504" t="n">
        <v>1902.4</v>
      </c>
      <c r="I34" s="504" t="n">
        <v>241.3</v>
      </c>
    </row>
    <row r="35">
      <c r="A35" s="504" t="inlineStr">
        <is>
          <t>1</t>
        </is>
      </c>
      <c r="B35" s="504" t="inlineStr">
        <is>
          <t>D4</t>
        </is>
      </c>
      <c r="C35" s="504" t="inlineStr">
        <is>
          <t>111</t>
        </is>
      </c>
      <c r="D35" s="504" t="inlineStr">
        <is>
          <t>SALON</t>
        </is>
      </c>
      <c r="E35" s="504" t="n">
        <v>32</v>
      </c>
      <c r="F35" s="504" t="n">
        <v>69.67</v>
      </c>
      <c r="G35" s="504" t="n">
        <v>15</v>
      </c>
      <c r="H35" s="504" t="n">
        <v>2438.3</v>
      </c>
      <c r="I35" s="504" t="n">
        <v>458.2</v>
      </c>
    </row>
    <row r="36">
      <c r="A36" s="504" t="inlineStr">
        <is>
          <t>1</t>
        </is>
      </c>
      <c r="B36" s="504" t="inlineStr">
        <is>
          <t>D4</t>
        </is>
      </c>
      <c r="C36" s="504" t="inlineStr">
        <is>
          <t>111</t>
        </is>
      </c>
      <c r="D36" s="504" t="inlineStr">
        <is>
          <t>SALON</t>
        </is>
      </c>
      <c r="E36" s="504" t="n">
        <v>33</v>
      </c>
      <c r="F36" s="504" t="n">
        <v>73.08</v>
      </c>
      <c r="G36" s="504" t="n">
        <v>15</v>
      </c>
      <c r="H36" s="504" t="n">
        <v>2557.8</v>
      </c>
      <c r="I36" s="504" t="n">
        <v>480.7</v>
      </c>
    </row>
    <row r="37">
      <c r="A37" s="504" t="inlineStr">
        <is>
          <t>1</t>
        </is>
      </c>
      <c r="B37" s="504" t="inlineStr">
        <is>
          <t>D4</t>
        </is>
      </c>
      <c r="C37" s="504" t="inlineStr">
        <is>
          <t>112</t>
        </is>
      </c>
      <c r="D37" s="504" t="inlineStr">
        <is>
          <t>MUTFAK</t>
        </is>
      </c>
      <c r="E37" s="504" t="n">
        <v>34</v>
      </c>
      <c r="F37" s="504" t="n">
        <v>50.05</v>
      </c>
      <c r="G37" s="504" t="n">
        <v>15</v>
      </c>
      <c r="H37" s="504" t="n">
        <v>1751.7</v>
      </c>
      <c r="I37" s="504" t="n">
        <v>173.2</v>
      </c>
    </row>
    <row r="38">
      <c r="A38" s="504" t="inlineStr">
        <is>
          <t>1</t>
        </is>
      </c>
      <c r="B38" s="504" t="inlineStr">
        <is>
          <t>D4</t>
        </is>
      </c>
      <c r="C38" s="504" t="inlineStr">
        <is>
          <t>113</t>
        </is>
      </c>
      <c r="D38" s="504" t="inlineStr">
        <is>
          <t>BANYO-WC</t>
        </is>
      </c>
      <c r="E38" s="504" t="n">
        <v>35</v>
      </c>
      <c r="F38" s="504" t="n">
        <v>22.17</v>
      </c>
      <c r="G38" s="504" t="n">
        <v>15</v>
      </c>
      <c r="H38" s="504" t="n">
        <v>776</v>
      </c>
      <c r="I38" s="504" t="n">
        <v>170.1</v>
      </c>
    </row>
    <row r="39">
      <c r="A39" s="504" t="inlineStr">
        <is>
          <t>1</t>
        </is>
      </c>
      <c r="B39" s="504" t="inlineStr">
        <is>
          <t>D4</t>
        </is>
      </c>
      <c r="C39" s="504" t="inlineStr">
        <is>
          <t>114</t>
        </is>
      </c>
      <c r="D39" s="504" t="inlineStr">
        <is>
          <t>BANYO-WC</t>
        </is>
      </c>
      <c r="E39" s="504" t="n">
        <v>36</v>
      </c>
      <c r="F39" s="504" t="n">
        <v>26.68</v>
      </c>
      <c r="G39" s="504" t="n">
        <v>15</v>
      </c>
      <c r="H39" s="504" t="n">
        <v>933.7</v>
      </c>
      <c r="I39" s="504" t="n">
        <v>46</v>
      </c>
    </row>
    <row r="40">
      <c r="A40" s="504" t="inlineStr">
        <is>
          <t>2</t>
        </is>
      </c>
      <c r="B40" s="504" t="inlineStr">
        <is>
          <t>D5</t>
        </is>
      </c>
      <c r="C40" s="504" t="inlineStr">
        <is>
          <t>201</t>
        </is>
      </c>
      <c r="D40" s="504" t="inlineStr">
        <is>
          <t>YATAK ODASI</t>
        </is>
      </c>
      <c r="E40" s="504" t="n">
        <v>37</v>
      </c>
      <c r="F40" s="504" t="n">
        <v>75.33</v>
      </c>
      <c r="G40" s="504" t="n">
        <v>15</v>
      </c>
      <c r="H40" s="504" t="n">
        <v>2636.6</v>
      </c>
      <c r="I40" s="504" t="n">
        <v>534.3</v>
      </c>
    </row>
    <row r="41">
      <c r="A41" s="504" t="inlineStr">
        <is>
          <t>2</t>
        </is>
      </c>
      <c r="B41" s="504" t="inlineStr">
        <is>
          <t>D5</t>
        </is>
      </c>
      <c r="C41" s="504" t="inlineStr">
        <is>
          <t>202</t>
        </is>
      </c>
      <c r="D41" s="504" t="inlineStr">
        <is>
          <t>YATAK ODASI</t>
        </is>
      </c>
      <c r="E41" s="504" t="n">
        <v>38</v>
      </c>
      <c r="F41" s="504" t="n">
        <v>73.73999999999999</v>
      </c>
      <c r="G41" s="504" t="n">
        <v>15</v>
      </c>
      <c r="H41" s="504" t="n">
        <v>2580.9</v>
      </c>
      <c r="I41" s="504" t="n">
        <v>423.4</v>
      </c>
    </row>
    <row r="42">
      <c r="A42" s="504" t="inlineStr">
        <is>
          <t>2</t>
        </is>
      </c>
      <c r="B42" s="504" t="inlineStr">
        <is>
          <t>D5</t>
        </is>
      </c>
      <c r="C42" s="504" t="inlineStr">
        <is>
          <t>203</t>
        </is>
      </c>
      <c r="D42" s="504" t="inlineStr">
        <is>
          <t>ODA</t>
        </is>
      </c>
      <c r="E42" s="504" t="n">
        <v>39</v>
      </c>
      <c r="F42" s="504" t="n">
        <v>50.04</v>
      </c>
      <c r="G42" s="504" t="n">
        <v>15</v>
      </c>
      <c r="H42" s="504" t="n">
        <v>1751.5</v>
      </c>
      <c r="I42" s="504" t="n">
        <v>260.8</v>
      </c>
    </row>
    <row r="43">
      <c r="A43" s="504" t="inlineStr">
        <is>
          <t>2</t>
        </is>
      </c>
      <c r="B43" s="504" t="inlineStr">
        <is>
          <t>D5</t>
        </is>
      </c>
      <c r="C43" s="504" t="inlineStr">
        <is>
          <t>203</t>
        </is>
      </c>
      <c r="D43" s="504" t="inlineStr">
        <is>
          <t>ODA</t>
        </is>
      </c>
      <c r="E43" s="504" t="n">
        <v>40</v>
      </c>
      <c r="F43" s="504" t="n">
        <v>54.35</v>
      </c>
      <c r="G43" s="504" t="n">
        <v>15</v>
      </c>
      <c r="H43" s="504" t="n">
        <v>1902.4</v>
      </c>
      <c r="I43" s="504" t="n">
        <v>283.2</v>
      </c>
    </row>
    <row r="44">
      <c r="A44" s="504" t="inlineStr">
        <is>
          <t>2</t>
        </is>
      </c>
      <c r="B44" s="504" t="inlineStr">
        <is>
          <t>D5</t>
        </is>
      </c>
      <c r="C44" s="504" t="inlineStr">
        <is>
          <t>204</t>
        </is>
      </c>
      <c r="D44" s="504" t="inlineStr">
        <is>
          <t>SALON</t>
        </is>
      </c>
      <c r="E44" s="504" t="n">
        <v>41</v>
      </c>
      <c r="F44" s="504" t="n">
        <v>69.67</v>
      </c>
      <c r="G44" s="504" t="n">
        <v>15</v>
      </c>
      <c r="H44" s="504" t="n">
        <v>2438.3</v>
      </c>
      <c r="I44" s="504" t="n">
        <v>527.7</v>
      </c>
    </row>
    <row r="45">
      <c r="A45" s="504" t="inlineStr">
        <is>
          <t>2</t>
        </is>
      </c>
      <c r="B45" s="504" t="inlineStr">
        <is>
          <t>D5</t>
        </is>
      </c>
      <c r="C45" s="504" t="inlineStr">
        <is>
          <t>204</t>
        </is>
      </c>
      <c r="D45" s="504" t="inlineStr">
        <is>
          <t>SALON</t>
        </is>
      </c>
      <c r="E45" s="504" t="n">
        <v>42</v>
      </c>
      <c r="F45" s="504" t="n">
        <v>73.08</v>
      </c>
      <c r="G45" s="504" t="n">
        <v>15</v>
      </c>
      <c r="H45" s="504" t="n">
        <v>2557.8</v>
      </c>
      <c r="I45" s="504" t="n">
        <v>553.6</v>
      </c>
    </row>
    <row r="46">
      <c r="A46" s="504" t="inlineStr">
        <is>
          <t>2</t>
        </is>
      </c>
      <c r="B46" s="504" t="inlineStr">
        <is>
          <t>D5</t>
        </is>
      </c>
      <c r="C46" s="504" t="inlineStr">
        <is>
          <t>205</t>
        </is>
      </c>
      <c r="D46" s="504" t="inlineStr">
        <is>
          <t>MUTFAK</t>
        </is>
      </c>
      <c r="E46" s="504" t="n">
        <v>43</v>
      </c>
      <c r="F46" s="504" t="n">
        <v>50.05</v>
      </c>
      <c r="G46" s="504" t="n">
        <v>15</v>
      </c>
      <c r="H46" s="504" t="n">
        <v>1751.7</v>
      </c>
      <c r="I46" s="504" t="n">
        <v>233.6</v>
      </c>
    </row>
    <row r="47">
      <c r="A47" s="504" t="inlineStr">
        <is>
          <t>2</t>
        </is>
      </c>
      <c r="B47" s="504" t="inlineStr">
        <is>
          <t>D5</t>
        </is>
      </c>
      <c r="C47" s="504" t="inlineStr">
        <is>
          <t>206</t>
        </is>
      </c>
      <c r="D47" s="504" t="inlineStr">
        <is>
          <t>BANYO-WC</t>
        </is>
      </c>
      <c r="E47" s="504" t="n">
        <v>44</v>
      </c>
      <c r="F47" s="504" t="n">
        <v>22.17</v>
      </c>
      <c r="G47" s="504" t="n">
        <v>15</v>
      </c>
      <c r="H47" s="504" t="n">
        <v>776</v>
      </c>
      <c r="I47" s="504" t="n">
        <v>200.3</v>
      </c>
    </row>
    <row r="48">
      <c r="A48" s="504" t="inlineStr">
        <is>
          <t>2</t>
        </is>
      </c>
      <c r="B48" s="504" t="inlineStr">
        <is>
          <t>D5</t>
        </is>
      </c>
      <c r="C48" s="504" t="inlineStr">
        <is>
          <t>207</t>
        </is>
      </c>
      <c r="D48" s="504" t="inlineStr">
        <is>
          <t>BANYO-WC</t>
        </is>
      </c>
      <c r="E48" s="504" t="n">
        <v>45</v>
      </c>
      <c r="F48" s="504" t="n">
        <v>26.68</v>
      </c>
      <c r="G48" s="504" t="n">
        <v>15</v>
      </c>
      <c r="H48" s="504" t="n">
        <v>933.7</v>
      </c>
      <c r="I48" s="504" t="n">
        <v>64</v>
      </c>
    </row>
    <row r="49">
      <c r="A49" s="504" t="inlineStr">
        <is>
          <t>2</t>
        </is>
      </c>
      <c r="B49" s="504" t="inlineStr">
        <is>
          <t>D6</t>
        </is>
      </c>
      <c r="C49" s="504" t="inlineStr">
        <is>
          <t>208</t>
        </is>
      </c>
      <c r="D49" s="504" t="inlineStr">
        <is>
          <t>YATAK ODASI</t>
        </is>
      </c>
      <c r="E49" s="504" t="n">
        <v>46</v>
      </c>
      <c r="F49" s="504" t="n">
        <v>75.33</v>
      </c>
      <c r="G49" s="504" t="n">
        <v>15</v>
      </c>
      <c r="H49" s="504" t="n">
        <v>2636.6</v>
      </c>
      <c r="I49" s="504" t="n">
        <v>534.3</v>
      </c>
    </row>
    <row r="50">
      <c r="A50" s="504" t="inlineStr">
        <is>
          <t>2</t>
        </is>
      </c>
      <c r="B50" s="504" t="inlineStr">
        <is>
          <t>D6</t>
        </is>
      </c>
      <c r="C50" s="504" t="inlineStr">
        <is>
          <t>209</t>
        </is>
      </c>
      <c r="D50" s="504" t="inlineStr">
        <is>
          <t>YATAK ODASI</t>
        </is>
      </c>
      <c r="E50" s="504" t="n">
        <v>47</v>
      </c>
      <c r="F50" s="504" t="n">
        <v>73.73999999999999</v>
      </c>
      <c r="G50" s="504" t="n">
        <v>15</v>
      </c>
      <c r="H50" s="504" t="n">
        <v>2580.9</v>
      </c>
      <c r="I50" s="504" t="n">
        <v>423.4</v>
      </c>
    </row>
    <row r="51">
      <c r="A51" s="504" t="inlineStr">
        <is>
          <t>2</t>
        </is>
      </c>
      <c r="B51" s="504" t="inlineStr">
        <is>
          <t>D6</t>
        </is>
      </c>
      <c r="C51" s="504" t="inlineStr">
        <is>
          <t>210</t>
        </is>
      </c>
      <c r="D51" s="504" t="inlineStr">
        <is>
          <t>ODA</t>
        </is>
      </c>
      <c r="E51" s="504" t="n">
        <v>48</v>
      </c>
      <c r="F51" s="504" t="n">
        <v>50.04</v>
      </c>
      <c r="G51" s="504" t="n">
        <v>15</v>
      </c>
      <c r="H51" s="504" t="n">
        <v>1751.5</v>
      </c>
      <c r="I51" s="504" t="n">
        <v>260.8</v>
      </c>
    </row>
    <row r="52">
      <c r="A52" s="504" t="inlineStr">
        <is>
          <t>2</t>
        </is>
      </c>
      <c r="B52" s="504" t="inlineStr">
        <is>
          <t>D6</t>
        </is>
      </c>
      <c r="C52" s="504" t="inlineStr">
        <is>
          <t>210</t>
        </is>
      </c>
      <c r="D52" s="504" t="inlineStr">
        <is>
          <t>ODA</t>
        </is>
      </c>
      <c r="E52" s="504" t="n">
        <v>49</v>
      </c>
      <c r="F52" s="504" t="n">
        <v>54.35</v>
      </c>
      <c r="G52" s="504" t="n">
        <v>15</v>
      </c>
      <c r="H52" s="504" t="n">
        <v>1902.4</v>
      </c>
      <c r="I52" s="504" t="n">
        <v>283.2</v>
      </c>
    </row>
    <row r="53">
      <c r="A53" s="504" t="inlineStr">
        <is>
          <t>2</t>
        </is>
      </c>
      <c r="B53" s="504" t="inlineStr">
        <is>
          <t>D6</t>
        </is>
      </c>
      <c r="C53" s="504" t="inlineStr">
        <is>
          <t>211</t>
        </is>
      </c>
      <c r="D53" s="504" t="inlineStr">
        <is>
          <t>SALON</t>
        </is>
      </c>
      <c r="E53" s="504" t="n">
        <v>50</v>
      </c>
      <c r="F53" s="504" t="n">
        <v>69.67</v>
      </c>
      <c r="G53" s="504" t="n">
        <v>15</v>
      </c>
      <c r="H53" s="504" t="n">
        <v>2438.3</v>
      </c>
      <c r="I53" s="504" t="n">
        <v>527.7</v>
      </c>
    </row>
    <row r="54">
      <c r="A54" s="504" t="inlineStr">
        <is>
          <t>2</t>
        </is>
      </c>
      <c r="B54" s="504" t="inlineStr">
        <is>
          <t>D6</t>
        </is>
      </c>
      <c r="C54" s="504" t="inlineStr">
        <is>
          <t>211</t>
        </is>
      </c>
      <c r="D54" s="504" t="inlineStr">
        <is>
          <t>SALON</t>
        </is>
      </c>
      <c r="E54" s="504" t="n">
        <v>51</v>
      </c>
      <c r="F54" s="504" t="n">
        <v>73.08</v>
      </c>
      <c r="G54" s="504" t="n">
        <v>15</v>
      </c>
      <c r="H54" s="504" t="n">
        <v>2557.8</v>
      </c>
      <c r="I54" s="504" t="n">
        <v>553.6</v>
      </c>
    </row>
    <row r="55">
      <c r="A55" s="504" t="inlineStr">
        <is>
          <t>2</t>
        </is>
      </c>
      <c r="B55" s="504" t="inlineStr">
        <is>
          <t>D6</t>
        </is>
      </c>
      <c r="C55" s="504" t="inlineStr">
        <is>
          <t>212</t>
        </is>
      </c>
      <c r="D55" s="504" t="inlineStr">
        <is>
          <t>MUTFAK</t>
        </is>
      </c>
      <c r="E55" s="504" t="n">
        <v>52</v>
      </c>
      <c r="F55" s="504" t="n">
        <v>50.05</v>
      </c>
      <c r="G55" s="504" t="n">
        <v>15</v>
      </c>
      <c r="H55" s="504" t="n">
        <v>1751.7</v>
      </c>
      <c r="I55" s="504" t="n">
        <v>233.6</v>
      </c>
    </row>
    <row r="56">
      <c r="A56" s="504" t="inlineStr">
        <is>
          <t>2</t>
        </is>
      </c>
      <c r="B56" s="504" t="inlineStr">
        <is>
          <t>D6</t>
        </is>
      </c>
      <c r="C56" s="504" t="inlineStr">
        <is>
          <t>213</t>
        </is>
      </c>
      <c r="D56" s="504" t="inlineStr">
        <is>
          <t>BANYO-WC</t>
        </is>
      </c>
      <c r="E56" s="504" t="n">
        <v>53</v>
      </c>
      <c r="F56" s="504" t="n">
        <v>22.17</v>
      </c>
      <c r="G56" s="504" t="n">
        <v>15</v>
      </c>
      <c r="H56" s="504" t="n">
        <v>776</v>
      </c>
      <c r="I56" s="504" t="n">
        <v>200.3</v>
      </c>
    </row>
    <row r="57">
      <c r="A57" s="504" t="inlineStr">
        <is>
          <t>2</t>
        </is>
      </c>
      <c r="B57" s="504" t="inlineStr">
        <is>
          <t>D6</t>
        </is>
      </c>
      <c r="C57" s="504" t="inlineStr">
        <is>
          <t>214</t>
        </is>
      </c>
      <c r="D57" s="504" t="inlineStr">
        <is>
          <t>BANYO-WC</t>
        </is>
      </c>
      <c r="E57" s="504" t="n">
        <v>54</v>
      </c>
      <c r="F57" s="504" t="n">
        <v>26.68</v>
      </c>
      <c r="G57" s="504" t="n">
        <v>15</v>
      </c>
      <c r="H57" s="504" t="n">
        <v>933.7</v>
      </c>
      <c r="I57" s="50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SILA</dc:creator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2026-10-17T21:01:58Z</dcterms:modified>
  <cp:lastModifiedBy>Can Özkaya</cp:lastModifiedBy>
  <cp:revision>0</cp:revision>
  <cp:lastPrinted>2022-06-03T11:29:57Z</cp:lastPrinted>
</cp:coreProperties>
</file>