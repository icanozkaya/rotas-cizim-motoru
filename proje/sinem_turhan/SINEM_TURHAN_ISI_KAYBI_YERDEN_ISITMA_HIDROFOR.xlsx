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TEKNİK RAPOR" sheetId="2" state="visible" r:id="rId2"/>
    <sheet xmlns:r="http://schemas.openxmlformats.org/officeDocument/2006/relationships" name="BODRUM" sheetId="3" state="visible" r:id="rId3"/>
    <sheet xmlns:r="http://schemas.openxmlformats.org/officeDocument/2006/relationships" name="ZEMİN" sheetId="4" state="visible" r:id="rId4"/>
    <sheet xmlns:r="http://schemas.openxmlformats.org/officeDocument/2006/relationships" name="1 NK" sheetId="5" state="visible" r:id="rId5"/>
    <sheet xmlns:r="http://schemas.openxmlformats.org/officeDocument/2006/relationships" name="PETEK LİST" sheetId="6" state="visible" r:id="rId6"/>
    <sheet xmlns:r="http://schemas.openxmlformats.org/officeDocument/2006/relationships" name="YERDEN ISITMA" sheetId="7" state="visible" r:id="rId7"/>
    <sheet xmlns:r="http://schemas.openxmlformats.org/officeDocument/2006/relationships" name="MMO YERDEN ISITMA" sheetId="8" state="visible" r:id="rId8"/>
    <sheet xmlns:r="http://schemas.openxmlformats.org/officeDocument/2006/relationships" name="YERDEN ISITMA- DEVAMI" sheetId="9" state="visible" r:id="rId9"/>
    <sheet xmlns:r="http://schemas.openxmlformats.org/officeDocument/2006/relationships" name="HİDROFOR-POMPA" sheetId="10" state="visible" r:id="rId10"/>
    <sheet xmlns:r="http://schemas.openxmlformats.org/officeDocument/2006/relationships" name="YAĞMUR SUYU" sheetId="11" state="visible" r:id="rId11"/>
    <sheet xmlns:r="http://schemas.openxmlformats.org/officeDocument/2006/relationships" name="KOMBİ-POMPA-GENLEŞME" sheetId="12" state="visible" r:id="rId12"/>
  </sheets>
  <externalReferences>
    <externalReference xmlns:r="http://schemas.openxmlformats.org/officeDocument/2006/relationships" r:id="rId13"/>
  </externalReferences>
  <definedNames>
    <definedName name="_xlnm.Print_Area" localSheetId="1">'TEKNİK RAPOR'!$A$1:$N$65</definedName>
    <definedName name="_xlnm.Print_Area" localSheetId="2">'BODRUM'!$A$1:$Q$85</definedName>
    <definedName name="_xlnm.Print_Area" localSheetId="3">'ZEMİN'!$A$1:$Q$77</definedName>
    <definedName name="_xlnm.Print_Area" localSheetId="4">'1 NK'!$A$1:$Q$85</definedName>
    <definedName name="_xlnm.Print_Area" localSheetId="5">'PETEK LİST'!$A$1:$P$37</definedName>
    <definedName name="_xlnm.Print_Area" localSheetId="6">'YERDEN ISITMA'!$A$1:$N$37</definedName>
    <definedName name="_xlnm.Print_Area" localSheetId="7">'MMO YERDEN ISITMA'!$A$1:$P$47</definedName>
    <definedName name="_xlnm.Print_Area" localSheetId="8">'YERDEN ISITMA- DEVAMI'!$A$1:$AA$47</definedName>
    <definedName name="_xlnm.Print_Area" localSheetId="9">'HİDROFOR-POMPA'!$A$1:$D$36</definedName>
    <definedName name="_xlnm.Print_Area" localSheetId="10">'YAĞMUR SUYU'!$A$1:$D$13</definedName>
    <definedName name="_xlnm.Print_Area" localSheetId="11">'KOMBİ-POMPA-GENLEŞME'!$A$1:$L$20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[$-409]d\-mmm"/>
    <numFmt numFmtId="165" formatCode="[$-409]m/d/yyyy"/>
    <numFmt numFmtId="166" formatCode="General&quot; W/m²K&quot;"/>
    <numFmt numFmtId="167" formatCode="00000"/>
    <numFmt numFmtId="168" formatCode="#,##0&quot;  &quot;"/>
    <numFmt numFmtId="169" formatCode="&quot;  &quot;@"/>
  </numFmts>
  <fonts count="59">
    <font>
      <name val="Arial Tur"/>
      <charset val="162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62"/>
      <family val="2"/>
      <sz val="10"/>
    </font>
    <font>
      <name val="Calibri"/>
      <charset val="162"/>
      <family val="2"/>
      <color rgb="FF000000"/>
      <sz val="12"/>
    </font>
    <font>
      <name val="Swis721 Cn BT"/>
      <family val="2"/>
      <b val="1"/>
      <color rgb="FF000000"/>
      <sz val="40"/>
    </font>
    <font>
      <name val="Swis721 Cn BT"/>
      <family val="2"/>
      <b val="1"/>
      <color rgb="FF000000"/>
      <sz val="16"/>
    </font>
    <font>
      <name val="Times New Roman"/>
      <charset val="162"/>
      <family val="1"/>
      <b val="1"/>
      <color rgb="FF000000"/>
      <sz val="10"/>
    </font>
    <font>
      <name val="Times New Roman"/>
      <charset val="162"/>
      <family val="1"/>
      <b val="1"/>
      <color rgb="FF000000"/>
      <sz val="12"/>
    </font>
    <font>
      <name val="Calibri"/>
      <charset val="162"/>
      <family val="2"/>
      <color rgb="FF000000"/>
      <sz val="20"/>
    </font>
    <font>
      <name val="Calibri"/>
      <charset val="162"/>
      <family val="2"/>
      <b val="1"/>
      <color rgb="FF000000"/>
      <sz val="28"/>
    </font>
    <font>
      <name val="Calibri"/>
      <charset val="162"/>
      <family val="2"/>
      <color rgb="FF000000"/>
      <sz val="16"/>
    </font>
    <font>
      <name val="Calibri"/>
      <charset val="162"/>
      <family val="2"/>
      <color rgb="FF000000"/>
      <sz val="14"/>
    </font>
    <font>
      <name val="Arial Tur"/>
      <charset val="162"/>
      <family val="0"/>
      <b val="1"/>
      <sz val="14"/>
    </font>
    <font>
      <name val="Arial Tur"/>
      <charset val="162"/>
      <family val="2"/>
      <b val="1"/>
      <sz val="14"/>
    </font>
    <font>
      <name val="Arial Tur"/>
      <charset val="162"/>
      <family val="0"/>
      <b val="1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2"/>
    </font>
    <font>
      <name val="Arial Tur"/>
      <charset val="162"/>
      <family val="0"/>
      <b val="1"/>
      <sz val="12"/>
    </font>
    <font>
      <name val="Arial Tur"/>
      <charset val="162"/>
      <family val="2"/>
      <sz val="11"/>
    </font>
    <font>
      <name val="Arial Tur"/>
      <charset val="162"/>
      <family val="0"/>
      <color rgb="FFFF0000"/>
      <sz val="12"/>
    </font>
    <font>
      <name val="Arial Tur"/>
      <charset val="162"/>
      <family val="0"/>
      <color rgb="FFFF0000"/>
      <sz val="9"/>
    </font>
    <font>
      <name val="Arial Tur"/>
      <charset val="162"/>
      <family val="2"/>
      <color rgb="FFFF0000"/>
      <sz val="9"/>
    </font>
    <font>
      <name val="Arial Tur"/>
      <charset val="162"/>
      <family val="0"/>
      <sz val="9"/>
    </font>
    <font>
      <name val="Arial Tur"/>
      <charset val="162"/>
      <family val="0"/>
      <sz val="8"/>
    </font>
    <font>
      <name val="Arial"/>
      <charset val="162"/>
      <family val="2"/>
      <sz val="8"/>
    </font>
    <font>
      <name val="Arial Tur"/>
      <charset val="162"/>
      <family val="2"/>
      <b val="1"/>
      <sz val="11"/>
    </font>
    <font>
      <name val="Arial Tur"/>
      <charset val="162"/>
      <family val="0"/>
      <sz val="7.5"/>
    </font>
    <font>
      <name val="Arial"/>
      <charset val="162"/>
      <family val="2"/>
      <sz val="7.5"/>
    </font>
    <font>
      <name val="Arial Tur"/>
      <charset val="162"/>
      <family val="0"/>
      <b val="1"/>
      <sz val="7.5"/>
    </font>
    <font>
      <name val="Symbol"/>
      <charset val="2"/>
      <family val="1"/>
      <sz val="7.5"/>
    </font>
    <font>
      <name val="Arial Tur"/>
      <charset val="162"/>
      <family val="2"/>
      <sz val="7.5"/>
    </font>
    <font>
      <name val="Arial Tur"/>
      <charset val="162"/>
      <family val="0"/>
      <sz val="7.5"/>
      <u val="single"/>
    </font>
    <font>
      <name val="Arial Tur"/>
      <charset val="162"/>
      <family val="0"/>
      <sz val="5"/>
    </font>
    <font>
      <name val="Arial Tur"/>
      <charset val="162"/>
      <family val="2"/>
      <i val="1"/>
      <sz val="7.5"/>
    </font>
    <font>
      <name val="Symbol"/>
      <charset val="2"/>
      <family val="1"/>
      <i val="1"/>
      <sz val="7.5"/>
    </font>
    <font>
      <name val="Arial Tur"/>
      <charset val="162"/>
      <family val="0"/>
      <i val="1"/>
      <sz val="7.5"/>
    </font>
    <font>
      <name val="Arial Tur"/>
      <charset val="162"/>
      <family val="2"/>
      <b val="1"/>
      <sz val="7.5"/>
    </font>
    <font>
      <name val="Arial"/>
      <charset val="162"/>
      <family val="2"/>
      <sz val="9"/>
    </font>
    <font>
      <name val="Arial"/>
      <charset val="162"/>
      <family val="2"/>
      <sz val="10"/>
      <vertAlign val="superscript"/>
    </font>
    <font>
      <name val="Arial"/>
      <charset val="162"/>
      <family val="2"/>
      <sz val="14"/>
    </font>
    <font>
      <name val="Arial Tur"/>
      <charset val="162"/>
      <family val="2"/>
      <sz val="8"/>
    </font>
    <font>
      <name val="Arial Tur"/>
      <charset val="162"/>
      <family val="0"/>
      <sz val="8"/>
      <vertAlign val="superscript"/>
    </font>
    <font>
      <name val="Arial Tur"/>
      <charset val="162"/>
      <family val="2"/>
      <sz val="8"/>
      <vertAlign val="superscript"/>
    </font>
    <font>
      <name val="Arial Tur"/>
      <charset val="162"/>
      <family val="2"/>
      <sz val="9"/>
    </font>
    <font>
      <name val="Arial Tur"/>
      <charset val="162"/>
      <family val="0"/>
      <sz val="6.5"/>
    </font>
    <font>
      <name val="Arial Tur"/>
      <charset val="162"/>
      <family val="0"/>
      <b val="1"/>
      <sz val="11"/>
    </font>
    <font>
      <name val="Arial Tur"/>
      <charset val="162"/>
      <family val="0"/>
      <b val="1"/>
      <sz val="9"/>
    </font>
    <font>
      <name val="Arial Tur"/>
      <charset val="162"/>
      <family val="2"/>
      <sz val="10"/>
    </font>
    <font>
      <name val="Arial Tur"/>
      <charset val="162"/>
      <family val="0"/>
      <sz val="8.5"/>
    </font>
    <font>
      <name val="Arial Tur"/>
      <charset val="162"/>
      <family val="0"/>
      <color rgb="FFFF0000"/>
      <sz val="10"/>
    </font>
    <font>
      <name val="Arial Tur"/>
      <family val="0"/>
      <color rgb="FF000000"/>
      <sz val="11"/>
    </font>
    <font>
      <name val="DejaVu Sans"/>
      <family val="2"/>
      <color rgb="FF000000"/>
      <sz val="11"/>
    </font>
    <font>
      <name val="Cambria Math"/>
      <family val="0"/>
      <color rgb="FF000000"/>
      <sz val="11"/>
    </font>
    <font>
      <name val="Arial"/>
      <b val="1"/>
      <sz val="12"/>
    </font>
    <font>
      <name val="Arial"/>
      <sz val="8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00D9E1F2"/>
      </patternFill>
    </fill>
  </fills>
  <borders count="55">
    <border>
      <left/>
      <right/>
      <top/>
      <bottom/>
      <diagonal/>
    </border>
    <border>
      <left style="double"/>
      <right style="double"/>
      <top style="double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double"/>
      <top style="thin"/>
      <bottom/>
      <diagonal/>
    </border>
    <border>
      <left style="double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 style="hair"/>
      <right style="thin"/>
      <top style="hair"/>
      <bottom style="hair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double"/>
      <top style="thin"/>
      <bottom/>
      <diagonal/>
    </border>
    <border>
      <left style="double"/>
      <right/>
      <top/>
      <bottom style="thin"/>
      <diagonal/>
    </border>
    <border>
      <left/>
      <right style="double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0" fillId="0" borderId="0"/>
  </cellStyleXfs>
  <cellXfs count="589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center"/>
    </xf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20">
      <alignment horizontal="center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4" fillId="0" borderId="4" applyAlignment="1" pivotButton="0" quotePrefix="0" xfId="20">
      <alignment horizontal="center" vertical="bottom"/>
    </xf>
    <xf numFmtId="3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19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39" pivotButton="0" quotePrefix="0" xfId="0"/>
    <xf numFmtId="0" fontId="0" fillId="0" borderId="4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0" fillId="0" borderId="19" pivotButton="0" quotePrefix="0" xfId="0"/>
    <xf numFmtId="0" fontId="0" fillId="0" borderId="41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43" pivotButton="0" quotePrefix="0" xfId="0"/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44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20" pivotButton="0" quotePrefix="0" xfId="0"/>
    <xf numFmtId="0" fontId="12" fillId="0" borderId="5" applyAlignment="1" pivotButton="0" quotePrefix="0" xfId="0">
      <alignment horizontal="left" vertical="bottom"/>
    </xf>
    <xf numFmtId="0" fontId="0" fillId="0" borderId="24" pivotButton="0" quotePrefix="0" xfId="0"/>
    <xf numFmtId="0" fontId="0" fillId="0" borderId="22" pivotButton="0" quotePrefix="0" xfId="0"/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7" pivotButton="0" quotePrefix="0" xfId="0"/>
    <xf numFmtId="0" fontId="14" fillId="0" borderId="12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51" pivotButton="0" quotePrefix="0" xfId="0"/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4" pivotButton="0" quotePrefix="0" xfId="0"/>
    <xf numFmtId="0" fontId="0" fillId="0" borderId="53" pivotButton="0" quotePrefix="0" xfId="0"/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center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7" fontId="28" fillId="0" borderId="23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0" fillId="0" borderId="21" pivotButton="0" quotePrefix="0" xfId="0"/>
    <xf numFmtId="0" fontId="0" fillId="0" borderId="35" pivotButton="0" quotePrefix="0" xfId="0"/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0" fillId="0" borderId="47" pivotButton="0" quotePrefix="0" xfId="0"/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26" fillId="0" borderId="4" applyAlignment="1" pivotButton="0" quotePrefix="0" xfId="0">
      <alignment horizontal="center" vertical="bottom"/>
    </xf>
    <xf numFmtId="49" fontId="4" fillId="0" borderId="4" applyAlignment="1" pivotButton="0" quotePrefix="0" xfId="0">
      <alignment horizontal="center" vertical="bottom"/>
    </xf>
    <xf numFmtId="3" fontId="4" fillId="0" borderId="4" applyAlignment="1" pivotButton="0" quotePrefix="0" xfId="0">
      <alignment horizontal="center" vertical="bottom"/>
    </xf>
    <xf numFmtId="4" fontId="4" fillId="0" borderId="4" applyAlignment="1" pivotButton="0" quotePrefix="0" xfId="0">
      <alignment horizontal="left" vertical="bottom"/>
    </xf>
    <xf numFmtId="4" fontId="4" fillId="2" borderId="4" applyAlignment="1" pivotButton="0" quotePrefix="0" xfId="0">
      <alignment horizontal="left" vertical="bottom"/>
    </xf>
    <xf numFmtId="0" fontId="4" fillId="2" borderId="4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4" applyAlignment="1" pivotButton="0" quotePrefix="0" xfId="20">
      <alignment horizontal="center" vertical="bottom"/>
    </xf>
    <xf numFmtId="0" fontId="46" fillId="0" borderId="4" applyAlignment="1" pivotButton="0" quotePrefix="0" xfId="20">
      <alignment horizontal="center" vertical="bottom"/>
    </xf>
    <xf numFmtId="49" fontId="0" fillId="0" borderId="4" applyAlignment="1" pivotButton="0" quotePrefix="0" xfId="20">
      <alignment horizontal="center" vertical="bottom"/>
    </xf>
    <xf numFmtId="0" fontId="4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48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47" fillId="0" borderId="4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2" fontId="0" fillId="3" borderId="4" applyAlignment="1" pivotButton="0" quotePrefix="0" xfId="0">
      <alignment horizontal="center" vertical="center"/>
    </xf>
    <xf numFmtId="0" fontId="50" fillId="0" borderId="25" applyAlignment="1" pivotButton="0" quotePrefix="0" xfId="0">
      <alignment horizontal="general" vertical="center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center" wrapText="1"/>
    </xf>
    <xf numFmtId="0" fontId="58" fillId="7" borderId="54" applyAlignment="1" pivotButton="0" quotePrefix="0" xfId="0">
      <alignment horizontal="left" vertical="center" wrapText="1"/>
    </xf>
    <xf numFmtId="0" fontId="57" fillId="0" borderId="54" applyAlignment="1" pivotButton="0" quotePrefix="0" xfId="0">
      <alignment horizontal="left" vertical="center" wrapText="1"/>
    </xf>
    <xf numFmtId="2" fontId="57" fillId="0" borderId="54" applyAlignment="1" pivotButton="0" quotePrefix="0" xfId="0">
      <alignment horizontal="center" vertical="center" wrapText="1"/>
    </xf>
    <xf numFmtId="0" fontId="57" fillId="0" borderId="54" applyAlignment="1" pivotButton="0" quotePrefix="0" xfId="0">
      <alignment horizontal="center" vertical="center" wrapText="1"/>
    </xf>
    <xf numFmtId="0" fontId="58" fillId="7" borderId="54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left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Yüzde 2" xfId="7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261360</colOff>
      <row>1</row>
      <rowOff>37800</rowOff>
    </from>
    <to>
      <col>0</col>
      <colOff>1379880</colOff>
      <row>5</row>
      <rowOff>9360</rowOff>
    </to>
    <pic>
      <nvPicPr>
        <cNvPr id="0" name="Resi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1360" y="247320"/>
          <a:ext cx="1118520" cy="120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62280</colOff>
      <row>3</row>
      <rowOff>142920</rowOff>
    </to>
    <pic>
      <nvPicPr>
        <cNvPr id="1" name="Resi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43880" cy="476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442800</colOff>
      <row>2</row>
      <rowOff>152640</rowOff>
    </to>
    <pic>
      <nvPicPr>
        <cNvPr id="2" name="Resi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42800" cy="476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Users/user/Desktop/dcm/PROJE/MEKAN&#304;K%20HESAPLAR/MEKAN&#304;K%20HESAPLAR%20KOMB&#304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apak"/>
      <sheetName val="TEKNİK RAPOR"/>
      <sheetName val="TEKNİK RAPOR (2)"/>
      <sheetName val="ZEMİN"/>
      <sheetName val="1 NK"/>
      <sheetName val="PETEK LİST"/>
      <sheetName val="TAHHÜTNAME"/>
      <sheetName val="FENNİ MESUL"/>
      <sheetName val="HİDRAFOR HESABI ÜMİT"/>
      <sheetName val="Sayfa1"/>
    </sheetNames>
    <sheetDataSet>
      <sheetData sheetId="0">
        <row r="41">
          <cell r="G41">
            <v>44267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20.99" customWidth="1" style="243" min="1" max="1"/>
    <col width="16.13" customWidth="1" style="243" min="2" max="2"/>
    <col width="14.14" customWidth="1" style="243" min="3" max="3"/>
    <col width="11.7" customWidth="1" style="243" min="4" max="4"/>
    <col width="9.85" customWidth="1" style="243" min="5" max="5"/>
    <col width="10.56" customWidth="1" style="243" min="6" max="6"/>
    <col width="11.13" customWidth="1" style="243" min="7" max="7"/>
    <col width="7.14" customWidth="1" style="243" min="8" max="8"/>
    <col width="10.28" customWidth="1" style="243" min="9" max="9"/>
  </cols>
  <sheetData>
    <row r="1" ht="16.5" customHeight="1" s="244">
      <c r="A1" s="245" t="inlineStr">
        <is>
          <t>P R O J E Y İ   H A Z I R L A Y A N</t>
        </is>
      </c>
      <c r="B1" s="246" t="n"/>
      <c r="C1" s="246" t="n"/>
      <c r="D1" s="246" t="n"/>
      <c r="E1" s="246" t="n"/>
      <c r="F1" s="246" t="n"/>
      <c r="G1" s="246" t="n"/>
      <c r="H1" s="246" t="n"/>
      <c r="I1" s="247" t="n"/>
      <c r="J1" s="248" t="n"/>
    </row>
    <row r="2" ht="26.25" customHeight="1" s="244">
      <c r="A2" s="249" t="inlineStr">
        <is>
          <t xml:space="preserve">ROTAŞ MÜHENDİSLİK.PROJE.MÜŞAVİRLİK.
Mak. Müh. Bayram GENÇ
Semerciler Mah. Sait Faik Sk. No:22/C Z01 Adapazarı/Sakarya
TEL: 0264 272 00 49   rotasmuhendislik@gmail.com
</t>
        </is>
      </c>
      <c r="B2" s="250" t="n"/>
      <c r="C2" s="250" t="n"/>
      <c r="D2" s="250" t="n"/>
      <c r="E2" s="250" t="n"/>
      <c r="F2" s="250" t="n"/>
      <c r="G2" s="250" t="n"/>
      <c r="H2" s="250" t="n"/>
      <c r="I2" s="251" t="n"/>
      <c r="J2" s="252" t="n"/>
    </row>
    <row r="3" ht="26.25" customHeight="1" s="244">
      <c r="A3" s="253" t="n"/>
      <c r="I3" s="254" t="n"/>
      <c r="J3" s="252" t="n"/>
    </row>
    <row r="4" ht="18" customHeight="1" s="244">
      <c r="A4" s="253" t="n"/>
      <c r="I4" s="254" t="n"/>
      <c r="J4" s="252" t="n"/>
    </row>
    <row r="5" ht="26.25" customHeight="1" s="244">
      <c r="A5" s="253" t="n"/>
      <c r="I5" s="254" t="n"/>
      <c r="J5" s="252" t="n"/>
    </row>
    <row r="6" ht="26.25" customHeight="1" s="244">
      <c r="A6" s="253" t="n"/>
      <c r="I6" s="254" t="n"/>
      <c r="J6" s="252" t="n"/>
    </row>
    <row r="7" ht="26.25" customHeight="1" s="244">
      <c r="A7" s="253" t="n"/>
      <c r="I7" s="254" t="n"/>
      <c r="J7" s="252" t="n"/>
    </row>
    <row r="8" ht="26.25" customHeight="1" s="244">
      <c r="A8" s="255" t="n"/>
      <c r="B8" s="256" t="n"/>
      <c r="C8" s="256" t="n"/>
      <c r="D8" s="256" t="n"/>
      <c r="E8" s="256" t="n"/>
      <c r="F8" s="256" t="n"/>
      <c r="G8" s="256" t="n"/>
      <c r="H8" s="256" t="n"/>
      <c r="I8" s="257" t="n"/>
      <c r="J8" s="252" t="n"/>
    </row>
    <row r="9" ht="33.75" customHeight="1" s="244">
      <c r="A9" s="258" t="inlineStr">
        <is>
          <t>ÜNVANI</t>
        </is>
      </c>
      <c r="B9" s="259" t="inlineStr">
        <is>
          <t>Adı Soyadı</t>
        </is>
      </c>
      <c r="C9" s="260" t="n"/>
      <c r="D9" s="261" t="inlineStr">
        <is>
          <t>Oda Sicil No</t>
        </is>
      </c>
      <c r="E9" s="260" t="n"/>
      <c r="F9" s="262" t="inlineStr">
        <is>
          <t>SMM Büro 
Tescil No</t>
        </is>
      </c>
      <c r="G9" s="263" t="inlineStr">
        <is>
          <t>İmza</t>
        </is>
      </c>
      <c r="H9" s="264" t="n"/>
      <c r="I9" s="265" t="n"/>
      <c r="J9" s="252" t="n"/>
      <c r="M9" s="266" t="n"/>
    </row>
    <row r="10" ht="88.5" customHeight="1" s="244">
      <c r="A10" s="267" t="inlineStr">
        <is>
          <t>Makine Mühendisi</t>
        </is>
      </c>
      <c r="B10" s="268" t="inlineStr">
        <is>
          <t>BAYRAM GENÇ</t>
        </is>
      </c>
      <c r="C10" s="260" t="n"/>
      <c r="D10" s="269" t="n"/>
      <c r="E10" s="260" t="n"/>
      <c r="F10" s="269" t="n"/>
      <c r="G10" s="270" t="n"/>
      <c r="H10" s="264" t="n"/>
      <c r="I10" s="265" t="n"/>
    </row>
    <row r="11" ht="27.75" customHeight="1" s="244">
      <c r="A11" s="271" t="inlineStr">
        <is>
          <t>YERDEN ISITMA (KOMBİLİ) TESİSATI PROJE RAPORU</t>
        </is>
      </c>
      <c r="B11" s="250" t="n"/>
      <c r="C11" s="250" t="n"/>
      <c r="D11" s="250" t="n"/>
      <c r="E11" s="250" t="n"/>
      <c r="F11" s="250" t="n"/>
      <c r="G11" s="250" t="n"/>
      <c r="H11" s="250" t="n"/>
      <c r="I11" s="251" t="n"/>
    </row>
    <row r="12" ht="27.75" customHeight="1" s="244">
      <c r="A12" s="253" t="n"/>
      <c r="I12" s="254" t="n"/>
    </row>
    <row r="13" ht="27.75" customHeight="1" s="244">
      <c r="A13" s="255" t="n"/>
      <c r="B13" s="256" t="n"/>
      <c r="C13" s="256" t="n"/>
      <c r="D13" s="256" t="n"/>
      <c r="E13" s="256" t="n"/>
      <c r="F13" s="256" t="n"/>
      <c r="G13" s="256" t="n"/>
      <c r="H13" s="256" t="n"/>
      <c r="I13" s="257" t="n"/>
    </row>
    <row r="14" ht="12.75" customHeight="1" s="244">
      <c r="A14" s="272" t="inlineStr">
        <is>
          <t xml:space="preserve">  Yapı Denetim Onay</t>
        </is>
      </c>
      <c r="B14" s="250" t="n"/>
      <c r="C14" s="251" t="n"/>
      <c r="D14" s="272" t="inlineStr">
        <is>
          <t>Belediye Onay</t>
        </is>
      </c>
      <c r="E14" s="250" t="n"/>
      <c r="F14" s="250" t="n"/>
      <c r="G14" s="250" t="n"/>
      <c r="H14" s="250" t="n"/>
      <c r="I14" s="251" t="n"/>
    </row>
    <row r="15" ht="12.75" customHeight="1" s="244">
      <c r="A15" s="253" t="n"/>
      <c r="C15" s="254" t="n"/>
      <c r="D15" s="253" t="n"/>
      <c r="I15" s="254" t="n"/>
    </row>
    <row r="16" ht="12.75" customHeight="1" s="244">
      <c r="A16" s="253" t="n"/>
      <c r="C16" s="254" t="n"/>
      <c r="D16" s="253" t="n"/>
      <c r="I16" s="254" t="n"/>
    </row>
    <row r="17" ht="12.75" customHeight="1" s="244">
      <c r="A17" s="253" t="n"/>
      <c r="C17" s="254" t="n"/>
      <c r="D17" s="253" t="n"/>
      <c r="I17" s="254" t="n"/>
    </row>
    <row r="18" ht="12.75" customHeight="1" s="244">
      <c r="A18" s="253" t="n"/>
      <c r="C18" s="254" t="n"/>
      <c r="D18" s="253" t="n"/>
      <c r="I18" s="254" t="n"/>
    </row>
    <row r="19" ht="12.75" customHeight="1" s="244">
      <c r="A19" s="253" t="n"/>
      <c r="C19" s="254" t="n"/>
      <c r="D19" s="253" t="n"/>
      <c r="I19" s="254" t="n"/>
    </row>
    <row r="20" ht="12.75" customHeight="1" s="244">
      <c r="A20" s="253" t="n"/>
      <c r="C20" s="254" t="n"/>
      <c r="D20" s="253" t="n"/>
      <c r="I20" s="254" t="n"/>
    </row>
    <row r="21" ht="12.75" customHeight="1" s="244">
      <c r="A21" s="253" t="n"/>
      <c r="C21" s="254" t="n"/>
      <c r="D21" s="253" t="n"/>
      <c r="I21" s="254" t="n"/>
    </row>
    <row r="22" ht="27.75" customHeight="1" s="244">
      <c r="A22" s="253" t="n"/>
      <c r="C22" s="254" t="n"/>
      <c r="D22" s="253" t="n"/>
      <c r="I22" s="254" t="n"/>
    </row>
    <row r="23" ht="27.75" customHeight="1" s="244">
      <c r="A23" s="253" t="n"/>
      <c r="C23" s="254" t="n"/>
      <c r="D23" s="253" t="n"/>
      <c r="I23" s="254" t="n"/>
    </row>
    <row r="24" ht="27.75" customHeight="1" s="244">
      <c r="A24" s="253" t="n"/>
      <c r="C24" s="254" t="n"/>
      <c r="D24" s="253" t="n"/>
      <c r="I24" s="254" t="n"/>
    </row>
    <row r="25" ht="12.75" customHeight="1" s="244">
      <c r="A25" s="253" t="n"/>
      <c r="C25" s="254" t="n"/>
      <c r="D25" s="253" t="n"/>
      <c r="I25" s="254" t="n"/>
    </row>
    <row r="26" ht="6" customHeight="1" s="244">
      <c r="A26" s="253" t="n"/>
      <c r="C26" s="254" t="n"/>
      <c r="D26" s="253" t="n"/>
      <c r="I26" s="254" t="n"/>
    </row>
    <row r="27" hidden="1" ht="12.75" customHeight="1" s="244">
      <c r="A27" s="253" t="n"/>
      <c r="C27" s="254" t="n"/>
      <c r="D27" s="253" t="n"/>
      <c r="I27" s="254" t="n"/>
    </row>
    <row r="28" hidden="1" ht="12.75" customHeight="1" s="244">
      <c r="A28" s="253" t="n"/>
      <c r="C28" s="254" t="n"/>
      <c r="D28" s="253" t="n"/>
      <c r="I28" s="254" t="n"/>
    </row>
    <row r="29" ht="12.75" customHeight="1" s="244">
      <c r="A29" s="255" t="n"/>
      <c r="B29" s="256" t="n"/>
      <c r="C29" s="257" t="n"/>
      <c r="D29" s="255" t="n"/>
      <c r="E29" s="256" t="n"/>
      <c r="F29" s="256" t="n"/>
      <c r="G29" s="256" t="n"/>
      <c r="H29" s="256" t="n"/>
      <c r="I29" s="257" t="n"/>
    </row>
    <row r="30" ht="15.75" customHeight="1" s="244">
      <c r="A30" s="273" t="inlineStr">
        <is>
          <t>P R O J E Y İ     Y A P T I R A N</t>
        </is>
      </c>
      <c r="B30" s="264" t="n"/>
      <c r="C30" s="264" t="n"/>
      <c r="D30" s="264" t="n"/>
      <c r="E30" s="264" t="n"/>
      <c r="F30" s="264" t="n"/>
      <c r="G30" s="264" t="n"/>
      <c r="H30" s="264" t="n"/>
      <c r="I30" s="265" t="n"/>
    </row>
    <row r="31" ht="12.75" customHeight="1" s="244">
      <c r="A31" s="274" t="inlineStr">
        <is>
          <t>ADI SOYADI/ÜNVANI</t>
        </is>
      </c>
      <c r="B31" s="275" t="n"/>
      <c r="C31" s="276" t="inlineStr">
        <is>
          <t>SİNEM TURHAN - MESKEN (2 BODRUM + ZEMİN + 1 KAT, 3 DAİRE)</t>
        </is>
      </c>
      <c r="D31" s="250" t="n"/>
      <c r="E31" s="250" t="n"/>
      <c r="F31" s="250" t="n"/>
      <c r="G31" s="250" t="n"/>
      <c r="H31" s="250" t="n"/>
      <c r="I31" s="251" t="n"/>
    </row>
    <row r="32" ht="12.75" customHeight="1" s="244">
      <c r="A32" s="255" t="n"/>
      <c r="B32" s="277" t="n"/>
      <c r="C32" s="278" t="n"/>
      <c r="D32" s="256" t="n"/>
      <c r="E32" s="256" t="n"/>
      <c r="F32" s="256" t="n"/>
      <c r="G32" s="256" t="n"/>
      <c r="H32" s="256" t="n"/>
      <c r="I32" s="257" t="n"/>
    </row>
    <row r="33" ht="12.75" customHeight="1" s="244">
      <c r="A33" s="279" t="n"/>
      <c r="I33" s="280" t="n"/>
    </row>
    <row r="34" ht="15.75" customHeight="1" s="244">
      <c r="A34" s="273" t="inlineStr">
        <is>
          <t>Y A P I N I N   B U L U N D U Ğ U   Y E R</t>
        </is>
      </c>
      <c r="B34" s="264" t="n"/>
      <c r="C34" s="264" t="n"/>
      <c r="D34" s="264" t="n"/>
      <c r="E34" s="264" t="n"/>
      <c r="F34" s="264" t="n"/>
      <c r="G34" s="264" t="n"/>
      <c r="H34" s="264" t="n"/>
      <c r="I34" s="265" t="n"/>
    </row>
    <row r="35" ht="12.75" customHeight="1" s="244">
      <c r="A35" s="281" t="inlineStr">
        <is>
          <t>İl</t>
        </is>
      </c>
      <c r="B35" s="282" t="inlineStr">
        <is>
          <t>İlçe</t>
        </is>
      </c>
      <c r="C35" s="243" t="inlineStr">
        <is>
          <t>Belediye</t>
        </is>
      </c>
      <c r="D35" s="282" t="inlineStr">
        <is>
          <t>Mahalle</t>
        </is>
      </c>
      <c r="E35" s="261" t="inlineStr">
        <is>
          <t>Sok.</t>
        </is>
      </c>
      <c r="F35" s="260" t="n"/>
      <c r="G35" s="282" t="inlineStr">
        <is>
          <t>Pafta</t>
        </is>
      </c>
      <c r="H35" s="282" t="inlineStr">
        <is>
          <t>Ada</t>
        </is>
      </c>
      <c r="I35" s="283" t="inlineStr">
        <is>
          <t>Parsel</t>
        </is>
      </c>
      <c r="K35" s="284" t="n"/>
    </row>
    <row r="36" ht="12.75" customHeight="1" s="244">
      <c r="A36" s="281" t="inlineStr">
        <is>
          <t>SAKARYA</t>
        </is>
      </c>
      <c r="B36" s="282" t="inlineStr">
        <is>
          <t>SERDİVAN</t>
        </is>
      </c>
      <c r="C36" s="282">
        <f>B36</f>
        <v/>
      </c>
      <c r="D36" s="282" t="inlineStr">
        <is>
          <t>SERDİVAN</t>
        </is>
      </c>
      <c r="E36" s="261" t="n"/>
      <c r="F36" s="260" t="n"/>
      <c r="G36" s="262" t="inlineStr">
        <is>
          <t>28J1</t>
        </is>
      </c>
      <c r="H36" s="282" t="inlineStr">
        <is>
          <t>-</t>
        </is>
      </c>
      <c r="I36" s="263" t="n">
        <v>13748</v>
      </c>
    </row>
    <row r="37" ht="12.75" customHeight="1" s="244">
      <c r="A37" s="279" t="n"/>
      <c r="I37" s="280" t="n"/>
    </row>
    <row r="38" ht="12.75" customHeight="1" s="244">
      <c r="A38" s="285" t="inlineStr">
        <is>
          <t>YAPININ ÖZELLİKLERİ</t>
        </is>
      </c>
      <c r="B38" s="250" t="n"/>
      <c r="C38" s="250" t="n"/>
      <c r="D38" s="250" t="n"/>
      <c r="E38" s="250" t="n"/>
      <c r="F38" s="250" t="n"/>
      <c r="G38" s="250" t="n"/>
      <c r="H38" s="250" t="n"/>
      <c r="I38" s="251" t="n"/>
    </row>
    <row r="39" ht="12.75" customHeight="1" s="244">
      <c r="A39" s="253" t="n"/>
      <c r="I39" s="254" t="n"/>
    </row>
    <row r="40" ht="38.25" customHeight="1" s="244">
      <c r="A40" s="286" t="inlineStr">
        <is>
          <t>Yapının
 Sistemi</t>
        </is>
      </c>
      <c r="B40" s="287" t="inlineStr">
        <is>
          <t>Yapının
Sınıfı</t>
        </is>
      </c>
      <c r="C40" s="287" t="inlineStr">
        <is>
          <t>Toplam
Bağımsız
Bölüm</t>
        </is>
      </c>
      <c r="D40" s="269" t="inlineStr">
        <is>
          <t>Toplam Kat Sayısı</t>
        </is>
      </c>
      <c r="E40" s="260" t="n"/>
      <c r="F40" s="287" t="inlineStr">
        <is>
          <t>Toplam
İnşaat
Alanı m²</t>
        </is>
      </c>
      <c r="G40" s="287" t="inlineStr">
        <is>
          <t>Tarih</t>
        </is>
      </c>
      <c r="H40" s="270" t="inlineStr">
        <is>
          <t>Kullanım Amacı</t>
        </is>
      </c>
      <c r="I40" s="265" t="n"/>
    </row>
    <row r="41" ht="12.75" customHeight="1" s="244">
      <c r="A41" s="288" t="inlineStr">
        <is>
          <t>BETONARME</t>
        </is>
      </c>
      <c r="B41" s="289" t="inlineStr">
        <is>
          <t>3B</t>
        </is>
      </c>
      <c r="C41" s="289" t="n">
        <v>4</v>
      </c>
      <c r="D41" s="290" t="inlineStr">
        <is>
          <t>2B + Z + 1</t>
        </is>
      </c>
      <c r="E41" s="275" t="n"/>
      <c r="F41" s="289" t="n"/>
      <c r="G41" s="291" t="n">
        <v>46306</v>
      </c>
      <c r="H41" s="292" t="inlineStr">
        <is>
          <t>KONUT</t>
        </is>
      </c>
      <c r="I41" s="251" t="n"/>
    </row>
    <row r="42" ht="13.5" customHeight="1" s="244">
      <c r="A42" s="293" t="n"/>
      <c r="B42" s="294" t="n"/>
      <c r="C42" s="294" t="n"/>
      <c r="D42" s="295" t="n"/>
      <c r="E42" s="296" t="n"/>
      <c r="F42" s="294" t="n"/>
      <c r="G42" s="294" t="n"/>
      <c r="H42" s="295" t="n"/>
      <c r="I42" s="297" t="n"/>
    </row>
    <row r="43" ht="13.5" customHeight="1" s="244"/>
  </sheetData>
  <mergeCells count="27">
    <mergeCell ref="G10:I10"/>
    <mergeCell ref="D10:E10"/>
    <mergeCell ref="D41:E42"/>
    <mergeCell ref="A41:A42"/>
    <mergeCell ref="D40:E40"/>
    <mergeCell ref="A38:I39"/>
    <mergeCell ref="H40:I40"/>
    <mergeCell ref="E35:F35"/>
    <mergeCell ref="C41:C42"/>
    <mergeCell ref="F41:F42"/>
    <mergeCell ref="C31:I32"/>
    <mergeCell ref="A2:I8"/>
    <mergeCell ref="A14:C29"/>
    <mergeCell ref="B10:C10"/>
    <mergeCell ref="A31:B32"/>
    <mergeCell ref="G9:I9"/>
    <mergeCell ref="D14:I29"/>
    <mergeCell ref="E36:F36"/>
    <mergeCell ref="B9:C9"/>
    <mergeCell ref="A34:I34"/>
    <mergeCell ref="D9:E9"/>
    <mergeCell ref="G41:G42"/>
    <mergeCell ref="A30:I30"/>
    <mergeCell ref="H41:I42"/>
    <mergeCell ref="A1:I1"/>
    <mergeCell ref="B41:B42"/>
    <mergeCell ref="A11:I13"/>
  </mergeCells>
  <printOptions horizontalCentered="0" verticalCentered="0" headings="0" gridLines="0" gridLinesSet="1"/>
  <pageMargins left="0.157638888888889" right="0.157638888888889" top="0.479861111111111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65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F24" activeCellId="0" sqref="F24"/>
    </sheetView>
  </sheetViews>
  <sheetFormatPr baseColWidth="8" defaultColWidth="9.0546875" defaultRowHeight="12.75" zeroHeight="0" outlineLevelRow="0"/>
  <cols>
    <col width="4.99" customWidth="1" style="243" min="1" max="1"/>
    <col width="12.14" customWidth="1" style="243" min="2" max="2"/>
    <col width="10.28" customWidth="1" style="243" min="3" max="4"/>
    <col width="22.85" customWidth="1" style="243" min="6" max="6"/>
    <col width="22.7" customWidth="1" style="243" min="7" max="7"/>
    <col width="14.85" customWidth="1" style="243" min="8" max="8"/>
    <col width="17.56" customWidth="1" style="243" min="9" max="9"/>
  </cols>
  <sheetData>
    <row r="1" ht="12" customHeight="1" s="244">
      <c r="A1" s="298" t="inlineStr">
        <is>
          <t>KALORİFER TESİSATI PROJESİ TEKNİK RAPORU</t>
        </is>
      </c>
      <c r="B1" s="299" t="n"/>
      <c r="C1" s="299" t="n"/>
      <c r="D1" s="299" t="n"/>
      <c r="E1" s="299" t="n"/>
      <c r="F1" s="300" t="n"/>
      <c r="G1" s="301" t="inlineStr">
        <is>
          <t>Sayfa</t>
        </is>
      </c>
      <c r="H1" s="302" t="n">
        <v>1</v>
      </c>
    </row>
    <row r="2" ht="12" customHeight="1" s="244">
      <c r="A2" s="255" t="n"/>
      <c r="B2" s="256" t="n"/>
      <c r="C2" s="256" t="n"/>
      <c r="D2" s="256" t="n"/>
      <c r="E2" s="256" t="n"/>
      <c r="F2" s="277" t="n"/>
      <c r="G2" s="303" t="n"/>
      <c r="H2" s="304" t="n"/>
    </row>
    <row r="3" ht="17.25" customHeight="1" s="244">
      <c r="A3" s="305" t="inlineStr">
        <is>
          <t>Proje Adı              :</t>
        </is>
      </c>
      <c r="B3" s="260" t="n"/>
      <c r="C3" s="306">
        <f>kapak!C31</f>
        <v/>
      </c>
      <c r="D3" s="264" t="n"/>
      <c r="E3" s="264" t="n"/>
      <c r="F3" s="260" t="n"/>
      <c r="G3" s="261" t="inlineStr">
        <is>
          <t>Tarih</t>
        </is>
      </c>
      <c r="H3" s="307">
        <f>kapak!G41</f>
        <v/>
      </c>
    </row>
    <row r="4" ht="17.25" customHeight="1" s="244">
      <c r="A4" s="305" t="inlineStr">
        <is>
          <t>Düzenleyen          :</t>
        </is>
      </c>
      <c r="B4" s="260" t="n"/>
      <c r="C4" s="306">
        <f>kapak!B10</f>
        <v/>
      </c>
      <c r="D4" s="264" t="n"/>
      <c r="E4" s="264" t="n"/>
      <c r="F4" s="260" t="n"/>
      <c r="G4" s="303" t="n"/>
      <c r="H4" s="304" t="n"/>
    </row>
    <row r="5" ht="18" customHeight="1" s="244">
      <c r="A5" s="279" t="n"/>
      <c r="B5" s="308" t="n"/>
      <c r="C5" s="308" t="n"/>
      <c r="D5" s="308" t="n"/>
      <c r="E5" s="308" t="n"/>
      <c r="F5" s="308" t="n"/>
      <c r="G5" s="308" t="n"/>
      <c r="H5" s="309" t="n"/>
      <c r="I5" s="308" t="n"/>
    </row>
    <row r="6" ht="15.75" customHeight="1" s="244">
      <c r="A6" s="310" t="n"/>
      <c r="B6" s="311" t="n"/>
      <c r="C6" s="311" t="n"/>
      <c r="D6" s="311" t="n"/>
      <c r="E6" s="311" t="n"/>
      <c r="F6" s="311" t="n"/>
      <c r="G6" s="311" t="n"/>
      <c r="H6" s="312" t="n"/>
      <c r="I6" s="311" t="n"/>
    </row>
    <row r="7" ht="15" customHeight="1" s="244">
      <c r="A7" s="310" t="inlineStr">
        <is>
          <t>1.1.</t>
        </is>
      </c>
      <c r="B7" s="313" t="inlineStr">
        <is>
          <t>Binanın kalorifer projesi aşağıdaki değerler esas alınarak hazırlanmıştır.</t>
        </is>
      </c>
      <c r="C7" s="313" t="n"/>
      <c r="D7" s="313" t="n"/>
      <c r="E7" s="313" t="n"/>
      <c r="F7" s="313" t="n"/>
      <c r="G7" s="313" t="n"/>
      <c r="H7" s="314" t="n"/>
      <c r="I7" s="313" t="n"/>
    </row>
    <row r="8" ht="15.75" customHeight="1" s="244">
      <c r="A8" s="310" t="n"/>
      <c r="B8" s="315" t="inlineStr">
        <is>
          <t xml:space="preserve">Binanın Yeri </t>
        </is>
      </c>
      <c r="D8" s="313" t="n"/>
      <c r="E8" s="316">
        <f>kapak!B36</f>
        <v/>
      </c>
      <c r="F8" s="313" t="inlineStr">
        <is>
          <t xml:space="preserve">   / SAKARYA</t>
        </is>
      </c>
      <c r="G8" s="313" t="n"/>
      <c r="H8" s="314" t="n"/>
      <c r="I8" s="313" t="n"/>
    </row>
    <row r="9" ht="15.75" customHeight="1" s="244">
      <c r="A9" s="310" t="n"/>
      <c r="B9" s="315" t="inlineStr">
        <is>
          <t xml:space="preserve">Sıcaklık Bölgesi </t>
        </is>
      </c>
      <c r="E9" s="317" t="inlineStr">
        <is>
          <t>: TS 825</t>
        </is>
      </c>
      <c r="F9" s="318" t="inlineStr">
        <is>
          <t xml:space="preserve"> -6 °C (Sakarya)</t>
        </is>
      </c>
      <c r="G9" s="313" t="n"/>
      <c r="H9" s="314" t="n"/>
      <c r="I9" s="313" t="n"/>
    </row>
    <row r="10" ht="15.75" customHeight="1" s="244">
      <c r="A10" s="310" t="n"/>
      <c r="B10" s="315" t="inlineStr">
        <is>
          <t>Bina Tipi</t>
        </is>
      </c>
      <c r="D10" s="313" t="n"/>
      <c r="E10" s="313" t="inlineStr">
        <is>
          <t>: Konut (3 daire)</t>
        </is>
      </c>
      <c r="F10" s="313" t="n"/>
      <c r="G10" s="313" t="n"/>
      <c r="H10" s="314" t="n"/>
      <c r="I10" s="313" t="n"/>
    </row>
    <row r="11" ht="15.75" customHeight="1" s="244">
      <c r="A11" s="310" t="n"/>
      <c r="B11" s="315" t="inlineStr">
        <is>
          <t>Isıtıcı Cinsi</t>
        </is>
      </c>
      <c r="D11" s="313" t="n"/>
      <c r="E11" s="313" t="inlineStr">
        <is>
          <t>: Duvar tipi hermetik yoğuşmalı kombi (her dairede 1 adet, 24 kW)</t>
        </is>
      </c>
      <c r="F11" s="313" t="n"/>
      <c r="G11" s="313" t="n"/>
      <c r="H11" s="314" t="n"/>
      <c r="I11" s="313" t="n"/>
      <c r="K11" s="319" t="n"/>
      <c r="L11" s="319" t="n"/>
      <c r="M11" s="319" t="n"/>
      <c r="N11" s="319" t="n"/>
    </row>
    <row r="12" ht="15.75" customHeight="1" s="244">
      <c r="A12" s="310" t="n"/>
      <c r="B12" s="315" t="inlineStr">
        <is>
          <t>Kullanılacak Yakıt</t>
        </is>
      </c>
      <c r="D12" s="313" t="n"/>
      <c r="E12" s="313" t="inlineStr">
        <is>
          <t>: Doğalgaz</t>
        </is>
      </c>
      <c r="F12" s="313" t="n"/>
      <c r="G12" s="313" t="n"/>
      <c r="H12" s="314" t="n"/>
      <c r="I12" s="313" t="n"/>
      <c r="K12" s="319" t="n"/>
      <c r="L12" s="319" t="n"/>
      <c r="M12" s="319" t="n"/>
      <c r="N12" s="319" t="n"/>
    </row>
    <row r="13" ht="15.75" customHeight="1" s="244">
      <c r="A13" s="310" t="n"/>
      <c r="B13" s="315" t="inlineStr">
        <is>
          <t>Radyatör Türü / Isıl Verimi</t>
        </is>
      </c>
      <c r="D13" s="313" t="n"/>
      <c r="E13" s="313" t="inlineStr">
        <is>
          <t>: Zeminden ısıtma borusu PEX 16x2,0 / 45-35 °C</t>
        </is>
      </c>
      <c r="F13" s="313" t="n"/>
      <c r="G13" s="313" t="n"/>
      <c r="H13" s="314" t="n"/>
      <c r="I13" s="313" t="n"/>
      <c r="K13" s="319" t="n"/>
      <c r="L13" s="319" t="n"/>
      <c r="M13" s="319" t="n"/>
      <c r="N13" s="319" t="n"/>
    </row>
    <row r="14" ht="31.5" customHeight="1" s="244">
      <c r="A14" s="310" t="n"/>
      <c r="B14" s="320" t="inlineStr">
        <is>
          <t>Binanın bulunduğu yerleşim bölgesi</t>
        </is>
      </c>
      <c r="E14" s="313" t="inlineStr">
        <is>
          <t>: Ayrık nizam</t>
        </is>
      </c>
      <c r="F14" s="313" t="n"/>
      <c r="G14" s="313" t="n"/>
      <c r="H14" s="314" t="n"/>
      <c r="I14" s="313" t="n"/>
    </row>
    <row r="15" ht="15.75" customHeight="1" s="244">
      <c r="A15" s="310" t="n"/>
      <c r="B15" s="315" t="inlineStr">
        <is>
          <t>Havalandırma Tipi</t>
        </is>
      </c>
      <c r="D15" s="313" t="n"/>
      <c r="E15" s="313" t="inlineStr">
        <is>
          <t>:Doğal havalandırma</t>
        </is>
      </c>
      <c r="F15" s="313" t="n"/>
      <c r="G15" s="313" t="n"/>
      <c r="H15" s="314" t="n"/>
      <c r="I15" s="313" t="n"/>
    </row>
    <row r="16" ht="15.75" customHeight="1" s="244">
      <c r="A16" s="310" t="n"/>
      <c r="B16" s="315" t="inlineStr">
        <is>
          <t>Bina tanımı</t>
        </is>
      </c>
      <c r="D16" s="313" t="n"/>
      <c r="E16" s="313" t="inlineStr">
        <is>
          <t>: 2. bodrum (müştemilat) + 1. bodrum + zemin + 1. kat (her katta 1 daire)</t>
        </is>
      </c>
      <c r="F16" s="313" t="n"/>
      <c r="G16" s="313" t="n"/>
      <c r="H16" s="314" t="n"/>
      <c r="I16" s="313" t="n"/>
    </row>
    <row r="17" ht="15.75" customHeight="1" s="244">
      <c r="A17" s="310" t="n"/>
      <c r="B17" s="315" t="inlineStr">
        <is>
          <t>Radyatör Türü</t>
        </is>
      </c>
      <c r="C17" s="313" t="n"/>
      <c r="D17" s="313" t="n"/>
      <c r="E17" s="313" t="inlineStr">
        <is>
          <t>: Zeminden ısıtma borusu PEX 16x2,0 (oksijen bariyerli)</t>
        </is>
      </c>
      <c r="F17" s="313" t="n"/>
      <c r="G17" s="313" t="n"/>
      <c r="H17" s="314" t="n"/>
      <c r="I17" s="313" t="n"/>
    </row>
    <row r="18" ht="15.75" customHeight="1" s="244">
      <c r="A18" s="310" t="n"/>
      <c r="B18" s="315" t="inlineStr">
        <is>
          <t>Çalışma Sıcaklığı</t>
        </is>
      </c>
      <c r="C18" s="313" t="n"/>
      <c r="D18" s="313" t="n"/>
      <c r="E18" s="317" t="inlineStr">
        <is>
          <t>: 45 - 35 °C</t>
        </is>
      </c>
      <c r="F18" s="313" t="n"/>
      <c r="G18" s="313" t="n"/>
      <c r="H18" s="314" t="n"/>
      <c r="I18" s="313" t="n"/>
    </row>
    <row r="19" ht="15.75" customHeight="1" s="244">
      <c r="A19" s="310" t="n"/>
      <c r="B19" s="315" t="n"/>
      <c r="C19" s="313" t="n"/>
      <c r="D19" s="313" t="n"/>
      <c r="E19" s="313" t="n"/>
      <c r="F19" s="313" t="n"/>
      <c r="G19" s="313" t="n"/>
      <c r="H19" s="314" t="n"/>
      <c r="I19" s="313" t="n"/>
    </row>
    <row r="20" ht="15.75" customHeight="1" s="244">
      <c r="A20" s="310" t="inlineStr">
        <is>
          <t>1.2.</t>
        </is>
      </c>
      <c r="B20" s="315" t="inlineStr">
        <is>
          <t>Mahal Sıcaklıkları :</t>
        </is>
      </c>
      <c r="C20" s="313" t="n"/>
      <c r="D20" s="313" t="n"/>
      <c r="E20" s="313" t="n"/>
      <c r="F20" s="313" t="n"/>
      <c r="G20" s="313" t="n"/>
      <c r="H20" s="314" t="n"/>
      <c r="I20" s="313" t="n"/>
    </row>
    <row r="21" ht="15" customHeight="1" s="244">
      <c r="A21" s="310" t="n"/>
      <c r="B21" s="313" t="inlineStr">
        <is>
          <t>Salon</t>
        </is>
      </c>
      <c r="F21" s="317" t="inlineStr">
        <is>
          <t>: 22°C</t>
        </is>
      </c>
      <c r="H21" s="321" t="n"/>
      <c r="I21" s="313" t="n"/>
    </row>
    <row r="22" ht="15" customHeight="1" s="244">
      <c r="A22" s="310" t="n"/>
      <c r="B22" s="313" t="inlineStr">
        <is>
          <t>Oturma Odası</t>
        </is>
      </c>
      <c r="F22" s="317" t="inlineStr">
        <is>
          <t>: 20°C</t>
        </is>
      </c>
      <c r="H22" s="321" t="n"/>
      <c r="I22" s="313" t="n"/>
    </row>
    <row r="23" ht="15" customHeight="1" s="244">
      <c r="A23" s="310" t="n"/>
      <c r="B23" s="313" t="inlineStr">
        <is>
          <t>Yatak Odası</t>
        </is>
      </c>
      <c r="F23" s="317" t="inlineStr">
        <is>
          <t>: 20°C</t>
        </is>
      </c>
      <c r="H23" s="321" t="n"/>
      <c r="I23" s="313" t="n"/>
    </row>
    <row r="24" ht="15" customHeight="1" s="244">
      <c r="A24" s="310" t="n"/>
      <c r="B24" s="313" t="inlineStr">
        <is>
          <t>Banyo</t>
        </is>
      </c>
      <c r="F24" s="317" t="inlineStr">
        <is>
          <t>: 26°C</t>
        </is>
      </c>
      <c r="H24" s="321" t="n"/>
      <c r="I24" s="313" t="n"/>
    </row>
    <row r="25" ht="15" customHeight="1" s="244">
      <c r="A25" s="310" t="n"/>
      <c r="B25" s="313" t="inlineStr">
        <is>
          <t>Hol</t>
        </is>
      </c>
      <c r="F25" s="317" t="inlineStr">
        <is>
          <t>: 18°C (kollektör bağlantı boruları ile ısıtılır)</t>
        </is>
      </c>
      <c r="H25" s="321" t="n"/>
      <c r="I25" s="313" t="n"/>
    </row>
    <row r="26" ht="15" customHeight="1" s="244">
      <c r="A26" s="310" t="n"/>
      <c r="B26" s="313" t="n"/>
      <c r="F26" s="322" t="n"/>
      <c r="H26" s="321" t="n"/>
      <c r="I26" s="313" t="n"/>
    </row>
    <row r="27" ht="15" customHeight="1" s="244">
      <c r="A27" s="310" t="n"/>
      <c r="B27" s="313" t="n"/>
      <c r="F27" s="322" t="n"/>
      <c r="H27" s="321" t="n"/>
      <c r="I27" s="313" t="n"/>
    </row>
    <row r="28" ht="15" customHeight="1" s="244">
      <c r="A28" s="310" t="n"/>
      <c r="B28" s="313" t="n"/>
      <c r="F28" s="322" t="n"/>
      <c r="H28" s="321" t="n"/>
      <c r="I28" s="313" t="n"/>
    </row>
    <row r="29" ht="15" customHeight="1" s="244">
      <c r="A29" s="310" t="n"/>
      <c r="B29" s="313" t="inlineStr">
        <is>
          <t xml:space="preserve">Çatı Arası </t>
        </is>
      </c>
      <c r="F29" s="317" t="inlineStr">
        <is>
          <t>:   0°C</t>
        </is>
      </c>
      <c r="H29" s="321" t="n"/>
      <c r="I29" s="313" t="n"/>
    </row>
    <row r="30" ht="15" customHeight="1" s="244">
      <c r="A30" s="310" t="n"/>
      <c r="B30" s="313" t="inlineStr">
        <is>
          <t>Döşeme altı (2. bodrum müştemilat)</t>
        </is>
      </c>
      <c r="F30" s="317" t="inlineStr">
        <is>
          <t>:   6°C</t>
        </is>
      </c>
      <c r="H30" s="321" t="n"/>
      <c r="I30" s="313" t="n"/>
    </row>
    <row r="31" ht="15" customHeight="1" s="244">
      <c r="A31" s="310" t="n"/>
      <c r="B31" s="313" t="inlineStr">
        <is>
          <t>Mutfak</t>
        </is>
      </c>
      <c r="F31" s="317" t="inlineStr">
        <is>
          <t>: 20°C</t>
        </is>
      </c>
      <c r="H31" s="321" t="n"/>
      <c r="I31" s="313" t="n"/>
    </row>
    <row r="32" ht="15" customHeight="1" s="244">
      <c r="A32" s="310" t="n"/>
      <c r="B32" s="313" t="n"/>
      <c r="D32" s="317" t="n"/>
      <c r="E32" s="313" t="n"/>
      <c r="F32" s="313" t="n"/>
      <c r="H32" s="321" t="n"/>
      <c r="I32" s="313" t="n"/>
    </row>
    <row r="33" ht="15.75" customHeight="1" s="244">
      <c r="A33" s="310" t="inlineStr">
        <is>
          <t>1.3.</t>
        </is>
      </c>
      <c r="B33" s="315" t="inlineStr">
        <is>
          <t>Isı İletim Katsayıları:</t>
        </is>
      </c>
      <c r="C33" s="317" t="n"/>
      <c r="D33" s="317" t="n"/>
      <c r="E33" s="313" t="n"/>
      <c r="F33" s="313" t="n"/>
      <c r="G33" s="313" t="n"/>
      <c r="H33" s="314" t="n"/>
      <c r="I33" s="313" t="n"/>
    </row>
    <row r="34" ht="15.75" customHeight="1" s="244">
      <c r="A34" s="310" t="n"/>
      <c r="B34" s="315" t="n"/>
      <c r="C34" s="317" t="n"/>
      <c r="D34" s="317" t="n"/>
      <c r="H34" s="280" t="n"/>
    </row>
    <row r="35" ht="15" customHeight="1" s="244">
      <c r="A35" s="310" t="n"/>
      <c r="B35" s="313" t="inlineStr">
        <is>
          <t>Dış Duvar                                         :</t>
        </is>
      </c>
      <c r="E35" s="243" t="inlineStr">
        <is>
          <t>:</t>
        </is>
      </c>
      <c r="F35" s="317" t="n">
        <v>0.344</v>
      </c>
      <c r="G35" s="323" t="inlineStr">
        <is>
          <t>W/M²k</t>
        </is>
      </c>
      <c r="H35" s="280" t="n"/>
    </row>
    <row r="36" ht="15" customHeight="1" s="244">
      <c r="A36" s="310" t="n"/>
      <c r="B36" s="313" t="inlineStr">
        <is>
          <t>Kiriş 25 cm</t>
        </is>
      </c>
      <c r="E36" s="243" t="inlineStr">
        <is>
          <t>:</t>
        </is>
      </c>
      <c r="F36" s="317" t="n">
        <v>0.387</v>
      </c>
      <c r="G36" s="323" t="inlineStr">
        <is>
          <t>W/M²k</t>
        </is>
      </c>
      <c r="H36" s="280" t="n"/>
    </row>
    <row r="37" ht="15" customHeight="1" s="244">
      <c r="A37" s="310" t="n"/>
      <c r="B37" s="313" t="inlineStr">
        <is>
          <t>Kiriş 30 cm</t>
        </is>
      </c>
      <c r="E37" s="243" t="inlineStr">
        <is>
          <t>:</t>
        </is>
      </c>
      <c r="F37" s="317" t="n">
        <v>0.384</v>
      </c>
      <c r="G37" s="323" t="inlineStr">
        <is>
          <t>W/M²k</t>
        </is>
      </c>
      <c r="H37" s="280" t="n"/>
    </row>
    <row r="38" ht="15" customHeight="1" s="244">
      <c r="A38" s="310" t="n"/>
      <c r="B38" s="313" t="inlineStr">
        <is>
          <t>Kapı                                                  :</t>
        </is>
      </c>
      <c r="E38" s="243" t="inlineStr">
        <is>
          <t>:</t>
        </is>
      </c>
      <c r="F38" s="317" t="n">
        <v>2</v>
      </c>
      <c r="G38" s="323" t="inlineStr">
        <is>
          <t>W/M²k</t>
        </is>
      </c>
      <c r="H38" s="280" t="n"/>
    </row>
    <row r="39" ht="15" customHeight="1" s="244">
      <c r="A39" s="310" t="n"/>
      <c r="B39" s="313" t="inlineStr">
        <is>
          <t>Pencere                                           :</t>
        </is>
      </c>
      <c r="E39" s="243" t="inlineStr">
        <is>
          <t>:</t>
        </is>
      </c>
      <c r="F39" s="317" t="n">
        <v>1.8</v>
      </c>
      <c r="G39" s="323" t="inlineStr">
        <is>
          <t>W/M²k</t>
        </is>
      </c>
      <c r="H39" s="280" t="n"/>
    </row>
    <row r="40" ht="15" customHeight="1" s="244">
      <c r="A40" s="310" t="n"/>
      <c r="B40" s="313" t="inlineStr">
        <is>
          <t>Döşeme      ara                              :</t>
        </is>
      </c>
      <c r="E40" s="243" t="inlineStr">
        <is>
          <t>:</t>
        </is>
      </c>
      <c r="F40" s="317" t="n">
        <v>0</v>
      </c>
      <c r="G40" s="323" t="inlineStr">
        <is>
          <t>W/M²k</t>
        </is>
      </c>
      <c r="H40" s="280" t="n"/>
    </row>
    <row r="41" ht="15" customHeight="1" s="244">
      <c r="A41" s="310" t="n"/>
      <c r="B41" s="313" t="inlineStr">
        <is>
          <t xml:space="preserve">Merdiven Duvarı </t>
        </is>
      </c>
      <c r="E41" s="243" t="inlineStr">
        <is>
          <t>:</t>
        </is>
      </c>
      <c r="F41" s="317" t="n">
        <v>0.332</v>
      </c>
      <c r="G41" s="323" t="inlineStr">
        <is>
          <t>W/M²k</t>
        </is>
      </c>
      <c r="H41" s="280" t="n"/>
    </row>
    <row r="42" ht="15" customHeight="1" s="244">
      <c r="A42" s="310" t="n"/>
      <c r="B42" s="313" t="inlineStr">
        <is>
          <t xml:space="preserve">Merdiven Kiriş-kolon </t>
        </is>
      </c>
      <c r="E42" s="243" t="inlineStr">
        <is>
          <t>:</t>
        </is>
      </c>
      <c r="F42" s="317" t="n">
        <v>0.375</v>
      </c>
      <c r="G42" s="323" t="inlineStr">
        <is>
          <t>W/M²k</t>
        </is>
      </c>
      <c r="H42" s="280" t="n"/>
    </row>
    <row r="43" ht="15" customHeight="1" s="244">
      <c r="A43" s="310" t="n"/>
      <c r="B43" s="313" t="inlineStr">
        <is>
          <t xml:space="preserve">Döşeme  </t>
        </is>
      </c>
      <c r="E43" s="243" t="inlineStr">
        <is>
          <t>:</t>
        </is>
      </c>
      <c r="F43" s="317" t="n">
        <v>0.312</v>
      </c>
      <c r="G43" s="323" t="inlineStr">
        <is>
          <t>W/M²k</t>
        </is>
      </c>
      <c r="H43" s="280" t="n"/>
    </row>
    <row r="44" ht="15" customHeight="1" s="244">
      <c r="A44" s="310" t="n"/>
      <c r="B44" s="313" t="inlineStr">
        <is>
          <t>Tavan                                               :</t>
        </is>
      </c>
      <c r="E44" s="243" t="inlineStr">
        <is>
          <t>:</t>
        </is>
      </c>
      <c r="F44" s="317" t="n">
        <v>0.266</v>
      </c>
      <c r="G44" s="323" t="inlineStr">
        <is>
          <t>W/M²k</t>
        </is>
      </c>
      <c r="H44" s="280" t="n"/>
    </row>
    <row r="45" ht="15" customHeight="1" s="244">
      <c r="A45" s="310" t="n"/>
      <c r="B45" s="313" t="inlineStr">
        <is>
          <t>Döşeme  Açık Geçit</t>
        </is>
      </c>
      <c r="E45" s="243" t="inlineStr">
        <is>
          <t>:</t>
        </is>
      </c>
      <c r="F45" s="317" t="n">
        <v>0</v>
      </c>
      <c r="G45" s="323" t="inlineStr">
        <is>
          <t>W/M²k</t>
        </is>
      </c>
      <c r="H45" s="280" t="n"/>
    </row>
    <row r="46" ht="15" customHeight="1" s="244">
      <c r="A46" s="310" t="n"/>
      <c r="B46" s="313" t="inlineStr">
        <is>
          <t>Bağımsız bölüm</t>
        </is>
      </c>
      <c r="C46" s="324" t="n"/>
      <c r="D46" s="323" t="n"/>
      <c r="E46" s="243" t="inlineStr">
        <is>
          <t>:</t>
        </is>
      </c>
      <c r="F46" s="317" t="n">
        <v>0</v>
      </c>
      <c r="G46" s="323" t="inlineStr">
        <is>
          <t>W/M²k</t>
        </is>
      </c>
      <c r="H46" s="280" t="n"/>
    </row>
    <row r="47" ht="15" customHeight="1" s="244">
      <c r="A47" s="310" t="n"/>
      <c r="B47" s="313" t="inlineStr">
        <is>
          <t>Bağımsız bölüm kolon kiriş</t>
        </is>
      </c>
      <c r="C47" s="324" t="n"/>
      <c r="D47" s="323" t="n"/>
      <c r="E47" s="243" t="inlineStr">
        <is>
          <t>:</t>
        </is>
      </c>
      <c r="F47" s="317" t="n">
        <v>0</v>
      </c>
      <c r="G47" s="323" t="inlineStr">
        <is>
          <t>W/M²k</t>
        </is>
      </c>
      <c r="H47" s="280" t="n"/>
    </row>
    <row r="48" ht="15" customHeight="1" s="244">
      <c r="A48" s="310" t="n"/>
      <c r="B48" s="313" t="inlineStr">
        <is>
          <t>İç Duvar</t>
        </is>
      </c>
      <c r="C48" s="324" t="n"/>
      <c r="D48" s="323" t="n"/>
      <c r="E48" s="243" t="inlineStr">
        <is>
          <t>:</t>
        </is>
      </c>
      <c r="F48" s="317" t="n">
        <v>1.915</v>
      </c>
      <c r="G48" s="323" t="inlineStr">
        <is>
          <t>W/M²k</t>
        </is>
      </c>
      <c r="H48" s="280" t="n"/>
    </row>
    <row r="49" ht="15.75" customHeight="1" s="244">
      <c r="A49" s="310" t="n"/>
      <c r="B49" s="315" t="inlineStr">
        <is>
          <t>Kullanılan Kısaltmalar:</t>
        </is>
      </c>
      <c r="D49" s="323" t="n"/>
      <c r="H49" s="280" t="n"/>
    </row>
    <row r="50" ht="15" customHeight="1" s="244">
      <c r="A50" s="310" t="n"/>
      <c r="B50" s="313" t="inlineStr">
        <is>
          <t>Dış Duvar</t>
        </is>
      </c>
      <c r="D50" s="323" t="n"/>
      <c r="E50" s="317" t="inlineStr">
        <is>
          <t>:DD</t>
        </is>
      </c>
      <c r="H50" s="280" t="n"/>
    </row>
    <row r="51" ht="15" customHeight="1" s="244">
      <c r="A51" s="310" t="n"/>
      <c r="B51" s="313" t="inlineStr">
        <is>
          <t>Pencere</t>
        </is>
      </c>
      <c r="D51" s="323" t="n"/>
      <c r="E51" s="317" t="inlineStr">
        <is>
          <t>:ÇP</t>
        </is>
      </c>
      <c r="H51" s="280" t="n"/>
    </row>
    <row r="52" ht="15" customHeight="1" s="244">
      <c r="A52" s="310" t="n"/>
      <c r="B52" s="313" t="inlineStr">
        <is>
          <t>İç Kapı</t>
        </is>
      </c>
      <c r="E52" s="317" t="inlineStr">
        <is>
          <t>:İK</t>
        </is>
      </c>
      <c r="H52" s="280" t="n"/>
    </row>
    <row r="53" ht="15" customHeight="1" s="244">
      <c r="A53" s="310" t="n"/>
      <c r="B53" s="313" t="inlineStr">
        <is>
          <t>Dış Kapı</t>
        </is>
      </c>
      <c r="E53" s="317" t="inlineStr">
        <is>
          <t>:DK</t>
        </is>
      </c>
      <c r="H53" s="280" t="n"/>
    </row>
    <row r="54" ht="15" customHeight="1" s="244">
      <c r="A54" s="310" t="n"/>
      <c r="B54" s="313" t="inlineStr">
        <is>
          <t>Balkon Kapısı</t>
        </is>
      </c>
      <c r="E54" s="317" t="inlineStr">
        <is>
          <t>:BK</t>
        </is>
      </c>
      <c r="H54" s="280" t="n"/>
    </row>
    <row r="55" ht="15" customHeight="1" s="244">
      <c r="A55" s="310" t="n"/>
      <c r="B55" s="313" t="inlineStr">
        <is>
          <t>Döşeme</t>
        </is>
      </c>
      <c r="E55" s="317" t="inlineStr">
        <is>
          <t>:Dö</t>
        </is>
      </c>
      <c r="H55" s="280" t="n"/>
    </row>
    <row r="56" ht="15" customHeight="1" s="244">
      <c r="A56" s="310" t="n"/>
      <c r="B56" s="313" t="inlineStr">
        <is>
          <t>Tavan</t>
        </is>
      </c>
      <c r="E56" s="317" t="inlineStr">
        <is>
          <t>:Ta</t>
        </is>
      </c>
      <c r="H56" s="280" t="n"/>
    </row>
    <row r="57" ht="15" customHeight="1" s="244">
      <c r="A57" s="310" t="n"/>
      <c r="B57" s="313" t="inlineStr">
        <is>
          <t>Dükkan</t>
        </is>
      </c>
      <c r="E57" s="317" t="inlineStr">
        <is>
          <t>:DÜK</t>
        </is>
      </c>
      <c r="H57" s="280" t="n"/>
    </row>
    <row r="58" ht="15" customHeight="1" s="244">
      <c r="A58" s="310" t="n"/>
      <c r="B58" s="313" t="inlineStr">
        <is>
          <t>Bodrum</t>
        </is>
      </c>
      <c r="E58" s="317" t="inlineStr">
        <is>
          <t>:B</t>
        </is>
      </c>
      <c r="H58" s="280" t="n"/>
    </row>
    <row r="59" ht="15" customHeight="1" s="244">
      <c r="A59" s="310" t="n"/>
      <c r="B59" s="313" t="inlineStr">
        <is>
          <t xml:space="preserve">Sürgülü  kapı                                </t>
        </is>
      </c>
      <c r="E59" s="317" t="inlineStr">
        <is>
          <t>:SK</t>
        </is>
      </c>
      <c r="H59" s="280" t="n"/>
    </row>
    <row r="60" ht="15" customHeight="1" s="244">
      <c r="A60" s="310" t="n"/>
      <c r="B60" s="313" t="inlineStr">
        <is>
          <t>Kiriş - Kolon</t>
        </is>
      </c>
      <c r="E60" s="317" t="inlineStr">
        <is>
          <t>: DD2</t>
        </is>
      </c>
      <c r="H60" s="280" t="n"/>
    </row>
    <row r="61" ht="15" customHeight="1" s="244">
      <c r="A61" s="310" t="n"/>
      <c r="B61" s="313" t="inlineStr">
        <is>
          <t>İç Taban</t>
        </is>
      </c>
      <c r="E61" s="317" t="inlineStr">
        <is>
          <t>:Dö</t>
        </is>
      </c>
      <c r="H61" s="280" t="n"/>
    </row>
    <row r="62" ht="15" customHeight="1" s="244">
      <c r="A62" s="310" t="n"/>
      <c r="B62" s="313" t="inlineStr">
        <is>
          <t>İç Duvar</t>
        </is>
      </c>
      <c r="E62" s="317" t="inlineStr">
        <is>
          <t>: İD</t>
        </is>
      </c>
      <c r="H62" s="280" t="n"/>
    </row>
    <row r="63" ht="15" customHeight="1" s="244">
      <c r="A63" s="279" t="n"/>
      <c r="B63" s="313" t="inlineStr">
        <is>
          <t xml:space="preserve">Merdiven Duvarı </t>
        </is>
      </c>
      <c r="E63" s="317" t="inlineStr">
        <is>
          <t>: İDM</t>
        </is>
      </c>
      <c r="H63" s="280" t="n"/>
    </row>
    <row r="64" ht="15" customHeight="1" s="244">
      <c r="A64" s="279" t="n"/>
      <c r="B64" s="313" t="inlineStr">
        <is>
          <t xml:space="preserve">Merdiven Kiriş-kolon </t>
        </is>
      </c>
      <c r="E64" s="317" t="inlineStr">
        <is>
          <t>: İDMK</t>
        </is>
      </c>
      <c r="H64" s="280" t="n"/>
    </row>
    <row r="65" ht="13.5" customHeight="1" s="244">
      <c r="A65" s="325" t="n"/>
      <c r="B65" s="326" t="n"/>
      <c r="C65" s="326" t="n"/>
      <c r="D65" s="326" t="n"/>
      <c r="E65" s="326" t="n"/>
      <c r="F65" s="326" t="n"/>
      <c r="G65" s="326" t="n"/>
      <c r="H65" s="327" t="n"/>
    </row>
    <row r="66" ht="13.5" customHeight="1" s="244"/>
  </sheetData>
  <mergeCells count="10">
    <mergeCell ref="A4:B4"/>
    <mergeCell ref="B14:D14"/>
    <mergeCell ref="C3:F3"/>
    <mergeCell ref="C4:F4"/>
    <mergeCell ref="G3:G4"/>
    <mergeCell ref="A1:F2"/>
    <mergeCell ref="H3:H4"/>
    <mergeCell ref="G1:G2"/>
    <mergeCell ref="H1:H2"/>
    <mergeCell ref="A3:B3"/>
  </mergeCells>
  <printOptions horizontalCentered="1" verticalCentered="0" headings="0" gridLines="0" gridLinesSet="1"/>
  <pageMargins left="0.309722222222222" right="0.3" top="0.59027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200"/>
  <sheetViews>
    <sheetView showFormulas="0" showGridLines="1" showRowColHeaders="1" showZeros="1" rightToLeft="0" tabSelected="0" showOutlineSymbols="1" defaultGridColor="1" view="normal" topLeftCell="A8" colorId="64" zoomScale="160" zoomScaleNormal="160" zoomScalePageLayoutView="100" workbookViewId="0">
      <selection pane="topLeft" activeCell="Q43" activeCellId="0" sqref="Q43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1. BODRUM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B1</t>
        </is>
      </c>
      <c r="G8" s="362" t="inlineStr">
        <is>
          <t>0</t>
        </is>
      </c>
      <c r="H8" s="360" t="inlineStr">
        <is>
          <t>B01</t>
        </is>
      </c>
      <c r="I8" s="363" t="inlineStr">
        <is>
          <t>DAİRE 1 SALON</t>
        </is>
      </c>
      <c r="J8" s="364" t="n"/>
      <c r="K8" s="360" t="inlineStr">
        <is>
          <t>22ºC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K</t>
        </is>
      </c>
      <c r="C9" s="368" t="n"/>
      <c r="D9" s="369" t="n">
        <v>4.11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28</v>
      </c>
      <c r="L9" s="373">
        <f>IF(I9=" "," ",I9*J9*K9)</f>
        <v/>
      </c>
      <c r="M9" s="374" t="n">
        <v>7</v>
      </c>
      <c r="N9" s="371" t="n">
        <v>0</v>
      </c>
      <c r="O9" s="374" t="n">
        <v>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K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28</v>
      </c>
      <c r="L10" s="373">
        <f>IF(I10=" "," ",I10*J10*K10)</f>
        <v/>
      </c>
      <c r="M10" s="374" t="n">
        <v>7</v>
      </c>
      <c r="N10" s="371" t="n">
        <v>0</v>
      </c>
      <c r="O10" s="374" t="n">
        <v>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BK</t>
        </is>
      </c>
      <c r="B11" s="367" t="inlineStr">
        <is>
          <t>K</t>
        </is>
      </c>
      <c r="C11" s="368" t="n"/>
      <c r="D11" s="369" t="n">
        <v>2.5</v>
      </c>
      <c r="E11" s="369" t="n">
        <v>2.5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28</v>
      </c>
      <c r="L11" s="373">
        <f>IF(I11=" "," ",I11*J11*K11)</f>
        <v/>
      </c>
      <c r="M11" s="374" t="n">
        <v>7</v>
      </c>
      <c r="N11" s="371" t="n">
        <v>0</v>
      </c>
      <c r="O11" s="374" t="n">
        <v>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DD</t>
        </is>
      </c>
      <c r="B12" s="367" t="inlineStr">
        <is>
          <t>B</t>
        </is>
      </c>
      <c r="C12" s="368" t="n"/>
      <c r="D12" s="369" t="n">
        <v>6</v>
      </c>
      <c r="E12" s="369" t="n">
        <v>2.5</v>
      </c>
      <c r="F12" s="370">
        <f>IF(D12=0," ",D12*E12)</f>
        <v/>
      </c>
      <c r="G12" s="371" t="n">
        <v>1</v>
      </c>
      <c r="H12" s="372">
        <f>F14*G14</f>
        <v/>
      </c>
      <c r="I12" s="370">
        <f>IF(F12=" "," ",F12*G12-H12)</f>
        <v/>
      </c>
      <c r="J12" s="369" t="n">
        <v>0.344</v>
      </c>
      <c r="K12" s="371" t="n">
        <v>28</v>
      </c>
      <c r="L12" s="373">
        <f>IF(I12=" "," ",I12*J12*K12)</f>
        <v/>
      </c>
      <c r="M12" s="374" t="n">
        <v>7</v>
      </c>
      <c r="N12" s="371" t="n">
        <v>0</v>
      </c>
      <c r="O12" s="374" t="n">
        <v>0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DD25</t>
        </is>
      </c>
      <c r="B13" s="367" t="inlineStr">
        <is>
          <t>B</t>
        </is>
      </c>
      <c r="C13" s="368" t="n"/>
      <c r="D13" s="369">
        <f>D12</f>
        <v/>
      </c>
      <c r="E13" s="369" t="n">
        <v>0.5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0.387</v>
      </c>
      <c r="K13" s="371" t="n">
        <v>28</v>
      </c>
      <c r="L13" s="373">
        <f>IF(I13=" "," ",I13*J13*K13)</f>
        <v/>
      </c>
      <c r="M13" s="374" t="n">
        <v>7</v>
      </c>
      <c r="N13" s="371" t="n">
        <v>0</v>
      </c>
      <c r="O13" s="374" t="n">
        <v>0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ÇP</t>
        </is>
      </c>
      <c r="B14" s="367" t="inlineStr">
        <is>
          <t>B</t>
        </is>
      </c>
      <c r="C14" s="368" t="n"/>
      <c r="D14" s="369" t="n">
        <v>2</v>
      </c>
      <c r="E14" s="369" t="n">
        <v>2.2</v>
      </c>
      <c r="F14" s="370">
        <f>IF(D14=0," ",D14*E14)</f>
        <v/>
      </c>
      <c r="G14" s="371" t="n">
        <v>1</v>
      </c>
      <c r="H14" s="372" t="n"/>
      <c r="I14" s="370">
        <f>IF(F14=" "," ",F14*G14-H14)</f>
        <v/>
      </c>
      <c r="J14" s="369" t="n">
        <v>1.8</v>
      </c>
      <c r="K14" s="371" t="n">
        <v>28</v>
      </c>
      <c r="L14" s="373">
        <f>IF(I14=" "," ",I14*J14*K14)</f>
        <v/>
      </c>
      <c r="M14" s="374" t="n">
        <v>7</v>
      </c>
      <c r="N14" s="371" t="n">
        <v>0</v>
      </c>
      <c r="O14" s="374" t="n">
        <v>0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66" t="inlineStr">
        <is>
          <t>Dö</t>
        </is>
      </c>
      <c r="B15" s="367" t="inlineStr"/>
      <c r="C15" s="368" t="n"/>
      <c r="D15" s="369" t="n">
        <v>28.29</v>
      </c>
      <c r="E15" s="369" t="n">
        <v>1</v>
      </c>
      <c r="F15" s="370">
        <f>IF(D15=0," ",D15*E15)</f>
        <v/>
      </c>
      <c r="G15" s="371" t="n">
        <v>1</v>
      </c>
      <c r="H15" s="372" t="n"/>
      <c r="I15" s="370">
        <f>IF(F15=" "," ",F15*G15-H15)</f>
        <v/>
      </c>
      <c r="J15" s="369" t="n">
        <v>0.312</v>
      </c>
      <c r="K15" s="371" t="n">
        <v>16</v>
      </c>
      <c r="L15" s="373">
        <f>IF(I15=" "," ",I15*J15*K15)</f>
        <v/>
      </c>
      <c r="M15" s="374" t="n">
        <v>7</v>
      </c>
      <c r="N15" s="371" t="n">
        <v>0</v>
      </c>
      <c r="O15" s="374" t="n">
        <v>0</v>
      </c>
      <c r="P15" s="370">
        <f>IF(M15=" "," ",(1+(M15+N15+O15)/100))</f>
        <v/>
      </c>
      <c r="Q15" s="375">
        <f>IF(L15=" "," ",L15*P15)</f>
        <v/>
      </c>
    </row>
    <row r="16" ht="9.949999999999999" customFormat="1" customHeight="1" s="356">
      <c r="A16" s="376" t="n"/>
      <c r="B16" s="377" t="n"/>
      <c r="C16" s="377" t="n"/>
      <c r="D16" s="378" t="n"/>
      <c r="E16" s="378" t="n"/>
      <c r="F16" s="378" t="n"/>
      <c r="G16" s="379" t="n"/>
      <c r="H16" s="378" t="n"/>
      <c r="I16" s="378" t="n"/>
      <c r="J16" s="378" t="n"/>
      <c r="K16" s="379" t="n"/>
      <c r="L16" s="380" t="n"/>
      <c r="M16" s="381" t="n"/>
      <c r="N16" s="381" t="n"/>
      <c r="O16" s="381" t="n"/>
      <c r="P16" s="382" t="n"/>
      <c r="Q16" s="383">
        <f>SUM(Q9:Q15)</f>
        <v/>
      </c>
    </row>
    <row r="17" ht="9.949999999999999" customFormat="1" customHeight="1" s="356">
      <c r="A17" s="384" t="n"/>
      <c r="B17" s="385" t="n"/>
      <c r="C17" s="385" t="n"/>
      <c r="D17" s="386" t="n"/>
      <c r="E17" s="387" t="n"/>
      <c r="F17" s="388" t="n"/>
      <c r="G17" s="389" t="n"/>
      <c r="H17" s="388" t="n"/>
      <c r="I17" s="390" t="n"/>
      <c r="J17" s="391" t="inlineStr">
        <is>
          <t>Qs=</t>
        </is>
      </c>
      <c r="K17" s="390" t="inlineStr">
        <is>
          <t>S a</t>
        </is>
      </c>
      <c r="L17" s="388" t="inlineStr">
        <is>
          <t>L</t>
        </is>
      </c>
      <c r="M17" s="389" t="inlineStr">
        <is>
          <t>R</t>
        </is>
      </c>
      <c r="N17" s="392" t="inlineStr">
        <is>
          <t>H</t>
        </is>
      </c>
      <c r="O17" s="393" t="inlineStr">
        <is>
          <t>D  T</t>
        </is>
      </c>
      <c r="P17" s="389" t="inlineStr">
        <is>
          <t>Ze</t>
        </is>
      </c>
      <c r="Q17" s="394" t="n"/>
    </row>
    <row r="18" ht="9.949999999999999" customFormat="1" customHeight="1" s="356">
      <c r="A18" s="395" t="inlineStr">
        <is>
          <t xml:space="preserve"> </t>
        </is>
      </c>
      <c r="B18" s="396" t="n"/>
      <c r="C18" s="397" t="n"/>
      <c r="D18" s="397" t="n"/>
      <c r="E18" s="398" t="n"/>
      <c r="F18" s="399" t="n"/>
      <c r="G18" s="400" t="n"/>
      <c r="H18" s="401" t="n"/>
      <c r="I18" s="402" t="n"/>
      <c r="J18" s="403" t="inlineStr">
        <is>
          <t>Qs  =</t>
        </is>
      </c>
      <c r="K18" s="404" t="n">
        <v>2</v>
      </c>
      <c r="L18" s="404">
        <f>(D11+E11)*2*G11+(D14+E14)*2*G14</f>
        <v/>
      </c>
      <c r="M18" s="404" t="n">
        <v>0.9</v>
      </c>
      <c r="N18" s="404" t="n">
        <v>0.67</v>
      </c>
      <c r="O18" s="381" t="n">
        <v>28</v>
      </c>
      <c r="P18" s="404" t="n">
        <v>1.2</v>
      </c>
      <c r="Q18" s="383">
        <f>K18*L18*M18*N18*O18*P18</f>
        <v/>
      </c>
    </row>
    <row r="19" ht="9.949999999999999" customFormat="1" customHeight="1" s="356">
      <c r="A19" s="405" t="n"/>
      <c r="B19" s="406" t="n"/>
      <c r="C19" s="397" t="n"/>
      <c r="D19" s="397" t="n"/>
      <c r="E19" s="378" t="n"/>
      <c r="F19" s="256" t="n"/>
      <c r="G19" s="407" t="n"/>
      <c r="H19" s="397" t="n"/>
      <c r="I19" s="397" t="n"/>
      <c r="J19" s="397" t="n"/>
      <c r="K19" s="407" t="n"/>
      <c r="L19" s="408" t="n"/>
      <c r="M19" s="409" t="inlineStr">
        <is>
          <t xml:space="preserve">   TOPLAM ISI KAYBI =</t>
        </is>
      </c>
      <c r="N19" s="409" t="n"/>
      <c r="O19" s="410" t="n"/>
      <c r="P19" s="409" t="n"/>
      <c r="Q19" s="411">
        <f>Q16+Q18</f>
        <v/>
      </c>
    </row>
    <row r="20" ht="10.35" customFormat="1" customHeight="1" s="356">
      <c r="A20" s="359" t="n"/>
      <c r="B20" s="360" t="n"/>
      <c r="C20" s="360" t="n"/>
      <c r="D20" s="360" t="n"/>
      <c r="E20" s="360" t="n"/>
      <c r="F20" s="361" t="inlineStr">
        <is>
          <t>B1</t>
        </is>
      </c>
      <c r="G20" s="362" t="inlineStr">
        <is>
          <t>0</t>
        </is>
      </c>
      <c r="H20" s="360" t="inlineStr">
        <is>
          <t>B02</t>
        </is>
      </c>
      <c r="I20" s="363" t="inlineStr">
        <is>
          <t>DAİRE 1 MUTFAK</t>
        </is>
      </c>
      <c r="J20" s="364" t="n"/>
      <c r="K20" s="360" t="inlineStr">
        <is>
          <t>20ºC</t>
        </is>
      </c>
      <c r="L20" s="360" t="n"/>
      <c r="M20" s="360" t="n"/>
      <c r="N20" s="360" t="n"/>
      <c r="O20" s="360" t="n"/>
      <c r="P20" s="360" t="n"/>
      <c r="Q20" s="365" t="n"/>
    </row>
    <row r="21" ht="9.949999999999999" customFormat="1" customHeight="1" s="356">
      <c r="A21" s="366" t="inlineStr">
        <is>
          <t>DD</t>
        </is>
      </c>
      <c r="B21" s="367" t="inlineStr">
        <is>
          <t>K</t>
        </is>
      </c>
      <c r="C21" s="368" t="n"/>
      <c r="D21" s="369" t="n">
        <v>3.59</v>
      </c>
      <c r="E21" s="369" t="n">
        <v>2.5</v>
      </c>
      <c r="F21" s="370">
        <f>IF(D21=0," ",D21*E21)</f>
        <v/>
      </c>
      <c r="G21" s="371" t="n">
        <v>1</v>
      </c>
      <c r="H21" s="372">
        <f>F23*G23</f>
        <v/>
      </c>
      <c r="I21" s="370">
        <f>IF(F21=" "," ",F21*G21-H21)</f>
        <v/>
      </c>
      <c r="J21" s="369" t="n">
        <v>0.344</v>
      </c>
      <c r="K21" s="371" t="n">
        <v>26</v>
      </c>
      <c r="L21" s="373">
        <f>IF(I21=" "," ",I21*J21*K21)</f>
        <v/>
      </c>
      <c r="M21" s="374" t="n">
        <v>7</v>
      </c>
      <c r="N21" s="371" t="n">
        <v>0</v>
      </c>
      <c r="O21" s="374" t="n">
        <v>5</v>
      </c>
      <c r="P21" s="370">
        <f>IF(M21=" "," ",(1+(M21+N21+O21)/100))</f>
        <v/>
      </c>
      <c r="Q21" s="375">
        <f>IF(L21=" "," ",L21*P21)</f>
        <v/>
      </c>
    </row>
    <row r="22" ht="9.949999999999999" customFormat="1" customHeight="1" s="356">
      <c r="A22" s="366" t="inlineStr">
        <is>
          <t>DD25</t>
        </is>
      </c>
      <c r="B22" s="367" t="inlineStr">
        <is>
          <t>K</t>
        </is>
      </c>
      <c r="C22" s="368" t="n"/>
      <c r="D22" s="369">
        <f>D21</f>
        <v/>
      </c>
      <c r="E22" s="369" t="n">
        <v>0.5</v>
      </c>
      <c r="F22" s="370">
        <f>IF(D22=0," ",D22*E22)</f>
        <v/>
      </c>
      <c r="G22" s="371" t="n">
        <v>1</v>
      </c>
      <c r="H22" s="372" t="n"/>
      <c r="I22" s="370">
        <f>IF(F22=" "," ",F22*G22-H22)</f>
        <v/>
      </c>
      <c r="J22" s="369" t="n">
        <v>0.387</v>
      </c>
      <c r="K22" s="371" t="n">
        <v>26</v>
      </c>
      <c r="L22" s="373">
        <f>IF(I22=" "," ",I22*J22*K22)</f>
        <v/>
      </c>
      <c r="M22" s="374" t="n">
        <v>7</v>
      </c>
      <c r="N22" s="371" t="n">
        <v>0</v>
      </c>
      <c r="O22" s="374" t="n">
        <v>5</v>
      </c>
      <c r="P22" s="370">
        <f>IF(M22=" "," ",(1+(M22+N22+O22)/100))</f>
        <v/>
      </c>
      <c r="Q22" s="375">
        <f>IF(L22=" "," ",L22*P22)</f>
        <v/>
      </c>
    </row>
    <row r="23" ht="9.949999999999999" customFormat="1" customHeight="1" s="356">
      <c r="A23" s="366" t="inlineStr">
        <is>
          <t>BK</t>
        </is>
      </c>
      <c r="B23" s="367" t="inlineStr">
        <is>
          <t>K</t>
        </is>
      </c>
      <c r="C23" s="368" t="n"/>
      <c r="D23" s="369" t="n">
        <v>1.5</v>
      </c>
      <c r="E23" s="369" t="n">
        <v>2.5</v>
      </c>
      <c r="F23" s="370">
        <f>IF(D23=0," ",D23*E23)</f>
        <v/>
      </c>
      <c r="G23" s="371" t="n">
        <v>1</v>
      </c>
      <c r="H23" s="372" t="n"/>
      <c r="I23" s="370">
        <f>IF(F23=" "," ",F23*G23-H23)</f>
        <v/>
      </c>
      <c r="J23" s="369" t="n">
        <v>1.8</v>
      </c>
      <c r="K23" s="371" t="n">
        <v>26</v>
      </c>
      <c r="L23" s="373">
        <f>IF(I23=" "," ",I23*J23*K23)</f>
        <v/>
      </c>
      <c r="M23" s="374" t="n">
        <v>7</v>
      </c>
      <c r="N23" s="371" t="n">
        <v>0</v>
      </c>
      <c r="O23" s="374" t="n">
        <v>5</v>
      </c>
      <c r="P23" s="370">
        <f>IF(M23=" "," ",(1+(M23+N23+O23)/100))</f>
        <v/>
      </c>
      <c r="Q23" s="375">
        <f>IF(L23=" "," ",L23*P23)</f>
        <v/>
      </c>
    </row>
    <row r="24" ht="9.949999999999999" customFormat="1" customHeight="1" s="356">
      <c r="A24" s="366" t="inlineStr">
        <is>
          <t>DD</t>
        </is>
      </c>
      <c r="B24" s="367" t="inlineStr">
        <is>
          <t>D</t>
        </is>
      </c>
      <c r="C24" s="368" t="n"/>
      <c r="D24" s="369" t="n">
        <v>3.74</v>
      </c>
      <c r="E24" s="369" t="n">
        <v>2.5</v>
      </c>
      <c r="F24" s="370">
        <f>IF(D24=0," ",D24*E24)</f>
        <v/>
      </c>
      <c r="G24" s="371" t="n">
        <v>1</v>
      </c>
      <c r="H24" s="372" t="n"/>
      <c r="I24" s="370">
        <f>IF(F24=" "," ",F24*G24-H24)</f>
        <v/>
      </c>
      <c r="J24" s="369" t="n">
        <v>0.344</v>
      </c>
      <c r="K24" s="371" t="n">
        <v>26</v>
      </c>
      <c r="L24" s="373">
        <f>IF(I24=" "," ",I24*J24*K24)</f>
        <v/>
      </c>
      <c r="M24" s="374" t="n">
        <v>7</v>
      </c>
      <c r="N24" s="371" t="n">
        <v>0</v>
      </c>
      <c r="O24" s="374" t="n">
        <v>0</v>
      </c>
      <c r="P24" s="370">
        <f>IF(M24=" "," ",(1+(M24+N24+O24)/100))</f>
        <v/>
      </c>
      <c r="Q24" s="375">
        <f>IF(L24=" "," ",L24*P24)</f>
        <v/>
      </c>
    </row>
    <row r="25" ht="9.949999999999999" customFormat="1" customHeight="1" s="356">
      <c r="A25" s="366" t="inlineStr">
        <is>
          <t>DD25</t>
        </is>
      </c>
      <c r="B25" s="367" t="inlineStr">
        <is>
          <t>D</t>
        </is>
      </c>
      <c r="C25" s="368" t="n"/>
      <c r="D25" s="369">
        <f>D24</f>
        <v/>
      </c>
      <c r="E25" s="369" t="n">
        <v>0.5</v>
      </c>
      <c r="F25" s="370">
        <f>IF(D25=0," ",D25*E25)</f>
        <v/>
      </c>
      <c r="G25" s="371" t="n">
        <v>1</v>
      </c>
      <c r="H25" s="372" t="n"/>
      <c r="I25" s="370">
        <f>IF(F25=" "," ",F25*G25-H25)</f>
        <v/>
      </c>
      <c r="J25" s="369" t="n">
        <v>0.387</v>
      </c>
      <c r="K25" s="371" t="n">
        <v>26</v>
      </c>
      <c r="L25" s="373">
        <f>IF(I25=" "," ",I25*J25*K25)</f>
        <v/>
      </c>
      <c r="M25" s="374" t="n">
        <v>7</v>
      </c>
      <c r="N25" s="371" t="n">
        <v>0</v>
      </c>
      <c r="O25" s="374" t="n">
        <v>0</v>
      </c>
      <c r="P25" s="370">
        <f>IF(M25=" "," ",(1+(M25+N25+O25)/100))</f>
        <v/>
      </c>
      <c r="Q25" s="375">
        <f>IF(L25=" "," ",L25*P25)</f>
        <v/>
      </c>
    </row>
    <row r="26" ht="9.949999999999999" customFormat="1" customHeight="1" s="356">
      <c r="A26" s="366" t="inlineStr">
        <is>
          <t>Dö</t>
        </is>
      </c>
      <c r="B26" s="367" t="inlineStr"/>
      <c r="C26" s="368" t="n"/>
      <c r="D26" s="369" t="n">
        <v>13.87</v>
      </c>
      <c r="E26" s="369" t="n">
        <v>1</v>
      </c>
      <c r="F26" s="370">
        <f>IF(D26=0," ",D26*E26)</f>
        <v/>
      </c>
      <c r="G26" s="371" t="n">
        <v>1</v>
      </c>
      <c r="H26" s="372" t="n"/>
      <c r="I26" s="370">
        <f>IF(F26=" "," ",F26*G26-H26)</f>
        <v/>
      </c>
      <c r="J26" s="369" t="n">
        <v>0.312</v>
      </c>
      <c r="K26" s="371" t="n">
        <v>14</v>
      </c>
      <c r="L26" s="373">
        <f>IF(I26=" "," ",I26*J26*K26)</f>
        <v/>
      </c>
      <c r="M26" s="374" t="n">
        <v>7</v>
      </c>
      <c r="N26" s="371" t="n">
        <v>0</v>
      </c>
      <c r="O26" s="374" t="n">
        <v>0</v>
      </c>
      <c r="P26" s="370">
        <f>IF(M26=" "," ",(1+(M26+N26+O26)/100))</f>
        <v/>
      </c>
      <c r="Q26" s="375">
        <f>IF(L26=" "," ",L26*P26)</f>
        <v/>
      </c>
    </row>
    <row r="27" ht="9.949999999999999" customFormat="1" customHeight="1" s="356">
      <c r="A27" s="376" t="n"/>
      <c r="B27" s="377" t="n"/>
      <c r="C27" s="377" t="n"/>
      <c r="D27" s="378" t="n"/>
      <c r="E27" s="378" t="n"/>
      <c r="F27" s="378" t="n"/>
      <c r="G27" s="379" t="n"/>
      <c r="H27" s="378" t="n"/>
      <c r="I27" s="378" t="n"/>
      <c r="J27" s="378" t="n"/>
      <c r="K27" s="379" t="n"/>
      <c r="L27" s="380" t="n"/>
      <c r="M27" s="381" t="n"/>
      <c r="N27" s="381" t="n"/>
      <c r="O27" s="381" t="n"/>
      <c r="P27" s="382" t="n"/>
      <c r="Q27" s="383">
        <f>SUM(Q21:Q26)</f>
        <v/>
      </c>
    </row>
    <row r="28" ht="9.949999999999999" customFormat="1" customHeight="1" s="356">
      <c r="A28" s="384" t="n"/>
      <c r="B28" s="385" t="n"/>
      <c r="C28" s="385" t="n"/>
      <c r="D28" s="386" t="n"/>
      <c r="E28" s="387" t="n"/>
      <c r="F28" s="388" t="n"/>
      <c r="G28" s="389" t="n"/>
      <c r="H28" s="388" t="n"/>
      <c r="I28" s="390" t="n"/>
      <c r="J28" s="391" t="inlineStr">
        <is>
          <t>Qs=</t>
        </is>
      </c>
      <c r="K28" s="390" t="inlineStr">
        <is>
          <t>S a</t>
        </is>
      </c>
      <c r="L28" s="388" t="inlineStr">
        <is>
          <t>L</t>
        </is>
      </c>
      <c r="M28" s="389" t="inlineStr">
        <is>
          <t>R</t>
        </is>
      </c>
      <c r="N28" s="392" t="inlineStr">
        <is>
          <t>H</t>
        </is>
      </c>
      <c r="O28" s="393" t="inlineStr">
        <is>
          <t>D  T</t>
        </is>
      </c>
      <c r="P28" s="389" t="inlineStr">
        <is>
          <t>Ze</t>
        </is>
      </c>
      <c r="Q28" s="394" t="n"/>
    </row>
    <row r="29" ht="9.949999999999999" customFormat="1" customHeight="1" s="356">
      <c r="A29" s="395" t="inlineStr">
        <is>
          <t xml:space="preserve"> </t>
        </is>
      </c>
      <c r="B29" s="412" t="n"/>
      <c r="C29" s="397" t="n"/>
      <c r="D29" s="397" t="n"/>
      <c r="E29" s="398" t="n"/>
      <c r="F29" s="399" t="n"/>
      <c r="G29" s="400" t="n"/>
      <c r="H29" s="401" t="n"/>
      <c r="I29" s="402" t="n"/>
      <c r="J29" s="403" t="inlineStr">
        <is>
          <t>Qs  =</t>
        </is>
      </c>
      <c r="K29" s="404" t="n">
        <v>2</v>
      </c>
      <c r="L29" s="404">
        <f>(D23+E23)*2*G23</f>
        <v/>
      </c>
      <c r="M29" s="404" t="n">
        <v>0.9</v>
      </c>
      <c r="N29" s="404" t="n">
        <v>0.67</v>
      </c>
      <c r="O29" s="381" t="n">
        <v>26</v>
      </c>
      <c r="P29" s="404" t="n">
        <v>1</v>
      </c>
      <c r="Q29" s="383">
        <f>K29*L29*M29*N29*O29*P29</f>
        <v/>
      </c>
    </row>
    <row r="30" ht="9.949999999999999" customFormat="1" customHeight="1" s="413">
      <c r="A30" s="405" t="n"/>
      <c r="B30" s="406" t="n"/>
      <c r="C30" s="397" t="n"/>
      <c r="D30" s="397" t="n"/>
      <c r="E30" s="378" t="n"/>
      <c r="F30" s="256" t="n"/>
      <c r="G30" s="407" t="n"/>
      <c r="H30" s="397" t="n"/>
      <c r="I30" s="397" t="n"/>
      <c r="J30" s="397" t="n"/>
      <c r="K30" s="407" t="n"/>
      <c r="L30" s="408" t="n"/>
      <c r="M30" s="409" t="inlineStr">
        <is>
          <t xml:space="preserve">   TOPLAM ISI KAYBI =</t>
        </is>
      </c>
      <c r="N30" s="409" t="n"/>
      <c r="O30" s="410" t="n"/>
      <c r="P30" s="409" t="n"/>
      <c r="Q30" s="411">
        <f>Q27+Q29</f>
        <v/>
      </c>
    </row>
    <row r="31" ht="10.35" customFormat="1" customHeight="1" s="413">
      <c r="A31" s="359" t="n"/>
      <c r="B31" s="360" t="n"/>
      <c r="C31" s="360" t="n"/>
      <c r="D31" s="360" t="n"/>
      <c r="E31" s="360" t="n"/>
      <c r="F31" s="361" t="inlineStr">
        <is>
          <t>B1</t>
        </is>
      </c>
      <c r="G31" s="362" t="inlineStr">
        <is>
          <t>0</t>
        </is>
      </c>
      <c r="H31" s="360" t="inlineStr">
        <is>
          <t>B03</t>
        </is>
      </c>
      <c r="I31" s="363" t="inlineStr">
        <is>
          <t>DAİRE 1 ODA</t>
        </is>
      </c>
      <c r="J31" s="364" t="n"/>
      <c r="K31" s="360" t="inlineStr">
        <is>
          <t>20ºC</t>
        </is>
      </c>
      <c r="L31" s="360" t="n"/>
      <c r="M31" s="360" t="n"/>
      <c r="N31" s="360" t="n"/>
      <c r="O31" s="360" t="n"/>
      <c r="P31" s="360" t="n"/>
      <c r="Q31" s="365" t="n"/>
    </row>
    <row r="32" ht="9.949999999999999" customFormat="1" customHeight="1" s="351">
      <c r="A32" s="366" t="inlineStr">
        <is>
          <t>DD</t>
        </is>
      </c>
      <c r="B32" s="367" t="inlineStr">
        <is>
          <t>B</t>
        </is>
      </c>
      <c r="C32" s="368" t="n"/>
      <c r="D32" s="369" t="n">
        <v>3</v>
      </c>
      <c r="E32" s="369" t="n">
        <v>2.5</v>
      </c>
      <c r="F32" s="370">
        <f>IF(D32=0," ",D32*E32)</f>
        <v/>
      </c>
      <c r="G32" s="371" t="n">
        <v>1</v>
      </c>
      <c r="H32" s="372">
        <f>F34*G34</f>
        <v/>
      </c>
      <c r="I32" s="370">
        <f>IF(F32=" "," ",F32*G32-H32)</f>
        <v/>
      </c>
      <c r="J32" s="369" t="n">
        <v>0.344</v>
      </c>
      <c r="K32" s="371" t="n">
        <v>26</v>
      </c>
      <c r="L32" s="373">
        <f>IF(I32=" "," ",I32*J32*K32)</f>
        <v/>
      </c>
      <c r="M32" s="374" t="n">
        <v>7</v>
      </c>
      <c r="N32" s="371" t="n">
        <v>0</v>
      </c>
      <c r="O32" s="374" t="n">
        <v>0</v>
      </c>
      <c r="P32" s="370">
        <f>IF(M32=" "," ",(1+(M32+N32+O32)/100))</f>
        <v/>
      </c>
      <c r="Q32" s="375">
        <f>IF(L32=" "," ",L32*P32)</f>
        <v/>
      </c>
    </row>
    <row r="33" ht="9.949999999999999" customFormat="1" customHeight="1" s="356">
      <c r="A33" s="366" t="inlineStr">
        <is>
          <t>DD25</t>
        </is>
      </c>
      <c r="B33" s="367" t="inlineStr">
        <is>
          <t>B</t>
        </is>
      </c>
      <c r="C33" s="368" t="n"/>
      <c r="D33" s="369">
        <f>D32</f>
        <v/>
      </c>
      <c r="E33" s="369" t="n">
        <v>0.5</v>
      </c>
      <c r="F33" s="370">
        <f>IF(D33=0," ",D33*E33)</f>
        <v/>
      </c>
      <c r="G33" s="371" t="n">
        <v>1</v>
      </c>
      <c r="H33" s="372" t="n"/>
      <c r="I33" s="370">
        <f>IF(F33=" "," ",F33*G33-H33)</f>
        <v/>
      </c>
      <c r="J33" s="369" t="n">
        <v>0.387</v>
      </c>
      <c r="K33" s="371" t="n">
        <v>26</v>
      </c>
      <c r="L33" s="373">
        <f>IF(I33=" "," ",I33*J33*K33)</f>
        <v/>
      </c>
      <c r="M33" s="374" t="n">
        <v>7</v>
      </c>
      <c r="N33" s="371" t="n">
        <v>0</v>
      </c>
      <c r="O33" s="374" t="n">
        <v>0</v>
      </c>
      <c r="P33" s="370">
        <f>IF(M33=" "," ",(1+(M33+N33+O33)/100))</f>
        <v/>
      </c>
      <c r="Q33" s="375">
        <f>IF(L33=" "," ",L33*P33)</f>
        <v/>
      </c>
    </row>
    <row r="34" ht="9.949999999999999" customFormat="1" customHeight="1" s="356">
      <c r="A34" s="366" t="inlineStr">
        <is>
          <t>ÇP</t>
        </is>
      </c>
      <c r="B34" s="367" t="inlineStr">
        <is>
          <t>B</t>
        </is>
      </c>
      <c r="C34" s="368" t="n"/>
      <c r="D34" s="369" t="n">
        <v>1.5</v>
      </c>
      <c r="E34" s="369" t="n">
        <v>1.6</v>
      </c>
      <c r="F34" s="370">
        <f>IF(D34=0," ",D34*E34)</f>
        <v/>
      </c>
      <c r="G34" s="371" t="n">
        <v>1</v>
      </c>
      <c r="H34" s="372" t="n"/>
      <c r="I34" s="370">
        <f>IF(F34=" "," ",F34*G34-H34)</f>
        <v/>
      </c>
      <c r="J34" s="369" t="n">
        <v>1.8</v>
      </c>
      <c r="K34" s="371" t="n">
        <v>26</v>
      </c>
      <c r="L34" s="373">
        <f>IF(I34=" "," ",I34*J34*K34)</f>
        <v/>
      </c>
      <c r="M34" s="374" t="n">
        <v>7</v>
      </c>
      <c r="N34" s="371" t="n">
        <v>0</v>
      </c>
      <c r="O34" s="374" t="n">
        <v>0</v>
      </c>
      <c r="P34" s="370">
        <f>IF(M34=" "," ",(1+(M34+N34+O34)/100))</f>
        <v/>
      </c>
      <c r="Q34" s="375">
        <f>IF(L34=" "," ",L34*P34)</f>
        <v/>
      </c>
    </row>
    <row r="35" ht="9.949999999999999" customFormat="1" customHeight="1" s="356">
      <c r="A35" s="366" t="inlineStr">
        <is>
          <t>Dö</t>
        </is>
      </c>
      <c r="B35" s="367" t="inlineStr"/>
      <c r="C35" s="368" t="n"/>
      <c r="D35" s="369" t="n">
        <v>10.44</v>
      </c>
      <c r="E35" s="369" t="n">
        <v>1</v>
      </c>
      <c r="F35" s="370">
        <f>IF(D35=0," ",D35*E35)</f>
        <v/>
      </c>
      <c r="G35" s="371" t="n">
        <v>1</v>
      </c>
      <c r="H35" s="372" t="n"/>
      <c r="I35" s="370">
        <f>IF(F35=" "," ",F35*G35-H35)</f>
        <v/>
      </c>
      <c r="J35" s="369" t="n">
        <v>0.312</v>
      </c>
      <c r="K35" s="371" t="n">
        <v>14</v>
      </c>
      <c r="L35" s="373">
        <f>IF(I35=" "," ",I35*J35*K35)</f>
        <v/>
      </c>
      <c r="M35" s="374" t="n">
        <v>7</v>
      </c>
      <c r="N35" s="371" t="n">
        <v>0</v>
      </c>
      <c r="O35" s="374" t="n">
        <v>0</v>
      </c>
      <c r="P35" s="370">
        <f>IF(M35=" "," ",(1+(M35+N35+O35)/100))</f>
        <v/>
      </c>
      <c r="Q35" s="375">
        <f>IF(L35=" "," ",L35*P35)</f>
        <v/>
      </c>
    </row>
    <row r="36" ht="9.949999999999999" customFormat="1" customHeight="1" s="356">
      <c r="A36" s="376" t="n"/>
      <c r="B36" s="377" t="n"/>
      <c r="C36" s="377" t="n"/>
      <c r="D36" s="378" t="n"/>
      <c r="E36" s="378" t="n"/>
      <c r="F36" s="378" t="n"/>
      <c r="G36" s="379" t="n"/>
      <c r="H36" s="378" t="n"/>
      <c r="I36" s="378" t="n"/>
      <c r="J36" s="378" t="n"/>
      <c r="K36" s="379" t="n"/>
      <c r="L36" s="380" t="n"/>
      <c r="M36" s="381" t="n"/>
      <c r="N36" s="381" t="n"/>
      <c r="O36" s="381" t="n"/>
      <c r="P36" s="382" t="n"/>
      <c r="Q36" s="383">
        <f>SUM(Q32:Q35)</f>
        <v/>
      </c>
    </row>
    <row r="37" ht="9.949999999999999" customFormat="1" customHeight="1" s="356">
      <c r="A37" s="384" t="n"/>
      <c r="B37" s="385" t="n"/>
      <c r="C37" s="385" t="n"/>
      <c r="D37" s="386" t="n"/>
      <c r="E37" s="387" t="n"/>
      <c r="F37" s="388" t="n"/>
      <c r="G37" s="389" t="n"/>
      <c r="H37" s="388" t="n"/>
      <c r="I37" s="390" t="n"/>
      <c r="J37" s="391" t="inlineStr">
        <is>
          <t>Qs=</t>
        </is>
      </c>
      <c r="K37" s="390" t="inlineStr">
        <is>
          <t>S a</t>
        </is>
      </c>
      <c r="L37" s="388" t="inlineStr">
        <is>
          <t>L</t>
        </is>
      </c>
      <c r="M37" s="389" t="inlineStr">
        <is>
          <t>R</t>
        </is>
      </c>
      <c r="N37" s="392" t="inlineStr">
        <is>
          <t>H</t>
        </is>
      </c>
      <c r="O37" s="393" t="inlineStr">
        <is>
          <t>D  T</t>
        </is>
      </c>
      <c r="P37" s="389" t="inlineStr">
        <is>
          <t>Ze</t>
        </is>
      </c>
      <c r="Q37" s="394" t="n"/>
    </row>
    <row r="38" ht="9.949999999999999" customFormat="1" customHeight="1" s="356">
      <c r="A38" s="395" t="inlineStr">
        <is>
          <t xml:space="preserve"> </t>
        </is>
      </c>
      <c r="B38" s="396" t="n"/>
      <c r="C38" s="397" t="n"/>
      <c r="D38" s="397" t="n"/>
      <c r="E38" s="398" t="n"/>
      <c r="F38" s="399" t="n"/>
      <c r="G38" s="400" t="n"/>
      <c r="H38" s="401" t="n"/>
      <c r="I38" s="402" t="n"/>
      <c r="J38" s="403" t="inlineStr">
        <is>
          <t>Qs  =</t>
        </is>
      </c>
      <c r="K38" s="404" t="n">
        <v>2</v>
      </c>
      <c r="L38" s="404">
        <f>(D34+E34)*2*G34</f>
        <v/>
      </c>
      <c r="M38" s="404" t="n">
        <v>0.9</v>
      </c>
      <c r="N38" s="404" t="n">
        <v>0.67</v>
      </c>
      <c r="O38" s="381" t="n">
        <v>26</v>
      </c>
      <c r="P38" s="404" t="n">
        <v>1</v>
      </c>
      <c r="Q38" s="383">
        <f>K38*L38*M38*N38*O38*P38</f>
        <v/>
      </c>
    </row>
    <row r="39" ht="9.949999999999999" customFormat="1" customHeight="1" s="356">
      <c r="A39" s="405" t="n"/>
      <c r="B39" s="406" t="n"/>
      <c r="C39" s="397" t="n"/>
      <c r="D39" s="397" t="n"/>
      <c r="E39" s="378" t="n"/>
      <c r="F39" s="256" t="n"/>
      <c r="G39" s="407" t="n"/>
      <c r="H39" s="397" t="n"/>
      <c r="I39" s="397" t="n"/>
      <c r="J39" s="397" t="n"/>
      <c r="K39" s="407" t="n"/>
      <c r="L39" s="408" t="n"/>
      <c r="M39" s="409" t="inlineStr">
        <is>
          <t xml:space="preserve">   TOPLAM ISI KAYBI =</t>
        </is>
      </c>
      <c r="N39" s="409" t="n"/>
      <c r="O39" s="410" t="n"/>
      <c r="P39" s="409" t="n"/>
      <c r="Q39" s="411">
        <f>Q36+Q38</f>
        <v/>
      </c>
    </row>
    <row r="40" ht="10.35" customFormat="1" customHeight="1" s="356">
      <c r="A40" s="359" t="n"/>
      <c r="B40" s="360" t="n"/>
      <c r="C40" s="360" t="n"/>
      <c r="D40" s="360" t="n"/>
      <c r="E40" s="360" t="n"/>
      <c r="F40" s="361" t="inlineStr">
        <is>
          <t>B1</t>
        </is>
      </c>
      <c r="G40" s="362" t="inlineStr">
        <is>
          <t>0</t>
        </is>
      </c>
      <c r="H40" s="360" t="inlineStr">
        <is>
          <t>B04</t>
        </is>
      </c>
      <c r="I40" s="363" t="inlineStr">
        <is>
          <t>DAİRE 1 YATAK ODASI 1</t>
        </is>
      </c>
      <c r="J40" s="364" t="n"/>
      <c r="K40" s="360" t="inlineStr">
        <is>
          <t>20ºC</t>
        </is>
      </c>
      <c r="L40" s="360" t="n"/>
      <c r="M40" s="360" t="n"/>
      <c r="N40" s="360" t="n"/>
      <c r="O40" s="360" t="n"/>
      <c r="P40" s="360" t="n"/>
      <c r="Q40" s="365" t="n"/>
    </row>
    <row r="41" ht="9.949999999999999" customFormat="1" customHeight="1" s="356">
      <c r="A41" s="366" t="inlineStr">
        <is>
          <t>DD</t>
        </is>
      </c>
      <c r="B41" s="367" t="inlineStr">
        <is>
          <t>B</t>
        </is>
      </c>
      <c r="C41" s="368" t="n"/>
      <c r="D41" s="369" t="n">
        <v>2.94</v>
      </c>
      <c r="E41" s="369" t="n">
        <v>2.5</v>
      </c>
      <c r="F41" s="370">
        <f>IF(D41=0," ",D41*E41)</f>
        <v/>
      </c>
      <c r="G41" s="371" t="n">
        <v>1</v>
      </c>
      <c r="H41" s="372">
        <f>F43*G43</f>
        <v/>
      </c>
      <c r="I41" s="370">
        <f>IF(F41=" "," ",F41*G41-H41)</f>
        <v/>
      </c>
      <c r="J41" s="369" t="n">
        <v>0.344</v>
      </c>
      <c r="K41" s="371" t="n">
        <v>26</v>
      </c>
      <c r="L41" s="373">
        <f>IF(I41=" "," ",I41*J41*K41)</f>
        <v/>
      </c>
      <c r="M41" s="374" t="n">
        <v>7</v>
      </c>
      <c r="N41" s="371" t="n">
        <v>0</v>
      </c>
      <c r="O41" s="374" t="n">
        <v>0</v>
      </c>
      <c r="P41" s="370">
        <f>IF(M41=" "," ",(1+(M41+N41+O41)/100))</f>
        <v/>
      </c>
      <c r="Q41" s="375">
        <f>IF(L41=" "," ",L41*P41)</f>
        <v/>
      </c>
    </row>
    <row r="42" ht="9.949999999999999" customFormat="1" customHeight="1" s="413">
      <c r="A42" s="366" t="inlineStr">
        <is>
          <t>DD25</t>
        </is>
      </c>
      <c r="B42" s="367" t="inlineStr">
        <is>
          <t>B</t>
        </is>
      </c>
      <c r="C42" s="368" t="n"/>
      <c r="D42" s="369">
        <f>D41</f>
        <v/>
      </c>
      <c r="E42" s="369" t="n">
        <v>0.5</v>
      </c>
      <c r="F42" s="370">
        <f>IF(D42=0," ",D42*E42)</f>
        <v/>
      </c>
      <c r="G42" s="371" t="n">
        <v>1</v>
      </c>
      <c r="H42" s="372" t="n"/>
      <c r="I42" s="370">
        <f>IF(F42=" "," ",F42*G42-H42)</f>
        <v/>
      </c>
      <c r="J42" s="369" t="n">
        <v>0.387</v>
      </c>
      <c r="K42" s="371" t="n">
        <v>26</v>
      </c>
      <c r="L42" s="373">
        <f>IF(I42=" "," ",I42*J42*K42)</f>
        <v/>
      </c>
      <c r="M42" s="374" t="n">
        <v>7</v>
      </c>
      <c r="N42" s="371" t="n">
        <v>0</v>
      </c>
      <c r="O42" s="374" t="n">
        <v>0</v>
      </c>
      <c r="P42" s="370">
        <f>IF(M42=" "," ",(1+(M42+N42+O42)/100))</f>
        <v/>
      </c>
      <c r="Q42" s="375">
        <f>IF(L42=" "," ",L42*P42)</f>
        <v/>
      </c>
    </row>
    <row r="43" ht="9.949999999999999" customFormat="1" customHeight="1" s="413">
      <c r="A43" s="366" t="inlineStr">
        <is>
          <t>ÇP</t>
        </is>
      </c>
      <c r="B43" s="367" t="inlineStr">
        <is>
          <t>B</t>
        </is>
      </c>
      <c r="C43" s="368" t="n"/>
      <c r="D43" s="369" t="n">
        <v>1.5</v>
      </c>
      <c r="E43" s="369" t="n">
        <v>1.6</v>
      </c>
      <c r="F43" s="370">
        <f>IF(D43=0," ",D43*E43)</f>
        <v/>
      </c>
      <c r="G43" s="371" t="n">
        <v>1</v>
      </c>
      <c r="H43" s="372" t="n"/>
      <c r="I43" s="370">
        <f>IF(F43=" "," ",F43*G43-H43)</f>
        <v/>
      </c>
      <c r="J43" s="369" t="n">
        <v>1.8</v>
      </c>
      <c r="K43" s="371" t="n">
        <v>26</v>
      </c>
      <c r="L43" s="373">
        <f>IF(I43=" "," ",I43*J43*K43)</f>
        <v/>
      </c>
      <c r="M43" s="374" t="n">
        <v>7</v>
      </c>
      <c r="N43" s="371" t="n">
        <v>0</v>
      </c>
      <c r="O43" s="374" t="n">
        <v>0</v>
      </c>
      <c r="P43" s="370">
        <f>IF(M43=" "," ",(1+(M43+N43+O43)/100))</f>
        <v/>
      </c>
      <c r="Q43" s="375">
        <f>IF(L43=" "," ",L43*P43)</f>
        <v/>
      </c>
    </row>
    <row r="44" ht="9.949999999999999" customFormat="1" customHeight="1" s="351">
      <c r="A44" s="366" t="inlineStr">
        <is>
          <t>İDA</t>
        </is>
      </c>
      <c r="B44" s="367" t="inlineStr"/>
      <c r="C44" s="368" t="n"/>
      <c r="D44" s="369" t="n">
        <v>3.44</v>
      </c>
      <c r="E44" s="369" t="n">
        <v>3</v>
      </c>
      <c r="F44" s="370">
        <f>IF(D44=0," ",D44*E44)</f>
        <v/>
      </c>
      <c r="G44" s="371" t="n">
        <v>1</v>
      </c>
      <c r="H44" s="372" t="n"/>
      <c r="I44" s="370">
        <f>IF(F44=" "," ",F44*G44-H44)</f>
        <v/>
      </c>
      <c r="J44" s="369" t="n">
        <v>0.375</v>
      </c>
      <c r="K44" s="371" t="n">
        <v>15</v>
      </c>
      <c r="L44" s="373">
        <f>IF(I44=" "," ",I44*J44*K44)</f>
        <v/>
      </c>
      <c r="M44" s="374" t="n">
        <v>7</v>
      </c>
      <c r="N44" s="371" t="n">
        <v>0</v>
      </c>
      <c r="O44" s="374" t="n">
        <v>0</v>
      </c>
      <c r="P44" s="370">
        <f>IF(M44=" "," ",(1+(M44+N44+O44)/100))</f>
        <v/>
      </c>
      <c r="Q44" s="375">
        <f>IF(L44=" "," ",L44*P44)</f>
        <v/>
      </c>
    </row>
    <row r="45" ht="9.949999999999999" customFormat="1" customHeight="1" s="356">
      <c r="A45" s="366" t="inlineStr">
        <is>
          <t>Dö</t>
        </is>
      </c>
      <c r="B45" s="367" t="inlineStr"/>
      <c r="C45" s="368" t="n"/>
      <c r="D45" s="369" t="n">
        <v>10.22</v>
      </c>
      <c r="E45" s="369" t="n">
        <v>1</v>
      </c>
      <c r="F45" s="370">
        <f>IF(D45=0," ",D45*E45)</f>
        <v/>
      </c>
      <c r="G45" s="371" t="n">
        <v>1</v>
      </c>
      <c r="H45" s="372" t="n"/>
      <c r="I45" s="370">
        <f>IF(F45=" "," ",F45*G45-H45)</f>
        <v/>
      </c>
      <c r="J45" s="369" t="n">
        <v>0.312</v>
      </c>
      <c r="K45" s="371" t="n">
        <v>14</v>
      </c>
      <c r="L45" s="373">
        <f>IF(I45=" "," ",I45*J45*K45)</f>
        <v/>
      </c>
      <c r="M45" s="374" t="n">
        <v>7</v>
      </c>
      <c r="N45" s="371" t="n">
        <v>0</v>
      </c>
      <c r="O45" s="374" t="n">
        <v>0</v>
      </c>
      <c r="P45" s="370">
        <f>IF(M45=" "," ",(1+(M45+N45+O45)/100))</f>
        <v/>
      </c>
      <c r="Q45" s="375">
        <f>IF(L45=" "," ",L45*P45)</f>
        <v/>
      </c>
    </row>
    <row r="46" ht="9.949999999999999" customFormat="1" customHeight="1" s="356">
      <c r="A46" s="376" t="n"/>
      <c r="B46" s="377" t="n"/>
      <c r="C46" s="377" t="n"/>
      <c r="D46" s="378" t="n"/>
      <c r="E46" s="378" t="n"/>
      <c r="F46" s="378" t="n"/>
      <c r="G46" s="379" t="n"/>
      <c r="H46" s="378" t="n"/>
      <c r="I46" s="378" t="n"/>
      <c r="J46" s="378" t="n"/>
      <c r="K46" s="379" t="n"/>
      <c r="L46" s="380" t="n"/>
      <c r="M46" s="381" t="n"/>
      <c r="N46" s="381" t="n"/>
      <c r="O46" s="381" t="n"/>
      <c r="P46" s="382" t="n"/>
      <c r="Q46" s="383">
        <f>SUM(Q41:Q45)</f>
        <v/>
      </c>
    </row>
    <row r="47" ht="9.949999999999999" customFormat="1" customHeight="1" s="356">
      <c r="A47" s="384" t="n"/>
      <c r="B47" s="385" t="n"/>
      <c r="C47" s="385" t="n"/>
      <c r="D47" s="386" t="n"/>
      <c r="E47" s="387" t="n"/>
      <c r="F47" s="388" t="n"/>
      <c r="G47" s="389" t="n"/>
      <c r="H47" s="388" t="n"/>
      <c r="I47" s="390" t="n"/>
      <c r="J47" s="391" t="inlineStr">
        <is>
          <t>Qs=</t>
        </is>
      </c>
      <c r="K47" s="390" t="inlineStr">
        <is>
          <t>S a</t>
        </is>
      </c>
      <c r="L47" s="388" t="inlineStr">
        <is>
          <t>L</t>
        </is>
      </c>
      <c r="M47" s="389" t="inlineStr">
        <is>
          <t>R</t>
        </is>
      </c>
      <c r="N47" s="392" t="inlineStr">
        <is>
          <t>H</t>
        </is>
      </c>
      <c r="O47" s="393" t="inlineStr">
        <is>
          <t>D  T</t>
        </is>
      </c>
      <c r="P47" s="389" t="inlineStr">
        <is>
          <t>Ze</t>
        </is>
      </c>
      <c r="Q47" s="394" t="n"/>
    </row>
    <row r="48" ht="9.949999999999999" customFormat="1" customHeight="1" s="356">
      <c r="A48" s="395" t="inlineStr">
        <is>
          <t xml:space="preserve"> </t>
        </is>
      </c>
      <c r="B48" s="396" t="n"/>
      <c r="C48" s="397" t="n"/>
      <c r="D48" s="397" t="n"/>
      <c r="E48" s="398" t="n"/>
      <c r="F48" s="399" t="n"/>
      <c r="G48" s="400" t="n"/>
      <c r="H48" s="401" t="n"/>
      <c r="I48" s="402" t="n"/>
      <c r="J48" s="403" t="inlineStr">
        <is>
          <t>Qs  =</t>
        </is>
      </c>
      <c r="K48" s="404" t="n">
        <v>2</v>
      </c>
      <c r="L48" s="404">
        <f>(D43+E43)*2*G43</f>
        <v/>
      </c>
      <c r="M48" s="404" t="n">
        <v>0.9</v>
      </c>
      <c r="N48" s="404" t="n">
        <v>0.67</v>
      </c>
      <c r="O48" s="381" t="n">
        <v>26</v>
      </c>
      <c r="P48" s="404" t="n">
        <v>1</v>
      </c>
      <c r="Q48" s="383">
        <f>K48*L48*M48*N48*O48*P48</f>
        <v/>
      </c>
    </row>
    <row r="49" ht="9.949999999999999" customFormat="1" customHeight="1" s="356">
      <c r="A49" s="405" t="n"/>
      <c r="B49" s="406" t="n"/>
      <c r="C49" s="397" t="n"/>
      <c r="D49" s="397" t="n"/>
      <c r="E49" s="378" t="n"/>
      <c r="F49" s="256" t="n"/>
      <c r="G49" s="407" t="n"/>
      <c r="H49" s="397" t="n"/>
      <c r="I49" s="397" t="n"/>
      <c r="J49" s="397" t="n"/>
      <c r="K49" s="407" t="n"/>
      <c r="L49" s="408" t="n"/>
      <c r="M49" s="409" t="inlineStr">
        <is>
          <t xml:space="preserve">   TOPLAM ISI KAYBI =</t>
        </is>
      </c>
      <c r="N49" s="409" t="n"/>
      <c r="O49" s="410" t="n"/>
      <c r="P49" s="409" t="n"/>
      <c r="Q49" s="411">
        <f>Q46+Q48</f>
        <v/>
      </c>
    </row>
    <row r="50" ht="10.35" customFormat="1" customHeight="1" s="356">
      <c r="A50" s="359" t="n"/>
      <c r="B50" s="360" t="n"/>
      <c r="C50" s="360" t="n"/>
      <c r="D50" s="360" t="n"/>
      <c r="E50" s="360" t="n"/>
      <c r="F50" s="361" t="inlineStr">
        <is>
          <t>B1</t>
        </is>
      </c>
      <c r="G50" s="362" t="inlineStr">
        <is>
          <t>0</t>
        </is>
      </c>
      <c r="H50" s="360" t="inlineStr">
        <is>
          <t>B05</t>
        </is>
      </c>
      <c r="I50" s="363" t="inlineStr">
        <is>
          <t>DAİRE 1 YATAK ODASI 2</t>
        </is>
      </c>
      <c r="J50" s="364" t="n"/>
      <c r="K50" s="360" t="inlineStr">
        <is>
          <t>20ºC</t>
        </is>
      </c>
      <c r="L50" s="360" t="n"/>
      <c r="M50" s="360" t="n"/>
      <c r="N50" s="360" t="n"/>
      <c r="O50" s="360" t="n"/>
      <c r="P50" s="360" t="n"/>
      <c r="Q50" s="365" t="n"/>
    </row>
    <row r="51" ht="9.949999999999999" customFormat="1" customHeight="1" s="356">
      <c r="A51" s="366" t="inlineStr">
        <is>
          <t>DD</t>
        </is>
      </c>
      <c r="B51" s="367" t="inlineStr">
        <is>
          <t>D</t>
        </is>
      </c>
      <c r="C51" s="368" t="n"/>
      <c r="D51" s="369" t="n">
        <v>3.94</v>
      </c>
      <c r="E51" s="369" t="n">
        <v>2.5</v>
      </c>
      <c r="F51" s="370">
        <f>IF(D51=0," ",D51*E51)</f>
        <v/>
      </c>
      <c r="G51" s="371" t="n">
        <v>1</v>
      </c>
      <c r="H51" s="372">
        <f>F53*G53</f>
        <v/>
      </c>
      <c r="I51" s="370">
        <f>IF(F51=" "," ",F51*G51-H51)</f>
        <v/>
      </c>
      <c r="J51" s="369" t="n">
        <v>0.344</v>
      </c>
      <c r="K51" s="371" t="n">
        <v>26</v>
      </c>
      <c r="L51" s="373">
        <f>IF(I51=" "," ",I51*J51*K51)</f>
        <v/>
      </c>
      <c r="M51" s="374" t="n">
        <v>7</v>
      </c>
      <c r="N51" s="371" t="n">
        <v>0</v>
      </c>
      <c r="O51" s="374" t="n">
        <v>0</v>
      </c>
      <c r="P51" s="370">
        <f>IF(M51=" "," ",(1+(M51+N51+O51)/100))</f>
        <v/>
      </c>
      <c r="Q51" s="375">
        <f>IF(L51=" "," ",L51*P51)</f>
        <v/>
      </c>
    </row>
    <row r="52" ht="9.949999999999999" customFormat="1" customHeight="1" s="356">
      <c r="A52" s="366" t="inlineStr">
        <is>
          <t>DD25</t>
        </is>
      </c>
      <c r="B52" s="367" t="inlineStr">
        <is>
          <t>D</t>
        </is>
      </c>
      <c r="C52" s="368" t="n"/>
      <c r="D52" s="369">
        <f>D51</f>
        <v/>
      </c>
      <c r="E52" s="369" t="n">
        <v>0.5</v>
      </c>
      <c r="F52" s="370">
        <f>IF(D52=0," ",D52*E52)</f>
        <v/>
      </c>
      <c r="G52" s="371" t="n">
        <v>1</v>
      </c>
      <c r="H52" s="372" t="n"/>
      <c r="I52" s="370">
        <f>IF(F52=" "," ",F52*G52-H52)</f>
        <v/>
      </c>
      <c r="J52" s="369" t="n">
        <v>0.387</v>
      </c>
      <c r="K52" s="371" t="n">
        <v>26</v>
      </c>
      <c r="L52" s="373">
        <f>IF(I52=" "," ",I52*J52*K52)</f>
        <v/>
      </c>
      <c r="M52" s="374" t="n">
        <v>7</v>
      </c>
      <c r="N52" s="371" t="n">
        <v>0</v>
      </c>
      <c r="O52" s="374" t="n">
        <v>0</v>
      </c>
      <c r="P52" s="370">
        <f>IF(M52=" "," ",(1+(M52+N52+O52)/100))</f>
        <v/>
      </c>
      <c r="Q52" s="375">
        <f>IF(L52=" "," ",L52*P52)</f>
        <v/>
      </c>
    </row>
    <row r="53" ht="9.949999999999999" customFormat="1" customHeight="1" s="356">
      <c r="A53" s="366" t="inlineStr">
        <is>
          <t>ÇP</t>
        </is>
      </c>
      <c r="B53" s="367" t="inlineStr">
        <is>
          <t>D</t>
        </is>
      </c>
      <c r="C53" s="368" t="n"/>
      <c r="D53" s="369" t="n">
        <v>1.5</v>
      </c>
      <c r="E53" s="369" t="n">
        <v>1.6</v>
      </c>
      <c r="F53" s="370">
        <f>IF(D53=0," ",D53*E53)</f>
        <v/>
      </c>
      <c r="G53" s="371" t="n">
        <v>1</v>
      </c>
      <c r="H53" s="372" t="n"/>
      <c r="I53" s="370">
        <f>IF(F53=" "," ",F53*G53-H53)</f>
        <v/>
      </c>
      <c r="J53" s="369" t="n">
        <v>1.8</v>
      </c>
      <c r="K53" s="371" t="n">
        <v>26</v>
      </c>
      <c r="L53" s="373">
        <f>IF(I53=" "," ",I53*J53*K53)</f>
        <v/>
      </c>
      <c r="M53" s="374" t="n">
        <v>7</v>
      </c>
      <c r="N53" s="371" t="n">
        <v>0</v>
      </c>
      <c r="O53" s="374" t="n">
        <v>0</v>
      </c>
      <c r="P53" s="370">
        <f>IF(M53=" "," ",(1+(M53+N53+O53)/100))</f>
        <v/>
      </c>
      <c r="Q53" s="375">
        <f>IF(L53=" "," ",L53*P53)</f>
        <v/>
      </c>
    </row>
    <row r="54" ht="9.949999999999999" customFormat="1" customHeight="1" s="356">
      <c r="A54" s="366" t="inlineStr">
        <is>
          <t>Dö</t>
        </is>
      </c>
      <c r="B54" s="367" t="inlineStr"/>
      <c r="C54" s="368" t="n"/>
      <c r="D54" s="369" t="n">
        <v>13.34</v>
      </c>
      <c r="E54" s="369" t="n">
        <v>1</v>
      </c>
      <c r="F54" s="370">
        <f>IF(D54=0," ",D54*E54)</f>
        <v/>
      </c>
      <c r="G54" s="371" t="n">
        <v>1</v>
      </c>
      <c r="H54" s="372" t="n"/>
      <c r="I54" s="370">
        <f>IF(F54=" "," ",F54*G54-H54)</f>
        <v/>
      </c>
      <c r="J54" s="369" t="n">
        <v>0.312</v>
      </c>
      <c r="K54" s="371" t="n">
        <v>14</v>
      </c>
      <c r="L54" s="373">
        <f>IF(I54=" "," ",I54*J54*K54)</f>
        <v/>
      </c>
      <c r="M54" s="374" t="n">
        <v>7</v>
      </c>
      <c r="N54" s="371" t="n">
        <v>0</v>
      </c>
      <c r="O54" s="374" t="n">
        <v>0</v>
      </c>
      <c r="P54" s="370">
        <f>IF(M54=" "," ",(1+(M54+N54+O54)/100))</f>
        <v/>
      </c>
      <c r="Q54" s="375">
        <f>IF(L54=" "," ",L54*P54)</f>
        <v/>
      </c>
    </row>
    <row r="55" ht="9.949999999999999" customFormat="1" customHeight="1" s="413">
      <c r="A55" s="376" t="n"/>
      <c r="B55" s="377" t="n"/>
      <c r="C55" s="377" t="n"/>
      <c r="D55" s="378" t="n"/>
      <c r="E55" s="378" t="n"/>
      <c r="F55" s="378" t="n"/>
      <c r="G55" s="379" t="n"/>
      <c r="H55" s="378" t="n"/>
      <c r="I55" s="378" t="n"/>
      <c r="J55" s="378" t="n"/>
      <c r="K55" s="379" t="n"/>
      <c r="L55" s="380" t="n"/>
      <c r="M55" s="381" t="n"/>
      <c r="N55" s="381" t="n"/>
      <c r="O55" s="381" t="n"/>
      <c r="P55" s="382" t="n"/>
      <c r="Q55" s="383">
        <f>SUM(Q51:Q54)</f>
        <v/>
      </c>
    </row>
    <row r="56" ht="9.949999999999999" customFormat="1" customHeight="1" s="413">
      <c r="A56" s="384" t="n"/>
      <c r="B56" s="385" t="n"/>
      <c r="C56" s="385" t="n"/>
      <c r="D56" s="386" t="n"/>
      <c r="E56" s="387" t="n"/>
      <c r="F56" s="388" t="n"/>
      <c r="G56" s="389" t="n"/>
      <c r="H56" s="388" t="n"/>
      <c r="I56" s="390" t="n"/>
      <c r="J56" s="391" t="inlineStr">
        <is>
          <t>Qs=</t>
        </is>
      </c>
      <c r="K56" s="390" t="inlineStr">
        <is>
          <t>S a</t>
        </is>
      </c>
      <c r="L56" s="388" t="inlineStr">
        <is>
          <t>L</t>
        </is>
      </c>
      <c r="M56" s="389" t="inlineStr">
        <is>
          <t>R</t>
        </is>
      </c>
      <c r="N56" s="392" t="inlineStr">
        <is>
          <t>H</t>
        </is>
      </c>
      <c r="O56" s="393" t="inlineStr">
        <is>
          <t>D  T</t>
        </is>
      </c>
      <c r="P56" s="389" t="inlineStr">
        <is>
          <t>Ze</t>
        </is>
      </c>
      <c r="Q56" s="394" t="n"/>
    </row>
    <row r="57" ht="9.949999999999999" customFormat="1" customHeight="1" s="351">
      <c r="A57" s="395" t="inlineStr">
        <is>
          <t xml:space="preserve"> </t>
        </is>
      </c>
      <c r="B57" s="413" t="n"/>
      <c r="C57" s="397" t="n"/>
      <c r="D57" s="397" t="n"/>
      <c r="E57" s="398" t="n"/>
      <c r="F57" s="399" t="n"/>
      <c r="G57" s="400" t="n"/>
      <c r="H57" s="401" t="n"/>
      <c r="I57" s="402" t="n"/>
      <c r="J57" s="403" t="inlineStr">
        <is>
          <t>Qs  =</t>
        </is>
      </c>
      <c r="K57" s="404" t="n">
        <v>2</v>
      </c>
      <c r="L57" s="404">
        <f>(D53+E53)*2*G53</f>
        <v/>
      </c>
      <c r="M57" s="404" t="n">
        <v>0.9</v>
      </c>
      <c r="N57" s="404" t="n">
        <v>0.67</v>
      </c>
      <c r="O57" s="381" t="n">
        <v>26</v>
      </c>
      <c r="P57" s="404" t="n">
        <v>1</v>
      </c>
      <c r="Q57" s="383">
        <f>K57*L57*M57*N57*O57*P57</f>
        <v/>
      </c>
    </row>
    <row r="58" ht="9.949999999999999" customFormat="1" customHeight="1" s="356">
      <c r="A58" s="405" t="n"/>
      <c r="B58" s="406" t="n"/>
      <c r="C58" s="397" t="n"/>
      <c r="D58" s="397" t="n"/>
      <c r="E58" s="378" t="n"/>
      <c r="F58" s="256" t="n"/>
      <c r="G58" s="407" t="n"/>
      <c r="H58" s="397" t="n"/>
      <c r="I58" s="397" t="n"/>
      <c r="J58" s="397" t="n"/>
      <c r="K58" s="407" t="n"/>
      <c r="L58" s="408" t="n"/>
      <c r="M58" s="409" t="inlineStr">
        <is>
          <t xml:space="preserve">   TOPLAM ISI KAYBI =</t>
        </is>
      </c>
      <c r="N58" s="409" t="n"/>
      <c r="O58" s="410" t="n"/>
      <c r="P58" s="409" t="n"/>
      <c r="Q58" s="411">
        <f>Q55+Q57</f>
        <v/>
      </c>
    </row>
    <row r="59" ht="10.35" customFormat="1" customHeight="1" s="356">
      <c r="A59" s="359" t="n"/>
      <c r="B59" s="360" t="n"/>
      <c r="C59" s="360" t="n"/>
      <c r="D59" s="360" t="n"/>
      <c r="E59" s="360" t="n"/>
      <c r="F59" s="361" t="inlineStr">
        <is>
          <t>B1</t>
        </is>
      </c>
      <c r="G59" s="362" t="inlineStr">
        <is>
          <t>0</t>
        </is>
      </c>
      <c r="H59" s="360" t="inlineStr">
        <is>
          <t>B06</t>
        </is>
      </c>
      <c r="I59" s="363" t="inlineStr">
        <is>
          <t>DAİRE 1 BANYO</t>
        </is>
      </c>
      <c r="J59" s="364" t="n"/>
      <c r="K59" s="360" t="inlineStr">
        <is>
          <t>26ºC</t>
        </is>
      </c>
      <c r="L59" s="360" t="n"/>
      <c r="M59" s="360" t="n"/>
      <c r="N59" s="360" t="n"/>
      <c r="O59" s="360" t="n"/>
      <c r="P59" s="360" t="n"/>
      <c r="Q59" s="365" t="n"/>
    </row>
    <row r="60" ht="9.949999999999999" customFormat="1" customHeight="1" s="356">
      <c r="A60" s="366" t="inlineStr">
        <is>
          <t>DD</t>
        </is>
      </c>
      <c r="B60" s="367" t="inlineStr">
        <is>
          <t>D</t>
        </is>
      </c>
      <c r="C60" s="368" t="n"/>
      <c r="D60" s="369" t="n">
        <v>1.79</v>
      </c>
      <c r="E60" s="369" t="n">
        <v>2.5</v>
      </c>
      <c r="F60" s="370">
        <f>IF(D60=0," ",D60*E60)</f>
        <v/>
      </c>
      <c r="G60" s="371" t="n">
        <v>1</v>
      </c>
      <c r="H60" s="372">
        <f>F62*G62</f>
        <v/>
      </c>
      <c r="I60" s="370">
        <f>IF(F60=" "," ",F60*G60-H60)</f>
        <v/>
      </c>
      <c r="J60" s="369" t="n">
        <v>0.344</v>
      </c>
      <c r="K60" s="371" t="n">
        <v>32</v>
      </c>
      <c r="L60" s="373">
        <f>IF(I60=" "," ",I60*J60*K60)</f>
        <v/>
      </c>
      <c r="M60" s="374" t="n">
        <v>7</v>
      </c>
      <c r="N60" s="371" t="n">
        <v>0</v>
      </c>
      <c r="O60" s="374" t="n">
        <v>0</v>
      </c>
      <c r="P60" s="370">
        <f>IF(M60=" "," ",(1+(M60+N60+O60)/100))</f>
        <v/>
      </c>
      <c r="Q60" s="375">
        <f>IF(L60=" "," ",L60*P60)</f>
        <v/>
      </c>
    </row>
    <row r="61" ht="9.949999999999999" customFormat="1" customHeight="1" s="356">
      <c r="A61" s="366" t="inlineStr">
        <is>
          <t>DD25</t>
        </is>
      </c>
      <c r="B61" s="367" t="inlineStr">
        <is>
          <t>D</t>
        </is>
      </c>
      <c r="C61" s="368" t="n"/>
      <c r="D61" s="369">
        <f>D60</f>
        <v/>
      </c>
      <c r="E61" s="369" t="n">
        <v>0.5</v>
      </c>
      <c r="F61" s="370">
        <f>IF(D61=0," ",D61*E61)</f>
        <v/>
      </c>
      <c r="G61" s="371" t="n">
        <v>1</v>
      </c>
      <c r="H61" s="372" t="n"/>
      <c r="I61" s="370">
        <f>IF(F61=" "," ",F61*G61-H61)</f>
        <v/>
      </c>
      <c r="J61" s="369" t="n">
        <v>0.387</v>
      </c>
      <c r="K61" s="371" t="n">
        <v>32</v>
      </c>
      <c r="L61" s="373">
        <f>IF(I61=" "," ",I61*J61*K61)</f>
        <v/>
      </c>
      <c r="M61" s="374" t="n">
        <v>7</v>
      </c>
      <c r="N61" s="371" t="n">
        <v>0</v>
      </c>
      <c r="O61" s="374" t="n">
        <v>0</v>
      </c>
      <c r="P61" s="370">
        <f>IF(M61=" "," ",(1+(M61+N61+O61)/100))</f>
        <v/>
      </c>
      <c r="Q61" s="375">
        <f>IF(L61=" "," ",L61*P61)</f>
        <v/>
      </c>
    </row>
    <row r="62" ht="9.949999999999999" customFormat="1" customHeight="1" s="356">
      <c r="A62" s="366" t="inlineStr">
        <is>
          <t>ÇP</t>
        </is>
      </c>
      <c r="B62" s="367" t="inlineStr">
        <is>
          <t>D</t>
        </is>
      </c>
      <c r="C62" s="368" t="n"/>
      <c r="D62" s="369" t="n">
        <v>0.5</v>
      </c>
      <c r="E62" s="369" t="n">
        <v>0.75</v>
      </c>
      <c r="F62" s="370">
        <f>IF(D62=0," ",D62*E62)</f>
        <v/>
      </c>
      <c r="G62" s="371" t="n">
        <v>1</v>
      </c>
      <c r="H62" s="372" t="n"/>
      <c r="I62" s="370">
        <f>IF(F62=" "," ",F62*G62-H62)</f>
        <v/>
      </c>
      <c r="J62" s="369" t="n">
        <v>1.8</v>
      </c>
      <c r="K62" s="371" t="n">
        <v>32</v>
      </c>
      <c r="L62" s="373">
        <f>IF(I62=" "," ",I62*J62*K62)</f>
        <v/>
      </c>
      <c r="M62" s="374" t="n">
        <v>7</v>
      </c>
      <c r="N62" s="371" t="n">
        <v>0</v>
      </c>
      <c r="O62" s="374" t="n">
        <v>0</v>
      </c>
      <c r="P62" s="370">
        <f>IF(M62=" "," ",(1+(M62+N62+O62)/100))</f>
        <v/>
      </c>
      <c r="Q62" s="375">
        <f>IF(L62=" "," ",L62*P62)</f>
        <v/>
      </c>
    </row>
    <row r="63" ht="9.949999999999999" customFormat="1" customHeight="1" s="356">
      <c r="A63" s="366" t="inlineStr">
        <is>
          <t>İDM</t>
        </is>
      </c>
      <c r="B63" s="367" t="inlineStr"/>
      <c r="C63" s="368" t="n"/>
      <c r="D63" s="369" t="n">
        <v>2.89</v>
      </c>
      <c r="E63" s="369" t="n">
        <v>3</v>
      </c>
      <c r="F63" s="370">
        <f>IF(D63=0," ",D63*E63)</f>
        <v/>
      </c>
      <c r="G63" s="371" t="n">
        <v>1</v>
      </c>
      <c r="H63" s="372" t="n"/>
      <c r="I63" s="370">
        <f>IF(F63=" "," ",F63*G63-H63)</f>
        <v/>
      </c>
      <c r="J63" s="369" t="n">
        <v>0.332</v>
      </c>
      <c r="K63" s="371" t="n">
        <v>16</v>
      </c>
      <c r="L63" s="373">
        <f>IF(I63=" "," ",I63*J63*K63)</f>
        <v/>
      </c>
      <c r="M63" s="374" t="n">
        <v>7</v>
      </c>
      <c r="N63" s="371" t="n">
        <v>0</v>
      </c>
      <c r="O63" s="374" t="n">
        <v>0</v>
      </c>
      <c r="P63" s="370">
        <f>IF(M63=" "," ",(1+(M63+N63+O63)/100))</f>
        <v/>
      </c>
      <c r="Q63" s="375">
        <f>IF(L63=" "," ",L63*P63)</f>
        <v/>
      </c>
    </row>
    <row r="64" ht="9.949999999999999" customFormat="1" customHeight="1" s="356">
      <c r="A64" s="366" t="inlineStr">
        <is>
          <t>Dö</t>
        </is>
      </c>
      <c r="B64" s="367" t="inlineStr"/>
      <c r="C64" s="368" t="n"/>
      <c r="D64" s="369" t="n">
        <v>5.41</v>
      </c>
      <c r="E64" s="369" t="n">
        <v>1</v>
      </c>
      <c r="F64" s="370">
        <f>IF(D64=0," ",D64*E64)</f>
        <v/>
      </c>
      <c r="G64" s="371" t="n">
        <v>1</v>
      </c>
      <c r="H64" s="372" t="n"/>
      <c r="I64" s="370">
        <f>IF(F64=" "," ",F64*G64-H64)</f>
        <v/>
      </c>
      <c r="J64" s="369" t="n">
        <v>0.312</v>
      </c>
      <c r="K64" s="371" t="n">
        <v>20</v>
      </c>
      <c r="L64" s="373">
        <f>IF(I64=" "," ",I64*J64*K64)</f>
        <v/>
      </c>
      <c r="M64" s="374" t="n">
        <v>7</v>
      </c>
      <c r="N64" s="371" t="n">
        <v>0</v>
      </c>
      <c r="O64" s="374" t="n">
        <v>0</v>
      </c>
      <c r="P64" s="370">
        <f>IF(M64=" "," ",(1+(M64+N64+O64)/100))</f>
        <v/>
      </c>
      <c r="Q64" s="375">
        <f>IF(L64=" "," ",L64*P64)</f>
        <v/>
      </c>
    </row>
    <row r="65" ht="9.949999999999999" customFormat="1" customHeight="1" s="356">
      <c r="A65" s="376" t="n"/>
      <c r="B65" s="377" t="n"/>
      <c r="C65" s="377" t="n"/>
      <c r="D65" s="378" t="n"/>
      <c r="E65" s="378" t="n"/>
      <c r="F65" s="378" t="n"/>
      <c r="G65" s="379" t="n"/>
      <c r="H65" s="378" t="n"/>
      <c r="I65" s="378" t="n"/>
      <c r="J65" s="378" t="n"/>
      <c r="K65" s="379" t="n"/>
      <c r="L65" s="380" t="n"/>
      <c r="M65" s="381" t="n"/>
      <c r="N65" s="381" t="n"/>
      <c r="O65" s="381" t="n"/>
      <c r="P65" s="382" t="n"/>
      <c r="Q65" s="383">
        <f>SUM(Q60:Q64)</f>
        <v/>
      </c>
    </row>
    <row r="66" ht="9.949999999999999" customFormat="1" customHeight="1" s="356">
      <c r="A66" s="384" t="n"/>
      <c r="B66" s="385" t="n"/>
      <c r="C66" s="385" t="n"/>
      <c r="D66" s="386" t="n"/>
      <c r="E66" s="387" t="n"/>
      <c r="F66" s="388" t="n"/>
      <c r="G66" s="389" t="n"/>
      <c r="H66" s="388" t="n"/>
      <c r="I66" s="390" t="n"/>
      <c r="J66" s="391" t="inlineStr">
        <is>
          <t>Qs=</t>
        </is>
      </c>
      <c r="K66" s="390" t="inlineStr">
        <is>
          <t>S a</t>
        </is>
      </c>
      <c r="L66" s="388" t="inlineStr">
        <is>
          <t>L</t>
        </is>
      </c>
      <c r="M66" s="389" t="inlineStr">
        <is>
          <t>R</t>
        </is>
      </c>
      <c r="N66" s="392" t="inlineStr">
        <is>
          <t>H</t>
        </is>
      </c>
      <c r="O66" s="393" t="inlineStr">
        <is>
          <t>D  T</t>
        </is>
      </c>
      <c r="P66" s="389" t="inlineStr">
        <is>
          <t>Ze</t>
        </is>
      </c>
      <c r="Q66" s="394" t="n"/>
    </row>
    <row r="67" ht="9.949999999999999" customFormat="1" customHeight="1" s="356">
      <c r="A67" s="395" t="inlineStr">
        <is>
          <t xml:space="preserve"> </t>
        </is>
      </c>
      <c r="B67" s="396" t="n"/>
      <c r="C67" s="397" t="n"/>
      <c r="D67" s="397" t="n"/>
      <c r="E67" s="398" t="n"/>
      <c r="F67" s="399" t="n"/>
      <c r="G67" s="400" t="n"/>
      <c r="H67" s="401" t="n"/>
      <c r="I67" s="402" t="n"/>
      <c r="J67" s="403" t="inlineStr">
        <is>
          <t>Qs  =</t>
        </is>
      </c>
      <c r="K67" s="404" t="n">
        <v>2</v>
      </c>
      <c r="L67" s="404">
        <f>(D62+E62)*2*G62</f>
        <v/>
      </c>
      <c r="M67" s="404" t="n">
        <v>0.9</v>
      </c>
      <c r="N67" s="404" t="n">
        <v>0.67</v>
      </c>
      <c r="O67" s="381" t="n">
        <v>32</v>
      </c>
      <c r="P67" s="404" t="n">
        <v>1</v>
      </c>
      <c r="Q67" s="383">
        <f>K67*L67*M67*N67*O67*P67</f>
        <v/>
      </c>
    </row>
    <row r="68" ht="9.949999999999999" customFormat="1" customHeight="1" s="356">
      <c r="A68" s="405" t="n"/>
      <c r="B68" s="406" t="n"/>
      <c r="C68" s="397" t="n"/>
      <c r="D68" s="397" t="n"/>
      <c r="E68" s="378" t="n"/>
      <c r="F68" s="256" t="n"/>
      <c r="G68" s="407" t="n"/>
      <c r="H68" s="397" t="n"/>
      <c r="I68" s="397" t="n"/>
      <c r="J68" s="397" t="n"/>
      <c r="K68" s="407" t="n"/>
      <c r="L68" s="408" t="n"/>
      <c r="M68" s="409" t="inlineStr">
        <is>
          <t xml:space="preserve">   TOPLAM ISI KAYBI =</t>
        </is>
      </c>
      <c r="N68" s="409" t="n"/>
      <c r="O68" s="410" t="n"/>
      <c r="P68" s="409" t="n"/>
      <c r="Q68" s="411">
        <f>Q65+Q67</f>
        <v/>
      </c>
    </row>
    <row r="69" ht="10.35" customFormat="1" customHeight="1" s="413">
      <c r="A69" s="359" t="n"/>
      <c r="B69" s="360" t="n"/>
      <c r="C69" s="360" t="n"/>
      <c r="D69" s="360" t="n"/>
      <c r="E69" s="360" t="n"/>
      <c r="F69" s="361" t="inlineStr">
        <is>
          <t>B1</t>
        </is>
      </c>
      <c r="G69" s="362" t="inlineStr">
        <is>
          <t>0</t>
        </is>
      </c>
      <c r="H69" s="360" t="inlineStr">
        <is>
          <t>B07</t>
        </is>
      </c>
      <c r="I69" s="363" t="inlineStr">
        <is>
          <t>DAİRE 1 BANYO-WC</t>
        </is>
      </c>
      <c r="J69" s="364" t="n"/>
      <c r="K69" s="360" t="inlineStr">
        <is>
          <t>26ºC</t>
        </is>
      </c>
      <c r="L69" s="360" t="n"/>
      <c r="M69" s="360" t="n"/>
      <c r="N69" s="360" t="n"/>
      <c r="O69" s="360" t="n"/>
      <c r="P69" s="360" t="n"/>
      <c r="Q69" s="365" t="n"/>
    </row>
    <row r="70" ht="9.949999999999999" customFormat="1" customHeight="1" s="413">
      <c r="A70" s="366" t="inlineStr">
        <is>
          <t>DD</t>
        </is>
      </c>
      <c r="B70" s="367" t="inlineStr">
        <is>
          <t>D</t>
        </is>
      </c>
      <c r="C70" s="368" t="n"/>
      <c r="D70" s="369" t="n">
        <v>1.19</v>
      </c>
      <c r="E70" s="369" t="n">
        <v>2.5</v>
      </c>
      <c r="F70" s="370">
        <f>IF(D70=0," ",D70*E70)</f>
        <v/>
      </c>
      <c r="G70" s="371" t="n">
        <v>1</v>
      </c>
      <c r="H70" s="372">
        <f>F72*G72</f>
        <v/>
      </c>
      <c r="I70" s="370">
        <f>IF(F70=" "," ",F70*G70-H70)</f>
        <v/>
      </c>
      <c r="J70" s="369" t="n">
        <v>0.344</v>
      </c>
      <c r="K70" s="371" t="n">
        <v>32</v>
      </c>
      <c r="L70" s="373">
        <f>IF(I70=" "," ",I70*J70*K70)</f>
        <v/>
      </c>
      <c r="M70" s="374" t="n">
        <v>7</v>
      </c>
      <c r="N70" s="371" t="n">
        <v>0</v>
      </c>
      <c r="O70" s="374" t="n">
        <v>0</v>
      </c>
      <c r="P70" s="370">
        <f>IF(M70=" "," ",(1+(M70+N70+O70)/100))</f>
        <v/>
      </c>
      <c r="Q70" s="375">
        <f>IF(L70=" "," ",L70*P70)</f>
        <v/>
      </c>
    </row>
    <row r="71" ht="9.949999999999999" customFormat="1" customHeight="1" s="351">
      <c r="A71" s="366" t="inlineStr">
        <is>
          <t>DD25</t>
        </is>
      </c>
      <c r="B71" s="367" t="inlineStr">
        <is>
          <t>D</t>
        </is>
      </c>
      <c r="C71" s="368" t="n"/>
      <c r="D71" s="369">
        <f>D70</f>
        <v/>
      </c>
      <c r="E71" s="369" t="n">
        <v>0.5</v>
      </c>
      <c r="F71" s="370">
        <f>IF(D71=0," ",D71*E71)</f>
        <v/>
      </c>
      <c r="G71" s="371" t="n">
        <v>1</v>
      </c>
      <c r="H71" s="372" t="n"/>
      <c r="I71" s="370">
        <f>IF(F71=" "," ",F71*G71-H71)</f>
        <v/>
      </c>
      <c r="J71" s="369" t="n">
        <v>0.387</v>
      </c>
      <c r="K71" s="371" t="n">
        <v>32</v>
      </c>
      <c r="L71" s="373">
        <f>IF(I71=" "," ",I71*J71*K71)</f>
        <v/>
      </c>
      <c r="M71" s="374" t="n">
        <v>7</v>
      </c>
      <c r="N71" s="371" t="n">
        <v>0</v>
      </c>
      <c r="O71" s="374" t="n">
        <v>0</v>
      </c>
      <c r="P71" s="370">
        <f>IF(M71=" "," ",(1+(M71+N71+O71)/100))</f>
        <v/>
      </c>
      <c r="Q71" s="375">
        <f>IF(L71=" "," ",L71*P71)</f>
        <v/>
      </c>
    </row>
    <row r="72" ht="9.949999999999999" customFormat="1" customHeight="1" s="351">
      <c r="A72" s="366" t="inlineStr">
        <is>
          <t>ÇP</t>
        </is>
      </c>
      <c r="B72" s="367" t="inlineStr">
        <is>
          <t>D</t>
        </is>
      </c>
      <c r="C72" s="368" t="n"/>
      <c r="D72" s="369" t="n">
        <v>0.5</v>
      </c>
      <c r="E72" s="369" t="n">
        <v>0.75</v>
      </c>
      <c r="F72" s="370">
        <f>IF(D72=0," ",D72*E72)</f>
        <v/>
      </c>
      <c r="G72" s="371" t="n">
        <v>1</v>
      </c>
      <c r="H72" s="372" t="n"/>
      <c r="I72" s="370">
        <f>IF(F72=" "," ",F72*G72-H72)</f>
        <v/>
      </c>
      <c r="J72" s="369" t="n">
        <v>1.8</v>
      </c>
      <c r="K72" s="371" t="n">
        <v>32</v>
      </c>
      <c r="L72" s="373">
        <f>IF(I72=" "," ",I72*J72*K72)</f>
        <v/>
      </c>
      <c r="M72" s="374" t="n">
        <v>7</v>
      </c>
      <c r="N72" s="371" t="n">
        <v>0</v>
      </c>
      <c r="O72" s="374" t="n">
        <v>0</v>
      </c>
      <c r="P72" s="370">
        <f>IF(M72=" "," ",(1+(M72+N72+O72)/100))</f>
        <v/>
      </c>
      <c r="Q72" s="375">
        <f>IF(L72=" "," ",L72*P72)</f>
        <v/>
      </c>
    </row>
    <row r="73" ht="9.949999999999999" customFormat="1" customHeight="1" s="351">
      <c r="A73" s="366" t="inlineStr">
        <is>
          <t>Dö</t>
        </is>
      </c>
      <c r="B73" s="367" t="inlineStr"/>
      <c r="C73" s="368" t="n"/>
      <c r="D73" s="369" t="n">
        <v>2.89</v>
      </c>
      <c r="E73" s="369" t="n">
        <v>1</v>
      </c>
      <c r="F73" s="370">
        <f>IF(D73=0," ",D73*E73)</f>
        <v/>
      </c>
      <c r="G73" s="371" t="n">
        <v>1</v>
      </c>
      <c r="H73" s="372" t="n"/>
      <c r="I73" s="370">
        <f>IF(F73=" "," ",F73*G73-H73)</f>
        <v/>
      </c>
      <c r="J73" s="369" t="n">
        <v>0.312</v>
      </c>
      <c r="K73" s="371" t="n">
        <v>20</v>
      </c>
      <c r="L73" s="373">
        <f>IF(I73=" "," ",I73*J73*K73)</f>
        <v/>
      </c>
      <c r="M73" s="374" t="n">
        <v>7</v>
      </c>
      <c r="N73" s="371" t="n">
        <v>0</v>
      </c>
      <c r="O73" s="374" t="n">
        <v>0</v>
      </c>
      <c r="P73" s="370">
        <f>IF(M73=" "," ",(1+(M73+N73+O73)/100))</f>
        <v/>
      </c>
      <c r="Q73" s="375">
        <f>IF(L73=" "," ",L73*P73)</f>
        <v/>
      </c>
    </row>
    <row r="74" ht="9.949999999999999" customFormat="1" customHeight="1" s="351">
      <c r="A74" s="376" t="n"/>
      <c r="B74" s="377" t="n"/>
      <c r="C74" s="377" t="n"/>
      <c r="D74" s="378" t="n"/>
      <c r="E74" s="378" t="n"/>
      <c r="F74" s="378" t="n"/>
      <c r="G74" s="379" t="n"/>
      <c r="H74" s="378" t="n"/>
      <c r="I74" s="378" t="n"/>
      <c r="J74" s="378" t="n"/>
      <c r="K74" s="379" t="n"/>
      <c r="L74" s="380" t="n"/>
      <c r="M74" s="381" t="n"/>
      <c r="N74" s="381" t="n"/>
      <c r="O74" s="381" t="n"/>
      <c r="P74" s="382" t="n"/>
      <c r="Q74" s="383">
        <f>SUM(Q70:Q73)</f>
        <v/>
      </c>
    </row>
    <row r="75" ht="9.949999999999999" customFormat="1" customHeight="1" s="351">
      <c r="A75" s="384" t="n"/>
      <c r="B75" s="385" t="n"/>
      <c r="C75" s="385" t="n"/>
      <c r="D75" s="386" t="n"/>
      <c r="E75" s="387" t="n"/>
      <c r="F75" s="388" t="n"/>
      <c r="G75" s="389" t="n"/>
      <c r="H75" s="388" t="n"/>
      <c r="I75" s="390" t="n"/>
      <c r="J75" s="391" t="inlineStr">
        <is>
          <t>Qs=</t>
        </is>
      </c>
      <c r="K75" s="390" t="inlineStr">
        <is>
          <t>S a</t>
        </is>
      </c>
      <c r="L75" s="388" t="inlineStr">
        <is>
          <t>L</t>
        </is>
      </c>
      <c r="M75" s="389" t="inlineStr">
        <is>
          <t>R</t>
        </is>
      </c>
      <c r="N75" s="392" t="inlineStr">
        <is>
          <t>H</t>
        </is>
      </c>
      <c r="O75" s="393" t="inlineStr">
        <is>
          <t>D  T</t>
        </is>
      </c>
      <c r="P75" s="389" t="inlineStr">
        <is>
          <t>Ze</t>
        </is>
      </c>
      <c r="Q75" s="394" t="n"/>
    </row>
    <row r="76" ht="9.949999999999999" customHeight="1" s="244">
      <c r="A76" s="395" t="inlineStr">
        <is>
          <t xml:space="preserve"> </t>
        </is>
      </c>
      <c r="C76" s="397" t="n"/>
      <c r="D76" s="397" t="n"/>
      <c r="E76" s="398" t="n"/>
      <c r="F76" s="399" t="n"/>
      <c r="G76" s="400" t="n"/>
      <c r="H76" s="401" t="n"/>
      <c r="I76" s="402" t="n"/>
      <c r="J76" s="403" t="inlineStr">
        <is>
          <t>Qs  =</t>
        </is>
      </c>
      <c r="K76" s="404" t="n">
        <v>2</v>
      </c>
      <c r="L76" s="404">
        <f>(D72+E72)*2*G72</f>
        <v/>
      </c>
      <c r="M76" s="404" t="n">
        <v>0.9</v>
      </c>
      <c r="N76" s="404" t="n">
        <v>0.67</v>
      </c>
      <c r="O76" s="381" t="n">
        <v>32</v>
      </c>
      <c r="P76" s="404" t="n">
        <v>1</v>
      </c>
      <c r="Q76" s="383">
        <f>K76*L76*M76*N76*O76*P76</f>
        <v/>
      </c>
    </row>
    <row r="77" ht="9.949999999999999" customHeight="1" s="244">
      <c r="A77" s="405" t="n"/>
      <c r="B77" s="406" t="n"/>
      <c r="C77" s="397" t="n"/>
      <c r="D77" s="397" t="n"/>
      <c r="E77" s="378" t="n"/>
      <c r="F77" s="256" t="n"/>
      <c r="G77" s="407" t="n"/>
      <c r="H77" s="397" t="n"/>
      <c r="I77" s="397" t="n"/>
      <c r="J77" s="397" t="n"/>
      <c r="K77" s="407" t="n"/>
      <c r="L77" s="408" t="n"/>
      <c r="M77" s="409" t="inlineStr">
        <is>
          <t xml:space="preserve">   TOPLAM ISI KAYBI =</t>
        </is>
      </c>
      <c r="N77" s="409" t="n"/>
      <c r="O77" s="410" t="n"/>
      <c r="P77" s="409" t="n"/>
      <c r="Q77" s="411">
        <f>Q74+Q76</f>
        <v/>
      </c>
    </row>
    <row r="78" ht="10.35" customHeight="1" s="244">
      <c r="A78" s="359" t="n"/>
      <c r="B78" s="360" t="n"/>
      <c r="C78" s="360" t="n"/>
      <c r="D78" s="360" t="n"/>
      <c r="E78" s="360" t="n"/>
      <c r="F78" s="361" t="inlineStr">
        <is>
          <t>B1</t>
        </is>
      </c>
      <c r="G78" s="362" t="inlineStr">
        <is>
          <t>0</t>
        </is>
      </c>
      <c r="H78" s="360" t="inlineStr">
        <is>
          <t>B08</t>
        </is>
      </c>
      <c r="I78" s="363" t="inlineStr">
        <is>
          <t>DAİRE 1 HOL</t>
        </is>
      </c>
      <c r="J78" s="364" t="n"/>
      <c r="K78" s="360" t="inlineStr">
        <is>
          <t>18ºC</t>
        </is>
      </c>
      <c r="L78" s="360" t="n"/>
      <c r="M78" s="360" t="n"/>
      <c r="N78" s="360" t="n"/>
      <c r="O78" s="360" t="n"/>
      <c r="P78" s="360" t="n"/>
      <c r="Q78" s="365" t="n"/>
    </row>
    <row r="79" ht="9.949999999999999" customHeight="1" s="244">
      <c r="A79" s="366" t="inlineStr">
        <is>
          <t>İDM</t>
        </is>
      </c>
      <c r="B79" s="367" t="inlineStr"/>
      <c r="C79" s="368" t="n"/>
      <c r="D79" s="369" t="n">
        <v>1.7</v>
      </c>
      <c r="E79" s="369" t="n">
        <v>3</v>
      </c>
      <c r="F79" s="370">
        <f>IF(D79=0," ",D79*E79)</f>
        <v/>
      </c>
      <c r="G79" s="371" t="n">
        <v>1</v>
      </c>
      <c r="H79" s="372">
        <f>F80*G80</f>
        <v/>
      </c>
      <c r="I79" s="370">
        <f>IF(F79=" "," ",F79*G79-H79)</f>
        <v/>
      </c>
      <c r="J79" s="369" t="n">
        <v>0.332</v>
      </c>
      <c r="K79" s="371" t="n">
        <v>8</v>
      </c>
      <c r="L79" s="373">
        <f>IF(I79=" "," ",I79*J79*K79)</f>
        <v/>
      </c>
      <c r="M79" s="374" t="n">
        <v>7</v>
      </c>
      <c r="N79" s="371" t="n">
        <v>0</v>
      </c>
      <c r="O79" s="374" t="n">
        <v>0</v>
      </c>
      <c r="P79" s="370">
        <f>IF(M79=" "," ",(1+(M79+N79+O79)/100))</f>
        <v/>
      </c>
      <c r="Q79" s="375">
        <f>IF(L79=" "," ",L79*P79)</f>
        <v/>
      </c>
    </row>
    <row r="80" ht="9.949999999999999" customFormat="1" customHeight="1" s="329">
      <c r="A80" s="366" t="inlineStr">
        <is>
          <t>DK</t>
        </is>
      </c>
      <c r="B80" s="367" t="inlineStr"/>
      <c r="C80" s="368" t="n"/>
      <c r="D80" s="369" t="n">
        <v>1</v>
      </c>
      <c r="E80" s="369" t="n">
        <v>2.2</v>
      </c>
      <c r="F80" s="370">
        <f>IF(D80=0," ",D80*E80)</f>
        <v/>
      </c>
      <c r="G80" s="371" t="n">
        <v>1</v>
      </c>
      <c r="H80" s="372" t="n"/>
      <c r="I80" s="370">
        <f>IF(F80=" "," ",F80*G80-H80)</f>
        <v/>
      </c>
      <c r="J80" s="369" t="n">
        <v>2</v>
      </c>
      <c r="K80" s="371" t="n">
        <v>8</v>
      </c>
      <c r="L80" s="373">
        <f>IF(I80=" "," ",I80*J80*K80)</f>
        <v/>
      </c>
      <c r="M80" s="374" t="n">
        <v>7</v>
      </c>
      <c r="N80" s="371" t="n">
        <v>0</v>
      </c>
      <c r="O80" s="374" t="n">
        <v>0</v>
      </c>
      <c r="P80" s="370">
        <f>IF(M80=" "," ",(1+(M80+N80+O80)/100))</f>
        <v/>
      </c>
      <c r="Q80" s="375">
        <f>IF(L80=" "," ",L80*P80)</f>
        <v/>
      </c>
    </row>
    <row r="81" ht="9.949999999999999" customFormat="1" customHeight="1" s="339">
      <c r="A81" s="366" t="inlineStr">
        <is>
          <t>Dö</t>
        </is>
      </c>
      <c r="B81" s="367" t="inlineStr"/>
      <c r="C81" s="368" t="n"/>
      <c r="D81" s="369" t="n">
        <v>9.460000000000001</v>
      </c>
      <c r="E81" s="369" t="n">
        <v>1</v>
      </c>
      <c r="F81" s="370">
        <f>IF(D81=0," ",D81*E81)</f>
        <v/>
      </c>
      <c r="G81" s="371" t="n">
        <v>1</v>
      </c>
      <c r="H81" s="372" t="n"/>
      <c r="I81" s="370">
        <f>IF(F81=" "," ",F81*G81-H81)</f>
        <v/>
      </c>
      <c r="J81" s="369" t="n">
        <v>0.312</v>
      </c>
      <c r="K81" s="371" t="n">
        <v>12</v>
      </c>
      <c r="L81" s="373">
        <f>IF(I81=" "," ",I81*J81*K81)</f>
        <v/>
      </c>
      <c r="M81" s="374" t="n">
        <v>7</v>
      </c>
      <c r="N81" s="371" t="n">
        <v>0</v>
      </c>
      <c r="O81" s="374" t="n">
        <v>0</v>
      </c>
      <c r="P81" s="370">
        <f>IF(M81=" "," ",(1+(M81+N81+O81)/100))</f>
        <v/>
      </c>
      <c r="Q81" s="375">
        <f>IF(L81=" "," ",L81*P81)</f>
        <v/>
      </c>
    </row>
    <row r="82" ht="9.949999999999999" customFormat="1" customHeight="1" s="339">
      <c r="A82" s="376" t="n"/>
      <c r="B82" s="377" t="n"/>
      <c r="C82" s="377" t="n"/>
      <c r="D82" s="378" t="n"/>
      <c r="E82" s="378" t="n"/>
      <c r="F82" s="378" t="n"/>
      <c r="G82" s="379" t="n"/>
      <c r="H82" s="378" t="n"/>
      <c r="I82" s="378" t="n"/>
      <c r="J82" s="378" t="n"/>
      <c r="K82" s="379" t="n"/>
      <c r="L82" s="380" t="n"/>
      <c r="M82" s="381" t="n"/>
      <c r="N82" s="381" t="n"/>
      <c r="O82" s="381" t="n"/>
      <c r="P82" s="382" t="n"/>
      <c r="Q82" s="383">
        <f>SUM(Q79:Q81)</f>
        <v/>
      </c>
    </row>
    <row r="83" ht="9.949999999999999" customFormat="1" customHeight="1" s="351">
      <c r="A83" s="384" t="n"/>
      <c r="B83" s="385" t="n"/>
      <c r="C83" s="385" t="n"/>
      <c r="D83" s="386" t="n"/>
      <c r="E83" s="387" t="n"/>
      <c r="F83" s="388" t="n"/>
      <c r="G83" s="389" t="n"/>
      <c r="H83" s="388" t="n"/>
      <c r="I83" s="390" t="n"/>
      <c r="J83" s="391" t="inlineStr">
        <is>
          <t>Qs=</t>
        </is>
      </c>
      <c r="K83" s="390" t="inlineStr">
        <is>
          <t>S a</t>
        </is>
      </c>
      <c r="L83" s="388" t="inlineStr">
        <is>
          <t>L</t>
        </is>
      </c>
      <c r="M83" s="389" t="inlineStr">
        <is>
          <t>R</t>
        </is>
      </c>
      <c r="N83" s="392" t="inlineStr">
        <is>
          <t>H</t>
        </is>
      </c>
      <c r="O83" s="393" t="inlineStr">
        <is>
          <t>D  T</t>
        </is>
      </c>
      <c r="P83" s="389" t="inlineStr">
        <is>
          <t>Ze</t>
        </is>
      </c>
      <c r="Q83" s="394" t="n"/>
    </row>
    <row r="84" ht="9.949999999999999" customFormat="1" customHeight="1" s="351">
      <c r="A84" s="395" t="inlineStr">
        <is>
          <t xml:space="preserve"> </t>
        </is>
      </c>
      <c r="B84" s="354" t="n"/>
      <c r="C84" s="397" t="n"/>
      <c r="D84" s="397" t="n"/>
      <c r="E84" s="398" t="n"/>
      <c r="F84" s="399" t="n"/>
      <c r="G84" s="400" t="n"/>
      <c r="H84" s="401" t="n"/>
      <c r="I84" s="402" t="n"/>
      <c r="J84" s="403" t="inlineStr">
        <is>
          <t>Qs  =</t>
        </is>
      </c>
      <c r="K84" s="404" t="n">
        <v>2</v>
      </c>
      <c r="L84" s="404" t="n">
        <v>0</v>
      </c>
      <c r="M84" s="404" t="n">
        <v>0.9</v>
      </c>
      <c r="N84" s="404" t="n">
        <v>0.67</v>
      </c>
      <c r="O84" s="381" t="n">
        <v>24</v>
      </c>
      <c r="P84" s="404" t="n">
        <v>1</v>
      </c>
      <c r="Q84" s="383">
        <f>K84*L84*M84*N84*O84*P84</f>
        <v/>
      </c>
    </row>
    <row r="85" ht="9.949999999999999" customFormat="1" customHeight="1" s="356">
      <c r="A85" s="405" t="n"/>
      <c r="B85" s="406" t="n"/>
      <c r="C85" s="397" t="n"/>
      <c r="D85" s="397" t="n"/>
      <c r="E85" s="378" t="n"/>
      <c r="F85" s="256" t="n"/>
      <c r="G85" s="407" t="n"/>
      <c r="H85" s="397" t="n"/>
      <c r="I85" s="397" t="n"/>
      <c r="J85" s="397" t="n"/>
      <c r="K85" s="407" t="n"/>
      <c r="L85" s="408" t="n"/>
      <c r="M85" s="409" t="inlineStr">
        <is>
          <t xml:space="preserve">   TOPLAM ISI KAYBI =</t>
        </is>
      </c>
      <c r="N85" s="409" t="n"/>
      <c r="O85" s="410" t="n"/>
      <c r="P85" s="409" t="n"/>
      <c r="Q85" s="411">
        <f>Q82+Q84</f>
        <v/>
      </c>
    </row>
    <row r="86" ht="11.25" customFormat="1" customHeight="1" s="356">
      <c r="A86" s="346" t="n"/>
      <c r="B86" s="346" t="n"/>
      <c r="C86" s="346" t="n"/>
      <c r="D86" s="346" t="n"/>
      <c r="E86" s="346" t="n"/>
      <c r="F86" s="346" t="n"/>
      <c r="G86" s="346" t="n"/>
      <c r="H86" s="346" t="n"/>
      <c r="I86" s="346" t="n"/>
      <c r="J86" s="346" t="n"/>
      <c r="K86" s="346" t="n"/>
      <c r="L86" s="346" t="n"/>
      <c r="M86" s="346" t="n"/>
      <c r="N86" s="346" t="n"/>
      <c r="O86" s="346" t="n"/>
      <c r="P86" s="346" t="n"/>
      <c r="Q86" s="346" t="n"/>
    </row>
    <row r="87" ht="9.75" customFormat="1" customHeight="1" s="356">
      <c r="A87" s="414" t="n"/>
      <c r="B87" s="415" t="n"/>
      <c r="C87" s="415" t="n"/>
      <c r="D87" s="415" t="n"/>
      <c r="E87" s="415" t="n"/>
      <c r="F87" s="416" t="n"/>
      <c r="G87" s="417" t="n"/>
      <c r="H87" s="415" t="n"/>
      <c r="I87" s="417" t="n"/>
      <c r="K87" s="415" t="n"/>
      <c r="L87" s="415" t="n"/>
      <c r="M87" s="415" t="n"/>
      <c r="N87" s="415" t="n"/>
      <c r="O87" s="415" t="n"/>
      <c r="P87" s="415" t="n"/>
      <c r="Q87" s="418" t="n"/>
    </row>
    <row r="88" ht="9.949999999999999" customFormat="1" customHeight="1" s="356">
      <c r="A88" s="419" t="n"/>
      <c r="B88" s="396" t="n"/>
      <c r="C88" s="420" t="n"/>
      <c r="D88" s="421" t="n"/>
      <c r="E88" s="421" t="n"/>
      <c r="F88" s="422" t="n"/>
      <c r="G88" s="423" t="n"/>
      <c r="H88" s="424" t="n"/>
      <c r="I88" s="422" t="n"/>
      <c r="J88" s="421" t="n"/>
      <c r="K88" s="423" t="n"/>
      <c r="L88" s="425" t="n"/>
      <c r="M88" s="426" t="n"/>
      <c r="N88" s="423" t="n"/>
      <c r="O88" s="426" t="n"/>
      <c r="P88" s="422" t="n"/>
      <c r="Q88" s="427" t="n"/>
    </row>
    <row r="89" ht="9.949999999999999" customFormat="1" customHeight="1" s="356">
      <c r="A89" s="419" t="n"/>
      <c r="B89" s="396" t="n"/>
      <c r="C89" s="420" t="n"/>
      <c r="D89" s="421" t="n"/>
      <c r="E89" s="421" t="n"/>
      <c r="F89" s="422" t="n"/>
      <c r="G89" s="423" t="n"/>
      <c r="H89" s="424" t="n"/>
      <c r="I89" s="422" t="n"/>
      <c r="J89" s="421" t="n"/>
      <c r="K89" s="423" t="n"/>
      <c r="L89" s="425" t="n"/>
      <c r="M89" s="426" t="n"/>
      <c r="N89" s="423" t="n"/>
      <c r="O89" s="426" t="n"/>
      <c r="P89" s="422" t="n"/>
      <c r="Q89" s="427" t="n"/>
    </row>
    <row r="90" ht="9.949999999999999" customFormat="1" customHeight="1" s="356">
      <c r="A90" s="419" t="n"/>
      <c r="B90" s="396" t="n"/>
      <c r="C90" s="420" t="n"/>
      <c r="D90" s="421" t="n"/>
      <c r="E90" s="421" t="n"/>
      <c r="F90" s="422" t="n"/>
      <c r="G90" s="423" t="n"/>
      <c r="H90" s="424" t="n"/>
      <c r="I90" s="422" t="n"/>
      <c r="J90" s="421" t="n"/>
      <c r="K90" s="423" t="n"/>
      <c r="L90" s="425" t="n"/>
      <c r="M90" s="426" t="n"/>
      <c r="N90" s="423" t="n"/>
      <c r="O90" s="426" t="n"/>
      <c r="P90" s="422" t="n"/>
      <c r="Q90" s="428" t="n"/>
    </row>
    <row r="91" ht="9.949999999999999" customFormat="1" customHeight="1" s="356">
      <c r="A91" s="419" t="n"/>
      <c r="B91" s="396" t="n"/>
      <c r="C91" s="420" t="n"/>
      <c r="D91" s="421" t="n"/>
      <c r="E91" s="421" t="n"/>
      <c r="F91" s="422" t="n"/>
      <c r="G91" s="423" t="n"/>
      <c r="H91" s="424" t="n"/>
      <c r="I91" s="422" t="n"/>
      <c r="J91" s="421" t="n"/>
      <c r="K91" s="423" t="n"/>
      <c r="L91" s="425" t="n"/>
      <c r="M91" s="426" t="n"/>
      <c r="N91" s="423" t="n"/>
      <c r="O91" s="426" t="n"/>
      <c r="P91" s="422" t="n"/>
      <c r="Q91" s="427" t="n"/>
    </row>
    <row r="92" ht="9.949999999999999" customFormat="1" customHeight="1" s="356">
      <c r="A92" s="419" t="n"/>
      <c r="B92" s="396" t="n"/>
      <c r="C92" s="420" t="n"/>
      <c r="D92" s="421" t="n"/>
      <c r="E92" s="421" t="n"/>
      <c r="F92" s="422" t="n"/>
      <c r="G92" s="423" t="n"/>
      <c r="H92" s="424" t="n"/>
      <c r="I92" s="422" t="n"/>
      <c r="J92" s="421" t="n"/>
      <c r="K92" s="423" t="n"/>
      <c r="L92" s="425" t="n"/>
      <c r="M92" s="426" t="n"/>
      <c r="N92" s="423" t="n"/>
      <c r="O92" s="426" t="n"/>
      <c r="P92" s="422" t="n"/>
      <c r="Q92" s="427" t="n"/>
    </row>
    <row r="93" ht="9.949999999999999" customFormat="1" customHeight="1" s="356">
      <c r="A93" s="419" t="n"/>
      <c r="B93" s="396" t="n"/>
      <c r="C93" s="420" t="n"/>
      <c r="D93" s="421" t="n"/>
      <c r="E93" s="421" t="n"/>
      <c r="F93" s="422" t="n"/>
      <c r="G93" s="423" t="n"/>
      <c r="H93" s="424" t="n"/>
      <c r="I93" s="422" t="n"/>
      <c r="J93" s="421" t="n"/>
      <c r="K93" s="423" t="n"/>
      <c r="L93" s="425" t="n"/>
      <c r="M93" s="426" t="n"/>
      <c r="N93" s="423" t="n"/>
      <c r="O93" s="426" t="n"/>
      <c r="P93" s="422" t="n"/>
      <c r="Q93" s="427" t="n"/>
    </row>
    <row r="94" ht="9.949999999999999" customFormat="1" customHeight="1" s="356">
      <c r="A94" s="419" t="n"/>
      <c r="B94" s="396" t="n"/>
      <c r="C94" s="420" t="n"/>
      <c r="D94" s="421" t="n"/>
      <c r="E94" s="421" t="n"/>
      <c r="F94" s="422" t="n"/>
      <c r="G94" s="423" t="n"/>
      <c r="H94" s="424" t="n"/>
      <c r="I94" s="422" t="n"/>
      <c r="J94" s="421" t="n"/>
      <c r="K94" s="423" t="n"/>
      <c r="L94" s="425" t="n"/>
      <c r="M94" s="426" t="n"/>
      <c r="N94" s="423" t="n"/>
      <c r="O94" s="426" t="n"/>
      <c r="P94" s="422" t="n"/>
      <c r="Q94" s="428" t="n"/>
    </row>
    <row r="95" ht="9.949999999999999" customFormat="1" customHeight="1" s="356">
      <c r="A95" s="419" t="n"/>
      <c r="B95" s="396" t="n"/>
      <c r="C95" s="420" t="n"/>
      <c r="D95" s="421" t="n"/>
      <c r="E95" s="421" t="n"/>
      <c r="F95" s="422" t="n"/>
      <c r="G95" s="423" t="n"/>
      <c r="H95" s="424" t="n"/>
      <c r="I95" s="422" t="n"/>
      <c r="J95" s="421" t="n"/>
      <c r="K95" s="423" t="n"/>
      <c r="L95" s="425" t="n"/>
      <c r="M95" s="426" t="n"/>
      <c r="N95" s="423" t="n"/>
      <c r="O95" s="426" t="n"/>
      <c r="P95" s="422" t="n"/>
      <c r="Q95" s="428" t="n"/>
    </row>
    <row r="96" ht="9.949999999999999" customFormat="1" customHeight="1" s="356">
      <c r="A96" s="429" t="n"/>
      <c r="B96" s="412" t="n"/>
      <c r="C96" s="412" t="n"/>
      <c r="D96" s="430" t="n"/>
      <c r="E96" s="430" t="n"/>
      <c r="F96" s="430" t="n"/>
      <c r="G96" s="431" t="n"/>
      <c r="H96" s="430" t="n"/>
      <c r="I96" s="430" t="n"/>
      <c r="J96" s="430" t="n"/>
      <c r="K96" s="431" t="n"/>
      <c r="L96" s="432" t="n"/>
      <c r="M96" s="433" t="n"/>
      <c r="N96" s="433" t="n"/>
      <c r="O96" s="433" t="n"/>
      <c r="P96" s="434" t="n"/>
      <c r="Q96" s="435" t="n"/>
    </row>
    <row r="97" ht="9.949999999999999" customFormat="1" customHeight="1" s="413">
      <c r="A97" s="436" t="n"/>
      <c r="B97" s="437" t="n"/>
      <c r="C97" s="437" t="n"/>
      <c r="D97" s="438" t="n"/>
      <c r="E97" s="439" t="n"/>
      <c r="F97" s="440" t="n"/>
      <c r="G97" s="441" t="n"/>
      <c r="H97" s="440" t="n"/>
      <c r="I97" s="442" t="n"/>
      <c r="J97" s="443" t="n"/>
      <c r="K97" s="442" t="n"/>
      <c r="L97" s="440" t="n"/>
      <c r="M97" s="441" t="n"/>
      <c r="N97" s="444" t="n"/>
      <c r="O97" s="445" t="n"/>
      <c r="P97" s="441" t="n"/>
      <c r="Q97" s="446" t="n"/>
    </row>
    <row r="98" ht="9.949999999999999" customFormat="1" customHeight="1" s="413">
      <c r="A98" s="447" t="n"/>
      <c r="C98" s="448" t="n"/>
      <c r="D98" s="448" t="n"/>
      <c r="E98" s="449" t="n"/>
      <c r="F98" s="450" t="n"/>
      <c r="G98" s="451" t="n"/>
      <c r="H98" s="452" t="n"/>
      <c r="I98" s="453" t="n"/>
      <c r="J98" s="454" t="n"/>
      <c r="K98" s="455" t="n"/>
      <c r="L98" s="455" t="n"/>
      <c r="M98" s="455" t="n"/>
      <c r="N98" s="455" t="n"/>
      <c r="O98" s="433" t="n"/>
      <c r="P98" s="455" t="n"/>
      <c r="Q98" s="435" t="n"/>
    </row>
    <row r="99" ht="9.949999999999999" customFormat="1" customHeight="1" s="351">
      <c r="A99" s="456" t="n"/>
      <c r="B99" s="413" t="n"/>
      <c r="C99" s="448" t="n"/>
      <c r="D99" s="448" t="n"/>
      <c r="E99" s="430" t="n"/>
      <c r="G99" s="457" t="n"/>
      <c r="H99" s="448" t="n"/>
      <c r="I99" s="448" t="n"/>
      <c r="J99" s="448" t="n"/>
      <c r="K99" s="457" t="n"/>
      <c r="L99" s="458" t="n"/>
      <c r="M99" s="459" t="n"/>
      <c r="N99" s="459" t="n"/>
      <c r="O99" s="460" t="n"/>
      <c r="P99" s="459" t="n"/>
      <c r="Q99" s="461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0">
    <mergeCell ref="M3:P3"/>
    <mergeCell ref="E68:F68"/>
    <mergeCell ref="E39:F39"/>
    <mergeCell ref="E3:H3"/>
    <mergeCell ref="E19:F19"/>
    <mergeCell ref="E30:F30"/>
    <mergeCell ref="E77:F77"/>
    <mergeCell ref="E49:F49"/>
    <mergeCell ref="I8:J8"/>
    <mergeCell ref="E85:F85"/>
    <mergeCell ref="I20:J20"/>
    <mergeCell ref="I78:J78"/>
    <mergeCell ref="I3:L3"/>
    <mergeCell ref="A3:D3"/>
    <mergeCell ref="I31:J31"/>
    <mergeCell ref="I59:J59"/>
    <mergeCell ref="I50:J50"/>
    <mergeCell ref="I69:J69"/>
    <mergeCell ref="E58:F58"/>
    <mergeCell ref="I40:J40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200"/>
  <sheetViews>
    <sheetView showFormulas="0" showGridLines="1" showRowColHeaders="1" showZeros="1" rightToLeft="0" tabSelected="0" showOutlineSymbols="1" defaultGridColor="1" view="normal" topLeftCell="A7" colorId="64" zoomScale="145" zoomScaleNormal="145" zoomScalePageLayoutView="100" workbookViewId="0">
      <selection pane="topLeft" activeCell="H18" activeCellId="0" sqref="H18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ZEMİN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4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9.7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Z</t>
        </is>
      </c>
      <c r="G8" s="362" t="inlineStr">
        <is>
          <t>0</t>
        </is>
      </c>
      <c r="H8" s="360" t="inlineStr">
        <is>
          <t>Z01</t>
        </is>
      </c>
      <c r="I8" s="363" t="inlineStr">
        <is>
          <t>DAİRE 2 SALON</t>
        </is>
      </c>
      <c r="J8" s="364" t="n"/>
      <c r="K8" s="360" t="inlineStr">
        <is>
          <t>22ºC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K</t>
        </is>
      </c>
      <c r="C9" s="368" t="n"/>
      <c r="D9" s="369" t="n">
        <v>4.11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28</v>
      </c>
      <c r="L9" s="373">
        <f>IF(I9=" "," ",I9*J9*K9)</f>
        <v/>
      </c>
      <c r="M9" s="374" t="n">
        <v>7</v>
      </c>
      <c r="N9" s="371" t="n">
        <v>0</v>
      </c>
      <c r="O9" s="374" t="n">
        <v>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K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28</v>
      </c>
      <c r="L10" s="373">
        <f>IF(I10=" "," ",I10*J10*K10)</f>
        <v/>
      </c>
      <c r="M10" s="374" t="n">
        <v>7</v>
      </c>
      <c r="N10" s="371" t="n">
        <v>0</v>
      </c>
      <c r="O10" s="374" t="n">
        <v>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BK</t>
        </is>
      </c>
      <c r="B11" s="367" t="inlineStr">
        <is>
          <t>K</t>
        </is>
      </c>
      <c r="C11" s="368" t="n"/>
      <c r="D11" s="369" t="n">
        <v>2.5</v>
      </c>
      <c r="E11" s="369" t="n">
        <v>2.5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28</v>
      </c>
      <c r="L11" s="373">
        <f>IF(I11=" "," ",I11*J11*K11)</f>
        <v/>
      </c>
      <c r="M11" s="374" t="n">
        <v>7</v>
      </c>
      <c r="N11" s="371" t="n">
        <v>0</v>
      </c>
      <c r="O11" s="374" t="n">
        <v>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DD</t>
        </is>
      </c>
      <c r="B12" s="367" t="inlineStr">
        <is>
          <t>B</t>
        </is>
      </c>
      <c r="C12" s="368" t="n"/>
      <c r="D12" s="369" t="n">
        <v>6</v>
      </c>
      <c r="E12" s="369" t="n">
        <v>2.5</v>
      </c>
      <c r="F12" s="370">
        <f>IF(D12=0," ",D12*E12)</f>
        <v/>
      </c>
      <c r="G12" s="371" t="n">
        <v>1</v>
      </c>
      <c r="H12" s="372">
        <f>F14*G14</f>
        <v/>
      </c>
      <c r="I12" s="370">
        <f>IF(F12=" "," ",F12*G12-H12)</f>
        <v/>
      </c>
      <c r="J12" s="369" t="n">
        <v>0.344</v>
      </c>
      <c r="K12" s="371" t="n">
        <v>28</v>
      </c>
      <c r="L12" s="373">
        <f>IF(I12=" "," ",I12*J12*K12)</f>
        <v/>
      </c>
      <c r="M12" s="374" t="n">
        <v>7</v>
      </c>
      <c r="N12" s="371" t="n">
        <v>0</v>
      </c>
      <c r="O12" s="374" t="n">
        <v>0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DD25</t>
        </is>
      </c>
      <c r="B13" s="367" t="inlineStr">
        <is>
          <t>B</t>
        </is>
      </c>
      <c r="C13" s="368" t="n"/>
      <c r="D13" s="369">
        <f>D12</f>
        <v/>
      </c>
      <c r="E13" s="369" t="n">
        <v>0.5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0.387</v>
      </c>
      <c r="K13" s="371" t="n">
        <v>28</v>
      </c>
      <c r="L13" s="373">
        <f>IF(I13=" "," ",I13*J13*K13)</f>
        <v/>
      </c>
      <c r="M13" s="374" t="n">
        <v>7</v>
      </c>
      <c r="N13" s="371" t="n">
        <v>0</v>
      </c>
      <c r="O13" s="374" t="n">
        <v>0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ÇP</t>
        </is>
      </c>
      <c r="B14" s="367" t="inlineStr">
        <is>
          <t>B</t>
        </is>
      </c>
      <c r="C14" s="368" t="n"/>
      <c r="D14" s="369" t="n">
        <v>2</v>
      </c>
      <c r="E14" s="369" t="n">
        <v>2.2</v>
      </c>
      <c r="F14" s="370">
        <f>IF(D14=0," ",D14*E14)</f>
        <v/>
      </c>
      <c r="G14" s="371" t="n">
        <v>1</v>
      </c>
      <c r="H14" s="372" t="n"/>
      <c r="I14" s="370">
        <f>IF(F14=" "," ",F14*G14-H14)</f>
        <v/>
      </c>
      <c r="J14" s="369" t="n">
        <v>1.8</v>
      </c>
      <c r="K14" s="371" t="n">
        <v>28</v>
      </c>
      <c r="L14" s="373">
        <f>IF(I14=" "," ",I14*J14*K14)</f>
        <v/>
      </c>
      <c r="M14" s="374" t="n">
        <v>7</v>
      </c>
      <c r="N14" s="371" t="n">
        <v>0</v>
      </c>
      <c r="O14" s="374" t="n">
        <v>0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76" t="n"/>
      <c r="B15" s="377" t="n"/>
      <c r="C15" s="377" t="n"/>
      <c r="D15" s="378" t="n"/>
      <c r="E15" s="378" t="n"/>
      <c r="F15" s="378" t="n"/>
      <c r="G15" s="379" t="n"/>
      <c r="H15" s="378" t="n"/>
      <c r="I15" s="378" t="n"/>
      <c r="J15" s="378" t="n"/>
      <c r="K15" s="379" t="n"/>
      <c r="L15" s="380" t="n"/>
      <c r="M15" s="381" t="n"/>
      <c r="N15" s="381" t="n"/>
      <c r="O15" s="381" t="n"/>
      <c r="P15" s="382" t="n"/>
      <c r="Q15" s="383">
        <f>SUM(Q9:Q14)</f>
        <v/>
      </c>
    </row>
    <row r="16" ht="9.949999999999999" customFormat="1" customHeight="1" s="356">
      <c r="A16" s="384" t="n"/>
      <c r="B16" s="385" t="n"/>
      <c r="C16" s="385" t="n"/>
      <c r="D16" s="386" t="n"/>
      <c r="E16" s="387" t="n"/>
      <c r="F16" s="388" t="n"/>
      <c r="G16" s="389" t="n"/>
      <c r="H16" s="388" t="n"/>
      <c r="I16" s="390" t="n"/>
      <c r="J16" s="391" t="inlineStr">
        <is>
          <t>Qs=</t>
        </is>
      </c>
      <c r="K16" s="390" t="inlineStr">
        <is>
          <t>S a</t>
        </is>
      </c>
      <c r="L16" s="388" t="inlineStr">
        <is>
          <t>L</t>
        </is>
      </c>
      <c r="M16" s="389" t="inlineStr">
        <is>
          <t>R</t>
        </is>
      </c>
      <c r="N16" s="392" t="inlineStr">
        <is>
          <t>H</t>
        </is>
      </c>
      <c r="O16" s="393" t="inlineStr">
        <is>
          <t>D  T</t>
        </is>
      </c>
      <c r="P16" s="389" t="inlineStr">
        <is>
          <t>Ze</t>
        </is>
      </c>
      <c r="Q16" s="394" t="n"/>
    </row>
    <row r="17" ht="9.949999999999999" customFormat="1" customHeight="1" s="356">
      <c r="A17" s="395" t="inlineStr">
        <is>
          <t xml:space="preserve"> </t>
        </is>
      </c>
      <c r="B17" s="396" t="n"/>
      <c r="C17" s="397" t="n"/>
      <c r="D17" s="397" t="n"/>
      <c r="E17" s="398" t="n"/>
      <c r="F17" s="399" t="n"/>
      <c r="G17" s="400" t="n"/>
      <c r="H17" s="401" t="n"/>
      <c r="I17" s="402" t="n"/>
      <c r="J17" s="403" t="inlineStr">
        <is>
          <t>Qs  =</t>
        </is>
      </c>
      <c r="K17" s="404" t="n">
        <v>2</v>
      </c>
      <c r="L17" s="404">
        <f>(D11+E11)*2*G11+(D14+E14)*2*G14</f>
        <v/>
      </c>
      <c r="M17" s="404" t="n">
        <v>0.9</v>
      </c>
      <c r="N17" s="404" t="n">
        <v>0.67</v>
      </c>
      <c r="O17" s="381" t="n">
        <v>28</v>
      </c>
      <c r="P17" s="404" t="n">
        <v>1.2</v>
      </c>
      <c r="Q17" s="383">
        <f>K17*L17*M17*N17*O17*P17</f>
        <v/>
      </c>
    </row>
    <row r="18" ht="9.949999999999999" customFormat="1" customHeight="1" s="356">
      <c r="A18" s="405" t="n"/>
      <c r="B18" s="406" t="n"/>
      <c r="C18" s="397" t="n"/>
      <c r="D18" s="397" t="n"/>
      <c r="E18" s="378" t="n"/>
      <c r="F18" s="256" t="n"/>
      <c r="G18" s="407" t="n"/>
      <c r="H18" s="397" t="n"/>
      <c r="I18" s="397" t="n"/>
      <c r="J18" s="397" t="n"/>
      <c r="K18" s="407" t="n"/>
      <c r="L18" s="408" t="n"/>
      <c r="M18" s="409" t="inlineStr">
        <is>
          <t xml:space="preserve">   TOPLAM ISI KAYBI =</t>
        </is>
      </c>
      <c r="N18" s="409" t="n"/>
      <c r="O18" s="410" t="n"/>
      <c r="P18" s="409" t="n"/>
      <c r="Q18" s="411">
        <f>Q15+Q17</f>
        <v/>
      </c>
    </row>
    <row r="19" ht="10.35" customFormat="1" customHeight="1" s="356">
      <c r="A19" s="359" t="n"/>
      <c r="B19" s="360" t="n"/>
      <c r="C19" s="360" t="n"/>
      <c r="D19" s="360" t="n"/>
      <c r="E19" s="360" t="n"/>
      <c r="F19" s="361" t="inlineStr">
        <is>
          <t>Z</t>
        </is>
      </c>
      <c r="G19" s="362" t="inlineStr">
        <is>
          <t>0</t>
        </is>
      </c>
      <c r="H19" s="360" t="inlineStr">
        <is>
          <t>Z02</t>
        </is>
      </c>
      <c r="I19" s="363" t="inlineStr">
        <is>
          <t>DAİRE 2 MUTFAK</t>
        </is>
      </c>
      <c r="J19" s="364" t="n"/>
      <c r="K19" s="360" t="inlineStr">
        <is>
          <t>20ºC</t>
        </is>
      </c>
      <c r="L19" s="360" t="n"/>
      <c r="M19" s="360" t="n"/>
      <c r="N19" s="360" t="n"/>
      <c r="O19" s="360" t="n"/>
      <c r="P19" s="360" t="n"/>
      <c r="Q19" s="365" t="n"/>
    </row>
    <row r="20" ht="9.949999999999999" customFormat="1" customHeight="1" s="356">
      <c r="A20" s="366" t="inlineStr">
        <is>
          <t>DD</t>
        </is>
      </c>
      <c r="B20" s="367" t="inlineStr">
        <is>
          <t>K</t>
        </is>
      </c>
      <c r="C20" s="368" t="n"/>
      <c r="D20" s="369" t="n">
        <v>3.59</v>
      </c>
      <c r="E20" s="369" t="n">
        <v>2.5</v>
      </c>
      <c r="F20" s="370">
        <f>IF(D20=0," ",D20*E20)</f>
        <v/>
      </c>
      <c r="G20" s="371" t="n">
        <v>1</v>
      </c>
      <c r="H20" s="372">
        <f>F22*G22</f>
        <v/>
      </c>
      <c r="I20" s="370">
        <f>IF(F20=" "," ",F20*G20-H20)</f>
        <v/>
      </c>
      <c r="J20" s="369" t="n">
        <v>0.344</v>
      </c>
      <c r="K20" s="371" t="n">
        <v>26</v>
      </c>
      <c r="L20" s="373">
        <f>IF(I20=" "," ",I20*J20*K20)</f>
        <v/>
      </c>
      <c r="M20" s="374" t="n">
        <v>7</v>
      </c>
      <c r="N20" s="371" t="n">
        <v>0</v>
      </c>
      <c r="O20" s="374" t="n">
        <v>5</v>
      </c>
      <c r="P20" s="370">
        <f>IF(M20=" "," ",(1+(M20+N20+O20)/100))</f>
        <v/>
      </c>
      <c r="Q20" s="375">
        <f>IF(L20=" "," ",L20*P20)</f>
        <v/>
      </c>
    </row>
    <row r="21" ht="9.949999999999999" customFormat="1" customHeight="1" s="356">
      <c r="A21" s="366" t="inlineStr">
        <is>
          <t>DD25</t>
        </is>
      </c>
      <c r="B21" s="367" t="inlineStr">
        <is>
          <t>K</t>
        </is>
      </c>
      <c r="C21" s="368" t="n"/>
      <c r="D21" s="369">
        <f>D20</f>
        <v/>
      </c>
      <c r="E21" s="369" t="n">
        <v>0.5</v>
      </c>
      <c r="F21" s="370">
        <f>IF(D21=0," ",D21*E21)</f>
        <v/>
      </c>
      <c r="G21" s="371" t="n">
        <v>1</v>
      </c>
      <c r="H21" s="372" t="n"/>
      <c r="I21" s="370">
        <f>IF(F21=" "," ",F21*G21-H21)</f>
        <v/>
      </c>
      <c r="J21" s="369" t="n">
        <v>0.387</v>
      </c>
      <c r="K21" s="371" t="n">
        <v>26</v>
      </c>
      <c r="L21" s="373">
        <f>IF(I21=" "," ",I21*J21*K21)</f>
        <v/>
      </c>
      <c r="M21" s="374" t="n">
        <v>7</v>
      </c>
      <c r="N21" s="371" t="n">
        <v>0</v>
      </c>
      <c r="O21" s="374" t="n">
        <v>5</v>
      </c>
      <c r="P21" s="370">
        <f>IF(M21=" "," ",(1+(M21+N21+O21)/100))</f>
        <v/>
      </c>
      <c r="Q21" s="375">
        <f>IF(L21=" "," ",L21*P21)</f>
        <v/>
      </c>
    </row>
    <row r="22" ht="9.949999999999999" customFormat="1" customHeight="1" s="356">
      <c r="A22" s="366" t="inlineStr">
        <is>
          <t>BK</t>
        </is>
      </c>
      <c r="B22" s="367" t="inlineStr">
        <is>
          <t>K</t>
        </is>
      </c>
      <c r="C22" s="368" t="n"/>
      <c r="D22" s="369" t="n">
        <v>1.5</v>
      </c>
      <c r="E22" s="369" t="n">
        <v>2.5</v>
      </c>
      <c r="F22" s="370">
        <f>IF(D22=0," ",D22*E22)</f>
        <v/>
      </c>
      <c r="G22" s="371" t="n">
        <v>1</v>
      </c>
      <c r="H22" s="372" t="n"/>
      <c r="I22" s="370">
        <f>IF(F22=" "," ",F22*G22-H22)</f>
        <v/>
      </c>
      <c r="J22" s="369" t="n">
        <v>1.8</v>
      </c>
      <c r="K22" s="371" t="n">
        <v>26</v>
      </c>
      <c r="L22" s="373">
        <f>IF(I22=" "," ",I22*J22*K22)</f>
        <v/>
      </c>
      <c r="M22" s="374" t="n">
        <v>7</v>
      </c>
      <c r="N22" s="371" t="n">
        <v>0</v>
      </c>
      <c r="O22" s="374" t="n">
        <v>5</v>
      </c>
      <c r="P22" s="370">
        <f>IF(M22=" "," ",(1+(M22+N22+O22)/100))</f>
        <v/>
      </c>
      <c r="Q22" s="375">
        <f>IF(L22=" "," ",L22*P22)</f>
        <v/>
      </c>
    </row>
    <row r="23" ht="9.949999999999999" customFormat="1" customHeight="1" s="356">
      <c r="A23" s="366" t="inlineStr">
        <is>
          <t>DD</t>
        </is>
      </c>
      <c r="B23" s="367" t="inlineStr">
        <is>
          <t>D</t>
        </is>
      </c>
      <c r="C23" s="368" t="n"/>
      <c r="D23" s="369" t="n">
        <v>3.74</v>
      </c>
      <c r="E23" s="369" t="n">
        <v>2.5</v>
      </c>
      <c r="F23" s="370">
        <f>IF(D23=0," ",D23*E23)</f>
        <v/>
      </c>
      <c r="G23" s="371" t="n">
        <v>1</v>
      </c>
      <c r="H23" s="372" t="n"/>
      <c r="I23" s="370">
        <f>IF(F23=" "," ",F23*G23-H23)</f>
        <v/>
      </c>
      <c r="J23" s="369" t="n">
        <v>0.344</v>
      </c>
      <c r="K23" s="371" t="n">
        <v>26</v>
      </c>
      <c r="L23" s="373">
        <f>IF(I23=" "," ",I23*J23*K23)</f>
        <v/>
      </c>
      <c r="M23" s="374" t="n">
        <v>7</v>
      </c>
      <c r="N23" s="371" t="n">
        <v>0</v>
      </c>
      <c r="O23" s="374" t="n">
        <v>0</v>
      </c>
      <c r="P23" s="370">
        <f>IF(M23=" "," ",(1+(M23+N23+O23)/100))</f>
        <v/>
      </c>
      <c r="Q23" s="375">
        <f>IF(L23=" "," ",L23*P23)</f>
        <v/>
      </c>
    </row>
    <row r="24" ht="9.949999999999999" customFormat="1" customHeight="1" s="413">
      <c r="A24" s="366" t="inlineStr">
        <is>
          <t>DD25</t>
        </is>
      </c>
      <c r="B24" s="367" t="inlineStr">
        <is>
          <t>D</t>
        </is>
      </c>
      <c r="C24" s="368" t="n"/>
      <c r="D24" s="369">
        <f>D23</f>
        <v/>
      </c>
      <c r="E24" s="369" t="n">
        <v>0.5</v>
      </c>
      <c r="F24" s="370">
        <f>IF(D24=0," ",D24*E24)</f>
        <v/>
      </c>
      <c r="G24" s="371" t="n">
        <v>1</v>
      </c>
      <c r="H24" s="372" t="n"/>
      <c r="I24" s="370">
        <f>IF(F24=" "," ",F24*G24-H24)</f>
        <v/>
      </c>
      <c r="J24" s="369" t="n">
        <v>0.387</v>
      </c>
      <c r="K24" s="371" t="n">
        <v>26</v>
      </c>
      <c r="L24" s="373">
        <f>IF(I24=" "," ",I24*J24*K24)</f>
        <v/>
      </c>
      <c r="M24" s="374" t="n">
        <v>7</v>
      </c>
      <c r="N24" s="371" t="n">
        <v>0</v>
      </c>
      <c r="O24" s="374" t="n">
        <v>0</v>
      </c>
      <c r="P24" s="370">
        <f>IF(M24=" "," ",(1+(M24+N24+O24)/100))</f>
        <v/>
      </c>
      <c r="Q24" s="375">
        <f>IF(L24=" "," ",L24*P24)</f>
        <v/>
      </c>
    </row>
    <row r="25" ht="9.949999999999999" customFormat="1" customHeight="1" s="413">
      <c r="A25" s="376" t="n"/>
      <c r="B25" s="377" t="n"/>
      <c r="C25" s="377" t="n"/>
      <c r="D25" s="378" t="n"/>
      <c r="E25" s="378" t="n"/>
      <c r="F25" s="378" t="n"/>
      <c r="G25" s="379" t="n"/>
      <c r="H25" s="378" t="n"/>
      <c r="I25" s="378" t="n"/>
      <c r="J25" s="378" t="n"/>
      <c r="K25" s="379" t="n"/>
      <c r="L25" s="380" t="n"/>
      <c r="M25" s="381" t="n"/>
      <c r="N25" s="381" t="n"/>
      <c r="O25" s="381" t="n"/>
      <c r="P25" s="382" t="n"/>
      <c r="Q25" s="383">
        <f>SUM(Q20:Q24)</f>
        <v/>
      </c>
    </row>
    <row r="26" ht="9.949999999999999" customFormat="1" customHeight="1" s="351">
      <c r="A26" s="384" t="n"/>
      <c r="B26" s="385" t="n"/>
      <c r="C26" s="385" t="n"/>
      <c r="D26" s="386" t="n"/>
      <c r="E26" s="387" t="n"/>
      <c r="F26" s="388" t="n"/>
      <c r="G26" s="389" t="n"/>
      <c r="H26" s="388" t="n"/>
      <c r="I26" s="390" t="n"/>
      <c r="J26" s="391" t="inlineStr">
        <is>
          <t>Qs=</t>
        </is>
      </c>
      <c r="K26" s="390" t="inlineStr">
        <is>
          <t>S a</t>
        </is>
      </c>
      <c r="L26" s="388" t="inlineStr">
        <is>
          <t>L</t>
        </is>
      </c>
      <c r="M26" s="389" t="inlineStr">
        <is>
          <t>R</t>
        </is>
      </c>
      <c r="N26" s="392" t="inlineStr">
        <is>
          <t>H</t>
        </is>
      </c>
      <c r="O26" s="393" t="inlineStr">
        <is>
          <t>D  T</t>
        </is>
      </c>
      <c r="P26" s="389" t="inlineStr">
        <is>
          <t>Ze</t>
        </is>
      </c>
      <c r="Q26" s="394" t="n"/>
    </row>
    <row r="27" ht="9.949999999999999" customFormat="1" customHeight="1" s="356">
      <c r="A27" s="395" t="inlineStr">
        <is>
          <t xml:space="preserve"> </t>
        </is>
      </c>
      <c r="B27" s="415" t="n"/>
      <c r="C27" s="397" t="n"/>
      <c r="D27" s="397" t="n"/>
      <c r="E27" s="398" t="n"/>
      <c r="F27" s="399" t="n"/>
      <c r="G27" s="400" t="n"/>
      <c r="H27" s="401" t="n"/>
      <c r="I27" s="402" t="n"/>
      <c r="J27" s="403" t="inlineStr">
        <is>
          <t>Qs  =</t>
        </is>
      </c>
      <c r="K27" s="404" t="n">
        <v>2</v>
      </c>
      <c r="L27" s="404">
        <f>(D22+E22)*2*G22</f>
        <v/>
      </c>
      <c r="M27" s="404" t="n">
        <v>0.9</v>
      </c>
      <c r="N27" s="404" t="n">
        <v>0.67</v>
      </c>
      <c r="O27" s="381" t="n">
        <v>26</v>
      </c>
      <c r="P27" s="404" t="n">
        <v>1</v>
      </c>
      <c r="Q27" s="383">
        <f>K27*L27*M27*N27*O27*P27</f>
        <v/>
      </c>
    </row>
    <row r="28" ht="9.949999999999999" customFormat="1" customHeight="1" s="356">
      <c r="A28" s="405" t="n"/>
      <c r="B28" s="406" t="n"/>
      <c r="C28" s="397" t="n"/>
      <c r="D28" s="397" t="n"/>
      <c r="E28" s="378" t="n"/>
      <c r="F28" s="256" t="n"/>
      <c r="G28" s="407" t="n"/>
      <c r="H28" s="397" t="n"/>
      <c r="I28" s="397" t="n"/>
      <c r="J28" s="397" t="n"/>
      <c r="K28" s="407" t="n"/>
      <c r="L28" s="408" t="n"/>
      <c r="M28" s="409" t="inlineStr">
        <is>
          <t xml:space="preserve">   TOPLAM ISI KAYBI =</t>
        </is>
      </c>
      <c r="N28" s="409" t="n"/>
      <c r="O28" s="410" t="n"/>
      <c r="P28" s="409" t="n"/>
      <c r="Q28" s="411">
        <f>Q25+Q27</f>
        <v/>
      </c>
    </row>
    <row r="29" ht="10.35" customFormat="1" customHeight="1" s="356">
      <c r="A29" s="359" t="n"/>
      <c r="B29" s="360" t="n"/>
      <c r="C29" s="360" t="n"/>
      <c r="D29" s="360" t="n"/>
      <c r="E29" s="360" t="n"/>
      <c r="F29" s="361" t="inlineStr">
        <is>
          <t>Z</t>
        </is>
      </c>
      <c r="G29" s="362" t="inlineStr">
        <is>
          <t>0</t>
        </is>
      </c>
      <c r="H29" s="360" t="inlineStr">
        <is>
          <t>Z03</t>
        </is>
      </c>
      <c r="I29" s="363" t="inlineStr">
        <is>
          <t>DAİRE 2 ODA</t>
        </is>
      </c>
      <c r="J29" s="364" t="n"/>
      <c r="K29" s="360" t="inlineStr">
        <is>
          <t>20ºC</t>
        </is>
      </c>
      <c r="L29" s="360" t="n"/>
      <c r="M29" s="360" t="n"/>
      <c r="N29" s="360" t="n"/>
      <c r="O29" s="360" t="n"/>
      <c r="P29" s="360" t="n"/>
      <c r="Q29" s="365" t="n"/>
    </row>
    <row r="30" ht="9.949999999999999" customFormat="1" customHeight="1" s="356">
      <c r="A30" s="366" t="inlineStr">
        <is>
          <t>DD</t>
        </is>
      </c>
      <c r="B30" s="367" t="inlineStr">
        <is>
          <t>B</t>
        </is>
      </c>
      <c r="C30" s="368" t="n"/>
      <c r="D30" s="369" t="n">
        <v>3</v>
      </c>
      <c r="E30" s="369" t="n">
        <v>2.5</v>
      </c>
      <c r="F30" s="370">
        <f>IF(D30=0," ",D30*E30)</f>
        <v/>
      </c>
      <c r="G30" s="371" t="n">
        <v>1</v>
      </c>
      <c r="H30" s="372">
        <f>F32*G32</f>
        <v/>
      </c>
      <c r="I30" s="370">
        <f>IF(F30=" "," ",F30*G30-H30)</f>
        <v/>
      </c>
      <c r="J30" s="369" t="n">
        <v>0.344</v>
      </c>
      <c r="K30" s="371" t="n">
        <v>26</v>
      </c>
      <c r="L30" s="373">
        <f>IF(I30=" "," ",I30*J30*K30)</f>
        <v/>
      </c>
      <c r="M30" s="374" t="n">
        <v>7</v>
      </c>
      <c r="N30" s="371" t="n">
        <v>0</v>
      </c>
      <c r="O30" s="374" t="n">
        <v>0</v>
      </c>
      <c r="P30" s="370">
        <f>IF(M30=" "," ",(1+(M30+N30+O30)/100))</f>
        <v/>
      </c>
      <c r="Q30" s="375">
        <f>IF(L30=" "," ",L30*P30)</f>
        <v/>
      </c>
    </row>
    <row r="31" ht="9.949999999999999" customFormat="1" customHeight="1" s="356">
      <c r="A31" s="366" t="inlineStr">
        <is>
          <t>DD25</t>
        </is>
      </c>
      <c r="B31" s="367" t="inlineStr">
        <is>
          <t>B</t>
        </is>
      </c>
      <c r="C31" s="368" t="n"/>
      <c r="D31" s="369">
        <f>D30</f>
        <v/>
      </c>
      <c r="E31" s="369" t="n">
        <v>0.5</v>
      </c>
      <c r="F31" s="370">
        <f>IF(D31=0," ",D31*E31)</f>
        <v/>
      </c>
      <c r="G31" s="371" t="n">
        <v>1</v>
      </c>
      <c r="H31" s="372" t="n"/>
      <c r="I31" s="370">
        <f>IF(F31=" "," ",F31*G31-H31)</f>
        <v/>
      </c>
      <c r="J31" s="369" t="n">
        <v>0.387</v>
      </c>
      <c r="K31" s="371" t="n">
        <v>26</v>
      </c>
      <c r="L31" s="373">
        <f>IF(I31=" "," ",I31*J31*K31)</f>
        <v/>
      </c>
      <c r="M31" s="374" t="n">
        <v>7</v>
      </c>
      <c r="N31" s="371" t="n">
        <v>0</v>
      </c>
      <c r="O31" s="374" t="n">
        <v>0</v>
      </c>
      <c r="P31" s="370">
        <f>IF(M31=" "," ",(1+(M31+N31+O31)/100))</f>
        <v/>
      </c>
      <c r="Q31" s="375">
        <f>IF(L31=" "," ",L31*P31)</f>
        <v/>
      </c>
    </row>
    <row r="32" ht="9.949999999999999" customFormat="1" customHeight="1" s="356">
      <c r="A32" s="366" t="inlineStr">
        <is>
          <t>ÇP</t>
        </is>
      </c>
      <c r="B32" s="367" t="inlineStr">
        <is>
          <t>B</t>
        </is>
      </c>
      <c r="C32" s="368" t="n"/>
      <c r="D32" s="369" t="n">
        <v>1.5</v>
      </c>
      <c r="E32" s="369" t="n">
        <v>1.6</v>
      </c>
      <c r="F32" s="370">
        <f>IF(D32=0," ",D32*E32)</f>
        <v/>
      </c>
      <c r="G32" s="371" t="n">
        <v>1</v>
      </c>
      <c r="H32" s="372" t="n"/>
      <c r="I32" s="370">
        <f>IF(F32=" "," ",F32*G32-H32)</f>
        <v/>
      </c>
      <c r="J32" s="369" t="n">
        <v>1.8</v>
      </c>
      <c r="K32" s="371" t="n">
        <v>26</v>
      </c>
      <c r="L32" s="373">
        <f>IF(I32=" "," ",I32*J32*K32)</f>
        <v/>
      </c>
      <c r="M32" s="374" t="n">
        <v>7</v>
      </c>
      <c r="N32" s="371" t="n">
        <v>0</v>
      </c>
      <c r="O32" s="374" t="n">
        <v>0</v>
      </c>
      <c r="P32" s="370">
        <f>IF(M32=" "," ",(1+(M32+N32+O32)/100))</f>
        <v/>
      </c>
      <c r="Q32" s="375">
        <f>IF(L32=" "," ",L32*P32)</f>
        <v/>
      </c>
    </row>
    <row r="33" ht="9.949999999999999" customFormat="1" customHeight="1" s="356">
      <c r="A33" s="376" t="n"/>
      <c r="B33" s="377" t="n"/>
      <c r="C33" s="377" t="n"/>
      <c r="D33" s="378" t="n"/>
      <c r="E33" s="378" t="n"/>
      <c r="F33" s="378" t="n"/>
      <c r="G33" s="379" t="n"/>
      <c r="H33" s="378" t="n"/>
      <c r="I33" s="378" t="n"/>
      <c r="J33" s="378" t="n"/>
      <c r="K33" s="379" t="n"/>
      <c r="L33" s="380" t="n"/>
      <c r="M33" s="381" t="n"/>
      <c r="N33" s="381" t="n"/>
      <c r="O33" s="381" t="n"/>
      <c r="P33" s="382" t="n"/>
      <c r="Q33" s="383">
        <f>SUM(Q30:Q32)</f>
        <v/>
      </c>
    </row>
    <row r="34" ht="9.949999999999999" customFormat="1" customHeight="1" s="356">
      <c r="A34" s="384" t="n"/>
      <c r="B34" s="385" t="n"/>
      <c r="C34" s="385" t="n"/>
      <c r="D34" s="386" t="n"/>
      <c r="E34" s="387" t="n"/>
      <c r="F34" s="388" t="n"/>
      <c r="G34" s="389" t="n"/>
      <c r="H34" s="388" t="n"/>
      <c r="I34" s="390" t="n"/>
      <c r="J34" s="391" t="inlineStr">
        <is>
          <t>Qs=</t>
        </is>
      </c>
      <c r="K34" s="390" t="inlineStr">
        <is>
          <t>S a</t>
        </is>
      </c>
      <c r="L34" s="388" t="inlineStr">
        <is>
          <t>L</t>
        </is>
      </c>
      <c r="M34" s="389" t="inlineStr">
        <is>
          <t>R</t>
        </is>
      </c>
      <c r="N34" s="392" t="inlineStr">
        <is>
          <t>H</t>
        </is>
      </c>
      <c r="O34" s="393" t="inlineStr">
        <is>
          <t>D  T</t>
        </is>
      </c>
      <c r="P34" s="389" t="inlineStr">
        <is>
          <t>Ze</t>
        </is>
      </c>
      <c r="Q34" s="394" t="n"/>
    </row>
    <row r="35" ht="9.949999999999999" customFormat="1" customHeight="1" s="356">
      <c r="A35" s="395" t="inlineStr">
        <is>
          <t xml:space="preserve"> </t>
        </is>
      </c>
      <c r="B35" s="412" t="n"/>
      <c r="C35" s="397" t="n"/>
      <c r="D35" s="397" t="n"/>
      <c r="E35" s="398" t="n"/>
      <c r="F35" s="399" t="n"/>
      <c r="G35" s="400" t="n"/>
      <c r="H35" s="401" t="n"/>
      <c r="I35" s="402" t="n"/>
      <c r="J35" s="403" t="inlineStr">
        <is>
          <t>Qs  =</t>
        </is>
      </c>
      <c r="K35" s="404" t="n">
        <v>2</v>
      </c>
      <c r="L35" s="404">
        <f>(D32+E32)*2*G32</f>
        <v/>
      </c>
      <c r="M35" s="404" t="n">
        <v>0.9</v>
      </c>
      <c r="N35" s="404" t="n">
        <v>0.67</v>
      </c>
      <c r="O35" s="381" t="n">
        <v>26</v>
      </c>
      <c r="P35" s="404" t="n">
        <v>1</v>
      </c>
      <c r="Q35" s="383">
        <f>K35*L35*M35*N35*O35*P35</f>
        <v/>
      </c>
    </row>
    <row r="36" ht="9.949999999999999" customFormat="1" customHeight="1" s="413">
      <c r="A36" s="405" t="n"/>
      <c r="B36" s="406" t="n"/>
      <c r="C36" s="397" t="n"/>
      <c r="D36" s="397" t="n"/>
      <c r="E36" s="378" t="n"/>
      <c r="F36" s="256" t="n"/>
      <c r="G36" s="407" t="n"/>
      <c r="H36" s="397" t="n"/>
      <c r="I36" s="397" t="n"/>
      <c r="J36" s="397" t="n"/>
      <c r="K36" s="407" t="n"/>
      <c r="L36" s="408" t="n"/>
      <c r="M36" s="409" t="inlineStr">
        <is>
          <t xml:space="preserve">   TOPLAM ISI KAYBI =</t>
        </is>
      </c>
      <c r="N36" s="409" t="n"/>
      <c r="O36" s="410" t="n"/>
      <c r="P36" s="409" t="n"/>
      <c r="Q36" s="411">
        <f>Q33+Q35</f>
        <v/>
      </c>
    </row>
    <row r="37" ht="10.35" customFormat="1" customHeight="1" s="413">
      <c r="A37" s="359" t="n"/>
      <c r="B37" s="360" t="n"/>
      <c r="C37" s="360" t="n"/>
      <c r="D37" s="360" t="n"/>
      <c r="E37" s="360" t="n"/>
      <c r="F37" s="361" t="inlineStr">
        <is>
          <t>Z</t>
        </is>
      </c>
      <c r="G37" s="362" t="inlineStr">
        <is>
          <t>0</t>
        </is>
      </c>
      <c r="H37" s="360" t="inlineStr">
        <is>
          <t>Z04</t>
        </is>
      </c>
      <c r="I37" s="363" t="inlineStr">
        <is>
          <t>DAİRE 2 YATAK ODASI 1</t>
        </is>
      </c>
      <c r="J37" s="364" t="n"/>
      <c r="K37" s="360" t="inlineStr">
        <is>
          <t>20ºC</t>
        </is>
      </c>
      <c r="L37" s="360" t="n"/>
      <c r="M37" s="360" t="n"/>
      <c r="N37" s="360" t="n"/>
      <c r="O37" s="360" t="n"/>
      <c r="P37" s="360" t="n"/>
      <c r="Q37" s="365" t="n"/>
    </row>
    <row r="38" ht="9.949999999999999" customFormat="1" customHeight="1" s="351">
      <c r="A38" s="366" t="inlineStr">
        <is>
          <t>DD</t>
        </is>
      </c>
      <c r="B38" s="367" t="inlineStr">
        <is>
          <t>B</t>
        </is>
      </c>
      <c r="C38" s="368" t="n"/>
      <c r="D38" s="369" t="n">
        <v>2.94</v>
      </c>
      <c r="E38" s="369" t="n">
        <v>2.5</v>
      </c>
      <c r="F38" s="370">
        <f>IF(D38=0," ",D38*E38)</f>
        <v/>
      </c>
      <c r="G38" s="371" t="n">
        <v>1</v>
      </c>
      <c r="H38" s="372">
        <f>F40*G40</f>
        <v/>
      </c>
      <c r="I38" s="370">
        <f>IF(F38=" "," ",F38*G38-H38)</f>
        <v/>
      </c>
      <c r="J38" s="369" t="n">
        <v>0.344</v>
      </c>
      <c r="K38" s="371" t="n">
        <v>26</v>
      </c>
      <c r="L38" s="373">
        <f>IF(I38=" "," ",I38*J38*K38)</f>
        <v/>
      </c>
      <c r="M38" s="374" t="n">
        <v>7</v>
      </c>
      <c r="N38" s="371" t="n">
        <v>0</v>
      </c>
      <c r="O38" s="374" t="n">
        <v>0</v>
      </c>
      <c r="P38" s="370">
        <f>IF(M38=" "," ",(1+(M38+N38+O38)/100))</f>
        <v/>
      </c>
      <c r="Q38" s="375">
        <f>IF(L38=" "," ",L38*P38)</f>
        <v/>
      </c>
    </row>
    <row r="39" ht="9.949999999999999" customFormat="1" customHeight="1" s="356">
      <c r="A39" s="366" t="inlineStr">
        <is>
          <t>DD25</t>
        </is>
      </c>
      <c r="B39" s="367" t="inlineStr">
        <is>
          <t>B</t>
        </is>
      </c>
      <c r="C39" s="368" t="n"/>
      <c r="D39" s="369">
        <f>D38</f>
        <v/>
      </c>
      <c r="E39" s="369" t="n">
        <v>0.5</v>
      </c>
      <c r="F39" s="370">
        <f>IF(D39=0," ",D39*E39)</f>
        <v/>
      </c>
      <c r="G39" s="371" t="n">
        <v>1</v>
      </c>
      <c r="H39" s="372" t="n"/>
      <c r="I39" s="370">
        <f>IF(F39=" "," ",F39*G39-H39)</f>
        <v/>
      </c>
      <c r="J39" s="369" t="n">
        <v>0.387</v>
      </c>
      <c r="K39" s="371" t="n">
        <v>26</v>
      </c>
      <c r="L39" s="373">
        <f>IF(I39=" "," ",I39*J39*K39)</f>
        <v/>
      </c>
      <c r="M39" s="374" t="n">
        <v>7</v>
      </c>
      <c r="N39" s="371" t="n">
        <v>0</v>
      </c>
      <c r="O39" s="374" t="n">
        <v>0</v>
      </c>
      <c r="P39" s="370">
        <f>IF(M39=" "," ",(1+(M39+N39+O39)/100))</f>
        <v/>
      </c>
      <c r="Q39" s="375">
        <f>IF(L39=" "," ",L39*P39)</f>
        <v/>
      </c>
    </row>
    <row r="40" ht="9.949999999999999" customFormat="1" customHeight="1" s="356">
      <c r="A40" s="366" t="inlineStr">
        <is>
          <t>ÇP</t>
        </is>
      </c>
      <c r="B40" s="367" t="inlineStr">
        <is>
          <t>B</t>
        </is>
      </c>
      <c r="C40" s="368" t="n"/>
      <c r="D40" s="369" t="n">
        <v>1.5</v>
      </c>
      <c r="E40" s="369" t="n">
        <v>1.6</v>
      </c>
      <c r="F40" s="370">
        <f>IF(D40=0," ",D40*E40)</f>
        <v/>
      </c>
      <c r="G40" s="371" t="n">
        <v>1</v>
      </c>
      <c r="H40" s="372" t="n"/>
      <c r="I40" s="370">
        <f>IF(F40=" "," ",F40*G40-H40)</f>
        <v/>
      </c>
      <c r="J40" s="369" t="n">
        <v>1.8</v>
      </c>
      <c r="K40" s="371" t="n">
        <v>26</v>
      </c>
      <c r="L40" s="373">
        <f>IF(I40=" "," ",I40*J40*K40)</f>
        <v/>
      </c>
      <c r="M40" s="374" t="n">
        <v>7</v>
      </c>
      <c r="N40" s="371" t="n">
        <v>0</v>
      </c>
      <c r="O40" s="374" t="n">
        <v>0</v>
      </c>
      <c r="P40" s="370">
        <f>IF(M40=" "," ",(1+(M40+N40+O40)/100))</f>
        <v/>
      </c>
      <c r="Q40" s="375">
        <f>IF(L40=" "," ",L40*P40)</f>
        <v/>
      </c>
    </row>
    <row r="41" ht="9.949999999999999" customFormat="1" customHeight="1" s="356">
      <c r="A41" s="366" t="inlineStr">
        <is>
          <t>İDA</t>
        </is>
      </c>
      <c r="B41" s="367" t="inlineStr"/>
      <c r="C41" s="368" t="n"/>
      <c r="D41" s="369" t="n">
        <v>3.44</v>
      </c>
      <c r="E41" s="369" t="n">
        <v>3</v>
      </c>
      <c r="F41" s="370">
        <f>IF(D41=0," ",D41*E41)</f>
        <v/>
      </c>
      <c r="G41" s="371" t="n">
        <v>1</v>
      </c>
      <c r="H41" s="372" t="n"/>
      <c r="I41" s="370">
        <f>IF(F41=" "," ",F41*G41-H41)</f>
        <v/>
      </c>
      <c r="J41" s="369" t="n">
        <v>0.375</v>
      </c>
      <c r="K41" s="371" t="n">
        <v>15</v>
      </c>
      <c r="L41" s="373">
        <f>IF(I41=" "," ",I41*J41*K41)</f>
        <v/>
      </c>
      <c r="M41" s="374" t="n">
        <v>7</v>
      </c>
      <c r="N41" s="371" t="n">
        <v>0</v>
      </c>
      <c r="O41" s="374" t="n">
        <v>0</v>
      </c>
      <c r="P41" s="370">
        <f>IF(M41=" "," ",(1+(M41+N41+O41)/100))</f>
        <v/>
      </c>
      <c r="Q41" s="375">
        <f>IF(L41=" "," ",L41*P41)</f>
        <v/>
      </c>
    </row>
    <row r="42" ht="9.949999999999999" customFormat="1" customHeight="1" s="356">
      <c r="A42" s="376" t="n"/>
      <c r="B42" s="377" t="n"/>
      <c r="C42" s="377" t="n"/>
      <c r="D42" s="378" t="n"/>
      <c r="E42" s="378" t="n"/>
      <c r="F42" s="378" t="n"/>
      <c r="G42" s="379" t="n"/>
      <c r="H42" s="378" t="n"/>
      <c r="I42" s="378" t="n"/>
      <c r="J42" s="378" t="n"/>
      <c r="K42" s="379" t="n"/>
      <c r="L42" s="380" t="n"/>
      <c r="M42" s="381" t="n"/>
      <c r="N42" s="381" t="n"/>
      <c r="O42" s="381" t="n"/>
      <c r="P42" s="382" t="n"/>
      <c r="Q42" s="383">
        <f>SUM(Q38:Q41)</f>
        <v/>
      </c>
    </row>
    <row r="43" ht="9.949999999999999" customFormat="1" customHeight="1" s="356">
      <c r="A43" s="384" t="n"/>
      <c r="B43" s="385" t="n"/>
      <c r="C43" s="385" t="n"/>
      <c r="D43" s="386" t="n"/>
      <c r="E43" s="387" t="n"/>
      <c r="F43" s="388" t="n"/>
      <c r="G43" s="389" t="n"/>
      <c r="H43" s="388" t="n"/>
      <c r="I43" s="390" t="n"/>
      <c r="J43" s="391" t="inlineStr">
        <is>
          <t>Qs=</t>
        </is>
      </c>
      <c r="K43" s="390" t="inlineStr">
        <is>
          <t>S a</t>
        </is>
      </c>
      <c r="L43" s="388" t="inlineStr">
        <is>
          <t>L</t>
        </is>
      </c>
      <c r="M43" s="389" t="inlineStr">
        <is>
          <t>R</t>
        </is>
      </c>
      <c r="N43" s="392" t="inlineStr">
        <is>
          <t>H</t>
        </is>
      </c>
      <c r="O43" s="393" t="inlineStr">
        <is>
          <t>D  T</t>
        </is>
      </c>
      <c r="P43" s="389" t="inlineStr">
        <is>
          <t>Ze</t>
        </is>
      </c>
      <c r="Q43" s="394" t="n"/>
    </row>
    <row r="44" ht="9.949999999999999" customFormat="1" customHeight="1" s="356">
      <c r="A44" s="395" t="inlineStr">
        <is>
          <t xml:space="preserve"> </t>
        </is>
      </c>
      <c r="B44" s="396" t="n"/>
      <c r="C44" s="397" t="n"/>
      <c r="D44" s="397" t="n"/>
      <c r="E44" s="398" t="n"/>
      <c r="F44" s="399" t="n"/>
      <c r="G44" s="400" t="n"/>
      <c r="H44" s="401" t="n"/>
      <c r="I44" s="402" t="n"/>
      <c r="J44" s="403" t="inlineStr">
        <is>
          <t>Qs  =</t>
        </is>
      </c>
      <c r="K44" s="404" t="n">
        <v>2</v>
      </c>
      <c r="L44" s="404">
        <f>(D40+E40)*2*G40</f>
        <v/>
      </c>
      <c r="M44" s="404" t="n">
        <v>0.9</v>
      </c>
      <c r="N44" s="404" t="n">
        <v>0.67</v>
      </c>
      <c r="O44" s="381" t="n">
        <v>26</v>
      </c>
      <c r="P44" s="404" t="n">
        <v>1</v>
      </c>
      <c r="Q44" s="383">
        <f>K44*L44*M44*N44*O44*P44</f>
        <v/>
      </c>
    </row>
    <row r="45" ht="9.949999999999999" customFormat="1" customHeight="1" s="356">
      <c r="A45" s="405" t="n"/>
      <c r="B45" s="406" t="n"/>
      <c r="C45" s="397" t="n"/>
      <c r="D45" s="397" t="n"/>
      <c r="E45" s="378" t="n"/>
      <c r="F45" s="256" t="n"/>
      <c r="G45" s="407" t="n"/>
      <c r="H45" s="397" t="n"/>
      <c r="I45" s="397" t="n"/>
      <c r="J45" s="397" t="n"/>
      <c r="K45" s="407" t="n"/>
      <c r="L45" s="408" t="n"/>
      <c r="M45" s="409" t="inlineStr">
        <is>
          <t xml:space="preserve">   TOPLAM ISI KAYBI =</t>
        </is>
      </c>
      <c r="N45" s="409" t="n"/>
      <c r="O45" s="410" t="n"/>
      <c r="P45" s="409" t="n"/>
      <c r="Q45" s="411">
        <f>Q42+Q44</f>
        <v/>
      </c>
    </row>
    <row r="46" ht="10.35" customFormat="1" customHeight="1" s="356">
      <c r="A46" s="359" t="n"/>
      <c r="B46" s="360" t="n"/>
      <c r="C46" s="360" t="n"/>
      <c r="D46" s="360" t="n"/>
      <c r="E46" s="360" t="n"/>
      <c r="F46" s="361" t="inlineStr">
        <is>
          <t>Z</t>
        </is>
      </c>
      <c r="G46" s="362" t="inlineStr">
        <is>
          <t>0</t>
        </is>
      </c>
      <c r="H46" s="360" t="inlineStr">
        <is>
          <t>Z05</t>
        </is>
      </c>
      <c r="I46" s="363" t="inlineStr">
        <is>
          <t>DAİRE 2 YATAK ODASI 2</t>
        </is>
      </c>
      <c r="J46" s="364" t="n"/>
      <c r="K46" s="360" t="inlineStr">
        <is>
          <t>20ºC</t>
        </is>
      </c>
      <c r="L46" s="360" t="n"/>
      <c r="M46" s="360" t="n"/>
      <c r="N46" s="360" t="n"/>
      <c r="O46" s="360" t="n"/>
      <c r="P46" s="360" t="n"/>
      <c r="Q46" s="365" t="n"/>
    </row>
    <row r="47" ht="9.949999999999999" customFormat="1" customHeight="1" s="356">
      <c r="A47" s="366" t="inlineStr">
        <is>
          <t>DD</t>
        </is>
      </c>
      <c r="B47" s="367" t="inlineStr">
        <is>
          <t>D</t>
        </is>
      </c>
      <c r="C47" s="368" t="n"/>
      <c r="D47" s="369" t="n">
        <v>3.94</v>
      </c>
      <c r="E47" s="369" t="n">
        <v>2.5</v>
      </c>
      <c r="F47" s="370">
        <f>IF(D47=0," ",D47*E47)</f>
        <v/>
      </c>
      <c r="G47" s="371" t="n">
        <v>1</v>
      </c>
      <c r="H47" s="372">
        <f>F49*G49</f>
        <v/>
      </c>
      <c r="I47" s="370">
        <f>IF(F47=" "," ",F47*G47-H47)</f>
        <v/>
      </c>
      <c r="J47" s="369" t="n">
        <v>0.344</v>
      </c>
      <c r="K47" s="371" t="n">
        <v>26</v>
      </c>
      <c r="L47" s="373">
        <f>IF(I47=" "," ",I47*J47*K47)</f>
        <v/>
      </c>
      <c r="M47" s="374" t="n">
        <v>7</v>
      </c>
      <c r="N47" s="371" t="n">
        <v>0</v>
      </c>
      <c r="O47" s="374" t="n">
        <v>0</v>
      </c>
      <c r="P47" s="370">
        <f>IF(M47=" "," ",(1+(M47+N47+O47)/100))</f>
        <v/>
      </c>
      <c r="Q47" s="375">
        <f>IF(L47=" "," ",L47*P47)</f>
        <v/>
      </c>
    </row>
    <row r="48" ht="9.949999999999999" customFormat="1" customHeight="1" s="413">
      <c r="A48" s="366" t="inlineStr">
        <is>
          <t>DD25</t>
        </is>
      </c>
      <c r="B48" s="367" t="inlineStr">
        <is>
          <t>D</t>
        </is>
      </c>
      <c r="C48" s="368" t="n"/>
      <c r="D48" s="369">
        <f>D47</f>
        <v/>
      </c>
      <c r="E48" s="369" t="n">
        <v>0.5</v>
      </c>
      <c r="F48" s="370">
        <f>IF(D48=0," ",D48*E48)</f>
        <v/>
      </c>
      <c r="G48" s="371" t="n">
        <v>1</v>
      </c>
      <c r="H48" s="372" t="n"/>
      <c r="I48" s="370">
        <f>IF(F48=" "," ",F48*G48-H48)</f>
        <v/>
      </c>
      <c r="J48" s="369" t="n">
        <v>0.387</v>
      </c>
      <c r="K48" s="371" t="n">
        <v>26</v>
      </c>
      <c r="L48" s="373">
        <f>IF(I48=" "," ",I48*J48*K48)</f>
        <v/>
      </c>
      <c r="M48" s="374" t="n">
        <v>7</v>
      </c>
      <c r="N48" s="371" t="n">
        <v>0</v>
      </c>
      <c r="O48" s="374" t="n">
        <v>0</v>
      </c>
      <c r="P48" s="370">
        <f>IF(M48=" "," ",(1+(M48+N48+O48)/100))</f>
        <v/>
      </c>
      <c r="Q48" s="375">
        <f>IF(L48=" "," ",L48*P48)</f>
        <v/>
      </c>
    </row>
    <row r="49" ht="9.949999999999999" customFormat="1" customHeight="1" s="413">
      <c r="A49" s="366" t="inlineStr">
        <is>
          <t>ÇP</t>
        </is>
      </c>
      <c r="B49" s="367" t="inlineStr">
        <is>
          <t>D</t>
        </is>
      </c>
      <c r="C49" s="368" t="n"/>
      <c r="D49" s="369" t="n">
        <v>1.5</v>
      </c>
      <c r="E49" s="369" t="n">
        <v>1.6</v>
      </c>
      <c r="F49" s="370">
        <f>IF(D49=0," ",D49*E49)</f>
        <v/>
      </c>
      <c r="G49" s="371" t="n">
        <v>1</v>
      </c>
      <c r="H49" s="372" t="n"/>
      <c r="I49" s="370">
        <f>IF(F49=" "," ",F49*G49-H49)</f>
        <v/>
      </c>
      <c r="J49" s="369" t="n">
        <v>1.8</v>
      </c>
      <c r="K49" s="371" t="n">
        <v>26</v>
      </c>
      <c r="L49" s="373">
        <f>IF(I49=" "," ",I49*J49*K49)</f>
        <v/>
      </c>
      <c r="M49" s="374" t="n">
        <v>7</v>
      </c>
      <c r="N49" s="371" t="n">
        <v>0</v>
      </c>
      <c r="O49" s="374" t="n">
        <v>0</v>
      </c>
      <c r="P49" s="370">
        <f>IF(M49=" "," ",(1+(M49+N49+O49)/100))</f>
        <v/>
      </c>
      <c r="Q49" s="375">
        <f>IF(L49=" "," ",L49*P49)</f>
        <v/>
      </c>
    </row>
    <row r="50" ht="9.949999999999999" customFormat="1" customHeight="1" s="351">
      <c r="A50" s="376" t="n"/>
      <c r="B50" s="377" t="n"/>
      <c r="C50" s="377" t="n"/>
      <c r="D50" s="378" t="n"/>
      <c r="E50" s="378" t="n"/>
      <c r="F50" s="378" t="n"/>
      <c r="G50" s="379" t="n"/>
      <c r="H50" s="378" t="n"/>
      <c r="I50" s="378" t="n"/>
      <c r="J50" s="378" t="n"/>
      <c r="K50" s="379" t="n"/>
      <c r="L50" s="380" t="n"/>
      <c r="M50" s="381" t="n"/>
      <c r="N50" s="381" t="n"/>
      <c r="O50" s="381" t="n"/>
      <c r="P50" s="382" t="n"/>
      <c r="Q50" s="383">
        <f>SUM(Q47:Q49)</f>
        <v/>
      </c>
    </row>
    <row r="51" ht="9.949999999999999" customFormat="1" customHeight="1" s="356">
      <c r="A51" s="384" t="n"/>
      <c r="B51" s="385" t="n"/>
      <c r="C51" s="385" t="n"/>
      <c r="D51" s="386" t="n"/>
      <c r="E51" s="387" t="n"/>
      <c r="F51" s="388" t="n"/>
      <c r="G51" s="389" t="n"/>
      <c r="H51" s="388" t="n"/>
      <c r="I51" s="390" t="n"/>
      <c r="J51" s="391" t="inlineStr">
        <is>
          <t>Qs=</t>
        </is>
      </c>
      <c r="K51" s="390" t="inlineStr">
        <is>
          <t>S a</t>
        </is>
      </c>
      <c r="L51" s="388" t="inlineStr">
        <is>
          <t>L</t>
        </is>
      </c>
      <c r="M51" s="389" t="inlineStr">
        <is>
          <t>R</t>
        </is>
      </c>
      <c r="N51" s="392" t="inlineStr">
        <is>
          <t>H</t>
        </is>
      </c>
      <c r="O51" s="393" t="inlineStr">
        <is>
          <t>D  T</t>
        </is>
      </c>
      <c r="P51" s="389" t="inlineStr">
        <is>
          <t>Ze</t>
        </is>
      </c>
      <c r="Q51" s="394" t="n"/>
    </row>
    <row r="52" ht="9.949999999999999" customFormat="1" customHeight="1" s="356">
      <c r="A52" s="395" t="inlineStr">
        <is>
          <t xml:space="preserve"> </t>
        </is>
      </c>
      <c r="B52" s="396" t="n"/>
      <c r="C52" s="397" t="n"/>
      <c r="D52" s="397" t="n"/>
      <c r="E52" s="398" t="n"/>
      <c r="F52" s="399" t="n"/>
      <c r="G52" s="400" t="n"/>
      <c r="H52" s="401" t="n"/>
      <c r="I52" s="402" t="n"/>
      <c r="J52" s="403" t="inlineStr">
        <is>
          <t>Qs  =</t>
        </is>
      </c>
      <c r="K52" s="404" t="n">
        <v>2</v>
      </c>
      <c r="L52" s="404">
        <f>(D49+E49)*2*G49</f>
        <v/>
      </c>
      <c r="M52" s="404" t="n">
        <v>0.9</v>
      </c>
      <c r="N52" s="404" t="n">
        <v>0.67</v>
      </c>
      <c r="O52" s="381" t="n">
        <v>26</v>
      </c>
      <c r="P52" s="404" t="n">
        <v>1</v>
      </c>
      <c r="Q52" s="383">
        <f>K52*L52*M52*N52*O52*P52</f>
        <v/>
      </c>
    </row>
    <row r="53" ht="9.949999999999999" customFormat="1" customHeight="1" s="356">
      <c r="A53" s="405" t="n"/>
      <c r="B53" s="406" t="n"/>
      <c r="C53" s="397" t="n"/>
      <c r="D53" s="397" t="n"/>
      <c r="E53" s="378" t="n"/>
      <c r="F53" s="256" t="n"/>
      <c r="G53" s="407" t="n"/>
      <c r="H53" s="397" t="n"/>
      <c r="I53" s="397" t="n"/>
      <c r="J53" s="397" t="n"/>
      <c r="K53" s="407" t="n"/>
      <c r="L53" s="408" t="n"/>
      <c r="M53" s="409" t="inlineStr">
        <is>
          <t xml:space="preserve">   TOPLAM ISI KAYBI =</t>
        </is>
      </c>
      <c r="N53" s="409" t="n"/>
      <c r="O53" s="410" t="n"/>
      <c r="P53" s="409" t="n"/>
      <c r="Q53" s="411">
        <f>Q50+Q52</f>
        <v/>
      </c>
    </row>
    <row r="54" ht="10.35" customFormat="1" customHeight="1" s="356">
      <c r="A54" s="359" t="n"/>
      <c r="B54" s="360" t="n"/>
      <c r="C54" s="360" t="n"/>
      <c r="D54" s="360" t="n"/>
      <c r="E54" s="360" t="n"/>
      <c r="F54" s="361" t="inlineStr">
        <is>
          <t>Z</t>
        </is>
      </c>
      <c r="G54" s="362" t="inlineStr">
        <is>
          <t>0</t>
        </is>
      </c>
      <c r="H54" s="360" t="inlineStr">
        <is>
          <t>Z06</t>
        </is>
      </c>
      <c r="I54" s="363" t="inlineStr">
        <is>
          <t>DAİRE 2 BANYO</t>
        </is>
      </c>
      <c r="J54" s="364" t="n"/>
      <c r="K54" s="360" t="inlineStr">
        <is>
          <t>26ºC</t>
        </is>
      </c>
      <c r="L54" s="360" t="n"/>
      <c r="M54" s="360" t="n"/>
      <c r="N54" s="360" t="n"/>
      <c r="O54" s="360" t="n"/>
      <c r="P54" s="360" t="n"/>
      <c r="Q54" s="365" t="n"/>
    </row>
    <row r="55" ht="9.949999999999999" customFormat="1" customHeight="1" s="356">
      <c r="A55" s="366" t="inlineStr">
        <is>
          <t>DD</t>
        </is>
      </c>
      <c r="B55" s="367" t="inlineStr">
        <is>
          <t>D</t>
        </is>
      </c>
      <c r="C55" s="368" t="n"/>
      <c r="D55" s="369" t="n">
        <v>1.79</v>
      </c>
      <c r="E55" s="369" t="n">
        <v>2.5</v>
      </c>
      <c r="F55" s="370">
        <f>IF(D55=0," ",D55*E55)</f>
        <v/>
      </c>
      <c r="G55" s="371" t="n">
        <v>1</v>
      </c>
      <c r="H55" s="372">
        <f>F57*G57</f>
        <v/>
      </c>
      <c r="I55" s="370">
        <f>IF(F55=" "," ",F55*G55-H55)</f>
        <v/>
      </c>
      <c r="J55" s="369" t="n">
        <v>0.344</v>
      </c>
      <c r="K55" s="371" t="n">
        <v>32</v>
      </c>
      <c r="L55" s="373">
        <f>IF(I55=" "," ",I55*J55*K55)</f>
        <v/>
      </c>
      <c r="M55" s="374" t="n">
        <v>7</v>
      </c>
      <c r="N55" s="371" t="n">
        <v>0</v>
      </c>
      <c r="O55" s="374" t="n">
        <v>0</v>
      </c>
      <c r="P55" s="370">
        <f>IF(M55=" "," ",(1+(M55+N55+O55)/100))</f>
        <v/>
      </c>
      <c r="Q55" s="375">
        <f>IF(L55=" "," ",L55*P55)</f>
        <v/>
      </c>
    </row>
    <row r="56" ht="9.949999999999999" customFormat="1" customHeight="1" s="356">
      <c r="A56" s="366" t="inlineStr">
        <is>
          <t>DD25</t>
        </is>
      </c>
      <c r="B56" s="367" t="inlineStr">
        <is>
          <t>D</t>
        </is>
      </c>
      <c r="C56" s="368" t="n"/>
      <c r="D56" s="369">
        <f>D55</f>
        <v/>
      </c>
      <c r="E56" s="369" t="n">
        <v>0.5</v>
      </c>
      <c r="F56" s="370">
        <f>IF(D56=0," ",D56*E56)</f>
        <v/>
      </c>
      <c r="G56" s="371" t="n">
        <v>1</v>
      </c>
      <c r="H56" s="372" t="n"/>
      <c r="I56" s="370">
        <f>IF(F56=" "," ",F56*G56-H56)</f>
        <v/>
      </c>
      <c r="J56" s="369" t="n">
        <v>0.387</v>
      </c>
      <c r="K56" s="371" t="n">
        <v>32</v>
      </c>
      <c r="L56" s="373">
        <f>IF(I56=" "," ",I56*J56*K56)</f>
        <v/>
      </c>
      <c r="M56" s="374" t="n">
        <v>7</v>
      </c>
      <c r="N56" s="371" t="n">
        <v>0</v>
      </c>
      <c r="O56" s="374" t="n">
        <v>0</v>
      </c>
      <c r="P56" s="370">
        <f>IF(M56=" "," ",(1+(M56+N56+O56)/100))</f>
        <v/>
      </c>
      <c r="Q56" s="375">
        <f>IF(L56=" "," ",L56*P56)</f>
        <v/>
      </c>
    </row>
    <row r="57" ht="9.949999999999999" customFormat="1" customHeight="1" s="356">
      <c r="A57" s="366" t="inlineStr">
        <is>
          <t>ÇP</t>
        </is>
      </c>
      <c r="B57" s="367" t="inlineStr">
        <is>
          <t>D</t>
        </is>
      </c>
      <c r="C57" s="368" t="n"/>
      <c r="D57" s="369" t="n">
        <v>0.5</v>
      </c>
      <c r="E57" s="369" t="n">
        <v>0.75</v>
      </c>
      <c r="F57" s="370">
        <f>IF(D57=0," ",D57*E57)</f>
        <v/>
      </c>
      <c r="G57" s="371" t="n">
        <v>1</v>
      </c>
      <c r="H57" s="372" t="n"/>
      <c r="I57" s="370">
        <f>IF(F57=" "," ",F57*G57-H57)</f>
        <v/>
      </c>
      <c r="J57" s="369" t="n">
        <v>1.8</v>
      </c>
      <c r="K57" s="371" t="n">
        <v>32</v>
      </c>
      <c r="L57" s="373">
        <f>IF(I57=" "," ",I57*J57*K57)</f>
        <v/>
      </c>
      <c r="M57" s="374" t="n">
        <v>7</v>
      </c>
      <c r="N57" s="371" t="n">
        <v>0</v>
      </c>
      <c r="O57" s="374" t="n">
        <v>0</v>
      </c>
      <c r="P57" s="370">
        <f>IF(M57=" "," ",(1+(M57+N57+O57)/100))</f>
        <v/>
      </c>
      <c r="Q57" s="375">
        <f>IF(L57=" "," ",L57*P57)</f>
        <v/>
      </c>
    </row>
    <row r="58" ht="9.949999999999999" customFormat="1" customHeight="1" s="356">
      <c r="A58" s="366" t="inlineStr">
        <is>
          <t>İDM</t>
        </is>
      </c>
      <c r="B58" s="367" t="inlineStr"/>
      <c r="C58" s="368" t="n"/>
      <c r="D58" s="369" t="n">
        <v>2.89</v>
      </c>
      <c r="E58" s="369" t="n">
        <v>3</v>
      </c>
      <c r="F58" s="370">
        <f>IF(D58=0," ",D58*E58)</f>
        <v/>
      </c>
      <c r="G58" s="371" t="n">
        <v>1</v>
      </c>
      <c r="H58" s="372" t="n"/>
      <c r="I58" s="370">
        <f>IF(F58=" "," ",F58*G58-H58)</f>
        <v/>
      </c>
      <c r="J58" s="369" t="n">
        <v>0.332</v>
      </c>
      <c r="K58" s="371" t="n">
        <v>16</v>
      </c>
      <c r="L58" s="373">
        <f>IF(I58=" "," ",I58*J58*K58)</f>
        <v/>
      </c>
      <c r="M58" s="374" t="n">
        <v>7</v>
      </c>
      <c r="N58" s="371" t="n">
        <v>0</v>
      </c>
      <c r="O58" s="374" t="n">
        <v>0</v>
      </c>
      <c r="P58" s="370">
        <f>IF(M58=" "," ",(1+(M58+N58+O58)/100))</f>
        <v/>
      </c>
      <c r="Q58" s="375">
        <f>IF(L58=" "," ",L58*P58)</f>
        <v/>
      </c>
    </row>
    <row r="59" ht="9.949999999999999" customFormat="1" customHeight="1" s="356">
      <c r="A59" s="376" t="n"/>
      <c r="B59" s="377" t="n"/>
      <c r="C59" s="377" t="n"/>
      <c r="D59" s="378" t="n"/>
      <c r="E59" s="378" t="n"/>
      <c r="F59" s="378" t="n"/>
      <c r="G59" s="379" t="n"/>
      <c r="H59" s="378" t="n"/>
      <c r="I59" s="378" t="n"/>
      <c r="J59" s="378" t="n"/>
      <c r="K59" s="379" t="n"/>
      <c r="L59" s="380" t="n"/>
      <c r="M59" s="381" t="n"/>
      <c r="N59" s="381" t="n"/>
      <c r="O59" s="381" t="n"/>
      <c r="P59" s="382" t="n"/>
      <c r="Q59" s="383">
        <f>SUM(Q55:Q58)</f>
        <v/>
      </c>
    </row>
    <row r="60" ht="9.949999999999999" customFormat="1" customHeight="1" s="356">
      <c r="A60" s="384" t="n"/>
      <c r="B60" s="385" t="n"/>
      <c r="C60" s="385" t="n"/>
      <c r="D60" s="386" t="n"/>
      <c r="E60" s="387" t="n"/>
      <c r="F60" s="388" t="n"/>
      <c r="G60" s="389" t="n"/>
      <c r="H60" s="388" t="n"/>
      <c r="I60" s="390" t="n"/>
      <c r="J60" s="391" t="inlineStr">
        <is>
          <t>Qs=</t>
        </is>
      </c>
      <c r="K60" s="390" t="inlineStr">
        <is>
          <t>S a</t>
        </is>
      </c>
      <c r="L60" s="388" t="inlineStr">
        <is>
          <t>L</t>
        </is>
      </c>
      <c r="M60" s="389" t="inlineStr">
        <is>
          <t>R</t>
        </is>
      </c>
      <c r="N60" s="392" t="inlineStr">
        <is>
          <t>H</t>
        </is>
      </c>
      <c r="O60" s="393" t="inlineStr">
        <is>
          <t>D  T</t>
        </is>
      </c>
      <c r="P60" s="389" t="inlineStr">
        <is>
          <t>Ze</t>
        </is>
      </c>
      <c r="Q60" s="394" t="n"/>
    </row>
    <row r="61" ht="9.949999999999999" customFormat="1" customHeight="1" s="356">
      <c r="A61" s="395" t="inlineStr">
        <is>
          <t xml:space="preserve"> </t>
        </is>
      </c>
      <c r="B61" s="396" t="n"/>
      <c r="C61" s="397" t="n"/>
      <c r="D61" s="397" t="n"/>
      <c r="E61" s="398" t="n"/>
      <c r="F61" s="399" t="n"/>
      <c r="G61" s="400" t="n"/>
      <c r="H61" s="401" t="n"/>
      <c r="I61" s="402" t="n"/>
      <c r="J61" s="403" t="inlineStr">
        <is>
          <t>Qs  =</t>
        </is>
      </c>
      <c r="K61" s="404" t="n">
        <v>2</v>
      </c>
      <c r="L61" s="404">
        <f>(D57+E57)*2*G57</f>
        <v/>
      </c>
      <c r="M61" s="404" t="n">
        <v>0.9</v>
      </c>
      <c r="N61" s="404" t="n">
        <v>0.67</v>
      </c>
      <c r="O61" s="381" t="n">
        <v>32</v>
      </c>
      <c r="P61" s="404" t="n">
        <v>1</v>
      </c>
      <c r="Q61" s="383">
        <f>K61*L61*M61*N61*O61*P61</f>
        <v/>
      </c>
    </row>
    <row r="62" ht="9.949999999999999" customFormat="1" customHeight="1" s="356">
      <c r="A62" s="405" t="n"/>
      <c r="B62" s="406" t="n"/>
      <c r="C62" s="397" t="n"/>
      <c r="D62" s="397" t="n"/>
      <c r="E62" s="378" t="n"/>
      <c r="F62" s="256" t="n"/>
      <c r="G62" s="407" t="n"/>
      <c r="H62" s="397" t="n"/>
      <c r="I62" s="397" t="n"/>
      <c r="J62" s="397" t="n"/>
      <c r="K62" s="407" t="n"/>
      <c r="L62" s="408" t="n"/>
      <c r="M62" s="409" t="inlineStr">
        <is>
          <t xml:space="preserve">   TOPLAM ISI KAYBI =</t>
        </is>
      </c>
      <c r="N62" s="409" t="n"/>
      <c r="O62" s="410" t="n"/>
      <c r="P62" s="409" t="n"/>
      <c r="Q62" s="411">
        <f>Q59+Q61</f>
        <v/>
      </c>
    </row>
    <row r="63" ht="10.35" customFormat="1" customHeight="1" s="413">
      <c r="A63" s="359" t="n"/>
      <c r="B63" s="360" t="n"/>
      <c r="C63" s="360" t="n"/>
      <c r="D63" s="360" t="n"/>
      <c r="E63" s="360" t="n"/>
      <c r="F63" s="361" t="inlineStr">
        <is>
          <t>Z</t>
        </is>
      </c>
      <c r="G63" s="362" t="inlineStr">
        <is>
          <t>0</t>
        </is>
      </c>
      <c r="H63" s="360" t="inlineStr">
        <is>
          <t>Z07</t>
        </is>
      </c>
      <c r="I63" s="363" t="inlineStr">
        <is>
          <t>DAİRE 2 BANYO-WC</t>
        </is>
      </c>
      <c r="J63" s="364" t="n"/>
      <c r="K63" s="360" t="inlineStr">
        <is>
          <t>26ºC</t>
        </is>
      </c>
      <c r="L63" s="360" t="n"/>
      <c r="M63" s="360" t="n"/>
      <c r="N63" s="360" t="n"/>
      <c r="O63" s="360" t="n"/>
      <c r="P63" s="360" t="n"/>
      <c r="Q63" s="365" t="n"/>
    </row>
    <row r="64" ht="9.949999999999999" customFormat="1" customHeight="1" s="413">
      <c r="A64" s="366" t="inlineStr">
        <is>
          <t>DD</t>
        </is>
      </c>
      <c r="B64" s="367" t="inlineStr">
        <is>
          <t>D</t>
        </is>
      </c>
      <c r="C64" s="368" t="n"/>
      <c r="D64" s="369" t="n">
        <v>1.19</v>
      </c>
      <c r="E64" s="369" t="n">
        <v>2.5</v>
      </c>
      <c r="F64" s="370">
        <f>IF(D64=0," ",D64*E64)</f>
        <v/>
      </c>
      <c r="G64" s="371" t="n">
        <v>1</v>
      </c>
      <c r="H64" s="372">
        <f>F66*G66</f>
        <v/>
      </c>
      <c r="I64" s="370">
        <f>IF(F64=" "," ",F64*G64-H64)</f>
        <v/>
      </c>
      <c r="J64" s="369" t="n">
        <v>0.344</v>
      </c>
      <c r="K64" s="371" t="n">
        <v>32</v>
      </c>
      <c r="L64" s="373">
        <f>IF(I64=" "," ",I64*J64*K64)</f>
        <v/>
      </c>
      <c r="M64" s="374" t="n">
        <v>7</v>
      </c>
      <c r="N64" s="371" t="n">
        <v>0</v>
      </c>
      <c r="O64" s="374" t="n">
        <v>0</v>
      </c>
      <c r="P64" s="370">
        <f>IF(M64=" "," ",(1+(M64+N64+O64)/100))</f>
        <v/>
      </c>
      <c r="Q64" s="375">
        <f>IF(L64=" "," ",L64*P64)</f>
        <v/>
      </c>
    </row>
    <row r="65" ht="9.949999999999999" customFormat="1" customHeight="1" s="351">
      <c r="A65" s="366" t="inlineStr">
        <is>
          <t>DD25</t>
        </is>
      </c>
      <c r="B65" s="367" t="inlineStr">
        <is>
          <t>D</t>
        </is>
      </c>
      <c r="C65" s="368" t="n"/>
      <c r="D65" s="369">
        <f>D64</f>
        <v/>
      </c>
      <c r="E65" s="369" t="n">
        <v>0.5</v>
      </c>
      <c r="F65" s="370">
        <f>IF(D65=0," ",D65*E65)</f>
        <v/>
      </c>
      <c r="G65" s="371" t="n">
        <v>1</v>
      </c>
      <c r="H65" s="372" t="n"/>
      <c r="I65" s="370">
        <f>IF(F65=" "," ",F65*G65-H65)</f>
        <v/>
      </c>
      <c r="J65" s="369" t="n">
        <v>0.387</v>
      </c>
      <c r="K65" s="371" t="n">
        <v>32</v>
      </c>
      <c r="L65" s="373">
        <f>IF(I65=" "," ",I65*J65*K65)</f>
        <v/>
      </c>
      <c r="M65" s="374" t="n">
        <v>7</v>
      </c>
      <c r="N65" s="371" t="n">
        <v>0</v>
      </c>
      <c r="O65" s="374" t="n">
        <v>0</v>
      </c>
      <c r="P65" s="370">
        <f>IF(M65=" "," ",(1+(M65+N65+O65)/100))</f>
        <v/>
      </c>
      <c r="Q65" s="375">
        <f>IF(L65=" "," ",L65*P65)</f>
        <v/>
      </c>
    </row>
    <row r="66" ht="9.949999999999999" customFormat="1" customHeight="1" s="356">
      <c r="A66" s="366" t="inlineStr">
        <is>
          <t>ÇP</t>
        </is>
      </c>
      <c r="B66" s="367" t="inlineStr">
        <is>
          <t>D</t>
        </is>
      </c>
      <c r="C66" s="368" t="n"/>
      <c r="D66" s="369" t="n">
        <v>0.5</v>
      </c>
      <c r="E66" s="369" t="n">
        <v>0.75</v>
      </c>
      <c r="F66" s="370">
        <f>IF(D66=0," ",D66*E66)</f>
        <v/>
      </c>
      <c r="G66" s="371" t="n">
        <v>1</v>
      </c>
      <c r="H66" s="372" t="n"/>
      <c r="I66" s="370">
        <f>IF(F66=" "," ",F66*G66-H66)</f>
        <v/>
      </c>
      <c r="J66" s="369" t="n">
        <v>1.8</v>
      </c>
      <c r="K66" s="371" t="n">
        <v>32</v>
      </c>
      <c r="L66" s="373">
        <f>IF(I66=" "," ",I66*J66*K66)</f>
        <v/>
      </c>
      <c r="M66" s="374" t="n">
        <v>7</v>
      </c>
      <c r="N66" s="371" t="n">
        <v>0</v>
      </c>
      <c r="O66" s="374" t="n">
        <v>0</v>
      </c>
      <c r="P66" s="370">
        <f>IF(M66=" "," ",(1+(M66+N66+O66)/100))</f>
        <v/>
      </c>
      <c r="Q66" s="375">
        <f>IF(L66=" "," ",L66*P66)</f>
        <v/>
      </c>
    </row>
    <row r="67" ht="9.949999999999999" customFormat="1" customHeight="1" s="356">
      <c r="A67" s="376" t="n"/>
      <c r="B67" s="377" t="n"/>
      <c r="C67" s="377" t="n"/>
      <c r="D67" s="378" t="n"/>
      <c r="E67" s="378" t="n"/>
      <c r="F67" s="378" t="n"/>
      <c r="G67" s="379" t="n"/>
      <c r="H67" s="378" t="n"/>
      <c r="I67" s="378" t="n"/>
      <c r="J67" s="378" t="n"/>
      <c r="K67" s="379" t="n"/>
      <c r="L67" s="380" t="n"/>
      <c r="M67" s="381" t="n"/>
      <c r="N67" s="381" t="n"/>
      <c r="O67" s="381" t="n"/>
      <c r="P67" s="382" t="n"/>
      <c r="Q67" s="383">
        <f>SUM(Q64:Q66)</f>
        <v/>
      </c>
    </row>
    <row r="68" ht="9.949999999999999" customFormat="1" customHeight="1" s="356">
      <c r="A68" s="384" t="n"/>
      <c r="B68" s="385" t="n"/>
      <c r="C68" s="385" t="n"/>
      <c r="D68" s="386" t="n"/>
      <c r="E68" s="387" t="n"/>
      <c r="F68" s="388" t="n"/>
      <c r="G68" s="389" t="n"/>
      <c r="H68" s="388" t="n"/>
      <c r="I68" s="390" t="n"/>
      <c r="J68" s="391" t="inlineStr">
        <is>
          <t>Qs=</t>
        </is>
      </c>
      <c r="K68" s="390" t="inlineStr">
        <is>
          <t>S a</t>
        </is>
      </c>
      <c r="L68" s="388" t="inlineStr">
        <is>
          <t>L</t>
        </is>
      </c>
      <c r="M68" s="389" t="inlineStr">
        <is>
          <t>R</t>
        </is>
      </c>
      <c r="N68" s="392" t="inlineStr">
        <is>
          <t>H</t>
        </is>
      </c>
      <c r="O68" s="393" t="inlineStr">
        <is>
          <t>D  T</t>
        </is>
      </c>
      <c r="P68" s="389" t="inlineStr">
        <is>
          <t>Ze</t>
        </is>
      </c>
      <c r="Q68" s="394" t="n"/>
    </row>
    <row r="69" ht="9.949999999999999" customFormat="1" customHeight="1" s="356">
      <c r="A69" s="395" t="inlineStr">
        <is>
          <t xml:space="preserve"> </t>
        </is>
      </c>
      <c r="B69" s="396" t="n"/>
      <c r="C69" s="397" t="n"/>
      <c r="D69" s="397" t="n"/>
      <c r="E69" s="398" t="n"/>
      <c r="F69" s="399" t="n"/>
      <c r="G69" s="400" t="n"/>
      <c r="H69" s="401" t="n"/>
      <c r="I69" s="402" t="n"/>
      <c r="J69" s="403" t="inlineStr">
        <is>
          <t>Qs  =</t>
        </is>
      </c>
      <c r="K69" s="404" t="n">
        <v>2</v>
      </c>
      <c r="L69" s="404">
        <f>(D66+E66)*2*G66</f>
        <v/>
      </c>
      <c r="M69" s="404" t="n">
        <v>0.9</v>
      </c>
      <c r="N69" s="404" t="n">
        <v>0.67</v>
      </c>
      <c r="O69" s="381" t="n">
        <v>32</v>
      </c>
      <c r="P69" s="404" t="n">
        <v>1</v>
      </c>
      <c r="Q69" s="383">
        <f>K69*L69*M69*N69*O69*P69</f>
        <v/>
      </c>
    </row>
    <row r="70" ht="9.949999999999999" customFormat="1" customHeight="1" s="356">
      <c r="A70" s="405" t="n"/>
      <c r="B70" s="406" t="n"/>
      <c r="C70" s="397" t="n"/>
      <c r="D70" s="397" t="n"/>
      <c r="E70" s="378" t="n"/>
      <c r="F70" s="256" t="n"/>
      <c r="G70" s="407" t="n"/>
      <c r="H70" s="397" t="n"/>
      <c r="I70" s="397" t="n"/>
      <c r="J70" s="397" t="n"/>
      <c r="K70" s="407" t="n"/>
      <c r="L70" s="408" t="n"/>
      <c r="M70" s="409" t="inlineStr">
        <is>
          <t xml:space="preserve">   TOPLAM ISI KAYBI =</t>
        </is>
      </c>
      <c r="N70" s="409" t="n"/>
      <c r="O70" s="410" t="n"/>
      <c r="P70" s="409" t="n"/>
      <c r="Q70" s="411">
        <f>Q67+Q69</f>
        <v/>
      </c>
    </row>
    <row r="71" ht="10.35" customFormat="1" customHeight="1" s="356">
      <c r="A71" s="359" t="n"/>
      <c r="B71" s="360" t="n"/>
      <c r="C71" s="360" t="n"/>
      <c r="D71" s="360" t="n"/>
      <c r="E71" s="360" t="n"/>
      <c r="F71" s="361" t="inlineStr">
        <is>
          <t>Z</t>
        </is>
      </c>
      <c r="G71" s="362" t="inlineStr">
        <is>
          <t>0</t>
        </is>
      </c>
      <c r="H71" s="360" t="inlineStr">
        <is>
          <t>Z08</t>
        </is>
      </c>
      <c r="I71" s="363" t="inlineStr">
        <is>
          <t>DAİRE 2 HOL</t>
        </is>
      </c>
      <c r="J71" s="364" t="n"/>
      <c r="K71" s="360" t="inlineStr">
        <is>
          <t>18ºC</t>
        </is>
      </c>
      <c r="L71" s="360" t="n"/>
      <c r="M71" s="360" t="n"/>
      <c r="N71" s="360" t="n"/>
      <c r="O71" s="360" t="n"/>
      <c r="P71" s="360" t="n"/>
      <c r="Q71" s="365" t="n"/>
    </row>
    <row r="72" ht="9.949999999999999" customFormat="1" customHeight="1" s="356">
      <c r="A72" s="366" t="inlineStr">
        <is>
          <t>İDM</t>
        </is>
      </c>
      <c r="B72" s="367" t="inlineStr"/>
      <c r="C72" s="368" t="n"/>
      <c r="D72" s="369" t="n">
        <v>1.7</v>
      </c>
      <c r="E72" s="369" t="n">
        <v>3</v>
      </c>
      <c r="F72" s="370">
        <f>IF(D72=0," ",D72*E72)</f>
        <v/>
      </c>
      <c r="G72" s="371" t="n">
        <v>1</v>
      </c>
      <c r="H72" s="372">
        <f>F73*G73</f>
        <v/>
      </c>
      <c r="I72" s="370">
        <f>IF(F72=" "," ",F72*G72-H72)</f>
        <v/>
      </c>
      <c r="J72" s="369" t="n">
        <v>0.332</v>
      </c>
      <c r="K72" s="371" t="n">
        <v>8</v>
      </c>
      <c r="L72" s="373">
        <f>IF(I72=" "," ",I72*J72*K72)</f>
        <v/>
      </c>
      <c r="M72" s="374" t="n">
        <v>7</v>
      </c>
      <c r="N72" s="371" t="n">
        <v>0</v>
      </c>
      <c r="O72" s="374" t="n">
        <v>0</v>
      </c>
      <c r="P72" s="370">
        <f>IF(M72=" "," ",(1+(M72+N72+O72)/100))</f>
        <v/>
      </c>
      <c r="Q72" s="375">
        <f>IF(L72=" "," ",L72*P72)</f>
        <v/>
      </c>
    </row>
    <row r="73" ht="9.949999999999999" customFormat="1" customHeight="1" s="356">
      <c r="A73" s="366" t="inlineStr">
        <is>
          <t>DK</t>
        </is>
      </c>
      <c r="B73" s="367" t="inlineStr"/>
      <c r="C73" s="368" t="n"/>
      <c r="D73" s="369" t="n">
        <v>1</v>
      </c>
      <c r="E73" s="369" t="n">
        <v>2.2</v>
      </c>
      <c r="F73" s="370">
        <f>IF(D73=0," ",D73*E73)</f>
        <v/>
      </c>
      <c r="G73" s="371" t="n">
        <v>1</v>
      </c>
      <c r="H73" s="372" t="n"/>
      <c r="I73" s="370">
        <f>IF(F73=" "," ",F73*G73-H73)</f>
        <v/>
      </c>
      <c r="J73" s="369" t="n">
        <v>2</v>
      </c>
      <c r="K73" s="371" t="n">
        <v>8</v>
      </c>
      <c r="L73" s="373">
        <f>IF(I73=" "," ",I73*J73*K73)</f>
        <v/>
      </c>
      <c r="M73" s="374" t="n">
        <v>7</v>
      </c>
      <c r="N73" s="371" t="n">
        <v>0</v>
      </c>
      <c r="O73" s="374" t="n">
        <v>0</v>
      </c>
      <c r="P73" s="370">
        <f>IF(M73=" "," ",(1+(M73+N73+O73)/100))</f>
        <v/>
      </c>
      <c r="Q73" s="375">
        <f>IF(L73=" "," ",L73*P73)</f>
        <v/>
      </c>
    </row>
    <row r="74" ht="9.949999999999999" customFormat="1" customHeight="1" s="356">
      <c r="A74" s="376" t="n"/>
      <c r="B74" s="377" t="n"/>
      <c r="C74" s="377" t="n"/>
      <c r="D74" s="378" t="n"/>
      <c r="E74" s="378" t="n"/>
      <c r="F74" s="378" t="n"/>
      <c r="G74" s="379" t="n"/>
      <c r="H74" s="378" t="n"/>
      <c r="I74" s="378" t="n"/>
      <c r="J74" s="378" t="n"/>
      <c r="K74" s="379" t="n"/>
      <c r="L74" s="380" t="n"/>
      <c r="M74" s="381" t="n"/>
      <c r="N74" s="381" t="n"/>
      <c r="O74" s="381" t="n"/>
      <c r="P74" s="382" t="n"/>
      <c r="Q74" s="383">
        <f>SUM(Q72:Q73)</f>
        <v/>
      </c>
    </row>
    <row r="75" ht="9.949999999999999" customFormat="1" customHeight="1" s="356">
      <c r="A75" s="384" t="n"/>
      <c r="B75" s="385" t="n"/>
      <c r="C75" s="385" t="n"/>
      <c r="D75" s="386" t="n"/>
      <c r="E75" s="387" t="n"/>
      <c r="F75" s="388" t="n"/>
      <c r="G75" s="389" t="n"/>
      <c r="H75" s="388" t="n"/>
      <c r="I75" s="390" t="n"/>
      <c r="J75" s="391" t="inlineStr">
        <is>
          <t>Qs=</t>
        </is>
      </c>
      <c r="K75" s="390" t="inlineStr">
        <is>
          <t>S a</t>
        </is>
      </c>
      <c r="L75" s="388" t="inlineStr">
        <is>
          <t>L</t>
        </is>
      </c>
      <c r="M75" s="389" t="inlineStr">
        <is>
          <t>R</t>
        </is>
      </c>
      <c r="N75" s="392" t="inlineStr">
        <is>
          <t>H</t>
        </is>
      </c>
      <c r="O75" s="393" t="inlineStr">
        <is>
          <t>D  T</t>
        </is>
      </c>
      <c r="P75" s="389" t="inlineStr">
        <is>
          <t>Ze</t>
        </is>
      </c>
      <c r="Q75" s="394" t="n"/>
    </row>
    <row r="76" ht="9.949999999999999" customFormat="1" customHeight="1" s="413">
      <c r="A76" s="395" t="inlineStr">
        <is>
          <t xml:space="preserve"> </t>
        </is>
      </c>
      <c r="B76" s="437" t="n"/>
      <c r="C76" s="397" t="n"/>
      <c r="D76" s="397" t="n"/>
      <c r="E76" s="398" t="n"/>
      <c r="F76" s="399" t="n"/>
      <c r="G76" s="400" t="n"/>
      <c r="H76" s="401" t="n"/>
      <c r="I76" s="402" t="n"/>
      <c r="J76" s="403" t="inlineStr">
        <is>
          <t>Qs  =</t>
        </is>
      </c>
      <c r="K76" s="404" t="n">
        <v>2</v>
      </c>
      <c r="L76" s="404" t="n">
        <v>0</v>
      </c>
      <c r="M76" s="404" t="n">
        <v>0.9</v>
      </c>
      <c r="N76" s="404" t="n">
        <v>0.67</v>
      </c>
      <c r="O76" s="381" t="n">
        <v>24</v>
      </c>
      <c r="P76" s="404" t="n">
        <v>1</v>
      </c>
      <c r="Q76" s="383">
        <f>K76*L76*M76*N76*O76*P76</f>
        <v/>
      </c>
    </row>
    <row r="77" ht="9.949999999999999" customFormat="1" customHeight="1" s="413">
      <c r="A77" s="405" t="n"/>
      <c r="B77" s="406" t="n"/>
      <c r="C77" s="397" t="n"/>
      <c r="D77" s="397" t="n"/>
      <c r="E77" s="378" t="n"/>
      <c r="F77" s="256" t="n"/>
      <c r="G77" s="407" t="n"/>
      <c r="H77" s="397" t="n"/>
      <c r="I77" s="397" t="n"/>
      <c r="J77" s="397" t="n"/>
      <c r="K77" s="407" t="n"/>
      <c r="L77" s="408" t="n"/>
      <c r="M77" s="409" t="inlineStr">
        <is>
          <t xml:space="preserve">   TOPLAM ISI KAYBI =</t>
        </is>
      </c>
      <c r="N77" s="409" t="n"/>
      <c r="O77" s="410" t="n"/>
      <c r="P77" s="409" t="n"/>
      <c r="Q77" s="411">
        <f>Q74+Q76</f>
        <v/>
      </c>
    </row>
    <row r="78" ht="9.75" customFormat="1" customHeight="1" s="351">
      <c r="A78" s="456" t="n"/>
      <c r="B78" s="413" t="n"/>
      <c r="C78" s="448" t="n"/>
      <c r="D78" s="448" t="n"/>
      <c r="E78" s="430" t="n"/>
      <c r="G78" s="457" t="n"/>
      <c r="H78" s="448" t="n"/>
      <c r="I78" s="448" t="n"/>
      <c r="J78" s="448" t="n"/>
      <c r="K78" s="457" t="n"/>
      <c r="L78" s="458" t="n"/>
      <c r="M78" s="459" t="n"/>
      <c r="N78" s="459" t="n"/>
      <c r="O78" s="460" t="n"/>
      <c r="P78" s="459" t="n"/>
      <c r="Q78" s="461" t="n"/>
    </row>
    <row r="79"/>
    <row r="80"/>
    <row r="81"/>
    <row r="82"/>
    <row r="83"/>
    <row r="84" ht="9.75" customFormat="1" customHeight="1" s="329">
      <c r="A84" s="330" t="n"/>
      <c r="B84" s="331" t="n"/>
      <c r="C84" s="331" t="n"/>
      <c r="D84" s="331" t="n"/>
      <c r="E84" s="331" t="n"/>
      <c r="F84" s="332" t="n"/>
      <c r="G84" s="333" t="n"/>
      <c r="H84" s="334" t="n"/>
      <c r="I84" s="333" t="n"/>
      <c r="J84" s="333" t="n"/>
      <c r="K84" s="331" t="n"/>
      <c r="L84" s="335" t="n"/>
      <c r="M84" s="331" t="n"/>
      <c r="N84" s="336" t="n"/>
      <c r="O84" s="337" t="n"/>
      <c r="P84" s="337" t="n"/>
      <c r="Q84" s="338" t="n"/>
    </row>
    <row r="85" ht="10.5" customFormat="1" customHeight="1" s="339">
      <c r="A85" s="340" t="n"/>
      <c r="F85" s="341" t="n"/>
      <c r="G85" s="342" t="n"/>
      <c r="H85" s="343" t="n"/>
      <c r="I85" s="343" t="n"/>
      <c r="J85" s="343" t="n"/>
      <c r="K85" s="344" t="n"/>
      <c r="L85" s="345" t="n"/>
      <c r="N85" s="346" t="n"/>
      <c r="O85" s="347" t="n"/>
      <c r="P85" s="347" t="n"/>
      <c r="Q85" s="347" t="n"/>
    </row>
    <row r="86" ht="8.25" customFormat="1" customHeight="1" s="339">
      <c r="A86" s="348" t="n"/>
      <c r="E86" s="349" t="n"/>
      <c r="I86" s="350" t="n"/>
      <c r="M86" s="350" t="n"/>
      <c r="Q86" s="350" t="n"/>
    </row>
    <row r="87" ht="31.5" customFormat="1" customHeight="1" s="351">
      <c r="A87" s="352" t="n"/>
      <c r="B87" s="352" t="n"/>
      <c r="C87" s="352" t="n"/>
      <c r="D87" s="352" t="n"/>
      <c r="E87" s="352" t="n"/>
      <c r="F87" s="353" t="n"/>
      <c r="G87" s="352" t="n"/>
      <c r="H87" s="353" t="n"/>
      <c r="I87" s="353" t="n"/>
      <c r="J87" s="353" t="n"/>
      <c r="K87" s="353" t="n"/>
      <c r="L87" s="353" t="n"/>
      <c r="M87" s="352" t="n"/>
      <c r="N87" s="352" t="n"/>
      <c r="O87" s="352" t="n"/>
      <c r="P87" s="352" t="n"/>
      <c r="Q87" s="353" t="n"/>
    </row>
    <row r="88" ht="9.75" customFormat="1" customHeight="1" s="351">
      <c r="A88" s="354" t="n"/>
      <c r="B88" s="354" t="n"/>
      <c r="C88" s="354" t="n"/>
      <c r="D88" s="354" t="n"/>
      <c r="E88" s="354" t="n"/>
      <c r="F88" s="354" t="n"/>
      <c r="G88" s="354" t="n"/>
      <c r="H88" s="354" t="n"/>
      <c r="I88" s="354" t="n"/>
      <c r="J88" s="354" t="n"/>
      <c r="K88" s="355" t="n"/>
      <c r="L88" s="354" t="n"/>
      <c r="M88" s="354" t="n"/>
      <c r="N88" s="354" t="n"/>
      <c r="O88" s="354" t="n"/>
      <c r="P88" s="354" t="n"/>
      <c r="Q88" s="354" t="n"/>
    </row>
    <row r="89" ht="15.75" customFormat="1" customHeight="1" s="356">
      <c r="A89" s="346" t="n"/>
      <c r="B89" s="346" t="n"/>
      <c r="C89" s="346" t="n"/>
      <c r="D89" s="346" t="n"/>
      <c r="E89" s="346" t="n"/>
      <c r="F89" s="346" t="n"/>
      <c r="G89" s="346" t="n"/>
      <c r="H89" s="346" t="n"/>
      <c r="I89" s="346" t="n"/>
      <c r="J89" s="357" t="n"/>
      <c r="K89" s="346" t="n"/>
      <c r="L89" s="358" t="n"/>
      <c r="M89" s="346" t="n"/>
      <c r="N89" s="346" t="n"/>
      <c r="O89" s="346" t="n"/>
      <c r="P89" s="346" t="n"/>
      <c r="Q89" s="358" t="n"/>
    </row>
    <row r="90" ht="9.75" customFormat="1" customHeight="1" s="356">
      <c r="A90" s="346" t="n"/>
      <c r="B90" s="346" t="n"/>
      <c r="C90" s="346" t="n"/>
      <c r="D90" s="346" t="n"/>
      <c r="E90" s="346" t="n"/>
      <c r="F90" s="346" t="n"/>
      <c r="G90" s="346" t="n"/>
      <c r="H90" s="346" t="n"/>
      <c r="I90" s="346" t="n"/>
      <c r="J90" s="346" t="n"/>
      <c r="K90" s="346" t="n"/>
      <c r="L90" s="346" t="n"/>
      <c r="M90" s="346" t="n"/>
      <c r="N90" s="346" t="n"/>
      <c r="O90" s="346" t="n"/>
      <c r="P90" s="346" t="n"/>
      <c r="Q90" s="346" t="n"/>
    </row>
    <row r="91" ht="9.75" customFormat="1" customHeight="1" s="356">
      <c r="A91" s="414" t="n"/>
      <c r="B91" s="415" t="n"/>
      <c r="C91" s="415" t="n"/>
      <c r="D91" s="415" t="n"/>
      <c r="E91" s="415" t="n"/>
      <c r="F91" s="416" t="n"/>
      <c r="G91" s="417" t="n"/>
      <c r="H91" s="415" t="n"/>
      <c r="I91" s="417" t="n"/>
      <c r="K91" s="415" t="n"/>
      <c r="L91" s="415" t="n"/>
      <c r="M91" s="415" t="n"/>
      <c r="N91" s="415" t="n"/>
      <c r="O91" s="415" t="n"/>
      <c r="P91" s="415" t="n"/>
      <c r="Q91" s="418" t="n"/>
    </row>
    <row r="92" ht="9.75" customFormat="1" customHeight="1" s="356">
      <c r="A92" s="419" t="n"/>
      <c r="B92" s="396" t="n"/>
      <c r="C92" s="420" t="n"/>
      <c r="D92" s="421" t="n"/>
      <c r="E92" s="421" t="n"/>
      <c r="F92" s="422" t="n"/>
      <c r="G92" s="423" t="n"/>
      <c r="H92" s="424" t="n"/>
      <c r="I92" s="422" t="n"/>
      <c r="J92" s="421" t="n"/>
      <c r="K92" s="423" t="n"/>
      <c r="L92" s="425" t="n"/>
      <c r="M92" s="426" t="n"/>
      <c r="N92" s="423" t="n"/>
      <c r="O92" s="426" t="n"/>
      <c r="P92" s="422" t="n"/>
      <c r="Q92" s="427" t="n"/>
    </row>
    <row r="93" ht="9.75" customFormat="1" customHeight="1" s="356">
      <c r="A93" s="419" t="n"/>
      <c r="B93" s="396" t="n"/>
      <c r="C93" s="420" t="n"/>
      <c r="D93" s="421" t="n"/>
      <c r="E93" s="421" t="n"/>
      <c r="F93" s="422" t="n"/>
      <c r="G93" s="423" t="n"/>
      <c r="H93" s="424" t="n"/>
      <c r="I93" s="422" t="n"/>
      <c r="J93" s="421" t="n"/>
      <c r="K93" s="423" t="n"/>
      <c r="L93" s="425" t="n"/>
      <c r="M93" s="426" t="n"/>
      <c r="N93" s="423" t="n"/>
      <c r="O93" s="426" t="n"/>
      <c r="P93" s="422" t="n"/>
      <c r="Q93" s="427" t="n"/>
    </row>
    <row r="94" ht="9.75" customFormat="1" customHeight="1" s="356">
      <c r="A94" s="419" t="n"/>
      <c r="B94" s="396" t="n"/>
      <c r="C94" s="420" t="n"/>
      <c r="D94" s="421" t="n"/>
      <c r="E94" s="421" t="n"/>
      <c r="F94" s="422" t="n"/>
      <c r="G94" s="423" t="n"/>
      <c r="H94" s="424" t="n"/>
      <c r="I94" s="422" t="n"/>
      <c r="J94" s="421" t="n"/>
      <c r="K94" s="423" t="n"/>
      <c r="L94" s="425" t="n"/>
      <c r="M94" s="426" t="n"/>
      <c r="N94" s="423" t="n"/>
      <c r="O94" s="426" t="n"/>
      <c r="P94" s="422" t="n"/>
      <c r="Q94" s="428" t="n"/>
    </row>
    <row r="95" ht="9.75" customFormat="1" customHeight="1" s="356">
      <c r="A95" s="419" t="n"/>
      <c r="B95" s="396" t="n"/>
      <c r="C95" s="420" t="n"/>
      <c r="D95" s="421" t="n"/>
      <c r="E95" s="421" t="n"/>
      <c r="F95" s="422" t="n"/>
      <c r="G95" s="423" t="n"/>
      <c r="H95" s="424" t="n"/>
      <c r="I95" s="422" t="n"/>
      <c r="J95" s="421" t="n"/>
      <c r="K95" s="423" t="n"/>
      <c r="L95" s="425" t="n"/>
      <c r="M95" s="426" t="n"/>
      <c r="N95" s="423" t="n"/>
      <c r="O95" s="426" t="n"/>
      <c r="P95" s="422" t="n"/>
      <c r="Q95" s="427" t="n"/>
    </row>
    <row r="96" ht="9.75" customFormat="1" customHeight="1" s="356">
      <c r="A96" s="419" t="n"/>
      <c r="B96" s="396" t="n"/>
      <c r="C96" s="420" t="n"/>
      <c r="D96" s="421" t="n"/>
      <c r="E96" s="421" t="n"/>
      <c r="F96" s="422" t="n"/>
      <c r="G96" s="423" t="n"/>
      <c r="H96" s="424" t="n"/>
      <c r="I96" s="422" t="n"/>
      <c r="J96" s="421" t="n"/>
      <c r="K96" s="423" t="n"/>
      <c r="L96" s="425" t="n"/>
      <c r="M96" s="426" t="n"/>
      <c r="N96" s="423" t="n"/>
      <c r="O96" s="426" t="n"/>
      <c r="P96" s="422" t="n"/>
      <c r="Q96" s="427" t="n"/>
    </row>
    <row r="97" ht="9.75" customFormat="1" customHeight="1" s="356">
      <c r="A97" s="419" t="n"/>
      <c r="B97" s="396" t="n"/>
      <c r="C97" s="420" t="n"/>
      <c r="D97" s="421" t="n"/>
      <c r="E97" s="421" t="n"/>
      <c r="F97" s="422" t="n"/>
      <c r="G97" s="423" t="n"/>
      <c r="H97" s="424" t="n"/>
      <c r="I97" s="422" t="n"/>
      <c r="J97" s="421" t="n"/>
      <c r="K97" s="423" t="n"/>
      <c r="L97" s="425" t="n"/>
      <c r="M97" s="426" t="n"/>
      <c r="N97" s="423" t="n"/>
      <c r="O97" s="426" t="n"/>
      <c r="P97" s="422" t="n"/>
      <c r="Q97" s="428" t="n"/>
    </row>
    <row r="98" ht="9.75" customFormat="1" customHeight="1" s="356">
      <c r="A98" s="419" t="n"/>
      <c r="B98" s="396" t="n"/>
      <c r="C98" s="420" t="n"/>
      <c r="D98" s="421" t="n"/>
      <c r="E98" s="421" t="n"/>
      <c r="F98" s="422" t="n"/>
      <c r="G98" s="423" t="n"/>
      <c r="H98" s="424" t="n"/>
      <c r="I98" s="422" t="n"/>
      <c r="J98" s="421" t="n"/>
      <c r="K98" s="423" t="n"/>
      <c r="L98" s="425" t="n"/>
      <c r="M98" s="426" t="n"/>
      <c r="N98" s="423" t="n"/>
      <c r="O98" s="426" t="n"/>
      <c r="P98" s="422" t="n"/>
      <c r="Q98" s="427" t="n"/>
    </row>
    <row r="99" ht="9.75" customFormat="1" customHeight="1" s="356">
      <c r="A99" s="419" t="n"/>
      <c r="B99" s="396" t="n"/>
      <c r="C99" s="420" t="n"/>
      <c r="D99" s="421" t="n"/>
      <c r="E99" s="421" t="n"/>
      <c r="F99" s="422" t="n"/>
      <c r="G99" s="423" t="n"/>
      <c r="H99" s="424" t="n"/>
      <c r="I99" s="422" t="n"/>
      <c r="J99" s="421" t="n"/>
      <c r="K99" s="423" t="n"/>
      <c r="L99" s="425" t="n"/>
      <c r="M99" s="426" t="n"/>
      <c r="N99" s="423" t="n"/>
      <c r="O99" s="426" t="n"/>
      <c r="P99" s="422" t="n"/>
      <c r="Q99" s="428" t="n"/>
    </row>
    <row r="100" ht="9.75" customFormat="1" customHeight="1" s="356">
      <c r="A100" s="419" t="n"/>
      <c r="B100" s="396" t="n"/>
      <c r="C100" s="420" t="n"/>
      <c r="D100" s="421" t="n"/>
      <c r="E100" s="421" t="n"/>
      <c r="F100" s="422" t="n"/>
      <c r="G100" s="423" t="n"/>
      <c r="H100" s="424" t="n"/>
      <c r="I100" s="422" t="n"/>
      <c r="J100" s="421" t="n"/>
      <c r="K100" s="423" t="n"/>
      <c r="L100" s="425" t="n"/>
      <c r="M100" s="426" t="n"/>
      <c r="N100" s="423" t="n"/>
      <c r="O100" s="426" t="n"/>
      <c r="P100" s="422" t="n"/>
      <c r="Q100" s="428" t="n"/>
    </row>
    <row r="101" ht="9.75" customFormat="1" customHeight="1" s="356">
      <c r="A101" s="429" t="n"/>
      <c r="B101" s="412" t="n"/>
      <c r="C101" s="412" t="n"/>
      <c r="D101" s="430" t="n"/>
      <c r="E101" s="430" t="n"/>
      <c r="F101" s="430" t="n"/>
      <c r="G101" s="431" t="n"/>
      <c r="H101" s="430" t="n"/>
      <c r="I101" s="430" t="n"/>
      <c r="J101" s="430" t="n"/>
      <c r="K101" s="431" t="n"/>
      <c r="L101" s="432" t="n"/>
      <c r="M101" s="433" t="n"/>
      <c r="N101" s="433" t="n"/>
      <c r="O101" s="433" t="n"/>
      <c r="P101" s="434" t="n"/>
      <c r="Q101" s="435" t="n"/>
    </row>
    <row r="102" ht="9.75" customFormat="1" customHeight="1" s="413">
      <c r="A102" s="436" t="n"/>
      <c r="B102" s="437" t="n"/>
      <c r="C102" s="437" t="n"/>
      <c r="D102" s="438" t="n"/>
      <c r="E102" s="439" t="n"/>
      <c r="F102" s="440" t="n"/>
      <c r="G102" s="441" t="n"/>
      <c r="H102" s="440" t="n"/>
      <c r="I102" s="442" t="n"/>
      <c r="J102" s="443" t="n"/>
      <c r="K102" s="442" t="n"/>
      <c r="L102" s="440" t="n"/>
      <c r="M102" s="441" t="n"/>
      <c r="N102" s="444" t="n"/>
      <c r="O102" s="445" t="n"/>
      <c r="P102" s="441" t="n"/>
      <c r="Q102" s="446" t="n"/>
    </row>
    <row r="103" ht="9.75" customFormat="1" customHeight="1" s="413">
      <c r="A103" s="447" t="n"/>
      <c r="C103" s="448" t="n"/>
      <c r="D103" s="448" t="n"/>
      <c r="E103" s="449" t="n"/>
      <c r="F103" s="450" t="n"/>
      <c r="G103" s="451" t="n"/>
      <c r="H103" s="452" t="n"/>
      <c r="I103" s="453" t="n"/>
      <c r="J103" s="454" t="n"/>
      <c r="K103" s="455" t="n"/>
      <c r="L103" s="455" t="n"/>
      <c r="M103" s="455" t="n"/>
      <c r="N103" s="455" t="n"/>
      <c r="O103" s="433" t="n"/>
      <c r="P103" s="455" t="n"/>
      <c r="Q103" s="435" t="n"/>
    </row>
    <row r="104" ht="9.75" customFormat="1" customHeight="1" s="351">
      <c r="A104" s="456" t="n"/>
      <c r="B104" s="413" t="n"/>
      <c r="C104" s="448" t="n"/>
      <c r="D104" s="448" t="n"/>
      <c r="E104" s="430" t="n"/>
      <c r="G104" s="457" t="n"/>
      <c r="H104" s="448" t="n"/>
      <c r="I104" s="448" t="n"/>
      <c r="J104" s="448" t="n"/>
      <c r="K104" s="457" t="n"/>
      <c r="L104" s="458" t="n"/>
      <c r="M104" s="459" t="n"/>
      <c r="N104" s="459" t="n"/>
      <c r="O104" s="460" t="n"/>
      <c r="P104" s="459" t="n"/>
      <c r="Q104" s="461" t="n"/>
    </row>
    <row r="105" ht="9.949999999999999" customFormat="1" customHeight="1" s="356">
      <c r="A105" s="414" t="n"/>
      <c r="B105" s="415" t="n"/>
      <c r="C105" s="415" t="n"/>
      <c r="D105" s="415" t="n"/>
      <c r="E105" s="415" t="n"/>
      <c r="F105" s="416" t="n"/>
      <c r="G105" s="417" t="n"/>
      <c r="H105" s="415" t="n"/>
      <c r="I105" s="417" t="n"/>
      <c r="K105" s="415" t="n"/>
      <c r="L105" s="415" t="n"/>
      <c r="M105" s="415" t="n"/>
      <c r="N105" s="415" t="n"/>
      <c r="O105" s="415" t="n"/>
      <c r="P105" s="415" t="n"/>
      <c r="Q105" s="418" t="n"/>
    </row>
    <row r="106" ht="9.949999999999999" customFormat="1" customHeight="1" s="356">
      <c r="A106" s="419" t="n"/>
      <c r="B106" s="396" t="n"/>
      <c r="C106" s="420" t="n"/>
      <c r="D106" s="421" t="n"/>
      <c r="E106" s="421" t="n"/>
      <c r="F106" s="422" t="n"/>
      <c r="G106" s="423" t="n"/>
      <c r="H106" s="424" t="n"/>
      <c r="I106" s="422" t="n"/>
      <c r="J106" s="421" t="n"/>
      <c r="K106" s="423" t="n"/>
      <c r="L106" s="425" t="n"/>
      <c r="M106" s="426" t="n"/>
      <c r="N106" s="423" t="n"/>
      <c r="O106" s="426" t="n"/>
      <c r="P106" s="422" t="n"/>
      <c r="Q106" s="427" t="n"/>
    </row>
    <row r="107" ht="9.949999999999999" customFormat="1" customHeight="1" s="356">
      <c r="A107" s="419" t="n"/>
      <c r="B107" s="396" t="n"/>
      <c r="C107" s="420" t="n"/>
      <c r="D107" s="421" t="n"/>
      <c r="E107" s="421" t="n"/>
      <c r="F107" s="422" t="n"/>
      <c r="G107" s="423" t="n"/>
      <c r="H107" s="424" t="n"/>
      <c r="I107" s="422" t="n"/>
      <c r="J107" s="421" t="n"/>
      <c r="K107" s="423" t="n"/>
      <c r="L107" s="425" t="n"/>
      <c r="M107" s="426" t="n"/>
      <c r="N107" s="423" t="n"/>
      <c r="O107" s="426" t="n"/>
      <c r="P107" s="422" t="n"/>
      <c r="Q107" s="427" t="n"/>
    </row>
    <row r="108" ht="9.949999999999999" customFormat="1" customHeight="1" s="356">
      <c r="A108" s="419" t="n"/>
      <c r="B108" s="396" t="n"/>
      <c r="C108" s="420" t="n"/>
      <c r="D108" s="421" t="n"/>
      <c r="E108" s="421" t="n"/>
      <c r="F108" s="422" t="n"/>
      <c r="G108" s="423" t="n"/>
      <c r="H108" s="424" t="n"/>
      <c r="I108" s="422" t="n"/>
      <c r="J108" s="421" t="n"/>
      <c r="K108" s="423" t="n"/>
      <c r="L108" s="425" t="n"/>
      <c r="M108" s="426" t="n"/>
      <c r="N108" s="423" t="n"/>
      <c r="O108" s="426" t="n"/>
      <c r="P108" s="422" t="n"/>
      <c r="Q108" s="428" t="n"/>
    </row>
    <row r="109" ht="9.949999999999999" customFormat="1" customHeight="1" s="356">
      <c r="A109" s="419" t="n"/>
      <c r="B109" s="396" t="n"/>
      <c r="C109" s="420" t="n"/>
      <c r="D109" s="421" t="n"/>
      <c r="E109" s="421" t="n"/>
      <c r="F109" s="422" t="n"/>
      <c r="G109" s="423" t="n"/>
      <c r="H109" s="424" t="n"/>
      <c r="I109" s="422" t="n"/>
      <c r="J109" s="421" t="n"/>
      <c r="K109" s="423" t="n"/>
      <c r="L109" s="425" t="n"/>
      <c r="M109" s="426" t="n"/>
      <c r="N109" s="423" t="n"/>
      <c r="O109" s="426" t="n"/>
      <c r="P109" s="422" t="n"/>
      <c r="Q109" s="427" t="n"/>
    </row>
    <row r="110" ht="9.949999999999999" customFormat="1" customHeight="1" s="356">
      <c r="A110" s="419" t="n"/>
      <c r="B110" s="396" t="n"/>
      <c r="C110" s="420" t="n"/>
      <c r="D110" s="421" t="n"/>
      <c r="E110" s="421" t="n"/>
      <c r="F110" s="422" t="n"/>
      <c r="G110" s="423" t="n"/>
      <c r="H110" s="424" t="n"/>
      <c r="I110" s="422" t="n"/>
      <c r="J110" s="421" t="n"/>
      <c r="K110" s="423" t="n"/>
      <c r="L110" s="425" t="n"/>
      <c r="M110" s="426" t="n"/>
      <c r="N110" s="423" t="n"/>
      <c r="O110" s="426" t="n"/>
      <c r="P110" s="422" t="n"/>
      <c r="Q110" s="427" t="n"/>
    </row>
    <row r="111" ht="9.949999999999999" customFormat="1" customHeight="1" s="356">
      <c r="A111" s="419" t="n"/>
      <c r="B111" s="396" t="n"/>
      <c r="C111" s="420" t="n"/>
      <c r="D111" s="421" t="n"/>
      <c r="E111" s="421" t="n"/>
      <c r="F111" s="422" t="n"/>
      <c r="G111" s="423" t="n"/>
      <c r="H111" s="424" t="n"/>
      <c r="I111" s="422" t="n"/>
      <c r="J111" s="421" t="n"/>
      <c r="K111" s="423" t="n"/>
      <c r="L111" s="425" t="n"/>
      <c r="M111" s="426" t="n"/>
      <c r="N111" s="423" t="n"/>
      <c r="O111" s="426" t="n"/>
      <c r="P111" s="422" t="n"/>
      <c r="Q111" s="427" t="n"/>
    </row>
    <row r="112" ht="9.949999999999999" customFormat="1" customHeight="1" s="356">
      <c r="A112" s="419" t="n"/>
      <c r="B112" s="396" t="n"/>
      <c r="C112" s="420" t="n"/>
      <c r="D112" s="421" t="n"/>
      <c r="E112" s="421" t="n"/>
      <c r="F112" s="422" t="n"/>
      <c r="G112" s="423" t="n"/>
      <c r="H112" s="424" t="n"/>
      <c r="I112" s="422" t="n"/>
      <c r="J112" s="421" t="n"/>
      <c r="K112" s="423" t="n"/>
      <c r="L112" s="425" t="n"/>
      <c r="M112" s="426" t="n"/>
      <c r="N112" s="423" t="n"/>
      <c r="O112" s="426" t="n"/>
      <c r="P112" s="422" t="n"/>
      <c r="Q112" s="428" t="n"/>
    </row>
    <row r="113" ht="9.949999999999999" customFormat="1" customHeight="1" s="356">
      <c r="A113" s="419" t="n"/>
      <c r="B113" s="396" t="n"/>
      <c r="C113" s="420" t="n"/>
      <c r="D113" s="421" t="n"/>
      <c r="E113" s="421" t="n"/>
      <c r="F113" s="422" t="n"/>
      <c r="G113" s="423" t="n"/>
      <c r="H113" s="424" t="n"/>
      <c r="I113" s="422" t="n"/>
      <c r="J113" s="421" t="n"/>
      <c r="K113" s="423" t="n"/>
      <c r="L113" s="425" t="n"/>
      <c r="M113" s="426" t="n"/>
      <c r="N113" s="423" t="n"/>
      <c r="O113" s="426" t="n"/>
      <c r="P113" s="422" t="n"/>
      <c r="Q113" s="427" t="n"/>
    </row>
    <row r="114" ht="9.949999999999999" customFormat="1" customHeight="1" s="356">
      <c r="A114" s="419" t="n"/>
      <c r="B114" s="396" t="n"/>
      <c r="C114" s="420" t="n"/>
      <c r="D114" s="421" t="n"/>
      <c r="E114" s="421" t="n"/>
      <c r="F114" s="422" t="n"/>
      <c r="G114" s="423" t="n"/>
      <c r="H114" s="424" t="n"/>
      <c r="I114" s="422" t="n"/>
      <c r="J114" s="421" t="n"/>
      <c r="K114" s="423" t="n"/>
      <c r="L114" s="425" t="n"/>
      <c r="M114" s="426" t="n"/>
      <c r="N114" s="423" t="n"/>
      <c r="O114" s="426" t="n"/>
      <c r="P114" s="422" t="n"/>
      <c r="Q114" s="428" t="n"/>
    </row>
    <row r="115" ht="9.949999999999999" customFormat="1" customHeight="1" s="356">
      <c r="A115" s="429" t="n"/>
      <c r="B115" s="412" t="n"/>
      <c r="C115" s="412" t="n"/>
      <c r="D115" s="430" t="n"/>
      <c r="E115" s="430" t="n"/>
      <c r="F115" s="430" t="n"/>
      <c r="G115" s="431" t="n"/>
      <c r="H115" s="430" t="n"/>
      <c r="I115" s="430" t="n"/>
      <c r="J115" s="430" t="n"/>
      <c r="K115" s="431" t="n"/>
      <c r="L115" s="432" t="n"/>
      <c r="M115" s="433" t="n"/>
      <c r="N115" s="433" t="n"/>
      <c r="O115" s="433" t="n"/>
      <c r="P115" s="434" t="n"/>
      <c r="Q115" s="435" t="n"/>
    </row>
    <row r="116" ht="9.949999999999999" customFormat="1" customHeight="1" s="413">
      <c r="A116" s="436" t="n"/>
      <c r="B116" s="437" t="n"/>
      <c r="C116" s="437" t="n"/>
      <c r="D116" s="438" t="n"/>
      <c r="E116" s="439" t="n"/>
      <c r="F116" s="440" t="n"/>
      <c r="G116" s="441" t="n"/>
      <c r="H116" s="440" t="n"/>
      <c r="I116" s="442" t="n"/>
      <c r="J116" s="443" t="n"/>
      <c r="K116" s="442" t="n"/>
      <c r="L116" s="440" t="n"/>
      <c r="M116" s="441" t="n"/>
      <c r="N116" s="444" t="n"/>
      <c r="O116" s="445" t="n"/>
      <c r="P116" s="441" t="n"/>
      <c r="Q116" s="446" t="n"/>
    </row>
    <row r="117" ht="9.949999999999999" customFormat="1" customHeight="1" s="413">
      <c r="A117" s="447" t="n"/>
      <c r="C117" s="448" t="n"/>
      <c r="D117" s="448" t="n"/>
      <c r="E117" s="449" t="n"/>
      <c r="F117" s="450" t="n"/>
      <c r="G117" s="451" t="n"/>
      <c r="H117" s="452" t="n"/>
      <c r="I117" s="453" t="n"/>
      <c r="J117" s="454" t="n"/>
      <c r="K117" s="455" t="n"/>
      <c r="L117" s="455" t="n"/>
      <c r="M117" s="455" t="n"/>
      <c r="N117" s="455" t="n"/>
      <c r="O117" s="433" t="n"/>
      <c r="P117" s="455" t="n"/>
      <c r="Q117" s="435" t="n"/>
    </row>
    <row r="118" ht="9.949999999999999" customFormat="1" customHeight="1" s="351">
      <c r="A118" s="456" t="n"/>
      <c r="B118" s="413" t="n"/>
      <c r="C118" s="448" t="n"/>
      <c r="D118" s="448" t="n"/>
      <c r="E118" s="430" t="n"/>
      <c r="G118" s="457" t="n"/>
      <c r="H118" s="448" t="n"/>
      <c r="I118" s="448" t="n"/>
      <c r="J118" s="448" t="n"/>
      <c r="K118" s="457" t="n"/>
      <c r="L118" s="458" t="n"/>
      <c r="M118" s="459" t="n"/>
      <c r="N118" s="459" t="n"/>
      <c r="O118" s="460" t="n"/>
      <c r="P118" s="459" t="n"/>
      <c r="Q118" s="461" t="n"/>
    </row>
    <row r="119" ht="9.949999999999999" customFormat="1" customHeight="1" s="356">
      <c r="A119" s="414" t="n"/>
      <c r="B119" s="415" t="n"/>
      <c r="C119" s="415" t="n"/>
      <c r="D119" s="415" t="n"/>
      <c r="E119" s="415" t="n"/>
      <c r="F119" s="416" t="n"/>
      <c r="G119" s="417" t="n"/>
      <c r="H119" s="415" t="n"/>
      <c r="I119" s="417" t="n"/>
      <c r="K119" s="415" t="n"/>
      <c r="L119" s="415" t="n"/>
      <c r="M119" s="415" t="n"/>
      <c r="N119" s="415" t="n"/>
      <c r="O119" s="415" t="n"/>
      <c r="P119" s="415" t="n"/>
      <c r="Q119" s="418" t="n"/>
    </row>
    <row r="120" ht="9.949999999999999" customFormat="1" customHeight="1" s="356">
      <c r="A120" s="419" t="n"/>
      <c r="B120" s="396" t="n"/>
      <c r="C120" s="420" t="n"/>
      <c r="D120" s="421" t="n"/>
      <c r="E120" s="421" t="n"/>
      <c r="F120" s="422" t="n"/>
      <c r="G120" s="423" t="n"/>
      <c r="H120" s="424" t="n"/>
      <c r="I120" s="422" t="n"/>
      <c r="J120" s="421" t="n"/>
      <c r="K120" s="423" t="n"/>
      <c r="L120" s="425" t="n"/>
      <c r="M120" s="426" t="n"/>
      <c r="N120" s="423" t="n"/>
      <c r="O120" s="426" t="n"/>
      <c r="P120" s="422" t="n"/>
      <c r="Q120" s="427" t="n"/>
    </row>
    <row r="121" ht="9.949999999999999" customFormat="1" customHeight="1" s="356">
      <c r="A121" s="419" t="n"/>
      <c r="B121" s="396" t="n"/>
      <c r="C121" s="420" t="n"/>
      <c r="D121" s="421" t="n"/>
      <c r="E121" s="421" t="n"/>
      <c r="F121" s="422" t="n"/>
      <c r="G121" s="423" t="n"/>
      <c r="H121" s="424" t="n"/>
      <c r="I121" s="422" t="n"/>
      <c r="J121" s="421" t="n"/>
      <c r="K121" s="423" t="n"/>
      <c r="L121" s="425" t="n"/>
      <c r="M121" s="426" t="n"/>
      <c r="N121" s="423" t="n"/>
      <c r="O121" s="426" t="n"/>
      <c r="P121" s="422" t="n"/>
      <c r="Q121" s="427" t="n"/>
    </row>
    <row r="122" ht="9.949999999999999" customFormat="1" customHeight="1" s="356">
      <c r="A122" s="419" t="n"/>
      <c r="B122" s="396" t="n"/>
      <c r="C122" s="420" t="n"/>
      <c r="D122" s="421" t="n"/>
      <c r="E122" s="421" t="n"/>
      <c r="F122" s="422" t="n"/>
      <c r="G122" s="423" t="n"/>
      <c r="H122" s="424" t="n"/>
      <c r="I122" s="422" t="n"/>
      <c r="J122" s="421" t="n"/>
      <c r="K122" s="423" t="n"/>
      <c r="L122" s="425" t="n"/>
      <c r="M122" s="426" t="n"/>
      <c r="N122" s="423" t="n"/>
      <c r="O122" s="426" t="n"/>
      <c r="P122" s="422" t="n"/>
      <c r="Q122" s="427" t="n"/>
    </row>
    <row r="123" ht="9.949999999999999" customFormat="1" customHeight="1" s="356">
      <c r="A123" s="419" t="n"/>
      <c r="B123" s="396" t="n"/>
      <c r="C123" s="420" t="n"/>
      <c r="D123" s="421" t="n"/>
      <c r="E123" s="421" t="n"/>
      <c r="F123" s="422" t="n"/>
      <c r="G123" s="423" t="n"/>
      <c r="H123" s="424" t="n"/>
      <c r="I123" s="422" t="n"/>
      <c r="J123" s="421" t="n"/>
      <c r="K123" s="423" t="n"/>
      <c r="L123" s="425" t="n"/>
      <c r="M123" s="426" t="n"/>
      <c r="N123" s="423" t="n"/>
      <c r="O123" s="426" t="n"/>
      <c r="P123" s="422" t="n"/>
      <c r="Q123" s="427" t="n"/>
    </row>
    <row r="124" ht="9.949999999999999" customFormat="1" customHeight="1" s="356">
      <c r="A124" s="419" t="n"/>
      <c r="B124" s="396" t="n"/>
      <c r="C124" s="420" t="n"/>
      <c r="D124" s="421" t="n"/>
      <c r="E124" s="421" t="n"/>
      <c r="F124" s="422" t="n"/>
      <c r="G124" s="423" t="n"/>
      <c r="H124" s="424" t="n"/>
      <c r="I124" s="422" t="n"/>
      <c r="J124" s="421" t="n"/>
      <c r="K124" s="423" t="n"/>
      <c r="L124" s="425" t="n"/>
      <c r="M124" s="426" t="n"/>
      <c r="N124" s="423" t="n"/>
      <c r="O124" s="426" t="n"/>
      <c r="P124" s="422" t="n"/>
      <c r="Q124" s="427" t="n"/>
    </row>
    <row r="125" ht="9.949999999999999" customFormat="1" customHeight="1" s="356">
      <c r="A125" s="419" t="n"/>
      <c r="B125" s="396" t="n"/>
      <c r="C125" s="420" t="n"/>
      <c r="D125" s="421" t="n"/>
      <c r="E125" s="421" t="n"/>
      <c r="F125" s="422" t="n"/>
      <c r="G125" s="423" t="n"/>
      <c r="H125" s="424" t="n"/>
      <c r="I125" s="422" t="n"/>
      <c r="J125" s="421" t="n"/>
      <c r="K125" s="423" t="n"/>
      <c r="L125" s="425" t="n"/>
      <c r="M125" s="426" t="n"/>
      <c r="N125" s="423" t="n"/>
      <c r="O125" s="426" t="n"/>
      <c r="P125" s="422" t="n"/>
      <c r="Q125" s="428" t="n"/>
    </row>
    <row r="126" ht="9.949999999999999" customFormat="1" customHeight="1" s="356">
      <c r="A126" s="419" t="n"/>
      <c r="B126" s="396" t="n"/>
      <c r="C126" s="420" t="n"/>
      <c r="D126" s="421" t="n"/>
      <c r="E126" s="421" t="n"/>
      <c r="F126" s="422" t="n"/>
      <c r="G126" s="423" t="n"/>
      <c r="H126" s="424" t="n"/>
      <c r="I126" s="422" t="n"/>
      <c r="J126" s="421" t="n"/>
      <c r="K126" s="423" t="n"/>
      <c r="L126" s="425" t="n"/>
      <c r="M126" s="426" t="n"/>
      <c r="N126" s="423" t="n"/>
      <c r="O126" s="426" t="n"/>
      <c r="P126" s="422" t="n"/>
      <c r="Q126" s="427" t="n"/>
    </row>
    <row r="127" ht="9.949999999999999" customFormat="1" customHeight="1" s="356">
      <c r="A127" s="419" t="n"/>
      <c r="B127" s="396" t="n"/>
      <c r="C127" s="420" t="n"/>
      <c r="D127" s="421" t="n"/>
      <c r="E127" s="421" t="n"/>
      <c r="F127" s="422" t="n"/>
      <c r="G127" s="423" t="n"/>
      <c r="H127" s="424" t="n"/>
      <c r="I127" s="422" t="n"/>
      <c r="J127" s="421" t="n"/>
      <c r="K127" s="423" t="n"/>
      <c r="L127" s="425" t="n"/>
      <c r="M127" s="426" t="n"/>
      <c r="N127" s="423" t="n"/>
      <c r="O127" s="426" t="n"/>
      <c r="P127" s="422" t="n"/>
      <c r="Q127" s="428" t="n"/>
    </row>
    <row r="128" ht="9.949999999999999" customFormat="1" customHeight="1" s="356">
      <c r="A128" s="429" t="n"/>
      <c r="B128" s="412" t="n"/>
      <c r="C128" s="412" t="n"/>
      <c r="D128" s="430" t="n"/>
      <c r="E128" s="430" t="n"/>
      <c r="F128" s="430" t="n"/>
      <c r="G128" s="431" t="n"/>
      <c r="H128" s="430" t="n"/>
      <c r="I128" s="430" t="n"/>
      <c r="J128" s="430" t="n"/>
      <c r="K128" s="431" t="n"/>
      <c r="L128" s="432" t="n"/>
      <c r="M128" s="433" t="n"/>
      <c r="N128" s="433" t="n"/>
      <c r="O128" s="433" t="n"/>
      <c r="P128" s="434" t="n"/>
      <c r="Q128" s="435" t="n"/>
    </row>
    <row r="129" ht="9.949999999999999" customFormat="1" customHeight="1" s="413">
      <c r="A129" s="436" t="n"/>
      <c r="B129" s="437" t="n"/>
      <c r="C129" s="437" t="n"/>
      <c r="D129" s="438" t="n"/>
      <c r="E129" s="439" t="n"/>
      <c r="F129" s="440" t="n"/>
      <c r="G129" s="441" t="n"/>
      <c r="H129" s="440" t="n"/>
      <c r="I129" s="442" t="n"/>
      <c r="J129" s="443" t="n"/>
      <c r="K129" s="442" t="n"/>
      <c r="L129" s="440" t="n"/>
      <c r="M129" s="441" t="n"/>
      <c r="N129" s="444" t="n"/>
      <c r="O129" s="445" t="n"/>
      <c r="P129" s="441" t="n"/>
      <c r="Q129" s="446" t="n"/>
    </row>
    <row r="130" ht="9.949999999999999" customFormat="1" customHeight="1" s="413">
      <c r="A130" s="447" t="n"/>
      <c r="C130" s="448" t="n"/>
      <c r="D130" s="448" t="n"/>
      <c r="E130" s="449" t="n"/>
      <c r="F130" s="450" t="n"/>
      <c r="G130" s="451" t="n"/>
      <c r="H130" s="452" t="n"/>
      <c r="I130" s="453" t="n"/>
      <c r="J130" s="454" t="n"/>
      <c r="K130" s="455" t="n"/>
      <c r="L130" s="455" t="n"/>
      <c r="M130" s="455" t="n"/>
      <c r="N130" s="455" t="n"/>
      <c r="O130" s="433" t="n"/>
      <c r="P130" s="455" t="n"/>
      <c r="Q130" s="435" t="n"/>
    </row>
    <row r="131" ht="9.949999999999999" customFormat="1" customHeight="1" s="351">
      <c r="A131" s="456" t="n"/>
      <c r="B131" s="413" t="n"/>
      <c r="C131" s="448" t="n"/>
      <c r="D131" s="448" t="n"/>
      <c r="E131" s="430" t="n"/>
      <c r="G131" s="457" t="n"/>
      <c r="H131" s="448" t="n"/>
      <c r="I131" s="448" t="n"/>
      <c r="J131" s="448" t="n"/>
      <c r="K131" s="457" t="n"/>
      <c r="L131" s="458" t="n"/>
      <c r="M131" s="459" t="n"/>
      <c r="N131" s="459" t="n"/>
      <c r="O131" s="460" t="n"/>
      <c r="P131" s="459" t="n"/>
      <c r="Q131" s="461" t="n"/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0">
    <mergeCell ref="M3:P3"/>
    <mergeCell ref="E62:F62"/>
    <mergeCell ref="I46:J46"/>
    <mergeCell ref="E3:H3"/>
    <mergeCell ref="I54:J54"/>
    <mergeCell ref="E28:F28"/>
    <mergeCell ref="I37:J37"/>
    <mergeCell ref="I71:J71"/>
    <mergeCell ref="E77:F77"/>
    <mergeCell ref="E45:F45"/>
    <mergeCell ref="E36:F36"/>
    <mergeCell ref="I8:J8"/>
    <mergeCell ref="E70:F70"/>
    <mergeCell ref="I29:J29"/>
    <mergeCell ref="I3:L3"/>
    <mergeCell ref="A3:D3"/>
    <mergeCell ref="I19:J19"/>
    <mergeCell ref="I63:J63"/>
    <mergeCell ref="E53:F53"/>
    <mergeCell ref="E18:F18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Q200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1. NORMAL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5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9.7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1</t>
        </is>
      </c>
      <c r="G8" s="362" t="inlineStr">
        <is>
          <t>0</t>
        </is>
      </c>
      <c r="H8" s="360" t="inlineStr">
        <is>
          <t>101</t>
        </is>
      </c>
      <c r="I8" s="363" t="inlineStr">
        <is>
          <t>DAİRE 3 SALON</t>
        </is>
      </c>
      <c r="J8" s="364" t="n"/>
      <c r="K8" s="360" t="inlineStr">
        <is>
          <t>22ºC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K</t>
        </is>
      </c>
      <c r="C9" s="368" t="n"/>
      <c r="D9" s="369" t="n">
        <v>4.11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28</v>
      </c>
      <c r="L9" s="373">
        <f>IF(I9=" "," ",I9*J9*K9)</f>
        <v/>
      </c>
      <c r="M9" s="374" t="n">
        <v>7</v>
      </c>
      <c r="N9" s="371" t="n">
        <v>0</v>
      </c>
      <c r="O9" s="374" t="n">
        <v>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K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28</v>
      </c>
      <c r="L10" s="373">
        <f>IF(I10=" "," ",I10*J10*K10)</f>
        <v/>
      </c>
      <c r="M10" s="374" t="n">
        <v>7</v>
      </c>
      <c r="N10" s="371" t="n">
        <v>0</v>
      </c>
      <c r="O10" s="374" t="n">
        <v>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BK</t>
        </is>
      </c>
      <c r="B11" s="367" t="inlineStr">
        <is>
          <t>K</t>
        </is>
      </c>
      <c r="C11" s="368" t="n"/>
      <c r="D11" s="369" t="n">
        <v>2.5</v>
      </c>
      <c r="E11" s="369" t="n">
        <v>2.5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28</v>
      </c>
      <c r="L11" s="373">
        <f>IF(I11=" "," ",I11*J11*K11)</f>
        <v/>
      </c>
      <c r="M11" s="374" t="n">
        <v>7</v>
      </c>
      <c r="N11" s="371" t="n">
        <v>0</v>
      </c>
      <c r="O11" s="374" t="n">
        <v>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DD</t>
        </is>
      </c>
      <c r="B12" s="367" t="inlineStr">
        <is>
          <t>B</t>
        </is>
      </c>
      <c r="C12" s="368" t="n"/>
      <c r="D12" s="369" t="n">
        <v>6</v>
      </c>
      <c r="E12" s="369" t="n">
        <v>2.5</v>
      </c>
      <c r="F12" s="370">
        <f>IF(D12=0," ",D12*E12)</f>
        <v/>
      </c>
      <c r="G12" s="371" t="n">
        <v>1</v>
      </c>
      <c r="H12" s="372">
        <f>F14*G14</f>
        <v/>
      </c>
      <c r="I12" s="370">
        <f>IF(F12=" "," ",F12*G12-H12)</f>
        <v/>
      </c>
      <c r="J12" s="369" t="n">
        <v>0.344</v>
      </c>
      <c r="K12" s="371" t="n">
        <v>28</v>
      </c>
      <c r="L12" s="373">
        <f>IF(I12=" "," ",I12*J12*K12)</f>
        <v/>
      </c>
      <c r="M12" s="374" t="n">
        <v>7</v>
      </c>
      <c r="N12" s="371" t="n">
        <v>0</v>
      </c>
      <c r="O12" s="374" t="n">
        <v>0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DD25</t>
        </is>
      </c>
      <c r="B13" s="367" t="inlineStr">
        <is>
          <t>B</t>
        </is>
      </c>
      <c r="C13" s="368" t="n"/>
      <c r="D13" s="369">
        <f>D12</f>
        <v/>
      </c>
      <c r="E13" s="369" t="n">
        <v>0.5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0.387</v>
      </c>
      <c r="K13" s="371" t="n">
        <v>28</v>
      </c>
      <c r="L13" s="373">
        <f>IF(I13=" "," ",I13*J13*K13)</f>
        <v/>
      </c>
      <c r="M13" s="374" t="n">
        <v>7</v>
      </c>
      <c r="N13" s="371" t="n">
        <v>0</v>
      </c>
      <c r="O13" s="374" t="n">
        <v>0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ÇP</t>
        </is>
      </c>
      <c r="B14" s="367" t="inlineStr">
        <is>
          <t>B</t>
        </is>
      </c>
      <c r="C14" s="368" t="n"/>
      <c r="D14" s="369" t="n">
        <v>2</v>
      </c>
      <c r="E14" s="369" t="n">
        <v>2.2</v>
      </c>
      <c r="F14" s="370">
        <f>IF(D14=0," ",D14*E14)</f>
        <v/>
      </c>
      <c r="G14" s="371" t="n">
        <v>1</v>
      </c>
      <c r="H14" s="372" t="n"/>
      <c r="I14" s="370">
        <f>IF(F14=" "," ",F14*G14-H14)</f>
        <v/>
      </c>
      <c r="J14" s="369" t="n">
        <v>1.8</v>
      </c>
      <c r="K14" s="371" t="n">
        <v>28</v>
      </c>
      <c r="L14" s="373">
        <f>IF(I14=" "," ",I14*J14*K14)</f>
        <v/>
      </c>
      <c r="M14" s="374" t="n">
        <v>7</v>
      </c>
      <c r="N14" s="371" t="n">
        <v>0</v>
      </c>
      <c r="O14" s="374" t="n">
        <v>0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66" t="inlineStr">
        <is>
          <t>Ta</t>
        </is>
      </c>
      <c r="B15" s="367" t="inlineStr"/>
      <c r="C15" s="368" t="n"/>
      <c r="D15" s="369" t="n">
        <v>28.29</v>
      </c>
      <c r="E15" s="369" t="n">
        <v>1</v>
      </c>
      <c r="F15" s="370">
        <f>IF(D15=0," ",D15*E15)</f>
        <v/>
      </c>
      <c r="G15" s="371" t="n">
        <v>1</v>
      </c>
      <c r="H15" s="372" t="n"/>
      <c r="I15" s="370">
        <f>IF(F15=" "," ",F15*G15-H15)</f>
        <v/>
      </c>
      <c r="J15" s="369" t="n">
        <v>0.266</v>
      </c>
      <c r="K15" s="371" t="n">
        <v>22</v>
      </c>
      <c r="L15" s="373">
        <f>IF(I15=" "," ",I15*J15*K15)</f>
        <v/>
      </c>
      <c r="M15" s="374" t="n">
        <v>7</v>
      </c>
      <c r="N15" s="371" t="n">
        <v>0</v>
      </c>
      <c r="O15" s="374" t="n">
        <v>0</v>
      </c>
      <c r="P15" s="370">
        <f>IF(M15=" "," ",(1+(M15+N15+O15)/100))</f>
        <v/>
      </c>
      <c r="Q15" s="375">
        <f>IF(L15=" "," ",L15*P15)</f>
        <v/>
      </c>
    </row>
    <row r="16" ht="9.949999999999999" customFormat="1" customHeight="1" s="356">
      <c r="A16" s="376" t="n"/>
      <c r="B16" s="377" t="n"/>
      <c r="C16" s="377" t="n"/>
      <c r="D16" s="378" t="n"/>
      <c r="E16" s="378" t="n"/>
      <c r="F16" s="378" t="n"/>
      <c r="G16" s="379" t="n"/>
      <c r="H16" s="378" t="n"/>
      <c r="I16" s="378" t="n"/>
      <c r="J16" s="378" t="n"/>
      <c r="K16" s="379" t="n"/>
      <c r="L16" s="380" t="n"/>
      <c r="M16" s="381" t="n"/>
      <c r="N16" s="381" t="n"/>
      <c r="O16" s="381" t="n"/>
      <c r="P16" s="382" t="n"/>
      <c r="Q16" s="383">
        <f>SUM(Q9:Q15)</f>
        <v/>
      </c>
    </row>
    <row r="17" ht="9.949999999999999" customFormat="1" customHeight="1" s="356">
      <c r="A17" s="384" t="n"/>
      <c r="B17" s="385" t="n"/>
      <c r="C17" s="385" t="n"/>
      <c r="D17" s="386" t="n"/>
      <c r="E17" s="387" t="n"/>
      <c r="F17" s="388" t="n"/>
      <c r="G17" s="389" t="n"/>
      <c r="H17" s="388" t="n"/>
      <c r="I17" s="390" t="n"/>
      <c r="J17" s="391" t="inlineStr">
        <is>
          <t>Qs=</t>
        </is>
      </c>
      <c r="K17" s="390" t="inlineStr">
        <is>
          <t>S a</t>
        </is>
      </c>
      <c r="L17" s="388" t="inlineStr">
        <is>
          <t>L</t>
        </is>
      </c>
      <c r="M17" s="389" t="inlineStr">
        <is>
          <t>R</t>
        </is>
      </c>
      <c r="N17" s="392" t="inlineStr">
        <is>
          <t>H</t>
        </is>
      </c>
      <c r="O17" s="393" t="inlineStr">
        <is>
          <t>D  T</t>
        </is>
      </c>
      <c r="P17" s="389" t="inlineStr">
        <is>
          <t>Ze</t>
        </is>
      </c>
      <c r="Q17" s="394" t="n"/>
    </row>
    <row r="18" ht="9.949999999999999" customFormat="1" customHeight="1" s="356">
      <c r="A18" s="395" t="inlineStr">
        <is>
          <t xml:space="preserve"> </t>
        </is>
      </c>
      <c r="B18" s="396" t="n"/>
      <c r="C18" s="397" t="n"/>
      <c r="D18" s="397" t="n"/>
      <c r="E18" s="398" t="n"/>
      <c r="F18" s="399" t="n"/>
      <c r="G18" s="400" t="n"/>
      <c r="H18" s="401" t="n"/>
      <c r="I18" s="402" t="n"/>
      <c r="J18" s="403" t="inlineStr">
        <is>
          <t>Qs  =</t>
        </is>
      </c>
      <c r="K18" s="404" t="n">
        <v>2</v>
      </c>
      <c r="L18" s="404">
        <f>(D11+E11)*2*G11+(D14+E14)*2*G14</f>
        <v/>
      </c>
      <c r="M18" s="404" t="n">
        <v>0.9</v>
      </c>
      <c r="N18" s="404" t="n">
        <v>0.67</v>
      </c>
      <c r="O18" s="381" t="n">
        <v>28</v>
      </c>
      <c r="P18" s="404" t="n">
        <v>1.2</v>
      </c>
      <c r="Q18" s="383">
        <f>K18*L18*M18*N18*O18*P18</f>
        <v/>
      </c>
    </row>
    <row r="19" ht="9.949999999999999" customFormat="1" customHeight="1" s="356">
      <c r="A19" s="405" t="n"/>
      <c r="B19" s="406" t="n"/>
      <c r="C19" s="397" t="n"/>
      <c r="D19" s="397" t="n"/>
      <c r="E19" s="378" t="n"/>
      <c r="F19" s="256" t="n"/>
      <c r="G19" s="407" t="n"/>
      <c r="H19" s="397" t="n"/>
      <c r="I19" s="397" t="n"/>
      <c r="J19" s="397" t="n"/>
      <c r="K19" s="407" t="n"/>
      <c r="L19" s="408" t="n"/>
      <c r="M19" s="409" t="inlineStr">
        <is>
          <t xml:space="preserve">   TOPLAM ISI KAYBI =</t>
        </is>
      </c>
      <c r="N19" s="409" t="n"/>
      <c r="O19" s="410" t="n"/>
      <c r="P19" s="409" t="n"/>
      <c r="Q19" s="411">
        <f>Q16+Q18</f>
        <v/>
      </c>
    </row>
    <row r="20" ht="10.35" customFormat="1" customHeight="1" s="356">
      <c r="A20" s="359" t="n"/>
      <c r="B20" s="360" t="n"/>
      <c r="C20" s="360" t="n"/>
      <c r="D20" s="360" t="n"/>
      <c r="E20" s="360" t="n"/>
      <c r="F20" s="361" t="inlineStr">
        <is>
          <t>1</t>
        </is>
      </c>
      <c r="G20" s="362" t="inlineStr">
        <is>
          <t>0</t>
        </is>
      </c>
      <c r="H20" s="360" t="inlineStr">
        <is>
          <t>102</t>
        </is>
      </c>
      <c r="I20" s="363" t="inlineStr">
        <is>
          <t>DAİRE 3 MUTFAK</t>
        </is>
      </c>
      <c r="J20" s="364" t="n"/>
      <c r="K20" s="360" t="inlineStr">
        <is>
          <t>20ºC</t>
        </is>
      </c>
      <c r="L20" s="360" t="n"/>
      <c r="M20" s="360" t="n"/>
      <c r="N20" s="360" t="n"/>
      <c r="O20" s="360" t="n"/>
      <c r="P20" s="360" t="n"/>
      <c r="Q20" s="365" t="n"/>
    </row>
    <row r="21" ht="9.949999999999999" customFormat="1" customHeight="1" s="356">
      <c r="A21" s="366" t="inlineStr">
        <is>
          <t>DD</t>
        </is>
      </c>
      <c r="B21" s="367" t="inlineStr">
        <is>
          <t>K</t>
        </is>
      </c>
      <c r="C21" s="368" t="n"/>
      <c r="D21" s="369" t="n">
        <v>3.59</v>
      </c>
      <c r="E21" s="369" t="n">
        <v>2.5</v>
      </c>
      <c r="F21" s="370">
        <f>IF(D21=0," ",D21*E21)</f>
        <v/>
      </c>
      <c r="G21" s="371" t="n">
        <v>1</v>
      </c>
      <c r="H21" s="372">
        <f>F23*G23</f>
        <v/>
      </c>
      <c r="I21" s="370">
        <f>IF(F21=" "," ",F21*G21-H21)</f>
        <v/>
      </c>
      <c r="J21" s="369" t="n">
        <v>0.344</v>
      </c>
      <c r="K21" s="371" t="n">
        <v>26</v>
      </c>
      <c r="L21" s="373">
        <f>IF(I21=" "," ",I21*J21*K21)</f>
        <v/>
      </c>
      <c r="M21" s="374" t="n">
        <v>7</v>
      </c>
      <c r="N21" s="371" t="n">
        <v>0</v>
      </c>
      <c r="O21" s="374" t="n">
        <v>5</v>
      </c>
      <c r="P21" s="370">
        <f>IF(M21=" "," ",(1+(M21+N21+O21)/100))</f>
        <v/>
      </c>
      <c r="Q21" s="375">
        <f>IF(L21=" "," ",L21*P21)</f>
        <v/>
      </c>
    </row>
    <row r="22" ht="9.949999999999999" customFormat="1" customHeight="1" s="356">
      <c r="A22" s="366" t="inlineStr">
        <is>
          <t>DD25</t>
        </is>
      </c>
      <c r="B22" s="367" t="inlineStr">
        <is>
          <t>K</t>
        </is>
      </c>
      <c r="C22" s="368" t="n"/>
      <c r="D22" s="369">
        <f>D21</f>
        <v/>
      </c>
      <c r="E22" s="369" t="n">
        <v>0.5</v>
      </c>
      <c r="F22" s="370">
        <f>IF(D22=0," ",D22*E22)</f>
        <v/>
      </c>
      <c r="G22" s="371" t="n">
        <v>1</v>
      </c>
      <c r="H22" s="372" t="n"/>
      <c r="I22" s="370">
        <f>IF(F22=" "," ",F22*G22-H22)</f>
        <v/>
      </c>
      <c r="J22" s="369" t="n">
        <v>0.387</v>
      </c>
      <c r="K22" s="371" t="n">
        <v>26</v>
      </c>
      <c r="L22" s="373">
        <f>IF(I22=" "," ",I22*J22*K22)</f>
        <v/>
      </c>
      <c r="M22" s="374" t="n">
        <v>7</v>
      </c>
      <c r="N22" s="371" t="n">
        <v>0</v>
      </c>
      <c r="O22" s="374" t="n">
        <v>5</v>
      </c>
      <c r="P22" s="370">
        <f>IF(M22=" "," ",(1+(M22+N22+O22)/100))</f>
        <v/>
      </c>
      <c r="Q22" s="375">
        <f>IF(L22=" "," ",L22*P22)</f>
        <v/>
      </c>
    </row>
    <row r="23" ht="9.949999999999999" customFormat="1" customHeight="1" s="356">
      <c r="A23" s="366" t="inlineStr">
        <is>
          <t>BK</t>
        </is>
      </c>
      <c r="B23" s="367" t="inlineStr">
        <is>
          <t>K</t>
        </is>
      </c>
      <c r="C23" s="368" t="n"/>
      <c r="D23" s="369" t="n">
        <v>1.5</v>
      </c>
      <c r="E23" s="369" t="n">
        <v>2.5</v>
      </c>
      <c r="F23" s="370">
        <f>IF(D23=0," ",D23*E23)</f>
        <v/>
      </c>
      <c r="G23" s="371" t="n">
        <v>1</v>
      </c>
      <c r="H23" s="372" t="n"/>
      <c r="I23" s="370">
        <f>IF(F23=" "," ",F23*G23-H23)</f>
        <v/>
      </c>
      <c r="J23" s="369" t="n">
        <v>1.8</v>
      </c>
      <c r="K23" s="371" t="n">
        <v>26</v>
      </c>
      <c r="L23" s="373">
        <f>IF(I23=" "," ",I23*J23*K23)</f>
        <v/>
      </c>
      <c r="M23" s="374" t="n">
        <v>7</v>
      </c>
      <c r="N23" s="371" t="n">
        <v>0</v>
      </c>
      <c r="O23" s="374" t="n">
        <v>5</v>
      </c>
      <c r="P23" s="370">
        <f>IF(M23=" "," ",(1+(M23+N23+O23)/100))</f>
        <v/>
      </c>
      <c r="Q23" s="375">
        <f>IF(L23=" "," ",L23*P23)</f>
        <v/>
      </c>
    </row>
    <row r="24" ht="9.949999999999999" customFormat="1" customHeight="1" s="413">
      <c r="A24" s="366" t="inlineStr">
        <is>
          <t>DD</t>
        </is>
      </c>
      <c r="B24" s="367" t="inlineStr">
        <is>
          <t>D</t>
        </is>
      </c>
      <c r="C24" s="368" t="n"/>
      <c r="D24" s="369" t="n">
        <v>3.74</v>
      </c>
      <c r="E24" s="369" t="n">
        <v>2.5</v>
      </c>
      <c r="F24" s="370">
        <f>IF(D24=0," ",D24*E24)</f>
        <v/>
      </c>
      <c r="G24" s="371" t="n">
        <v>1</v>
      </c>
      <c r="H24" s="372" t="n"/>
      <c r="I24" s="370">
        <f>IF(F24=" "," ",F24*G24-H24)</f>
        <v/>
      </c>
      <c r="J24" s="369" t="n">
        <v>0.344</v>
      </c>
      <c r="K24" s="371" t="n">
        <v>26</v>
      </c>
      <c r="L24" s="373">
        <f>IF(I24=" "," ",I24*J24*K24)</f>
        <v/>
      </c>
      <c r="M24" s="374" t="n">
        <v>7</v>
      </c>
      <c r="N24" s="371" t="n">
        <v>0</v>
      </c>
      <c r="O24" s="374" t="n">
        <v>0</v>
      </c>
      <c r="P24" s="370">
        <f>IF(M24=" "," ",(1+(M24+N24+O24)/100))</f>
        <v/>
      </c>
      <c r="Q24" s="375">
        <f>IF(L24=" "," ",L24*P24)</f>
        <v/>
      </c>
    </row>
    <row r="25" ht="9.949999999999999" customFormat="1" customHeight="1" s="413">
      <c r="A25" s="366" t="inlineStr">
        <is>
          <t>DD25</t>
        </is>
      </c>
      <c r="B25" s="367" t="inlineStr">
        <is>
          <t>D</t>
        </is>
      </c>
      <c r="C25" s="368" t="n"/>
      <c r="D25" s="369">
        <f>D24</f>
        <v/>
      </c>
      <c r="E25" s="369" t="n">
        <v>0.5</v>
      </c>
      <c r="F25" s="370">
        <f>IF(D25=0," ",D25*E25)</f>
        <v/>
      </c>
      <c r="G25" s="371" t="n">
        <v>1</v>
      </c>
      <c r="H25" s="372" t="n"/>
      <c r="I25" s="370">
        <f>IF(F25=" "," ",F25*G25-H25)</f>
        <v/>
      </c>
      <c r="J25" s="369" t="n">
        <v>0.387</v>
      </c>
      <c r="K25" s="371" t="n">
        <v>26</v>
      </c>
      <c r="L25" s="373">
        <f>IF(I25=" "," ",I25*J25*K25)</f>
        <v/>
      </c>
      <c r="M25" s="374" t="n">
        <v>7</v>
      </c>
      <c r="N25" s="371" t="n">
        <v>0</v>
      </c>
      <c r="O25" s="374" t="n">
        <v>0</v>
      </c>
      <c r="P25" s="370">
        <f>IF(M25=" "," ",(1+(M25+N25+O25)/100))</f>
        <v/>
      </c>
      <c r="Q25" s="375">
        <f>IF(L25=" "," ",L25*P25)</f>
        <v/>
      </c>
    </row>
    <row r="26" ht="9.949999999999999" customFormat="1" customHeight="1" s="351">
      <c r="A26" s="366" t="inlineStr">
        <is>
          <t>Ta</t>
        </is>
      </c>
      <c r="B26" s="367" t="inlineStr"/>
      <c r="C26" s="368" t="n"/>
      <c r="D26" s="369" t="n">
        <v>13.87</v>
      </c>
      <c r="E26" s="369" t="n">
        <v>1</v>
      </c>
      <c r="F26" s="370">
        <f>IF(D26=0," ",D26*E26)</f>
        <v/>
      </c>
      <c r="G26" s="371" t="n">
        <v>1</v>
      </c>
      <c r="H26" s="372" t="n"/>
      <c r="I26" s="370">
        <f>IF(F26=" "," ",F26*G26-H26)</f>
        <v/>
      </c>
      <c r="J26" s="369" t="n">
        <v>0.266</v>
      </c>
      <c r="K26" s="371" t="n">
        <v>20</v>
      </c>
      <c r="L26" s="373">
        <f>IF(I26=" "," ",I26*J26*K26)</f>
        <v/>
      </c>
      <c r="M26" s="374" t="n">
        <v>7</v>
      </c>
      <c r="N26" s="371" t="n">
        <v>0</v>
      </c>
      <c r="O26" s="374" t="n">
        <v>0</v>
      </c>
      <c r="P26" s="370">
        <f>IF(M26=" "," ",(1+(M26+N26+O26)/100))</f>
        <v/>
      </c>
      <c r="Q26" s="375">
        <f>IF(L26=" "," ",L26*P26)</f>
        <v/>
      </c>
    </row>
    <row r="27" ht="9.949999999999999" customFormat="1" customHeight="1" s="356">
      <c r="A27" s="376" t="n"/>
      <c r="B27" s="377" t="n"/>
      <c r="C27" s="377" t="n"/>
      <c r="D27" s="378" t="n"/>
      <c r="E27" s="378" t="n"/>
      <c r="F27" s="378" t="n"/>
      <c r="G27" s="379" t="n"/>
      <c r="H27" s="378" t="n"/>
      <c r="I27" s="378" t="n"/>
      <c r="J27" s="378" t="n"/>
      <c r="K27" s="379" t="n"/>
      <c r="L27" s="380" t="n"/>
      <c r="M27" s="381" t="n"/>
      <c r="N27" s="381" t="n"/>
      <c r="O27" s="381" t="n"/>
      <c r="P27" s="382" t="n"/>
      <c r="Q27" s="383">
        <f>SUM(Q21:Q26)</f>
        <v/>
      </c>
    </row>
    <row r="28" ht="9.949999999999999" customFormat="1" customHeight="1" s="356">
      <c r="A28" s="384" t="n"/>
      <c r="B28" s="385" t="n"/>
      <c r="C28" s="385" t="n"/>
      <c r="D28" s="386" t="n"/>
      <c r="E28" s="387" t="n"/>
      <c r="F28" s="388" t="n"/>
      <c r="G28" s="389" t="n"/>
      <c r="H28" s="388" t="n"/>
      <c r="I28" s="390" t="n"/>
      <c r="J28" s="391" t="inlineStr">
        <is>
          <t>Qs=</t>
        </is>
      </c>
      <c r="K28" s="390" t="inlineStr">
        <is>
          <t>S a</t>
        </is>
      </c>
      <c r="L28" s="388" t="inlineStr">
        <is>
          <t>L</t>
        </is>
      </c>
      <c r="M28" s="389" t="inlineStr">
        <is>
          <t>R</t>
        </is>
      </c>
      <c r="N28" s="392" t="inlineStr">
        <is>
          <t>H</t>
        </is>
      </c>
      <c r="O28" s="393" t="inlineStr">
        <is>
          <t>D  T</t>
        </is>
      </c>
      <c r="P28" s="389" t="inlineStr">
        <is>
          <t>Ze</t>
        </is>
      </c>
      <c r="Q28" s="394" t="n"/>
    </row>
    <row r="29" ht="9.949999999999999" customFormat="1" customHeight="1" s="356">
      <c r="A29" s="395" t="inlineStr">
        <is>
          <t xml:space="preserve"> </t>
        </is>
      </c>
      <c r="B29" s="396" t="n"/>
      <c r="C29" s="397" t="n"/>
      <c r="D29" s="397" t="n"/>
      <c r="E29" s="398" t="n"/>
      <c r="F29" s="399" t="n"/>
      <c r="G29" s="400" t="n"/>
      <c r="H29" s="401" t="n"/>
      <c r="I29" s="402" t="n"/>
      <c r="J29" s="403" t="inlineStr">
        <is>
          <t>Qs  =</t>
        </is>
      </c>
      <c r="K29" s="404" t="n">
        <v>2</v>
      </c>
      <c r="L29" s="404">
        <f>(D23+E23)*2*G23</f>
        <v/>
      </c>
      <c r="M29" s="404" t="n">
        <v>0.9</v>
      </c>
      <c r="N29" s="404" t="n">
        <v>0.67</v>
      </c>
      <c r="O29" s="381" t="n">
        <v>26</v>
      </c>
      <c r="P29" s="404" t="n">
        <v>1</v>
      </c>
      <c r="Q29" s="383">
        <f>K29*L29*M29*N29*O29*P29</f>
        <v/>
      </c>
    </row>
    <row r="30" ht="9.949999999999999" customFormat="1" customHeight="1" s="356">
      <c r="A30" s="405" t="n"/>
      <c r="B30" s="406" t="n"/>
      <c r="C30" s="397" t="n"/>
      <c r="D30" s="397" t="n"/>
      <c r="E30" s="378" t="n"/>
      <c r="F30" s="256" t="n"/>
      <c r="G30" s="407" t="n"/>
      <c r="H30" s="397" t="n"/>
      <c r="I30" s="397" t="n"/>
      <c r="J30" s="397" t="n"/>
      <c r="K30" s="407" t="n"/>
      <c r="L30" s="408" t="n"/>
      <c r="M30" s="409" t="inlineStr">
        <is>
          <t xml:space="preserve">   TOPLAM ISI KAYBI =</t>
        </is>
      </c>
      <c r="N30" s="409" t="n"/>
      <c r="O30" s="410" t="n"/>
      <c r="P30" s="409" t="n"/>
      <c r="Q30" s="411">
        <f>Q27+Q29</f>
        <v/>
      </c>
    </row>
    <row r="31" ht="10.35" customFormat="1" customHeight="1" s="356">
      <c r="A31" s="359" t="n"/>
      <c r="B31" s="360" t="n"/>
      <c r="C31" s="360" t="n"/>
      <c r="D31" s="360" t="n"/>
      <c r="E31" s="360" t="n"/>
      <c r="F31" s="361" t="inlineStr">
        <is>
          <t>1</t>
        </is>
      </c>
      <c r="G31" s="362" t="inlineStr">
        <is>
          <t>0</t>
        </is>
      </c>
      <c r="H31" s="360" t="inlineStr">
        <is>
          <t>103</t>
        </is>
      </c>
      <c r="I31" s="363" t="inlineStr">
        <is>
          <t>DAİRE 3 ODA</t>
        </is>
      </c>
      <c r="J31" s="364" t="n"/>
      <c r="K31" s="360" t="inlineStr">
        <is>
          <t>20ºC</t>
        </is>
      </c>
      <c r="L31" s="360" t="n"/>
      <c r="M31" s="360" t="n"/>
      <c r="N31" s="360" t="n"/>
      <c r="O31" s="360" t="n"/>
      <c r="P31" s="360" t="n"/>
      <c r="Q31" s="365" t="n"/>
    </row>
    <row r="32" ht="9.949999999999999" customFormat="1" customHeight="1" s="356">
      <c r="A32" s="366" t="inlineStr">
        <is>
          <t>DD</t>
        </is>
      </c>
      <c r="B32" s="367" t="inlineStr">
        <is>
          <t>B</t>
        </is>
      </c>
      <c r="C32" s="368" t="n"/>
      <c r="D32" s="369" t="n">
        <v>3</v>
      </c>
      <c r="E32" s="369" t="n">
        <v>2.5</v>
      </c>
      <c r="F32" s="370">
        <f>IF(D32=0," ",D32*E32)</f>
        <v/>
      </c>
      <c r="G32" s="371" t="n">
        <v>1</v>
      </c>
      <c r="H32" s="372">
        <f>F34*G34</f>
        <v/>
      </c>
      <c r="I32" s="370">
        <f>IF(F32=" "," ",F32*G32-H32)</f>
        <v/>
      </c>
      <c r="J32" s="369" t="n">
        <v>0.344</v>
      </c>
      <c r="K32" s="371" t="n">
        <v>26</v>
      </c>
      <c r="L32" s="373">
        <f>IF(I32=" "," ",I32*J32*K32)</f>
        <v/>
      </c>
      <c r="M32" s="374" t="n">
        <v>7</v>
      </c>
      <c r="N32" s="371" t="n">
        <v>0</v>
      </c>
      <c r="O32" s="374" t="n">
        <v>0</v>
      </c>
      <c r="P32" s="370">
        <f>IF(M32=" "," ",(1+(M32+N32+O32)/100))</f>
        <v/>
      </c>
      <c r="Q32" s="375">
        <f>IF(L32=" "," ",L32*P32)</f>
        <v/>
      </c>
    </row>
    <row r="33" ht="9.949999999999999" customFormat="1" customHeight="1" s="356">
      <c r="A33" s="366" t="inlineStr">
        <is>
          <t>DD25</t>
        </is>
      </c>
      <c r="B33" s="367" t="inlineStr">
        <is>
          <t>B</t>
        </is>
      </c>
      <c r="C33" s="368" t="n"/>
      <c r="D33" s="369">
        <f>D32</f>
        <v/>
      </c>
      <c r="E33" s="369" t="n">
        <v>0.5</v>
      </c>
      <c r="F33" s="370">
        <f>IF(D33=0," ",D33*E33)</f>
        <v/>
      </c>
      <c r="G33" s="371" t="n">
        <v>1</v>
      </c>
      <c r="H33" s="372" t="n"/>
      <c r="I33" s="370">
        <f>IF(F33=" "," ",F33*G33-H33)</f>
        <v/>
      </c>
      <c r="J33" s="369" t="n">
        <v>0.387</v>
      </c>
      <c r="K33" s="371" t="n">
        <v>26</v>
      </c>
      <c r="L33" s="373">
        <f>IF(I33=" "," ",I33*J33*K33)</f>
        <v/>
      </c>
      <c r="M33" s="374" t="n">
        <v>7</v>
      </c>
      <c r="N33" s="371" t="n">
        <v>0</v>
      </c>
      <c r="O33" s="374" t="n">
        <v>0</v>
      </c>
      <c r="P33" s="370">
        <f>IF(M33=" "," ",(1+(M33+N33+O33)/100))</f>
        <v/>
      </c>
      <c r="Q33" s="375">
        <f>IF(L33=" "," ",L33*P33)</f>
        <v/>
      </c>
    </row>
    <row r="34" ht="9.949999999999999" customFormat="1" customHeight="1" s="356">
      <c r="A34" s="366" t="inlineStr">
        <is>
          <t>ÇP</t>
        </is>
      </c>
      <c r="B34" s="367" t="inlineStr">
        <is>
          <t>B</t>
        </is>
      </c>
      <c r="C34" s="368" t="n"/>
      <c r="D34" s="369" t="n">
        <v>1.5</v>
      </c>
      <c r="E34" s="369" t="n">
        <v>1.6</v>
      </c>
      <c r="F34" s="370">
        <f>IF(D34=0," ",D34*E34)</f>
        <v/>
      </c>
      <c r="G34" s="371" t="n">
        <v>1</v>
      </c>
      <c r="H34" s="372" t="n"/>
      <c r="I34" s="370">
        <f>IF(F34=" "," ",F34*G34-H34)</f>
        <v/>
      </c>
      <c r="J34" s="369" t="n">
        <v>1.8</v>
      </c>
      <c r="K34" s="371" t="n">
        <v>26</v>
      </c>
      <c r="L34" s="373">
        <f>IF(I34=" "," ",I34*J34*K34)</f>
        <v/>
      </c>
      <c r="M34" s="374" t="n">
        <v>7</v>
      </c>
      <c r="N34" s="371" t="n">
        <v>0</v>
      </c>
      <c r="O34" s="374" t="n">
        <v>0</v>
      </c>
      <c r="P34" s="370">
        <f>IF(M34=" "," ",(1+(M34+N34+O34)/100))</f>
        <v/>
      </c>
      <c r="Q34" s="375">
        <f>IF(L34=" "," ",L34*P34)</f>
        <v/>
      </c>
    </row>
    <row r="35" ht="9.949999999999999" customFormat="1" customHeight="1" s="356">
      <c r="A35" s="366" t="inlineStr">
        <is>
          <t>Ta</t>
        </is>
      </c>
      <c r="B35" s="367" t="inlineStr"/>
      <c r="C35" s="368" t="n"/>
      <c r="D35" s="369" t="n">
        <v>10.44</v>
      </c>
      <c r="E35" s="369" t="n">
        <v>1</v>
      </c>
      <c r="F35" s="370">
        <f>IF(D35=0," ",D35*E35)</f>
        <v/>
      </c>
      <c r="G35" s="371" t="n">
        <v>1</v>
      </c>
      <c r="H35" s="372" t="n"/>
      <c r="I35" s="370">
        <f>IF(F35=" "," ",F35*G35-H35)</f>
        <v/>
      </c>
      <c r="J35" s="369" t="n">
        <v>0.266</v>
      </c>
      <c r="K35" s="371" t="n">
        <v>20</v>
      </c>
      <c r="L35" s="373">
        <f>IF(I35=" "," ",I35*J35*K35)</f>
        <v/>
      </c>
      <c r="M35" s="374" t="n">
        <v>7</v>
      </c>
      <c r="N35" s="371" t="n">
        <v>0</v>
      </c>
      <c r="O35" s="374" t="n">
        <v>0</v>
      </c>
      <c r="P35" s="370">
        <f>IF(M35=" "," ",(1+(M35+N35+O35)/100))</f>
        <v/>
      </c>
      <c r="Q35" s="375">
        <f>IF(L35=" "," ",L35*P35)</f>
        <v/>
      </c>
    </row>
    <row r="36" ht="9.949999999999999" customFormat="1" customHeight="1" s="413">
      <c r="A36" s="376" t="n"/>
      <c r="B36" s="377" t="n"/>
      <c r="C36" s="377" t="n"/>
      <c r="D36" s="378" t="n"/>
      <c r="E36" s="378" t="n"/>
      <c r="F36" s="378" t="n"/>
      <c r="G36" s="379" t="n"/>
      <c r="H36" s="378" t="n"/>
      <c r="I36" s="378" t="n"/>
      <c r="J36" s="378" t="n"/>
      <c r="K36" s="379" t="n"/>
      <c r="L36" s="380" t="n"/>
      <c r="M36" s="381" t="n"/>
      <c r="N36" s="381" t="n"/>
      <c r="O36" s="381" t="n"/>
      <c r="P36" s="382" t="n"/>
      <c r="Q36" s="383">
        <f>SUM(Q32:Q35)</f>
        <v/>
      </c>
    </row>
    <row r="37" ht="9.949999999999999" customFormat="1" customHeight="1" s="413">
      <c r="A37" s="384" t="n"/>
      <c r="B37" s="385" t="n"/>
      <c r="C37" s="385" t="n"/>
      <c r="D37" s="386" t="n"/>
      <c r="E37" s="387" t="n"/>
      <c r="F37" s="388" t="n"/>
      <c r="G37" s="389" t="n"/>
      <c r="H37" s="388" t="n"/>
      <c r="I37" s="390" t="n"/>
      <c r="J37" s="391" t="inlineStr">
        <is>
          <t>Qs=</t>
        </is>
      </c>
      <c r="K37" s="390" t="inlineStr">
        <is>
          <t>S a</t>
        </is>
      </c>
      <c r="L37" s="388" t="inlineStr">
        <is>
          <t>L</t>
        </is>
      </c>
      <c r="M37" s="389" t="inlineStr">
        <is>
          <t>R</t>
        </is>
      </c>
      <c r="N37" s="392" t="inlineStr">
        <is>
          <t>H</t>
        </is>
      </c>
      <c r="O37" s="393" t="inlineStr">
        <is>
          <t>D  T</t>
        </is>
      </c>
      <c r="P37" s="389" t="inlineStr">
        <is>
          <t>Ze</t>
        </is>
      </c>
      <c r="Q37" s="394" t="n"/>
    </row>
    <row r="38" ht="9.949999999999999" customFormat="1" customHeight="1" s="351">
      <c r="A38" s="395" t="inlineStr">
        <is>
          <t xml:space="preserve"> </t>
        </is>
      </c>
      <c r="B38" s="413" t="n"/>
      <c r="C38" s="397" t="n"/>
      <c r="D38" s="397" t="n"/>
      <c r="E38" s="398" t="n"/>
      <c r="F38" s="399" t="n"/>
      <c r="G38" s="400" t="n"/>
      <c r="H38" s="401" t="n"/>
      <c r="I38" s="402" t="n"/>
      <c r="J38" s="403" t="inlineStr">
        <is>
          <t>Qs  =</t>
        </is>
      </c>
      <c r="K38" s="404" t="n">
        <v>2</v>
      </c>
      <c r="L38" s="404">
        <f>(D34+E34)*2*G34</f>
        <v/>
      </c>
      <c r="M38" s="404" t="n">
        <v>0.9</v>
      </c>
      <c r="N38" s="404" t="n">
        <v>0.67</v>
      </c>
      <c r="O38" s="381" t="n">
        <v>26</v>
      </c>
      <c r="P38" s="404" t="n">
        <v>1</v>
      </c>
      <c r="Q38" s="383">
        <f>K38*L38*M38*N38*O38*P38</f>
        <v/>
      </c>
    </row>
    <row r="39" ht="9.949999999999999" customFormat="1" customHeight="1" s="356">
      <c r="A39" s="405" t="n"/>
      <c r="B39" s="406" t="n"/>
      <c r="C39" s="397" t="n"/>
      <c r="D39" s="397" t="n"/>
      <c r="E39" s="378" t="n"/>
      <c r="F39" s="256" t="n"/>
      <c r="G39" s="407" t="n"/>
      <c r="H39" s="397" t="n"/>
      <c r="I39" s="397" t="n"/>
      <c r="J39" s="397" t="n"/>
      <c r="K39" s="407" t="n"/>
      <c r="L39" s="408" t="n"/>
      <c r="M39" s="409" t="inlineStr">
        <is>
          <t xml:space="preserve">   TOPLAM ISI KAYBI =</t>
        </is>
      </c>
      <c r="N39" s="409" t="n"/>
      <c r="O39" s="410" t="n"/>
      <c r="P39" s="409" t="n"/>
      <c r="Q39" s="411">
        <f>Q36+Q38</f>
        <v/>
      </c>
    </row>
    <row r="40" ht="10.35" customFormat="1" customHeight="1" s="356">
      <c r="A40" s="359" t="n"/>
      <c r="B40" s="360" t="n"/>
      <c r="C40" s="360" t="n"/>
      <c r="D40" s="360" t="n"/>
      <c r="E40" s="360" t="n"/>
      <c r="F40" s="361" t="inlineStr">
        <is>
          <t>1</t>
        </is>
      </c>
      <c r="G40" s="362" t="inlineStr">
        <is>
          <t>0</t>
        </is>
      </c>
      <c r="H40" s="360" t="inlineStr">
        <is>
          <t>104</t>
        </is>
      </c>
      <c r="I40" s="363" t="inlineStr">
        <is>
          <t>DAİRE 3 YATAK ODASI 1</t>
        </is>
      </c>
      <c r="J40" s="364" t="n"/>
      <c r="K40" s="360" t="inlineStr">
        <is>
          <t>20ºC</t>
        </is>
      </c>
      <c r="L40" s="360" t="n"/>
      <c r="M40" s="360" t="n"/>
      <c r="N40" s="360" t="n"/>
      <c r="O40" s="360" t="n"/>
      <c r="P40" s="360" t="n"/>
      <c r="Q40" s="365" t="n"/>
    </row>
    <row r="41" ht="9.949999999999999" customFormat="1" customHeight="1" s="356">
      <c r="A41" s="366" t="inlineStr">
        <is>
          <t>DD</t>
        </is>
      </c>
      <c r="B41" s="367" t="inlineStr">
        <is>
          <t>B</t>
        </is>
      </c>
      <c r="C41" s="368" t="n"/>
      <c r="D41" s="369" t="n">
        <v>2.94</v>
      </c>
      <c r="E41" s="369" t="n">
        <v>2.5</v>
      </c>
      <c r="F41" s="370">
        <f>IF(D41=0," ",D41*E41)</f>
        <v/>
      </c>
      <c r="G41" s="371" t="n">
        <v>1</v>
      </c>
      <c r="H41" s="372">
        <f>F43*G43</f>
        <v/>
      </c>
      <c r="I41" s="370">
        <f>IF(F41=" "," ",F41*G41-H41)</f>
        <v/>
      </c>
      <c r="J41" s="369" t="n">
        <v>0.344</v>
      </c>
      <c r="K41" s="371" t="n">
        <v>26</v>
      </c>
      <c r="L41" s="373">
        <f>IF(I41=" "," ",I41*J41*K41)</f>
        <v/>
      </c>
      <c r="M41" s="374" t="n">
        <v>7</v>
      </c>
      <c r="N41" s="371" t="n">
        <v>0</v>
      </c>
      <c r="O41" s="374" t="n">
        <v>0</v>
      </c>
      <c r="P41" s="370">
        <f>IF(M41=" "," ",(1+(M41+N41+O41)/100))</f>
        <v/>
      </c>
      <c r="Q41" s="375">
        <f>IF(L41=" "," ",L41*P41)</f>
        <v/>
      </c>
    </row>
    <row r="42" ht="9.949999999999999" customFormat="1" customHeight="1" s="356">
      <c r="A42" s="366" t="inlineStr">
        <is>
          <t>DD25</t>
        </is>
      </c>
      <c r="B42" s="367" t="inlineStr">
        <is>
          <t>B</t>
        </is>
      </c>
      <c r="C42" s="368" t="n"/>
      <c r="D42" s="369">
        <f>D41</f>
        <v/>
      </c>
      <c r="E42" s="369" t="n">
        <v>0.5</v>
      </c>
      <c r="F42" s="370">
        <f>IF(D42=0," ",D42*E42)</f>
        <v/>
      </c>
      <c r="G42" s="371" t="n">
        <v>1</v>
      </c>
      <c r="H42" s="372" t="n"/>
      <c r="I42" s="370">
        <f>IF(F42=" "," ",F42*G42-H42)</f>
        <v/>
      </c>
      <c r="J42" s="369" t="n">
        <v>0.387</v>
      </c>
      <c r="K42" s="371" t="n">
        <v>26</v>
      </c>
      <c r="L42" s="373">
        <f>IF(I42=" "," ",I42*J42*K42)</f>
        <v/>
      </c>
      <c r="M42" s="374" t="n">
        <v>7</v>
      </c>
      <c r="N42" s="371" t="n">
        <v>0</v>
      </c>
      <c r="O42" s="374" t="n">
        <v>0</v>
      </c>
      <c r="P42" s="370">
        <f>IF(M42=" "," ",(1+(M42+N42+O42)/100))</f>
        <v/>
      </c>
      <c r="Q42" s="375">
        <f>IF(L42=" "," ",L42*P42)</f>
        <v/>
      </c>
    </row>
    <row r="43" ht="9.949999999999999" customFormat="1" customHeight="1" s="356">
      <c r="A43" s="366" t="inlineStr">
        <is>
          <t>ÇP</t>
        </is>
      </c>
      <c r="B43" s="367" t="inlineStr">
        <is>
          <t>B</t>
        </is>
      </c>
      <c r="C43" s="368" t="n"/>
      <c r="D43" s="369" t="n">
        <v>1.5</v>
      </c>
      <c r="E43" s="369" t="n">
        <v>1.6</v>
      </c>
      <c r="F43" s="370">
        <f>IF(D43=0," ",D43*E43)</f>
        <v/>
      </c>
      <c r="G43" s="371" t="n">
        <v>1</v>
      </c>
      <c r="H43" s="372" t="n"/>
      <c r="I43" s="370">
        <f>IF(F43=" "," ",F43*G43-H43)</f>
        <v/>
      </c>
      <c r="J43" s="369" t="n">
        <v>1.8</v>
      </c>
      <c r="K43" s="371" t="n">
        <v>26</v>
      </c>
      <c r="L43" s="373">
        <f>IF(I43=" "," ",I43*J43*K43)</f>
        <v/>
      </c>
      <c r="M43" s="374" t="n">
        <v>7</v>
      </c>
      <c r="N43" s="371" t="n">
        <v>0</v>
      </c>
      <c r="O43" s="374" t="n">
        <v>0</v>
      </c>
      <c r="P43" s="370">
        <f>IF(M43=" "," ",(1+(M43+N43+O43)/100))</f>
        <v/>
      </c>
      <c r="Q43" s="375">
        <f>IF(L43=" "," ",L43*P43)</f>
        <v/>
      </c>
    </row>
    <row r="44" ht="9.949999999999999" customFormat="1" customHeight="1" s="356">
      <c r="A44" s="366" t="inlineStr">
        <is>
          <t>İDA</t>
        </is>
      </c>
      <c r="B44" s="367" t="inlineStr"/>
      <c r="C44" s="368" t="n"/>
      <c r="D44" s="369" t="n">
        <v>3.44</v>
      </c>
      <c r="E44" s="369" t="n">
        <v>3</v>
      </c>
      <c r="F44" s="370">
        <f>IF(D44=0," ",D44*E44)</f>
        <v/>
      </c>
      <c r="G44" s="371" t="n">
        <v>1</v>
      </c>
      <c r="H44" s="372" t="n"/>
      <c r="I44" s="370">
        <f>IF(F44=" "," ",F44*G44-H44)</f>
        <v/>
      </c>
      <c r="J44" s="369" t="n">
        <v>0.375</v>
      </c>
      <c r="K44" s="371" t="n">
        <v>15</v>
      </c>
      <c r="L44" s="373">
        <f>IF(I44=" "," ",I44*J44*K44)</f>
        <v/>
      </c>
      <c r="M44" s="374" t="n">
        <v>7</v>
      </c>
      <c r="N44" s="371" t="n">
        <v>0</v>
      </c>
      <c r="O44" s="374" t="n">
        <v>0</v>
      </c>
      <c r="P44" s="370">
        <f>IF(M44=" "," ",(1+(M44+N44+O44)/100))</f>
        <v/>
      </c>
      <c r="Q44" s="375">
        <f>IF(L44=" "," ",L44*P44)</f>
        <v/>
      </c>
    </row>
    <row r="45" ht="9.949999999999999" customFormat="1" customHeight="1" s="356">
      <c r="A45" s="366" t="inlineStr">
        <is>
          <t>Ta</t>
        </is>
      </c>
      <c r="B45" s="367" t="inlineStr"/>
      <c r="C45" s="368" t="n"/>
      <c r="D45" s="369" t="n">
        <v>10.22</v>
      </c>
      <c r="E45" s="369" t="n">
        <v>1</v>
      </c>
      <c r="F45" s="370">
        <f>IF(D45=0," ",D45*E45)</f>
        <v/>
      </c>
      <c r="G45" s="371" t="n">
        <v>1</v>
      </c>
      <c r="H45" s="372" t="n"/>
      <c r="I45" s="370">
        <f>IF(F45=" "," ",F45*G45-H45)</f>
        <v/>
      </c>
      <c r="J45" s="369" t="n">
        <v>0.266</v>
      </c>
      <c r="K45" s="371" t="n">
        <v>20</v>
      </c>
      <c r="L45" s="373">
        <f>IF(I45=" "," ",I45*J45*K45)</f>
        <v/>
      </c>
      <c r="M45" s="374" t="n">
        <v>7</v>
      </c>
      <c r="N45" s="371" t="n">
        <v>0</v>
      </c>
      <c r="O45" s="374" t="n">
        <v>0</v>
      </c>
      <c r="P45" s="370">
        <f>IF(M45=" "," ",(1+(M45+N45+O45)/100))</f>
        <v/>
      </c>
      <c r="Q45" s="375">
        <f>IF(L45=" "," ",L45*P45)</f>
        <v/>
      </c>
    </row>
    <row r="46" ht="9.949999999999999" customFormat="1" customHeight="1" s="356">
      <c r="A46" s="376" t="n"/>
      <c r="B46" s="377" t="n"/>
      <c r="C46" s="377" t="n"/>
      <c r="D46" s="378" t="n"/>
      <c r="E46" s="378" t="n"/>
      <c r="F46" s="378" t="n"/>
      <c r="G46" s="379" t="n"/>
      <c r="H46" s="378" t="n"/>
      <c r="I46" s="378" t="n"/>
      <c r="J46" s="378" t="n"/>
      <c r="K46" s="379" t="n"/>
      <c r="L46" s="380" t="n"/>
      <c r="M46" s="381" t="n"/>
      <c r="N46" s="381" t="n"/>
      <c r="O46" s="381" t="n"/>
      <c r="P46" s="382" t="n"/>
      <c r="Q46" s="383">
        <f>SUM(Q41:Q45)</f>
        <v/>
      </c>
    </row>
    <row r="47" ht="9.949999999999999" customFormat="1" customHeight="1" s="356">
      <c r="A47" s="384" t="n"/>
      <c r="B47" s="385" t="n"/>
      <c r="C47" s="385" t="n"/>
      <c r="D47" s="386" t="n"/>
      <c r="E47" s="387" t="n"/>
      <c r="F47" s="388" t="n"/>
      <c r="G47" s="389" t="n"/>
      <c r="H47" s="388" t="n"/>
      <c r="I47" s="390" t="n"/>
      <c r="J47" s="391" t="inlineStr">
        <is>
          <t>Qs=</t>
        </is>
      </c>
      <c r="K47" s="390" t="inlineStr">
        <is>
          <t>S a</t>
        </is>
      </c>
      <c r="L47" s="388" t="inlineStr">
        <is>
          <t>L</t>
        </is>
      </c>
      <c r="M47" s="389" t="inlineStr">
        <is>
          <t>R</t>
        </is>
      </c>
      <c r="N47" s="392" t="inlineStr">
        <is>
          <t>H</t>
        </is>
      </c>
      <c r="O47" s="393" t="inlineStr">
        <is>
          <t>D  T</t>
        </is>
      </c>
      <c r="P47" s="389" t="inlineStr">
        <is>
          <t>Ze</t>
        </is>
      </c>
      <c r="Q47" s="394" t="n"/>
    </row>
    <row r="48" ht="9.949999999999999" customFormat="1" customHeight="1" s="413">
      <c r="A48" s="395" t="inlineStr">
        <is>
          <t xml:space="preserve"> </t>
        </is>
      </c>
      <c r="B48" s="437" t="n"/>
      <c r="C48" s="397" t="n"/>
      <c r="D48" s="397" t="n"/>
      <c r="E48" s="398" t="n"/>
      <c r="F48" s="399" t="n"/>
      <c r="G48" s="400" t="n"/>
      <c r="H48" s="401" t="n"/>
      <c r="I48" s="402" t="n"/>
      <c r="J48" s="403" t="inlineStr">
        <is>
          <t>Qs  =</t>
        </is>
      </c>
      <c r="K48" s="404" t="n">
        <v>2</v>
      </c>
      <c r="L48" s="404">
        <f>(D43+E43)*2*G43</f>
        <v/>
      </c>
      <c r="M48" s="404" t="n">
        <v>0.9</v>
      </c>
      <c r="N48" s="404" t="n">
        <v>0.67</v>
      </c>
      <c r="O48" s="381" t="n">
        <v>26</v>
      </c>
      <c r="P48" s="404" t="n">
        <v>1</v>
      </c>
      <c r="Q48" s="383">
        <f>K48*L48*M48*N48*O48*P48</f>
        <v/>
      </c>
    </row>
    <row r="49" ht="9.949999999999999" customFormat="1" customHeight="1" s="413">
      <c r="A49" s="405" t="n"/>
      <c r="B49" s="406" t="n"/>
      <c r="C49" s="397" t="n"/>
      <c r="D49" s="397" t="n"/>
      <c r="E49" s="378" t="n"/>
      <c r="F49" s="256" t="n"/>
      <c r="G49" s="407" t="n"/>
      <c r="H49" s="397" t="n"/>
      <c r="I49" s="397" t="n"/>
      <c r="J49" s="397" t="n"/>
      <c r="K49" s="407" t="n"/>
      <c r="L49" s="408" t="n"/>
      <c r="M49" s="409" t="inlineStr">
        <is>
          <t xml:space="preserve">   TOPLAM ISI KAYBI =</t>
        </is>
      </c>
      <c r="N49" s="409" t="n"/>
      <c r="O49" s="410" t="n"/>
      <c r="P49" s="409" t="n"/>
      <c r="Q49" s="411">
        <f>Q46+Q48</f>
        <v/>
      </c>
    </row>
    <row r="50" ht="10.35" customFormat="1" customHeight="1" s="351">
      <c r="A50" s="359" t="n"/>
      <c r="B50" s="360" t="n"/>
      <c r="C50" s="360" t="n"/>
      <c r="D50" s="360" t="n"/>
      <c r="E50" s="360" t="n"/>
      <c r="F50" s="361" t="inlineStr">
        <is>
          <t>1</t>
        </is>
      </c>
      <c r="G50" s="362" t="inlineStr">
        <is>
          <t>0</t>
        </is>
      </c>
      <c r="H50" s="360" t="inlineStr">
        <is>
          <t>105</t>
        </is>
      </c>
      <c r="I50" s="363" t="inlineStr">
        <is>
          <t>DAİRE 3 YATAK ODASI 2</t>
        </is>
      </c>
      <c r="J50" s="364" t="n"/>
      <c r="K50" s="360" t="inlineStr">
        <is>
          <t>20ºC</t>
        </is>
      </c>
      <c r="L50" s="360" t="n"/>
      <c r="M50" s="360" t="n"/>
      <c r="N50" s="360" t="n"/>
      <c r="O50" s="360" t="n"/>
      <c r="P50" s="360" t="n"/>
      <c r="Q50" s="365" t="n"/>
    </row>
    <row r="51" ht="9.949999999999999" customFormat="1" customHeight="1" s="356">
      <c r="A51" s="366" t="inlineStr">
        <is>
          <t>DD</t>
        </is>
      </c>
      <c r="B51" s="367" t="inlineStr">
        <is>
          <t>D</t>
        </is>
      </c>
      <c r="C51" s="368" t="n"/>
      <c r="D51" s="369" t="n">
        <v>3.94</v>
      </c>
      <c r="E51" s="369" t="n">
        <v>2.5</v>
      </c>
      <c r="F51" s="370">
        <f>IF(D51=0," ",D51*E51)</f>
        <v/>
      </c>
      <c r="G51" s="371" t="n">
        <v>1</v>
      </c>
      <c r="H51" s="372">
        <f>F53*G53</f>
        <v/>
      </c>
      <c r="I51" s="370">
        <f>IF(F51=" "," ",F51*G51-H51)</f>
        <v/>
      </c>
      <c r="J51" s="369" t="n">
        <v>0.344</v>
      </c>
      <c r="K51" s="371" t="n">
        <v>26</v>
      </c>
      <c r="L51" s="373">
        <f>IF(I51=" "," ",I51*J51*K51)</f>
        <v/>
      </c>
      <c r="M51" s="374" t="n">
        <v>7</v>
      </c>
      <c r="N51" s="371" t="n">
        <v>0</v>
      </c>
      <c r="O51" s="374" t="n">
        <v>0</v>
      </c>
      <c r="P51" s="370">
        <f>IF(M51=" "," ",(1+(M51+N51+O51)/100))</f>
        <v/>
      </c>
      <c r="Q51" s="375">
        <f>IF(L51=" "," ",L51*P51)</f>
        <v/>
      </c>
    </row>
    <row r="52" ht="9.949999999999999" customFormat="1" customHeight="1" s="356">
      <c r="A52" s="366" t="inlineStr">
        <is>
          <t>DD25</t>
        </is>
      </c>
      <c r="B52" s="367" t="inlineStr">
        <is>
          <t>D</t>
        </is>
      </c>
      <c r="C52" s="368" t="n"/>
      <c r="D52" s="369">
        <f>D51</f>
        <v/>
      </c>
      <c r="E52" s="369" t="n">
        <v>0.5</v>
      </c>
      <c r="F52" s="370">
        <f>IF(D52=0," ",D52*E52)</f>
        <v/>
      </c>
      <c r="G52" s="371" t="n">
        <v>1</v>
      </c>
      <c r="H52" s="372" t="n"/>
      <c r="I52" s="370">
        <f>IF(F52=" "," ",F52*G52-H52)</f>
        <v/>
      </c>
      <c r="J52" s="369" t="n">
        <v>0.387</v>
      </c>
      <c r="K52" s="371" t="n">
        <v>26</v>
      </c>
      <c r="L52" s="373">
        <f>IF(I52=" "," ",I52*J52*K52)</f>
        <v/>
      </c>
      <c r="M52" s="374" t="n">
        <v>7</v>
      </c>
      <c r="N52" s="371" t="n">
        <v>0</v>
      </c>
      <c r="O52" s="374" t="n">
        <v>0</v>
      </c>
      <c r="P52" s="370">
        <f>IF(M52=" "," ",(1+(M52+N52+O52)/100))</f>
        <v/>
      </c>
      <c r="Q52" s="375">
        <f>IF(L52=" "," ",L52*P52)</f>
        <v/>
      </c>
    </row>
    <row r="53" ht="9.949999999999999" customFormat="1" customHeight="1" s="356">
      <c r="A53" s="366" t="inlineStr">
        <is>
          <t>ÇP</t>
        </is>
      </c>
      <c r="B53" s="367" t="inlineStr">
        <is>
          <t>D</t>
        </is>
      </c>
      <c r="C53" s="368" t="n"/>
      <c r="D53" s="369" t="n">
        <v>1.5</v>
      </c>
      <c r="E53" s="369" t="n">
        <v>1.6</v>
      </c>
      <c r="F53" s="370">
        <f>IF(D53=0," ",D53*E53)</f>
        <v/>
      </c>
      <c r="G53" s="371" t="n">
        <v>1</v>
      </c>
      <c r="H53" s="372" t="n"/>
      <c r="I53" s="370">
        <f>IF(F53=" "," ",F53*G53-H53)</f>
        <v/>
      </c>
      <c r="J53" s="369" t="n">
        <v>1.8</v>
      </c>
      <c r="K53" s="371" t="n">
        <v>26</v>
      </c>
      <c r="L53" s="373">
        <f>IF(I53=" "," ",I53*J53*K53)</f>
        <v/>
      </c>
      <c r="M53" s="374" t="n">
        <v>7</v>
      </c>
      <c r="N53" s="371" t="n">
        <v>0</v>
      </c>
      <c r="O53" s="374" t="n">
        <v>0</v>
      </c>
      <c r="P53" s="370">
        <f>IF(M53=" "," ",(1+(M53+N53+O53)/100))</f>
        <v/>
      </c>
      <c r="Q53" s="375">
        <f>IF(L53=" "," ",L53*P53)</f>
        <v/>
      </c>
    </row>
    <row r="54" ht="9.949999999999999" customFormat="1" customHeight="1" s="356">
      <c r="A54" s="366" t="inlineStr">
        <is>
          <t>Ta</t>
        </is>
      </c>
      <c r="B54" s="367" t="inlineStr"/>
      <c r="C54" s="368" t="n"/>
      <c r="D54" s="369" t="n">
        <v>13.34</v>
      </c>
      <c r="E54" s="369" t="n">
        <v>1</v>
      </c>
      <c r="F54" s="370">
        <f>IF(D54=0," ",D54*E54)</f>
        <v/>
      </c>
      <c r="G54" s="371" t="n">
        <v>1</v>
      </c>
      <c r="H54" s="372" t="n"/>
      <c r="I54" s="370">
        <f>IF(F54=" "," ",F54*G54-H54)</f>
        <v/>
      </c>
      <c r="J54" s="369" t="n">
        <v>0.266</v>
      </c>
      <c r="K54" s="371" t="n">
        <v>20</v>
      </c>
      <c r="L54" s="373">
        <f>IF(I54=" "," ",I54*J54*K54)</f>
        <v/>
      </c>
      <c r="M54" s="374" t="n">
        <v>7</v>
      </c>
      <c r="N54" s="371" t="n">
        <v>0</v>
      </c>
      <c r="O54" s="374" t="n">
        <v>0</v>
      </c>
      <c r="P54" s="370">
        <f>IF(M54=" "," ",(1+(M54+N54+O54)/100))</f>
        <v/>
      </c>
      <c r="Q54" s="375">
        <f>IF(L54=" "," ",L54*P54)</f>
        <v/>
      </c>
    </row>
    <row r="55" ht="9.949999999999999" customFormat="1" customHeight="1" s="356">
      <c r="A55" s="376" t="n"/>
      <c r="B55" s="377" t="n"/>
      <c r="C55" s="377" t="n"/>
      <c r="D55" s="378" t="n"/>
      <c r="E55" s="378" t="n"/>
      <c r="F55" s="378" t="n"/>
      <c r="G55" s="379" t="n"/>
      <c r="H55" s="378" t="n"/>
      <c r="I55" s="378" t="n"/>
      <c r="J55" s="378" t="n"/>
      <c r="K55" s="379" t="n"/>
      <c r="L55" s="380" t="n"/>
      <c r="M55" s="381" t="n"/>
      <c r="N55" s="381" t="n"/>
      <c r="O55" s="381" t="n"/>
      <c r="P55" s="382" t="n"/>
      <c r="Q55" s="383">
        <f>SUM(Q51:Q54)</f>
        <v/>
      </c>
    </row>
    <row r="56" ht="9.949999999999999" customFormat="1" customHeight="1" s="356">
      <c r="A56" s="384" t="n"/>
      <c r="B56" s="385" t="n"/>
      <c r="C56" s="385" t="n"/>
      <c r="D56" s="386" t="n"/>
      <c r="E56" s="387" t="n"/>
      <c r="F56" s="388" t="n"/>
      <c r="G56" s="389" t="n"/>
      <c r="H56" s="388" t="n"/>
      <c r="I56" s="390" t="n"/>
      <c r="J56" s="391" t="inlineStr">
        <is>
          <t>Qs=</t>
        </is>
      </c>
      <c r="K56" s="390" t="inlineStr">
        <is>
          <t>S a</t>
        </is>
      </c>
      <c r="L56" s="388" t="inlineStr">
        <is>
          <t>L</t>
        </is>
      </c>
      <c r="M56" s="389" t="inlineStr">
        <is>
          <t>R</t>
        </is>
      </c>
      <c r="N56" s="392" t="inlineStr">
        <is>
          <t>H</t>
        </is>
      </c>
      <c r="O56" s="393" t="inlineStr">
        <is>
          <t>D  T</t>
        </is>
      </c>
      <c r="P56" s="389" t="inlineStr">
        <is>
          <t>Ze</t>
        </is>
      </c>
      <c r="Q56" s="394" t="n"/>
    </row>
    <row r="57" ht="9.949999999999999" customFormat="1" customHeight="1" s="356">
      <c r="A57" s="395" t="inlineStr">
        <is>
          <t xml:space="preserve"> </t>
        </is>
      </c>
      <c r="B57" s="396" t="n"/>
      <c r="C57" s="397" t="n"/>
      <c r="D57" s="397" t="n"/>
      <c r="E57" s="398" t="n"/>
      <c r="F57" s="399" t="n"/>
      <c r="G57" s="400" t="n"/>
      <c r="H57" s="401" t="n"/>
      <c r="I57" s="402" t="n"/>
      <c r="J57" s="403" t="inlineStr">
        <is>
          <t>Qs  =</t>
        </is>
      </c>
      <c r="K57" s="404" t="n">
        <v>2</v>
      </c>
      <c r="L57" s="404">
        <f>(D53+E53)*2*G53</f>
        <v/>
      </c>
      <c r="M57" s="404" t="n">
        <v>0.9</v>
      </c>
      <c r="N57" s="404" t="n">
        <v>0.67</v>
      </c>
      <c r="O57" s="381" t="n">
        <v>26</v>
      </c>
      <c r="P57" s="404" t="n">
        <v>1</v>
      </c>
      <c r="Q57" s="383">
        <f>K57*L57*M57*N57*O57*P57</f>
        <v/>
      </c>
    </row>
    <row r="58" ht="9.949999999999999" customFormat="1" customHeight="1" s="356">
      <c r="A58" s="405" t="n"/>
      <c r="B58" s="406" t="n"/>
      <c r="C58" s="397" t="n"/>
      <c r="D58" s="397" t="n"/>
      <c r="E58" s="378" t="n"/>
      <c r="F58" s="256" t="n"/>
      <c r="G58" s="407" t="n"/>
      <c r="H58" s="397" t="n"/>
      <c r="I58" s="397" t="n"/>
      <c r="J58" s="397" t="n"/>
      <c r="K58" s="407" t="n"/>
      <c r="L58" s="408" t="n"/>
      <c r="M58" s="409" t="inlineStr">
        <is>
          <t xml:space="preserve">   TOPLAM ISI KAYBI =</t>
        </is>
      </c>
      <c r="N58" s="409" t="n"/>
      <c r="O58" s="410" t="n"/>
      <c r="P58" s="409" t="n"/>
      <c r="Q58" s="411">
        <f>Q55+Q57</f>
        <v/>
      </c>
    </row>
    <row r="59" ht="10.35" customFormat="1" customHeight="1" s="356">
      <c r="A59" s="359" t="n"/>
      <c r="B59" s="360" t="n"/>
      <c r="C59" s="360" t="n"/>
      <c r="D59" s="360" t="n"/>
      <c r="E59" s="360" t="n"/>
      <c r="F59" s="361" t="inlineStr">
        <is>
          <t>1</t>
        </is>
      </c>
      <c r="G59" s="362" t="inlineStr">
        <is>
          <t>0</t>
        </is>
      </c>
      <c r="H59" s="360" t="inlineStr">
        <is>
          <t>106</t>
        </is>
      </c>
      <c r="I59" s="363" t="inlineStr">
        <is>
          <t>DAİRE 3 BANYO</t>
        </is>
      </c>
      <c r="J59" s="364" t="n"/>
      <c r="K59" s="360" t="inlineStr">
        <is>
          <t>26ºC</t>
        </is>
      </c>
      <c r="L59" s="360" t="n"/>
      <c r="M59" s="360" t="n"/>
      <c r="N59" s="360" t="n"/>
      <c r="O59" s="360" t="n"/>
      <c r="P59" s="360" t="n"/>
      <c r="Q59" s="365" t="n"/>
    </row>
    <row r="60" ht="9.949999999999999" customFormat="1" customHeight="1" s="356">
      <c r="A60" s="366" t="inlineStr">
        <is>
          <t>DD</t>
        </is>
      </c>
      <c r="B60" s="367" t="inlineStr">
        <is>
          <t>D</t>
        </is>
      </c>
      <c r="C60" s="368" t="n"/>
      <c r="D60" s="369" t="n">
        <v>1.79</v>
      </c>
      <c r="E60" s="369" t="n">
        <v>2.5</v>
      </c>
      <c r="F60" s="370">
        <f>IF(D60=0," ",D60*E60)</f>
        <v/>
      </c>
      <c r="G60" s="371" t="n">
        <v>1</v>
      </c>
      <c r="H60" s="372">
        <f>F62*G62</f>
        <v/>
      </c>
      <c r="I60" s="370">
        <f>IF(F60=" "," ",F60*G60-H60)</f>
        <v/>
      </c>
      <c r="J60" s="369" t="n">
        <v>0.344</v>
      </c>
      <c r="K60" s="371" t="n">
        <v>32</v>
      </c>
      <c r="L60" s="373">
        <f>IF(I60=" "," ",I60*J60*K60)</f>
        <v/>
      </c>
      <c r="M60" s="374" t="n">
        <v>7</v>
      </c>
      <c r="N60" s="371" t="n">
        <v>0</v>
      </c>
      <c r="O60" s="374" t="n">
        <v>0</v>
      </c>
      <c r="P60" s="370">
        <f>IF(M60=" "," ",(1+(M60+N60+O60)/100))</f>
        <v/>
      </c>
      <c r="Q60" s="375">
        <f>IF(L60=" "," ",L60*P60)</f>
        <v/>
      </c>
    </row>
    <row r="61" ht="9.949999999999999" customFormat="1" customHeight="1" s="356">
      <c r="A61" s="366" t="inlineStr">
        <is>
          <t>DD25</t>
        </is>
      </c>
      <c r="B61" s="367" t="inlineStr">
        <is>
          <t>D</t>
        </is>
      </c>
      <c r="C61" s="368" t="n"/>
      <c r="D61" s="369">
        <f>D60</f>
        <v/>
      </c>
      <c r="E61" s="369" t="n">
        <v>0.5</v>
      </c>
      <c r="F61" s="370">
        <f>IF(D61=0," ",D61*E61)</f>
        <v/>
      </c>
      <c r="G61" s="371" t="n">
        <v>1</v>
      </c>
      <c r="H61" s="372" t="n"/>
      <c r="I61" s="370">
        <f>IF(F61=" "," ",F61*G61-H61)</f>
        <v/>
      </c>
      <c r="J61" s="369" t="n">
        <v>0.387</v>
      </c>
      <c r="K61" s="371" t="n">
        <v>32</v>
      </c>
      <c r="L61" s="373">
        <f>IF(I61=" "," ",I61*J61*K61)</f>
        <v/>
      </c>
      <c r="M61" s="374" t="n">
        <v>7</v>
      </c>
      <c r="N61" s="371" t="n">
        <v>0</v>
      </c>
      <c r="O61" s="374" t="n">
        <v>0</v>
      </c>
      <c r="P61" s="370">
        <f>IF(M61=" "," ",(1+(M61+N61+O61)/100))</f>
        <v/>
      </c>
      <c r="Q61" s="375">
        <f>IF(L61=" "," ",L61*P61)</f>
        <v/>
      </c>
    </row>
    <row r="62" ht="9.949999999999999" customFormat="1" customHeight="1" s="356">
      <c r="A62" s="366" t="inlineStr">
        <is>
          <t>ÇP</t>
        </is>
      </c>
      <c r="B62" s="367" t="inlineStr">
        <is>
          <t>D</t>
        </is>
      </c>
      <c r="C62" s="368" t="n"/>
      <c r="D62" s="369" t="n">
        <v>0.5</v>
      </c>
      <c r="E62" s="369" t="n">
        <v>0.75</v>
      </c>
      <c r="F62" s="370">
        <f>IF(D62=0," ",D62*E62)</f>
        <v/>
      </c>
      <c r="G62" s="371" t="n">
        <v>1</v>
      </c>
      <c r="H62" s="372" t="n"/>
      <c r="I62" s="370">
        <f>IF(F62=" "," ",F62*G62-H62)</f>
        <v/>
      </c>
      <c r="J62" s="369" t="n">
        <v>1.8</v>
      </c>
      <c r="K62" s="371" t="n">
        <v>32</v>
      </c>
      <c r="L62" s="373">
        <f>IF(I62=" "," ",I62*J62*K62)</f>
        <v/>
      </c>
      <c r="M62" s="374" t="n">
        <v>7</v>
      </c>
      <c r="N62" s="371" t="n">
        <v>0</v>
      </c>
      <c r="O62" s="374" t="n">
        <v>0</v>
      </c>
      <c r="P62" s="370">
        <f>IF(M62=" "," ",(1+(M62+N62+O62)/100))</f>
        <v/>
      </c>
      <c r="Q62" s="375">
        <f>IF(L62=" "," ",L62*P62)</f>
        <v/>
      </c>
    </row>
    <row r="63" ht="9.949999999999999" customFormat="1" customHeight="1" s="413">
      <c r="A63" s="366" t="inlineStr">
        <is>
          <t>İDM</t>
        </is>
      </c>
      <c r="B63" s="367" t="inlineStr"/>
      <c r="C63" s="368" t="n"/>
      <c r="D63" s="369" t="n">
        <v>2.89</v>
      </c>
      <c r="E63" s="369" t="n">
        <v>3</v>
      </c>
      <c r="F63" s="370">
        <f>IF(D63=0," ",D63*E63)</f>
        <v/>
      </c>
      <c r="G63" s="371" t="n">
        <v>1</v>
      </c>
      <c r="H63" s="372" t="n"/>
      <c r="I63" s="370">
        <f>IF(F63=" "," ",F63*G63-H63)</f>
        <v/>
      </c>
      <c r="J63" s="369" t="n">
        <v>0.332</v>
      </c>
      <c r="K63" s="371" t="n">
        <v>16</v>
      </c>
      <c r="L63" s="373">
        <f>IF(I63=" "," ",I63*J63*K63)</f>
        <v/>
      </c>
      <c r="M63" s="374" t="n">
        <v>7</v>
      </c>
      <c r="N63" s="371" t="n">
        <v>0</v>
      </c>
      <c r="O63" s="374" t="n">
        <v>0</v>
      </c>
      <c r="P63" s="370">
        <f>IF(M63=" "," ",(1+(M63+N63+O63)/100))</f>
        <v/>
      </c>
      <c r="Q63" s="375">
        <f>IF(L63=" "," ",L63*P63)</f>
        <v/>
      </c>
    </row>
    <row r="64" ht="9.949999999999999" customFormat="1" customHeight="1" s="413">
      <c r="A64" s="366" t="inlineStr">
        <is>
          <t>Ta</t>
        </is>
      </c>
      <c r="B64" s="367" t="inlineStr"/>
      <c r="C64" s="368" t="n"/>
      <c r="D64" s="369" t="n">
        <v>5.41</v>
      </c>
      <c r="E64" s="369" t="n">
        <v>1</v>
      </c>
      <c r="F64" s="370">
        <f>IF(D64=0," ",D64*E64)</f>
        <v/>
      </c>
      <c r="G64" s="371" t="n">
        <v>1</v>
      </c>
      <c r="H64" s="372" t="n"/>
      <c r="I64" s="370">
        <f>IF(F64=" "," ",F64*G64-H64)</f>
        <v/>
      </c>
      <c r="J64" s="369" t="n">
        <v>0.266</v>
      </c>
      <c r="K64" s="371" t="n">
        <v>26</v>
      </c>
      <c r="L64" s="373">
        <f>IF(I64=" "," ",I64*J64*K64)</f>
        <v/>
      </c>
      <c r="M64" s="374" t="n">
        <v>7</v>
      </c>
      <c r="N64" s="371" t="n">
        <v>0</v>
      </c>
      <c r="O64" s="374" t="n">
        <v>0</v>
      </c>
      <c r="P64" s="370">
        <f>IF(M64=" "," ",(1+(M64+N64+O64)/100))</f>
        <v/>
      </c>
      <c r="Q64" s="375">
        <f>IF(L64=" "," ",L64*P64)</f>
        <v/>
      </c>
    </row>
    <row r="65" ht="9.949999999999999" customFormat="1" customHeight="1" s="351">
      <c r="A65" s="376" t="n"/>
      <c r="B65" s="377" t="n"/>
      <c r="C65" s="377" t="n"/>
      <c r="D65" s="378" t="n"/>
      <c r="E65" s="378" t="n"/>
      <c r="F65" s="378" t="n"/>
      <c r="G65" s="379" t="n"/>
      <c r="H65" s="378" t="n"/>
      <c r="I65" s="378" t="n"/>
      <c r="J65" s="378" t="n"/>
      <c r="K65" s="379" t="n"/>
      <c r="L65" s="380" t="n"/>
      <c r="M65" s="381" t="n"/>
      <c r="N65" s="381" t="n"/>
      <c r="O65" s="381" t="n"/>
      <c r="P65" s="382" t="n"/>
      <c r="Q65" s="383">
        <f>SUM(Q60:Q64)</f>
        <v/>
      </c>
    </row>
    <row r="66" ht="9.949999999999999" customFormat="1" customHeight="1" s="356">
      <c r="A66" s="384" t="n"/>
      <c r="B66" s="385" t="n"/>
      <c r="C66" s="385" t="n"/>
      <c r="D66" s="386" t="n"/>
      <c r="E66" s="387" t="n"/>
      <c r="F66" s="388" t="n"/>
      <c r="G66" s="389" t="n"/>
      <c r="H66" s="388" t="n"/>
      <c r="I66" s="390" t="n"/>
      <c r="J66" s="391" t="inlineStr">
        <is>
          <t>Qs=</t>
        </is>
      </c>
      <c r="K66" s="390" t="inlineStr">
        <is>
          <t>S a</t>
        </is>
      </c>
      <c r="L66" s="388" t="inlineStr">
        <is>
          <t>L</t>
        </is>
      </c>
      <c r="M66" s="389" t="inlineStr">
        <is>
          <t>R</t>
        </is>
      </c>
      <c r="N66" s="392" t="inlineStr">
        <is>
          <t>H</t>
        </is>
      </c>
      <c r="O66" s="393" t="inlineStr">
        <is>
          <t>D  T</t>
        </is>
      </c>
      <c r="P66" s="389" t="inlineStr">
        <is>
          <t>Ze</t>
        </is>
      </c>
      <c r="Q66" s="394" t="n"/>
    </row>
    <row r="67" ht="9.949999999999999" customFormat="1" customHeight="1" s="356">
      <c r="A67" s="395" t="inlineStr">
        <is>
          <t xml:space="preserve"> </t>
        </is>
      </c>
      <c r="B67" s="396" t="n"/>
      <c r="C67" s="397" t="n"/>
      <c r="D67" s="397" t="n"/>
      <c r="E67" s="398" t="n"/>
      <c r="F67" s="399" t="n"/>
      <c r="G67" s="400" t="n"/>
      <c r="H67" s="401" t="n"/>
      <c r="I67" s="402" t="n"/>
      <c r="J67" s="403" t="inlineStr">
        <is>
          <t>Qs  =</t>
        </is>
      </c>
      <c r="K67" s="404" t="n">
        <v>2</v>
      </c>
      <c r="L67" s="404">
        <f>(D62+E62)*2*G62</f>
        <v/>
      </c>
      <c r="M67" s="404" t="n">
        <v>0.9</v>
      </c>
      <c r="N67" s="404" t="n">
        <v>0.67</v>
      </c>
      <c r="O67" s="381" t="n">
        <v>32</v>
      </c>
      <c r="P67" s="404" t="n">
        <v>1</v>
      </c>
      <c r="Q67" s="383">
        <f>K67*L67*M67*N67*O67*P67</f>
        <v/>
      </c>
    </row>
    <row r="68" ht="9.949999999999999" customFormat="1" customHeight="1" s="356">
      <c r="A68" s="405" t="n"/>
      <c r="B68" s="406" t="n"/>
      <c r="C68" s="397" t="n"/>
      <c r="D68" s="397" t="n"/>
      <c r="E68" s="378" t="n"/>
      <c r="F68" s="256" t="n"/>
      <c r="G68" s="407" t="n"/>
      <c r="H68" s="397" t="n"/>
      <c r="I68" s="397" t="n"/>
      <c r="J68" s="397" t="n"/>
      <c r="K68" s="407" t="n"/>
      <c r="L68" s="408" t="n"/>
      <c r="M68" s="409" t="inlineStr">
        <is>
          <t xml:space="preserve">   TOPLAM ISI KAYBI =</t>
        </is>
      </c>
      <c r="N68" s="409" t="n"/>
      <c r="O68" s="410" t="n"/>
      <c r="P68" s="409" t="n"/>
      <c r="Q68" s="411">
        <f>Q65+Q67</f>
        <v/>
      </c>
    </row>
    <row r="69" ht="10.35" customFormat="1" customHeight="1" s="356">
      <c r="A69" s="359" t="n"/>
      <c r="B69" s="360" t="n"/>
      <c r="C69" s="360" t="n"/>
      <c r="D69" s="360" t="n"/>
      <c r="E69" s="360" t="n"/>
      <c r="F69" s="361" t="inlineStr">
        <is>
          <t>1</t>
        </is>
      </c>
      <c r="G69" s="362" t="inlineStr">
        <is>
          <t>0</t>
        </is>
      </c>
      <c r="H69" s="360" t="inlineStr">
        <is>
          <t>107</t>
        </is>
      </c>
      <c r="I69" s="363" t="inlineStr">
        <is>
          <t>DAİRE 3 BANYO-WC</t>
        </is>
      </c>
      <c r="J69" s="364" t="n"/>
      <c r="K69" s="360" t="inlineStr">
        <is>
          <t>26ºC</t>
        </is>
      </c>
      <c r="L69" s="360" t="n"/>
      <c r="M69" s="360" t="n"/>
      <c r="N69" s="360" t="n"/>
      <c r="O69" s="360" t="n"/>
      <c r="P69" s="360" t="n"/>
      <c r="Q69" s="365" t="n"/>
    </row>
    <row r="70" ht="9.949999999999999" customFormat="1" customHeight="1" s="356">
      <c r="A70" s="366" t="inlineStr">
        <is>
          <t>DD</t>
        </is>
      </c>
      <c r="B70" s="367" t="inlineStr">
        <is>
          <t>D</t>
        </is>
      </c>
      <c r="C70" s="368" t="n"/>
      <c r="D70" s="369" t="n">
        <v>1.19</v>
      </c>
      <c r="E70" s="369" t="n">
        <v>2.5</v>
      </c>
      <c r="F70" s="370">
        <f>IF(D70=0," ",D70*E70)</f>
        <v/>
      </c>
      <c r="G70" s="371" t="n">
        <v>1</v>
      </c>
      <c r="H70" s="372">
        <f>F72*G72</f>
        <v/>
      </c>
      <c r="I70" s="370">
        <f>IF(F70=" "," ",F70*G70-H70)</f>
        <v/>
      </c>
      <c r="J70" s="369" t="n">
        <v>0.344</v>
      </c>
      <c r="K70" s="371" t="n">
        <v>32</v>
      </c>
      <c r="L70" s="373">
        <f>IF(I70=" "," ",I70*J70*K70)</f>
        <v/>
      </c>
      <c r="M70" s="374" t="n">
        <v>7</v>
      </c>
      <c r="N70" s="371" t="n">
        <v>0</v>
      </c>
      <c r="O70" s="374" t="n">
        <v>0</v>
      </c>
      <c r="P70" s="370">
        <f>IF(M70=" "," ",(1+(M70+N70+O70)/100))</f>
        <v/>
      </c>
      <c r="Q70" s="375">
        <f>IF(L70=" "," ",L70*P70)</f>
        <v/>
      </c>
    </row>
    <row r="71" ht="9.949999999999999" customFormat="1" customHeight="1" s="356">
      <c r="A71" s="366" t="inlineStr">
        <is>
          <t>DD25</t>
        </is>
      </c>
      <c r="B71" s="367" t="inlineStr">
        <is>
          <t>D</t>
        </is>
      </c>
      <c r="C71" s="368" t="n"/>
      <c r="D71" s="369">
        <f>D70</f>
        <v/>
      </c>
      <c r="E71" s="369" t="n">
        <v>0.5</v>
      </c>
      <c r="F71" s="370">
        <f>IF(D71=0," ",D71*E71)</f>
        <v/>
      </c>
      <c r="G71" s="371" t="n">
        <v>1</v>
      </c>
      <c r="H71" s="372" t="n"/>
      <c r="I71" s="370">
        <f>IF(F71=" "," ",F71*G71-H71)</f>
        <v/>
      </c>
      <c r="J71" s="369" t="n">
        <v>0.387</v>
      </c>
      <c r="K71" s="371" t="n">
        <v>32</v>
      </c>
      <c r="L71" s="373">
        <f>IF(I71=" "," ",I71*J71*K71)</f>
        <v/>
      </c>
      <c r="M71" s="374" t="n">
        <v>7</v>
      </c>
      <c r="N71" s="371" t="n">
        <v>0</v>
      </c>
      <c r="O71" s="374" t="n">
        <v>0</v>
      </c>
      <c r="P71" s="370">
        <f>IF(M71=" "," ",(1+(M71+N71+O71)/100))</f>
        <v/>
      </c>
      <c r="Q71" s="375">
        <f>IF(L71=" "," ",L71*P71)</f>
        <v/>
      </c>
    </row>
    <row r="72" ht="9.949999999999999" customFormat="1" customHeight="1" s="356">
      <c r="A72" s="366" t="inlineStr">
        <is>
          <t>ÇP</t>
        </is>
      </c>
      <c r="B72" s="367" t="inlineStr">
        <is>
          <t>D</t>
        </is>
      </c>
      <c r="C72" s="368" t="n"/>
      <c r="D72" s="369" t="n">
        <v>0.5</v>
      </c>
      <c r="E72" s="369" t="n">
        <v>0.75</v>
      </c>
      <c r="F72" s="370">
        <f>IF(D72=0," ",D72*E72)</f>
        <v/>
      </c>
      <c r="G72" s="371" t="n">
        <v>1</v>
      </c>
      <c r="H72" s="372" t="n"/>
      <c r="I72" s="370">
        <f>IF(F72=" "," ",F72*G72-H72)</f>
        <v/>
      </c>
      <c r="J72" s="369" t="n">
        <v>1.8</v>
      </c>
      <c r="K72" s="371" t="n">
        <v>32</v>
      </c>
      <c r="L72" s="373">
        <f>IF(I72=" "," ",I72*J72*K72)</f>
        <v/>
      </c>
      <c r="M72" s="374" t="n">
        <v>7</v>
      </c>
      <c r="N72" s="371" t="n">
        <v>0</v>
      </c>
      <c r="O72" s="374" t="n">
        <v>0</v>
      </c>
      <c r="P72" s="370">
        <f>IF(M72=" "," ",(1+(M72+N72+O72)/100))</f>
        <v/>
      </c>
      <c r="Q72" s="375">
        <f>IF(L72=" "," ",L72*P72)</f>
        <v/>
      </c>
    </row>
    <row r="73" ht="9.949999999999999" customFormat="1" customHeight="1" s="356">
      <c r="A73" s="366" t="inlineStr">
        <is>
          <t>Ta</t>
        </is>
      </c>
      <c r="B73" s="367" t="inlineStr"/>
      <c r="C73" s="368" t="n"/>
      <c r="D73" s="369" t="n">
        <v>2.89</v>
      </c>
      <c r="E73" s="369" t="n">
        <v>1</v>
      </c>
      <c r="F73" s="370">
        <f>IF(D73=0," ",D73*E73)</f>
        <v/>
      </c>
      <c r="G73" s="371" t="n">
        <v>1</v>
      </c>
      <c r="H73" s="372" t="n"/>
      <c r="I73" s="370">
        <f>IF(F73=" "," ",F73*G73-H73)</f>
        <v/>
      </c>
      <c r="J73" s="369" t="n">
        <v>0.266</v>
      </c>
      <c r="K73" s="371" t="n">
        <v>26</v>
      </c>
      <c r="L73" s="373">
        <f>IF(I73=" "," ",I73*J73*K73)</f>
        <v/>
      </c>
      <c r="M73" s="374" t="n">
        <v>7</v>
      </c>
      <c r="N73" s="371" t="n">
        <v>0</v>
      </c>
      <c r="O73" s="374" t="n">
        <v>0</v>
      </c>
      <c r="P73" s="370">
        <f>IF(M73=" "," ",(1+(M73+N73+O73)/100))</f>
        <v/>
      </c>
      <c r="Q73" s="375">
        <f>IF(L73=" "," ",L73*P73)</f>
        <v/>
      </c>
    </row>
    <row r="74" ht="9.949999999999999" customFormat="1" customHeight="1" s="356">
      <c r="A74" s="376" t="n"/>
      <c r="B74" s="377" t="n"/>
      <c r="C74" s="377" t="n"/>
      <c r="D74" s="378" t="n"/>
      <c r="E74" s="378" t="n"/>
      <c r="F74" s="378" t="n"/>
      <c r="G74" s="379" t="n"/>
      <c r="H74" s="378" t="n"/>
      <c r="I74" s="378" t="n"/>
      <c r="J74" s="378" t="n"/>
      <c r="K74" s="379" t="n"/>
      <c r="L74" s="380" t="n"/>
      <c r="M74" s="381" t="n"/>
      <c r="N74" s="381" t="n"/>
      <c r="O74" s="381" t="n"/>
      <c r="P74" s="382" t="n"/>
      <c r="Q74" s="383">
        <f>SUM(Q70:Q73)</f>
        <v/>
      </c>
    </row>
    <row r="75" ht="9.949999999999999" customFormat="1" customHeight="1" s="356">
      <c r="A75" s="384" t="n"/>
      <c r="B75" s="385" t="n"/>
      <c r="C75" s="385" t="n"/>
      <c r="D75" s="386" t="n"/>
      <c r="E75" s="387" t="n"/>
      <c r="F75" s="388" t="n"/>
      <c r="G75" s="389" t="n"/>
      <c r="H75" s="388" t="n"/>
      <c r="I75" s="390" t="n"/>
      <c r="J75" s="391" t="inlineStr">
        <is>
          <t>Qs=</t>
        </is>
      </c>
      <c r="K75" s="390" t="inlineStr">
        <is>
          <t>S a</t>
        </is>
      </c>
      <c r="L75" s="388" t="inlineStr">
        <is>
          <t>L</t>
        </is>
      </c>
      <c r="M75" s="389" t="inlineStr">
        <is>
          <t>R</t>
        </is>
      </c>
      <c r="N75" s="392" t="inlineStr">
        <is>
          <t>H</t>
        </is>
      </c>
      <c r="O75" s="393" t="inlineStr">
        <is>
          <t>D  T</t>
        </is>
      </c>
      <c r="P75" s="389" t="inlineStr">
        <is>
          <t>Ze</t>
        </is>
      </c>
      <c r="Q75" s="394" t="n"/>
    </row>
    <row r="76" ht="9.949999999999999" customFormat="1" customHeight="1" s="413">
      <c r="A76" s="395" t="inlineStr">
        <is>
          <t xml:space="preserve"> </t>
        </is>
      </c>
      <c r="B76" s="437" t="n"/>
      <c r="C76" s="397" t="n"/>
      <c r="D76" s="397" t="n"/>
      <c r="E76" s="398" t="n"/>
      <c r="F76" s="399" t="n"/>
      <c r="G76" s="400" t="n"/>
      <c r="H76" s="401" t="n"/>
      <c r="I76" s="402" t="n"/>
      <c r="J76" s="403" t="inlineStr">
        <is>
          <t>Qs  =</t>
        </is>
      </c>
      <c r="K76" s="404" t="n">
        <v>2</v>
      </c>
      <c r="L76" s="404">
        <f>(D72+E72)*2*G72</f>
        <v/>
      </c>
      <c r="M76" s="404" t="n">
        <v>0.9</v>
      </c>
      <c r="N76" s="404" t="n">
        <v>0.67</v>
      </c>
      <c r="O76" s="381" t="n">
        <v>32</v>
      </c>
      <c r="P76" s="404" t="n">
        <v>1</v>
      </c>
      <c r="Q76" s="383">
        <f>K76*L76*M76*N76*O76*P76</f>
        <v/>
      </c>
    </row>
    <row r="77" ht="9.949999999999999" customFormat="1" customHeight="1" s="413">
      <c r="A77" s="405" t="n"/>
      <c r="B77" s="406" t="n"/>
      <c r="C77" s="397" t="n"/>
      <c r="D77" s="397" t="n"/>
      <c r="E77" s="378" t="n"/>
      <c r="F77" s="256" t="n"/>
      <c r="G77" s="407" t="n"/>
      <c r="H77" s="397" t="n"/>
      <c r="I77" s="397" t="n"/>
      <c r="J77" s="397" t="n"/>
      <c r="K77" s="407" t="n"/>
      <c r="L77" s="408" t="n"/>
      <c r="M77" s="409" t="inlineStr">
        <is>
          <t xml:space="preserve">   TOPLAM ISI KAYBI =</t>
        </is>
      </c>
      <c r="N77" s="409" t="n"/>
      <c r="O77" s="410" t="n"/>
      <c r="P77" s="409" t="n"/>
      <c r="Q77" s="411">
        <f>Q74+Q76</f>
        <v/>
      </c>
    </row>
    <row r="78" ht="10.35" customFormat="1" customHeight="1" s="351">
      <c r="A78" s="359" t="n"/>
      <c r="B78" s="360" t="n"/>
      <c r="C78" s="360" t="n"/>
      <c r="D78" s="360" t="n"/>
      <c r="E78" s="360" t="n"/>
      <c r="F78" s="361" t="inlineStr">
        <is>
          <t>1</t>
        </is>
      </c>
      <c r="G78" s="362" t="inlineStr">
        <is>
          <t>0</t>
        </is>
      </c>
      <c r="H78" s="360" t="inlineStr">
        <is>
          <t>108</t>
        </is>
      </c>
      <c r="I78" s="363" t="inlineStr">
        <is>
          <t>DAİRE 3 HOL</t>
        </is>
      </c>
      <c r="J78" s="364" t="n"/>
      <c r="K78" s="360" t="inlineStr">
        <is>
          <t>18ºC</t>
        </is>
      </c>
      <c r="L78" s="360" t="n"/>
      <c r="M78" s="360" t="n"/>
      <c r="N78" s="360" t="n"/>
      <c r="O78" s="360" t="n"/>
      <c r="P78" s="360" t="n"/>
      <c r="Q78" s="365" t="n"/>
    </row>
    <row r="79" ht="9.949999999999999" customHeight="1" s="244">
      <c r="A79" s="366" t="inlineStr">
        <is>
          <t>İDM</t>
        </is>
      </c>
      <c r="B79" s="367" t="inlineStr"/>
      <c r="C79" s="368" t="n"/>
      <c r="D79" s="369" t="n">
        <v>1.7</v>
      </c>
      <c r="E79" s="369" t="n">
        <v>3</v>
      </c>
      <c r="F79" s="370">
        <f>IF(D79=0," ",D79*E79)</f>
        <v/>
      </c>
      <c r="G79" s="371" t="n">
        <v>1</v>
      </c>
      <c r="H79" s="372">
        <f>F80*G80</f>
        <v/>
      </c>
      <c r="I79" s="370">
        <f>IF(F79=" "," ",F79*G79-H79)</f>
        <v/>
      </c>
      <c r="J79" s="369" t="n">
        <v>0.332</v>
      </c>
      <c r="K79" s="371" t="n">
        <v>8</v>
      </c>
      <c r="L79" s="373">
        <f>IF(I79=" "," ",I79*J79*K79)</f>
        <v/>
      </c>
      <c r="M79" s="374" t="n">
        <v>7</v>
      </c>
      <c r="N79" s="371" t="n">
        <v>0</v>
      </c>
      <c r="O79" s="374" t="n">
        <v>0</v>
      </c>
      <c r="P79" s="370">
        <f>IF(M79=" "," ",(1+(M79+N79+O79)/100))</f>
        <v/>
      </c>
      <c r="Q79" s="375">
        <f>IF(L79=" "," ",L79*P79)</f>
        <v/>
      </c>
    </row>
    <row r="80" ht="9.949999999999999" customHeight="1" s="244">
      <c r="A80" s="366" t="inlineStr">
        <is>
          <t>DK</t>
        </is>
      </c>
      <c r="B80" s="367" t="inlineStr"/>
      <c r="C80" s="368" t="n"/>
      <c r="D80" s="369" t="n">
        <v>1</v>
      </c>
      <c r="E80" s="369" t="n">
        <v>2.2</v>
      </c>
      <c r="F80" s="370">
        <f>IF(D80=0," ",D80*E80)</f>
        <v/>
      </c>
      <c r="G80" s="371" t="n">
        <v>1</v>
      </c>
      <c r="H80" s="372" t="n"/>
      <c r="I80" s="370">
        <f>IF(F80=" "," ",F80*G80-H80)</f>
        <v/>
      </c>
      <c r="J80" s="369" t="n">
        <v>2</v>
      </c>
      <c r="K80" s="371" t="n">
        <v>8</v>
      </c>
      <c r="L80" s="373">
        <f>IF(I80=" "," ",I80*J80*K80)</f>
        <v/>
      </c>
      <c r="M80" s="374" t="n">
        <v>7</v>
      </c>
      <c r="N80" s="371" t="n">
        <v>0</v>
      </c>
      <c r="O80" s="374" t="n">
        <v>0</v>
      </c>
      <c r="P80" s="370">
        <f>IF(M80=" "," ",(1+(M80+N80+O80)/100))</f>
        <v/>
      </c>
      <c r="Q80" s="375">
        <f>IF(L80=" "," ",L80*P80)</f>
        <v/>
      </c>
    </row>
    <row r="81" ht="9.949999999999999" customHeight="1" s="244">
      <c r="A81" s="366" t="inlineStr">
        <is>
          <t>Ta</t>
        </is>
      </c>
      <c r="B81" s="367" t="inlineStr"/>
      <c r="C81" s="368" t="n"/>
      <c r="D81" s="369" t="n">
        <v>9.460000000000001</v>
      </c>
      <c r="E81" s="369" t="n">
        <v>1</v>
      </c>
      <c r="F81" s="370">
        <f>IF(D81=0," ",D81*E81)</f>
        <v/>
      </c>
      <c r="G81" s="371" t="n">
        <v>1</v>
      </c>
      <c r="H81" s="372" t="n"/>
      <c r="I81" s="370">
        <f>IF(F81=" "," ",F81*G81-H81)</f>
        <v/>
      </c>
      <c r="J81" s="369" t="n">
        <v>0.266</v>
      </c>
      <c r="K81" s="371" t="n">
        <v>18</v>
      </c>
      <c r="L81" s="373">
        <f>IF(I81=" "," ",I81*J81*K81)</f>
        <v/>
      </c>
      <c r="M81" s="374" t="n">
        <v>7</v>
      </c>
      <c r="N81" s="371" t="n">
        <v>0</v>
      </c>
      <c r="O81" s="374" t="n">
        <v>0</v>
      </c>
      <c r="P81" s="370">
        <f>IF(M81=" "," ",(1+(M81+N81+O81)/100))</f>
        <v/>
      </c>
      <c r="Q81" s="375">
        <f>IF(L81=" "," ",L81*P81)</f>
        <v/>
      </c>
    </row>
    <row r="82" ht="9.949999999999999" customHeight="1" s="244">
      <c r="A82" s="376" t="n"/>
      <c r="B82" s="377" t="n"/>
      <c r="C82" s="377" t="n"/>
      <c r="D82" s="378" t="n"/>
      <c r="E82" s="378" t="n"/>
      <c r="F82" s="378" t="n"/>
      <c r="G82" s="379" t="n"/>
      <c r="H82" s="378" t="n"/>
      <c r="I82" s="378" t="n"/>
      <c r="J82" s="378" t="n"/>
      <c r="K82" s="379" t="n"/>
      <c r="L82" s="380" t="n"/>
      <c r="M82" s="381" t="n"/>
      <c r="N82" s="381" t="n"/>
      <c r="O82" s="381" t="n"/>
      <c r="P82" s="382" t="n"/>
      <c r="Q82" s="383">
        <f>SUM(Q79:Q81)</f>
        <v/>
      </c>
    </row>
    <row r="83" ht="9.949999999999999" customHeight="1" s="244">
      <c r="A83" s="384" t="n"/>
      <c r="B83" s="385" t="n"/>
      <c r="C83" s="385" t="n"/>
      <c r="D83" s="386" t="n"/>
      <c r="E83" s="387" t="n"/>
      <c r="F83" s="388" t="n"/>
      <c r="G83" s="389" t="n"/>
      <c r="H83" s="388" t="n"/>
      <c r="I83" s="390" t="n"/>
      <c r="J83" s="391" t="inlineStr">
        <is>
          <t>Qs=</t>
        </is>
      </c>
      <c r="K83" s="390" t="inlineStr">
        <is>
          <t>S a</t>
        </is>
      </c>
      <c r="L83" s="388" t="inlineStr">
        <is>
          <t>L</t>
        </is>
      </c>
      <c r="M83" s="389" t="inlineStr">
        <is>
          <t>R</t>
        </is>
      </c>
      <c r="N83" s="392" t="inlineStr">
        <is>
          <t>H</t>
        </is>
      </c>
      <c r="O83" s="393" t="inlineStr">
        <is>
          <t>D  T</t>
        </is>
      </c>
      <c r="P83" s="389" t="inlineStr">
        <is>
          <t>Ze</t>
        </is>
      </c>
      <c r="Q83" s="394" t="n"/>
    </row>
    <row r="84" ht="9.949999999999999" customFormat="1" customHeight="1" s="329">
      <c r="A84" s="395" t="inlineStr">
        <is>
          <t xml:space="preserve"> </t>
        </is>
      </c>
      <c r="B84" s="331" t="n"/>
      <c r="C84" s="397" t="n"/>
      <c r="D84" s="397" t="n"/>
      <c r="E84" s="398" t="n"/>
      <c r="F84" s="399" t="n"/>
      <c r="G84" s="400" t="n"/>
      <c r="H84" s="401" t="n"/>
      <c r="I84" s="402" t="n"/>
      <c r="J84" s="403" t="inlineStr">
        <is>
          <t>Qs  =</t>
        </is>
      </c>
      <c r="K84" s="404" t="n">
        <v>2</v>
      </c>
      <c r="L84" s="404" t="n">
        <v>0</v>
      </c>
      <c r="M84" s="404" t="n">
        <v>0.9</v>
      </c>
      <c r="N84" s="404" t="n">
        <v>0.67</v>
      </c>
      <c r="O84" s="381" t="n">
        <v>24</v>
      </c>
      <c r="P84" s="404" t="n">
        <v>1</v>
      </c>
      <c r="Q84" s="383">
        <f>K84*L84*M84*N84*O84*P84</f>
        <v/>
      </c>
    </row>
    <row r="85" ht="9.949999999999999" customFormat="1" customHeight="1" s="339">
      <c r="A85" s="405" t="n"/>
      <c r="B85" s="406" t="n"/>
      <c r="C85" s="397" t="n"/>
      <c r="D85" s="397" t="n"/>
      <c r="E85" s="378" t="n"/>
      <c r="F85" s="256" t="n"/>
      <c r="G85" s="407" t="n"/>
      <c r="H85" s="397" t="n"/>
      <c r="I85" s="397" t="n"/>
      <c r="J85" s="397" t="n"/>
      <c r="K85" s="407" t="n"/>
      <c r="L85" s="408" t="n"/>
      <c r="M85" s="409" t="inlineStr">
        <is>
          <t xml:space="preserve">   TOPLAM ISI KAYBI =</t>
        </is>
      </c>
      <c r="N85" s="409" t="n"/>
      <c r="O85" s="410" t="n"/>
      <c r="P85" s="409" t="n"/>
      <c r="Q85" s="411">
        <f>Q82+Q84</f>
        <v/>
      </c>
    </row>
    <row r="86" ht="8.25" customFormat="1" customHeight="1" s="339">
      <c r="A86" s="348" t="n"/>
      <c r="E86" s="349" t="n"/>
      <c r="I86" s="350" t="n"/>
      <c r="M86" s="350" t="n"/>
      <c r="Q86" s="350" t="n"/>
    </row>
    <row r="87" ht="31.5" customFormat="1" customHeight="1" s="351">
      <c r="A87" s="352" t="n"/>
      <c r="B87" s="352" t="n"/>
      <c r="C87" s="352" t="n"/>
      <c r="D87" s="352" t="n"/>
      <c r="E87" s="352" t="n"/>
      <c r="F87" s="353" t="n"/>
      <c r="G87" s="352" t="n"/>
      <c r="H87" s="353" t="n"/>
      <c r="I87" s="353" t="n"/>
      <c r="J87" s="353" t="n"/>
      <c r="K87" s="353" t="n"/>
      <c r="L87" s="353" t="n"/>
      <c r="M87" s="352" t="n"/>
      <c r="N87" s="352" t="n"/>
      <c r="O87" s="352" t="n"/>
      <c r="P87" s="352" t="n"/>
      <c r="Q87" s="353" t="n"/>
    </row>
    <row r="88" ht="9.75" customFormat="1" customHeight="1" s="351">
      <c r="A88" s="354" t="n"/>
      <c r="B88" s="354" t="n"/>
      <c r="C88" s="354" t="n"/>
      <c r="D88" s="354" t="n"/>
      <c r="E88" s="354" t="n"/>
      <c r="F88" s="354" t="n"/>
      <c r="G88" s="354" t="n"/>
      <c r="H88" s="354" t="n"/>
      <c r="I88" s="354" t="n"/>
      <c r="J88" s="354" t="n"/>
      <c r="K88" s="355" t="n"/>
      <c r="L88" s="354" t="n"/>
      <c r="M88" s="354" t="n"/>
      <c r="N88" s="354" t="n"/>
      <c r="O88" s="354" t="n"/>
      <c r="P88" s="354" t="n"/>
      <c r="Q88" s="354" t="n"/>
    </row>
    <row r="89" ht="15.75" customFormat="1" customHeight="1" s="356">
      <c r="A89" s="346" t="n"/>
      <c r="B89" s="346" t="n"/>
      <c r="C89" s="346" t="n"/>
      <c r="D89" s="346" t="n"/>
      <c r="E89" s="346" t="n"/>
      <c r="F89" s="346" t="n"/>
      <c r="G89" s="346" t="n"/>
      <c r="H89" s="346" t="n"/>
      <c r="I89" s="346" t="n"/>
      <c r="J89" s="357" t="n"/>
      <c r="K89" s="346" t="n"/>
      <c r="L89" s="358" t="n"/>
      <c r="M89" s="346" t="n"/>
      <c r="N89" s="346" t="n"/>
      <c r="O89" s="346" t="n"/>
      <c r="P89" s="346" t="n"/>
      <c r="Q89" s="358" t="n"/>
    </row>
    <row r="90" ht="9.75" customFormat="1" customHeight="1" s="356">
      <c r="A90" s="346" t="n"/>
      <c r="B90" s="346" t="n"/>
      <c r="C90" s="346" t="n"/>
      <c r="D90" s="346" t="n"/>
      <c r="E90" s="346" t="n"/>
      <c r="F90" s="346" t="n"/>
      <c r="G90" s="346" t="n"/>
      <c r="H90" s="346" t="n"/>
      <c r="I90" s="346" t="n"/>
      <c r="J90" s="346" t="n"/>
      <c r="K90" s="346" t="n"/>
      <c r="L90" s="346" t="n"/>
      <c r="M90" s="346" t="n"/>
      <c r="N90" s="346" t="n"/>
      <c r="O90" s="346" t="n"/>
      <c r="P90" s="346" t="n"/>
      <c r="Q90" s="346" t="n"/>
    </row>
    <row r="91" ht="9.75" customFormat="1" customHeight="1" s="356">
      <c r="A91" s="414" t="n"/>
      <c r="B91" s="415" t="n"/>
      <c r="C91" s="415" t="n"/>
      <c r="D91" s="415" t="n"/>
      <c r="E91" s="415" t="n"/>
      <c r="F91" s="416" t="n"/>
      <c r="G91" s="417" t="n"/>
      <c r="H91" s="415" t="n"/>
      <c r="I91" s="417" t="n"/>
      <c r="K91" s="415" t="n"/>
      <c r="L91" s="415" t="n"/>
      <c r="M91" s="415" t="n"/>
      <c r="N91" s="415" t="n"/>
      <c r="O91" s="415" t="n"/>
      <c r="P91" s="415" t="n"/>
      <c r="Q91" s="418" t="n"/>
    </row>
    <row r="92" ht="9.75" customFormat="1" customHeight="1" s="356">
      <c r="A92" s="419" t="n"/>
      <c r="B92" s="396" t="n"/>
      <c r="C92" s="420" t="n"/>
      <c r="D92" s="421" t="n"/>
      <c r="E92" s="421" t="n"/>
      <c r="F92" s="422" t="n"/>
      <c r="G92" s="423" t="n"/>
      <c r="H92" s="424" t="n"/>
      <c r="I92" s="422" t="n"/>
      <c r="J92" s="421" t="n"/>
      <c r="K92" s="423" t="n"/>
      <c r="L92" s="425" t="n"/>
      <c r="M92" s="426" t="n"/>
      <c r="N92" s="423" t="n"/>
      <c r="O92" s="426" t="n"/>
      <c r="P92" s="422" t="n"/>
      <c r="Q92" s="427" t="n"/>
    </row>
    <row r="93" ht="9.75" customFormat="1" customHeight="1" s="356">
      <c r="A93" s="419" t="n"/>
      <c r="B93" s="396" t="n"/>
      <c r="C93" s="420" t="n"/>
      <c r="D93" s="421" t="n"/>
      <c r="E93" s="421" t="n"/>
      <c r="F93" s="422" t="n"/>
      <c r="G93" s="423" t="n"/>
      <c r="H93" s="424" t="n"/>
      <c r="I93" s="422" t="n"/>
      <c r="J93" s="421" t="n"/>
      <c r="K93" s="423" t="n"/>
      <c r="L93" s="425" t="n"/>
      <c r="M93" s="426" t="n"/>
      <c r="N93" s="423" t="n"/>
      <c r="O93" s="426" t="n"/>
      <c r="P93" s="422" t="n"/>
      <c r="Q93" s="427" t="n"/>
    </row>
    <row r="94" ht="9.75" customFormat="1" customHeight="1" s="356">
      <c r="A94" s="419" t="n"/>
      <c r="B94" s="396" t="n"/>
      <c r="C94" s="420" t="n"/>
      <c r="D94" s="421" t="n"/>
      <c r="E94" s="421" t="n"/>
      <c r="F94" s="422" t="n"/>
      <c r="G94" s="423" t="n"/>
      <c r="H94" s="424" t="n"/>
      <c r="I94" s="422" t="n"/>
      <c r="J94" s="421" t="n"/>
      <c r="K94" s="423" t="n"/>
      <c r="L94" s="425" t="n"/>
      <c r="M94" s="426" t="n"/>
      <c r="N94" s="423" t="n"/>
      <c r="O94" s="426" t="n"/>
      <c r="P94" s="422" t="n"/>
      <c r="Q94" s="428" t="n"/>
    </row>
    <row r="95" ht="9.75" customFormat="1" customHeight="1" s="356">
      <c r="A95" s="419" t="n"/>
      <c r="B95" s="396" t="n"/>
      <c r="C95" s="420" t="n"/>
      <c r="D95" s="421" t="n"/>
      <c r="E95" s="421" t="n"/>
      <c r="F95" s="422" t="n"/>
      <c r="G95" s="423" t="n"/>
      <c r="H95" s="424" t="n"/>
      <c r="I95" s="422" t="n"/>
      <c r="J95" s="421" t="n"/>
      <c r="K95" s="423" t="n"/>
      <c r="L95" s="425" t="n"/>
      <c r="M95" s="426" t="n"/>
      <c r="N95" s="423" t="n"/>
      <c r="O95" s="426" t="n"/>
      <c r="P95" s="422" t="n"/>
      <c r="Q95" s="427" t="n"/>
    </row>
    <row r="96" ht="9.75" customFormat="1" customHeight="1" s="356">
      <c r="A96" s="419" t="n"/>
      <c r="B96" s="396" t="n"/>
      <c r="C96" s="420" t="n"/>
      <c r="D96" s="421" t="n"/>
      <c r="E96" s="421" t="n"/>
      <c r="F96" s="422" t="n"/>
      <c r="G96" s="423" t="n"/>
      <c r="H96" s="424" t="n"/>
      <c r="I96" s="422" t="n"/>
      <c r="J96" s="421" t="n"/>
      <c r="K96" s="423" t="n"/>
      <c r="L96" s="425" t="n"/>
      <c r="M96" s="426" t="n"/>
      <c r="N96" s="423" t="n"/>
      <c r="O96" s="426" t="n"/>
      <c r="P96" s="422" t="n"/>
      <c r="Q96" s="427" t="n"/>
    </row>
    <row r="97" ht="9.75" customFormat="1" customHeight="1" s="356">
      <c r="A97" s="419" t="n"/>
      <c r="B97" s="396" t="n"/>
      <c r="C97" s="420" t="n"/>
      <c r="D97" s="421" t="n"/>
      <c r="E97" s="421" t="n"/>
      <c r="F97" s="422" t="n"/>
      <c r="G97" s="423" t="n"/>
      <c r="H97" s="424" t="n"/>
      <c r="I97" s="422" t="n"/>
      <c r="J97" s="421" t="n"/>
      <c r="K97" s="423" t="n"/>
      <c r="L97" s="425" t="n"/>
      <c r="M97" s="426" t="n"/>
      <c r="N97" s="423" t="n"/>
      <c r="O97" s="426" t="n"/>
      <c r="P97" s="422" t="n"/>
      <c r="Q97" s="428" t="n"/>
    </row>
    <row r="98" ht="9.75" customFormat="1" customHeight="1" s="356">
      <c r="A98" s="419" t="n"/>
      <c r="B98" s="396" t="n"/>
      <c r="C98" s="420" t="n"/>
      <c r="D98" s="421" t="n"/>
      <c r="E98" s="421" t="n"/>
      <c r="F98" s="422" t="n"/>
      <c r="G98" s="423" t="n"/>
      <c r="H98" s="424" t="n"/>
      <c r="I98" s="422" t="n"/>
      <c r="J98" s="421" t="n"/>
      <c r="K98" s="423" t="n"/>
      <c r="L98" s="425" t="n"/>
      <c r="M98" s="426" t="n"/>
      <c r="N98" s="423" t="n"/>
      <c r="O98" s="426" t="n"/>
      <c r="P98" s="422" t="n"/>
      <c r="Q98" s="427" t="n"/>
    </row>
    <row r="99" ht="9.75" customFormat="1" customHeight="1" s="356">
      <c r="A99" s="419" t="n"/>
      <c r="B99" s="396" t="n"/>
      <c r="C99" s="420" t="n"/>
      <c r="D99" s="421" t="n"/>
      <c r="E99" s="421" t="n"/>
      <c r="F99" s="422" t="n"/>
      <c r="G99" s="423" t="n"/>
      <c r="H99" s="424" t="n"/>
      <c r="I99" s="422" t="n"/>
      <c r="J99" s="421" t="n"/>
      <c r="K99" s="423" t="n"/>
      <c r="L99" s="425" t="n"/>
      <c r="M99" s="426" t="n"/>
      <c r="N99" s="423" t="n"/>
      <c r="O99" s="426" t="n"/>
      <c r="P99" s="422" t="n"/>
      <c r="Q99" s="428" t="n"/>
    </row>
    <row r="100" ht="9.75" customFormat="1" customHeight="1" s="356">
      <c r="A100" s="419" t="n"/>
      <c r="B100" s="396" t="n"/>
      <c r="C100" s="420" t="n"/>
      <c r="D100" s="421" t="n"/>
      <c r="E100" s="421" t="n"/>
      <c r="F100" s="422" t="n"/>
      <c r="G100" s="423" t="n"/>
      <c r="H100" s="424" t="n"/>
      <c r="I100" s="422" t="n"/>
      <c r="J100" s="421" t="n"/>
      <c r="K100" s="423" t="n"/>
      <c r="L100" s="425" t="n"/>
      <c r="M100" s="426" t="n"/>
      <c r="N100" s="423" t="n"/>
      <c r="O100" s="426" t="n"/>
      <c r="P100" s="422" t="n"/>
      <c r="Q100" s="428" t="n"/>
    </row>
    <row r="101" ht="9.75" customFormat="1" customHeight="1" s="356">
      <c r="A101" s="429" t="n"/>
      <c r="B101" s="412" t="n"/>
      <c r="C101" s="412" t="n"/>
      <c r="D101" s="430" t="n"/>
      <c r="E101" s="430" t="n"/>
      <c r="F101" s="430" t="n"/>
      <c r="G101" s="431" t="n"/>
      <c r="H101" s="430" t="n"/>
      <c r="I101" s="430" t="n"/>
      <c r="J101" s="430" t="n"/>
      <c r="K101" s="431" t="n"/>
      <c r="L101" s="432" t="n"/>
      <c r="M101" s="433" t="n"/>
      <c r="N101" s="433" t="n"/>
      <c r="O101" s="433" t="n"/>
      <c r="P101" s="434" t="n"/>
      <c r="Q101" s="435" t="n"/>
    </row>
    <row r="102" ht="9.75" customFormat="1" customHeight="1" s="413">
      <c r="A102" s="436" t="n"/>
      <c r="B102" s="437" t="n"/>
      <c r="C102" s="437" t="n"/>
      <c r="D102" s="438" t="n"/>
      <c r="E102" s="439" t="n"/>
      <c r="F102" s="440" t="n"/>
      <c r="G102" s="441" t="n"/>
      <c r="H102" s="440" t="n"/>
      <c r="I102" s="442" t="n"/>
      <c r="J102" s="443" t="n"/>
      <c r="K102" s="442" t="n"/>
      <c r="L102" s="440" t="n"/>
      <c r="M102" s="441" t="n"/>
      <c r="N102" s="444" t="n"/>
      <c r="O102" s="445" t="n"/>
      <c r="P102" s="441" t="n"/>
      <c r="Q102" s="446" t="n"/>
    </row>
    <row r="103" ht="9.75" customFormat="1" customHeight="1" s="413">
      <c r="A103" s="447" t="n"/>
      <c r="C103" s="448" t="n"/>
      <c r="D103" s="448" t="n"/>
      <c r="E103" s="449" t="n"/>
      <c r="F103" s="450" t="n"/>
      <c r="G103" s="451" t="n"/>
      <c r="H103" s="452" t="n"/>
      <c r="I103" s="453" t="n"/>
      <c r="J103" s="454" t="n"/>
      <c r="K103" s="455" t="n"/>
      <c r="L103" s="455" t="n"/>
      <c r="M103" s="455" t="n"/>
      <c r="N103" s="455" t="n"/>
      <c r="O103" s="433" t="n"/>
      <c r="P103" s="455" t="n"/>
      <c r="Q103" s="435" t="n"/>
    </row>
    <row r="104" ht="9.75" customFormat="1" customHeight="1" s="351">
      <c r="A104" s="456" t="n"/>
      <c r="B104" s="413" t="n"/>
      <c r="C104" s="448" t="n"/>
      <c r="D104" s="448" t="n"/>
      <c r="E104" s="430" t="n"/>
      <c r="G104" s="457" t="n"/>
      <c r="H104" s="448" t="n"/>
      <c r="I104" s="448" t="n"/>
      <c r="J104" s="448" t="n"/>
      <c r="K104" s="457" t="n"/>
      <c r="L104" s="458" t="n"/>
      <c r="M104" s="459" t="n"/>
      <c r="N104" s="459" t="n"/>
      <c r="O104" s="460" t="n"/>
      <c r="P104" s="459" t="n"/>
      <c r="Q104" s="461" t="n"/>
    </row>
    <row r="105" ht="9.949999999999999" customFormat="1" customHeight="1" s="356">
      <c r="A105" s="414" t="n"/>
      <c r="B105" s="415" t="n"/>
      <c r="C105" s="415" t="n"/>
      <c r="D105" s="415" t="n"/>
      <c r="E105" s="415" t="n"/>
      <c r="F105" s="416" t="n"/>
      <c r="G105" s="417" t="n"/>
      <c r="H105" s="415" t="n"/>
      <c r="I105" s="417" t="n"/>
      <c r="K105" s="415" t="n"/>
      <c r="L105" s="415" t="n"/>
      <c r="M105" s="415" t="n"/>
      <c r="N105" s="415" t="n"/>
      <c r="O105" s="415" t="n"/>
      <c r="P105" s="415" t="n"/>
      <c r="Q105" s="418" t="n"/>
    </row>
    <row r="106" ht="9.949999999999999" customFormat="1" customHeight="1" s="356">
      <c r="A106" s="419" t="n"/>
      <c r="B106" s="396" t="n"/>
      <c r="C106" s="420" t="n"/>
      <c r="D106" s="421" t="n"/>
      <c r="E106" s="421" t="n"/>
      <c r="F106" s="422" t="n"/>
      <c r="G106" s="423" t="n"/>
      <c r="H106" s="424" t="n"/>
      <c r="I106" s="422" t="n"/>
      <c r="J106" s="421" t="n"/>
      <c r="K106" s="423" t="n"/>
      <c r="L106" s="425" t="n"/>
      <c r="M106" s="426" t="n"/>
      <c r="N106" s="423" t="n"/>
      <c r="O106" s="426" t="n"/>
      <c r="P106" s="422" t="n"/>
      <c r="Q106" s="427" t="n"/>
    </row>
    <row r="107" ht="9.949999999999999" customFormat="1" customHeight="1" s="356">
      <c r="A107" s="419" t="n"/>
      <c r="B107" s="396" t="n"/>
      <c r="C107" s="420" t="n"/>
      <c r="D107" s="421" t="n"/>
      <c r="E107" s="421" t="n"/>
      <c r="F107" s="422" t="n"/>
      <c r="G107" s="423" t="n"/>
      <c r="H107" s="424" t="n"/>
      <c r="I107" s="422" t="n"/>
      <c r="J107" s="421" t="n"/>
      <c r="K107" s="423" t="n"/>
      <c r="L107" s="425" t="n"/>
      <c r="M107" s="426" t="n"/>
      <c r="N107" s="423" t="n"/>
      <c r="O107" s="426" t="n"/>
      <c r="P107" s="422" t="n"/>
      <c r="Q107" s="427" t="n"/>
    </row>
    <row r="108" ht="9.949999999999999" customFormat="1" customHeight="1" s="356">
      <c r="A108" s="419" t="n"/>
      <c r="B108" s="396" t="n"/>
      <c r="C108" s="420" t="n"/>
      <c r="D108" s="421" t="n"/>
      <c r="E108" s="421" t="n"/>
      <c r="F108" s="422" t="n"/>
      <c r="G108" s="423" t="n"/>
      <c r="H108" s="424" t="n"/>
      <c r="I108" s="422" t="n"/>
      <c r="J108" s="421" t="n"/>
      <c r="K108" s="423" t="n"/>
      <c r="L108" s="425" t="n"/>
      <c r="M108" s="426" t="n"/>
      <c r="N108" s="423" t="n"/>
      <c r="O108" s="426" t="n"/>
      <c r="P108" s="422" t="n"/>
      <c r="Q108" s="428" t="n"/>
    </row>
    <row r="109" ht="9.949999999999999" customFormat="1" customHeight="1" s="356">
      <c r="A109" s="419" t="n"/>
      <c r="B109" s="396" t="n"/>
      <c r="C109" s="420" t="n"/>
      <c r="D109" s="421" t="n"/>
      <c r="E109" s="421" t="n"/>
      <c r="F109" s="422" t="n"/>
      <c r="G109" s="423" t="n"/>
      <c r="H109" s="424" t="n"/>
      <c r="I109" s="422" t="n"/>
      <c r="J109" s="421" t="n"/>
      <c r="K109" s="423" t="n"/>
      <c r="L109" s="425" t="n"/>
      <c r="M109" s="426" t="n"/>
      <c r="N109" s="423" t="n"/>
      <c r="O109" s="426" t="n"/>
      <c r="P109" s="422" t="n"/>
      <c r="Q109" s="427" t="n"/>
    </row>
    <row r="110" ht="9.949999999999999" customFormat="1" customHeight="1" s="356">
      <c r="A110" s="419" t="n"/>
      <c r="B110" s="396" t="n"/>
      <c r="C110" s="420" t="n"/>
      <c r="D110" s="421" t="n"/>
      <c r="E110" s="421" t="n"/>
      <c r="F110" s="422" t="n"/>
      <c r="G110" s="423" t="n"/>
      <c r="H110" s="424" t="n"/>
      <c r="I110" s="422" t="n"/>
      <c r="J110" s="421" t="n"/>
      <c r="K110" s="423" t="n"/>
      <c r="L110" s="425" t="n"/>
      <c r="M110" s="426" t="n"/>
      <c r="N110" s="423" t="n"/>
      <c r="O110" s="426" t="n"/>
      <c r="P110" s="422" t="n"/>
      <c r="Q110" s="427" t="n"/>
    </row>
    <row r="111" ht="9.949999999999999" customFormat="1" customHeight="1" s="356">
      <c r="A111" s="419" t="n"/>
      <c r="B111" s="396" t="n"/>
      <c r="C111" s="420" t="n"/>
      <c r="D111" s="421" t="n"/>
      <c r="E111" s="421" t="n"/>
      <c r="F111" s="422" t="n"/>
      <c r="G111" s="423" t="n"/>
      <c r="H111" s="424" t="n"/>
      <c r="I111" s="422" t="n"/>
      <c r="J111" s="421" t="n"/>
      <c r="K111" s="423" t="n"/>
      <c r="L111" s="425" t="n"/>
      <c r="M111" s="426" t="n"/>
      <c r="N111" s="423" t="n"/>
      <c r="O111" s="426" t="n"/>
      <c r="P111" s="422" t="n"/>
      <c r="Q111" s="427" t="n"/>
    </row>
    <row r="112" ht="9.949999999999999" customFormat="1" customHeight="1" s="356">
      <c r="A112" s="419" t="n"/>
      <c r="B112" s="396" t="n"/>
      <c r="C112" s="420" t="n"/>
      <c r="D112" s="421" t="n"/>
      <c r="E112" s="421" t="n"/>
      <c r="F112" s="422" t="n"/>
      <c r="G112" s="423" t="n"/>
      <c r="H112" s="424" t="n"/>
      <c r="I112" s="422" t="n"/>
      <c r="J112" s="421" t="n"/>
      <c r="K112" s="423" t="n"/>
      <c r="L112" s="425" t="n"/>
      <c r="M112" s="426" t="n"/>
      <c r="N112" s="423" t="n"/>
      <c r="O112" s="426" t="n"/>
      <c r="P112" s="422" t="n"/>
      <c r="Q112" s="428" t="n"/>
    </row>
    <row r="113" ht="9.949999999999999" customFormat="1" customHeight="1" s="356">
      <c r="A113" s="419" t="n"/>
      <c r="B113" s="396" t="n"/>
      <c r="C113" s="420" t="n"/>
      <c r="D113" s="421" t="n"/>
      <c r="E113" s="421" t="n"/>
      <c r="F113" s="422" t="n"/>
      <c r="G113" s="423" t="n"/>
      <c r="H113" s="424" t="n"/>
      <c r="I113" s="422" t="n"/>
      <c r="J113" s="421" t="n"/>
      <c r="K113" s="423" t="n"/>
      <c r="L113" s="425" t="n"/>
      <c r="M113" s="426" t="n"/>
      <c r="N113" s="423" t="n"/>
      <c r="O113" s="426" t="n"/>
      <c r="P113" s="422" t="n"/>
      <c r="Q113" s="427" t="n"/>
    </row>
    <row r="114" ht="9.949999999999999" customFormat="1" customHeight="1" s="356">
      <c r="A114" s="419" t="n"/>
      <c r="B114" s="396" t="n"/>
      <c r="C114" s="420" t="n"/>
      <c r="D114" s="421" t="n"/>
      <c r="E114" s="421" t="n"/>
      <c r="F114" s="422" t="n"/>
      <c r="G114" s="423" t="n"/>
      <c r="H114" s="424" t="n"/>
      <c r="I114" s="422" t="n"/>
      <c r="J114" s="421" t="n"/>
      <c r="K114" s="423" t="n"/>
      <c r="L114" s="425" t="n"/>
      <c r="M114" s="426" t="n"/>
      <c r="N114" s="423" t="n"/>
      <c r="O114" s="426" t="n"/>
      <c r="P114" s="422" t="n"/>
      <c r="Q114" s="428" t="n"/>
    </row>
    <row r="115" ht="9.949999999999999" customFormat="1" customHeight="1" s="356">
      <c r="A115" s="429" t="n"/>
      <c r="B115" s="412" t="n"/>
      <c r="C115" s="412" t="n"/>
      <c r="D115" s="430" t="n"/>
      <c r="E115" s="430" t="n"/>
      <c r="F115" s="430" t="n"/>
      <c r="G115" s="431" t="n"/>
      <c r="H115" s="430" t="n"/>
      <c r="I115" s="430" t="n"/>
      <c r="J115" s="430" t="n"/>
      <c r="K115" s="431" t="n"/>
      <c r="L115" s="432" t="n"/>
      <c r="M115" s="433" t="n"/>
      <c r="N115" s="433" t="n"/>
      <c r="O115" s="433" t="n"/>
      <c r="P115" s="434" t="n"/>
      <c r="Q115" s="435" t="n"/>
    </row>
    <row r="116" ht="9.949999999999999" customFormat="1" customHeight="1" s="413">
      <c r="A116" s="436" t="n"/>
      <c r="B116" s="437" t="n"/>
      <c r="C116" s="437" t="n"/>
      <c r="D116" s="438" t="n"/>
      <c r="E116" s="439" t="n"/>
      <c r="F116" s="440" t="n"/>
      <c r="G116" s="441" t="n"/>
      <c r="H116" s="440" t="n"/>
      <c r="I116" s="442" t="n"/>
      <c r="J116" s="443" t="n"/>
      <c r="K116" s="442" t="n"/>
      <c r="L116" s="440" t="n"/>
      <c r="M116" s="441" t="n"/>
      <c r="N116" s="444" t="n"/>
      <c r="O116" s="445" t="n"/>
      <c r="P116" s="441" t="n"/>
      <c r="Q116" s="446" t="n"/>
    </row>
    <row r="117" ht="9.949999999999999" customFormat="1" customHeight="1" s="413">
      <c r="A117" s="447" t="n"/>
      <c r="C117" s="448" t="n"/>
      <c r="D117" s="448" t="n"/>
      <c r="E117" s="449" t="n"/>
      <c r="F117" s="450" t="n"/>
      <c r="G117" s="451" t="n"/>
      <c r="H117" s="452" t="n"/>
      <c r="I117" s="453" t="n"/>
      <c r="J117" s="454" t="n"/>
      <c r="K117" s="455" t="n"/>
      <c r="L117" s="455" t="n"/>
      <c r="M117" s="455" t="n"/>
      <c r="N117" s="455" t="n"/>
      <c r="O117" s="433" t="n"/>
      <c r="P117" s="455" t="n"/>
      <c r="Q117" s="435" t="n"/>
    </row>
    <row r="118" ht="9.949999999999999" customFormat="1" customHeight="1" s="351">
      <c r="A118" s="456" t="n"/>
      <c r="B118" s="413" t="n"/>
      <c r="C118" s="448" t="n"/>
      <c r="D118" s="448" t="n"/>
      <c r="E118" s="430" t="n"/>
      <c r="G118" s="457" t="n"/>
      <c r="H118" s="448" t="n"/>
      <c r="I118" s="448" t="n"/>
      <c r="J118" s="448" t="n"/>
      <c r="K118" s="457" t="n"/>
      <c r="L118" s="458" t="n"/>
      <c r="M118" s="459" t="n"/>
      <c r="N118" s="459" t="n"/>
      <c r="O118" s="460" t="n"/>
      <c r="P118" s="459" t="n"/>
      <c r="Q118" s="461" t="n"/>
    </row>
    <row r="119" ht="9.949999999999999" customFormat="1" customHeight="1" s="356">
      <c r="A119" s="414" t="n"/>
      <c r="B119" s="415" t="n"/>
      <c r="C119" s="415" t="n"/>
      <c r="D119" s="415" t="n"/>
      <c r="E119" s="415" t="n"/>
      <c r="F119" s="416" t="n"/>
      <c r="G119" s="417" t="n"/>
      <c r="H119" s="415" t="n"/>
      <c r="I119" s="417" t="n"/>
      <c r="K119" s="415" t="n"/>
      <c r="L119" s="415" t="n"/>
      <c r="M119" s="415" t="n"/>
      <c r="N119" s="415" t="n"/>
      <c r="O119" s="415" t="n"/>
      <c r="P119" s="415" t="n"/>
      <c r="Q119" s="418" t="n"/>
    </row>
    <row r="120" ht="9.949999999999999" customFormat="1" customHeight="1" s="356">
      <c r="A120" s="419" t="n"/>
      <c r="B120" s="396" t="n"/>
      <c r="C120" s="420" t="n"/>
      <c r="D120" s="421" t="n"/>
      <c r="E120" s="421" t="n"/>
      <c r="F120" s="422" t="n"/>
      <c r="G120" s="423" t="n"/>
      <c r="H120" s="424" t="n"/>
      <c r="I120" s="422" t="n"/>
      <c r="J120" s="421" t="n"/>
      <c r="K120" s="423" t="n"/>
      <c r="L120" s="425" t="n"/>
      <c r="M120" s="426" t="n"/>
      <c r="N120" s="423" t="n"/>
      <c r="O120" s="426" t="n"/>
      <c r="P120" s="422" t="n"/>
      <c r="Q120" s="427" t="n"/>
    </row>
    <row r="121" ht="9.949999999999999" customFormat="1" customHeight="1" s="356">
      <c r="A121" s="419" t="n"/>
      <c r="B121" s="396" t="n"/>
      <c r="C121" s="420" t="n"/>
      <c r="D121" s="421" t="n"/>
      <c r="E121" s="421" t="n"/>
      <c r="F121" s="422" t="n"/>
      <c r="G121" s="423" t="n"/>
      <c r="H121" s="424" t="n"/>
      <c r="I121" s="422" t="n"/>
      <c r="J121" s="421" t="n"/>
      <c r="K121" s="423" t="n"/>
      <c r="L121" s="425" t="n"/>
      <c r="M121" s="426" t="n"/>
      <c r="N121" s="423" t="n"/>
      <c r="O121" s="426" t="n"/>
      <c r="P121" s="422" t="n"/>
      <c r="Q121" s="427" t="n"/>
    </row>
    <row r="122" ht="9.949999999999999" customFormat="1" customHeight="1" s="356">
      <c r="A122" s="419" t="n"/>
      <c r="B122" s="396" t="n"/>
      <c r="C122" s="420" t="n"/>
      <c r="D122" s="421" t="n"/>
      <c r="E122" s="421" t="n"/>
      <c r="F122" s="422" t="n"/>
      <c r="G122" s="423" t="n"/>
      <c r="H122" s="424" t="n"/>
      <c r="I122" s="422" t="n"/>
      <c r="J122" s="421" t="n"/>
      <c r="K122" s="423" t="n"/>
      <c r="L122" s="425" t="n"/>
      <c r="M122" s="426" t="n"/>
      <c r="N122" s="423" t="n"/>
      <c r="O122" s="426" t="n"/>
      <c r="P122" s="422" t="n"/>
      <c r="Q122" s="427" t="n"/>
    </row>
    <row r="123" ht="9.949999999999999" customFormat="1" customHeight="1" s="356">
      <c r="A123" s="419" t="n"/>
      <c r="B123" s="396" t="n"/>
      <c r="C123" s="420" t="n"/>
      <c r="D123" s="421" t="n"/>
      <c r="E123" s="421" t="n"/>
      <c r="F123" s="422" t="n"/>
      <c r="G123" s="423" t="n"/>
      <c r="H123" s="424" t="n"/>
      <c r="I123" s="422" t="n"/>
      <c r="J123" s="421" t="n"/>
      <c r="K123" s="423" t="n"/>
      <c r="L123" s="425" t="n"/>
      <c r="M123" s="426" t="n"/>
      <c r="N123" s="423" t="n"/>
      <c r="O123" s="426" t="n"/>
      <c r="P123" s="422" t="n"/>
      <c r="Q123" s="427" t="n"/>
    </row>
    <row r="124" ht="9.949999999999999" customFormat="1" customHeight="1" s="356">
      <c r="A124" s="419" t="n"/>
      <c r="B124" s="396" t="n"/>
      <c r="C124" s="420" t="n"/>
      <c r="D124" s="421" t="n"/>
      <c r="E124" s="421" t="n"/>
      <c r="F124" s="422" t="n"/>
      <c r="G124" s="423" t="n"/>
      <c r="H124" s="424" t="n"/>
      <c r="I124" s="422" t="n"/>
      <c r="J124" s="421" t="n"/>
      <c r="K124" s="423" t="n"/>
      <c r="L124" s="425" t="n"/>
      <c r="M124" s="426" t="n"/>
      <c r="N124" s="423" t="n"/>
      <c r="O124" s="426" t="n"/>
      <c r="P124" s="422" t="n"/>
      <c r="Q124" s="427" t="n"/>
    </row>
    <row r="125" ht="9.949999999999999" customFormat="1" customHeight="1" s="356">
      <c r="A125" s="419" t="n"/>
      <c r="B125" s="396" t="n"/>
      <c r="C125" s="420" t="n"/>
      <c r="D125" s="421" t="n"/>
      <c r="E125" s="421" t="n"/>
      <c r="F125" s="422" t="n"/>
      <c r="G125" s="423" t="n"/>
      <c r="H125" s="424" t="n"/>
      <c r="I125" s="422" t="n"/>
      <c r="J125" s="421" t="n"/>
      <c r="K125" s="423" t="n"/>
      <c r="L125" s="425" t="n"/>
      <c r="M125" s="426" t="n"/>
      <c r="N125" s="423" t="n"/>
      <c r="O125" s="426" t="n"/>
      <c r="P125" s="422" t="n"/>
      <c r="Q125" s="428" t="n"/>
    </row>
    <row r="126" ht="9.949999999999999" customFormat="1" customHeight="1" s="356">
      <c r="A126" s="419" t="n"/>
      <c r="B126" s="396" t="n"/>
      <c r="C126" s="420" t="n"/>
      <c r="D126" s="421" t="n"/>
      <c r="E126" s="421" t="n"/>
      <c r="F126" s="422" t="n"/>
      <c r="G126" s="423" t="n"/>
      <c r="H126" s="424" t="n"/>
      <c r="I126" s="422" t="n"/>
      <c r="J126" s="421" t="n"/>
      <c r="K126" s="423" t="n"/>
      <c r="L126" s="425" t="n"/>
      <c r="M126" s="426" t="n"/>
      <c r="N126" s="423" t="n"/>
      <c r="O126" s="426" t="n"/>
      <c r="P126" s="422" t="n"/>
      <c r="Q126" s="427" t="n"/>
    </row>
    <row r="127" ht="9.949999999999999" customFormat="1" customHeight="1" s="356">
      <c r="A127" s="419" t="n"/>
      <c r="B127" s="396" t="n"/>
      <c r="C127" s="420" t="n"/>
      <c r="D127" s="421" t="n"/>
      <c r="E127" s="421" t="n"/>
      <c r="F127" s="422" t="n"/>
      <c r="G127" s="423" t="n"/>
      <c r="H127" s="424" t="n"/>
      <c r="I127" s="422" t="n"/>
      <c r="J127" s="421" t="n"/>
      <c r="K127" s="423" t="n"/>
      <c r="L127" s="425" t="n"/>
      <c r="M127" s="426" t="n"/>
      <c r="N127" s="423" t="n"/>
      <c r="O127" s="426" t="n"/>
      <c r="P127" s="422" t="n"/>
      <c r="Q127" s="428" t="n"/>
    </row>
    <row r="128" ht="9.949999999999999" customFormat="1" customHeight="1" s="356">
      <c r="A128" s="429" t="n"/>
      <c r="B128" s="412" t="n"/>
      <c r="C128" s="412" t="n"/>
      <c r="D128" s="430" t="n"/>
      <c r="E128" s="430" t="n"/>
      <c r="F128" s="430" t="n"/>
      <c r="G128" s="431" t="n"/>
      <c r="H128" s="430" t="n"/>
      <c r="I128" s="430" t="n"/>
      <c r="J128" s="430" t="n"/>
      <c r="K128" s="431" t="n"/>
      <c r="L128" s="432" t="n"/>
      <c r="M128" s="433" t="n"/>
      <c r="N128" s="433" t="n"/>
      <c r="O128" s="433" t="n"/>
      <c r="P128" s="434" t="n"/>
      <c r="Q128" s="435" t="n"/>
    </row>
    <row r="129" ht="9.949999999999999" customFormat="1" customHeight="1" s="413">
      <c r="A129" s="436" t="n"/>
      <c r="B129" s="437" t="n"/>
      <c r="C129" s="437" t="n"/>
      <c r="D129" s="438" t="n"/>
      <c r="E129" s="439" t="n"/>
      <c r="F129" s="440" t="n"/>
      <c r="G129" s="441" t="n"/>
      <c r="H129" s="440" t="n"/>
      <c r="I129" s="442" t="n"/>
      <c r="J129" s="443" t="n"/>
      <c r="K129" s="442" t="n"/>
      <c r="L129" s="440" t="n"/>
      <c r="M129" s="441" t="n"/>
      <c r="N129" s="444" t="n"/>
      <c r="O129" s="445" t="n"/>
      <c r="P129" s="441" t="n"/>
      <c r="Q129" s="446" t="n"/>
    </row>
    <row r="130" ht="9.949999999999999" customFormat="1" customHeight="1" s="413">
      <c r="A130" s="447" t="n"/>
      <c r="C130" s="448" t="n"/>
      <c r="D130" s="448" t="n"/>
      <c r="E130" s="449" t="n"/>
      <c r="F130" s="450" t="n"/>
      <c r="G130" s="451" t="n"/>
      <c r="H130" s="452" t="n"/>
      <c r="I130" s="453" t="n"/>
      <c r="J130" s="454" t="n"/>
      <c r="K130" s="455" t="n"/>
      <c r="L130" s="455" t="n"/>
      <c r="M130" s="455" t="n"/>
      <c r="N130" s="455" t="n"/>
      <c r="O130" s="433" t="n"/>
      <c r="P130" s="455" t="n"/>
      <c r="Q130" s="435" t="n"/>
    </row>
    <row r="131" ht="9.949999999999999" customFormat="1" customHeight="1" s="351">
      <c r="A131" s="456" t="n"/>
      <c r="B131" s="413" t="n"/>
      <c r="C131" s="448" t="n"/>
      <c r="D131" s="448" t="n"/>
      <c r="E131" s="430" t="n"/>
      <c r="G131" s="457" t="n"/>
      <c r="H131" s="448" t="n"/>
      <c r="I131" s="448" t="n"/>
      <c r="J131" s="448" t="n"/>
      <c r="K131" s="457" t="n"/>
      <c r="L131" s="458" t="n"/>
      <c r="M131" s="459" t="n"/>
      <c r="N131" s="459" t="n"/>
      <c r="O131" s="460" t="n"/>
      <c r="P131" s="459" t="n"/>
      <c r="Q131" s="461" t="n"/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0">
    <mergeCell ref="M3:P3"/>
    <mergeCell ref="E68:F68"/>
    <mergeCell ref="E39:F39"/>
    <mergeCell ref="E3:H3"/>
    <mergeCell ref="E19:F19"/>
    <mergeCell ref="E30:F30"/>
    <mergeCell ref="E77:F77"/>
    <mergeCell ref="I69:J69"/>
    <mergeCell ref="E49:F49"/>
    <mergeCell ref="I8:J8"/>
    <mergeCell ref="E85:F85"/>
    <mergeCell ref="I20:J20"/>
    <mergeCell ref="I78:J78"/>
    <mergeCell ref="I3:L3"/>
    <mergeCell ref="A3:D3"/>
    <mergeCell ref="I59:J59"/>
    <mergeCell ref="I50:J50"/>
    <mergeCell ref="I31:J31"/>
    <mergeCell ref="E58:F58"/>
    <mergeCell ref="I40:J40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4625" ySplit="0" topLeftCell="A1" activePane="topLeft" state="split"/>
      <selection pane="topLeft" activeCell="F19" activeCellId="0" sqref="F19"/>
      <selection pane="topRight" activeCell="A1" activeCellId="0" sqref="A1"/>
    </sheetView>
  </sheetViews>
  <sheetFormatPr baseColWidth="8" defaultColWidth="9.13671875" defaultRowHeight="12.75" zeroHeight="0" outlineLevelRow="0"/>
  <cols>
    <col width="5.41" customWidth="1" style="462" min="1" max="1"/>
    <col width="20.99" customWidth="1" style="462" min="2" max="2"/>
    <col width="11.85" customWidth="1" style="462" min="3" max="3"/>
    <col width="10.13" customWidth="1" style="462" min="4" max="4"/>
    <col width="9.99" customWidth="1" style="462" min="5" max="5"/>
    <col width="9.85" customWidth="1" style="462" min="6" max="6"/>
    <col width="16.99" customWidth="1" style="462" min="7" max="7"/>
    <col width="3.28" customWidth="1" style="462" min="8" max="8"/>
    <col width="4.14" customWidth="1" style="462" min="9" max="10"/>
    <col width="3.99" customWidth="1" style="462" min="11" max="11"/>
    <col width="4.14" customWidth="1" style="462" min="12" max="16"/>
    <col width="9.140000000000001" customWidth="1" style="463" min="17" max="21"/>
    <col width="16.7" customWidth="1" style="463" min="22" max="22"/>
    <col width="9.140000000000001" customWidth="1" style="463" min="23" max="257"/>
  </cols>
  <sheetData>
    <row r="1" ht="12.75" customHeight="1" s="244">
      <c r="A1" s="464" t="inlineStr">
        <is>
          <t>ROTAŞ</t>
        </is>
      </c>
      <c r="B1" s="275" t="n"/>
      <c r="C1" s="465" t="inlineStr">
        <is>
          <t>MAHAL VE YERDEN ISITMA BORU BOYU ÇİZELGESİ</t>
        </is>
      </c>
      <c r="D1" s="250" t="n"/>
      <c r="E1" s="250" t="n"/>
      <c r="F1" s="250" t="n"/>
      <c r="G1" s="275" t="n"/>
      <c r="H1" s="465" t="inlineStr">
        <is>
          <t>SAYFA</t>
        </is>
      </c>
      <c r="I1" s="250" t="n"/>
      <c r="J1" s="250" t="n"/>
      <c r="K1" s="250" t="n"/>
      <c r="L1" s="250" t="n"/>
      <c r="M1" s="275" t="n"/>
      <c r="N1" s="465" t="n">
        <v>7</v>
      </c>
      <c r="O1" s="250" t="n"/>
      <c r="P1" s="275" t="n"/>
    </row>
    <row r="2" ht="8.25" customHeight="1" s="244">
      <c r="A2" s="466" t="n"/>
      <c r="B2" s="467" t="n"/>
      <c r="C2" s="466" t="n"/>
      <c r="G2" s="467" t="n"/>
      <c r="H2" s="278" t="n"/>
      <c r="I2" s="256" t="n"/>
      <c r="J2" s="256" t="n"/>
      <c r="K2" s="256" t="n"/>
      <c r="L2" s="256" t="n"/>
      <c r="M2" s="277" t="n"/>
      <c r="N2" s="278" t="n"/>
      <c r="O2" s="256" t="n"/>
      <c r="P2" s="277" t="n"/>
    </row>
    <row r="3" ht="5.25" customHeight="1" s="244">
      <c r="A3" s="466" t="n"/>
      <c r="B3" s="467" t="n"/>
      <c r="C3" s="466" t="n"/>
      <c r="G3" s="467" t="n"/>
      <c r="H3" s="465" t="inlineStr">
        <is>
          <t>TARİH</t>
        </is>
      </c>
      <c r="I3" s="250" t="n"/>
      <c r="J3" s="250" t="n"/>
      <c r="K3" s="250" t="n"/>
      <c r="L3" s="250" t="n"/>
      <c r="M3" s="275" t="n"/>
      <c r="N3" s="468" t="n">
        <v>46306</v>
      </c>
      <c r="O3" s="250" t="n"/>
      <c r="P3" s="275" t="n"/>
    </row>
    <row r="4" ht="15" customHeight="1" s="244">
      <c r="A4" s="278" t="n"/>
      <c r="B4" s="277" t="n"/>
      <c r="C4" s="278" t="n"/>
      <c r="D4" s="256" t="n"/>
      <c r="E4" s="256" t="n"/>
      <c r="F4" s="256" t="n"/>
      <c r="G4" s="277" t="n"/>
      <c r="H4" s="278" t="n"/>
      <c r="I4" s="256" t="n"/>
      <c r="J4" s="256" t="n"/>
      <c r="K4" s="256" t="n"/>
      <c r="L4" s="256" t="n"/>
      <c r="M4" s="277" t="n"/>
      <c r="N4" s="278" t="n"/>
      <c r="O4" s="256" t="n"/>
      <c r="P4" s="277" t="n"/>
    </row>
    <row r="5" ht="13.5" customHeight="1" s="244">
      <c r="A5" s="465" t="inlineStr">
        <is>
          <t>ODANIN</t>
        </is>
      </c>
      <c r="B5" s="260" t="n"/>
      <c r="C5" s="465" t="inlineStr">
        <is>
          <t>RADYATÖRLERİN</t>
        </is>
      </c>
      <c r="D5" s="264" t="n"/>
      <c r="E5" s="264" t="n"/>
      <c r="F5" s="264" t="n"/>
      <c r="G5" s="260" t="n"/>
      <c r="H5" s="465" t="inlineStr">
        <is>
          <t>TEFERRUATIN</t>
        </is>
      </c>
      <c r="I5" s="264" t="n"/>
      <c r="J5" s="264" t="n"/>
      <c r="K5" s="264" t="n"/>
      <c r="L5" s="264" t="n"/>
      <c r="M5" s="264" t="n"/>
      <c r="N5" s="264" t="n"/>
      <c r="O5" s="264" t="n"/>
      <c r="P5" s="260" t="n"/>
    </row>
    <row r="6" ht="12.75" customHeight="1" s="244">
      <c r="A6" s="465" t="inlineStr">
        <is>
          <t>NO</t>
        </is>
      </c>
      <c r="B6" s="465" t="inlineStr">
        <is>
          <t>ADI</t>
        </is>
      </c>
      <c r="C6" s="469" t="inlineStr">
        <is>
          <t>SICAKLIĞI</t>
        </is>
      </c>
      <c r="D6" s="464" t="inlineStr">
        <is>
          <t>ISI
KAYBI</t>
        </is>
      </c>
      <c r="E6" s="464" t="inlineStr">
        <is>
          <t>BİRİM 
VERİMİ</t>
        </is>
      </c>
      <c r="F6" s="465" t="inlineStr">
        <is>
          <t>VERİMİ</t>
        </is>
      </c>
      <c r="G6" s="465" t="inlineStr">
        <is>
          <t>BORU UZUNLUĞU</t>
        </is>
      </c>
      <c r="H6" s="470" t="inlineStr">
        <is>
          <t>GRUP</t>
        </is>
      </c>
      <c r="I6" s="470" t="inlineStr">
        <is>
          <t>KONSOL</t>
        </is>
      </c>
      <c r="J6" s="470" t="inlineStr">
        <is>
          <t>KELEPÇE</t>
        </is>
      </c>
      <c r="K6" s="465" t="inlineStr">
        <is>
          <t>MUSLUK</t>
        </is>
      </c>
      <c r="L6" s="264" t="n"/>
      <c r="M6" s="260" t="n"/>
      <c r="N6" s="465" t="inlineStr">
        <is>
          <t>REKOR</t>
        </is>
      </c>
      <c r="O6" s="264" t="n"/>
      <c r="P6" s="260" t="n"/>
    </row>
    <row r="7" ht="12.75" customHeight="1" s="244">
      <c r="A7" s="471" t="n"/>
      <c r="B7" s="471" t="n"/>
      <c r="C7" s="471" t="n"/>
      <c r="D7" s="471" t="n"/>
      <c r="E7" s="471" t="n"/>
      <c r="F7" s="471" t="n"/>
      <c r="G7" s="471" t="n"/>
      <c r="H7" s="471" t="n"/>
      <c r="I7" s="471" t="n"/>
      <c r="J7" s="471" t="n"/>
      <c r="K7" s="472" t="inlineStr">
        <is>
          <t>1/2"</t>
        </is>
      </c>
      <c r="L7" s="472" t="inlineStr">
        <is>
          <t>3/4"</t>
        </is>
      </c>
      <c r="M7" s="472" t="inlineStr">
        <is>
          <t>1"</t>
        </is>
      </c>
      <c r="N7" s="472" t="inlineStr">
        <is>
          <t>1/2"</t>
        </is>
      </c>
      <c r="O7" s="472" t="inlineStr">
        <is>
          <t>3/4"</t>
        </is>
      </c>
      <c r="P7" s="472" t="inlineStr">
        <is>
          <t>1"</t>
        </is>
      </c>
    </row>
    <row r="8" ht="6" customHeight="1" s="244">
      <c r="A8" s="471" t="n"/>
      <c r="B8" s="471" t="n"/>
      <c r="C8" s="303" t="n"/>
      <c r="D8" s="303" t="n"/>
      <c r="E8" s="303" t="n"/>
      <c r="F8" s="303" t="n"/>
      <c r="G8" s="303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</row>
    <row r="9" ht="12.75" customHeight="1" s="244">
      <c r="A9" s="303" t="n"/>
      <c r="B9" s="303" t="n"/>
      <c r="C9" s="473" t="inlineStr">
        <is>
          <t>0c</t>
        </is>
      </c>
      <c r="D9" s="465" t="inlineStr">
        <is>
          <t>W/h</t>
        </is>
      </c>
      <c r="E9" s="465" t="inlineStr">
        <is>
          <t>W/m2K</t>
        </is>
      </c>
      <c r="F9" s="465" t="inlineStr">
        <is>
          <t>W/m2K</t>
        </is>
      </c>
      <c r="G9" s="465" t="inlineStr">
        <is>
          <t>m</t>
        </is>
      </c>
      <c r="H9" s="303" t="n"/>
      <c r="I9" s="303" t="n"/>
      <c r="J9" s="303" t="n"/>
      <c r="K9" s="303" t="n"/>
      <c r="L9" s="303" t="n"/>
      <c r="M9" s="303" t="n"/>
      <c r="N9" s="303" t="n"/>
      <c r="O9" s="303" t="n"/>
      <c r="P9" s="303" t="n"/>
    </row>
    <row r="10" ht="12.75" customHeight="1" s="244">
      <c r="A10" s="474" t="inlineStr">
        <is>
          <t>B01</t>
        </is>
      </c>
      <c r="B10" s="475" t="inlineStr">
        <is>
          <t>DAİRE 1 SALON</t>
        </is>
      </c>
      <c r="C10" s="476" t="inlineStr">
        <is>
          <t>22</t>
        </is>
      </c>
      <c r="D10" s="477">
        <f>'BODRUM'!Q19</f>
        <v/>
      </c>
      <c r="E10" s="478" t="n">
        <v>17.5</v>
      </c>
      <c r="F10" s="477">
        <f>'YERDEN ISITMA'!N10</f>
        <v/>
      </c>
      <c r="G10" s="474" t="n">
        <v>157.02</v>
      </c>
      <c r="H10" s="474" t="n">
        <v>3</v>
      </c>
      <c r="I10" s="474" t="inlineStr">
        <is>
          <t>ZEMİNDEN ISITMA</t>
        </is>
      </c>
      <c r="J10" s="264" t="n"/>
      <c r="K10" s="264" t="n"/>
      <c r="L10" s="264" t="n"/>
      <c r="M10" s="264" t="n"/>
      <c r="N10" s="264" t="n"/>
      <c r="O10" s="264" t="n"/>
      <c r="P10" s="260" t="n"/>
    </row>
    <row r="11" ht="12.75" customHeight="1" s="244">
      <c r="A11" s="474" t="inlineStr">
        <is>
          <t>B02</t>
        </is>
      </c>
      <c r="B11" s="475" t="inlineStr">
        <is>
          <t>DAİRE 1 MUTFAK</t>
        </is>
      </c>
      <c r="C11" s="476" t="inlineStr">
        <is>
          <t>20</t>
        </is>
      </c>
      <c r="D11" s="477">
        <f>'BODRUM'!Q30</f>
        <v/>
      </c>
      <c r="E11" s="478" t="n">
        <v>17.5</v>
      </c>
      <c r="F11" s="477">
        <f>'YERDEN ISITMA'!N11</f>
        <v/>
      </c>
      <c r="G11" s="474" t="n">
        <v>92.19</v>
      </c>
      <c r="H11" s="474" t="n">
        <v>2</v>
      </c>
      <c r="I11" s="474" t="inlineStr">
        <is>
          <t>ZEMİNDEN ISITMA</t>
        </is>
      </c>
      <c r="J11" s="264" t="n"/>
      <c r="K11" s="264" t="n"/>
      <c r="L11" s="264" t="n"/>
      <c r="M11" s="264" t="n"/>
      <c r="N11" s="264" t="n"/>
      <c r="O11" s="264" t="n"/>
      <c r="P11" s="260" t="n"/>
    </row>
    <row r="12" ht="12.75" customHeight="1" s="244">
      <c r="A12" s="474" t="inlineStr">
        <is>
          <t>B03</t>
        </is>
      </c>
      <c r="B12" s="475" t="inlineStr">
        <is>
          <t>DAİRE 1 ODA</t>
        </is>
      </c>
      <c r="C12" s="476" t="inlineStr">
        <is>
          <t>20</t>
        </is>
      </c>
      <c r="D12" s="477">
        <f>'BODRUM'!Q39</f>
        <v/>
      </c>
      <c r="E12" s="478" t="n">
        <v>17.5</v>
      </c>
      <c r="F12" s="477">
        <f>'YERDEN ISITMA'!N12</f>
        <v/>
      </c>
      <c r="G12" s="474" t="n">
        <v>67.58</v>
      </c>
      <c r="H12" s="474" t="n">
        <v>1</v>
      </c>
      <c r="I12" s="474" t="inlineStr">
        <is>
          <t>ZEMİNDEN ISITMA</t>
        </is>
      </c>
      <c r="J12" s="264" t="n"/>
      <c r="K12" s="264" t="n"/>
      <c r="L12" s="264" t="n"/>
      <c r="M12" s="264" t="n"/>
      <c r="N12" s="264" t="n"/>
      <c r="O12" s="264" t="n"/>
      <c r="P12" s="260" t="n"/>
    </row>
    <row r="13" ht="12.75" customHeight="1" s="244">
      <c r="A13" s="474" t="inlineStr">
        <is>
          <t>B04</t>
        </is>
      </c>
      <c r="B13" s="475" t="inlineStr">
        <is>
          <t>DAİRE 1 YATAK ODASI 1</t>
        </is>
      </c>
      <c r="C13" s="476" t="inlineStr">
        <is>
          <t>20</t>
        </is>
      </c>
      <c r="D13" s="477">
        <f>'BODRUM'!Q49</f>
        <v/>
      </c>
      <c r="E13" s="478" t="n">
        <v>17.5</v>
      </c>
      <c r="F13" s="477">
        <f>'YERDEN ISITMA'!N13</f>
        <v/>
      </c>
      <c r="G13" s="474" t="n">
        <v>74.14</v>
      </c>
      <c r="H13" s="474" t="n">
        <v>1</v>
      </c>
      <c r="I13" s="474" t="inlineStr">
        <is>
          <t>ZEMİNDEN ISITMA</t>
        </is>
      </c>
      <c r="J13" s="264" t="n"/>
      <c r="K13" s="264" t="n"/>
      <c r="L13" s="264" t="n"/>
      <c r="M13" s="264" t="n"/>
      <c r="N13" s="264" t="n"/>
      <c r="O13" s="264" t="n"/>
      <c r="P13" s="260" t="n"/>
    </row>
    <row r="14" ht="12.75" customHeight="1" s="244">
      <c r="A14" s="474" t="inlineStr">
        <is>
          <t>B05</t>
        </is>
      </c>
      <c r="B14" s="475" t="inlineStr">
        <is>
          <t>DAİRE 1 YATAK ODASI 2</t>
        </is>
      </c>
      <c r="C14" s="476" t="inlineStr">
        <is>
          <t>20</t>
        </is>
      </c>
      <c r="D14" s="477">
        <f>'BODRUM'!Q58</f>
        <v/>
      </c>
      <c r="E14" s="478" t="n">
        <v>17.5</v>
      </c>
      <c r="F14" s="477">
        <f>'YERDEN ISITMA'!N14</f>
        <v/>
      </c>
      <c r="G14" s="474" t="n">
        <v>84.26000000000001</v>
      </c>
      <c r="H14" s="474" t="n">
        <v>2</v>
      </c>
      <c r="I14" s="474" t="inlineStr">
        <is>
          <t>ZEMİNDEN ISITMA</t>
        </is>
      </c>
      <c r="J14" s="264" t="n"/>
      <c r="K14" s="264" t="n"/>
      <c r="L14" s="264" t="n"/>
      <c r="M14" s="264" t="n"/>
      <c r="N14" s="264" t="n"/>
      <c r="O14" s="264" t="n"/>
      <c r="P14" s="260" t="n"/>
    </row>
    <row r="15" ht="12.75" customHeight="1" s="244">
      <c r="A15" s="474" t="inlineStr">
        <is>
          <t>B06</t>
        </is>
      </c>
      <c r="B15" s="475" t="inlineStr">
        <is>
          <t>DAİRE 1 BANYO</t>
        </is>
      </c>
      <c r="C15" s="476" t="inlineStr">
        <is>
          <t>26</t>
        </is>
      </c>
      <c r="D15" s="477">
        <f>'BODRUM'!Q68</f>
        <v/>
      </c>
      <c r="E15" s="478" t="n">
        <v>17.5</v>
      </c>
      <c r="F15" s="477">
        <f>'YERDEN ISITMA'!N15</f>
        <v/>
      </c>
      <c r="G15" s="474" t="n">
        <v>54.52</v>
      </c>
      <c r="H15" s="474" t="n">
        <v>1</v>
      </c>
      <c r="I15" s="474" t="inlineStr">
        <is>
          <t>ZEMİNDEN ISITMA</t>
        </is>
      </c>
      <c r="J15" s="264" t="n"/>
      <c r="K15" s="264" t="n"/>
      <c r="L15" s="264" t="n"/>
      <c r="M15" s="264" t="n"/>
      <c r="N15" s="264" t="n"/>
      <c r="O15" s="264" t="n"/>
      <c r="P15" s="260" t="n"/>
    </row>
    <row r="16" ht="12.75" customHeight="1" s="244">
      <c r="A16" s="474" t="inlineStr">
        <is>
          <t>B07</t>
        </is>
      </c>
      <c r="B16" s="475" t="inlineStr">
        <is>
          <t>DAİRE 1 BANYO-WC</t>
        </is>
      </c>
      <c r="C16" s="476" t="inlineStr">
        <is>
          <t>26</t>
        </is>
      </c>
      <c r="D16" s="477">
        <f>'BODRUM'!Q77</f>
        <v/>
      </c>
      <c r="E16" s="478" t="n">
        <v>17.5</v>
      </c>
      <c r="F16" s="477">
        <f>'YERDEN ISITMA'!N16</f>
        <v/>
      </c>
      <c r="G16" s="474" t="n">
        <v>29.08</v>
      </c>
      <c r="H16" s="474" t="n">
        <v>1</v>
      </c>
      <c r="I16" s="474" t="inlineStr">
        <is>
          <t>ZEMİNDEN ISITMA</t>
        </is>
      </c>
      <c r="J16" s="264" t="n"/>
      <c r="K16" s="264" t="n"/>
      <c r="L16" s="264" t="n"/>
      <c r="M16" s="264" t="n"/>
      <c r="N16" s="264" t="n"/>
      <c r="O16" s="264" t="n"/>
      <c r="P16" s="260" t="n"/>
    </row>
    <row r="17" ht="12.75" customHeight="1" s="244">
      <c r="A17" s="474" t="inlineStr">
        <is>
          <t>B08</t>
        </is>
      </c>
      <c r="B17" s="475" t="inlineStr">
        <is>
          <t>DAİRE 1 HOL</t>
        </is>
      </c>
      <c r="C17" s="476" t="inlineStr">
        <is>
          <t>18</t>
        </is>
      </c>
      <c r="D17" s="477">
        <f>'BODRUM'!Q85</f>
        <v/>
      </c>
      <c r="E17" s="478" t="n">
        <v>17.5</v>
      </c>
      <c r="F17" s="477">
        <f>'YERDEN ISITMA'!N17</f>
        <v/>
      </c>
      <c r="G17" s="474" t="n">
        <v>10.17</v>
      </c>
      <c r="H17" s="474" t="n">
        <v>1</v>
      </c>
      <c r="I17" s="474" t="inlineStr">
        <is>
          <t>ZEMİNDEN ISITMA (BAĞLANTI BORULARI)</t>
        </is>
      </c>
      <c r="J17" s="264" t="n"/>
      <c r="K17" s="264" t="n"/>
      <c r="L17" s="264" t="n"/>
      <c r="M17" s="264" t="n"/>
      <c r="N17" s="264" t="n"/>
      <c r="O17" s="264" t="n"/>
      <c r="P17" s="260" t="n"/>
    </row>
    <row r="18" ht="12.75" customHeight="1" s="244">
      <c r="A18" s="474" t="n"/>
      <c r="B18" s="474" t="n"/>
      <c r="C18" s="476" t="n"/>
      <c r="D18" s="477" t="n"/>
      <c r="E18" s="479" t="inlineStr">
        <is>
          <t>TOPLAM =</t>
        </is>
      </c>
      <c r="F18" s="480">
        <f>SUM(F10:F17)</f>
        <v/>
      </c>
      <c r="G18" s="474" t="inlineStr">
        <is>
          <t>watt</t>
        </is>
      </c>
      <c r="H18" s="474" t="n"/>
      <c r="I18" s="474" t="n"/>
      <c r="J18" s="481" t="n"/>
      <c r="K18" s="481" t="n"/>
      <c r="L18" s="481" t="n"/>
      <c r="M18" s="481" t="n"/>
      <c r="N18" s="481" t="n"/>
      <c r="O18" s="481" t="n"/>
      <c r="P18" s="481" t="n"/>
    </row>
    <row r="19" ht="12.75" customHeight="1" s="244">
      <c r="A19" s="474" t="inlineStr">
        <is>
          <t>Z01</t>
        </is>
      </c>
      <c r="B19" s="475" t="inlineStr">
        <is>
          <t>DAİRE 2 SALON</t>
        </is>
      </c>
      <c r="C19" s="476" t="inlineStr">
        <is>
          <t>22</t>
        </is>
      </c>
      <c r="D19" s="477">
        <f>'ZEMİN'!Q18</f>
        <v/>
      </c>
      <c r="E19" s="478" t="n">
        <v>17.5</v>
      </c>
      <c r="F19" s="477">
        <f>'YERDEN ISITMA'!N19</f>
        <v/>
      </c>
      <c r="G19" s="474" t="n">
        <v>157.02</v>
      </c>
      <c r="H19" s="474" t="n">
        <v>3</v>
      </c>
      <c r="I19" s="474" t="inlineStr">
        <is>
          <t>ZEMİNDEN ISITMA</t>
        </is>
      </c>
      <c r="J19" s="264" t="n"/>
      <c r="K19" s="264" t="n"/>
      <c r="L19" s="264" t="n"/>
      <c r="M19" s="264" t="n"/>
      <c r="N19" s="264" t="n"/>
      <c r="O19" s="264" t="n"/>
      <c r="P19" s="260" t="n"/>
    </row>
    <row r="20" ht="12.75" customHeight="1" s="244">
      <c r="A20" s="474" t="inlineStr">
        <is>
          <t>Z02</t>
        </is>
      </c>
      <c r="B20" s="475" t="inlineStr">
        <is>
          <t>DAİRE 2 MUTFAK</t>
        </is>
      </c>
      <c r="C20" s="476" t="inlineStr">
        <is>
          <t>20</t>
        </is>
      </c>
      <c r="D20" s="477">
        <f>'ZEMİN'!Q28</f>
        <v/>
      </c>
      <c r="E20" s="478" t="n">
        <v>17.5</v>
      </c>
      <c r="F20" s="477">
        <f>'YERDEN ISITMA'!N20</f>
        <v/>
      </c>
      <c r="G20" s="474" t="n">
        <v>92.19</v>
      </c>
      <c r="H20" s="474" t="n">
        <v>2</v>
      </c>
      <c r="I20" s="474" t="inlineStr">
        <is>
          <t>ZEMİNDEN ISITMA</t>
        </is>
      </c>
      <c r="J20" s="264" t="n"/>
      <c r="K20" s="264" t="n"/>
      <c r="L20" s="264" t="n"/>
      <c r="M20" s="264" t="n"/>
      <c r="N20" s="264" t="n"/>
      <c r="O20" s="264" t="n"/>
      <c r="P20" s="260" t="n"/>
    </row>
    <row r="21" ht="12.75" customHeight="1" s="244">
      <c r="A21" s="474" t="inlineStr">
        <is>
          <t>Z03</t>
        </is>
      </c>
      <c r="B21" s="475" t="inlineStr">
        <is>
          <t>DAİRE 2 ODA</t>
        </is>
      </c>
      <c r="C21" s="476" t="inlineStr">
        <is>
          <t>20</t>
        </is>
      </c>
      <c r="D21" s="477">
        <f>'ZEMİN'!Q36</f>
        <v/>
      </c>
      <c r="E21" s="478" t="n">
        <v>17.5</v>
      </c>
      <c r="F21" s="477">
        <f>'YERDEN ISITMA'!N21</f>
        <v/>
      </c>
      <c r="G21" s="474" t="n">
        <v>67.58</v>
      </c>
      <c r="H21" s="474" t="n">
        <v>1</v>
      </c>
      <c r="I21" s="474" t="inlineStr">
        <is>
          <t>ZEMİNDEN ISITMA</t>
        </is>
      </c>
      <c r="J21" s="264" t="n"/>
      <c r="K21" s="264" t="n"/>
      <c r="L21" s="264" t="n"/>
      <c r="M21" s="264" t="n"/>
      <c r="N21" s="264" t="n"/>
      <c r="O21" s="264" t="n"/>
      <c r="P21" s="260" t="n"/>
    </row>
    <row r="22" ht="12.75" customHeight="1" s="244">
      <c r="A22" s="474" t="inlineStr">
        <is>
          <t>Z04</t>
        </is>
      </c>
      <c r="B22" s="475" t="inlineStr">
        <is>
          <t>DAİRE 2 YATAK ODASI 1</t>
        </is>
      </c>
      <c r="C22" s="476" t="inlineStr">
        <is>
          <t>20</t>
        </is>
      </c>
      <c r="D22" s="477">
        <f>'ZEMİN'!Q45</f>
        <v/>
      </c>
      <c r="E22" s="478" t="n">
        <v>17.5</v>
      </c>
      <c r="F22" s="477">
        <f>'YERDEN ISITMA'!N22</f>
        <v/>
      </c>
      <c r="G22" s="474" t="n">
        <v>74.14</v>
      </c>
      <c r="H22" s="474" t="n">
        <v>1</v>
      </c>
      <c r="I22" s="474" t="inlineStr">
        <is>
          <t>ZEMİNDEN ISITMA</t>
        </is>
      </c>
      <c r="J22" s="264" t="n"/>
      <c r="K22" s="264" t="n"/>
      <c r="L22" s="264" t="n"/>
      <c r="M22" s="264" t="n"/>
      <c r="N22" s="264" t="n"/>
      <c r="O22" s="264" t="n"/>
      <c r="P22" s="260" t="n"/>
    </row>
    <row r="23" ht="12.75" customHeight="1" s="244">
      <c r="A23" s="474" t="inlineStr">
        <is>
          <t>Z05</t>
        </is>
      </c>
      <c r="B23" s="475" t="inlineStr">
        <is>
          <t>DAİRE 2 YATAK ODASI 2</t>
        </is>
      </c>
      <c r="C23" s="476" t="inlineStr">
        <is>
          <t>20</t>
        </is>
      </c>
      <c r="D23" s="477">
        <f>'ZEMİN'!Q53</f>
        <v/>
      </c>
      <c r="E23" s="478" t="n">
        <v>17.5</v>
      </c>
      <c r="F23" s="477">
        <f>'YERDEN ISITMA'!N23</f>
        <v/>
      </c>
      <c r="G23" s="474" t="n">
        <v>84.26000000000001</v>
      </c>
      <c r="H23" s="474" t="n">
        <v>2</v>
      </c>
      <c r="I23" s="474" t="inlineStr">
        <is>
          <t>ZEMİNDEN ISITMA</t>
        </is>
      </c>
      <c r="J23" s="264" t="n"/>
      <c r="K23" s="264" t="n"/>
      <c r="L23" s="264" t="n"/>
      <c r="M23" s="264" t="n"/>
      <c r="N23" s="264" t="n"/>
      <c r="O23" s="264" t="n"/>
      <c r="P23" s="260" t="n"/>
    </row>
    <row r="24" ht="12.75" customHeight="1" s="244">
      <c r="A24" s="474" t="inlineStr">
        <is>
          <t>Z06</t>
        </is>
      </c>
      <c r="B24" s="475" t="inlineStr">
        <is>
          <t>DAİRE 2 BANYO</t>
        </is>
      </c>
      <c r="C24" s="476" t="inlineStr">
        <is>
          <t>26</t>
        </is>
      </c>
      <c r="D24" s="477">
        <f>'ZEMİN'!Q62</f>
        <v/>
      </c>
      <c r="E24" s="478" t="n">
        <v>17.5</v>
      </c>
      <c r="F24" s="477">
        <f>'YERDEN ISITMA'!N24</f>
        <v/>
      </c>
      <c r="G24" s="474" t="n">
        <v>54.52</v>
      </c>
      <c r="H24" s="474" t="n">
        <v>1</v>
      </c>
      <c r="I24" s="474" t="inlineStr">
        <is>
          <t>ZEMİNDEN ISITMA</t>
        </is>
      </c>
      <c r="J24" s="264" t="n"/>
      <c r="K24" s="264" t="n"/>
      <c r="L24" s="264" t="n"/>
      <c r="M24" s="264" t="n"/>
      <c r="N24" s="264" t="n"/>
      <c r="O24" s="264" t="n"/>
      <c r="P24" s="260" t="n"/>
    </row>
    <row r="25">
      <c r="A25" s="481" t="inlineStr">
        <is>
          <t>Z07</t>
        </is>
      </c>
      <c r="B25" s="482" t="inlineStr">
        <is>
          <t>DAİRE 2 BANYO-WC</t>
        </is>
      </c>
      <c r="C25" s="483" t="inlineStr">
        <is>
          <t>26</t>
        </is>
      </c>
      <c r="D25" s="484">
        <f>'ZEMİN'!Q70</f>
        <v/>
      </c>
      <c r="E25" s="485" t="n">
        <v>17.5</v>
      </c>
      <c r="F25" s="484">
        <f>'YERDEN ISITMA'!N25</f>
        <v/>
      </c>
      <c r="G25" s="481" t="n">
        <v>29.08</v>
      </c>
      <c r="H25" s="481" t="n">
        <v>1</v>
      </c>
      <c r="I25" s="481" t="inlineStr">
        <is>
          <t>ZEMİNDEN ISITMA</t>
        </is>
      </c>
      <c r="J25" s="264" t="n"/>
      <c r="K25" s="264" t="n"/>
      <c r="L25" s="264" t="n"/>
      <c r="M25" s="264" t="n"/>
      <c r="N25" s="264" t="n"/>
      <c r="O25" s="264" t="n"/>
      <c r="P25" s="260" t="n"/>
    </row>
    <row r="26">
      <c r="A26" s="481" t="inlineStr">
        <is>
          <t>Z08</t>
        </is>
      </c>
      <c r="B26" s="482" t="inlineStr">
        <is>
          <t>DAİRE 2 HOL</t>
        </is>
      </c>
      <c r="C26" s="483" t="inlineStr">
        <is>
          <t>18</t>
        </is>
      </c>
      <c r="D26" s="484">
        <f>'ZEMİN'!Q77</f>
        <v/>
      </c>
      <c r="E26" s="485" t="n">
        <v>17.5</v>
      </c>
      <c r="F26" s="484">
        <f>'YERDEN ISITMA'!N26</f>
        <v/>
      </c>
      <c r="G26" s="481" t="n">
        <v>10.17</v>
      </c>
      <c r="H26" s="481" t="n">
        <v>1</v>
      </c>
      <c r="I26" s="481" t="inlineStr">
        <is>
          <t>ZEMİNDEN ISITMA (BAĞLANTI BORULARI)</t>
        </is>
      </c>
      <c r="J26" s="264" t="n"/>
      <c r="K26" s="264" t="n"/>
      <c r="L26" s="264" t="n"/>
      <c r="M26" s="264" t="n"/>
      <c r="N26" s="264" t="n"/>
      <c r="O26" s="264" t="n"/>
      <c r="P26" s="260" t="n"/>
    </row>
    <row r="27">
      <c r="A27" s="481" t="n"/>
      <c r="B27" s="481" t="n"/>
      <c r="C27" s="483" t="n"/>
      <c r="D27" s="484" t="n"/>
      <c r="E27" s="486" t="inlineStr">
        <is>
          <t>TOPLAM =</t>
        </is>
      </c>
      <c r="F27" s="487">
        <f>SUM(F19:F26)</f>
        <v/>
      </c>
      <c r="G27" s="481" t="inlineStr">
        <is>
          <t>watt</t>
        </is>
      </c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</row>
    <row r="28">
      <c r="A28" s="481" t="inlineStr">
        <is>
          <t>101</t>
        </is>
      </c>
      <c r="B28" s="482" t="inlineStr">
        <is>
          <t>DAİRE 3 SALON</t>
        </is>
      </c>
      <c r="C28" s="483" t="inlineStr">
        <is>
          <t>22</t>
        </is>
      </c>
      <c r="D28" s="484">
        <f>'1 NK'!Q19</f>
        <v/>
      </c>
      <c r="E28" s="485" t="n">
        <v>17.5</v>
      </c>
      <c r="F28" s="484">
        <f>'YERDEN ISITMA'!N28</f>
        <v/>
      </c>
      <c r="G28" s="481" t="n">
        <v>157.02</v>
      </c>
      <c r="H28" s="481" t="n">
        <v>3</v>
      </c>
      <c r="I28" s="481" t="inlineStr">
        <is>
          <t>ZEMİNDEN ISITMA</t>
        </is>
      </c>
      <c r="J28" s="264" t="n"/>
      <c r="K28" s="264" t="n"/>
      <c r="L28" s="264" t="n"/>
      <c r="M28" s="264" t="n"/>
      <c r="N28" s="264" t="n"/>
      <c r="O28" s="264" t="n"/>
      <c r="P28" s="260" t="n"/>
    </row>
    <row r="29">
      <c r="A29" s="481" t="inlineStr">
        <is>
          <t>102</t>
        </is>
      </c>
      <c r="B29" s="482" t="inlineStr">
        <is>
          <t>DAİRE 3 MUTFAK</t>
        </is>
      </c>
      <c r="C29" s="483" t="inlineStr">
        <is>
          <t>20</t>
        </is>
      </c>
      <c r="D29" s="484">
        <f>'1 NK'!Q30</f>
        <v/>
      </c>
      <c r="E29" s="485" t="n">
        <v>17.5</v>
      </c>
      <c r="F29" s="484">
        <f>'YERDEN ISITMA'!N29</f>
        <v/>
      </c>
      <c r="G29" s="481" t="n">
        <v>92.19</v>
      </c>
      <c r="H29" s="481" t="n">
        <v>2</v>
      </c>
      <c r="I29" s="481" t="inlineStr">
        <is>
          <t>ZEMİNDEN ISITMA</t>
        </is>
      </c>
      <c r="J29" s="264" t="n"/>
      <c r="K29" s="264" t="n"/>
      <c r="L29" s="264" t="n"/>
      <c r="M29" s="264" t="n"/>
      <c r="N29" s="264" t="n"/>
      <c r="O29" s="264" t="n"/>
      <c r="P29" s="260" t="n"/>
    </row>
    <row r="30">
      <c r="A30" s="481" t="inlineStr">
        <is>
          <t>103</t>
        </is>
      </c>
      <c r="B30" s="482" t="inlineStr">
        <is>
          <t>DAİRE 3 ODA</t>
        </is>
      </c>
      <c r="C30" s="483" t="inlineStr">
        <is>
          <t>20</t>
        </is>
      </c>
      <c r="D30" s="484">
        <f>'1 NK'!Q39</f>
        <v/>
      </c>
      <c r="E30" s="485" t="n">
        <v>17.5</v>
      </c>
      <c r="F30" s="484">
        <f>'YERDEN ISITMA'!N30</f>
        <v/>
      </c>
      <c r="G30" s="481" t="n">
        <v>67.58</v>
      </c>
      <c r="H30" s="481" t="n">
        <v>1</v>
      </c>
      <c r="I30" s="481" t="inlineStr">
        <is>
          <t>ZEMİNDEN ISITMA</t>
        </is>
      </c>
      <c r="J30" s="264" t="n"/>
      <c r="K30" s="264" t="n"/>
      <c r="L30" s="264" t="n"/>
      <c r="M30" s="264" t="n"/>
      <c r="N30" s="264" t="n"/>
      <c r="O30" s="264" t="n"/>
      <c r="P30" s="260" t="n"/>
    </row>
    <row r="31">
      <c r="A31" s="481" t="inlineStr">
        <is>
          <t>104</t>
        </is>
      </c>
      <c r="B31" s="482" t="inlineStr">
        <is>
          <t>DAİRE 3 YATAK ODASI 1</t>
        </is>
      </c>
      <c r="C31" s="483" t="inlineStr">
        <is>
          <t>20</t>
        </is>
      </c>
      <c r="D31" s="484">
        <f>'1 NK'!Q49</f>
        <v/>
      </c>
      <c r="E31" s="485" t="n">
        <v>17.5</v>
      </c>
      <c r="F31" s="484">
        <f>'YERDEN ISITMA'!N31</f>
        <v/>
      </c>
      <c r="G31" s="481" t="n">
        <v>74.14</v>
      </c>
      <c r="H31" s="481" t="n">
        <v>1</v>
      </c>
      <c r="I31" s="481" t="inlineStr">
        <is>
          <t>ZEMİNDEN ISITMA</t>
        </is>
      </c>
      <c r="J31" s="264" t="n"/>
      <c r="K31" s="264" t="n"/>
      <c r="L31" s="264" t="n"/>
      <c r="M31" s="264" t="n"/>
      <c r="N31" s="264" t="n"/>
      <c r="O31" s="264" t="n"/>
      <c r="P31" s="260" t="n"/>
    </row>
    <row r="32">
      <c r="A32" s="481" t="inlineStr">
        <is>
          <t>105</t>
        </is>
      </c>
      <c r="B32" s="482" t="inlineStr">
        <is>
          <t>DAİRE 3 YATAK ODASI 2</t>
        </is>
      </c>
      <c r="C32" s="483" t="inlineStr">
        <is>
          <t>20</t>
        </is>
      </c>
      <c r="D32" s="484">
        <f>'1 NK'!Q58</f>
        <v/>
      </c>
      <c r="E32" s="485" t="n">
        <v>17.5</v>
      </c>
      <c r="F32" s="484">
        <f>'YERDEN ISITMA'!N32</f>
        <v/>
      </c>
      <c r="G32" s="481" t="n">
        <v>84.26000000000001</v>
      </c>
      <c r="H32" s="481" t="n">
        <v>2</v>
      </c>
      <c r="I32" s="481" t="inlineStr">
        <is>
          <t>ZEMİNDEN ISITMA</t>
        </is>
      </c>
      <c r="J32" s="264" t="n"/>
      <c r="K32" s="264" t="n"/>
      <c r="L32" s="264" t="n"/>
      <c r="M32" s="264" t="n"/>
      <c r="N32" s="264" t="n"/>
      <c r="O32" s="264" t="n"/>
      <c r="P32" s="260" t="n"/>
    </row>
    <row r="33">
      <c r="A33" s="481" t="inlineStr">
        <is>
          <t>106</t>
        </is>
      </c>
      <c r="B33" s="482" t="inlineStr">
        <is>
          <t>DAİRE 3 BANYO</t>
        </is>
      </c>
      <c r="C33" s="483" t="inlineStr">
        <is>
          <t>26</t>
        </is>
      </c>
      <c r="D33" s="484">
        <f>'1 NK'!Q68</f>
        <v/>
      </c>
      <c r="E33" s="485" t="n">
        <v>17.5</v>
      </c>
      <c r="F33" s="484">
        <f>'YERDEN ISITMA'!N33</f>
        <v/>
      </c>
      <c r="G33" s="481" t="n">
        <v>54.52</v>
      </c>
      <c r="H33" s="481" t="n">
        <v>1</v>
      </c>
      <c r="I33" s="481" t="inlineStr">
        <is>
          <t>ZEMİNDEN ISITMA</t>
        </is>
      </c>
      <c r="J33" s="264" t="n"/>
      <c r="K33" s="264" t="n"/>
      <c r="L33" s="264" t="n"/>
      <c r="M33" s="264" t="n"/>
      <c r="N33" s="264" t="n"/>
      <c r="O33" s="264" t="n"/>
      <c r="P33" s="260" t="n"/>
    </row>
    <row r="34">
      <c r="A34" s="481" t="inlineStr">
        <is>
          <t>107</t>
        </is>
      </c>
      <c r="B34" s="482" t="inlineStr">
        <is>
          <t>DAİRE 3 BANYO-WC</t>
        </is>
      </c>
      <c r="C34" s="483" t="inlineStr">
        <is>
          <t>26</t>
        </is>
      </c>
      <c r="D34" s="484">
        <f>'1 NK'!Q77</f>
        <v/>
      </c>
      <c r="E34" s="485" t="n">
        <v>17.5</v>
      </c>
      <c r="F34" s="484">
        <f>'YERDEN ISITMA'!N34</f>
        <v/>
      </c>
      <c r="G34" s="481" t="n">
        <v>29.08</v>
      </c>
      <c r="H34" s="481" t="n">
        <v>1</v>
      </c>
      <c r="I34" s="481" t="inlineStr">
        <is>
          <t>ZEMİNDEN ISITMA</t>
        </is>
      </c>
      <c r="J34" s="264" t="n"/>
      <c r="K34" s="264" t="n"/>
      <c r="L34" s="264" t="n"/>
      <c r="M34" s="264" t="n"/>
      <c r="N34" s="264" t="n"/>
      <c r="O34" s="264" t="n"/>
      <c r="P34" s="260" t="n"/>
    </row>
    <row r="35">
      <c r="A35" s="481" t="inlineStr">
        <is>
          <t>108</t>
        </is>
      </c>
      <c r="B35" s="482" t="inlineStr">
        <is>
          <t>DAİRE 3 HOL</t>
        </is>
      </c>
      <c r="C35" s="483" t="inlineStr">
        <is>
          <t>18</t>
        </is>
      </c>
      <c r="D35" s="484">
        <f>'1 NK'!Q85</f>
        <v/>
      </c>
      <c r="E35" s="485" t="n">
        <v>17.5</v>
      </c>
      <c r="F35" s="484">
        <f>'YERDEN ISITMA'!N35</f>
        <v/>
      </c>
      <c r="G35" s="481" t="n">
        <v>10.17</v>
      </c>
      <c r="H35" s="481" t="n">
        <v>1</v>
      </c>
      <c r="I35" s="481" t="inlineStr">
        <is>
          <t>ZEMİNDEN ISITMA (BAĞLANTI BORULARI)</t>
        </is>
      </c>
      <c r="J35" s="264" t="n"/>
      <c r="K35" s="264" t="n"/>
      <c r="L35" s="264" t="n"/>
      <c r="M35" s="264" t="n"/>
      <c r="N35" s="264" t="n"/>
      <c r="O35" s="264" t="n"/>
      <c r="P35" s="260" t="n"/>
    </row>
    <row r="36">
      <c r="A36" s="481" t="n"/>
      <c r="B36" s="481" t="n"/>
      <c r="C36" s="483" t="n"/>
      <c r="D36" s="484" t="n"/>
      <c r="E36" s="486" t="inlineStr">
        <is>
          <t>TOPLAM =</t>
        </is>
      </c>
      <c r="F36" s="487">
        <f>SUM(F28:F35)</f>
        <v/>
      </c>
      <c r="G36" s="481" t="inlineStr">
        <is>
          <t>watt</t>
        </is>
      </c>
      <c r="H36" s="481" t="n"/>
      <c r="I36" s="481" t="n"/>
      <c r="J36" s="481" t="n"/>
      <c r="K36" s="481" t="n"/>
      <c r="L36" s="481" t="n"/>
      <c r="M36" s="481" t="n"/>
      <c r="N36" s="481" t="n"/>
      <c r="O36" s="481" t="n"/>
      <c r="P36" s="481" t="n"/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51">
    <mergeCell ref="I34:P34"/>
    <mergeCell ref="I30:P30"/>
    <mergeCell ref="I15:P15"/>
    <mergeCell ref="P7:P9"/>
    <mergeCell ref="I11:P11"/>
    <mergeCell ref="C5:G5"/>
    <mergeCell ref="H6:H9"/>
    <mergeCell ref="J6:J9"/>
    <mergeCell ref="I26:P26"/>
    <mergeCell ref="H1:M2"/>
    <mergeCell ref="K7:K9"/>
    <mergeCell ref="O7:O9"/>
    <mergeCell ref="A6:A9"/>
    <mergeCell ref="I25:P25"/>
    <mergeCell ref="I16:P16"/>
    <mergeCell ref="I32:P32"/>
    <mergeCell ref="I22:P22"/>
    <mergeCell ref="I28:P28"/>
    <mergeCell ref="C6:C8"/>
    <mergeCell ref="D6:D8"/>
    <mergeCell ref="N7:N9"/>
    <mergeCell ref="N6:P6"/>
    <mergeCell ref="F6:F8"/>
    <mergeCell ref="N3:P4"/>
    <mergeCell ref="I12:P12"/>
    <mergeCell ref="I21:P21"/>
    <mergeCell ref="K6:M6"/>
    <mergeCell ref="L7:L9"/>
    <mergeCell ref="I13:P13"/>
    <mergeCell ref="H5:P5"/>
    <mergeCell ref="A5:B5"/>
    <mergeCell ref="I33:P33"/>
    <mergeCell ref="B6:B9"/>
    <mergeCell ref="I24:P24"/>
    <mergeCell ref="I14:P14"/>
    <mergeCell ref="I23:P23"/>
    <mergeCell ref="I17:P17"/>
    <mergeCell ref="E6:E8"/>
    <mergeCell ref="I35:P35"/>
    <mergeCell ref="I20:P20"/>
    <mergeCell ref="N1:P2"/>
    <mergeCell ref="I29:P29"/>
    <mergeCell ref="M7:M9"/>
    <mergeCell ref="A1:B4"/>
    <mergeCell ref="I19:P19"/>
    <mergeCell ref="G6:G8"/>
    <mergeCell ref="C1:G4"/>
    <mergeCell ref="I6:I9"/>
    <mergeCell ref="I10:P10"/>
    <mergeCell ref="H3:M4"/>
    <mergeCell ref="I31:P31"/>
  </mergeCells>
  <conditionalFormatting sqref="F10 F12:F14 F16:F20 F23">
    <cfRule type="cellIs" rank="0" priority="2" equalAverage="0" operator="lessThan" aboveAverage="0" dxfId="0" text="" percent="0" bottom="0">
      <formula>D10</formula>
    </cfRule>
  </conditionalFormatting>
  <conditionalFormatting sqref="G10 G12 G16 G18">
    <cfRule type="cellIs" rank="0" priority="3" equalAverage="0" operator="greaterThan" aboveAverage="0" dxfId="1" text="" percent="0" bottom="0">
      <formula>D10*1.4</formula>
    </cfRule>
  </conditionalFormatting>
  <conditionalFormatting sqref="F15">
    <cfRule type="cellIs" rank="0" priority="4" equalAverage="0" operator="lessThan" aboveAverage="0" dxfId="0" text="" percent="0" bottom="0">
      <formula>D15</formula>
    </cfRule>
  </conditionalFormatting>
  <conditionalFormatting sqref="G15">
    <cfRule type="cellIs" rank="0" priority="5" equalAverage="0" operator="greaterThan" aboveAverage="0" dxfId="1" text="" percent="0" bottom="0">
      <formula>D15*1.4</formula>
    </cfRule>
  </conditionalFormatting>
  <conditionalFormatting sqref="F24">
    <cfRule type="cellIs" rank="0" priority="6" equalAverage="0" operator="lessThan" aboveAverage="0" dxfId="0" text="" percent="0" bottom="0">
      <formula>D24</formula>
    </cfRule>
  </conditionalFormatting>
  <conditionalFormatting sqref="G24">
    <cfRule type="cellIs" rank="0" priority="7" equalAverage="0" operator="greaterThan" aboveAverage="0" dxfId="1" text="" percent="0" bottom="0">
      <formula>D24*1.4</formula>
    </cfRule>
  </conditionalFormatting>
  <conditionalFormatting sqref="G19">
    <cfRule type="cellIs" rank="0" priority="8" equalAverage="0" operator="greaterThan" aboveAverage="0" dxfId="1" text="" percent="0" bottom="0">
      <formula>D19*1.4</formula>
    </cfRule>
  </conditionalFormatting>
  <conditionalFormatting sqref="G23">
    <cfRule type="cellIs" rank="0" priority="9" equalAverage="0" operator="greaterThan" aboveAverage="0" dxfId="1" text="" percent="0" bottom="0">
      <formula>D23*1.4</formula>
    </cfRule>
  </conditionalFormatting>
  <conditionalFormatting sqref="G20">
    <cfRule type="cellIs" rank="0" priority="10" equalAverage="0" operator="greaterThan" aboveAverage="0" dxfId="1" text="" percent="0" bottom="0">
      <formula>D20*1.4</formula>
    </cfRule>
  </conditionalFormatting>
  <conditionalFormatting sqref="G13">
    <cfRule type="cellIs" rank="0" priority="11" equalAverage="0" operator="greaterThan" aboveAverage="0" dxfId="1" text="" percent="0" bottom="0">
      <formula>D13*1.4</formula>
    </cfRule>
  </conditionalFormatting>
  <conditionalFormatting sqref="G14">
    <cfRule type="cellIs" rank="0" priority="12" equalAverage="0" operator="greaterThan" aboveAverage="0" dxfId="1" text="" percent="0" bottom="0">
      <formula>D14*1.4</formula>
    </cfRule>
  </conditionalFormatting>
  <conditionalFormatting sqref="G17">
    <cfRule type="cellIs" rank="0" priority="13" equalAverage="0" operator="greaterThan" aboveAverage="0" dxfId="1" text="" percent="0" bottom="0">
      <formula>D17*1.4</formula>
    </cfRule>
  </conditionalFormatting>
  <conditionalFormatting sqref="F11">
    <cfRule type="cellIs" rank="0" priority="14" equalAverage="0" operator="lessThan" aboveAverage="0" dxfId="0" text="" percent="0" bottom="0">
      <formula>D11</formula>
    </cfRule>
  </conditionalFormatting>
  <conditionalFormatting sqref="G11">
    <cfRule type="cellIs" rank="0" priority="15" equalAverage="0" operator="greaterThan" aboveAverage="0" dxfId="1" text="" percent="0" bottom="0">
      <formula>D11*1.4</formula>
    </cfRule>
  </conditionalFormatting>
  <conditionalFormatting sqref="F21:F22">
    <cfRule type="cellIs" rank="0" priority="16" equalAverage="0" operator="lessThan" aboveAverage="0" dxfId="0" text="" percent="0" bottom="0">
      <formula>D21</formula>
    </cfRule>
  </conditionalFormatting>
  <conditionalFormatting sqref="G21:G22">
    <cfRule type="cellIs" rank="0" priority="17" equalAverage="0" operator="greaterThan" aboveAverage="0" dxfId="1" text="" percent="0" bottom="0">
      <formula>D21*1.4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U60"/>
  <sheetViews>
    <sheetView showFormulas="0" showGridLines="1" showRowColHeaders="1" showZeros="1" rightToLeft="0" tabSelected="0" showOutlineSymbols="1" defaultGridColor="1" view="normal" topLeftCell="A10" colorId="64" zoomScale="115" zoomScaleNormal="115" zoomScalePageLayoutView="100" workbookViewId="0">
      <selection pane="topLeft" activeCell="D23" activeCellId="0" sqref="D23"/>
    </sheetView>
  </sheetViews>
  <sheetFormatPr baseColWidth="8" defaultColWidth="9.0546875" defaultRowHeight="12.75" zeroHeight="0" outlineLevelRow="0"/>
  <cols>
    <col width="7.56" customWidth="1" style="243" min="1" max="1"/>
    <col width="16.42" customWidth="1" style="243" min="2" max="2"/>
    <col width="7.56" customWidth="1" style="243" min="3" max="3"/>
    <col width="8.41" customWidth="1" style="488" min="4" max="4"/>
    <col width="7.42" customWidth="1" style="243" min="5" max="5"/>
    <col width="7.7" customWidth="1" style="243" min="9" max="9"/>
    <col width="11.7" customWidth="1" style="243" min="12" max="12"/>
    <col width="12.28" customWidth="1" style="243" min="13" max="13"/>
    <col width="7.56" customWidth="1" style="243" min="14" max="14"/>
  </cols>
  <sheetData>
    <row r="1" ht="12.75" customHeight="1" s="244">
      <c r="A1" s="489" t="inlineStr">
        <is>
          <t>ROTAŞ</t>
        </is>
      </c>
      <c r="B1" s="275" t="n"/>
      <c r="C1" s="490" t="inlineStr">
        <is>
          <t>ZEMİNDEN ISITMA MODÜLASYON HESABI</t>
        </is>
      </c>
      <c r="D1" s="250" t="n"/>
      <c r="E1" s="250" t="n"/>
      <c r="F1" s="250" t="n"/>
      <c r="G1" s="275" t="n"/>
      <c r="H1" s="465" t="inlineStr">
        <is>
          <t>SAYFA</t>
        </is>
      </c>
      <c r="I1" s="250" t="n"/>
      <c r="J1" s="250" t="n"/>
      <c r="K1" s="275" t="n"/>
      <c r="L1" s="465" t="n">
        <v>8</v>
      </c>
      <c r="M1" s="250" t="n"/>
      <c r="N1" s="275" t="n"/>
      <c r="O1" s="491" t="n"/>
      <c r="P1" s="491" t="n"/>
    </row>
    <row r="2" ht="12.75" customHeight="1" s="244">
      <c r="A2" s="466" t="n"/>
      <c r="B2" s="467" t="n"/>
      <c r="C2" s="466" t="n"/>
      <c r="G2" s="467" t="n"/>
      <c r="H2" s="278" t="n"/>
      <c r="I2" s="256" t="n"/>
      <c r="J2" s="256" t="n"/>
      <c r="K2" s="277" t="n"/>
      <c r="L2" s="278" t="n"/>
      <c r="M2" s="256" t="n"/>
      <c r="N2" s="277" t="n"/>
      <c r="O2" s="491" t="n"/>
      <c r="P2" s="491" t="n"/>
    </row>
    <row r="3" ht="14.25" customHeight="1" s="244">
      <c r="A3" s="466" t="n"/>
      <c r="B3" s="467" t="n"/>
      <c r="C3" s="466" t="n"/>
      <c r="G3" s="467" t="n"/>
      <c r="H3" s="490" t="inlineStr">
        <is>
          <t>TARİH</t>
        </is>
      </c>
      <c r="I3" s="250" t="n"/>
      <c r="J3" s="250" t="n"/>
      <c r="K3" s="275" t="n"/>
      <c r="L3" s="468">
        <f>kapak!G41</f>
        <v/>
      </c>
      <c r="M3" s="250" t="n"/>
      <c r="N3" s="275" t="n"/>
      <c r="O3" s="491" t="n"/>
      <c r="P3" s="491" t="n"/>
      <c r="Q3" s="492" t="n"/>
      <c r="R3" s="492" t="n"/>
      <c r="S3" s="492" t="n"/>
      <c r="T3" s="492" t="n"/>
      <c r="U3" s="492" t="n"/>
      <c r="V3" s="492" t="n"/>
      <c r="W3" s="492" t="n"/>
      <c r="X3" s="492" t="n"/>
      <c r="Y3" s="492" t="n"/>
      <c r="Z3" s="492" t="n"/>
      <c r="AA3" s="492" t="n"/>
      <c r="AB3" s="492" t="n"/>
      <c r="AC3" s="492" t="n"/>
      <c r="AD3" s="492" t="n"/>
      <c r="AE3" s="492" t="n"/>
      <c r="AF3" s="492" t="n"/>
      <c r="AG3" s="492" t="n"/>
      <c r="AH3" s="492" t="n"/>
      <c r="AI3" s="492" t="n"/>
      <c r="AJ3" s="492" t="n"/>
      <c r="AK3" s="492" t="n"/>
      <c r="AL3" s="492" t="n"/>
      <c r="AM3" s="492" t="n"/>
      <c r="AN3" s="492" t="n"/>
      <c r="AO3" s="492" t="n"/>
      <c r="AP3" s="492" t="n"/>
      <c r="AQ3" s="492" t="n"/>
      <c r="AR3" s="492" t="n"/>
      <c r="AS3" s="492" t="n"/>
      <c r="AT3" s="492" t="n"/>
      <c r="AU3" s="492" t="n"/>
      <c r="AV3" s="492" t="n"/>
      <c r="AW3" s="492" t="n"/>
      <c r="AX3" s="492" t="n"/>
      <c r="AY3" s="492" t="n"/>
      <c r="AZ3" s="492" t="n"/>
      <c r="BA3" s="492" t="n"/>
      <c r="BB3" s="492" t="n"/>
      <c r="BC3" s="492" t="n"/>
      <c r="BD3" s="492" t="n"/>
      <c r="BE3" s="492" t="n"/>
      <c r="BF3" s="492" t="n"/>
      <c r="BG3" s="492" t="n"/>
      <c r="BH3" s="492" t="n"/>
      <c r="BI3" s="492" t="n"/>
      <c r="BJ3" s="492" t="n"/>
      <c r="BK3" s="492" t="n"/>
      <c r="BL3" s="492" t="n"/>
      <c r="BM3" s="492" t="n"/>
      <c r="BN3" s="492" t="n"/>
      <c r="BO3" s="492" t="n"/>
      <c r="BP3" s="492" t="n"/>
      <c r="BQ3" s="492" t="n"/>
      <c r="BR3" s="492" t="n"/>
      <c r="BS3" s="492" t="n"/>
      <c r="BT3" s="492" t="n"/>
      <c r="BU3" s="492" t="n"/>
      <c r="BV3" s="492" t="n"/>
      <c r="BW3" s="492" t="n"/>
      <c r="BX3" s="492" t="n"/>
      <c r="BY3" s="492" t="n"/>
      <c r="BZ3" s="492" t="n"/>
      <c r="CA3" s="492" t="n"/>
      <c r="CB3" s="492" t="n"/>
      <c r="CC3" s="492" t="n"/>
      <c r="CD3" s="492" t="n"/>
      <c r="CE3" s="492" t="n"/>
      <c r="CF3" s="492" t="n"/>
      <c r="CG3" s="492" t="n"/>
      <c r="CH3" s="492" t="n"/>
      <c r="CI3" s="492" t="n"/>
      <c r="CJ3" s="492" t="n"/>
      <c r="CK3" s="492" t="n"/>
      <c r="CL3" s="492" t="n"/>
      <c r="CM3" s="492" t="n"/>
      <c r="CN3" s="492" t="n"/>
      <c r="CO3" s="492" t="n"/>
      <c r="CP3" s="492" t="n"/>
      <c r="CQ3" s="492" t="n"/>
      <c r="CR3" s="492" t="n"/>
      <c r="CS3" s="492" t="n"/>
      <c r="CT3" s="492" t="n"/>
      <c r="CU3" s="492" t="n"/>
      <c r="CV3" s="492" t="n"/>
      <c r="CW3" s="492" t="n"/>
      <c r="CX3" s="492" t="n"/>
      <c r="CY3" s="492" t="n"/>
      <c r="CZ3" s="492" t="n"/>
      <c r="DA3" s="492" t="n"/>
      <c r="DB3" s="492" t="n"/>
      <c r="DC3" s="492" t="n"/>
      <c r="DD3" s="492" t="n"/>
      <c r="DE3" s="492" t="n"/>
      <c r="DF3" s="492" t="n"/>
      <c r="DG3" s="492" t="n"/>
      <c r="DH3" s="492" t="n"/>
      <c r="DI3" s="492" t="n"/>
      <c r="DJ3" s="492" t="n"/>
      <c r="DK3" s="492" t="n"/>
      <c r="DL3" s="492" t="n"/>
      <c r="DM3" s="492" t="n"/>
      <c r="DN3" s="492" t="n"/>
      <c r="DO3" s="492" t="n"/>
      <c r="DP3" s="492" t="n"/>
      <c r="DQ3" s="492" t="n"/>
      <c r="DR3" s="492" t="n"/>
      <c r="DS3" s="492" t="n"/>
      <c r="DT3" s="492" t="n"/>
      <c r="DU3" s="492" t="n"/>
      <c r="DV3" s="492" t="n"/>
      <c r="DW3" s="492" t="n"/>
      <c r="DX3" s="492" t="n"/>
      <c r="DY3" s="492" t="n"/>
      <c r="DZ3" s="492" t="n"/>
      <c r="EA3" s="492" t="n"/>
      <c r="EB3" s="492" t="n"/>
      <c r="EC3" s="492" t="n"/>
      <c r="ED3" s="492" t="n"/>
      <c r="EE3" s="492" t="n"/>
      <c r="EF3" s="492" t="n"/>
      <c r="EG3" s="492" t="n"/>
      <c r="EH3" s="492" t="n"/>
      <c r="EI3" s="492" t="n"/>
      <c r="EJ3" s="492" t="n"/>
      <c r="EK3" s="492" t="n"/>
      <c r="EL3" s="492" t="n"/>
      <c r="EM3" s="492" t="n"/>
      <c r="EN3" s="492" t="n"/>
      <c r="EO3" s="492" t="n"/>
      <c r="EP3" s="492" t="n"/>
      <c r="EQ3" s="492" t="n"/>
      <c r="ER3" s="492" t="n"/>
      <c r="ES3" s="492" t="n"/>
      <c r="ET3" s="492" t="n"/>
      <c r="EU3" s="492" t="n"/>
      <c r="EV3" s="492" t="n"/>
      <c r="EW3" s="492" t="n"/>
      <c r="EX3" s="492" t="n"/>
      <c r="EY3" s="492" t="n"/>
      <c r="EZ3" s="492" t="n"/>
      <c r="FA3" s="492" t="n"/>
      <c r="FB3" s="492" t="n"/>
      <c r="FC3" s="492" t="n"/>
      <c r="FD3" s="492" t="n"/>
      <c r="FE3" s="492" t="n"/>
      <c r="FF3" s="492" t="n"/>
      <c r="FG3" s="492" t="n"/>
      <c r="FH3" s="492" t="n"/>
      <c r="FI3" s="492" t="n"/>
      <c r="FJ3" s="492" t="n"/>
      <c r="FK3" s="492" t="n"/>
      <c r="FL3" s="492" t="n"/>
      <c r="FM3" s="492" t="n"/>
      <c r="FN3" s="492" t="n"/>
      <c r="FO3" s="492" t="n"/>
      <c r="FP3" s="492" t="n"/>
      <c r="FQ3" s="492" t="n"/>
      <c r="FR3" s="492" t="n"/>
      <c r="FS3" s="492" t="n"/>
      <c r="FT3" s="492" t="n"/>
      <c r="FU3" s="492" t="n"/>
      <c r="FV3" s="492" t="n"/>
      <c r="FW3" s="492" t="n"/>
      <c r="FX3" s="492" t="n"/>
      <c r="FY3" s="492" t="n"/>
      <c r="FZ3" s="492" t="n"/>
      <c r="GA3" s="492" t="n"/>
      <c r="GB3" s="492" t="n"/>
      <c r="GC3" s="492" t="n"/>
      <c r="GD3" s="492" t="n"/>
      <c r="GE3" s="492" t="n"/>
      <c r="GF3" s="492" t="n"/>
      <c r="GG3" s="492" t="n"/>
      <c r="GH3" s="492" t="n"/>
      <c r="GI3" s="492" t="n"/>
      <c r="GJ3" s="492" t="n"/>
      <c r="GK3" s="492" t="n"/>
      <c r="GL3" s="492" t="n"/>
      <c r="GM3" s="492" t="n"/>
      <c r="GN3" s="492" t="n"/>
      <c r="GO3" s="492" t="n"/>
      <c r="GP3" s="492" t="n"/>
      <c r="GQ3" s="492" t="n"/>
      <c r="GR3" s="492" t="n"/>
      <c r="GS3" s="492" t="n"/>
      <c r="GT3" s="492" t="n"/>
      <c r="GU3" s="492" t="n"/>
      <c r="GV3" s="492" t="n"/>
      <c r="GW3" s="492" t="n"/>
      <c r="GX3" s="492" t="n"/>
      <c r="GY3" s="492" t="n"/>
      <c r="GZ3" s="492" t="n"/>
      <c r="HA3" s="492" t="n"/>
      <c r="HB3" s="492" t="n"/>
      <c r="HC3" s="492" t="n"/>
      <c r="HD3" s="492" t="n"/>
      <c r="HE3" s="492" t="n"/>
      <c r="HF3" s="492" t="n"/>
      <c r="HG3" s="492" t="n"/>
      <c r="HH3" s="492" t="n"/>
      <c r="HI3" s="492" t="n"/>
      <c r="HJ3" s="492" t="n"/>
      <c r="HK3" s="492" t="n"/>
      <c r="HL3" s="492" t="n"/>
      <c r="HM3" s="492" t="n"/>
      <c r="HN3" s="492" t="n"/>
      <c r="HO3" s="492" t="n"/>
      <c r="HP3" s="492" t="n"/>
      <c r="HQ3" s="492" t="n"/>
      <c r="HR3" s="492" t="n"/>
      <c r="HS3" s="492" t="n"/>
      <c r="HT3" s="492" t="n"/>
      <c r="HU3" s="492" t="n"/>
      <c r="HV3" s="492" t="n"/>
      <c r="HW3" s="492" t="n"/>
      <c r="HX3" s="492" t="n"/>
      <c r="HY3" s="492" t="n"/>
      <c r="HZ3" s="492" t="n"/>
      <c r="IA3" s="492" t="n"/>
      <c r="IB3" s="492" t="n"/>
      <c r="IC3" s="492" t="n"/>
      <c r="ID3" s="492" t="n"/>
      <c r="IE3" s="492" t="n"/>
      <c r="IF3" s="492" t="n"/>
      <c r="IG3" s="492" t="n"/>
      <c r="IH3" s="492" t="n"/>
      <c r="II3" s="492" t="n"/>
      <c r="IJ3" s="492" t="n"/>
      <c r="IK3" s="492" t="n"/>
      <c r="IL3" s="492" t="n"/>
      <c r="IM3" s="492" t="n"/>
      <c r="IN3" s="492" t="n"/>
      <c r="IO3" s="492" t="n"/>
      <c r="IP3" s="492" t="n"/>
      <c r="IQ3" s="492" t="n"/>
      <c r="IR3" s="492" t="n"/>
      <c r="IS3" s="492" t="n"/>
      <c r="IT3" s="492" t="n"/>
      <c r="IU3" s="492" t="n"/>
    </row>
    <row r="4" ht="14.25" customHeight="1" s="244">
      <c r="A4" s="466" t="n"/>
      <c r="B4" s="467" t="n"/>
      <c r="C4" s="466" t="n"/>
      <c r="G4" s="467" t="n"/>
      <c r="H4" s="466" t="n"/>
      <c r="K4" s="467" t="n"/>
      <c r="L4" s="278" t="n"/>
      <c r="M4" s="256" t="n"/>
      <c r="N4" s="277" t="n"/>
      <c r="O4" s="491" t="n"/>
      <c r="P4" s="491" t="n"/>
      <c r="Q4" s="492" t="n"/>
      <c r="R4" s="492" t="n"/>
      <c r="S4" s="492" t="n"/>
      <c r="T4" s="492" t="n"/>
      <c r="U4" s="492" t="n"/>
      <c r="V4" s="492" t="n"/>
      <c r="W4" s="492" t="n"/>
      <c r="X4" s="492" t="n"/>
      <c r="Y4" s="492" t="n"/>
      <c r="Z4" s="492" t="n"/>
      <c r="AA4" s="492" t="n"/>
      <c r="AB4" s="492" t="n"/>
      <c r="AC4" s="492" t="n"/>
      <c r="AD4" s="492" t="n"/>
      <c r="AE4" s="492" t="n"/>
      <c r="AF4" s="492" t="n"/>
      <c r="AG4" s="492" t="n"/>
      <c r="AH4" s="492" t="n"/>
      <c r="AI4" s="492" t="n"/>
      <c r="AJ4" s="492" t="n"/>
      <c r="AK4" s="492" t="n"/>
      <c r="AL4" s="492" t="n"/>
      <c r="AM4" s="492" t="n"/>
      <c r="AN4" s="492" t="n"/>
      <c r="AO4" s="492" t="n"/>
      <c r="AP4" s="492" t="n"/>
      <c r="AQ4" s="492" t="n"/>
      <c r="AR4" s="492" t="n"/>
      <c r="AS4" s="492" t="n"/>
      <c r="AT4" s="492" t="n"/>
      <c r="AU4" s="492" t="n"/>
      <c r="AV4" s="492" t="n"/>
      <c r="AW4" s="492" t="n"/>
      <c r="AX4" s="492" t="n"/>
      <c r="AY4" s="492" t="n"/>
      <c r="AZ4" s="492" t="n"/>
      <c r="BA4" s="492" t="n"/>
      <c r="BB4" s="492" t="n"/>
      <c r="BC4" s="492" t="n"/>
      <c r="BD4" s="492" t="n"/>
      <c r="BE4" s="492" t="n"/>
      <c r="BF4" s="492" t="n"/>
      <c r="BG4" s="492" t="n"/>
      <c r="BH4" s="492" t="n"/>
      <c r="BI4" s="492" t="n"/>
      <c r="BJ4" s="492" t="n"/>
      <c r="BK4" s="492" t="n"/>
      <c r="BL4" s="492" t="n"/>
      <c r="BM4" s="492" t="n"/>
      <c r="BN4" s="492" t="n"/>
      <c r="BO4" s="492" t="n"/>
      <c r="BP4" s="492" t="n"/>
      <c r="BQ4" s="492" t="n"/>
      <c r="BR4" s="492" t="n"/>
      <c r="BS4" s="492" t="n"/>
      <c r="BT4" s="492" t="n"/>
      <c r="BU4" s="492" t="n"/>
      <c r="BV4" s="492" t="n"/>
      <c r="BW4" s="492" t="n"/>
      <c r="BX4" s="492" t="n"/>
      <c r="BY4" s="492" t="n"/>
      <c r="BZ4" s="492" t="n"/>
      <c r="CA4" s="492" t="n"/>
      <c r="CB4" s="492" t="n"/>
      <c r="CC4" s="492" t="n"/>
      <c r="CD4" s="492" t="n"/>
      <c r="CE4" s="492" t="n"/>
      <c r="CF4" s="492" t="n"/>
      <c r="CG4" s="492" t="n"/>
      <c r="CH4" s="492" t="n"/>
      <c r="CI4" s="492" t="n"/>
      <c r="CJ4" s="492" t="n"/>
      <c r="CK4" s="492" t="n"/>
      <c r="CL4" s="492" t="n"/>
      <c r="CM4" s="492" t="n"/>
      <c r="CN4" s="492" t="n"/>
      <c r="CO4" s="492" t="n"/>
      <c r="CP4" s="492" t="n"/>
      <c r="CQ4" s="492" t="n"/>
      <c r="CR4" s="492" t="n"/>
      <c r="CS4" s="492" t="n"/>
      <c r="CT4" s="492" t="n"/>
      <c r="CU4" s="492" t="n"/>
      <c r="CV4" s="492" t="n"/>
      <c r="CW4" s="492" t="n"/>
      <c r="CX4" s="492" t="n"/>
      <c r="CY4" s="492" t="n"/>
      <c r="CZ4" s="492" t="n"/>
      <c r="DA4" s="492" t="n"/>
      <c r="DB4" s="492" t="n"/>
      <c r="DC4" s="492" t="n"/>
      <c r="DD4" s="492" t="n"/>
      <c r="DE4" s="492" t="n"/>
      <c r="DF4" s="492" t="n"/>
      <c r="DG4" s="492" t="n"/>
      <c r="DH4" s="492" t="n"/>
      <c r="DI4" s="492" t="n"/>
      <c r="DJ4" s="492" t="n"/>
      <c r="DK4" s="492" t="n"/>
      <c r="DL4" s="492" t="n"/>
      <c r="DM4" s="492" t="n"/>
      <c r="DN4" s="492" t="n"/>
      <c r="DO4" s="492" t="n"/>
      <c r="DP4" s="492" t="n"/>
      <c r="DQ4" s="492" t="n"/>
      <c r="DR4" s="492" t="n"/>
      <c r="DS4" s="492" t="n"/>
      <c r="DT4" s="492" t="n"/>
      <c r="DU4" s="492" t="n"/>
      <c r="DV4" s="492" t="n"/>
      <c r="DW4" s="492" t="n"/>
      <c r="DX4" s="492" t="n"/>
      <c r="DY4" s="492" t="n"/>
      <c r="DZ4" s="492" t="n"/>
      <c r="EA4" s="492" t="n"/>
      <c r="EB4" s="492" t="n"/>
      <c r="EC4" s="492" t="n"/>
      <c r="ED4" s="492" t="n"/>
      <c r="EE4" s="492" t="n"/>
      <c r="EF4" s="492" t="n"/>
      <c r="EG4" s="492" t="n"/>
      <c r="EH4" s="492" t="n"/>
      <c r="EI4" s="492" t="n"/>
      <c r="EJ4" s="492" t="n"/>
      <c r="EK4" s="492" t="n"/>
      <c r="EL4" s="492" t="n"/>
      <c r="EM4" s="492" t="n"/>
      <c r="EN4" s="492" t="n"/>
      <c r="EO4" s="492" t="n"/>
      <c r="EP4" s="492" t="n"/>
      <c r="EQ4" s="492" t="n"/>
      <c r="ER4" s="492" t="n"/>
      <c r="ES4" s="492" t="n"/>
      <c r="ET4" s="492" t="n"/>
      <c r="EU4" s="492" t="n"/>
      <c r="EV4" s="492" t="n"/>
      <c r="EW4" s="492" t="n"/>
      <c r="EX4" s="492" t="n"/>
      <c r="EY4" s="492" t="n"/>
      <c r="EZ4" s="492" t="n"/>
      <c r="FA4" s="492" t="n"/>
      <c r="FB4" s="492" t="n"/>
      <c r="FC4" s="492" t="n"/>
      <c r="FD4" s="492" t="n"/>
      <c r="FE4" s="492" t="n"/>
      <c r="FF4" s="492" t="n"/>
      <c r="FG4" s="492" t="n"/>
      <c r="FH4" s="492" t="n"/>
      <c r="FI4" s="492" t="n"/>
      <c r="FJ4" s="492" t="n"/>
      <c r="FK4" s="492" t="n"/>
      <c r="FL4" s="492" t="n"/>
      <c r="FM4" s="492" t="n"/>
      <c r="FN4" s="492" t="n"/>
      <c r="FO4" s="492" t="n"/>
      <c r="FP4" s="492" t="n"/>
      <c r="FQ4" s="492" t="n"/>
      <c r="FR4" s="492" t="n"/>
      <c r="FS4" s="492" t="n"/>
      <c r="FT4" s="492" t="n"/>
      <c r="FU4" s="492" t="n"/>
      <c r="FV4" s="492" t="n"/>
      <c r="FW4" s="492" t="n"/>
      <c r="FX4" s="492" t="n"/>
      <c r="FY4" s="492" t="n"/>
      <c r="FZ4" s="492" t="n"/>
      <c r="GA4" s="492" t="n"/>
      <c r="GB4" s="492" t="n"/>
      <c r="GC4" s="492" t="n"/>
      <c r="GD4" s="492" t="n"/>
      <c r="GE4" s="492" t="n"/>
      <c r="GF4" s="492" t="n"/>
      <c r="GG4" s="492" t="n"/>
      <c r="GH4" s="492" t="n"/>
      <c r="GI4" s="492" t="n"/>
      <c r="GJ4" s="492" t="n"/>
      <c r="GK4" s="492" t="n"/>
      <c r="GL4" s="492" t="n"/>
      <c r="GM4" s="492" t="n"/>
      <c r="GN4" s="492" t="n"/>
      <c r="GO4" s="492" t="n"/>
      <c r="GP4" s="492" t="n"/>
      <c r="GQ4" s="492" t="n"/>
      <c r="GR4" s="492" t="n"/>
      <c r="GS4" s="492" t="n"/>
      <c r="GT4" s="492" t="n"/>
      <c r="GU4" s="492" t="n"/>
      <c r="GV4" s="492" t="n"/>
      <c r="GW4" s="492" t="n"/>
      <c r="GX4" s="492" t="n"/>
      <c r="GY4" s="492" t="n"/>
      <c r="GZ4" s="492" t="n"/>
      <c r="HA4" s="492" t="n"/>
      <c r="HB4" s="492" t="n"/>
      <c r="HC4" s="492" t="n"/>
      <c r="HD4" s="492" t="n"/>
      <c r="HE4" s="492" t="n"/>
      <c r="HF4" s="492" t="n"/>
      <c r="HG4" s="492" t="n"/>
      <c r="HH4" s="492" t="n"/>
      <c r="HI4" s="492" t="n"/>
      <c r="HJ4" s="492" t="n"/>
      <c r="HK4" s="492" t="n"/>
      <c r="HL4" s="492" t="n"/>
      <c r="HM4" s="492" t="n"/>
      <c r="HN4" s="492" t="n"/>
      <c r="HO4" s="492" t="n"/>
      <c r="HP4" s="492" t="n"/>
      <c r="HQ4" s="492" t="n"/>
      <c r="HR4" s="492" t="n"/>
      <c r="HS4" s="492" t="n"/>
      <c r="HT4" s="492" t="n"/>
      <c r="HU4" s="492" t="n"/>
      <c r="HV4" s="492" t="n"/>
      <c r="HW4" s="492" t="n"/>
      <c r="HX4" s="492" t="n"/>
      <c r="HY4" s="492" t="n"/>
      <c r="HZ4" s="492" t="n"/>
      <c r="IA4" s="492" t="n"/>
      <c r="IB4" s="492" t="n"/>
      <c r="IC4" s="492" t="n"/>
      <c r="ID4" s="492" t="n"/>
      <c r="IE4" s="492" t="n"/>
      <c r="IF4" s="492" t="n"/>
      <c r="IG4" s="492" t="n"/>
      <c r="IH4" s="492" t="n"/>
      <c r="II4" s="492" t="n"/>
      <c r="IJ4" s="492" t="n"/>
      <c r="IK4" s="492" t="n"/>
      <c r="IL4" s="492" t="n"/>
      <c r="IM4" s="492" t="n"/>
      <c r="IN4" s="492" t="n"/>
      <c r="IO4" s="492" t="n"/>
      <c r="IP4" s="492" t="n"/>
      <c r="IQ4" s="492" t="n"/>
      <c r="IR4" s="492" t="n"/>
      <c r="IS4" s="492" t="n"/>
      <c r="IT4" s="492" t="n"/>
      <c r="IU4" s="492" t="n"/>
    </row>
    <row r="5" ht="14.25" customHeight="1" s="244">
      <c r="A5" s="493" t="inlineStr">
        <is>
          <t>PROJE ADI :</t>
        </is>
      </c>
      <c r="B5" s="264" t="n"/>
      <c r="C5" s="264" t="n"/>
      <c r="D5" s="264" t="n"/>
      <c r="E5" s="264" t="n"/>
      <c r="F5" s="264" t="n"/>
      <c r="G5" s="260" t="n"/>
      <c r="H5" s="493">
        <f>kapak!C31</f>
        <v/>
      </c>
      <c r="I5" s="264" t="n"/>
      <c r="J5" s="264" t="n"/>
      <c r="K5" s="264" t="n"/>
      <c r="L5" s="264" t="n"/>
      <c r="M5" s="264" t="n"/>
      <c r="N5" s="260" t="n"/>
      <c r="O5" s="492" t="n"/>
      <c r="P5" s="494" t="n"/>
      <c r="Q5" s="492" t="n"/>
      <c r="R5" s="492" t="n"/>
      <c r="S5" s="492" t="n"/>
      <c r="T5" s="492" t="n"/>
      <c r="U5" s="492" t="n"/>
      <c r="V5" s="492" t="n"/>
      <c r="W5" s="492" t="n"/>
      <c r="X5" s="492" t="n"/>
      <c r="Y5" s="492" t="n"/>
      <c r="Z5" s="492" t="n"/>
      <c r="AA5" s="492" t="n"/>
      <c r="AB5" s="492" t="n"/>
      <c r="AC5" s="492" t="n"/>
      <c r="AD5" s="492" t="n"/>
      <c r="AE5" s="492" t="n"/>
      <c r="AF5" s="492" t="n"/>
      <c r="AG5" s="492" t="n"/>
      <c r="AH5" s="492" t="n"/>
      <c r="AI5" s="492" t="n"/>
      <c r="AJ5" s="492" t="n"/>
      <c r="AK5" s="492" t="n"/>
      <c r="AL5" s="492" t="n"/>
      <c r="AM5" s="492" t="n"/>
      <c r="AN5" s="492" t="n"/>
      <c r="AO5" s="492" t="n"/>
      <c r="AP5" s="492" t="n"/>
      <c r="AQ5" s="492" t="n"/>
      <c r="AR5" s="492" t="n"/>
      <c r="AS5" s="492" t="n"/>
      <c r="AT5" s="492" t="n"/>
      <c r="AU5" s="492" t="n"/>
      <c r="AV5" s="492" t="n"/>
      <c r="AW5" s="492" t="n"/>
      <c r="AX5" s="492" t="n"/>
      <c r="AY5" s="492" t="n"/>
      <c r="AZ5" s="492" t="n"/>
      <c r="BA5" s="492" t="n"/>
      <c r="BB5" s="492" t="n"/>
      <c r="BC5" s="492" t="n"/>
      <c r="BD5" s="492" t="n"/>
      <c r="BE5" s="492" t="n"/>
      <c r="BF5" s="492" t="n"/>
      <c r="BG5" s="492" t="n"/>
      <c r="BH5" s="492" t="n"/>
      <c r="BI5" s="492" t="n"/>
      <c r="BJ5" s="492" t="n"/>
      <c r="BK5" s="492" t="n"/>
      <c r="BL5" s="492" t="n"/>
      <c r="BM5" s="492" t="n"/>
      <c r="BN5" s="492" t="n"/>
      <c r="BO5" s="492" t="n"/>
      <c r="BP5" s="492" t="n"/>
      <c r="BQ5" s="492" t="n"/>
      <c r="BR5" s="492" t="n"/>
      <c r="BS5" s="492" t="n"/>
      <c r="BT5" s="492" t="n"/>
      <c r="BU5" s="492" t="n"/>
      <c r="BV5" s="492" t="n"/>
      <c r="BW5" s="492" t="n"/>
      <c r="BX5" s="492" t="n"/>
      <c r="BY5" s="492" t="n"/>
      <c r="BZ5" s="492" t="n"/>
      <c r="CA5" s="492" t="n"/>
      <c r="CB5" s="492" t="n"/>
      <c r="CC5" s="492" t="n"/>
      <c r="CD5" s="492" t="n"/>
      <c r="CE5" s="492" t="n"/>
      <c r="CF5" s="492" t="n"/>
      <c r="CG5" s="492" t="n"/>
      <c r="CH5" s="492" t="n"/>
      <c r="CI5" s="492" t="n"/>
      <c r="CJ5" s="492" t="n"/>
      <c r="CK5" s="492" t="n"/>
      <c r="CL5" s="492" t="n"/>
      <c r="CM5" s="492" t="n"/>
      <c r="CN5" s="492" t="n"/>
      <c r="CO5" s="492" t="n"/>
      <c r="CP5" s="492" t="n"/>
      <c r="CQ5" s="492" t="n"/>
      <c r="CR5" s="492" t="n"/>
      <c r="CS5" s="492" t="n"/>
      <c r="CT5" s="492" t="n"/>
      <c r="CU5" s="492" t="n"/>
      <c r="CV5" s="492" t="n"/>
      <c r="CW5" s="492" t="n"/>
      <c r="CX5" s="492" t="n"/>
      <c r="CY5" s="492" t="n"/>
      <c r="CZ5" s="492" t="n"/>
      <c r="DA5" s="492" t="n"/>
      <c r="DB5" s="492" t="n"/>
      <c r="DC5" s="492" t="n"/>
      <c r="DD5" s="492" t="n"/>
      <c r="DE5" s="492" t="n"/>
      <c r="DF5" s="492" t="n"/>
      <c r="DG5" s="492" t="n"/>
      <c r="DH5" s="492" t="n"/>
      <c r="DI5" s="492" t="n"/>
      <c r="DJ5" s="492" t="n"/>
      <c r="DK5" s="492" t="n"/>
      <c r="DL5" s="492" t="n"/>
      <c r="DM5" s="492" t="n"/>
      <c r="DN5" s="492" t="n"/>
      <c r="DO5" s="492" t="n"/>
      <c r="DP5" s="492" t="n"/>
      <c r="DQ5" s="492" t="n"/>
      <c r="DR5" s="492" t="n"/>
      <c r="DS5" s="492" t="n"/>
      <c r="DT5" s="492" t="n"/>
      <c r="DU5" s="492" t="n"/>
      <c r="DV5" s="492" t="n"/>
      <c r="DW5" s="492" t="n"/>
      <c r="DX5" s="492" t="n"/>
      <c r="DY5" s="492" t="n"/>
      <c r="DZ5" s="492" t="n"/>
      <c r="EA5" s="492" t="n"/>
      <c r="EB5" s="492" t="n"/>
      <c r="EC5" s="492" t="n"/>
      <c r="ED5" s="492" t="n"/>
      <c r="EE5" s="492" t="n"/>
      <c r="EF5" s="492" t="n"/>
      <c r="EG5" s="492" t="n"/>
      <c r="EH5" s="492" t="n"/>
      <c r="EI5" s="492" t="n"/>
      <c r="EJ5" s="492" t="n"/>
      <c r="EK5" s="492" t="n"/>
      <c r="EL5" s="492" t="n"/>
      <c r="EM5" s="492" t="n"/>
      <c r="EN5" s="492" t="n"/>
      <c r="EO5" s="492" t="n"/>
      <c r="EP5" s="492" t="n"/>
      <c r="EQ5" s="492" t="n"/>
      <c r="ER5" s="492" t="n"/>
      <c r="ES5" s="492" t="n"/>
      <c r="ET5" s="492" t="n"/>
      <c r="EU5" s="492" t="n"/>
      <c r="EV5" s="492" t="n"/>
      <c r="EW5" s="492" t="n"/>
      <c r="EX5" s="492" t="n"/>
      <c r="EY5" s="492" t="n"/>
      <c r="EZ5" s="492" t="n"/>
      <c r="FA5" s="492" t="n"/>
      <c r="FB5" s="492" t="n"/>
      <c r="FC5" s="492" t="n"/>
      <c r="FD5" s="492" t="n"/>
      <c r="FE5" s="492" t="n"/>
      <c r="FF5" s="492" t="n"/>
      <c r="FG5" s="492" t="n"/>
      <c r="FH5" s="492" t="n"/>
      <c r="FI5" s="492" t="n"/>
      <c r="FJ5" s="492" t="n"/>
      <c r="FK5" s="492" t="n"/>
      <c r="FL5" s="492" t="n"/>
      <c r="FM5" s="492" t="n"/>
      <c r="FN5" s="492" t="n"/>
      <c r="FO5" s="492" t="n"/>
      <c r="FP5" s="492" t="n"/>
      <c r="FQ5" s="492" t="n"/>
      <c r="FR5" s="492" t="n"/>
      <c r="FS5" s="492" t="n"/>
      <c r="FT5" s="492" t="n"/>
      <c r="FU5" s="492" t="n"/>
      <c r="FV5" s="492" t="n"/>
      <c r="FW5" s="492" t="n"/>
      <c r="FX5" s="492" t="n"/>
      <c r="FY5" s="492" t="n"/>
      <c r="FZ5" s="492" t="n"/>
      <c r="GA5" s="492" t="n"/>
      <c r="GB5" s="492" t="n"/>
      <c r="GC5" s="492" t="n"/>
      <c r="GD5" s="492" t="n"/>
      <c r="GE5" s="492" t="n"/>
      <c r="GF5" s="492" t="n"/>
      <c r="GG5" s="492" t="n"/>
      <c r="GH5" s="492" t="n"/>
      <c r="GI5" s="492" t="n"/>
      <c r="GJ5" s="492" t="n"/>
      <c r="GK5" s="492" t="n"/>
      <c r="GL5" s="492" t="n"/>
      <c r="GM5" s="492" t="n"/>
      <c r="GN5" s="492" t="n"/>
      <c r="GO5" s="492" t="n"/>
      <c r="GP5" s="492" t="n"/>
      <c r="GQ5" s="492" t="n"/>
      <c r="GR5" s="492" t="n"/>
      <c r="GS5" s="492" t="n"/>
      <c r="GT5" s="492" t="n"/>
      <c r="GU5" s="492" t="n"/>
      <c r="GV5" s="492" t="n"/>
      <c r="GW5" s="492" t="n"/>
      <c r="GX5" s="492" t="n"/>
      <c r="GY5" s="492" t="n"/>
      <c r="GZ5" s="492" t="n"/>
      <c r="HA5" s="492" t="n"/>
      <c r="HB5" s="492" t="n"/>
      <c r="HC5" s="492" t="n"/>
      <c r="HD5" s="492" t="n"/>
      <c r="HE5" s="492" t="n"/>
      <c r="HF5" s="492" t="n"/>
      <c r="HG5" s="492" t="n"/>
      <c r="HH5" s="492" t="n"/>
      <c r="HI5" s="492" t="n"/>
      <c r="HJ5" s="492" t="n"/>
      <c r="HK5" s="492" t="n"/>
      <c r="HL5" s="492" t="n"/>
      <c r="HM5" s="492" t="n"/>
      <c r="HN5" s="492" t="n"/>
      <c r="HO5" s="492" t="n"/>
      <c r="HP5" s="492" t="n"/>
      <c r="HQ5" s="492" t="n"/>
      <c r="HR5" s="492" t="n"/>
      <c r="HS5" s="492" t="n"/>
      <c r="HT5" s="492" t="n"/>
      <c r="HU5" s="492" t="n"/>
      <c r="HV5" s="492" t="n"/>
      <c r="HW5" s="492" t="n"/>
      <c r="HX5" s="492" t="n"/>
      <c r="HY5" s="492" t="n"/>
      <c r="HZ5" s="492" t="n"/>
      <c r="IA5" s="492" t="n"/>
      <c r="IB5" s="492" t="n"/>
      <c r="IC5" s="492" t="n"/>
      <c r="ID5" s="492" t="n"/>
      <c r="IE5" s="492" t="n"/>
      <c r="IF5" s="492" t="n"/>
      <c r="IG5" s="492" t="n"/>
      <c r="IH5" s="492" t="n"/>
      <c r="II5" s="492" t="n"/>
      <c r="IJ5" s="492" t="n"/>
      <c r="IK5" s="492" t="n"/>
      <c r="IL5" s="492" t="n"/>
      <c r="IM5" s="492" t="n"/>
      <c r="IN5" s="492" t="n"/>
      <c r="IO5" s="492" t="n"/>
      <c r="IP5" s="492" t="n"/>
      <c r="IQ5" s="492" t="n"/>
      <c r="IR5" s="492" t="n"/>
      <c r="IS5" s="492" t="n"/>
      <c r="IT5" s="492" t="n"/>
      <c r="IU5" s="492" t="n"/>
    </row>
    <row r="6" ht="14.25" customHeight="1" s="244">
      <c r="A6" s="493" t="inlineStr">
        <is>
          <t>HESAPLARI YAPAN MAKİNA MÜHENDİSİ :</t>
        </is>
      </c>
      <c r="B6" s="264" t="n"/>
      <c r="C6" s="264" t="n"/>
      <c r="D6" s="264" t="n"/>
      <c r="E6" s="264" t="n"/>
      <c r="F6" s="264" t="n"/>
      <c r="G6" s="260" t="n"/>
      <c r="H6" s="493" t="inlineStr">
        <is>
          <t>BAYRAM GENÇ</t>
        </is>
      </c>
      <c r="I6" s="264" t="n"/>
      <c r="J6" s="264" t="n"/>
      <c r="K6" s="264" t="n"/>
      <c r="L6" s="264" t="n"/>
      <c r="M6" s="264" t="n"/>
      <c r="N6" s="260" t="n"/>
    </row>
    <row r="8" ht="127.5" customHeight="1" s="244">
      <c r="A8" s="495" t="inlineStr">
        <is>
          <t>MAHAL NO</t>
        </is>
      </c>
      <c r="B8" s="495" t="inlineStr">
        <is>
          <t>MAHAL ADI</t>
        </is>
      </c>
      <c r="C8" s="495" t="inlineStr">
        <is>
          <t>MAHAL SICAKLIĞI</t>
        </is>
      </c>
      <c r="D8" s="496" t="inlineStr">
        <is>
          <t>Mahal ısı ihtiyacı Q</t>
        </is>
      </c>
      <c r="E8" s="495" t="inlineStr">
        <is>
          <t>MAHAL ALANI A</t>
        </is>
      </c>
      <c r="F8" s="495" t="inlineStr">
        <is>
          <t>1 m2 ' DEKİ TOPLAM ISI YÜKÜ Q/A</t>
        </is>
      </c>
      <c r="G8" s="495" t="inlineStr">
        <is>
          <t>MODÜL</t>
        </is>
      </c>
      <c r="H8" s="495" t="inlineStr">
        <is>
          <t>m2</t>
        </is>
      </c>
      <c r="I8" s="495" t="inlineStr">
        <is>
          <t>STANDART MODÜL</t>
        </is>
      </c>
      <c r="J8" s="495" t="inlineStr">
        <is>
          <t>BORU BOYU</t>
        </is>
      </c>
      <c r="K8" s="495" t="inlineStr">
        <is>
          <t>KOLLEKTÖR ADETİ</t>
        </is>
      </c>
      <c r="L8" s="495" t="inlineStr">
        <is>
          <t>TOPLAM OLMASI GEREKEN KOLLEKTÖR ADETİ</t>
        </is>
      </c>
      <c r="M8" s="495" t="inlineStr">
        <is>
          <t>BİRİM VERİM</t>
        </is>
      </c>
      <c r="N8" s="495" t="inlineStr">
        <is>
          <t>TOPLAM VERİM</t>
        </is>
      </c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7" t="n"/>
      <c r="BU8" s="497" t="n"/>
      <c r="BV8" s="497" t="n"/>
      <c r="BW8" s="497" t="n"/>
      <c r="BX8" s="497" t="n"/>
      <c r="BY8" s="497" t="n"/>
      <c r="BZ8" s="497" t="n"/>
      <c r="CA8" s="497" t="n"/>
      <c r="CB8" s="497" t="n"/>
      <c r="CC8" s="497" t="n"/>
      <c r="CD8" s="497" t="n"/>
      <c r="CE8" s="497" t="n"/>
      <c r="CF8" s="497" t="n"/>
      <c r="CG8" s="497" t="n"/>
      <c r="CH8" s="497" t="n"/>
      <c r="CI8" s="497" t="n"/>
      <c r="CJ8" s="497" t="n"/>
      <c r="CK8" s="497" t="n"/>
      <c r="CL8" s="497" t="n"/>
      <c r="CM8" s="497" t="n"/>
      <c r="CN8" s="497" t="n"/>
      <c r="CO8" s="497" t="n"/>
      <c r="CP8" s="497" t="n"/>
      <c r="CQ8" s="497" t="n"/>
      <c r="CR8" s="497" t="n"/>
      <c r="CS8" s="497" t="n"/>
      <c r="CT8" s="497" t="n"/>
      <c r="CU8" s="497" t="n"/>
      <c r="CV8" s="497" t="n"/>
      <c r="CW8" s="497" t="n"/>
      <c r="CX8" s="497" t="n"/>
      <c r="CY8" s="497" t="n"/>
      <c r="CZ8" s="497" t="n"/>
      <c r="DA8" s="497" t="n"/>
      <c r="DB8" s="497" t="n"/>
      <c r="DC8" s="497" t="n"/>
      <c r="DD8" s="497" t="n"/>
      <c r="DE8" s="497" t="n"/>
      <c r="DF8" s="497" t="n"/>
      <c r="DG8" s="497" t="n"/>
      <c r="DH8" s="497" t="n"/>
      <c r="DI8" s="497" t="n"/>
      <c r="DJ8" s="497" t="n"/>
      <c r="DK8" s="497" t="n"/>
      <c r="DL8" s="497" t="n"/>
      <c r="DM8" s="497" t="n"/>
      <c r="DN8" s="497" t="n"/>
      <c r="DO8" s="497" t="n"/>
      <c r="DP8" s="497" t="n"/>
      <c r="DQ8" s="497" t="n"/>
      <c r="DR8" s="497" t="n"/>
      <c r="DS8" s="497" t="n"/>
      <c r="DT8" s="497" t="n"/>
      <c r="DU8" s="497" t="n"/>
      <c r="DV8" s="497" t="n"/>
      <c r="DW8" s="497" t="n"/>
      <c r="DX8" s="497" t="n"/>
      <c r="DY8" s="497" t="n"/>
      <c r="DZ8" s="497" t="n"/>
      <c r="EA8" s="497" t="n"/>
      <c r="EB8" s="497" t="n"/>
      <c r="EC8" s="497" t="n"/>
      <c r="ED8" s="497" t="n"/>
      <c r="EE8" s="497" t="n"/>
      <c r="EF8" s="497" t="n"/>
      <c r="EG8" s="497" t="n"/>
      <c r="EH8" s="497" t="n"/>
      <c r="EI8" s="497" t="n"/>
      <c r="EJ8" s="497" t="n"/>
      <c r="EK8" s="497" t="n"/>
      <c r="EL8" s="497" t="n"/>
      <c r="EM8" s="497" t="n"/>
      <c r="EN8" s="497" t="n"/>
      <c r="EO8" s="497" t="n"/>
      <c r="EP8" s="497" t="n"/>
      <c r="EQ8" s="497" t="n"/>
      <c r="ER8" s="497" t="n"/>
      <c r="ES8" s="497" t="n"/>
      <c r="ET8" s="497" t="n"/>
      <c r="EU8" s="497" t="n"/>
      <c r="EV8" s="497" t="n"/>
      <c r="EW8" s="497" t="n"/>
      <c r="EX8" s="497" t="n"/>
      <c r="EY8" s="497" t="n"/>
      <c r="EZ8" s="497" t="n"/>
      <c r="FA8" s="497" t="n"/>
      <c r="FB8" s="497" t="n"/>
      <c r="FC8" s="497" t="n"/>
      <c r="FD8" s="497" t="n"/>
      <c r="FE8" s="497" t="n"/>
      <c r="FF8" s="497" t="n"/>
      <c r="FG8" s="497" t="n"/>
      <c r="FH8" s="497" t="n"/>
      <c r="FI8" s="497" t="n"/>
      <c r="FJ8" s="497" t="n"/>
      <c r="FK8" s="497" t="n"/>
      <c r="FL8" s="497" t="n"/>
      <c r="FM8" s="497" t="n"/>
      <c r="FN8" s="497" t="n"/>
      <c r="FO8" s="497" t="n"/>
      <c r="FP8" s="497" t="n"/>
      <c r="FQ8" s="497" t="n"/>
      <c r="FR8" s="497" t="n"/>
      <c r="FS8" s="497" t="n"/>
      <c r="FT8" s="497" t="n"/>
      <c r="FU8" s="497" t="n"/>
      <c r="FV8" s="497" t="n"/>
      <c r="FW8" s="497" t="n"/>
      <c r="FX8" s="497" t="n"/>
      <c r="FY8" s="497" t="n"/>
      <c r="FZ8" s="497" t="n"/>
      <c r="GA8" s="497" t="n"/>
      <c r="GB8" s="497" t="n"/>
      <c r="GC8" s="497" t="n"/>
      <c r="GD8" s="497" t="n"/>
      <c r="GE8" s="497" t="n"/>
      <c r="GF8" s="497" t="n"/>
      <c r="GG8" s="497" t="n"/>
      <c r="GH8" s="497" t="n"/>
      <c r="GI8" s="497" t="n"/>
      <c r="GJ8" s="497" t="n"/>
      <c r="GK8" s="497" t="n"/>
      <c r="GL8" s="497" t="n"/>
      <c r="GM8" s="497" t="n"/>
      <c r="GN8" s="497" t="n"/>
      <c r="GO8" s="497" t="n"/>
      <c r="GP8" s="497" t="n"/>
      <c r="GQ8" s="497" t="n"/>
      <c r="GR8" s="497" t="n"/>
      <c r="GS8" s="497" t="n"/>
      <c r="GT8" s="497" t="n"/>
      <c r="GU8" s="497" t="n"/>
      <c r="GV8" s="497" t="n"/>
      <c r="GW8" s="497" t="n"/>
      <c r="GX8" s="497" t="n"/>
      <c r="GY8" s="497" t="n"/>
      <c r="GZ8" s="497" t="n"/>
      <c r="HA8" s="497" t="n"/>
      <c r="HB8" s="497" t="n"/>
      <c r="HC8" s="497" t="n"/>
      <c r="HD8" s="497" t="n"/>
      <c r="HE8" s="497" t="n"/>
      <c r="HF8" s="497" t="n"/>
      <c r="HG8" s="497" t="n"/>
      <c r="HH8" s="497" t="n"/>
      <c r="HI8" s="497" t="n"/>
      <c r="HJ8" s="497" t="n"/>
      <c r="HK8" s="497" t="n"/>
      <c r="HL8" s="497" t="n"/>
      <c r="HM8" s="497" t="n"/>
      <c r="HN8" s="497" t="n"/>
      <c r="HO8" s="497" t="n"/>
      <c r="HP8" s="497" t="n"/>
      <c r="HQ8" s="497" t="n"/>
      <c r="HR8" s="497" t="n"/>
      <c r="HS8" s="497" t="n"/>
      <c r="HT8" s="497" t="n"/>
      <c r="HU8" s="497" t="n"/>
      <c r="HV8" s="497" t="n"/>
      <c r="HW8" s="497" t="n"/>
      <c r="HX8" s="497" t="n"/>
      <c r="HY8" s="497" t="n"/>
      <c r="HZ8" s="497" t="n"/>
      <c r="IA8" s="497" t="n"/>
      <c r="IB8" s="497" t="n"/>
      <c r="IC8" s="497" t="n"/>
      <c r="ID8" s="497" t="n"/>
      <c r="IE8" s="497" t="n"/>
      <c r="IF8" s="497" t="n"/>
      <c r="IG8" s="497" t="n"/>
      <c r="IH8" s="497" t="n"/>
      <c r="II8" s="497" t="n"/>
      <c r="IJ8" s="497" t="n"/>
      <c r="IK8" s="497" t="n"/>
      <c r="IL8" s="497" t="n"/>
      <c r="IM8" s="497" t="n"/>
      <c r="IN8" s="497" t="n"/>
      <c r="IO8" s="497" t="n"/>
      <c r="IP8" s="497" t="n"/>
      <c r="IQ8" s="497" t="n"/>
      <c r="IR8" s="497" t="n"/>
      <c r="IS8" s="497" t="n"/>
      <c r="IT8" s="497" t="n"/>
      <c r="IU8" s="497" t="n"/>
    </row>
    <row r="9" ht="12.75" customHeight="1" s="244">
      <c r="A9" s="498" t="n"/>
      <c r="B9" s="499" t="n"/>
      <c r="C9" s="499" t="inlineStr">
        <is>
          <t>C0</t>
        </is>
      </c>
      <c r="D9" s="500" t="inlineStr">
        <is>
          <t>watt/h</t>
        </is>
      </c>
      <c r="E9" s="498" t="inlineStr">
        <is>
          <t>m2</t>
        </is>
      </c>
      <c r="F9" s="501" t="inlineStr">
        <is>
          <t>watt/m2h</t>
        </is>
      </c>
      <c r="G9" s="501" t="inlineStr">
        <is>
          <t>watt/m2h</t>
        </is>
      </c>
      <c r="H9" s="498" t="inlineStr">
        <is>
          <t>m2</t>
        </is>
      </c>
      <c r="I9" s="498" t="n"/>
      <c r="J9" s="498" t="inlineStr">
        <is>
          <t>m</t>
        </is>
      </c>
      <c r="K9" s="498" t="inlineStr">
        <is>
          <t>Ad.</t>
        </is>
      </c>
      <c r="L9" s="498" t="inlineStr">
        <is>
          <t>Ad.</t>
        </is>
      </c>
      <c r="M9" s="498" t="inlineStr">
        <is>
          <t>m</t>
        </is>
      </c>
      <c r="N9" s="499" t="inlineStr">
        <is>
          <t>Watt</t>
        </is>
      </c>
      <c r="O9" s="502" t="n"/>
      <c r="P9" s="502" t="n"/>
      <c r="Q9" s="503" t="n"/>
      <c r="R9" s="503" t="n"/>
      <c r="S9" s="503" t="n"/>
      <c r="T9" s="503" t="n"/>
      <c r="U9" s="503" t="n"/>
      <c r="V9" s="503" t="n"/>
      <c r="W9" s="503" t="n"/>
      <c r="X9" s="503" t="n"/>
      <c r="Y9" s="503" t="n"/>
      <c r="Z9" s="503" t="n"/>
      <c r="AA9" s="503" t="n"/>
      <c r="AB9" s="503" t="n"/>
      <c r="AC9" s="503" t="n"/>
      <c r="AD9" s="503" t="n"/>
      <c r="AE9" s="503" t="n"/>
      <c r="AF9" s="503" t="n"/>
      <c r="AG9" s="503" t="n"/>
      <c r="AH9" s="503" t="n"/>
      <c r="AI9" s="503" t="n"/>
      <c r="AJ9" s="503" t="n"/>
      <c r="AK9" s="503" t="n"/>
      <c r="AL9" s="503" t="n"/>
      <c r="AM9" s="503" t="n"/>
      <c r="AN9" s="503" t="n"/>
      <c r="AO9" s="503" t="n"/>
      <c r="AP9" s="503" t="n"/>
      <c r="AQ9" s="503" t="n"/>
      <c r="AR9" s="503" t="n"/>
      <c r="AS9" s="503" t="n"/>
      <c r="AT9" s="503" t="n"/>
      <c r="AU9" s="503" t="n"/>
      <c r="AV9" s="503" t="n"/>
      <c r="AW9" s="503" t="n"/>
      <c r="AX9" s="503" t="n"/>
      <c r="AY9" s="503" t="n"/>
      <c r="AZ9" s="503" t="n"/>
      <c r="BA9" s="503" t="n"/>
      <c r="BB9" s="503" t="n"/>
      <c r="BC9" s="503" t="n"/>
      <c r="BD9" s="503" t="n"/>
      <c r="BE9" s="503" t="n"/>
      <c r="BF9" s="503" t="n"/>
      <c r="BG9" s="503" t="n"/>
      <c r="BH9" s="503" t="n"/>
      <c r="BI9" s="503" t="n"/>
      <c r="BJ9" s="503" t="n"/>
      <c r="BK9" s="503" t="n"/>
      <c r="BL9" s="503" t="n"/>
      <c r="BM9" s="503" t="n"/>
      <c r="BN9" s="503" t="n"/>
      <c r="BO9" s="503" t="n"/>
      <c r="BP9" s="503" t="n"/>
      <c r="BQ9" s="503" t="n"/>
      <c r="BR9" s="503" t="n"/>
      <c r="BS9" s="503" t="n"/>
      <c r="BT9" s="503" t="n"/>
      <c r="BU9" s="503" t="n"/>
      <c r="BV9" s="503" t="n"/>
      <c r="BW9" s="503" t="n"/>
      <c r="BX9" s="503" t="n"/>
      <c r="BY9" s="503" t="n"/>
      <c r="BZ9" s="503" t="n"/>
      <c r="CA9" s="503" t="n"/>
      <c r="CB9" s="503" t="n"/>
      <c r="CC9" s="503" t="n"/>
      <c r="CD9" s="503" t="n"/>
      <c r="CE9" s="503" t="n"/>
      <c r="CF9" s="503" t="n"/>
      <c r="CG9" s="503" t="n"/>
      <c r="CH9" s="503" t="n"/>
      <c r="CI9" s="503" t="n"/>
      <c r="CJ9" s="503" t="n"/>
      <c r="CK9" s="503" t="n"/>
      <c r="CL9" s="503" t="n"/>
      <c r="CM9" s="503" t="n"/>
      <c r="CN9" s="503" t="n"/>
      <c r="CO9" s="503" t="n"/>
      <c r="CP9" s="503" t="n"/>
      <c r="CQ9" s="503" t="n"/>
      <c r="CR9" s="503" t="n"/>
      <c r="CS9" s="503" t="n"/>
      <c r="CT9" s="503" t="n"/>
      <c r="CU9" s="503" t="n"/>
      <c r="CV9" s="503" t="n"/>
      <c r="CW9" s="503" t="n"/>
      <c r="CX9" s="503" t="n"/>
      <c r="CY9" s="503" t="n"/>
      <c r="CZ9" s="503" t="n"/>
      <c r="DA9" s="503" t="n"/>
      <c r="DB9" s="503" t="n"/>
      <c r="DC9" s="503" t="n"/>
      <c r="DD9" s="503" t="n"/>
      <c r="DE9" s="503" t="n"/>
      <c r="DF9" s="503" t="n"/>
      <c r="DG9" s="503" t="n"/>
      <c r="DH9" s="503" t="n"/>
      <c r="DI9" s="503" t="n"/>
      <c r="DJ9" s="503" t="n"/>
      <c r="DK9" s="503" t="n"/>
      <c r="DL9" s="503" t="n"/>
      <c r="DM9" s="503" t="n"/>
      <c r="DN9" s="503" t="n"/>
      <c r="DO9" s="503" t="n"/>
      <c r="DP9" s="503" t="n"/>
      <c r="DQ9" s="503" t="n"/>
      <c r="DR9" s="503" t="n"/>
      <c r="DS9" s="503" t="n"/>
      <c r="DT9" s="503" t="n"/>
      <c r="DU9" s="503" t="n"/>
      <c r="DV9" s="503" t="n"/>
      <c r="DW9" s="503" t="n"/>
      <c r="DX9" s="503" t="n"/>
      <c r="DY9" s="503" t="n"/>
      <c r="DZ9" s="503" t="n"/>
      <c r="EA9" s="503" t="n"/>
      <c r="EB9" s="503" t="n"/>
      <c r="EC9" s="503" t="n"/>
      <c r="ED9" s="503" t="n"/>
      <c r="EE9" s="503" t="n"/>
      <c r="EF9" s="503" t="n"/>
      <c r="EG9" s="503" t="n"/>
      <c r="EH9" s="503" t="n"/>
      <c r="EI9" s="503" t="n"/>
      <c r="EJ9" s="503" t="n"/>
      <c r="EK9" s="503" t="n"/>
      <c r="EL9" s="503" t="n"/>
      <c r="EM9" s="503" t="n"/>
      <c r="EN9" s="503" t="n"/>
      <c r="EO9" s="503" t="n"/>
      <c r="EP9" s="503" t="n"/>
      <c r="EQ9" s="503" t="n"/>
      <c r="ER9" s="503" t="n"/>
      <c r="ES9" s="503" t="n"/>
      <c r="ET9" s="503" t="n"/>
      <c r="EU9" s="503" t="n"/>
      <c r="EV9" s="503" t="n"/>
      <c r="EW9" s="503" t="n"/>
      <c r="EX9" s="503" t="n"/>
      <c r="EY9" s="503" t="n"/>
      <c r="EZ9" s="503" t="n"/>
      <c r="FA9" s="503" t="n"/>
      <c r="FB9" s="503" t="n"/>
      <c r="FC9" s="503" t="n"/>
      <c r="FD9" s="503" t="n"/>
      <c r="FE9" s="503" t="n"/>
      <c r="FF9" s="503" t="n"/>
      <c r="FG9" s="503" t="n"/>
      <c r="FH9" s="503" t="n"/>
      <c r="FI9" s="503" t="n"/>
      <c r="FJ9" s="503" t="n"/>
      <c r="FK9" s="503" t="n"/>
      <c r="FL9" s="503" t="n"/>
      <c r="FM9" s="503" t="n"/>
      <c r="FN9" s="503" t="n"/>
      <c r="FO9" s="503" t="n"/>
      <c r="FP9" s="503" t="n"/>
      <c r="FQ9" s="503" t="n"/>
      <c r="FR9" s="503" t="n"/>
      <c r="FS9" s="503" t="n"/>
      <c r="FT9" s="503" t="n"/>
      <c r="FU9" s="503" t="n"/>
      <c r="FV9" s="503" t="n"/>
      <c r="FW9" s="503" t="n"/>
      <c r="FX9" s="503" t="n"/>
      <c r="FY9" s="503" t="n"/>
      <c r="FZ9" s="503" t="n"/>
      <c r="GA9" s="503" t="n"/>
      <c r="GB9" s="503" t="n"/>
      <c r="GC9" s="503" t="n"/>
      <c r="GD9" s="503" t="n"/>
      <c r="GE9" s="503" t="n"/>
      <c r="GF9" s="503" t="n"/>
      <c r="GG9" s="503" t="n"/>
      <c r="GH9" s="503" t="n"/>
      <c r="GI9" s="503" t="n"/>
      <c r="GJ9" s="503" t="n"/>
      <c r="GK9" s="503" t="n"/>
      <c r="GL9" s="503" t="n"/>
      <c r="GM9" s="503" t="n"/>
      <c r="GN9" s="503" t="n"/>
      <c r="GO9" s="503" t="n"/>
      <c r="GP9" s="503" t="n"/>
      <c r="GQ9" s="503" t="n"/>
      <c r="GR9" s="503" t="n"/>
      <c r="GS9" s="503" t="n"/>
      <c r="GT9" s="503" t="n"/>
      <c r="GU9" s="503" t="n"/>
      <c r="GV9" s="503" t="n"/>
      <c r="GW9" s="503" t="n"/>
      <c r="GX9" s="503" t="n"/>
      <c r="GY9" s="503" t="n"/>
      <c r="GZ9" s="503" t="n"/>
      <c r="HA9" s="503" t="n"/>
      <c r="HB9" s="503" t="n"/>
      <c r="HC9" s="503" t="n"/>
      <c r="HD9" s="503" t="n"/>
      <c r="HE9" s="503" t="n"/>
      <c r="HF9" s="503" t="n"/>
      <c r="HG9" s="503" t="n"/>
      <c r="HH9" s="503" t="n"/>
      <c r="HI9" s="503" t="n"/>
      <c r="HJ9" s="503" t="n"/>
      <c r="HK9" s="503" t="n"/>
      <c r="HL9" s="503" t="n"/>
      <c r="HM9" s="503" t="n"/>
      <c r="HN9" s="503" t="n"/>
      <c r="HO9" s="503" t="n"/>
      <c r="HP9" s="503" t="n"/>
      <c r="HQ9" s="503" t="n"/>
      <c r="HR9" s="503" t="n"/>
      <c r="HS9" s="503" t="n"/>
      <c r="HT9" s="503" t="n"/>
      <c r="HU9" s="503" t="n"/>
      <c r="HV9" s="503" t="n"/>
      <c r="HW9" s="503" t="n"/>
      <c r="HX9" s="503" t="n"/>
      <c r="HY9" s="503" t="n"/>
      <c r="HZ9" s="503" t="n"/>
      <c r="IA9" s="503" t="n"/>
      <c r="IB9" s="503" t="n"/>
      <c r="IC9" s="503" t="n"/>
      <c r="ID9" s="503" t="n"/>
      <c r="IE9" s="503" t="n"/>
      <c r="IF9" s="503" t="n"/>
      <c r="IG9" s="503" t="n"/>
      <c r="IH9" s="503" t="n"/>
      <c r="II9" s="503" t="n"/>
      <c r="IJ9" s="503" t="n"/>
      <c r="IK9" s="503" t="n"/>
      <c r="IL9" s="503" t="n"/>
      <c r="IM9" s="503" t="n"/>
      <c r="IN9" s="503" t="n"/>
      <c r="IO9" s="503" t="n"/>
      <c r="IP9" s="503" t="n"/>
      <c r="IQ9" s="503" t="n"/>
      <c r="IR9" s="503" t="n"/>
      <c r="IS9" s="503" t="n"/>
      <c r="IT9" s="503" t="n"/>
      <c r="IU9" s="503" t="n"/>
    </row>
    <row r="10" ht="12.75" customHeight="1" s="244">
      <c r="A10" s="504">
        <f>'PETEK LİST'!A10</f>
        <v/>
      </c>
      <c r="B10" s="505">
        <f>'PETEK LİST'!B10</f>
        <v/>
      </c>
      <c r="C10" s="506">
        <f>'PETEK LİST'!C10</f>
        <v/>
      </c>
      <c r="D10" s="477">
        <f>'PETEK LİST'!D10</f>
        <v/>
      </c>
      <c r="E10" s="507" t="n">
        <v>28.29</v>
      </c>
      <c r="F10" s="508">
        <f>D10/E10</f>
        <v/>
      </c>
      <c r="G10" s="508">
        <f>76.263-0.539*F10</f>
        <v/>
      </c>
      <c r="H10" s="508">
        <f>D10/G10</f>
        <v/>
      </c>
      <c r="I10" s="504" t="n">
        <v>15</v>
      </c>
      <c r="J10" s="474">
        <f>'PETEK LİST'!G10</f>
        <v/>
      </c>
      <c r="K10" s="508">
        <f>J10/80</f>
        <v/>
      </c>
      <c r="L10" s="504" t="n">
        <v>3</v>
      </c>
      <c r="M10" s="504" t="n">
        <v>17.5</v>
      </c>
      <c r="N10" s="509">
        <f>J10*M10</f>
        <v/>
      </c>
    </row>
    <row r="11" ht="12.75" customHeight="1" s="244">
      <c r="A11" s="504">
        <f>'PETEK LİST'!A11</f>
        <v/>
      </c>
      <c r="B11" s="505">
        <f>'PETEK LİST'!B11</f>
        <v/>
      </c>
      <c r="C11" s="506">
        <f>'PETEK LİST'!C11</f>
        <v/>
      </c>
      <c r="D11" s="477">
        <f>'PETEK LİST'!D11</f>
        <v/>
      </c>
      <c r="E11" s="507" t="n">
        <v>13.87</v>
      </c>
      <c r="F11" s="508">
        <f>D11/E11</f>
        <v/>
      </c>
      <c r="G11" s="508">
        <f>76.263-0.539*F11</f>
        <v/>
      </c>
      <c r="H11" s="508">
        <f>D11/G11</f>
        <v/>
      </c>
      <c r="I11" s="504" t="n">
        <v>15</v>
      </c>
      <c r="J11" s="474">
        <f>'PETEK LİST'!G11</f>
        <v/>
      </c>
      <c r="K11" s="508">
        <f>J11/80</f>
        <v/>
      </c>
      <c r="L11" s="504" t="n">
        <v>2</v>
      </c>
      <c r="M11" s="504" t="n">
        <v>17.5</v>
      </c>
      <c r="N11" s="509">
        <f>J11*M11</f>
        <v/>
      </c>
    </row>
    <row r="12" ht="12.75" customHeight="1" s="244">
      <c r="A12" s="504">
        <f>'PETEK LİST'!A12</f>
        <v/>
      </c>
      <c r="B12" s="505">
        <f>'PETEK LİST'!B12</f>
        <v/>
      </c>
      <c r="C12" s="506">
        <f>'PETEK LİST'!C12</f>
        <v/>
      </c>
      <c r="D12" s="477">
        <f>'PETEK LİST'!D12</f>
        <v/>
      </c>
      <c r="E12" s="507" t="n">
        <v>10.44</v>
      </c>
      <c r="F12" s="508">
        <f>D12/E12</f>
        <v/>
      </c>
      <c r="G12" s="508">
        <f>76.263-0.539*F12</f>
        <v/>
      </c>
      <c r="H12" s="508">
        <f>D12/G12</f>
        <v/>
      </c>
      <c r="I12" s="504" t="n">
        <v>15</v>
      </c>
      <c r="J12" s="474">
        <f>'PETEK LİST'!G12</f>
        <v/>
      </c>
      <c r="K12" s="508">
        <f>J12/80</f>
        <v/>
      </c>
      <c r="L12" s="504" t="n">
        <v>1</v>
      </c>
      <c r="M12" s="504" t="n">
        <v>17.5</v>
      </c>
      <c r="N12" s="509">
        <f>J12*M12</f>
        <v/>
      </c>
    </row>
    <row r="13" ht="12.75" customHeight="1" s="244">
      <c r="A13" s="504">
        <f>'PETEK LİST'!A13</f>
        <v/>
      </c>
      <c r="B13" s="505">
        <f>'PETEK LİST'!B13</f>
        <v/>
      </c>
      <c r="C13" s="506">
        <f>'PETEK LİST'!C13</f>
        <v/>
      </c>
      <c r="D13" s="477">
        <f>'PETEK LİST'!D13</f>
        <v/>
      </c>
      <c r="E13" s="507" t="n">
        <v>10.22</v>
      </c>
      <c r="F13" s="508">
        <f>D13/E13</f>
        <v/>
      </c>
      <c r="G13" s="508">
        <f>76.263-0.539*F13</f>
        <v/>
      </c>
      <c r="H13" s="508">
        <f>D13/G13</f>
        <v/>
      </c>
      <c r="I13" s="504" t="n">
        <v>15</v>
      </c>
      <c r="J13" s="474">
        <f>'PETEK LİST'!G13</f>
        <v/>
      </c>
      <c r="K13" s="508">
        <f>J13/80</f>
        <v/>
      </c>
      <c r="L13" s="504" t="n">
        <v>1</v>
      </c>
      <c r="M13" s="504" t="n">
        <v>17.5</v>
      </c>
      <c r="N13" s="509">
        <f>J13*M13</f>
        <v/>
      </c>
    </row>
    <row r="14" ht="12.75" customHeight="1" s="244">
      <c r="A14" s="504">
        <f>'PETEK LİST'!A14</f>
        <v/>
      </c>
      <c r="B14" s="505">
        <f>'PETEK LİST'!B14</f>
        <v/>
      </c>
      <c r="C14" s="506">
        <f>'PETEK LİST'!C14</f>
        <v/>
      </c>
      <c r="D14" s="477">
        <f>'PETEK LİST'!D14</f>
        <v/>
      </c>
      <c r="E14" s="507" t="n">
        <v>13.34</v>
      </c>
      <c r="F14" s="508">
        <f>D14/E14</f>
        <v/>
      </c>
      <c r="G14" s="508">
        <f>76.263-0.539*F14</f>
        <v/>
      </c>
      <c r="H14" s="508">
        <f>D14/G14</f>
        <v/>
      </c>
      <c r="I14" s="504" t="n">
        <v>15</v>
      </c>
      <c r="J14" s="474">
        <f>'PETEK LİST'!G14</f>
        <v/>
      </c>
      <c r="K14" s="508">
        <f>J14/80</f>
        <v/>
      </c>
      <c r="L14" s="504" t="n">
        <v>2</v>
      </c>
      <c r="M14" s="504" t="n">
        <v>17.5</v>
      </c>
      <c r="N14" s="509">
        <f>J14*M14</f>
        <v/>
      </c>
    </row>
    <row r="15" ht="12.75" customHeight="1" s="244">
      <c r="A15" s="504">
        <f>'PETEK LİST'!A15</f>
        <v/>
      </c>
      <c r="B15" s="505">
        <f>'PETEK LİST'!B15</f>
        <v/>
      </c>
      <c r="C15" s="506">
        <f>'PETEK LİST'!C15</f>
        <v/>
      </c>
      <c r="D15" s="484">
        <f>'PETEK LİST'!D15</f>
        <v/>
      </c>
      <c r="E15" s="507" t="n">
        <v>5.41</v>
      </c>
      <c r="F15" s="508">
        <f>D15/E15</f>
        <v/>
      </c>
      <c r="G15" s="508">
        <f>76.263-0.539*F15</f>
        <v/>
      </c>
      <c r="H15" s="508">
        <f>D15/G15</f>
        <v/>
      </c>
      <c r="I15" s="504" t="n">
        <v>10</v>
      </c>
      <c r="J15" s="474">
        <f>'PETEK LİST'!G15</f>
        <v/>
      </c>
      <c r="K15" s="508">
        <f>J15/80</f>
        <v/>
      </c>
      <c r="L15" s="504" t="n">
        <v>1</v>
      </c>
      <c r="M15" s="504" t="n">
        <v>17.5</v>
      </c>
      <c r="N15" s="509">
        <f>J15*M15</f>
        <v/>
      </c>
    </row>
    <row r="16" ht="12.75" customHeight="1" s="244">
      <c r="A16" s="510">
        <f>'PETEK LİST'!A16</f>
        <v/>
      </c>
      <c r="B16" s="511">
        <f>'PETEK LİST'!B16</f>
        <v/>
      </c>
      <c r="C16" s="512">
        <f>'PETEK LİST'!C16</f>
        <v/>
      </c>
      <c r="D16" s="477">
        <f>'PETEK LİST'!D16</f>
        <v/>
      </c>
      <c r="E16" s="507" t="n">
        <v>2.89</v>
      </c>
      <c r="F16" s="508">
        <f>D16/E16</f>
        <v/>
      </c>
      <c r="G16" s="508">
        <f>76.263-0.539*F16</f>
        <v/>
      </c>
      <c r="H16" s="508">
        <f>D16/G16</f>
        <v/>
      </c>
      <c r="I16" s="504" t="n">
        <v>10</v>
      </c>
      <c r="J16" s="474">
        <f>'PETEK LİST'!G16</f>
        <v/>
      </c>
      <c r="K16" s="508">
        <f>J16/80</f>
        <v/>
      </c>
      <c r="L16" s="504" t="n">
        <v>1</v>
      </c>
      <c r="M16" s="504" t="n">
        <v>17.5</v>
      </c>
      <c r="N16" s="509">
        <f>J16*M16</f>
        <v/>
      </c>
    </row>
    <row r="17" ht="12.75" customHeight="1" s="244">
      <c r="A17" s="510">
        <f>'PETEK LİST'!A17</f>
        <v/>
      </c>
      <c r="B17" s="511">
        <f>'PETEK LİST'!B17</f>
        <v/>
      </c>
      <c r="C17" s="512">
        <f>'PETEK LİST'!C17</f>
        <v/>
      </c>
      <c r="D17" s="477">
        <f>'PETEK LİST'!D17</f>
        <v/>
      </c>
      <c r="E17" s="507" t="n">
        <v>9.460000000000001</v>
      </c>
      <c r="F17" s="508">
        <f>D17/E17</f>
        <v/>
      </c>
      <c r="G17" s="508">
        <f>76.263-0.539*F17</f>
        <v/>
      </c>
      <c r="H17" s="508">
        <f>D17/G17</f>
        <v/>
      </c>
      <c r="I17" s="504" t="n">
        <v>15</v>
      </c>
      <c r="J17" s="474">
        <f>'PETEK LİST'!G17</f>
        <v/>
      </c>
      <c r="K17" s="508">
        <f>J17/80</f>
        <v/>
      </c>
      <c r="L17" s="504" t="n">
        <v>1</v>
      </c>
      <c r="M17" s="504" t="n">
        <v>17.5</v>
      </c>
      <c r="N17" s="509">
        <f>J17*M17</f>
        <v/>
      </c>
    </row>
    <row r="18" ht="12.75" customHeight="1" s="244">
      <c r="A18" s="513" t="n"/>
      <c r="B18" s="513" t="n"/>
      <c r="C18" s="514" t="n"/>
      <c r="D18" s="515" t="n"/>
      <c r="E18" s="282" t="n"/>
      <c r="F18" s="516" t="n"/>
      <c r="G18" s="516" t="n"/>
      <c r="H18" s="516" t="n"/>
      <c r="I18" s="261" t="n"/>
      <c r="J18" s="513" t="n"/>
      <c r="K18" s="516" t="n"/>
      <c r="L18" s="261" t="n"/>
      <c r="M18" s="261" t="n"/>
      <c r="N18" s="517" t="n"/>
    </row>
    <row r="19" ht="12.75" customHeight="1" s="244">
      <c r="A19" s="510">
        <f>'PETEK LİST'!A19</f>
        <v/>
      </c>
      <c r="B19" s="511">
        <f>'PETEK LİST'!B19</f>
        <v/>
      </c>
      <c r="C19" s="512">
        <f>'PETEK LİST'!C19</f>
        <v/>
      </c>
      <c r="D19" s="477">
        <f>'PETEK LİST'!D19</f>
        <v/>
      </c>
      <c r="E19" s="507" t="n">
        <v>28.29</v>
      </c>
      <c r="F19" s="508">
        <f>D19/E19</f>
        <v/>
      </c>
      <c r="G19" s="508">
        <f>76.263-0.539*F19</f>
        <v/>
      </c>
      <c r="H19" s="508">
        <f>D19/G19</f>
        <v/>
      </c>
      <c r="I19" s="504" t="n">
        <v>15</v>
      </c>
      <c r="J19" s="474">
        <f>'PETEK LİST'!G19</f>
        <v/>
      </c>
      <c r="K19" s="508">
        <f>J19/80</f>
        <v/>
      </c>
      <c r="L19" s="504" t="n">
        <v>3</v>
      </c>
      <c r="M19" s="504" t="n">
        <v>17.5</v>
      </c>
      <c r="N19" s="509">
        <f>J19*M19</f>
        <v/>
      </c>
    </row>
    <row r="20" ht="12.75" customHeight="1" s="244">
      <c r="A20" s="510">
        <f>'PETEK LİST'!A20</f>
        <v/>
      </c>
      <c r="B20" s="511">
        <f>'PETEK LİST'!B20</f>
        <v/>
      </c>
      <c r="C20" s="512">
        <f>'PETEK LİST'!C20</f>
        <v/>
      </c>
      <c r="D20" s="477">
        <f>'PETEK LİST'!D20</f>
        <v/>
      </c>
      <c r="E20" s="507" t="n">
        <v>13.87</v>
      </c>
      <c r="F20" s="508">
        <f>D20/E20</f>
        <v/>
      </c>
      <c r="G20" s="508">
        <f>76.263-0.539*F20</f>
        <v/>
      </c>
      <c r="H20" s="508">
        <f>D20/G20</f>
        <v/>
      </c>
      <c r="I20" s="504" t="n">
        <v>15</v>
      </c>
      <c r="J20" s="474">
        <f>'PETEK LİST'!G20</f>
        <v/>
      </c>
      <c r="K20" s="508">
        <f>J20/80</f>
        <v/>
      </c>
      <c r="L20" s="504" t="n">
        <v>2</v>
      </c>
      <c r="M20" s="504" t="n">
        <v>17.5</v>
      </c>
      <c r="N20" s="509">
        <f>J20*M20</f>
        <v/>
      </c>
    </row>
    <row r="21" ht="12.75" customHeight="1" s="244">
      <c r="A21" s="510">
        <f>'PETEK LİST'!A21</f>
        <v/>
      </c>
      <c r="B21" s="511">
        <f>'PETEK LİST'!B21</f>
        <v/>
      </c>
      <c r="C21" s="512">
        <f>'PETEK LİST'!C21</f>
        <v/>
      </c>
      <c r="D21" s="477">
        <f>'PETEK LİST'!D21</f>
        <v/>
      </c>
      <c r="E21" s="507" t="n">
        <v>10.44</v>
      </c>
      <c r="F21" s="508">
        <f>D21/E21</f>
        <v/>
      </c>
      <c r="G21" s="508">
        <f>76.263-0.539*F21</f>
        <v/>
      </c>
      <c r="H21" s="508">
        <f>D21/G21</f>
        <v/>
      </c>
      <c r="I21" s="504" t="n">
        <v>15</v>
      </c>
      <c r="J21" s="474">
        <f>'PETEK LİST'!G21</f>
        <v/>
      </c>
      <c r="K21" s="508">
        <f>J21/80</f>
        <v/>
      </c>
      <c r="L21" s="504" t="n">
        <v>1</v>
      </c>
      <c r="M21" s="504" t="n">
        <v>17.5</v>
      </c>
      <c r="N21" s="509">
        <f>J21*M21</f>
        <v/>
      </c>
    </row>
    <row r="22" ht="12.75" customHeight="1" s="244">
      <c r="A22" s="510">
        <f>'PETEK LİST'!A22</f>
        <v/>
      </c>
      <c r="B22" s="511">
        <f>'PETEK LİST'!B22</f>
        <v/>
      </c>
      <c r="C22" s="512">
        <f>'PETEK LİST'!C22</f>
        <v/>
      </c>
      <c r="D22" s="477">
        <f>'PETEK LİST'!D22</f>
        <v/>
      </c>
      <c r="E22" s="507" t="n">
        <v>10.22</v>
      </c>
      <c r="F22" s="508">
        <f>D22/E22</f>
        <v/>
      </c>
      <c r="G22" s="508">
        <f>76.263-0.539*F22</f>
        <v/>
      </c>
      <c r="H22" s="508">
        <f>D22/G22</f>
        <v/>
      </c>
      <c r="I22" s="504" t="n">
        <v>15</v>
      </c>
      <c r="J22" s="474">
        <f>'PETEK LİST'!G22</f>
        <v/>
      </c>
      <c r="K22" s="508">
        <f>J22/80</f>
        <v/>
      </c>
      <c r="L22" s="504" t="n">
        <v>1</v>
      </c>
      <c r="M22" s="504" t="n">
        <v>17.5</v>
      </c>
      <c r="N22" s="509">
        <f>J22*M22</f>
        <v/>
      </c>
    </row>
    <row r="23" ht="12.75" customHeight="1" s="244">
      <c r="A23" s="510">
        <f>'PETEK LİST'!A23</f>
        <v/>
      </c>
      <c r="B23" s="511">
        <f>'PETEK LİST'!B23</f>
        <v/>
      </c>
      <c r="C23" s="512">
        <f>'PETEK LİST'!C23</f>
        <v/>
      </c>
      <c r="D23" s="477">
        <f>'PETEK LİST'!D23</f>
        <v/>
      </c>
      <c r="E23" s="507" t="n">
        <v>13.34</v>
      </c>
      <c r="F23" s="508">
        <f>D23/E23</f>
        <v/>
      </c>
      <c r="G23" s="508">
        <f>76.263-0.539*F23</f>
        <v/>
      </c>
      <c r="H23" s="508">
        <f>D23/G23</f>
        <v/>
      </c>
      <c r="I23" s="504" t="n">
        <v>15</v>
      </c>
      <c r="J23" s="474">
        <f>'PETEK LİST'!G23</f>
        <v/>
      </c>
      <c r="K23" s="508">
        <f>J23/80</f>
        <v/>
      </c>
      <c r="L23" s="504" t="n">
        <v>2</v>
      </c>
      <c r="M23" s="504" t="n">
        <v>17.5</v>
      </c>
      <c r="N23" s="509">
        <f>J23*M23</f>
        <v/>
      </c>
    </row>
    <row r="24">
      <c r="A24" s="504">
        <f>'PETEK LİST'!A24</f>
        <v/>
      </c>
      <c r="B24" s="505">
        <f>'PETEK LİST'!B24</f>
        <v/>
      </c>
      <c r="C24" s="506">
        <f>'PETEK LİST'!C24</f>
        <v/>
      </c>
      <c r="D24" s="484">
        <f>'PETEK LİST'!D24</f>
        <v/>
      </c>
      <c r="E24" s="507" t="n">
        <v>5.41</v>
      </c>
      <c r="F24" s="508">
        <f>D24/E24</f>
        <v/>
      </c>
      <c r="G24" s="508">
        <f>76.263-0.539*F24</f>
        <v/>
      </c>
      <c r="H24" s="508">
        <f>D24/G24</f>
        <v/>
      </c>
      <c r="I24" s="504" t="n">
        <v>10</v>
      </c>
      <c r="J24" s="481">
        <f>'PETEK LİST'!G24</f>
        <v/>
      </c>
      <c r="K24" s="508">
        <f>J24/80</f>
        <v/>
      </c>
      <c r="L24" s="504" t="n">
        <v>1</v>
      </c>
      <c r="M24" s="504" t="n">
        <v>17.5</v>
      </c>
      <c r="N24" s="509">
        <f>J24*M24</f>
        <v/>
      </c>
    </row>
    <row r="25">
      <c r="A25" s="504">
        <f>'PETEK LİST'!A25</f>
        <v/>
      </c>
      <c r="B25" s="505">
        <f>'PETEK LİST'!B25</f>
        <v/>
      </c>
      <c r="C25" s="506">
        <f>'PETEK LİST'!C25</f>
        <v/>
      </c>
      <c r="D25" s="484">
        <f>'PETEK LİST'!D25</f>
        <v/>
      </c>
      <c r="E25" s="507" t="n">
        <v>2.89</v>
      </c>
      <c r="F25" s="508">
        <f>D25/E25</f>
        <v/>
      </c>
      <c r="G25" s="508">
        <f>76.263-0.539*F25</f>
        <v/>
      </c>
      <c r="H25" s="508">
        <f>D25/G25</f>
        <v/>
      </c>
      <c r="I25" s="504" t="n">
        <v>10</v>
      </c>
      <c r="J25" s="481">
        <f>'PETEK LİST'!G25</f>
        <v/>
      </c>
      <c r="K25" s="508">
        <f>J25/80</f>
        <v/>
      </c>
      <c r="L25" s="504" t="n">
        <v>1</v>
      </c>
      <c r="M25" s="504" t="n">
        <v>17.5</v>
      </c>
      <c r="N25" s="509">
        <f>J25*M25</f>
        <v/>
      </c>
    </row>
    <row r="26">
      <c r="A26" s="504">
        <f>'PETEK LİST'!A26</f>
        <v/>
      </c>
      <c r="B26" s="505">
        <f>'PETEK LİST'!B26</f>
        <v/>
      </c>
      <c r="C26" s="506">
        <f>'PETEK LİST'!C26</f>
        <v/>
      </c>
      <c r="D26" s="484">
        <f>'PETEK LİST'!D26</f>
        <v/>
      </c>
      <c r="E26" s="507" t="n">
        <v>9.460000000000001</v>
      </c>
      <c r="F26" s="508">
        <f>D26/E26</f>
        <v/>
      </c>
      <c r="G26" s="508">
        <f>76.263-0.539*F26</f>
        <v/>
      </c>
      <c r="H26" s="508">
        <f>D26/G26</f>
        <v/>
      </c>
      <c r="I26" s="504" t="n">
        <v>15</v>
      </c>
      <c r="J26" s="481">
        <f>'PETEK LİST'!G26</f>
        <v/>
      </c>
      <c r="K26" s="508">
        <f>J26/80</f>
        <v/>
      </c>
      <c r="L26" s="504" t="n">
        <v>1</v>
      </c>
      <c r="M26" s="504" t="n">
        <v>17.5</v>
      </c>
      <c r="N26" s="509">
        <f>J26*M26</f>
        <v/>
      </c>
    </row>
    <row r="27"/>
    <row r="28">
      <c r="A28" s="504">
        <f>'PETEK LİST'!A28</f>
        <v/>
      </c>
      <c r="B28" s="505">
        <f>'PETEK LİST'!B28</f>
        <v/>
      </c>
      <c r="C28" s="506">
        <f>'PETEK LİST'!C28</f>
        <v/>
      </c>
      <c r="D28" s="484">
        <f>'PETEK LİST'!D28</f>
        <v/>
      </c>
      <c r="E28" s="507" t="n">
        <v>28.29</v>
      </c>
      <c r="F28" s="508">
        <f>D28/E28</f>
        <v/>
      </c>
      <c r="G28" s="508">
        <f>76.263-0.539*F28</f>
        <v/>
      </c>
      <c r="H28" s="508">
        <f>D28/G28</f>
        <v/>
      </c>
      <c r="I28" s="504" t="n">
        <v>15</v>
      </c>
      <c r="J28" s="481">
        <f>'PETEK LİST'!G28</f>
        <v/>
      </c>
      <c r="K28" s="508">
        <f>J28/80</f>
        <v/>
      </c>
      <c r="L28" s="504" t="n">
        <v>3</v>
      </c>
      <c r="M28" s="504" t="n">
        <v>17.5</v>
      </c>
      <c r="N28" s="509">
        <f>J28*M28</f>
        <v/>
      </c>
    </row>
    <row r="29">
      <c r="A29" s="504">
        <f>'PETEK LİST'!A29</f>
        <v/>
      </c>
      <c r="B29" s="505">
        <f>'PETEK LİST'!B29</f>
        <v/>
      </c>
      <c r="C29" s="506">
        <f>'PETEK LİST'!C29</f>
        <v/>
      </c>
      <c r="D29" s="484">
        <f>'PETEK LİST'!D29</f>
        <v/>
      </c>
      <c r="E29" s="507" t="n">
        <v>13.87</v>
      </c>
      <c r="F29" s="508">
        <f>D29/E29</f>
        <v/>
      </c>
      <c r="G29" s="508">
        <f>76.263-0.539*F29</f>
        <v/>
      </c>
      <c r="H29" s="508">
        <f>D29/G29</f>
        <v/>
      </c>
      <c r="I29" s="504" t="n">
        <v>15</v>
      </c>
      <c r="J29" s="481">
        <f>'PETEK LİST'!G29</f>
        <v/>
      </c>
      <c r="K29" s="508">
        <f>J29/80</f>
        <v/>
      </c>
      <c r="L29" s="504" t="n">
        <v>2</v>
      </c>
      <c r="M29" s="504" t="n">
        <v>17.5</v>
      </c>
      <c r="N29" s="509">
        <f>J29*M29</f>
        <v/>
      </c>
    </row>
    <row r="30">
      <c r="A30" s="504">
        <f>'PETEK LİST'!A30</f>
        <v/>
      </c>
      <c r="B30" s="505">
        <f>'PETEK LİST'!B30</f>
        <v/>
      </c>
      <c r="C30" s="506">
        <f>'PETEK LİST'!C30</f>
        <v/>
      </c>
      <c r="D30" s="484">
        <f>'PETEK LİST'!D30</f>
        <v/>
      </c>
      <c r="E30" s="507" t="n">
        <v>10.44</v>
      </c>
      <c r="F30" s="508">
        <f>D30/E30</f>
        <v/>
      </c>
      <c r="G30" s="508">
        <f>76.263-0.539*F30</f>
        <v/>
      </c>
      <c r="H30" s="508">
        <f>D30/G30</f>
        <v/>
      </c>
      <c r="I30" s="504" t="n">
        <v>15</v>
      </c>
      <c r="J30" s="481">
        <f>'PETEK LİST'!G30</f>
        <v/>
      </c>
      <c r="K30" s="508">
        <f>J30/80</f>
        <v/>
      </c>
      <c r="L30" s="504" t="n">
        <v>1</v>
      </c>
      <c r="M30" s="504" t="n">
        <v>17.5</v>
      </c>
      <c r="N30" s="509">
        <f>J30*M30</f>
        <v/>
      </c>
    </row>
    <row r="31">
      <c r="A31" s="504">
        <f>'PETEK LİST'!A31</f>
        <v/>
      </c>
      <c r="B31" s="505">
        <f>'PETEK LİST'!B31</f>
        <v/>
      </c>
      <c r="C31" s="506">
        <f>'PETEK LİST'!C31</f>
        <v/>
      </c>
      <c r="D31" s="484">
        <f>'PETEK LİST'!D31</f>
        <v/>
      </c>
      <c r="E31" s="507" t="n">
        <v>10.22</v>
      </c>
      <c r="F31" s="508">
        <f>D31/E31</f>
        <v/>
      </c>
      <c r="G31" s="508">
        <f>76.263-0.539*F31</f>
        <v/>
      </c>
      <c r="H31" s="508">
        <f>D31/G31</f>
        <v/>
      </c>
      <c r="I31" s="504" t="n">
        <v>15</v>
      </c>
      <c r="J31" s="481">
        <f>'PETEK LİST'!G31</f>
        <v/>
      </c>
      <c r="K31" s="508">
        <f>J31/80</f>
        <v/>
      </c>
      <c r="L31" s="504" t="n">
        <v>1</v>
      </c>
      <c r="M31" s="504" t="n">
        <v>17.5</v>
      </c>
      <c r="N31" s="509">
        <f>J31*M31</f>
        <v/>
      </c>
    </row>
    <row r="32">
      <c r="A32" s="504">
        <f>'PETEK LİST'!A32</f>
        <v/>
      </c>
      <c r="B32" s="505">
        <f>'PETEK LİST'!B32</f>
        <v/>
      </c>
      <c r="C32" s="506">
        <f>'PETEK LİST'!C32</f>
        <v/>
      </c>
      <c r="D32" s="484">
        <f>'PETEK LİST'!D32</f>
        <v/>
      </c>
      <c r="E32" s="507" t="n">
        <v>13.34</v>
      </c>
      <c r="F32" s="508">
        <f>D32/E32</f>
        <v/>
      </c>
      <c r="G32" s="508">
        <f>76.263-0.539*F32</f>
        <v/>
      </c>
      <c r="H32" s="508">
        <f>D32/G32</f>
        <v/>
      </c>
      <c r="I32" s="504" t="n">
        <v>15</v>
      </c>
      <c r="J32" s="481">
        <f>'PETEK LİST'!G32</f>
        <v/>
      </c>
      <c r="K32" s="508">
        <f>J32/80</f>
        <v/>
      </c>
      <c r="L32" s="504" t="n">
        <v>2</v>
      </c>
      <c r="M32" s="504" t="n">
        <v>17.5</v>
      </c>
      <c r="N32" s="509">
        <f>J32*M32</f>
        <v/>
      </c>
    </row>
    <row r="33">
      <c r="A33" s="504">
        <f>'PETEK LİST'!A33</f>
        <v/>
      </c>
      <c r="B33" s="505">
        <f>'PETEK LİST'!B33</f>
        <v/>
      </c>
      <c r="C33" s="506">
        <f>'PETEK LİST'!C33</f>
        <v/>
      </c>
      <c r="D33" s="484">
        <f>'PETEK LİST'!D33</f>
        <v/>
      </c>
      <c r="E33" s="507" t="n">
        <v>5.41</v>
      </c>
      <c r="F33" s="508">
        <f>D33/E33</f>
        <v/>
      </c>
      <c r="G33" s="508">
        <f>76.263-0.539*F33</f>
        <v/>
      </c>
      <c r="H33" s="508">
        <f>D33/G33</f>
        <v/>
      </c>
      <c r="I33" s="504" t="n">
        <v>10</v>
      </c>
      <c r="J33" s="481">
        <f>'PETEK LİST'!G33</f>
        <v/>
      </c>
      <c r="K33" s="508">
        <f>J33/80</f>
        <v/>
      </c>
      <c r="L33" s="504" t="n">
        <v>1</v>
      </c>
      <c r="M33" s="504" t="n">
        <v>17.5</v>
      </c>
      <c r="N33" s="509">
        <f>J33*M33</f>
        <v/>
      </c>
    </row>
    <row r="34">
      <c r="A34" s="504">
        <f>'PETEK LİST'!A34</f>
        <v/>
      </c>
      <c r="B34" s="505">
        <f>'PETEK LİST'!B34</f>
        <v/>
      </c>
      <c r="C34" s="506">
        <f>'PETEK LİST'!C34</f>
        <v/>
      </c>
      <c r="D34" s="484">
        <f>'PETEK LİST'!D34</f>
        <v/>
      </c>
      <c r="E34" s="507" t="n">
        <v>2.89</v>
      </c>
      <c r="F34" s="508">
        <f>D34/E34</f>
        <v/>
      </c>
      <c r="G34" s="508">
        <f>76.263-0.539*F34</f>
        <v/>
      </c>
      <c r="H34" s="508">
        <f>D34/G34</f>
        <v/>
      </c>
      <c r="I34" s="504" t="n">
        <v>10</v>
      </c>
      <c r="J34" s="481">
        <f>'PETEK LİST'!G34</f>
        <v/>
      </c>
      <c r="K34" s="508">
        <f>J34/80</f>
        <v/>
      </c>
      <c r="L34" s="504" t="n">
        <v>1</v>
      </c>
      <c r="M34" s="504" t="n">
        <v>17.5</v>
      </c>
      <c r="N34" s="509">
        <f>J34*M34</f>
        <v/>
      </c>
    </row>
    <row r="35">
      <c r="A35" s="504">
        <f>'PETEK LİST'!A35</f>
        <v/>
      </c>
      <c r="B35" s="505">
        <f>'PETEK LİST'!B35</f>
        <v/>
      </c>
      <c r="C35" s="506">
        <f>'PETEK LİST'!C35</f>
        <v/>
      </c>
      <c r="D35" s="484">
        <f>'PETEK LİST'!D35</f>
        <v/>
      </c>
      <c r="E35" s="507" t="n">
        <v>9.460000000000001</v>
      </c>
      <c r="F35" s="508">
        <f>D35/E35</f>
        <v/>
      </c>
      <c r="G35" s="508">
        <f>76.263-0.539*F35</f>
        <v/>
      </c>
      <c r="H35" s="508">
        <f>D35/G35</f>
        <v/>
      </c>
      <c r="I35" s="504" t="n">
        <v>15</v>
      </c>
      <c r="J35" s="481">
        <f>'PETEK LİST'!G35</f>
        <v/>
      </c>
      <c r="K35" s="508">
        <f>J35/80</f>
        <v/>
      </c>
      <c r="L35" s="504" t="n">
        <v>1</v>
      </c>
      <c r="M35" s="504" t="n">
        <v>17.5</v>
      </c>
      <c r="N35" s="509">
        <f>J35*M35</f>
        <v/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10">
    <mergeCell ref="H5:N5"/>
    <mergeCell ref="L1:N2"/>
    <mergeCell ref="A6:G6"/>
    <mergeCell ref="H3:K4"/>
    <mergeCell ref="A1:B4"/>
    <mergeCell ref="C1:G4"/>
    <mergeCell ref="H6:N6"/>
    <mergeCell ref="H1:K2"/>
    <mergeCell ref="L3:N4"/>
    <mergeCell ref="A5:G5"/>
  </mergeCells>
  <conditionalFormatting sqref="J12">
    <cfRule type="cellIs" rank="0" priority="2" equalAverage="0" operator="greaterThan" aboveAverage="0" dxfId="1" text="" percent="0" bottom="0">
      <formula>G12*1.4</formula>
    </cfRule>
  </conditionalFormatting>
  <conditionalFormatting sqref="J13">
    <cfRule type="cellIs" rank="0" priority="3" equalAverage="0" operator="greaterThan" aboveAverage="0" dxfId="1" text="" percent="0" bottom="0">
      <formula>G13*1.4</formula>
    </cfRule>
  </conditionalFormatting>
  <conditionalFormatting sqref="J14:J15">
    <cfRule type="cellIs" rank="0" priority="4" equalAverage="0" operator="greaterThan" aboveAverage="0" dxfId="1" text="" percent="0" bottom="0">
      <formula>G14*1.4</formula>
    </cfRule>
  </conditionalFormatting>
  <conditionalFormatting sqref="J16:J17 J19">
    <cfRule type="cellIs" rank="0" priority="5" equalAverage="0" operator="greaterThan" aboveAverage="0" dxfId="1" text="" percent="0" bottom="0">
      <formula>G16*1.4</formula>
    </cfRule>
  </conditionalFormatting>
  <conditionalFormatting sqref="J20">
    <cfRule type="cellIs" rank="0" priority="6" equalAverage="0" operator="greaterThan" aboveAverage="0" dxfId="1" text="" percent="0" bottom="0">
      <formula>G20*1.4</formula>
    </cfRule>
  </conditionalFormatting>
  <conditionalFormatting sqref="J23">
    <cfRule type="cellIs" rank="0" priority="7" equalAverage="0" operator="greaterThan" aboveAverage="0" dxfId="1" text="" percent="0" bottom="0">
      <formula>G23*1.4</formula>
    </cfRule>
  </conditionalFormatting>
  <conditionalFormatting sqref="J21">
    <cfRule type="cellIs" rank="0" priority="8" equalAverage="0" operator="greaterThan" aboveAverage="0" dxfId="1" text="" percent="0" bottom="0">
      <formula>G21*1.4</formula>
    </cfRule>
  </conditionalFormatting>
  <conditionalFormatting sqref="J18">
    <cfRule type="cellIs" rank="0" priority="9" equalAverage="0" operator="greaterThan" aboveAverage="0" dxfId="1" text="" percent="0" bottom="0">
      <formula>G18*1.4</formula>
    </cfRule>
  </conditionalFormatting>
  <conditionalFormatting sqref="J11">
    <cfRule type="cellIs" rank="0" priority="10" equalAverage="0" operator="greaterThan" aboveAverage="0" dxfId="1" text="" percent="0" bottom="0">
      <formula>G11*1.4</formula>
    </cfRule>
  </conditionalFormatting>
  <conditionalFormatting sqref="J10">
    <cfRule type="cellIs" rank="0" priority="11" equalAverage="0" operator="greaterThan" aboveAverage="0" dxfId="1" text="" percent="0" bottom="0">
      <formula>G10*1.4</formula>
    </cfRule>
  </conditionalFormatting>
  <conditionalFormatting sqref="J22">
    <cfRule type="cellIs" rank="0" priority="12" equalAverage="0" operator="greaterThan" aboveAverage="0" dxfId="1" text="" percent="0" bottom="0">
      <formula>G22*1.4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B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18" min="5" max="5"/>
    <col width="6.56" customWidth="1" style="518" min="6" max="6"/>
    <col width="6.41" customWidth="1" style="518" min="7" max="7"/>
    <col width="11.13" customWidth="1" style="243" min="8" max="8"/>
    <col width="5.28" customWidth="1" style="243" min="9" max="13"/>
    <col width="8.140000000000001" customWidth="1" style="243" min="14" max="14"/>
    <col width="5.28" customWidth="1" style="243" min="15" max="16"/>
    <col width="6.7" customWidth="1" style="243" min="17" max="21"/>
    <col width="7.99" customWidth="1" style="243" min="22" max="25"/>
    <col width="6.85" customWidth="1" style="243" min="26" max="26"/>
  </cols>
  <sheetData>
    <row r="1" ht="12.75" customHeight="1" s="244">
      <c r="A1" s="519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520" t="n"/>
      <c r="K1" s="520" t="n"/>
      <c r="L1" s="520" t="n"/>
      <c r="M1" s="520" t="n"/>
      <c r="N1" s="520" t="n"/>
      <c r="O1" s="520" t="n"/>
      <c r="P1" s="520" t="n"/>
      <c r="Q1" s="520" t="n"/>
      <c r="R1" s="520" t="n"/>
      <c r="S1" s="520" t="n"/>
      <c r="T1" s="520" t="n"/>
      <c r="U1" s="520" t="n"/>
    </row>
    <row r="2" ht="12.75" customFormat="1" customHeight="1" s="463">
      <c r="A2" s="521" t="inlineStr">
        <is>
          <t>1. BODRUM (DAİRE 1)</t>
        </is>
      </c>
      <c r="B2" s="467" t="n"/>
      <c r="C2" s="522" t="inlineStr">
        <is>
          <t>DÖŞEMEDEN ISITMA HESAP ÖZETİ</t>
        </is>
      </c>
      <c r="D2" s="523" t="inlineStr">
        <is>
          <t>Ts.g  = 50 °C</t>
        </is>
      </c>
      <c r="E2" s="524" t="inlineStr">
        <is>
          <t>TOPLAM ISI KAYBI = 4222 W</t>
        </is>
      </c>
      <c r="F2" s="264" t="n"/>
      <c r="G2" s="264" t="n"/>
      <c r="H2" s="264" t="n"/>
      <c r="I2" s="260" t="n"/>
      <c r="J2" s="525" t="n"/>
      <c r="K2" s="525" t="n"/>
      <c r="L2" s="525" t="n"/>
      <c r="M2" s="525" t="n"/>
      <c r="N2" s="525" t="n"/>
      <c r="O2" s="525" t="n"/>
      <c r="P2" s="525" t="n"/>
      <c r="Q2" s="525" t="n"/>
      <c r="R2" s="525" t="n"/>
      <c r="S2" s="525" t="n"/>
      <c r="T2" s="525" t="n"/>
      <c r="U2" s="525" t="n"/>
    </row>
    <row r="3" ht="8.25" customFormat="1" customHeight="1" s="463">
      <c r="A3" s="466" t="n"/>
      <c r="B3" s="467" t="n"/>
      <c r="C3" s="471" t="n"/>
      <c r="D3" s="526" t="inlineStr">
        <is>
          <t>Isıtma Çevrim Sayısı : 11</t>
        </is>
      </c>
      <c r="E3" s="524" t="inlineStr">
        <is>
          <t>MAX. BASINÇ KAYBI = 1609 Pa</t>
        </is>
      </c>
      <c r="F3" s="250" t="n"/>
      <c r="G3" s="250" t="n"/>
      <c r="H3" s="250" t="n"/>
      <c r="I3" s="275" t="n"/>
      <c r="J3" s="525" t="n"/>
      <c r="K3" s="525" t="n"/>
      <c r="L3" s="525" t="n"/>
      <c r="M3" s="525" t="n"/>
      <c r="N3" s="525" t="n"/>
      <c r="O3" s="525" t="n"/>
      <c r="P3" s="525" t="n"/>
      <c r="Q3" s="525" t="n"/>
      <c r="R3" s="525" t="n"/>
      <c r="S3" s="525" t="n"/>
      <c r="T3" s="525" t="n"/>
      <c r="U3" s="525" t="n"/>
    </row>
    <row r="4" ht="5.25" customFormat="1" customHeight="1" s="463">
      <c r="A4" s="466" t="n"/>
      <c r="B4" s="467" t="n"/>
      <c r="C4" s="471" t="n"/>
      <c r="D4" s="303" t="n"/>
      <c r="E4" s="278" t="n"/>
      <c r="F4" s="256" t="n"/>
      <c r="G4" s="256" t="n"/>
      <c r="H4" s="256" t="n"/>
      <c r="I4" s="277" t="n"/>
      <c r="J4" s="525" t="n"/>
      <c r="K4" s="525" t="n"/>
      <c r="L4" s="525" t="n"/>
      <c r="M4" s="525" t="n"/>
      <c r="N4" s="525" t="n"/>
      <c r="O4" s="525" t="n"/>
      <c r="P4" s="525" t="n"/>
      <c r="Q4" s="525" t="n"/>
      <c r="R4" s="525" t="n"/>
      <c r="S4" s="525" t="n"/>
      <c r="T4" s="525" t="n"/>
      <c r="U4" s="525" t="n"/>
    </row>
    <row r="5" ht="15" customFormat="1" customHeight="1" s="463">
      <c r="A5" s="278" t="n"/>
      <c r="B5" s="277" t="n"/>
      <c r="C5" s="303" t="n"/>
      <c r="D5" s="465" t="inlineStr">
        <is>
          <t>Mak. Müh. Bayram GENÇ</t>
        </is>
      </c>
      <c r="E5" s="264" t="n"/>
      <c r="F5" s="264" t="n"/>
      <c r="G5" s="264" t="n"/>
      <c r="H5" s="264" t="n"/>
      <c r="I5" s="260" t="n"/>
      <c r="J5" s="527" t="n"/>
      <c r="K5" s="527" t="n"/>
      <c r="L5" s="527" t="n"/>
      <c r="M5" s="527" t="n"/>
      <c r="N5" s="527" t="n"/>
      <c r="O5" s="527" t="n"/>
      <c r="P5" s="527" t="n"/>
      <c r="Q5" s="491" t="n"/>
      <c r="R5" s="491" t="n"/>
      <c r="S5" s="491" t="n"/>
      <c r="T5" s="491" t="n"/>
      <c r="U5" s="491" t="n"/>
    </row>
    <row r="6" ht="12" customHeight="1" s="244">
      <c r="A6" s="528" t="n"/>
      <c r="B6" s="528" t="n"/>
      <c r="C6" s="528" t="n"/>
      <c r="D6" s="528" t="n"/>
      <c r="E6" s="529" t="n"/>
      <c r="F6" s="529" t="n"/>
      <c r="G6" s="529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n"/>
      <c r="U6" s="243" t="n"/>
    </row>
    <row r="7" ht="12" customHeight="1" s="244">
      <c r="A7" s="261" t="n"/>
      <c r="B7" s="530" t="n"/>
      <c r="C7" s="531" t="n"/>
      <c r="D7" s="530" t="n"/>
      <c r="E7" s="532" t="n"/>
      <c r="F7" s="533" t="inlineStr">
        <is>
          <t>P11</t>
        </is>
      </c>
      <c r="G7" s="533" t="inlineStr">
        <is>
          <t>P10</t>
        </is>
      </c>
      <c r="H7" s="533" t="inlineStr">
        <is>
          <t>P9</t>
        </is>
      </c>
      <c r="I7" s="533" t="inlineStr">
        <is>
          <t>P8</t>
        </is>
      </c>
      <c r="J7" s="533" t="inlineStr">
        <is>
          <t>P7</t>
        </is>
      </c>
      <c r="K7" s="533" t="inlineStr">
        <is>
          <t>P6</t>
        </is>
      </c>
      <c r="L7" s="533" t="inlineStr">
        <is>
          <t>P5</t>
        </is>
      </c>
      <c r="M7" s="533" t="inlineStr">
        <is>
          <t>P4</t>
        </is>
      </c>
      <c r="N7" s="533" t="inlineStr">
        <is>
          <t>P1</t>
        </is>
      </c>
      <c r="O7" s="533" t="inlineStr">
        <is>
          <t>P2</t>
        </is>
      </c>
      <c r="P7" s="533" t="inlineStr">
        <is>
          <t>P3</t>
        </is>
      </c>
      <c r="Q7" s="534" t="n"/>
      <c r="R7" s="532" t="n"/>
      <c r="S7" s="532" t="n"/>
      <c r="T7" s="532" t="n"/>
      <c r="U7" s="532" t="n"/>
      <c r="V7" s="534" t="n"/>
      <c r="W7" s="534" t="n"/>
      <c r="X7" s="532" t="n"/>
      <c r="Y7" s="534" t="n"/>
      <c r="Z7" s="534" t="n"/>
    </row>
    <row r="8" ht="12" customHeight="1" s="244">
      <c r="A8" s="261" t="n"/>
      <c r="B8" s="530" t="n"/>
      <c r="C8" s="531" t="n"/>
      <c r="D8" s="530" t="n"/>
      <c r="E8" s="532" t="n"/>
      <c r="F8" s="535" t="inlineStr">
        <is>
          <t>ZB01</t>
        </is>
      </c>
      <c r="G8" s="535" t="inlineStr">
        <is>
          <t>ZB01</t>
        </is>
      </c>
      <c r="H8" s="535" t="inlineStr">
        <is>
          <t>ZB01</t>
        </is>
      </c>
      <c r="I8" s="535" t="inlineStr">
        <is>
          <t>ZB02</t>
        </is>
      </c>
      <c r="J8" s="535" t="inlineStr">
        <is>
          <t>ZB02</t>
        </is>
      </c>
      <c r="K8" s="535" t="inlineStr">
        <is>
          <t>ZB07</t>
        </is>
      </c>
      <c r="L8" s="535" t="inlineStr">
        <is>
          <t>ZB05</t>
        </is>
      </c>
      <c r="M8" s="535" t="inlineStr">
        <is>
          <t>ZB05</t>
        </is>
      </c>
      <c r="N8" s="535" t="inlineStr">
        <is>
          <t>ZB03</t>
        </is>
      </c>
      <c r="O8" s="535" t="inlineStr">
        <is>
          <t>ZB04</t>
        </is>
      </c>
      <c r="P8" s="535" t="inlineStr">
        <is>
          <t>ZB06</t>
        </is>
      </c>
      <c r="Q8" s="536" t="n"/>
      <c r="R8" s="536" t="n"/>
      <c r="S8" s="532" t="n"/>
      <c r="T8" s="532" t="n"/>
      <c r="U8" s="532" t="n"/>
      <c r="V8" s="536" t="n"/>
      <c r="W8" s="532" t="n"/>
      <c r="X8" s="536" t="n"/>
      <c r="Y8" s="536" t="n"/>
      <c r="Z8" s="536" t="n"/>
    </row>
    <row r="9" ht="30" customHeight="1" s="244">
      <c r="A9" s="261" t="n"/>
      <c r="B9" s="282" t="n"/>
      <c r="C9" s="537" t="n"/>
      <c r="D9" s="261" t="n"/>
      <c r="E9" s="259" t="n"/>
      <c r="F9" s="538" t="inlineStr">
        <is>
          <t>SALON</t>
        </is>
      </c>
      <c r="G9" s="538" t="inlineStr">
        <is>
          <t>SALON</t>
        </is>
      </c>
      <c r="H9" s="538" t="inlineStr">
        <is>
          <t>SALON</t>
        </is>
      </c>
      <c r="I9" s="538" t="inlineStr">
        <is>
          <t>MUTFAK</t>
        </is>
      </c>
      <c r="J9" s="538" t="inlineStr">
        <is>
          <t>MUTFAK</t>
        </is>
      </c>
      <c r="K9" s="538" t="inlineStr">
        <is>
          <t>BANYO-WC</t>
        </is>
      </c>
      <c r="L9" s="538" t="inlineStr">
        <is>
          <t>YATAK ODASI 2</t>
        </is>
      </c>
      <c r="M9" s="538" t="inlineStr">
        <is>
          <t>YATAK ODASI 2</t>
        </is>
      </c>
      <c r="N9" s="538" t="inlineStr">
        <is>
          <t>ODA</t>
        </is>
      </c>
      <c r="O9" s="538" t="inlineStr">
        <is>
          <t>YATAK ODASI 1</t>
        </is>
      </c>
      <c r="P9" s="538" t="inlineStr">
        <is>
          <t>BANYO</t>
        </is>
      </c>
      <c r="Q9" s="539" t="n"/>
      <c r="R9" s="540" t="n"/>
      <c r="S9" s="541" t="n"/>
      <c r="T9" s="541" t="n"/>
      <c r="U9" s="541" t="n"/>
      <c r="V9" s="539" t="n"/>
      <c r="W9" s="539" t="n"/>
      <c r="X9" s="540" t="n"/>
      <c r="Y9" s="539" t="n"/>
      <c r="Z9" s="539" t="n"/>
    </row>
    <row r="10" ht="12" customHeight="1" s="244">
      <c r="A10" s="261" t="n"/>
      <c r="B10" s="282" t="n"/>
      <c r="C10" s="537" t="n"/>
      <c r="D10" s="261" t="n"/>
      <c r="E10" s="259" t="n"/>
      <c r="F10" s="542" t="n">
        <v>22</v>
      </c>
      <c r="G10" s="542" t="n">
        <v>22</v>
      </c>
      <c r="H10" s="542" t="n">
        <v>22</v>
      </c>
      <c r="I10" s="542" t="n">
        <v>20</v>
      </c>
      <c r="J10" s="542" t="n">
        <v>20</v>
      </c>
      <c r="K10" s="542" t="n">
        <v>26</v>
      </c>
      <c r="L10" s="542" t="n">
        <v>20</v>
      </c>
      <c r="M10" s="542" t="n">
        <v>20</v>
      </c>
      <c r="N10" s="542" t="n">
        <v>20</v>
      </c>
      <c r="O10" s="542" t="n">
        <v>20</v>
      </c>
      <c r="P10" s="542" t="n">
        <v>26</v>
      </c>
      <c r="Q10" s="259" t="n"/>
      <c r="R10" s="259" t="n"/>
      <c r="S10" s="259" t="n"/>
      <c r="T10" s="259" t="n"/>
      <c r="U10" s="259" t="n"/>
      <c r="V10" s="259" t="n"/>
      <c r="W10" s="259" t="n"/>
      <c r="X10" s="259" t="n"/>
      <c r="Y10" s="259" t="n"/>
      <c r="Z10" s="259" t="n"/>
    </row>
    <row r="11" ht="12" customHeight="1" s="244">
      <c r="A11" s="261" t="n"/>
      <c r="B11" s="282" t="n"/>
      <c r="C11" s="537" t="n"/>
      <c r="D11" s="261" t="n"/>
      <c r="E11" s="259" t="n"/>
      <c r="F11" s="542" t="n">
        <v>10</v>
      </c>
      <c r="G11" s="542" t="n">
        <v>10</v>
      </c>
      <c r="H11" s="542" t="n">
        <v>10</v>
      </c>
      <c r="I11" s="542" t="n">
        <v>10</v>
      </c>
      <c r="J11" s="542" t="n">
        <v>10</v>
      </c>
      <c r="K11" s="542" t="n">
        <v>10</v>
      </c>
      <c r="L11" s="542" t="n">
        <v>10</v>
      </c>
      <c r="M11" s="542" t="n">
        <v>10</v>
      </c>
      <c r="N11" s="542" t="n">
        <v>10</v>
      </c>
      <c r="O11" s="542" t="n">
        <v>10</v>
      </c>
      <c r="P11" s="542" t="n">
        <v>10</v>
      </c>
      <c r="Q11" s="259" t="n"/>
      <c r="R11" s="259" t="n"/>
      <c r="S11" s="259" t="n"/>
      <c r="T11" s="259" t="n"/>
      <c r="U11" s="259" t="n"/>
      <c r="V11" s="259" t="n"/>
      <c r="W11" s="259" t="n"/>
      <c r="X11" s="259" t="n"/>
      <c r="Y11" s="259" t="n"/>
      <c r="Z11" s="259" t="n"/>
    </row>
    <row r="12" ht="12" customHeight="1" s="244">
      <c r="A12" s="261" t="n"/>
      <c r="B12" s="282" t="n"/>
      <c r="C12" s="537" t="n"/>
      <c r="D12" s="261" t="n"/>
      <c r="E12" s="259" t="n"/>
      <c r="F12" s="543" t="n">
        <v>8.220000000000001</v>
      </c>
      <c r="G12" s="543" t="n">
        <v>8.220000000000001</v>
      </c>
      <c r="H12" s="543" t="n">
        <v>8.220000000000001</v>
      </c>
      <c r="I12" s="543" t="n">
        <v>6.71</v>
      </c>
      <c r="J12" s="543" t="n">
        <v>6.71</v>
      </c>
      <c r="K12" s="543" t="n">
        <v>2.73</v>
      </c>
      <c r="L12" s="543" t="n">
        <v>6.48</v>
      </c>
      <c r="M12" s="543" t="n">
        <v>6.48</v>
      </c>
      <c r="N12" s="543" t="n">
        <v>9.449999999999999</v>
      </c>
      <c r="O12" s="543" t="n">
        <v>10.11</v>
      </c>
      <c r="P12" s="543" t="n">
        <v>5.17</v>
      </c>
      <c r="Q12" s="544" t="n"/>
      <c r="R12" s="544" t="n"/>
      <c r="S12" s="544" t="n"/>
      <c r="T12" s="544" t="n"/>
      <c r="U12" s="544" t="n"/>
      <c r="V12" s="544" t="n"/>
      <c r="W12" s="544" t="n"/>
      <c r="X12" s="544" t="n"/>
      <c r="Y12" s="544" t="n"/>
      <c r="Z12" s="544" t="n"/>
    </row>
    <row r="13" ht="12" customHeight="1" s="244">
      <c r="A13" s="261" t="n"/>
      <c r="B13" s="282" t="n"/>
      <c r="C13" s="537" t="n"/>
      <c r="D13" s="261" t="n"/>
      <c r="E13" s="259" t="n"/>
      <c r="F13" s="545" t="n">
        <v>566.4</v>
      </c>
      <c r="G13" s="545" t="n">
        <v>566.4</v>
      </c>
      <c r="H13" s="545" t="n">
        <v>566.4</v>
      </c>
      <c r="I13" s="545" t="n">
        <v>347.2</v>
      </c>
      <c r="J13" s="545" t="n">
        <v>347.2</v>
      </c>
      <c r="K13" s="545" t="n">
        <v>177.4</v>
      </c>
      <c r="L13" s="545" t="n">
        <v>234.7</v>
      </c>
      <c r="M13" s="545" t="n">
        <v>234.7</v>
      </c>
      <c r="N13" s="545" t="n">
        <v>428.3</v>
      </c>
      <c r="O13" s="545" t="n">
        <v>487.7</v>
      </c>
      <c r="P13" s="545" t="n">
        <v>265.1</v>
      </c>
      <c r="Q13" s="546" t="n"/>
      <c r="R13" s="546" t="n"/>
      <c r="S13" s="546" t="n"/>
      <c r="T13" s="546" t="n"/>
      <c r="U13" s="546" t="n"/>
      <c r="V13" s="546" t="n"/>
      <c r="W13" s="546" t="n"/>
      <c r="X13" s="546" t="n"/>
      <c r="Y13" s="546" t="n"/>
      <c r="Z13" s="546" t="n"/>
    </row>
    <row r="14" ht="12" customHeight="1" s="244">
      <c r="A14" s="261" t="n"/>
      <c r="B14" s="282" t="n"/>
      <c r="C14" s="537" t="n"/>
      <c r="D14" s="261" t="n"/>
      <c r="E14" s="259" t="n"/>
      <c r="F14" s="547">
        <f>F13/F12</f>
        <v/>
      </c>
      <c r="G14" s="547">
        <f>G13/G12</f>
        <v/>
      </c>
      <c r="H14" s="547">
        <f>H13/H12</f>
        <v/>
      </c>
      <c r="I14" s="547">
        <f>I13/I12</f>
        <v/>
      </c>
      <c r="J14" s="547">
        <f>J13/J12</f>
        <v/>
      </c>
      <c r="K14" s="547">
        <f>K13/K12</f>
        <v/>
      </c>
      <c r="L14" s="547">
        <f>L13/L12</f>
        <v/>
      </c>
      <c r="M14" s="547">
        <f>M13/M12</f>
        <v/>
      </c>
      <c r="N14" s="547">
        <f>N13/N12</f>
        <v/>
      </c>
      <c r="O14" s="547">
        <f>O13/O12</f>
        <v/>
      </c>
      <c r="P14" s="547">
        <f>P13/P12</f>
        <v/>
      </c>
      <c r="Q14" s="548" t="n"/>
      <c r="R14" s="548" t="n"/>
      <c r="S14" s="548" t="n"/>
      <c r="T14" s="548" t="n"/>
      <c r="U14" s="548" t="n"/>
      <c r="V14" s="548" t="n"/>
      <c r="W14" s="548" t="n"/>
      <c r="X14" s="548" t="n"/>
      <c r="Y14" s="548" t="n"/>
      <c r="Z14" s="548" t="n"/>
    </row>
    <row r="15" ht="12" customHeight="1" s="244">
      <c r="A15" s="261" t="n"/>
      <c r="B15" s="282" t="n"/>
      <c r="C15" s="537" t="n"/>
      <c r="D15" s="261" t="n"/>
      <c r="E15" s="259" t="n"/>
      <c r="F15" s="542" t="n">
        <v>0.012</v>
      </c>
      <c r="G15" s="542" t="n">
        <v>0.012</v>
      </c>
      <c r="H15" s="542" t="n">
        <v>0.012</v>
      </c>
      <c r="I15" s="542" t="n">
        <v>0.012</v>
      </c>
      <c r="J15" s="542" t="n">
        <v>0.012</v>
      </c>
      <c r="K15" s="542" t="n">
        <v>0.012</v>
      </c>
      <c r="L15" s="542" t="n">
        <v>0.012</v>
      </c>
      <c r="M15" s="542" t="n">
        <v>0.012</v>
      </c>
      <c r="N15" s="542" t="n">
        <v>0.012</v>
      </c>
      <c r="O15" s="542" t="n">
        <v>0.012</v>
      </c>
      <c r="P15" s="542" t="n">
        <v>0.012</v>
      </c>
      <c r="Q15" s="259" t="n"/>
      <c r="R15" s="259" t="n"/>
      <c r="S15" s="259" t="n"/>
      <c r="T15" s="259" t="n"/>
      <c r="U15" s="259" t="n"/>
      <c r="V15" s="259" t="n"/>
      <c r="W15" s="259" t="n"/>
      <c r="X15" s="259" t="n"/>
      <c r="Y15" s="259" t="n"/>
      <c r="Z15" s="259" t="n"/>
    </row>
    <row r="16" ht="12" customHeight="1" s="244">
      <c r="A16" s="261" t="n"/>
      <c r="B16" s="282" t="n"/>
      <c r="C16" s="537" t="n"/>
      <c r="D16" s="261" t="n"/>
      <c r="E16" s="259" t="n"/>
      <c r="F16" s="543" t="n">
        <v>1</v>
      </c>
      <c r="G16" s="543" t="n">
        <v>1</v>
      </c>
      <c r="H16" s="543" t="n">
        <v>1</v>
      </c>
      <c r="I16" s="543" t="n">
        <v>1</v>
      </c>
      <c r="J16" s="543" t="n">
        <v>1</v>
      </c>
      <c r="K16" s="543" t="n">
        <v>1</v>
      </c>
      <c r="L16" s="543" t="n">
        <v>1</v>
      </c>
      <c r="M16" s="543" t="n">
        <v>1</v>
      </c>
      <c r="N16" s="543" t="n">
        <v>1</v>
      </c>
      <c r="O16" s="543" t="n">
        <v>1</v>
      </c>
      <c r="P16" s="543" t="n">
        <v>1</v>
      </c>
      <c r="Q16" s="544" t="n"/>
      <c r="R16" s="544" t="n"/>
      <c r="S16" s="544" t="n"/>
      <c r="T16" s="544" t="n"/>
      <c r="U16" s="544" t="n"/>
      <c r="V16" s="544" t="n"/>
      <c r="W16" s="544" t="n"/>
      <c r="X16" s="544" t="n"/>
      <c r="Y16" s="544" t="n"/>
      <c r="Z16" s="544" t="n"/>
    </row>
    <row r="17" ht="12" customHeight="1" s="244">
      <c r="A17" s="261" t="n"/>
      <c r="B17" s="282" t="n"/>
      <c r="C17" s="537" t="n"/>
      <c r="D17" s="261" t="n"/>
      <c r="E17" s="259" t="n"/>
      <c r="F17" s="542">
        <f>F12</f>
        <v/>
      </c>
      <c r="G17" s="542">
        <f>G12</f>
        <v/>
      </c>
      <c r="H17" s="542">
        <f>H12</f>
        <v/>
      </c>
      <c r="I17" s="542">
        <f>I12</f>
        <v/>
      </c>
      <c r="J17" s="542">
        <f>J12</f>
        <v/>
      </c>
      <c r="K17" s="542">
        <f>K12</f>
        <v/>
      </c>
      <c r="L17" s="542">
        <f>L12</f>
        <v/>
      </c>
      <c r="M17" s="542">
        <f>M12</f>
        <v/>
      </c>
      <c r="N17" s="542">
        <f>N12</f>
        <v/>
      </c>
      <c r="O17" s="542">
        <f>O12</f>
        <v/>
      </c>
      <c r="P17" s="542">
        <f>P12</f>
        <v/>
      </c>
      <c r="Q17" s="259" t="n"/>
      <c r="R17" s="259" t="n"/>
      <c r="S17" s="259" t="n"/>
      <c r="T17" s="259" t="n"/>
      <c r="U17" s="259" t="n"/>
      <c r="V17" s="259" t="n"/>
      <c r="W17" s="259" t="n"/>
      <c r="X17" s="259" t="n"/>
      <c r="Y17" s="259" t="n"/>
      <c r="Z17" s="259" t="n"/>
    </row>
    <row r="18" ht="16.5" customHeight="1" s="244">
      <c r="A18" s="261" t="n"/>
      <c r="B18" s="282" t="n"/>
      <c r="C18" s="537" t="n"/>
      <c r="D18" s="261" t="n"/>
      <c r="E18" s="259" t="n"/>
      <c r="F18" s="549">
        <f>F13/F17</f>
        <v/>
      </c>
      <c r="G18" s="549">
        <f>G13/G17</f>
        <v/>
      </c>
      <c r="H18" s="549">
        <f>H13/H17</f>
        <v/>
      </c>
      <c r="I18" s="549">
        <f>I13/I17</f>
        <v/>
      </c>
      <c r="J18" s="549">
        <f>J13/J17</f>
        <v/>
      </c>
      <c r="K18" s="549">
        <f>K13/K17</f>
        <v/>
      </c>
      <c r="L18" s="549">
        <f>L13/L17</f>
        <v/>
      </c>
      <c r="M18" s="549">
        <f>M13/M17</f>
        <v/>
      </c>
      <c r="N18" s="549">
        <f>N13/N17</f>
        <v/>
      </c>
      <c r="O18" s="549">
        <f>O13/O17</f>
        <v/>
      </c>
      <c r="P18" s="549">
        <f>P13/P17</f>
        <v/>
      </c>
      <c r="Q18" s="550" t="n"/>
      <c r="R18" s="550" t="n"/>
      <c r="S18" s="550" t="n"/>
      <c r="T18" s="550" t="n"/>
      <c r="U18" s="550" t="n"/>
      <c r="V18" s="550" t="n"/>
      <c r="W18" s="550" t="n"/>
      <c r="X18" s="550" t="n"/>
      <c r="Y18" s="550" t="n"/>
      <c r="Z18" s="550" t="n"/>
    </row>
    <row r="19" ht="19.5" customHeight="1" s="244">
      <c r="A19" s="261" t="n"/>
      <c r="B19" s="282" t="n"/>
      <c r="C19" s="537" t="n"/>
      <c r="D19" s="261" t="n"/>
      <c r="E19" s="259" t="n"/>
      <c r="F19" s="549">
        <f>F10+(F14/8.92)^0.91</f>
        <v/>
      </c>
      <c r="G19" s="549">
        <f>G10+(G14/8.92)^0.91</f>
        <v/>
      </c>
      <c r="H19" s="549">
        <f>H10+(H14/8.92)^0.91</f>
        <v/>
      </c>
      <c r="I19" s="549">
        <f>I10+(I14/8.92)^0.91</f>
        <v/>
      </c>
      <c r="J19" s="549">
        <f>J10+(J14/8.92)^0.91</f>
        <v/>
      </c>
      <c r="K19" s="549">
        <f>K10+(K14/8.92)^0.91</f>
        <v/>
      </c>
      <c r="L19" s="549">
        <f>L10+(L14/8.92)^0.91</f>
        <v/>
      </c>
      <c r="M19" s="549">
        <f>M10+(M14/8.92)^0.91</f>
        <v/>
      </c>
      <c r="N19" s="549">
        <f>N10+(N14/8.92)^0.91</f>
        <v/>
      </c>
      <c r="O19" s="549">
        <f>O10+(O14/8.92)^0.91</f>
        <v/>
      </c>
      <c r="P19" s="549">
        <f>P10+(P14/8.92)^0.91</f>
        <v/>
      </c>
      <c r="Q19" s="550" t="n"/>
      <c r="R19" s="550" t="n"/>
      <c r="S19" s="550" t="n"/>
      <c r="T19" s="550" t="n"/>
      <c r="U19" s="550" t="n"/>
      <c r="V19" s="550" t="n"/>
      <c r="W19" s="550" t="n"/>
      <c r="X19" s="550" t="n"/>
      <c r="Y19" s="550" t="n"/>
      <c r="Z19" s="550" t="n"/>
    </row>
    <row r="20" ht="12" customHeight="1" s="244">
      <c r="A20" s="261" t="n"/>
      <c r="B20" s="282" t="n"/>
      <c r="C20" s="537" t="n"/>
      <c r="D20" s="261" t="n"/>
      <c r="E20" s="259" t="n"/>
      <c r="F20" s="542" t="n">
        <v>45</v>
      </c>
      <c r="G20" s="542" t="n">
        <v>45</v>
      </c>
      <c r="H20" s="542" t="n">
        <v>45</v>
      </c>
      <c r="I20" s="542" t="n">
        <v>45</v>
      </c>
      <c r="J20" s="542" t="n">
        <v>45</v>
      </c>
      <c r="K20" s="542" t="n">
        <v>45</v>
      </c>
      <c r="L20" s="542" t="n">
        <v>45</v>
      </c>
      <c r="M20" s="542" t="n">
        <v>45</v>
      </c>
      <c r="N20" s="542" t="n">
        <v>45</v>
      </c>
      <c r="O20" s="542" t="n">
        <v>45</v>
      </c>
      <c r="P20" s="542" t="n">
        <v>45</v>
      </c>
      <c r="Q20" s="259" t="n"/>
      <c r="R20" s="259" t="n"/>
      <c r="S20" s="259" t="n"/>
      <c r="T20" s="259" t="n"/>
      <c r="U20" s="259" t="n"/>
      <c r="V20" s="259" t="n"/>
      <c r="W20" s="259" t="n"/>
      <c r="X20" s="259" t="n"/>
      <c r="Y20" s="259" t="n"/>
      <c r="Z20" s="259" t="n"/>
    </row>
    <row r="21" ht="12" customHeight="1" s="244">
      <c r="A21" s="261" t="n"/>
      <c r="B21" s="551" t="n"/>
      <c r="C21" s="537" t="n"/>
      <c r="D21" s="261" t="n"/>
      <c r="E21" s="259" t="n"/>
      <c r="F21" s="542">
        <f>F20-F10</f>
        <v/>
      </c>
      <c r="G21" s="542">
        <f>G20-G10</f>
        <v/>
      </c>
      <c r="H21" s="542">
        <f>H20-H10</f>
        <v/>
      </c>
      <c r="I21" s="542">
        <f>I20-I10</f>
        <v/>
      </c>
      <c r="J21" s="542">
        <f>J20-J10</f>
        <v/>
      </c>
      <c r="K21" s="542">
        <f>K20-K10</f>
        <v/>
      </c>
      <c r="L21" s="542">
        <f>L20-L10</f>
        <v/>
      </c>
      <c r="M21" s="542">
        <f>M20-M10</f>
        <v/>
      </c>
      <c r="N21" s="542">
        <f>N20-N10</f>
        <v/>
      </c>
      <c r="O21" s="542">
        <f>O20-O10</f>
        <v/>
      </c>
      <c r="P21" s="542">
        <f>P20-P10</f>
        <v/>
      </c>
      <c r="Q21" s="259" t="n"/>
      <c r="R21" s="259" t="n"/>
      <c r="S21" s="259" t="n"/>
      <c r="T21" s="259" t="n"/>
      <c r="U21" s="259" t="n"/>
      <c r="V21" s="259" t="n"/>
      <c r="W21" s="259" t="n"/>
      <c r="X21" s="259" t="n"/>
      <c r="Y21" s="259" t="n"/>
      <c r="Z21" s="259" t="n"/>
    </row>
    <row r="22" ht="12" customHeight="1" s="244">
      <c r="A22" s="261" t="n"/>
      <c r="B22" s="552" t="n"/>
      <c r="C22" s="537" t="n"/>
      <c r="D22" s="261" t="n"/>
      <c r="E22" s="259" t="n"/>
      <c r="F22" s="542" t="n">
        <v>15</v>
      </c>
      <c r="G22" s="542" t="n">
        <v>15</v>
      </c>
      <c r="H22" s="542" t="n">
        <v>15</v>
      </c>
      <c r="I22" s="542" t="n">
        <v>15</v>
      </c>
      <c r="J22" s="542" t="n">
        <v>15</v>
      </c>
      <c r="K22" s="542" t="n">
        <v>10</v>
      </c>
      <c r="L22" s="542" t="n">
        <v>15</v>
      </c>
      <c r="M22" s="542" t="n">
        <v>15</v>
      </c>
      <c r="N22" s="542" t="n">
        <v>15</v>
      </c>
      <c r="O22" s="542" t="n">
        <v>15</v>
      </c>
      <c r="P22" s="542" t="n">
        <v>10</v>
      </c>
      <c r="Q22" s="259" t="n"/>
      <c r="R22" s="259" t="n"/>
      <c r="S22" s="259" t="n"/>
      <c r="T22" s="259" t="n"/>
      <c r="U22" s="259" t="n"/>
      <c r="V22" s="259" t="n"/>
      <c r="W22" s="259" t="n"/>
      <c r="X22" s="259" t="n"/>
      <c r="Y22" s="259" t="n"/>
      <c r="Z22" s="259" t="n"/>
    </row>
    <row r="23" ht="12" customHeight="1" s="244">
      <c r="A23" s="261" t="n"/>
      <c r="B23" s="552" t="n"/>
      <c r="C23" s="537" t="n"/>
      <c r="D23" s="261" t="n"/>
      <c r="E23" s="259" t="n"/>
      <c r="F23" s="553" t="n">
        <v>40</v>
      </c>
      <c r="G23" s="553" t="n">
        <v>40</v>
      </c>
      <c r="H23" s="553" t="n">
        <v>40</v>
      </c>
      <c r="I23" s="553" t="n">
        <v>40</v>
      </c>
      <c r="J23" s="553" t="n">
        <v>40</v>
      </c>
      <c r="K23" s="553" t="n">
        <v>40</v>
      </c>
      <c r="L23" s="553" t="n">
        <v>40</v>
      </c>
      <c r="M23" s="553" t="n">
        <v>40</v>
      </c>
      <c r="N23" s="553" t="n">
        <v>40</v>
      </c>
      <c r="O23" s="553" t="n">
        <v>40</v>
      </c>
      <c r="P23" s="553" t="n">
        <v>40</v>
      </c>
      <c r="Q23" s="554" t="n"/>
      <c r="R23" s="554" t="n"/>
      <c r="S23" s="554" t="n"/>
      <c r="T23" s="554" t="n"/>
      <c r="U23" s="554" t="n"/>
      <c r="V23" s="554" t="n"/>
      <c r="W23" s="554" t="n"/>
      <c r="X23" s="554" t="n"/>
      <c r="Y23" s="554" t="n"/>
      <c r="Z23" s="554" t="n"/>
    </row>
    <row r="24" ht="12" customHeight="1" s="244">
      <c r="A24" s="261" t="n"/>
      <c r="B24" s="551" t="n"/>
      <c r="C24" s="537" t="n"/>
      <c r="D24" s="261" t="n"/>
      <c r="E24" s="259" t="n"/>
      <c r="F24" s="542">
        <f>F23-F10</f>
        <v/>
      </c>
      <c r="G24" s="542">
        <f>G23-G10</f>
        <v/>
      </c>
      <c r="H24" s="542">
        <f>H23-H10</f>
        <v/>
      </c>
      <c r="I24" s="542">
        <f>I23-I10</f>
        <v/>
      </c>
      <c r="J24" s="542">
        <f>J23-J10</f>
        <v/>
      </c>
      <c r="K24" s="542">
        <f>K23-K10</f>
        <v/>
      </c>
      <c r="L24" s="542">
        <f>L23-L10</f>
        <v/>
      </c>
      <c r="M24" s="542">
        <f>M23-M10</f>
        <v/>
      </c>
      <c r="N24" s="542">
        <f>N23-N10</f>
        <v/>
      </c>
      <c r="O24" s="542">
        <f>O23-O10</f>
        <v/>
      </c>
      <c r="P24" s="542">
        <f>P23-P10</f>
        <v/>
      </c>
      <c r="Q24" s="259" t="n"/>
      <c r="R24" s="259" t="n"/>
      <c r="S24" s="259" t="n"/>
      <c r="T24" s="259" t="n"/>
      <c r="U24" s="259" t="n"/>
      <c r="V24" s="259" t="n"/>
      <c r="W24" s="259" t="n"/>
      <c r="X24" s="259" t="n"/>
      <c r="Y24" s="259" t="n"/>
      <c r="Z24" s="259" t="n"/>
    </row>
    <row r="25" ht="12" customHeight="1" s="244">
      <c r="A25" s="261" t="n"/>
      <c r="B25" s="551" t="n"/>
      <c r="C25" s="537" t="n"/>
      <c r="D25" s="261" t="n"/>
      <c r="E25" s="259" t="n"/>
      <c r="F25" s="542">
        <f>2*(F21-F24)</f>
        <v/>
      </c>
      <c r="G25" s="542">
        <f>2*(G21-G24)</f>
        <v/>
      </c>
      <c r="H25" s="542">
        <f>2*(H21-H24)</f>
        <v/>
      </c>
      <c r="I25" s="542">
        <f>2*(I21-I24)</f>
        <v/>
      </c>
      <c r="J25" s="542">
        <f>2*(J21-J24)</f>
        <v/>
      </c>
      <c r="K25" s="542">
        <f>2*(K21-K24)</f>
        <v/>
      </c>
      <c r="L25" s="542">
        <f>2*(L21-L24)</f>
        <v/>
      </c>
      <c r="M25" s="542">
        <f>2*(M21-M24)</f>
        <v/>
      </c>
      <c r="N25" s="542">
        <f>2*(N21-N24)</f>
        <v/>
      </c>
      <c r="O25" s="542">
        <f>2*(O21-O24)</f>
        <v/>
      </c>
      <c r="P25" s="542">
        <f>2*(P21-P24)</f>
        <v/>
      </c>
      <c r="Q25" s="259" t="n"/>
      <c r="R25" s="259" t="n"/>
      <c r="S25" s="259" t="n"/>
      <c r="T25" s="259" t="n"/>
      <c r="U25" s="259" t="n"/>
      <c r="V25" s="259" t="n"/>
      <c r="W25" s="259" t="n"/>
      <c r="X25" s="259" t="n"/>
      <c r="Y25" s="259" t="n"/>
      <c r="Z25" s="259" t="n"/>
    </row>
    <row r="26" ht="12" customHeight="1" s="244">
      <c r="A26" s="261" t="n"/>
      <c r="B26" s="552" t="n"/>
      <c r="C26" s="537" t="n"/>
      <c r="D26" s="555" t="n"/>
      <c r="E26" s="259" t="n"/>
      <c r="F26" s="549">
        <f>0.2*F14</f>
        <v/>
      </c>
      <c r="G26" s="549">
        <f>0.2*G14</f>
        <v/>
      </c>
      <c r="H26" s="549">
        <f>0.2*H14</f>
        <v/>
      </c>
      <c r="I26" s="549">
        <f>0.2*I14</f>
        <v/>
      </c>
      <c r="J26" s="549">
        <f>0.2*J14</f>
        <v/>
      </c>
      <c r="K26" s="549">
        <f>0.2*K14</f>
        <v/>
      </c>
      <c r="L26" s="549">
        <f>0.2*L14</f>
        <v/>
      </c>
      <c r="M26" s="549">
        <f>0.2*M14</f>
        <v/>
      </c>
      <c r="N26" s="549">
        <f>0.2*N14</f>
        <v/>
      </c>
      <c r="O26" s="549">
        <f>0.2*O14</f>
        <v/>
      </c>
      <c r="P26" s="549">
        <f>0.2*P14</f>
        <v/>
      </c>
      <c r="Q26" s="550" t="n"/>
      <c r="R26" s="550" t="n"/>
      <c r="S26" s="550" t="n"/>
      <c r="T26" s="550" t="n"/>
      <c r="U26" s="550" t="n"/>
      <c r="V26" s="550" t="n"/>
      <c r="W26" s="550" t="n"/>
      <c r="X26" s="550" t="n"/>
      <c r="Y26" s="550" t="n"/>
      <c r="Z26" s="550" t="n"/>
    </row>
    <row r="27" ht="12" customHeight="1" s="244">
      <c r="A27" s="261" t="n"/>
      <c r="B27" s="552" t="n"/>
      <c r="C27" s="537" t="n"/>
      <c r="D27" s="261" t="n"/>
      <c r="E27" s="259" t="n"/>
      <c r="F27" s="556">
        <f>F17*(F14+F26)</f>
        <v/>
      </c>
      <c r="G27" s="556">
        <f>G17*(G14+G26)</f>
        <v/>
      </c>
      <c r="H27" s="556">
        <f>H17*(H14+H26)</f>
        <v/>
      </c>
      <c r="I27" s="556">
        <f>I17*(I14+I26)</f>
        <v/>
      </c>
      <c r="J27" s="556">
        <f>J17*(J14+J26)</f>
        <v/>
      </c>
      <c r="K27" s="556">
        <f>K17*(K14+K26)</f>
        <v/>
      </c>
      <c r="L27" s="556">
        <f>L17*(L14+L26)</f>
        <v/>
      </c>
      <c r="M27" s="556">
        <f>M17*(M14+M26)</f>
        <v/>
      </c>
      <c r="N27" s="556">
        <f>N17*(N14+N26)</f>
        <v/>
      </c>
      <c r="O27" s="556">
        <f>O17*(O14+O26)</f>
        <v/>
      </c>
      <c r="P27" s="556">
        <f>P17*(P14+P26)</f>
        <v/>
      </c>
      <c r="Q27" s="557" t="n"/>
      <c r="R27" s="557" t="n"/>
      <c r="S27" s="557" t="n"/>
      <c r="T27" s="557" t="n"/>
      <c r="U27" s="557" t="n"/>
      <c r="V27" s="557" t="n"/>
      <c r="W27" s="557" t="n"/>
      <c r="X27" s="557" t="n"/>
      <c r="Y27" s="557" t="n"/>
      <c r="Z27" s="557" t="n"/>
    </row>
    <row r="28" ht="12" customHeight="1" s="244">
      <c r="A28" s="261" t="n"/>
      <c r="B28" s="552" t="n"/>
      <c r="C28" s="537" t="inlineStr">
        <is>
          <t>SICAK SU DEBİSİ</t>
        </is>
      </c>
      <c r="D28" s="261" t="inlineStr">
        <is>
          <t>q/(1,163.ΔTs)</t>
        </is>
      </c>
      <c r="E28" s="259" t="n"/>
      <c r="F28" s="558">
        <f>F27/(1.163*F25)</f>
        <v/>
      </c>
      <c r="G28" s="558">
        <f>G27/(1.163*G25)</f>
        <v/>
      </c>
      <c r="H28" s="558">
        <f>H27/(1.163*H25)</f>
        <v/>
      </c>
      <c r="I28" s="558">
        <f>I27/(1.163*I25)</f>
        <v/>
      </c>
      <c r="J28" s="558">
        <f>J27/(1.163*J25)</f>
        <v/>
      </c>
      <c r="K28" s="558">
        <f>K27/(1.163*K25)</f>
        <v/>
      </c>
      <c r="L28" s="558">
        <f>L27/(1.163*L25)</f>
        <v/>
      </c>
      <c r="M28" s="558">
        <f>M27/(1.163*M25)</f>
        <v/>
      </c>
      <c r="N28" s="558">
        <f>N27/(1.163*N25)</f>
        <v/>
      </c>
      <c r="O28" s="558">
        <f>O27/(1.163*O25)</f>
        <v/>
      </c>
      <c r="P28" s="558">
        <f>P27/(1.163*P25)</f>
        <v/>
      </c>
      <c r="Q28" s="559" t="n"/>
      <c r="R28" s="559" t="n"/>
      <c r="S28" s="559" t="n"/>
      <c r="T28" s="559" t="n"/>
      <c r="U28" s="559" t="n"/>
      <c r="V28" s="559" t="n"/>
      <c r="W28" s="559" t="n"/>
      <c r="X28" s="559" t="n"/>
      <c r="Y28" s="559" t="n"/>
      <c r="Z28" s="559" t="n"/>
    </row>
    <row r="29" ht="12" customHeight="1" s="244">
      <c r="A29" s="261" t="n"/>
      <c r="B29" s="552" t="n"/>
      <c r="C29" s="537" t="n"/>
      <c r="D29" s="261" t="n"/>
      <c r="E29" s="259" t="n"/>
      <c r="F29" s="560">
        <f>F17/(F22*0.01)</f>
        <v/>
      </c>
      <c r="G29" s="560">
        <f>G17/(G22*0.01)</f>
        <v/>
      </c>
      <c r="H29" s="560">
        <f>H17/(H22*0.01)</f>
        <v/>
      </c>
      <c r="I29" s="560">
        <f>I17/(I22*0.01)</f>
        <v/>
      </c>
      <c r="J29" s="560">
        <f>J17/(J22*0.01)</f>
        <v/>
      </c>
      <c r="K29" s="560">
        <f>K17/(K22*0.01)</f>
        <v/>
      </c>
      <c r="L29" s="560">
        <f>L17/(L22*0.01)</f>
        <v/>
      </c>
      <c r="M29" s="560">
        <f>M17/(M22*0.01)</f>
        <v/>
      </c>
      <c r="N29" s="560">
        <f>N17/(N22*0.01)</f>
        <v/>
      </c>
      <c r="O29" s="560">
        <f>O17/(O22*0.01)</f>
        <v/>
      </c>
      <c r="P29" s="560">
        <f>P17/(P22*0.01)</f>
        <v/>
      </c>
      <c r="Q29" s="561" t="n"/>
      <c r="R29" s="561" t="n"/>
      <c r="S29" s="561" t="n"/>
      <c r="T29" s="561" t="n"/>
      <c r="U29" s="561" t="n"/>
      <c r="V29" s="561" t="n"/>
      <c r="W29" s="561" t="n"/>
      <c r="X29" s="561" t="n"/>
      <c r="Y29" s="561" t="n"/>
      <c r="Z29" s="561" t="n"/>
    </row>
    <row r="30" ht="12" customHeight="1" s="244">
      <c r="A30" s="261" t="n"/>
      <c r="B30" s="552" t="n"/>
      <c r="C30" s="537" t="inlineStr">
        <is>
          <t>BAĞLANTI BORULARI</t>
        </is>
      </c>
      <c r="D30" s="261" t="inlineStr">
        <is>
          <t>Kat Planından (çizimden ölçülen)</t>
        </is>
      </c>
      <c r="E30" s="259" t="n"/>
      <c r="F30" s="562" t="n">
        <v>0</v>
      </c>
      <c r="G30" s="562" t="n">
        <v>0</v>
      </c>
      <c r="H30" s="562" t="n">
        <v>1.66</v>
      </c>
      <c r="I30" s="562" t="n">
        <v>0.04</v>
      </c>
      <c r="J30" s="562" t="n">
        <v>2.63</v>
      </c>
      <c r="K30" s="562" t="n">
        <v>1.83</v>
      </c>
      <c r="L30" s="562" t="n">
        <v>0</v>
      </c>
      <c r="M30" s="562" t="n">
        <v>0.07000000000000001</v>
      </c>
      <c r="N30" s="562" t="n">
        <v>4.59</v>
      </c>
      <c r="O30" s="562" t="n">
        <v>6.72</v>
      </c>
      <c r="P30" s="562" t="n">
        <v>2.79</v>
      </c>
      <c r="Q30" s="563" t="n"/>
      <c r="R30" s="563" t="n"/>
      <c r="S30" s="564" t="n"/>
      <c r="T30" s="563" t="n"/>
      <c r="U30" s="563" t="n"/>
      <c r="V30" s="563" t="n"/>
      <c r="W30" s="564" t="n"/>
      <c r="X30" s="563" t="n"/>
      <c r="Y30" s="563" t="n"/>
      <c r="Z30" s="563" t="n"/>
    </row>
    <row r="31" ht="12" customHeight="1" s="244">
      <c r="A31" s="261" t="n"/>
      <c r="B31" s="552" t="n"/>
      <c r="C31" s="537" t="inlineStr">
        <is>
          <t>TOPLAM BORU UZUNLUĞU</t>
        </is>
      </c>
      <c r="D31" s="261" t="inlineStr">
        <is>
          <t>Lç + Lb (çizimden ölçülen toplam)</t>
        </is>
      </c>
      <c r="E31" s="259" t="n"/>
      <c r="F31" s="542">
        <f>F29+F30</f>
        <v/>
      </c>
      <c r="G31" s="542">
        <f>G29+G30</f>
        <v/>
      </c>
      <c r="H31" s="542">
        <f>H29+H30</f>
        <v/>
      </c>
      <c r="I31" s="542">
        <f>I29+I30</f>
        <v/>
      </c>
      <c r="J31" s="542">
        <f>J29+J30</f>
        <v/>
      </c>
      <c r="K31" s="542">
        <f>K29+K30</f>
        <v/>
      </c>
      <c r="L31" s="542">
        <f>L29+L30</f>
        <v/>
      </c>
      <c r="M31" s="542">
        <f>M29+M30</f>
        <v/>
      </c>
      <c r="N31" s="542">
        <f>N29+N30</f>
        <v/>
      </c>
      <c r="O31" s="542">
        <f>O29+O30</f>
        <v/>
      </c>
      <c r="P31" s="542">
        <f>P29+P30</f>
        <v/>
      </c>
      <c r="Q31" s="259" t="n"/>
      <c r="R31" s="259" t="n"/>
      <c r="S31" s="259" t="n"/>
      <c r="T31" s="259" t="n"/>
      <c r="U31" s="259" t="n"/>
      <c r="V31" s="259" t="n"/>
      <c r="W31" s="259" t="n"/>
      <c r="X31" s="259" t="n"/>
      <c r="Y31" s="259" t="n"/>
      <c r="Z31" s="259" t="n"/>
    </row>
    <row r="32" ht="12" customHeight="1" s="244">
      <c r="A32" s="261" t="n"/>
      <c r="B32" s="551" t="n"/>
      <c r="C32" s="537" t="inlineStr">
        <is>
          <t>DÜZ BORU BASINÇ KAYBI (5)</t>
        </is>
      </c>
      <c r="D32" s="261" t="inlineStr">
        <is>
          <t>R.L (PEX 16x2,0, Blasius)</t>
        </is>
      </c>
      <c r="E32" s="259" t="n"/>
      <c r="F32" s="560" t="n">
        <v>1318</v>
      </c>
      <c r="G32" s="560" t="n">
        <v>1411</v>
      </c>
      <c r="H32" s="560" t="n">
        <v>1532</v>
      </c>
      <c r="I32" s="560" t="n">
        <v>438</v>
      </c>
      <c r="J32" s="560" t="n">
        <v>463</v>
      </c>
      <c r="K32" s="560" t="n">
        <v>145</v>
      </c>
      <c r="L32" s="560" t="n">
        <v>271</v>
      </c>
      <c r="M32" s="560" t="n">
        <v>286</v>
      </c>
      <c r="N32" s="560" t="n">
        <v>815</v>
      </c>
      <c r="O32" s="560" t="n">
        <v>1018</v>
      </c>
      <c r="P32" s="560" t="n">
        <v>407</v>
      </c>
      <c r="Q32" s="561" t="n"/>
      <c r="R32" s="561" t="n"/>
      <c r="S32" s="561" t="n"/>
      <c r="T32" s="561" t="n"/>
      <c r="U32" s="561" t="n"/>
      <c r="V32" s="561" t="n"/>
      <c r="W32" s="561" t="n"/>
      <c r="X32" s="561" t="n"/>
      <c r="Y32" s="561" t="n"/>
      <c r="Z32" s="561" t="n"/>
    </row>
    <row r="33" ht="12" customHeight="1" s="244">
      <c r="A33" s="261" t="n"/>
      <c r="B33" s="551" t="n"/>
      <c r="C33" s="537" t="n"/>
      <c r="D33" s="261" t="n"/>
      <c r="E33" s="259" t="n"/>
      <c r="F33" s="542">
        <f>F32*0.05</f>
        <v/>
      </c>
      <c r="G33" s="542">
        <f>G32*0.05</f>
        <v/>
      </c>
      <c r="H33" s="542">
        <f>H32*0.05</f>
        <v/>
      </c>
      <c r="I33" s="542">
        <f>I32*0.05</f>
        <v/>
      </c>
      <c r="J33" s="542">
        <f>J32*0.05</f>
        <v/>
      </c>
      <c r="K33" s="542">
        <f>K32*0.05</f>
        <v/>
      </c>
      <c r="L33" s="542">
        <f>L32*0.05</f>
        <v/>
      </c>
      <c r="M33" s="542">
        <f>M32*0.05</f>
        <v/>
      </c>
      <c r="N33" s="542">
        <f>N32*0.05</f>
        <v/>
      </c>
      <c r="O33" s="542">
        <f>O32*0.05</f>
        <v/>
      </c>
      <c r="P33" s="542">
        <f>P32*0.05</f>
        <v/>
      </c>
      <c r="Q33" s="259" t="n"/>
      <c r="R33" s="259" t="n"/>
      <c r="S33" s="259" t="n"/>
      <c r="T33" s="259" t="n"/>
      <c r="U33" s="259" t="n"/>
      <c r="V33" s="259" t="n"/>
      <c r="W33" s="259" t="n"/>
      <c r="X33" s="259" t="n"/>
      <c r="Y33" s="259" t="n"/>
      <c r="Z33" s="259" t="n"/>
    </row>
    <row r="34" ht="12" customHeight="1" s="244">
      <c r="A34" s="261" t="n"/>
      <c r="B34" s="551" t="n"/>
      <c r="C34" s="537" t="n"/>
      <c r="D34" s="261" t="n"/>
      <c r="E34" s="259" t="n"/>
      <c r="F34" s="542">
        <f>F32+F33</f>
        <v/>
      </c>
      <c r="G34" s="542">
        <f>G32+G33</f>
        <v/>
      </c>
      <c r="H34" s="542">
        <f>H32+H33</f>
        <v/>
      </c>
      <c r="I34" s="542">
        <f>I32+I33</f>
        <v/>
      </c>
      <c r="J34" s="542">
        <f>J32+J33</f>
        <v/>
      </c>
      <c r="K34" s="542">
        <f>K32+K33</f>
        <v/>
      </c>
      <c r="L34" s="542">
        <f>L32+L33</f>
        <v/>
      </c>
      <c r="M34" s="542">
        <f>M32+M33</f>
        <v/>
      </c>
      <c r="N34" s="542">
        <f>N32+N33</f>
        <v/>
      </c>
      <c r="O34" s="542">
        <f>O32+O33</f>
        <v/>
      </c>
      <c r="P34" s="542">
        <f>P32+P33</f>
        <v/>
      </c>
      <c r="Q34" s="259" t="n"/>
      <c r="R34" s="259" t="n"/>
      <c r="S34" s="259" t="n"/>
      <c r="T34" s="259" t="n"/>
      <c r="U34" s="259" t="n"/>
      <c r="V34" s="259" t="n"/>
      <c r="W34" s="259" t="n"/>
      <c r="X34" s="259" t="n"/>
      <c r="Y34" s="259" t="n"/>
      <c r="Z34" s="259" t="n"/>
    </row>
    <row r="35" ht="12" customHeight="1" s="244">
      <c r="A35" s="261" t="n"/>
      <c r="B35" s="551" t="n"/>
      <c r="C35" s="282" t="n"/>
      <c r="D35" s="261" t="n"/>
      <c r="E35" s="259" t="n"/>
      <c r="F35" s="565">
        <f>MAX(F34:P34)-F34</f>
        <v/>
      </c>
      <c r="G35" s="565">
        <f>MAX(F34:P34)-G34</f>
        <v/>
      </c>
      <c r="H35" s="565">
        <f>MAX(F34:P34)-H34</f>
        <v/>
      </c>
      <c r="I35" s="565">
        <f>MAX(F34:P34)-I34</f>
        <v/>
      </c>
      <c r="J35" s="565">
        <f>MAX(F34:P34)-J34</f>
        <v/>
      </c>
      <c r="K35" s="565">
        <f>MAX(F34:P34)-K34</f>
        <v/>
      </c>
      <c r="L35" s="565">
        <f>MAX(F34:P34)-L34</f>
        <v/>
      </c>
      <c r="M35" s="565">
        <f>MAX(F34:P34)-M34</f>
        <v/>
      </c>
      <c r="N35" s="565">
        <f>MAX(F34:P34)-N34</f>
        <v/>
      </c>
      <c r="O35" s="565">
        <f>MAX(F34:P34)-O34</f>
        <v/>
      </c>
      <c r="P35" s="565">
        <f>MAX(F34:P34)-P34</f>
        <v/>
      </c>
      <c r="Q35" s="566" t="n"/>
      <c r="R35" s="566" t="n"/>
      <c r="S35" s="566" t="n"/>
      <c r="T35" s="566" t="n"/>
      <c r="U35" s="566" t="n"/>
      <c r="V35" s="566" t="n"/>
      <c r="W35" s="566" t="n"/>
      <c r="X35" s="566" t="n"/>
      <c r="Y35" s="566" t="n"/>
      <c r="Z35" s="566" t="n"/>
    </row>
    <row r="36" ht="18" customHeight="1" s="244">
      <c r="D36" s="266" t="inlineStr">
        <is>
          <t>Δpmax = 9828 Pa</t>
        </is>
      </c>
      <c r="H36" s="243" t="n"/>
    </row>
    <row r="37" ht="18" customHeight="1" s="244">
      <c r="H37" s="243" t="n"/>
    </row>
    <row r="38" ht="12.75" customHeight="1" s="244">
      <c r="H38" s="243" t="n"/>
    </row>
    <row r="39" ht="12.75" customHeight="1" s="244">
      <c r="H39" s="567" t="n"/>
      <c r="I39" s="567" t="n"/>
      <c r="J39" s="567" t="n"/>
      <c r="K39" s="567" t="n"/>
      <c r="L39" s="567" t="n"/>
      <c r="M39" s="567" t="n"/>
      <c r="N39" s="567" t="n"/>
      <c r="O39" s="567" t="n"/>
      <c r="P39" s="567" t="n"/>
    </row>
    <row r="40" ht="12.75" customHeight="1" s="244">
      <c r="A40" s="568" t="inlineStr">
        <is>
          <t xml:space="preserve"> (1)</t>
        </is>
      </c>
      <c r="B40" s="243" t="inlineStr">
        <is>
          <t>Şek. 19.7.1 den seçilmiştir.</t>
        </is>
      </c>
      <c r="H40" s="567" t="n"/>
      <c r="I40" s="567" t="n"/>
      <c r="J40" s="567" t="n"/>
      <c r="K40" s="567" t="n"/>
      <c r="L40" s="567" t="n"/>
      <c r="M40" s="567" t="n"/>
      <c r="N40" s="567" t="n"/>
      <c r="O40" s="567" t="n"/>
      <c r="P40" s="567" t="n"/>
    </row>
    <row r="41" ht="12.75" customHeight="1" s="244">
      <c r="A41" s="568" t="inlineStr">
        <is>
          <t xml:space="preserve"> (2)</t>
        </is>
      </c>
      <c r="B41" s="243" t="inlineStr">
        <is>
          <t>Kombi gidiş suyu sıcaklığı 45 °C, dönüş 35 °C (ortalama 40 °C) seçilmiştir.</t>
        </is>
      </c>
      <c r="H41" s="567" t="n"/>
      <c r="I41" s="567" t="n"/>
      <c r="J41" s="567" t="n"/>
      <c r="K41" s="567" t="n"/>
      <c r="L41" s="567" t="n"/>
      <c r="M41" s="567" t="n"/>
      <c r="N41" s="567" t="n"/>
      <c r="O41" s="567" t="n"/>
      <c r="P41" s="567" t="n"/>
    </row>
    <row r="42" ht="12.75" customHeight="1" s="244">
      <c r="A42" s="568" t="inlineStr">
        <is>
          <t xml:space="preserve"> (3)</t>
        </is>
      </c>
      <c r="B42" s="243" t="inlineStr">
        <is>
          <t>Ortalama su sıcaklığı 45/35 °C rejimine göre 40 °C alınmıştır.</t>
        </is>
      </c>
    </row>
    <row r="43" ht="12.75" customHeight="1" s="244">
      <c r="A43" s="568" t="inlineStr">
        <is>
          <t xml:space="preserve"> (4)</t>
        </is>
      </c>
      <c r="B43" s="243" t="inlineStr">
        <is>
          <t>Alta geçen ısı 0,2 q" olarak alınmıştır (1. bodrumun altı ısıtılmayan müştemilat 10 °C).</t>
        </is>
      </c>
    </row>
    <row r="44" ht="12.75" customHeight="1" s="244">
      <c r="A44" s="568" t="inlineStr">
        <is>
          <t xml:space="preserve"> (5)</t>
        </is>
      </c>
      <c r="B44" s="243" t="inlineStr">
        <is>
          <t>R (Pa/m): PEX 16x2,0 (iç çap 12 mm), Blasius bağıntısı ile hesaplanmıştır.</t>
        </is>
      </c>
    </row>
    <row r="45" ht="12.75" customHeight="1" s="244">
      <c r="A45" s="568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68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69" t="n"/>
    </row>
  </sheetData>
  <mergeCells count="7">
    <mergeCell ref="E3:I4"/>
    <mergeCell ref="A2:B5"/>
    <mergeCell ref="D5:I5"/>
    <mergeCell ref="E2:I2"/>
    <mergeCell ref="C2:C5"/>
    <mergeCell ref="A1:I1"/>
    <mergeCell ref="D3:D4"/>
  </mergeCells>
  <printOptions horizontalCentered="0" verticalCentered="0" headings="0" gridLines="0" gridLinesSet="1"/>
  <pageMargins left="0" right="0" top="0" bottom="0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B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:J5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18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519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570" t="n"/>
      <c r="Q1" s="571" t="n"/>
      <c r="R1" s="571" t="n"/>
      <c r="S1" s="571" t="n"/>
      <c r="T1" s="571" t="n"/>
      <c r="U1" s="571" t="n"/>
      <c r="V1" s="571" t="n"/>
      <c r="W1" s="571" t="n"/>
      <c r="X1" s="572" t="n"/>
      <c r="Y1" s="572" t="n"/>
    </row>
    <row r="2" ht="12.75" customFormat="1" customHeight="1" s="463">
      <c r="A2" s="521" t="inlineStr">
        <is>
          <t>ZEMİN (DAİRE 2) + 1. KAT (DAİRE 3)</t>
        </is>
      </c>
      <c r="B2" s="467" t="n"/>
      <c r="C2" s="522" t="inlineStr">
        <is>
          <t>DÖŞEMEDEN ISITMA HESAP ÖZETİ</t>
        </is>
      </c>
      <c r="D2" s="523" t="inlineStr">
        <is>
          <t>Ts.g  = 50 °C</t>
        </is>
      </c>
      <c r="E2" s="524" t="inlineStr">
        <is>
          <t>TOPLAM ISI KAYBI = 8094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491" t="n"/>
      <c r="AA2" s="491" t="n"/>
      <c r="AB2" s="491" t="n"/>
      <c r="AC2" s="491" t="n"/>
    </row>
    <row r="3" ht="8.25" customFormat="1" customHeight="1" s="463">
      <c r="A3" s="466" t="n"/>
      <c r="B3" s="467" t="n"/>
      <c r="C3" s="471" t="n"/>
      <c r="D3" s="526" t="inlineStr">
        <is>
          <t>Isıtma Çevrim Sayısı : 22</t>
        </is>
      </c>
      <c r="E3" s="524" t="inlineStr">
        <is>
          <t>MAX. BASINÇ KAYBI = 1652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491" t="n"/>
      <c r="AA3" s="491" t="n"/>
      <c r="AB3" s="491" t="n"/>
      <c r="AC3" s="491" t="n"/>
    </row>
    <row r="4" ht="5.25" customFormat="1" customHeight="1" s="463">
      <c r="A4" s="466" t="n"/>
      <c r="B4" s="467" t="n"/>
      <c r="C4" s="471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491" t="n"/>
      <c r="AA4" s="491" t="n"/>
      <c r="AB4" s="491" t="n"/>
      <c r="AC4" s="491" t="n"/>
    </row>
    <row r="5" ht="15" customFormat="1" customHeight="1" s="463">
      <c r="A5" s="278" t="n"/>
      <c r="B5" s="277" t="n"/>
      <c r="C5" s="303" t="n"/>
      <c r="D5" s="465" t="inlineStr">
        <is>
          <t>Mak. Müh. Bayram GENÇ</t>
        </is>
      </c>
      <c r="E5" s="264" t="n"/>
      <c r="F5" s="264" t="n"/>
      <c r="G5" s="264" t="n"/>
      <c r="H5" s="264" t="n"/>
      <c r="I5" s="264" t="n"/>
      <c r="J5" s="260" t="n"/>
      <c r="K5" s="465" t="n"/>
      <c r="L5" s="465" t="n"/>
      <c r="M5" s="573" t="n"/>
      <c r="N5" s="573" t="n"/>
      <c r="O5" s="574" t="n"/>
      <c r="P5" s="574" t="n"/>
      <c r="Q5" s="574" t="n"/>
      <c r="R5" s="574" t="n"/>
      <c r="S5" s="574" t="n"/>
      <c r="T5" s="574" t="n"/>
      <c r="U5" s="574" t="n"/>
      <c r="V5" s="574" t="n"/>
      <c r="W5" s="574" t="n"/>
      <c r="X5" s="575" t="n"/>
      <c r="Y5" s="575" t="n"/>
      <c r="Z5" s="491" t="n"/>
      <c r="AA5" s="491" t="n"/>
      <c r="AB5" s="491" t="n"/>
      <c r="AC5" s="491" t="n"/>
    </row>
    <row r="6" ht="12" customHeight="1" s="244">
      <c r="A6" s="528" t="n"/>
      <c r="B6" s="528" t="n"/>
      <c r="C6" s="528" t="n"/>
      <c r="D6" s="528" t="n"/>
      <c r="E6" s="529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530" t="n"/>
      <c r="C7" s="531" t="n"/>
      <c r="D7" s="530" t="n"/>
      <c r="E7" s="532" t="n"/>
      <c r="F7" s="533" t="inlineStr">
        <is>
          <t>P11</t>
        </is>
      </c>
      <c r="G7" s="533" t="inlineStr">
        <is>
          <t>P10</t>
        </is>
      </c>
      <c r="H7" s="533" t="inlineStr">
        <is>
          <t>P9</t>
        </is>
      </c>
      <c r="I7" s="533" t="inlineStr">
        <is>
          <t>P8</t>
        </is>
      </c>
      <c r="J7" s="533" t="inlineStr">
        <is>
          <t>P7</t>
        </is>
      </c>
      <c r="K7" s="533" t="inlineStr">
        <is>
          <t>P6</t>
        </is>
      </c>
      <c r="L7" s="533" t="inlineStr">
        <is>
          <t>P5</t>
        </is>
      </c>
      <c r="M7" s="533" t="inlineStr">
        <is>
          <t>P4</t>
        </is>
      </c>
      <c r="N7" s="533" t="inlineStr">
        <is>
          <t>P1</t>
        </is>
      </c>
      <c r="O7" s="533" t="inlineStr">
        <is>
          <t>P2</t>
        </is>
      </c>
      <c r="P7" s="533" t="inlineStr">
        <is>
          <t>P3</t>
        </is>
      </c>
      <c r="Q7" s="533" t="inlineStr">
        <is>
          <t>P11</t>
        </is>
      </c>
      <c r="R7" s="533" t="inlineStr">
        <is>
          <t>P10</t>
        </is>
      </c>
      <c r="S7" s="533" t="inlineStr">
        <is>
          <t>P9</t>
        </is>
      </c>
      <c r="T7" s="533" t="inlineStr">
        <is>
          <t>P8</t>
        </is>
      </c>
      <c r="U7" s="533" t="inlineStr">
        <is>
          <t>P7</t>
        </is>
      </c>
      <c r="V7" s="533" t="inlineStr">
        <is>
          <t>P6</t>
        </is>
      </c>
      <c r="W7" s="533" t="inlineStr">
        <is>
          <t>P5</t>
        </is>
      </c>
      <c r="X7" s="533" t="inlineStr">
        <is>
          <t>P4</t>
        </is>
      </c>
      <c r="Y7" s="533" t="inlineStr">
        <is>
          <t>P1</t>
        </is>
      </c>
      <c r="Z7" s="533" t="inlineStr">
        <is>
          <t>P2</t>
        </is>
      </c>
      <c r="AA7" s="533" t="inlineStr">
        <is>
          <t>P3</t>
        </is>
      </c>
      <c r="AB7" s="532" t="n"/>
      <c r="AC7" s="532" t="n"/>
      <c r="AD7" s="532" t="n"/>
      <c r="AE7" s="532" t="n"/>
      <c r="AF7" s="532" t="n"/>
      <c r="AG7" s="532" t="n"/>
      <c r="AH7" s="532" t="n"/>
      <c r="AI7" s="532" t="n"/>
      <c r="AJ7" s="532" t="n"/>
      <c r="AK7" s="532" t="n"/>
      <c r="AL7" s="532" t="n"/>
      <c r="AM7" s="532" t="n"/>
      <c r="AN7" s="532" t="n"/>
      <c r="AO7" s="532" t="n"/>
      <c r="AP7" s="532" t="n"/>
      <c r="AQ7" s="532" t="n"/>
      <c r="AR7" s="532" t="n"/>
      <c r="AS7" s="532" t="n"/>
      <c r="AT7" s="532" t="n"/>
      <c r="AU7" s="532" t="n"/>
      <c r="AV7" s="532" t="n"/>
      <c r="AW7" s="532" t="n"/>
    </row>
    <row r="8" ht="12" customHeight="1" s="244">
      <c r="A8" s="261" t="n"/>
      <c r="B8" s="530" t="n"/>
      <c r="C8" s="531" t="n"/>
      <c r="D8" s="530" t="n"/>
      <c r="E8" s="532" t="n"/>
      <c r="F8" s="533" t="inlineStr">
        <is>
          <t>ZZ01</t>
        </is>
      </c>
      <c r="G8" s="533" t="inlineStr">
        <is>
          <t>ZZ01</t>
        </is>
      </c>
      <c r="H8" s="533" t="inlineStr">
        <is>
          <t>ZZ01</t>
        </is>
      </c>
      <c r="I8" s="533" t="inlineStr">
        <is>
          <t>ZZ02</t>
        </is>
      </c>
      <c r="J8" s="533" t="inlineStr">
        <is>
          <t>ZZ02</t>
        </is>
      </c>
      <c r="K8" s="533" t="inlineStr">
        <is>
          <t>ZZ07</t>
        </is>
      </c>
      <c r="L8" s="533" t="inlineStr">
        <is>
          <t>ZZ05</t>
        </is>
      </c>
      <c r="M8" s="533" t="inlineStr">
        <is>
          <t>ZZ05</t>
        </is>
      </c>
      <c r="N8" s="533" t="inlineStr">
        <is>
          <t>ZZ03</t>
        </is>
      </c>
      <c r="O8" s="533" t="inlineStr">
        <is>
          <t>ZZ04</t>
        </is>
      </c>
      <c r="P8" s="533" t="inlineStr">
        <is>
          <t>ZZ06</t>
        </is>
      </c>
      <c r="Q8" s="533" t="inlineStr">
        <is>
          <t>Z101</t>
        </is>
      </c>
      <c r="R8" s="533" t="inlineStr">
        <is>
          <t>Z101</t>
        </is>
      </c>
      <c r="S8" s="533" t="inlineStr">
        <is>
          <t>Z101</t>
        </is>
      </c>
      <c r="T8" s="533" t="inlineStr">
        <is>
          <t>Z102</t>
        </is>
      </c>
      <c r="U8" s="533" t="inlineStr">
        <is>
          <t>Z102</t>
        </is>
      </c>
      <c r="V8" s="533" t="inlineStr">
        <is>
          <t>Z107</t>
        </is>
      </c>
      <c r="W8" s="533" t="inlineStr">
        <is>
          <t>Z105</t>
        </is>
      </c>
      <c r="X8" s="533" t="inlineStr">
        <is>
          <t>Z105</t>
        </is>
      </c>
      <c r="Y8" s="533" t="inlineStr">
        <is>
          <t>Z103</t>
        </is>
      </c>
      <c r="Z8" s="533" t="inlineStr">
        <is>
          <t>Z104</t>
        </is>
      </c>
      <c r="AA8" s="533" t="inlineStr">
        <is>
          <t>Z106</t>
        </is>
      </c>
      <c r="AB8" s="536" t="n"/>
      <c r="AC8" s="532" t="n"/>
      <c r="AD8" s="532" t="n"/>
      <c r="AE8" s="536" t="n"/>
      <c r="AF8" s="536" t="n"/>
      <c r="AG8" s="532" t="n"/>
      <c r="AH8" s="532" t="n"/>
      <c r="AI8" s="532" t="n"/>
      <c r="AJ8" s="532" t="n"/>
      <c r="AK8" s="532" t="n"/>
      <c r="AL8" s="532" t="n"/>
      <c r="AM8" s="532" t="n"/>
      <c r="AN8" s="532" t="n"/>
      <c r="AO8" s="532" t="n"/>
      <c r="AP8" s="532" t="n"/>
      <c r="AQ8" s="532" t="n"/>
      <c r="AR8" s="536" t="n"/>
      <c r="AS8" s="532" t="n"/>
      <c r="AT8" s="532" t="n"/>
      <c r="AU8" s="532" t="n"/>
      <c r="AV8" s="532" t="n"/>
      <c r="AW8" s="536" t="n"/>
    </row>
    <row r="9" ht="30" customHeight="1" s="244">
      <c r="A9" s="261" t="n"/>
      <c r="B9" s="282" t="n"/>
      <c r="C9" s="537" t="n"/>
      <c r="D9" s="261" t="n"/>
      <c r="E9" s="259" t="n"/>
      <c r="F9" s="576" t="inlineStr">
        <is>
          <t>SALON</t>
        </is>
      </c>
      <c r="G9" s="576" t="inlineStr">
        <is>
          <t>SALON</t>
        </is>
      </c>
      <c r="H9" s="576" t="inlineStr">
        <is>
          <t>SALON</t>
        </is>
      </c>
      <c r="I9" s="576" t="inlineStr">
        <is>
          <t>MUTFAK</t>
        </is>
      </c>
      <c r="J9" s="576" t="inlineStr">
        <is>
          <t>MUTFAK</t>
        </is>
      </c>
      <c r="K9" s="576" t="inlineStr">
        <is>
          <t>BANYO-WC</t>
        </is>
      </c>
      <c r="L9" s="576" t="inlineStr">
        <is>
          <t>YATAK ODASI 2</t>
        </is>
      </c>
      <c r="M9" s="576" t="inlineStr">
        <is>
          <t>YATAK ODASI 2</t>
        </is>
      </c>
      <c r="N9" s="576" t="inlineStr">
        <is>
          <t>ODA</t>
        </is>
      </c>
      <c r="O9" s="576" t="inlineStr">
        <is>
          <t>YATAK ODASI 1</t>
        </is>
      </c>
      <c r="P9" s="576" t="inlineStr">
        <is>
          <t>BANYO</t>
        </is>
      </c>
      <c r="Q9" s="576" t="inlineStr">
        <is>
          <t>SALON</t>
        </is>
      </c>
      <c r="R9" s="576" t="inlineStr">
        <is>
          <t>SALON</t>
        </is>
      </c>
      <c r="S9" s="576" t="inlineStr">
        <is>
          <t>SALON</t>
        </is>
      </c>
      <c r="T9" s="576" t="inlineStr">
        <is>
          <t>MUTFAK</t>
        </is>
      </c>
      <c r="U9" s="576" t="inlineStr">
        <is>
          <t>MUTFAK</t>
        </is>
      </c>
      <c r="V9" s="576" t="inlineStr">
        <is>
          <t>BANYO-WC</t>
        </is>
      </c>
      <c r="W9" s="576" t="inlineStr">
        <is>
          <t>YATAK ODASI 2</t>
        </is>
      </c>
      <c r="X9" s="576" t="inlineStr">
        <is>
          <t>YATAK ODASI 2</t>
        </is>
      </c>
      <c r="Y9" s="576" t="inlineStr">
        <is>
          <t>ODA</t>
        </is>
      </c>
      <c r="Z9" s="576" t="inlineStr">
        <is>
          <t>YATAK ODASI 1</t>
        </is>
      </c>
      <c r="AA9" s="576" t="inlineStr">
        <is>
          <t>BANYO</t>
        </is>
      </c>
      <c r="AB9" s="532" t="n"/>
      <c r="AC9" s="577" t="n"/>
      <c r="AD9" s="532" t="n"/>
      <c r="AE9" s="577" t="n"/>
      <c r="AF9" s="577" t="n"/>
      <c r="AG9" s="577" t="n"/>
      <c r="AH9" s="577" t="n"/>
      <c r="AI9" s="577" t="n"/>
      <c r="AJ9" s="532" t="n"/>
      <c r="AK9" s="532" t="n"/>
      <c r="AL9" s="532" t="n"/>
      <c r="AM9" s="532" t="n"/>
      <c r="AN9" s="532" t="n"/>
      <c r="AO9" s="540" t="n"/>
      <c r="AP9" s="540" t="n"/>
      <c r="AQ9" s="540" t="n"/>
      <c r="AR9" s="539" t="n"/>
      <c r="AS9" s="539" t="n"/>
      <c r="AT9" s="540" t="n"/>
      <c r="AU9" s="540" t="n"/>
      <c r="AV9" s="540" t="n"/>
      <c r="AW9" s="540" t="n"/>
    </row>
    <row r="10" ht="12" customHeight="1" s="244">
      <c r="A10" s="261" t="n"/>
      <c r="B10" s="282" t="n"/>
      <c r="C10" s="537" t="n"/>
      <c r="D10" s="261" t="n"/>
      <c r="E10" s="259" t="n"/>
      <c r="F10" s="542" t="n">
        <v>22</v>
      </c>
      <c r="G10" s="542" t="n">
        <v>22</v>
      </c>
      <c r="H10" s="542" t="n">
        <v>22</v>
      </c>
      <c r="I10" s="542" t="n">
        <v>20</v>
      </c>
      <c r="J10" s="542" t="n">
        <v>20</v>
      </c>
      <c r="K10" s="542" t="n">
        <v>26</v>
      </c>
      <c r="L10" s="542" t="n">
        <v>20</v>
      </c>
      <c r="M10" s="542" t="n">
        <v>20</v>
      </c>
      <c r="N10" s="542" t="n">
        <v>20</v>
      </c>
      <c r="O10" s="542" t="n">
        <v>20</v>
      </c>
      <c r="P10" s="542" t="n">
        <v>26</v>
      </c>
      <c r="Q10" s="542" t="n">
        <v>22</v>
      </c>
      <c r="R10" s="542" t="n">
        <v>22</v>
      </c>
      <c r="S10" s="542" t="n">
        <v>22</v>
      </c>
      <c r="T10" s="542" t="n">
        <v>20</v>
      </c>
      <c r="U10" s="542" t="n">
        <v>20</v>
      </c>
      <c r="V10" s="542" t="n">
        <v>26</v>
      </c>
      <c r="W10" s="542" t="n">
        <v>20</v>
      </c>
      <c r="X10" s="542" t="n">
        <v>20</v>
      </c>
      <c r="Y10" s="542" t="n">
        <v>20</v>
      </c>
      <c r="Z10" s="542" t="n">
        <v>20</v>
      </c>
      <c r="AA10" s="542" t="n">
        <v>26</v>
      </c>
      <c r="AB10" s="259" t="n"/>
      <c r="AC10" s="259" t="n"/>
      <c r="AD10" s="259" t="n"/>
      <c r="AE10" s="259" t="n"/>
      <c r="AF10" s="259" t="n"/>
      <c r="AG10" s="259" t="n"/>
      <c r="AH10" s="259" t="n"/>
      <c r="AI10" s="259" t="n"/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537" t="n"/>
      <c r="D11" s="261" t="n"/>
      <c r="E11" s="259" t="n"/>
      <c r="F11" s="542" t="n">
        <v>20</v>
      </c>
      <c r="G11" s="542" t="n">
        <v>20</v>
      </c>
      <c r="H11" s="542" t="n">
        <v>20</v>
      </c>
      <c r="I11" s="542" t="n">
        <v>20</v>
      </c>
      <c r="J11" s="542" t="n">
        <v>20</v>
      </c>
      <c r="K11" s="542" t="n">
        <v>20</v>
      </c>
      <c r="L11" s="542" t="n">
        <v>20</v>
      </c>
      <c r="M11" s="542" t="n">
        <v>20</v>
      </c>
      <c r="N11" s="542" t="n">
        <v>20</v>
      </c>
      <c r="O11" s="542" t="n">
        <v>20</v>
      </c>
      <c r="P11" s="542" t="n">
        <v>20</v>
      </c>
      <c r="Q11" s="542" t="n">
        <v>20</v>
      </c>
      <c r="R11" s="542" t="n">
        <v>20</v>
      </c>
      <c r="S11" s="542" t="n">
        <v>20</v>
      </c>
      <c r="T11" s="542" t="n">
        <v>20</v>
      </c>
      <c r="U11" s="542" t="n">
        <v>20</v>
      </c>
      <c r="V11" s="542" t="n">
        <v>20</v>
      </c>
      <c r="W11" s="542" t="n">
        <v>20</v>
      </c>
      <c r="X11" s="542" t="n">
        <v>20</v>
      </c>
      <c r="Y11" s="542" t="n">
        <v>20</v>
      </c>
      <c r="Z11" s="542" t="n">
        <v>20</v>
      </c>
      <c r="AA11" s="542" t="n">
        <v>20</v>
      </c>
      <c r="AB11" s="259" t="n"/>
      <c r="AC11" s="259" t="n"/>
      <c r="AD11" s="259" t="n"/>
      <c r="AE11" s="259" t="n"/>
      <c r="AF11" s="259" t="n"/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/>
      <c r="B12" s="282" t="n"/>
      <c r="C12" s="537" t="n"/>
      <c r="D12" s="261" t="n"/>
      <c r="E12" s="259" t="n"/>
      <c r="F12" s="543" t="n">
        <v>8.220000000000001</v>
      </c>
      <c r="G12" s="543" t="n">
        <v>8.220000000000001</v>
      </c>
      <c r="H12" s="543" t="n">
        <v>8.220000000000001</v>
      </c>
      <c r="I12" s="543" t="n">
        <v>6.71</v>
      </c>
      <c r="J12" s="543" t="n">
        <v>6.71</v>
      </c>
      <c r="K12" s="543" t="n">
        <v>2.73</v>
      </c>
      <c r="L12" s="543" t="n">
        <v>6.48</v>
      </c>
      <c r="M12" s="543" t="n">
        <v>6.48</v>
      </c>
      <c r="N12" s="543" t="n">
        <v>9.449999999999999</v>
      </c>
      <c r="O12" s="543" t="n">
        <v>10.11</v>
      </c>
      <c r="P12" s="543" t="n">
        <v>5.17</v>
      </c>
      <c r="Q12" s="543" t="n">
        <v>8.220000000000001</v>
      </c>
      <c r="R12" s="543" t="n">
        <v>8.220000000000001</v>
      </c>
      <c r="S12" s="543" t="n">
        <v>8.220000000000001</v>
      </c>
      <c r="T12" s="543" t="n">
        <v>6.71</v>
      </c>
      <c r="U12" s="543" t="n">
        <v>6.71</v>
      </c>
      <c r="V12" s="543" t="n">
        <v>2.73</v>
      </c>
      <c r="W12" s="543" t="n">
        <v>6.48</v>
      </c>
      <c r="X12" s="543" t="n">
        <v>6.48</v>
      </c>
      <c r="Y12" s="543" t="n">
        <v>9.449999999999999</v>
      </c>
      <c r="Z12" s="543" t="n">
        <v>10.11</v>
      </c>
      <c r="AA12" s="543" t="n">
        <v>5.17</v>
      </c>
      <c r="AB12" s="544" t="n"/>
      <c r="AC12" s="546" t="n"/>
      <c r="AD12" s="544" t="n"/>
      <c r="AE12" s="544" t="n"/>
      <c r="AF12" s="544" t="n"/>
      <c r="AG12" s="544" t="n"/>
      <c r="AH12" s="544" t="n"/>
      <c r="AI12" s="544" t="n"/>
      <c r="AJ12" s="544" t="n"/>
      <c r="AK12" s="578" t="n"/>
      <c r="AL12" s="578" t="n"/>
      <c r="AM12" s="578" t="n"/>
      <c r="AN12" s="544" t="n"/>
      <c r="AO12" s="544" t="n"/>
      <c r="AP12" s="544" t="n"/>
      <c r="AQ12" s="544" t="n"/>
      <c r="AR12" s="544" t="n"/>
      <c r="AS12" s="544" t="n"/>
      <c r="AT12" s="544" t="n"/>
      <c r="AU12" s="544" t="n"/>
      <c r="AV12" s="544" t="n"/>
      <c r="AW12" s="544" t="n"/>
    </row>
    <row r="13" ht="12" customHeight="1" s="244">
      <c r="A13" s="261" t="n"/>
      <c r="B13" s="282" t="n"/>
      <c r="C13" s="537" t="n"/>
      <c r="D13" s="261" t="n"/>
      <c r="E13" s="259" t="n"/>
      <c r="F13" s="545" t="n">
        <v>516</v>
      </c>
      <c r="G13" s="545" t="n">
        <v>516</v>
      </c>
      <c r="H13" s="545" t="n">
        <v>516</v>
      </c>
      <c r="I13" s="545" t="n">
        <v>314.8</v>
      </c>
      <c r="J13" s="545" t="n">
        <v>314.8</v>
      </c>
      <c r="K13" s="545" t="n">
        <v>158.1</v>
      </c>
      <c r="L13" s="545" t="n">
        <v>203.5</v>
      </c>
      <c r="M13" s="545" t="n">
        <v>203.5</v>
      </c>
      <c r="N13" s="545" t="n">
        <v>379.5</v>
      </c>
      <c r="O13" s="545" t="n">
        <v>439.9</v>
      </c>
      <c r="P13" s="545" t="n">
        <v>229</v>
      </c>
      <c r="Q13" s="545" t="n">
        <v>575.1</v>
      </c>
      <c r="R13" s="545" t="n">
        <v>575.1</v>
      </c>
      <c r="S13" s="545" t="n">
        <v>575.1</v>
      </c>
      <c r="T13" s="545" t="n">
        <v>354.3</v>
      </c>
      <c r="U13" s="545" t="n">
        <v>354.3</v>
      </c>
      <c r="V13" s="545" t="n">
        <v>179.5</v>
      </c>
      <c r="W13" s="545" t="n">
        <v>241.5</v>
      </c>
      <c r="X13" s="545" t="n">
        <v>241.5</v>
      </c>
      <c r="Y13" s="545" t="n">
        <v>439</v>
      </c>
      <c r="Z13" s="545" t="n">
        <v>498.1</v>
      </c>
      <c r="AA13" s="545" t="n">
        <v>269.1</v>
      </c>
      <c r="AB13" s="546" t="n"/>
      <c r="AC13" s="546" t="n"/>
      <c r="AD13" s="546" t="n"/>
      <c r="AE13" s="546" t="n"/>
      <c r="AF13" s="546" t="n"/>
      <c r="AG13" s="546" t="n"/>
      <c r="AH13" s="546" t="n"/>
      <c r="AI13" s="546" t="n"/>
      <c r="AJ13" s="546" t="n"/>
      <c r="AK13" s="546" t="n"/>
      <c r="AL13" s="546" t="n"/>
      <c r="AM13" s="546" t="n"/>
      <c r="AN13" s="546" t="n"/>
      <c r="AO13" s="546" t="n"/>
      <c r="AP13" s="546" t="n"/>
      <c r="AQ13" s="546" t="n"/>
      <c r="AR13" s="546" t="n"/>
      <c r="AS13" s="546" t="n"/>
      <c r="AT13" s="546" t="n"/>
      <c r="AU13" s="546" t="n"/>
      <c r="AV13" s="546" t="n"/>
      <c r="AW13" s="546" t="n"/>
    </row>
    <row r="14" ht="12" customHeight="1" s="244">
      <c r="A14" s="261" t="n"/>
      <c r="B14" s="282" t="n"/>
      <c r="C14" s="537" t="n"/>
      <c r="D14" s="261" t="n"/>
      <c r="E14" s="259" t="n"/>
      <c r="F14" s="547">
        <f>F13/F12</f>
        <v/>
      </c>
      <c r="G14" s="547">
        <f>G13/G12</f>
        <v/>
      </c>
      <c r="H14" s="547">
        <f>H13/H12</f>
        <v/>
      </c>
      <c r="I14" s="547">
        <f>I13/I12</f>
        <v/>
      </c>
      <c r="J14" s="547">
        <f>J13/J12</f>
        <v/>
      </c>
      <c r="K14" s="547">
        <f>K13/K12</f>
        <v/>
      </c>
      <c r="L14" s="547">
        <f>L13/L12</f>
        <v/>
      </c>
      <c r="M14" s="547">
        <f>M13/M12</f>
        <v/>
      </c>
      <c r="N14" s="547">
        <f>N13/N12</f>
        <v/>
      </c>
      <c r="O14" s="547">
        <f>O13/O12</f>
        <v/>
      </c>
      <c r="P14" s="547">
        <f>P13/P12</f>
        <v/>
      </c>
      <c r="Q14" s="547">
        <f>Q13/Q12</f>
        <v/>
      </c>
      <c r="R14" s="547">
        <f>R13/R12</f>
        <v/>
      </c>
      <c r="S14" s="547">
        <f>S13/S12</f>
        <v/>
      </c>
      <c r="T14" s="547">
        <f>T13/T12</f>
        <v/>
      </c>
      <c r="U14" s="547">
        <f>U13/U12</f>
        <v/>
      </c>
      <c r="V14" s="547">
        <f>V13/V12</f>
        <v/>
      </c>
      <c r="W14" s="547">
        <f>W13/W12</f>
        <v/>
      </c>
      <c r="X14" s="547">
        <f>X13/X12</f>
        <v/>
      </c>
      <c r="Y14" s="547">
        <f>Y13/Y12</f>
        <v/>
      </c>
      <c r="Z14" s="547">
        <f>Z13/Z12</f>
        <v/>
      </c>
      <c r="AA14" s="547">
        <f>AA13/AA12</f>
        <v/>
      </c>
      <c r="AB14" s="548" t="n"/>
      <c r="AC14" s="548" t="n"/>
      <c r="AD14" s="548" t="n"/>
      <c r="AE14" s="548" t="n"/>
      <c r="AF14" s="548" t="n"/>
      <c r="AG14" s="548" t="n"/>
      <c r="AH14" s="548" t="n"/>
      <c r="AI14" s="548" t="n"/>
      <c r="AJ14" s="548" t="n"/>
      <c r="AK14" s="548" t="n"/>
      <c r="AL14" s="548" t="n"/>
      <c r="AM14" s="548" t="n"/>
      <c r="AN14" s="548" t="n"/>
      <c r="AO14" s="548" t="n"/>
      <c r="AP14" s="548" t="n"/>
      <c r="AQ14" s="548" t="n"/>
      <c r="AR14" s="548" t="n"/>
      <c r="AS14" s="548" t="n"/>
      <c r="AT14" s="548" t="n"/>
      <c r="AU14" s="548" t="n"/>
      <c r="AV14" s="548" t="n"/>
      <c r="AW14" s="548" t="n"/>
    </row>
    <row r="15" ht="12" customHeight="1" s="244">
      <c r="A15" s="261" t="n"/>
      <c r="B15" s="282" t="n"/>
      <c r="C15" s="537" t="n"/>
      <c r="D15" s="261" t="n"/>
      <c r="E15" s="259" t="n"/>
      <c r="F15" s="542" t="n">
        <v>0.012</v>
      </c>
      <c r="G15" s="542" t="n">
        <v>0.012</v>
      </c>
      <c r="H15" s="542" t="n">
        <v>0.012</v>
      </c>
      <c r="I15" s="542" t="n">
        <v>0.012</v>
      </c>
      <c r="J15" s="542" t="n">
        <v>0.012</v>
      </c>
      <c r="K15" s="542" t="n">
        <v>0.012</v>
      </c>
      <c r="L15" s="542" t="n">
        <v>0.012</v>
      </c>
      <c r="M15" s="542" t="n">
        <v>0.012</v>
      </c>
      <c r="N15" s="542" t="n">
        <v>0.012</v>
      </c>
      <c r="O15" s="542" t="n">
        <v>0.012</v>
      </c>
      <c r="P15" s="542" t="n">
        <v>0.012</v>
      </c>
      <c r="Q15" s="542" t="n">
        <v>0.012</v>
      </c>
      <c r="R15" s="542" t="n">
        <v>0.012</v>
      </c>
      <c r="S15" s="542" t="n">
        <v>0.012</v>
      </c>
      <c r="T15" s="542" t="n">
        <v>0.012</v>
      </c>
      <c r="U15" s="542" t="n">
        <v>0.012</v>
      </c>
      <c r="V15" s="542" t="n">
        <v>0.012</v>
      </c>
      <c r="W15" s="542" t="n">
        <v>0.012</v>
      </c>
      <c r="X15" s="542" t="n">
        <v>0.012</v>
      </c>
      <c r="Y15" s="542" t="n">
        <v>0.012</v>
      </c>
      <c r="Z15" s="542" t="n">
        <v>0.012</v>
      </c>
      <c r="AA15" s="542" t="n">
        <v>0.012</v>
      </c>
      <c r="AB15" s="259" t="n"/>
      <c r="AC15" s="259" t="n"/>
      <c r="AD15" s="259" t="n"/>
      <c r="AE15" s="259" t="n"/>
      <c r="AF15" s="259" t="n"/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537" t="n"/>
      <c r="D16" s="261" t="n"/>
      <c r="E16" s="259" t="n"/>
      <c r="F16" s="543" t="n">
        <v>1</v>
      </c>
      <c r="G16" s="543" t="n">
        <v>1</v>
      </c>
      <c r="H16" s="543" t="n">
        <v>1</v>
      </c>
      <c r="I16" s="543" t="n">
        <v>1</v>
      </c>
      <c r="J16" s="543" t="n">
        <v>1</v>
      </c>
      <c r="K16" s="543" t="n">
        <v>1</v>
      </c>
      <c r="L16" s="543" t="n">
        <v>1</v>
      </c>
      <c r="M16" s="543" t="n">
        <v>1</v>
      </c>
      <c r="N16" s="543" t="n">
        <v>1</v>
      </c>
      <c r="O16" s="543" t="n">
        <v>1</v>
      </c>
      <c r="P16" s="543" t="n">
        <v>1</v>
      </c>
      <c r="Q16" s="543" t="n">
        <v>1</v>
      </c>
      <c r="R16" s="543" t="n">
        <v>1</v>
      </c>
      <c r="S16" s="543" t="n">
        <v>1</v>
      </c>
      <c r="T16" s="543" t="n">
        <v>1</v>
      </c>
      <c r="U16" s="543" t="n">
        <v>1</v>
      </c>
      <c r="V16" s="543" t="n">
        <v>1</v>
      </c>
      <c r="W16" s="543" t="n">
        <v>1</v>
      </c>
      <c r="X16" s="543" t="n">
        <v>1</v>
      </c>
      <c r="Y16" s="543" t="n">
        <v>1</v>
      </c>
      <c r="Z16" s="543" t="n">
        <v>1</v>
      </c>
      <c r="AA16" s="543" t="n">
        <v>1</v>
      </c>
      <c r="AB16" s="544" t="n"/>
      <c r="AC16" s="544" t="n"/>
      <c r="AD16" s="544" t="n"/>
      <c r="AE16" s="544" t="n"/>
      <c r="AF16" s="544" t="n"/>
      <c r="AG16" s="544" t="n"/>
      <c r="AH16" s="544" t="n"/>
      <c r="AI16" s="544" t="n"/>
      <c r="AJ16" s="544" t="n"/>
      <c r="AK16" s="544" t="n"/>
      <c r="AL16" s="544" t="n"/>
      <c r="AM16" s="544" t="n"/>
      <c r="AN16" s="544" t="n"/>
      <c r="AO16" s="544" t="n"/>
      <c r="AP16" s="544" t="n"/>
      <c r="AQ16" s="544" t="n"/>
      <c r="AR16" s="544" t="n"/>
      <c r="AS16" s="544" t="n"/>
      <c r="AT16" s="544" t="n"/>
      <c r="AU16" s="544" t="n"/>
      <c r="AV16" s="544" t="n"/>
      <c r="AW16" s="544" t="n"/>
    </row>
    <row r="17" ht="12" customHeight="1" s="244">
      <c r="A17" s="261" t="n"/>
      <c r="B17" s="282" t="n"/>
      <c r="C17" s="537" t="n"/>
      <c r="D17" s="261" t="n"/>
      <c r="E17" s="259" t="n"/>
      <c r="F17" s="542">
        <f>F12</f>
        <v/>
      </c>
      <c r="G17" s="542">
        <f>G12</f>
        <v/>
      </c>
      <c r="H17" s="542">
        <f>H12</f>
        <v/>
      </c>
      <c r="I17" s="542">
        <f>I12</f>
        <v/>
      </c>
      <c r="J17" s="542">
        <f>J12</f>
        <v/>
      </c>
      <c r="K17" s="542">
        <f>K12</f>
        <v/>
      </c>
      <c r="L17" s="542">
        <f>L12</f>
        <v/>
      </c>
      <c r="M17" s="542">
        <f>M12</f>
        <v/>
      </c>
      <c r="N17" s="542">
        <f>N12</f>
        <v/>
      </c>
      <c r="O17" s="542">
        <f>O12</f>
        <v/>
      </c>
      <c r="P17" s="542">
        <f>P12</f>
        <v/>
      </c>
      <c r="Q17" s="542">
        <f>Q12</f>
        <v/>
      </c>
      <c r="R17" s="542">
        <f>R12</f>
        <v/>
      </c>
      <c r="S17" s="542">
        <f>S12</f>
        <v/>
      </c>
      <c r="T17" s="542">
        <f>T12</f>
        <v/>
      </c>
      <c r="U17" s="542">
        <f>U12</f>
        <v/>
      </c>
      <c r="V17" s="542">
        <f>V12</f>
        <v/>
      </c>
      <c r="W17" s="542">
        <f>W12</f>
        <v/>
      </c>
      <c r="X17" s="542">
        <f>X12</f>
        <v/>
      </c>
      <c r="Y17" s="542">
        <f>Y12</f>
        <v/>
      </c>
      <c r="Z17" s="542">
        <f>Z12</f>
        <v/>
      </c>
      <c r="AA17" s="542">
        <f>AA12</f>
        <v/>
      </c>
      <c r="AB17" s="259" t="n"/>
      <c r="AC17" s="259" t="n"/>
      <c r="AD17" s="259" t="n"/>
      <c r="AE17" s="259" t="n"/>
      <c r="AF17" s="259" t="n"/>
      <c r="AG17" s="259" t="n"/>
      <c r="AH17" s="259" t="n"/>
      <c r="AI17" s="259" t="n"/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537" t="n"/>
      <c r="D18" s="261" t="n"/>
      <c r="E18" s="259" t="n"/>
      <c r="F18" s="549">
        <f>F13/F17</f>
        <v/>
      </c>
      <c r="G18" s="549">
        <f>G13/G17</f>
        <v/>
      </c>
      <c r="H18" s="549">
        <f>H13/H17</f>
        <v/>
      </c>
      <c r="I18" s="549">
        <f>I13/I17</f>
        <v/>
      </c>
      <c r="J18" s="549">
        <f>J13/J17</f>
        <v/>
      </c>
      <c r="K18" s="549">
        <f>K13/K17</f>
        <v/>
      </c>
      <c r="L18" s="549">
        <f>L13/L17</f>
        <v/>
      </c>
      <c r="M18" s="549">
        <f>M13/M17</f>
        <v/>
      </c>
      <c r="N18" s="549">
        <f>N13/N17</f>
        <v/>
      </c>
      <c r="O18" s="549">
        <f>O13/O17</f>
        <v/>
      </c>
      <c r="P18" s="549">
        <f>P13/P17</f>
        <v/>
      </c>
      <c r="Q18" s="549">
        <f>Q13/Q17</f>
        <v/>
      </c>
      <c r="R18" s="549">
        <f>R13/R17</f>
        <v/>
      </c>
      <c r="S18" s="549">
        <f>S13/S17</f>
        <v/>
      </c>
      <c r="T18" s="549">
        <f>T13/T17</f>
        <v/>
      </c>
      <c r="U18" s="549">
        <f>U13/U17</f>
        <v/>
      </c>
      <c r="V18" s="549">
        <f>V13/V17</f>
        <v/>
      </c>
      <c r="W18" s="549">
        <f>W13/W17</f>
        <v/>
      </c>
      <c r="X18" s="549">
        <f>X13/X17</f>
        <v/>
      </c>
      <c r="Y18" s="549">
        <f>Y13/Y17</f>
        <v/>
      </c>
      <c r="Z18" s="549">
        <f>Z13/Z17</f>
        <v/>
      </c>
      <c r="AA18" s="549">
        <f>AA13/AA17</f>
        <v/>
      </c>
      <c r="AB18" s="550" t="n"/>
      <c r="AC18" s="550" t="n"/>
      <c r="AD18" s="550" t="n"/>
      <c r="AE18" s="550" t="n"/>
      <c r="AF18" s="550" t="n"/>
      <c r="AG18" s="550" t="n"/>
      <c r="AH18" s="550" t="n"/>
      <c r="AI18" s="550" t="n"/>
      <c r="AJ18" s="550" t="n"/>
      <c r="AK18" s="550" t="n"/>
      <c r="AL18" s="550" t="n"/>
      <c r="AM18" s="550" t="n"/>
      <c r="AN18" s="550" t="n"/>
      <c r="AO18" s="550" t="n"/>
      <c r="AP18" s="550" t="n"/>
      <c r="AQ18" s="550" t="n"/>
      <c r="AR18" s="550" t="n"/>
      <c r="AS18" s="550" t="n"/>
      <c r="AT18" s="550" t="n"/>
      <c r="AU18" s="550" t="n"/>
      <c r="AV18" s="550" t="n"/>
      <c r="AW18" s="550" t="n"/>
    </row>
    <row r="19" ht="19.5" customHeight="1" s="244">
      <c r="A19" s="261" t="n"/>
      <c r="B19" s="282" t="n"/>
      <c r="C19" s="537" t="n"/>
      <c r="D19" s="261" t="n"/>
      <c r="E19" s="259" t="n"/>
      <c r="F19" s="549">
        <f>F10+(F14/8.92)^0.91</f>
        <v/>
      </c>
      <c r="G19" s="549">
        <f>G10+(G14/8.92)^0.91</f>
        <v/>
      </c>
      <c r="H19" s="549">
        <f>H10+(H14/8.92)^0.91</f>
        <v/>
      </c>
      <c r="I19" s="549">
        <f>I10+(I14/8.92)^0.91</f>
        <v/>
      </c>
      <c r="J19" s="549">
        <f>J10+(J14/8.92)^0.91</f>
        <v/>
      </c>
      <c r="K19" s="549">
        <f>K10+(K14/8.92)^0.91</f>
        <v/>
      </c>
      <c r="L19" s="549">
        <f>L10+(L14/8.92)^0.91</f>
        <v/>
      </c>
      <c r="M19" s="549">
        <f>M10+(M14/8.92)^0.91</f>
        <v/>
      </c>
      <c r="N19" s="549">
        <f>N10+(N14/8.92)^0.91</f>
        <v/>
      </c>
      <c r="O19" s="549">
        <f>O10+(O14/8.92)^0.91</f>
        <v/>
      </c>
      <c r="P19" s="549">
        <f>P10+(P14/8.92)^0.91</f>
        <v/>
      </c>
      <c r="Q19" s="549">
        <f>Q10+(Q14/8.92)^0.91</f>
        <v/>
      </c>
      <c r="R19" s="549">
        <f>R10+(R14/8.92)^0.91</f>
        <v/>
      </c>
      <c r="S19" s="549">
        <f>S10+(S14/8.92)^0.91</f>
        <v/>
      </c>
      <c r="T19" s="549">
        <f>T10+(T14/8.92)^0.91</f>
        <v/>
      </c>
      <c r="U19" s="549">
        <f>U10+(U14/8.92)^0.91</f>
        <v/>
      </c>
      <c r="V19" s="549">
        <f>V10+(V14/8.92)^0.91</f>
        <v/>
      </c>
      <c r="W19" s="549">
        <f>W10+(W14/8.92)^0.91</f>
        <v/>
      </c>
      <c r="X19" s="549">
        <f>X10+(X14/8.92)^0.91</f>
        <v/>
      </c>
      <c r="Y19" s="549">
        <f>Y10+(Y14/8.92)^0.91</f>
        <v/>
      </c>
      <c r="Z19" s="549">
        <f>Z10+(Z14/8.92)^0.91</f>
        <v/>
      </c>
      <c r="AA19" s="549">
        <f>AA10+(AA14/8.92)^0.91</f>
        <v/>
      </c>
      <c r="AB19" s="550" t="n"/>
      <c r="AC19" s="550" t="n"/>
      <c r="AD19" s="550" t="n"/>
      <c r="AE19" s="550" t="n"/>
      <c r="AF19" s="550" t="n"/>
      <c r="AG19" s="550" t="n"/>
      <c r="AH19" s="550" t="n"/>
      <c r="AI19" s="550" t="n"/>
      <c r="AJ19" s="550" t="n"/>
      <c r="AK19" s="550" t="n"/>
      <c r="AL19" s="550" t="n"/>
      <c r="AM19" s="550" t="n"/>
      <c r="AN19" s="550" t="n"/>
      <c r="AO19" s="550" t="n"/>
      <c r="AP19" s="550" t="n"/>
      <c r="AQ19" s="550" t="n"/>
      <c r="AR19" s="550" t="n"/>
      <c r="AS19" s="550" t="n"/>
      <c r="AT19" s="550" t="n"/>
      <c r="AU19" s="550" t="n"/>
      <c r="AV19" s="550" t="n"/>
      <c r="AW19" s="550" t="n"/>
    </row>
    <row r="20" ht="12" customHeight="1" s="244">
      <c r="A20" s="261" t="n"/>
      <c r="B20" s="282" t="n"/>
      <c r="C20" s="537" t="n"/>
      <c r="D20" s="261" t="n"/>
      <c r="E20" s="259" t="n"/>
      <c r="F20" s="542" t="n">
        <v>45</v>
      </c>
      <c r="G20" s="542" t="n">
        <v>45</v>
      </c>
      <c r="H20" s="542" t="n">
        <v>45</v>
      </c>
      <c r="I20" s="542" t="n">
        <v>45</v>
      </c>
      <c r="J20" s="542" t="n">
        <v>45</v>
      </c>
      <c r="K20" s="542" t="n">
        <v>45</v>
      </c>
      <c r="L20" s="542" t="n">
        <v>45</v>
      </c>
      <c r="M20" s="542" t="n">
        <v>45</v>
      </c>
      <c r="N20" s="542" t="n">
        <v>45</v>
      </c>
      <c r="O20" s="542" t="n">
        <v>45</v>
      </c>
      <c r="P20" s="542" t="n">
        <v>45</v>
      </c>
      <c r="Q20" s="542" t="n">
        <v>45</v>
      </c>
      <c r="R20" s="542" t="n">
        <v>45</v>
      </c>
      <c r="S20" s="542" t="n">
        <v>45</v>
      </c>
      <c r="T20" s="542" t="n">
        <v>45</v>
      </c>
      <c r="U20" s="542" t="n">
        <v>45</v>
      </c>
      <c r="V20" s="542" t="n">
        <v>45</v>
      </c>
      <c r="W20" s="542" t="n">
        <v>45</v>
      </c>
      <c r="X20" s="542" t="n">
        <v>45</v>
      </c>
      <c r="Y20" s="542" t="n">
        <v>45</v>
      </c>
      <c r="Z20" s="542" t="n">
        <v>45</v>
      </c>
      <c r="AA20" s="542" t="n">
        <v>45</v>
      </c>
      <c r="AB20" s="259" t="n"/>
      <c r="AC20" s="259" t="n"/>
      <c r="AD20" s="259" t="n"/>
      <c r="AE20" s="259" t="n"/>
      <c r="AF20" s="259" t="n"/>
      <c r="AG20" s="259" t="n"/>
      <c r="AH20" s="259" t="n"/>
      <c r="AI20" s="259" t="n"/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551" t="n"/>
      <c r="C21" s="537" t="n"/>
      <c r="D21" s="261" t="n"/>
      <c r="E21" s="259" t="n"/>
      <c r="F21" s="542">
        <f>F20-F10</f>
        <v/>
      </c>
      <c r="G21" s="542">
        <f>G20-G10</f>
        <v/>
      </c>
      <c r="H21" s="542">
        <f>H20-H10</f>
        <v/>
      </c>
      <c r="I21" s="542">
        <f>I20-I10</f>
        <v/>
      </c>
      <c r="J21" s="542">
        <f>J20-J10</f>
        <v/>
      </c>
      <c r="K21" s="542">
        <f>K20-K10</f>
        <v/>
      </c>
      <c r="L21" s="542">
        <f>L20-L10</f>
        <v/>
      </c>
      <c r="M21" s="542">
        <f>M20-M10</f>
        <v/>
      </c>
      <c r="N21" s="542">
        <f>N20-N10</f>
        <v/>
      </c>
      <c r="O21" s="542">
        <f>O20-O10</f>
        <v/>
      </c>
      <c r="P21" s="542">
        <f>P20-P10</f>
        <v/>
      </c>
      <c r="Q21" s="542">
        <f>Q20-Q10</f>
        <v/>
      </c>
      <c r="R21" s="542">
        <f>R20-R10</f>
        <v/>
      </c>
      <c r="S21" s="542">
        <f>S20-S10</f>
        <v/>
      </c>
      <c r="T21" s="542">
        <f>T20-T10</f>
        <v/>
      </c>
      <c r="U21" s="542">
        <f>U20-U10</f>
        <v/>
      </c>
      <c r="V21" s="542">
        <f>V20-V10</f>
        <v/>
      </c>
      <c r="W21" s="542">
        <f>W20-W10</f>
        <v/>
      </c>
      <c r="X21" s="542">
        <f>X20-X10</f>
        <v/>
      </c>
      <c r="Y21" s="542">
        <f>Y20-Y10</f>
        <v/>
      </c>
      <c r="Z21" s="542">
        <f>Z20-Z10</f>
        <v/>
      </c>
      <c r="AA21" s="542">
        <f>AA20-AA10</f>
        <v/>
      </c>
      <c r="AB21" s="259" t="n"/>
      <c r="AC21" s="259" t="n"/>
      <c r="AD21" s="259" t="n"/>
      <c r="AE21" s="259" t="n"/>
      <c r="AF21" s="259" t="n"/>
      <c r="AG21" s="259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552" t="n"/>
      <c r="C22" s="537" t="n"/>
      <c r="D22" s="261" t="n"/>
      <c r="E22" s="259" t="n"/>
      <c r="F22" s="542" t="n">
        <v>15</v>
      </c>
      <c r="G22" s="542" t="n">
        <v>15</v>
      </c>
      <c r="H22" s="542" t="n">
        <v>15</v>
      </c>
      <c r="I22" s="542" t="n">
        <v>15</v>
      </c>
      <c r="J22" s="542" t="n">
        <v>15</v>
      </c>
      <c r="K22" s="542" t="n">
        <v>10</v>
      </c>
      <c r="L22" s="542" t="n">
        <v>15</v>
      </c>
      <c r="M22" s="542" t="n">
        <v>15</v>
      </c>
      <c r="N22" s="542" t="n">
        <v>15</v>
      </c>
      <c r="O22" s="542" t="n">
        <v>15</v>
      </c>
      <c r="P22" s="542" t="n">
        <v>10</v>
      </c>
      <c r="Q22" s="542" t="n">
        <v>15</v>
      </c>
      <c r="R22" s="542" t="n">
        <v>15</v>
      </c>
      <c r="S22" s="542" t="n">
        <v>15</v>
      </c>
      <c r="T22" s="542" t="n">
        <v>15</v>
      </c>
      <c r="U22" s="542" t="n">
        <v>15</v>
      </c>
      <c r="V22" s="542" t="n">
        <v>10</v>
      </c>
      <c r="W22" s="542" t="n">
        <v>15</v>
      </c>
      <c r="X22" s="542" t="n">
        <v>15</v>
      </c>
      <c r="Y22" s="542" t="n">
        <v>15</v>
      </c>
      <c r="Z22" s="542" t="n">
        <v>15</v>
      </c>
      <c r="AA22" s="542" t="n">
        <v>10</v>
      </c>
      <c r="AB22" s="259" t="n"/>
      <c r="AC22" s="259" t="n"/>
      <c r="AD22" s="259" t="n"/>
      <c r="AE22" s="259" t="n"/>
      <c r="AF22" s="259" t="n"/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552" t="n"/>
      <c r="C23" s="537" t="n"/>
      <c r="D23" s="261" t="n"/>
      <c r="E23" s="259" t="n"/>
      <c r="F23" s="553" t="n">
        <v>40</v>
      </c>
      <c r="G23" s="553" t="n">
        <v>40</v>
      </c>
      <c r="H23" s="553" t="n">
        <v>40</v>
      </c>
      <c r="I23" s="553" t="n">
        <v>40</v>
      </c>
      <c r="J23" s="553" t="n">
        <v>40</v>
      </c>
      <c r="K23" s="553" t="n">
        <v>40</v>
      </c>
      <c r="L23" s="553" t="n">
        <v>40</v>
      </c>
      <c r="M23" s="553" t="n">
        <v>40</v>
      </c>
      <c r="N23" s="553" t="n">
        <v>40</v>
      </c>
      <c r="O23" s="553" t="n">
        <v>40</v>
      </c>
      <c r="P23" s="553" t="n">
        <v>40</v>
      </c>
      <c r="Q23" s="553" t="n">
        <v>40</v>
      </c>
      <c r="R23" s="553" t="n">
        <v>40</v>
      </c>
      <c r="S23" s="553" t="n">
        <v>40</v>
      </c>
      <c r="T23" s="553" t="n">
        <v>40</v>
      </c>
      <c r="U23" s="553" t="n">
        <v>40</v>
      </c>
      <c r="V23" s="553" t="n">
        <v>40</v>
      </c>
      <c r="W23" s="553" t="n">
        <v>40</v>
      </c>
      <c r="X23" s="553" t="n">
        <v>40</v>
      </c>
      <c r="Y23" s="553" t="n">
        <v>40</v>
      </c>
      <c r="Z23" s="553" t="n">
        <v>40</v>
      </c>
      <c r="AA23" s="553" t="n">
        <v>40</v>
      </c>
      <c r="AB23" s="554" t="n"/>
      <c r="AC23" s="554" t="n"/>
      <c r="AD23" s="554" t="n"/>
      <c r="AE23" s="554" t="n"/>
      <c r="AF23" s="554" t="n"/>
      <c r="AG23" s="554" t="n"/>
      <c r="AH23" s="554" t="n"/>
      <c r="AI23" s="554" t="n"/>
      <c r="AJ23" s="554" t="n"/>
      <c r="AK23" s="554" t="n"/>
      <c r="AL23" s="554" t="n"/>
      <c r="AM23" s="554" t="n"/>
      <c r="AN23" s="554" t="n"/>
      <c r="AO23" s="554" t="n"/>
      <c r="AP23" s="554" t="n"/>
      <c r="AQ23" s="554" t="n"/>
      <c r="AR23" s="554" t="n"/>
      <c r="AS23" s="554" t="n"/>
      <c r="AT23" s="554" t="n"/>
      <c r="AU23" s="554" t="n"/>
      <c r="AV23" s="554" t="n"/>
      <c r="AW23" s="554" t="n"/>
    </row>
    <row r="24" ht="12" customHeight="1" s="244">
      <c r="A24" s="261" t="n"/>
      <c r="B24" s="551" t="n"/>
      <c r="C24" s="537" t="n"/>
      <c r="D24" s="261" t="n"/>
      <c r="E24" s="259" t="n"/>
      <c r="F24" s="542">
        <f>F23-F10</f>
        <v/>
      </c>
      <c r="G24" s="542">
        <f>G23-G10</f>
        <v/>
      </c>
      <c r="H24" s="542">
        <f>H23-H10</f>
        <v/>
      </c>
      <c r="I24" s="542">
        <f>I23-I10</f>
        <v/>
      </c>
      <c r="J24" s="542">
        <f>J23-J10</f>
        <v/>
      </c>
      <c r="K24" s="542">
        <f>K23-K10</f>
        <v/>
      </c>
      <c r="L24" s="542">
        <f>L23-L10</f>
        <v/>
      </c>
      <c r="M24" s="542">
        <f>M23-M10</f>
        <v/>
      </c>
      <c r="N24" s="542">
        <f>N23-N10</f>
        <v/>
      </c>
      <c r="O24" s="542">
        <f>O23-O10</f>
        <v/>
      </c>
      <c r="P24" s="542">
        <f>P23-P10</f>
        <v/>
      </c>
      <c r="Q24" s="542">
        <f>Q23-Q10</f>
        <v/>
      </c>
      <c r="R24" s="542">
        <f>R23-R10</f>
        <v/>
      </c>
      <c r="S24" s="542">
        <f>S23-S10</f>
        <v/>
      </c>
      <c r="T24" s="542">
        <f>T23-T10</f>
        <v/>
      </c>
      <c r="U24" s="542">
        <f>U23-U10</f>
        <v/>
      </c>
      <c r="V24" s="542">
        <f>V23-V10</f>
        <v/>
      </c>
      <c r="W24" s="542">
        <f>W23-W10</f>
        <v/>
      </c>
      <c r="X24" s="542">
        <f>X23-X10</f>
        <v/>
      </c>
      <c r="Y24" s="542">
        <f>Y23-Y10</f>
        <v/>
      </c>
      <c r="Z24" s="542">
        <f>Z23-Z10</f>
        <v/>
      </c>
      <c r="AA24" s="542">
        <f>AA23-AA10</f>
        <v/>
      </c>
      <c r="AB24" s="259" t="n"/>
      <c r="AC24" s="259" t="n"/>
      <c r="AD24" s="259" t="n"/>
      <c r="AE24" s="259" t="n"/>
      <c r="AF24" s="259" t="n"/>
      <c r="AG24" s="259" t="n"/>
      <c r="AH24" s="259" t="n"/>
      <c r="AI24" s="259" t="n"/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551" t="n"/>
      <c r="C25" s="537" t="n"/>
      <c r="D25" s="261" t="n"/>
      <c r="E25" s="259" t="n"/>
      <c r="F25" s="542">
        <f>2*(F21-F24)</f>
        <v/>
      </c>
      <c r="G25" s="542">
        <f>2*(G21-G24)</f>
        <v/>
      </c>
      <c r="H25" s="542">
        <f>2*(H21-H24)</f>
        <v/>
      </c>
      <c r="I25" s="542">
        <f>2*(I21-I24)</f>
        <v/>
      </c>
      <c r="J25" s="542">
        <f>2*(J21-J24)</f>
        <v/>
      </c>
      <c r="K25" s="542">
        <f>2*(K21-K24)</f>
        <v/>
      </c>
      <c r="L25" s="542">
        <f>2*(L21-L24)</f>
        <v/>
      </c>
      <c r="M25" s="542">
        <f>2*(M21-M24)</f>
        <v/>
      </c>
      <c r="N25" s="542">
        <f>2*(N21-N24)</f>
        <v/>
      </c>
      <c r="O25" s="542">
        <f>2*(O21-O24)</f>
        <v/>
      </c>
      <c r="P25" s="542">
        <f>2*(P21-P24)</f>
        <v/>
      </c>
      <c r="Q25" s="542">
        <f>2*(Q21-Q24)</f>
        <v/>
      </c>
      <c r="R25" s="542">
        <f>2*(R21-R24)</f>
        <v/>
      </c>
      <c r="S25" s="542">
        <f>2*(S21-S24)</f>
        <v/>
      </c>
      <c r="T25" s="542">
        <f>2*(T21-T24)</f>
        <v/>
      </c>
      <c r="U25" s="542">
        <f>2*(U21-U24)</f>
        <v/>
      </c>
      <c r="V25" s="542">
        <f>2*(V21-V24)</f>
        <v/>
      </c>
      <c r="W25" s="542">
        <f>2*(W21-W24)</f>
        <v/>
      </c>
      <c r="X25" s="542">
        <f>2*(X21-X24)</f>
        <v/>
      </c>
      <c r="Y25" s="542">
        <f>2*(Y21-Y24)</f>
        <v/>
      </c>
      <c r="Z25" s="542">
        <f>2*(Z21-Z24)</f>
        <v/>
      </c>
      <c r="AA25" s="542">
        <f>2*(AA21-AA24)</f>
        <v/>
      </c>
      <c r="AB25" s="259" t="n"/>
      <c r="AC25" s="259" t="n"/>
      <c r="AD25" s="259" t="n"/>
      <c r="AE25" s="259" t="n"/>
      <c r="AF25" s="259" t="n"/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552" t="n"/>
      <c r="C26" s="537" t="n"/>
      <c r="D26" s="555" t="n"/>
      <c r="E26" s="259" t="n"/>
      <c r="F26" s="549">
        <f>0.2*F14</f>
        <v/>
      </c>
      <c r="G26" s="549">
        <f>0.2*G14</f>
        <v/>
      </c>
      <c r="H26" s="549">
        <f>0.2*H14</f>
        <v/>
      </c>
      <c r="I26" s="549">
        <f>0.2*I14</f>
        <v/>
      </c>
      <c r="J26" s="549">
        <f>0.2*J14</f>
        <v/>
      </c>
      <c r="K26" s="549">
        <f>0.2*K14</f>
        <v/>
      </c>
      <c r="L26" s="549">
        <f>0.2*L14</f>
        <v/>
      </c>
      <c r="M26" s="549">
        <f>0.2*M14</f>
        <v/>
      </c>
      <c r="N26" s="549">
        <f>0.2*N14</f>
        <v/>
      </c>
      <c r="O26" s="549">
        <f>0.2*O14</f>
        <v/>
      </c>
      <c r="P26" s="549">
        <f>0.2*P14</f>
        <v/>
      </c>
      <c r="Q26" s="549">
        <f>0.2*Q14</f>
        <v/>
      </c>
      <c r="R26" s="549">
        <f>0.2*R14</f>
        <v/>
      </c>
      <c r="S26" s="549">
        <f>0.2*S14</f>
        <v/>
      </c>
      <c r="T26" s="549">
        <f>0.2*T14</f>
        <v/>
      </c>
      <c r="U26" s="549">
        <f>0.2*U14</f>
        <v/>
      </c>
      <c r="V26" s="549">
        <f>0.2*V14</f>
        <v/>
      </c>
      <c r="W26" s="549">
        <f>0.2*W14</f>
        <v/>
      </c>
      <c r="X26" s="549">
        <f>0.2*X14</f>
        <v/>
      </c>
      <c r="Y26" s="549">
        <f>0.2*Y14</f>
        <v/>
      </c>
      <c r="Z26" s="549">
        <f>0.2*Z14</f>
        <v/>
      </c>
      <c r="AA26" s="549">
        <f>0.2*AA14</f>
        <v/>
      </c>
      <c r="AB26" s="550" t="n"/>
      <c r="AC26" s="550" t="n"/>
      <c r="AD26" s="550" t="n"/>
      <c r="AE26" s="550" t="n"/>
      <c r="AF26" s="550" t="n"/>
      <c r="AG26" s="550" t="n"/>
      <c r="AH26" s="550" t="n"/>
      <c r="AI26" s="550" t="n"/>
      <c r="AJ26" s="550" t="n"/>
      <c r="AK26" s="550" t="n"/>
      <c r="AL26" s="550" t="n"/>
      <c r="AM26" s="550" t="n"/>
      <c r="AN26" s="550" t="n"/>
      <c r="AO26" s="550" t="n"/>
      <c r="AP26" s="550" t="n"/>
      <c r="AQ26" s="550" t="n"/>
      <c r="AR26" s="550" t="n"/>
      <c r="AS26" s="550" t="n"/>
      <c r="AT26" s="550" t="n"/>
      <c r="AU26" s="550" t="n"/>
      <c r="AV26" s="550" t="n"/>
      <c r="AW26" s="550" t="n"/>
    </row>
    <row r="27" ht="12" customHeight="1" s="244">
      <c r="A27" s="261" t="n"/>
      <c r="B27" s="552" t="n"/>
      <c r="C27" s="537" t="n"/>
      <c r="D27" s="261" t="n"/>
      <c r="E27" s="259" t="n"/>
      <c r="F27" s="556">
        <f>F17*(F14+F26)</f>
        <v/>
      </c>
      <c r="G27" s="556">
        <f>G17*(G14+G26)</f>
        <v/>
      </c>
      <c r="H27" s="556">
        <f>H17*(H14+H26)</f>
        <v/>
      </c>
      <c r="I27" s="556">
        <f>I17*(I14+I26)</f>
        <v/>
      </c>
      <c r="J27" s="556">
        <f>J17*(J14+J26)</f>
        <v/>
      </c>
      <c r="K27" s="556">
        <f>K17*(K14+K26)</f>
        <v/>
      </c>
      <c r="L27" s="556">
        <f>L17*(L14+L26)</f>
        <v/>
      </c>
      <c r="M27" s="556">
        <f>M17*(M14+M26)</f>
        <v/>
      </c>
      <c r="N27" s="556">
        <f>N17*(N14+N26)</f>
        <v/>
      </c>
      <c r="O27" s="556">
        <f>O17*(O14+O26)</f>
        <v/>
      </c>
      <c r="P27" s="556">
        <f>P17*(P14+P26)</f>
        <v/>
      </c>
      <c r="Q27" s="556">
        <f>Q17*(Q14+Q26)</f>
        <v/>
      </c>
      <c r="R27" s="556">
        <f>R17*(R14+R26)</f>
        <v/>
      </c>
      <c r="S27" s="556">
        <f>S17*(S14+S26)</f>
        <v/>
      </c>
      <c r="T27" s="556">
        <f>T17*(T14+T26)</f>
        <v/>
      </c>
      <c r="U27" s="556">
        <f>U17*(U14+U26)</f>
        <v/>
      </c>
      <c r="V27" s="556">
        <f>V17*(V14+V26)</f>
        <v/>
      </c>
      <c r="W27" s="556">
        <f>W17*(W14+W26)</f>
        <v/>
      </c>
      <c r="X27" s="556">
        <f>X17*(X14+X26)</f>
        <v/>
      </c>
      <c r="Y27" s="556">
        <f>Y17*(Y14+Y26)</f>
        <v/>
      </c>
      <c r="Z27" s="556">
        <f>Z17*(Z14+Z26)</f>
        <v/>
      </c>
      <c r="AA27" s="556">
        <f>AA17*(AA14+AA26)</f>
        <v/>
      </c>
      <c r="AB27" s="557" t="n"/>
      <c r="AC27" s="557" t="n"/>
      <c r="AD27" s="557" t="n"/>
      <c r="AE27" s="557" t="n"/>
      <c r="AF27" s="557" t="n"/>
      <c r="AG27" s="557" t="n"/>
      <c r="AH27" s="557" t="n"/>
      <c r="AI27" s="557" t="n"/>
      <c r="AJ27" s="557" t="n"/>
      <c r="AK27" s="557" t="n"/>
      <c r="AL27" s="557" t="n"/>
      <c r="AM27" s="557" t="n"/>
      <c r="AN27" s="557" t="n"/>
      <c r="AO27" s="557" t="n"/>
      <c r="AP27" s="557" t="n"/>
      <c r="AQ27" s="557" t="n"/>
      <c r="AR27" s="557" t="n"/>
      <c r="AS27" s="557" t="n"/>
      <c r="AT27" s="557" t="n"/>
      <c r="AU27" s="557" t="n"/>
      <c r="AV27" s="557" t="n"/>
      <c r="AW27" s="557" t="n"/>
    </row>
    <row r="28" ht="12" customHeight="1" s="244">
      <c r="A28" s="261" t="n"/>
      <c r="B28" s="552" t="n"/>
      <c r="C28" s="537" t="inlineStr">
        <is>
          <t>SICAK SU DEBİSİ</t>
        </is>
      </c>
      <c r="D28" s="261" t="inlineStr">
        <is>
          <t>q/(1,163.ΔTs)</t>
        </is>
      </c>
      <c r="E28" s="259" t="n"/>
      <c r="F28" s="558">
        <f>F27/(1.163*F25)</f>
        <v/>
      </c>
      <c r="G28" s="558">
        <f>G27/(1.163*G25)</f>
        <v/>
      </c>
      <c r="H28" s="558">
        <f>H27/(1.163*H25)</f>
        <v/>
      </c>
      <c r="I28" s="558">
        <f>I27/(1.163*I25)</f>
        <v/>
      </c>
      <c r="J28" s="558">
        <f>J27/(1.163*J25)</f>
        <v/>
      </c>
      <c r="K28" s="558">
        <f>K27/(1.163*K25)</f>
        <v/>
      </c>
      <c r="L28" s="558">
        <f>L27/(1.163*L25)</f>
        <v/>
      </c>
      <c r="M28" s="558">
        <f>M27/(1.163*M25)</f>
        <v/>
      </c>
      <c r="N28" s="558">
        <f>N27/(1.163*N25)</f>
        <v/>
      </c>
      <c r="O28" s="558">
        <f>O27/(1.163*O25)</f>
        <v/>
      </c>
      <c r="P28" s="558">
        <f>P27/(1.163*P25)</f>
        <v/>
      </c>
      <c r="Q28" s="558">
        <f>Q27/(1.163*Q25)</f>
        <v/>
      </c>
      <c r="R28" s="558">
        <f>R27/(1.163*R25)</f>
        <v/>
      </c>
      <c r="S28" s="558">
        <f>S27/(1.163*S25)</f>
        <v/>
      </c>
      <c r="T28" s="558">
        <f>T27/(1.163*T25)</f>
        <v/>
      </c>
      <c r="U28" s="558">
        <f>U27/(1.163*U25)</f>
        <v/>
      </c>
      <c r="V28" s="558">
        <f>V27/(1.163*V25)</f>
        <v/>
      </c>
      <c r="W28" s="558">
        <f>W27/(1.163*W25)</f>
        <v/>
      </c>
      <c r="X28" s="558">
        <f>X27/(1.163*X25)</f>
        <v/>
      </c>
      <c r="Y28" s="558">
        <f>Y27/(1.163*Y25)</f>
        <v/>
      </c>
      <c r="Z28" s="558">
        <f>Z27/(1.163*Z25)</f>
        <v/>
      </c>
      <c r="AA28" s="558">
        <f>AA27/(1.163*AA25)</f>
        <v/>
      </c>
      <c r="AB28" s="559" t="n"/>
      <c r="AC28" s="559" t="n"/>
      <c r="AD28" s="559" t="n"/>
      <c r="AE28" s="559" t="n"/>
      <c r="AF28" s="559" t="n"/>
      <c r="AG28" s="559" t="n"/>
      <c r="AH28" s="559" t="n"/>
      <c r="AI28" s="559" t="n"/>
      <c r="AJ28" s="559" t="n"/>
      <c r="AK28" s="559" t="n"/>
      <c r="AL28" s="559" t="n"/>
      <c r="AM28" s="559" t="n"/>
      <c r="AN28" s="559" t="n"/>
      <c r="AO28" s="559" t="n"/>
      <c r="AP28" s="559" t="n"/>
      <c r="AQ28" s="559" t="n"/>
      <c r="AR28" s="559" t="n"/>
      <c r="AS28" s="559" t="n"/>
      <c r="AT28" s="559" t="n"/>
      <c r="AU28" s="559" t="n"/>
      <c r="AV28" s="559" t="n"/>
      <c r="AW28" s="559" t="n"/>
    </row>
    <row r="29" ht="12" customHeight="1" s="244">
      <c r="A29" s="261" t="n"/>
      <c r="B29" s="552" t="n"/>
      <c r="C29" s="537" t="n"/>
      <c r="D29" s="261" t="n"/>
      <c r="E29" s="259" t="n"/>
      <c r="F29" s="560">
        <f>F17/(F22*0.01)</f>
        <v/>
      </c>
      <c r="G29" s="560">
        <f>G17/(G22*0.01)</f>
        <v/>
      </c>
      <c r="H29" s="560">
        <f>H17/(H22*0.01)</f>
        <v/>
      </c>
      <c r="I29" s="560">
        <f>I17/(I22*0.01)</f>
        <v/>
      </c>
      <c r="J29" s="560">
        <f>J17/(J22*0.01)</f>
        <v/>
      </c>
      <c r="K29" s="560">
        <f>K17/(K22*0.01)</f>
        <v/>
      </c>
      <c r="L29" s="560">
        <f>L17/(L22*0.01)</f>
        <v/>
      </c>
      <c r="M29" s="560">
        <f>M17/(M22*0.01)</f>
        <v/>
      </c>
      <c r="N29" s="560">
        <f>N17/(N22*0.01)</f>
        <v/>
      </c>
      <c r="O29" s="560">
        <f>O17/(O22*0.01)</f>
        <v/>
      </c>
      <c r="P29" s="560">
        <f>P17/(P22*0.01)</f>
        <v/>
      </c>
      <c r="Q29" s="560">
        <f>Q17/(Q22*0.01)</f>
        <v/>
      </c>
      <c r="R29" s="560">
        <f>R17/(R22*0.01)</f>
        <v/>
      </c>
      <c r="S29" s="560">
        <f>S17/(S22*0.01)</f>
        <v/>
      </c>
      <c r="T29" s="560">
        <f>T17/(T22*0.01)</f>
        <v/>
      </c>
      <c r="U29" s="560">
        <f>U17/(U22*0.01)</f>
        <v/>
      </c>
      <c r="V29" s="560">
        <f>V17/(V22*0.01)</f>
        <v/>
      </c>
      <c r="W29" s="560">
        <f>W17/(W22*0.01)</f>
        <v/>
      </c>
      <c r="X29" s="560">
        <f>X17/(X22*0.01)</f>
        <v/>
      </c>
      <c r="Y29" s="560">
        <f>Y17/(Y22*0.01)</f>
        <v/>
      </c>
      <c r="Z29" s="560">
        <f>Z17/(Z22*0.01)</f>
        <v/>
      </c>
      <c r="AA29" s="560">
        <f>AA17/(AA22*0.01)</f>
        <v/>
      </c>
      <c r="AB29" s="561" t="n"/>
      <c r="AC29" s="561" t="n"/>
      <c r="AD29" s="561" t="n"/>
      <c r="AE29" s="561" t="n"/>
      <c r="AF29" s="561" t="n"/>
      <c r="AG29" s="561" t="n"/>
      <c r="AH29" s="561" t="n"/>
      <c r="AI29" s="561" t="n"/>
      <c r="AJ29" s="561" t="n"/>
      <c r="AK29" s="561" t="n"/>
      <c r="AL29" s="561" t="n"/>
      <c r="AM29" s="561" t="n"/>
      <c r="AN29" s="561" t="n"/>
      <c r="AO29" s="561" t="n"/>
      <c r="AP29" s="561" t="n"/>
      <c r="AQ29" s="561" t="n"/>
      <c r="AR29" s="561" t="n"/>
      <c r="AS29" s="561" t="n"/>
      <c r="AT29" s="561" t="n"/>
      <c r="AU29" s="561" t="n"/>
      <c r="AV29" s="561" t="n"/>
      <c r="AW29" s="561" t="n"/>
    </row>
    <row r="30" ht="12" customHeight="1" s="244">
      <c r="A30" s="261" t="n"/>
      <c r="B30" s="552" t="n"/>
      <c r="C30" s="537" t="inlineStr">
        <is>
          <t>BAĞLANTI BORULARI</t>
        </is>
      </c>
      <c r="D30" s="261" t="inlineStr">
        <is>
          <t>Kat Planından (çizimden ölçülen)</t>
        </is>
      </c>
      <c r="E30" s="259" t="n"/>
      <c r="F30" s="579" t="n">
        <v>0</v>
      </c>
      <c r="G30" s="579" t="n">
        <v>0</v>
      </c>
      <c r="H30" s="579" t="n">
        <v>1.66</v>
      </c>
      <c r="I30" s="579" t="n">
        <v>0.04</v>
      </c>
      <c r="J30" s="579" t="n">
        <v>2.63</v>
      </c>
      <c r="K30" s="579" t="n">
        <v>1.83</v>
      </c>
      <c r="L30" s="579" t="n">
        <v>0</v>
      </c>
      <c r="M30" s="579" t="n">
        <v>0.07000000000000001</v>
      </c>
      <c r="N30" s="579" t="n">
        <v>4.59</v>
      </c>
      <c r="O30" s="579" t="n">
        <v>6.72</v>
      </c>
      <c r="P30" s="579" t="n">
        <v>2.79</v>
      </c>
      <c r="Q30" s="579" t="n">
        <v>0</v>
      </c>
      <c r="R30" s="579" t="n">
        <v>0</v>
      </c>
      <c r="S30" s="579" t="n">
        <v>1.66</v>
      </c>
      <c r="T30" s="579" t="n">
        <v>0.04</v>
      </c>
      <c r="U30" s="579" t="n">
        <v>2.63</v>
      </c>
      <c r="V30" s="579" t="n">
        <v>1.83</v>
      </c>
      <c r="W30" s="579" t="n">
        <v>0</v>
      </c>
      <c r="X30" s="579" t="n">
        <v>0.07000000000000001</v>
      </c>
      <c r="Y30" s="579" t="n">
        <v>4.59</v>
      </c>
      <c r="Z30" s="579" t="n">
        <v>6.72</v>
      </c>
      <c r="AA30" s="579" t="n">
        <v>2.79</v>
      </c>
      <c r="AB30" s="563" t="n"/>
      <c r="AC30" s="563" t="n"/>
      <c r="AD30" s="563" t="n"/>
      <c r="AE30" s="563" t="n"/>
      <c r="AF30" s="563" t="n"/>
      <c r="AG30" s="563" t="n"/>
      <c r="AO30" s="563" t="n"/>
      <c r="AP30" s="563" t="n"/>
      <c r="AQ30" s="563" t="n"/>
      <c r="AR30" s="563" t="n"/>
      <c r="AS30" s="563" t="n"/>
      <c r="AT30" s="563" t="n"/>
      <c r="AU30" s="563" t="n"/>
      <c r="AV30" s="563" t="n"/>
      <c r="AW30" s="563" t="n"/>
    </row>
    <row r="31" ht="12" customHeight="1" s="244">
      <c r="A31" s="261" t="n"/>
      <c r="B31" s="552" t="n"/>
      <c r="C31" s="537" t="inlineStr">
        <is>
          <t>TOPLAM BORU UZUNLUĞU</t>
        </is>
      </c>
      <c r="D31" s="261" t="inlineStr">
        <is>
          <t>Lç + Lb (çizimden ölçülen toplam)</t>
        </is>
      </c>
      <c r="E31" s="259" t="n"/>
      <c r="F31" s="542">
        <f>F29+F30</f>
        <v/>
      </c>
      <c r="G31" s="542">
        <f>G29+G30</f>
        <v/>
      </c>
      <c r="H31" s="542">
        <f>H29+H30</f>
        <v/>
      </c>
      <c r="I31" s="542">
        <f>I29+I30</f>
        <v/>
      </c>
      <c r="J31" s="542">
        <f>J29+J30</f>
        <v/>
      </c>
      <c r="K31" s="542">
        <f>K29+K30</f>
        <v/>
      </c>
      <c r="L31" s="542">
        <f>L29+L30</f>
        <v/>
      </c>
      <c r="M31" s="542">
        <f>M29+M30</f>
        <v/>
      </c>
      <c r="N31" s="542">
        <f>N29+N30</f>
        <v/>
      </c>
      <c r="O31" s="542">
        <f>O29+O30</f>
        <v/>
      </c>
      <c r="P31" s="542">
        <f>P29+P30</f>
        <v/>
      </c>
      <c r="Q31" s="542">
        <f>Q29+Q30</f>
        <v/>
      </c>
      <c r="R31" s="542">
        <f>R29+R30</f>
        <v/>
      </c>
      <c r="S31" s="542">
        <f>S29+S30</f>
        <v/>
      </c>
      <c r="T31" s="542">
        <f>T29+T30</f>
        <v/>
      </c>
      <c r="U31" s="542">
        <f>U29+U30</f>
        <v/>
      </c>
      <c r="V31" s="542">
        <f>V29+V30</f>
        <v/>
      </c>
      <c r="W31" s="542">
        <f>W29+W30</f>
        <v/>
      </c>
      <c r="X31" s="542">
        <f>X29+X30</f>
        <v/>
      </c>
      <c r="Y31" s="542">
        <f>Y29+Y30</f>
        <v/>
      </c>
      <c r="Z31" s="542">
        <f>Z29+Z30</f>
        <v/>
      </c>
      <c r="AA31" s="542">
        <f>AA29+AA30</f>
        <v/>
      </c>
      <c r="AB31" s="259" t="n"/>
      <c r="AC31" s="259" t="n"/>
      <c r="AD31" s="259" t="n"/>
      <c r="AE31" s="259" t="n"/>
      <c r="AF31" s="259" t="n"/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551" t="n"/>
      <c r="C32" s="537" t="inlineStr">
        <is>
          <t>DÜZ BORU BASINÇ KAYBI (5)</t>
        </is>
      </c>
      <c r="D32" s="261" t="inlineStr">
        <is>
          <t>R.L (PEX 16x2,0, Blasius)</t>
        </is>
      </c>
      <c r="E32" s="259" t="n"/>
      <c r="F32" s="560" t="n">
        <v>706</v>
      </c>
      <c r="G32" s="560" t="n">
        <v>755</v>
      </c>
      <c r="H32" s="560" t="n">
        <v>820</v>
      </c>
      <c r="I32" s="560" t="n">
        <v>397</v>
      </c>
      <c r="J32" s="560" t="n">
        <v>420</v>
      </c>
      <c r="K32" s="560" t="n">
        <v>129</v>
      </c>
      <c r="L32" s="560" t="n">
        <v>235</v>
      </c>
      <c r="M32" s="560" t="n">
        <v>248</v>
      </c>
      <c r="N32" s="560" t="n">
        <v>722</v>
      </c>
      <c r="O32" s="560" t="n">
        <v>918</v>
      </c>
      <c r="P32" s="560" t="n">
        <v>352</v>
      </c>
      <c r="Q32" s="560" t="n">
        <v>1354</v>
      </c>
      <c r="R32" s="560" t="n">
        <v>1449</v>
      </c>
      <c r="S32" s="560" t="n">
        <v>1574</v>
      </c>
      <c r="T32" s="560" t="n">
        <v>447</v>
      </c>
      <c r="U32" s="560" t="n">
        <v>473</v>
      </c>
      <c r="V32" s="560" t="n">
        <v>147</v>
      </c>
      <c r="W32" s="560" t="n">
        <v>279</v>
      </c>
      <c r="X32" s="560" t="n">
        <v>294</v>
      </c>
      <c r="Y32" s="560" t="n">
        <v>835</v>
      </c>
      <c r="Z32" s="560" t="n">
        <v>1040</v>
      </c>
      <c r="AA32" s="560" t="n">
        <v>413</v>
      </c>
      <c r="AB32" s="561" t="n"/>
      <c r="AC32" s="561" t="n"/>
      <c r="AD32" s="561" t="n"/>
      <c r="AE32" s="561" t="n"/>
      <c r="AF32" s="561" t="n"/>
      <c r="AG32" s="561" t="n"/>
      <c r="AH32" s="561" t="n"/>
      <c r="AI32" s="561" t="n"/>
      <c r="AJ32" s="561" t="n"/>
      <c r="AK32" s="561" t="n"/>
      <c r="AL32" s="561" t="n"/>
      <c r="AM32" s="561" t="n"/>
      <c r="AN32" s="561" t="n"/>
      <c r="AO32" s="561" t="n"/>
      <c r="AP32" s="561" t="n"/>
      <c r="AQ32" s="561" t="n"/>
      <c r="AR32" s="561" t="n"/>
      <c r="AS32" s="561" t="n"/>
      <c r="AT32" s="561" t="n"/>
      <c r="AU32" s="561" t="n"/>
      <c r="AV32" s="561" t="n"/>
      <c r="AW32" s="561" t="n"/>
    </row>
    <row r="33" ht="12" customHeight="1" s="244">
      <c r="A33" s="261" t="n"/>
      <c r="B33" s="551" t="n"/>
      <c r="C33" s="537" t="n"/>
      <c r="D33" s="261" t="n"/>
      <c r="E33" s="259" t="n"/>
      <c r="F33" s="542">
        <f>F32*0.05</f>
        <v/>
      </c>
      <c r="G33" s="542">
        <f>G32*0.05</f>
        <v/>
      </c>
      <c r="H33" s="542">
        <f>H32*0.05</f>
        <v/>
      </c>
      <c r="I33" s="542">
        <f>I32*0.05</f>
        <v/>
      </c>
      <c r="J33" s="542">
        <f>J32*0.05</f>
        <v/>
      </c>
      <c r="K33" s="542">
        <f>K32*0.05</f>
        <v/>
      </c>
      <c r="L33" s="542">
        <f>L32*0.05</f>
        <v/>
      </c>
      <c r="M33" s="542">
        <f>M32*0.05</f>
        <v/>
      </c>
      <c r="N33" s="542">
        <f>N32*0.05</f>
        <v/>
      </c>
      <c r="O33" s="542">
        <f>O32*0.05</f>
        <v/>
      </c>
      <c r="P33" s="542">
        <f>P32*0.05</f>
        <v/>
      </c>
      <c r="Q33" s="542">
        <f>Q32*0.05</f>
        <v/>
      </c>
      <c r="R33" s="542">
        <f>R32*0.05</f>
        <v/>
      </c>
      <c r="S33" s="542">
        <f>S32*0.05</f>
        <v/>
      </c>
      <c r="T33" s="542">
        <f>T32*0.05</f>
        <v/>
      </c>
      <c r="U33" s="542">
        <f>U32*0.05</f>
        <v/>
      </c>
      <c r="V33" s="542">
        <f>V32*0.05</f>
        <v/>
      </c>
      <c r="W33" s="542">
        <f>W32*0.05</f>
        <v/>
      </c>
      <c r="X33" s="542">
        <f>X32*0.05</f>
        <v/>
      </c>
      <c r="Y33" s="542">
        <f>Y32*0.05</f>
        <v/>
      </c>
      <c r="Z33" s="542">
        <f>Z32*0.05</f>
        <v/>
      </c>
      <c r="AA33" s="542">
        <f>AA32*0.05</f>
        <v/>
      </c>
      <c r="AB33" s="259" t="n"/>
      <c r="AC33" s="259" t="n"/>
      <c r="AD33" s="259" t="n"/>
      <c r="AE33" s="550" t="n"/>
      <c r="AF33" s="259" t="n"/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551" t="n"/>
      <c r="C34" s="537" t="n"/>
      <c r="D34" s="261" t="n"/>
      <c r="E34" s="259" t="n"/>
      <c r="F34" s="542">
        <f>F32+F33</f>
        <v/>
      </c>
      <c r="G34" s="542">
        <f>G32+G33</f>
        <v/>
      </c>
      <c r="H34" s="542">
        <f>H32+H33</f>
        <v/>
      </c>
      <c r="I34" s="542">
        <f>I32+I33</f>
        <v/>
      </c>
      <c r="J34" s="542">
        <f>J32+J33</f>
        <v/>
      </c>
      <c r="K34" s="542">
        <f>K32+K33</f>
        <v/>
      </c>
      <c r="L34" s="542">
        <f>L32+L33</f>
        <v/>
      </c>
      <c r="M34" s="542">
        <f>M32+M33</f>
        <v/>
      </c>
      <c r="N34" s="542">
        <f>N32+N33</f>
        <v/>
      </c>
      <c r="O34" s="542">
        <f>O32+O33</f>
        <v/>
      </c>
      <c r="P34" s="542">
        <f>P32+P33</f>
        <v/>
      </c>
      <c r="Q34" s="542">
        <f>Q32+Q33</f>
        <v/>
      </c>
      <c r="R34" s="542">
        <f>R32+R33</f>
        <v/>
      </c>
      <c r="S34" s="542">
        <f>S32+S33</f>
        <v/>
      </c>
      <c r="T34" s="542">
        <f>T32+T33</f>
        <v/>
      </c>
      <c r="U34" s="542">
        <f>U32+U33</f>
        <v/>
      </c>
      <c r="V34" s="542">
        <f>V32+V33</f>
        <v/>
      </c>
      <c r="W34" s="542">
        <f>W32+W33</f>
        <v/>
      </c>
      <c r="X34" s="542">
        <f>X32+X33</f>
        <v/>
      </c>
      <c r="Y34" s="542">
        <f>Y32+Y33</f>
        <v/>
      </c>
      <c r="Z34" s="542">
        <f>Z32+Z33</f>
        <v/>
      </c>
      <c r="AA34" s="542">
        <f>AA32+AA33</f>
        <v/>
      </c>
      <c r="AB34" s="259" t="n"/>
      <c r="AC34" s="259" t="n"/>
      <c r="AD34" s="259" t="n"/>
      <c r="AE34" s="259" t="n"/>
      <c r="AF34" s="259" t="n"/>
      <c r="AG34" s="550" t="n"/>
      <c r="AH34" s="259" t="n"/>
      <c r="AI34" s="259" t="n"/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551" t="n"/>
      <c r="C35" s="282" t="n"/>
      <c r="D35" s="261" t="n"/>
      <c r="E35" s="259" t="n"/>
      <c r="F35" s="565">
        <f>MAX(F34:AA34)-F34</f>
        <v/>
      </c>
      <c r="G35" s="565">
        <f>MAX(F34:AA34)-G34</f>
        <v/>
      </c>
      <c r="H35" s="565">
        <f>MAX(F34:AA34)-H34</f>
        <v/>
      </c>
      <c r="I35" s="565">
        <f>MAX(F34:AA34)-I34</f>
        <v/>
      </c>
      <c r="J35" s="565">
        <f>MAX(F34:AA34)-J34</f>
        <v/>
      </c>
      <c r="K35" s="565">
        <f>MAX(F34:AA34)-K34</f>
        <v/>
      </c>
      <c r="L35" s="565">
        <f>MAX(F34:AA34)-L34</f>
        <v/>
      </c>
      <c r="M35" s="565">
        <f>MAX(F34:AA34)-M34</f>
        <v/>
      </c>
      <c r="N35" s="565">
        <f>MAX(F34:AA34)-N34</f>
        <v/>
      </c>
      <c r="O35" s="565">
        <f>MAX(F34:AA34)-O34</f>
        <v/>
      </c>
      <c r="P35" s="565">
        <f>MAX(F34:AA34)-P34</f>
        <v/>
      </c>
      <c r="Q35" s="565">
        <f>MAX(F34:AA34)-Q34</f>
        <v/>
      </c>
      <c r="R35" s="565">
        <f>MAX(F34:AA34)-R34</f>
        <v/>
      </c>
      <c r="S35" s="565">
        <f>MAX(F34:AA34)-S34</f>
        <v/>
      </c>
      <c r="T35" s="565">
        <f>MAX(F34:AA34)-T34</f>
        <v/>
      </c>
      <c r="U35" s="565">
        <f>MAX(F34:AA34)-U34</f>
        <v/>
      </c>
      <c r="V35" s="565">
        <f>MAX(F34:AA34)-V34</f>
        <v/>
      </c>
      <c r="W35" s="565">
        <f>MAX(F34:AA34)-W34</f>
        <v/>
      </c>
      <c r="X35" s="565">
        <f>MAX(F34:AA34)-X34</f>
        <v/>
      </c>
      <c r="Y35" s="565">
        <f>MAX(F34:AA34)-Y34</f>
        <v/>
      </c>
      <c r="Z35" s="565">
        <f>MAX(F34:AA34)-Z34</f>
        <v/>
      </c>
      <c r="AA35" s="565">
        <f>MAX(F34:AA34)-AA34</f>
        <v/>
      </c>
      <c r="AB35" s="566" t="n"/>
      <c r="AC35" s="566" t="n"/>
      <c r="AD35" s="566" t="n"/>
      <c r="AE35" s="566" t="n"/>
      <c r="AF35" s="566" t="n"/>
      <c r="AG35" s="566" t="n"/>
      <c r="AH35" s="566" t="n"/>
      <c r="AI35" s="566" t="n"/>
      <c r="AJ35" s="566" t="n"/>
      <c r="AK35" s="566" t="n"/>
      <c r="AL35" s="566" t="n"/>
      <c r="AM35" s="566" t="n"/>
      <c r="AN35" s="566" t="n"/>
      <c r="AO35" s="566" t="n"/>
      <c r="AP35" s="566" t="n"/>
      <c r="AQ35" s="566" t="n"/>
      <c r="AR35" s="566" t="n"/>
      <c r="AS35" s="566" t="n"/>
      <c r="AT35" s="566" t="n"/>
      <c r="AU35" s="566" t="n"/>
      <c r="AV35" s="566" t="n"/>
      <c r="AW35" s="566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F38" s="243" t="inlineStr">
        <is>
          <t>GÖRE AYARLANMALIDIR….</t>
        </is>
      </c>
    </row>
    <row r="39" ht="12.75" customHeight="1" s="244">
      <c r="F39" s="567" t="inlineStr">
        <is>
          <t>Δpö</t>
        </is>
      </c>
      <c r="G39" s="567" t="inlineStr">
        <is>
          <t>EK VI-14i Tablosundan q değeri m³/h çevrilir DN10 borusu için</t>
        </is>
      </c>
      <c r="H39" s="567" t="n"/>
      <c r="I39" s="567" t="n"/>
    </row>
    <row r="40" ht="12.75" customHeight="1" s="244">
      <c r="A40" s="568" t="inlineStr">
        <is>
          <t xml:space="preserve"> (1)</t>
        </is>
      </c>
      <c r="B40" s="243" t="inlineStr">
        <is>
          <t>Şek. 19.7.1 den seçilmiştir.</t>
        </is>
      </c>
      <c r="F40" s="567" t="n"/>
      <c r="G40" s="567" t="inlineStr">
        <is>
          <t>R (Pa/m) 1metre borudaki basın. Kaybı bulunur..</t>
        </is>
      </c>
      <c r="H40" s="567" t="n"/>
      <c r="I40" s="567" t="n"/>
    </row>
    <row r="41" ht="12.75" customHeight="1" s="244">
      <c r="A41" s="568" t="inlineStr">
        <is>
          <t xml:space="preserve"> (2)</t>
        </is>
      </c>
      <c r="B41" s="243" t="inlineStr">
        <is>
          <t>Kombi gidiş suyu sıcaklığı 45 °C, dönüş 35 °C (ortalama 40 °C) seçilmiştir.</t>
        </is>
      </c>
      <c r="F41" s="567" t="n"/>
      <c r="G41" s="567" t="inlineStr">
        <is>
          <t xml:space="preserve">toplam boru boyu ile çarpımından Δpö (Pa) bulunur.  </t>
        </is>
      </c>
      <c r="H41" s="567" t="n"/>
      <c r="I41" s="567" t="n"/>
    </row>
    <row r="42" ht="12.75" customHeight="1" s="244">
      <c r="A42" s="568" t="inlineStr">
        <is>
          <t xml:space="preserve"> (3)</t>
        </is>
      </c>
      <c r="B42" s="243" t="inlineStr">
        <is>
          <t>Ortalama su sıcaklığı 45/35 °C rejimine göre 40 °C alınmıştır.</t>
        </is>
      </c>
    </row>
    <row r="43" ht="12.75" customHeight="1" s="244">
      <c r="A43" s="568" t="inlineStr">
        <is>
          <t xml:space="preserve"> (4)</t>
        </is>
      </c>
      <c r="B43" s="243" t="inlineStr">
        <is>
          <t>Alta geçen ısı 0,2 q" olarak alınmıştır (1. bodrumun altı ısıtılmayan müştemilat 10 °C).</t>
        </is>
      </c>
    </row>
    <row r="44" ht="12.75" customHeight="1" s="244">
      <c r="A44" s="568" t="inlineStr">
        <is>
          <t xml:space="preserve"> (5)</t>
        </is>
      </c>
      <c r="B44" s="243" t="inlineStr">
        <is>
          <t>R (Pa/m): PEX 16x2,0 (iç çap 12 mm), Blasius bağıntısı ile hesaplanmıştır.</t>
        </is>
      </c>
    </row>
    <row r="45" ht="12.75" customHeight="1" s="244">
      <c r="A45" s="568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68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69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selection activeCell="A1" sqref="A1"/>
    </sheetView>
  </sheetViews>
  <sheetFormatPr baseColWidth="8" defaultRowHeight="15"/>
  <cols>
    <col width="50" customWidth="1" style="244" min="1" max="1"/>
    <col width="14" customWidth="1" style="244" min="2" max="2"/>
    <col width="12" customWidth="1" style="244" min="3" max="3"/>
    <col width="34" customWidth="1" style="244" min="4" max="4"/>
  </cols>
  <sheetData>
    <row r="1">
      <c r="A1" s="580" t="inlineStr">
        <is>
          <t>HİDROFOR, SU DEPOSU VE PİS SU POMPASI HESABI</t>
        </is>
      </c>
    </row>
    <row r="2">
      <c r="A2" s="581" t="inlineStr">
        <is>
          <t>TS 1258 / TS EN 806-3 / TS EN 12056-4</t>
        </is>
      </c>
    </row>
    <row r="3">
      <c r="A3" s="582" t="inlineStr">
        <is>
          <t>PROJE : SİNEM TURHAN'A AİT 3 BAĞIMSIZ BÖLÜMLÜ MESKEN (SERDİVAN 13748 PARSEL)</t>
        </is>
      </c>
    </row>
    <row r="4">
      <c r="A4" s="582" t="inlineStr">
        <is>
          <t>ROTAŞ MÜHENDİSLİK - Mak. Müh. Bayram GENÇ</t>
        </is>
      </c>
    </row>
    <row r="6">
      <c r="A6" s="583" t="inlineStr">
        <is>
          <t>A. KULLANMA SUYU DEPOSU</t>
        </is>
      </c>
    </row>
    <row r="7">
      <c r="A7" s="584" t="inlineStr">
        <is>
          <t>Bağımsız bölüm sayısı</t>
        </is>
      </c>
      <c r="B7" s="585" t="n">
        <v>3</v>
      </c>
      <c r="C7" s="586" t="inlineStr">
        <is>
          <t>adet</t>
        </is>
      </c>
      <c r="D7" s="584" t="inlineStr"/>
    </row>
    <row r="8">
      <c r="A8" s="584" t="inlineStr">
        <is>
          <t>Depo hacmi (≤10 BB için 3 m³, her ek BB +0,5 m³)</t>
        </is>
      </c>
      <c r="B8" s="585">
        <f>3+MAX(0,B7-10)*0.5</f>
        <v/>
      </c>
      <c r="C8" s="586" t="inlineStr">
        <is>
          <t>m³</t>
        </is>
      </c>
      <c r="D8" s="584" t="inlineStr">
        <is>
          <t>mimari depo 3,00 m³</t>
        </is>
      </c>
    </row>
    <row r="9">
      <c r="A9" s="583" t="inlineStr">
        <is>
          <t>B. HİDROFOR</t>
        </is>
      </c>
    </row>
    <row r="10">
      <c r="A10" s="584" t="inlineStr">
        <is>
          <t>Daire yük birimi</t>
        </is>
      </c>
      <c r="B10" s="585" t="n">
        <v>5.5</v>
      </c>
      <c r="C10" s="586" t="inlineStr">
        <is>
          <t>YB</t>
        </is>
      </c>
      <c r="D10" s="584" t="inlineStr">
        <is>
          <t>TS 1258 Çizelge 15</t>
        </is>
      </c>
    </row>
    <row r="11">
      <c r="A11" s="584" t="inlineStr">
        <is>
          <t>Toplam yük birimi ΣYB</t>
        </is>
      </c>
      <c r="B11" s="585">
        <f>B7*B10</f>
        <v/>
      </c>
      <c r="C11" s="586" t="inlineStr">
        <is>
          <t>YB</t>
        </is>
      </c>
      <c r="D11" s="584" t="inlineStr"/>
    </row>
    <row r="12">
      <c r="A12" s="584" t="inlineStr">
        <is>
          <t>Pik debi Q = 0,25·√ΣYB</t>
        </is>
      </c>
      <c r="B12" s="585">
        <f>0.25*SQRT(B11)</f>
        <v/>
      </c>
      <c r="C12" s="586" t="inlineStr">
        <is>
          <t>l/s</t>
        </is>
      </c>
      <c r="D12" s="584" t="inlineStr"/>
    </row>
    <row r="13">
      <c r="A13" s="584" t="inlineStr">
        <is>
          <t>Pik debi</t>
        </is>
      </c>
      <c r="B13" s="585">
        <f>B12*3.6</f>
        <v/>
      </c>
      <c r="C13" s="586" t="inlineStr">
        <is>
          <t>m³/h</t>
        </is>
      </c>
      <c r="D13" s="584" t="inlineStr"/>
    </row>
    <row r="14">
      <c r="A14" s="584" t="inlineStr">
        <is>
          <t>Depo çıkış kotu</t>
        </is>
      </c>
      <c r="B14" s="585" t="n">
        <v>-5.5</v>
      </c>
      <c r="C14" s="586" t="inlineStr">
        <is>
          <t>m</t>
        </is>
      </c>
      <c r="D14" s="584" t="inlineStr">
        <is>
          <t>2. bodrum</t>
        </is>
      </c>
    </row>
    <row r="15">
      <c r="A15" s="584" t="inlineStr">
        <is>
          <t>En yüksek musluk kotu</t>
        </is>
      </c>
      <c r="B15" s="585" t="n">
        <v>5.2</v>
      </c>
      <c r="C15" s="586" t="inlineStr">
        <is>
          <t>m</t>
        </is>
      </c>
      <c r="D15" s="584" t="inlineStr">
        <is>
          <t>1. kat duş başlığı</t>
        </is>
      </c>
    </row>
    <row r="16">
      <c r="A16" s="584" t="inlineStr">
        <is>
          <t>Geodezik yükseklik Hg</t>
        </is>
      </c>
      <c r="B16" s="585">
        <f>B15-B14</f>
        <v/>
      </c>
      <c r="C16" s="586" t="inlineStr">
        <is>
          <t>mSS</t>
        </is>
      </c>
      <c r="D16" s="584" t="inlineStr"/>
    </row>
    <row r="17">
      <c r="A17" s="584" t="inlineStr">
        <is>
          <t>En uç musluk akış basıncı (kombi)</t>
        </is>
      </c>
      <c r="B17" s="585" t="n">
        <v>15</v>
      </c>
      <c r="C17" s="586" t="inlineStr">
        <is>
          <t>mSS</t>
        </is>
      </c>
      <c r="D17" s="584" t="inlineStr"/>
    </row>
    <row r="18">
      <c r="A18" s="584" t="inlineStr">
        <is>
          <t>Boru + sayaç + vana kayıpları</t>
        </is>
      </c>
      <c r="B18" s="585" t="n">
        <v>4</v>
      </c>
      <c r="C18" s="586" t="inlineStr">
        <is>
          <t>mSS</t>
        </is>
      </c>
      <c r="D18" s="584" t="inlineStr"/>
    </row>
    <row r="19">
      <c r="A19" s="584" t="inlineStr">
        <is>
          <t>Pompa basma yüksekliği H</t>
        </is>
      </c>
      <c r="B19" s="585">
        <f>B16+B17+B18</f>
        <v/>
      </c>
      <c r="C19" s="586" t="inlineStr">
        <is>
          <t>mSS</t>
        </is>
      </c>
      <c r="D19" s="584" t="inlineStr"/>
    </row>
    <row r="20">
      <c r="A20" s="584" t="inlineStr">
        <is>
          <t>Devreye girme basıncı Pmin</t>
        </is>
      </c>
      <c r="B20" s="585">
        <f>B19/10</f>
        <v/>
      </c>
      <c r="C20" s="586" t="inlineStr">
        <is>
          <t>bar</t>
        </is>
      </c>
      <c r="D20" s="584" t="inlineStr"/>
    </row>
    <row r="21">
      <c r="A21" s="584" t="inlineStr">
        <is>
          <t>Devreden çıkma basıncı Pmax</t>
        </is>
      </c>
      <c r="B21" s="585">
        <f>B20+1.5</f>
        <v/>
      </c>
      <c r="C21" s="586" t="inlineStr">
        <is>
          <t>bar</t>
        </is>
      </c>
      <c r="D21" s="584" t="inlineStr"/>
    </row>
    <row r="22">
      <c r="A22" s="584" t="inlineStr">
        <is>
          <t>Saatlik devreye girme sayısı z</t>
        </is>
      </c>
      <c r="B22" s="585" t="n">
        <v>20</v>
      </c>
      <c r="C22" s="586" t="inlineStr">
        <is>
          <t>1/h</t>
        </is>
      </c>
      <c r="D22" s="584" t="inlineStr"/>
    </row>
    <row r="23">
      <c r="A23" s="584" t="inlineStr">
        <is>
          <t>Membranlı tank hacmi V = Q·1000/(4·z)·(Pmax+1)/(Pmax−Pmin)</t>
        </is>
      </c>
      <c r="B23" s="585">
        <f>B13*1000/(4*B22)*(B21+1)/(B21-B20)</f>
        <v/>
      </c>
      <c r="C23" s="586" t="inlineStr">
        <is>
          <t>lt</t>
        </is>
      </c>
      <c r="D23" s="584" t="inlineStr">
        <is>
          <t>200 lt seçilmiştir</t>
        </is>
      </c>
    </row>
    <row r="24">
      <c r="A24" s="584" t="inlineStr">
        <is>
          <t>SEÇİM</t>
        </is>
      </c>
      <c r="B24" s="585">
        <f>"2 pompalı (1+1) paket hidrofor Q="&amp;TEXT(B13,"0.0")&amp;" m³/h H="&amp;TEXT(B19,"0")&amp;" mSS"</f>
        <v/>
      </c>
      <c r="C24" s="586" t="inlineStr"/>
      <c r="D24" s="584" t="inlineStr"/>
    </row>
    <row r="25">
      <c r="A25" s="583" t="inlineStr">
        <is>
          <t>C. PİS SU POMPASI (1. ve 2. bodrum)</t>
        </is>
      </c>
    </row>
    <row r="26">
      <c r="A26" s="584" t="inlineStr">
        <is>
          <t>Pompaya gelen toplam su birimi ΣSB</t>
        </is>
      </c>
      <c r="B26" s="585" t="n">
        <v>49</v>
      </c>
      <c r="C26" s="586" t="inlineStr">
        <is>
          <t>SB</t>
        </is>
      </c>
      <c r="D26" s="584" t="inlineStr">
        <is>
          <t>D-1 + depo odası</t>
        </is>
      </c>
    </row>
    <row r="27">
      <c r="A27" s="584" t="inlineStr">
        <is>
          <t>Debi Q = K·√ΣSB (K=0,5 konut)</t>
        </is>
      </c>
      <c r="B27" s="585">
        <f>0.5*SQRT(B26)</f>
        <v/>
      </c>
      <c r="C27" s="586" t="inlineStr">
        <is>
          <t>l/s</t>
        </is>
      </c>
      <c r="D27" s="584" t="inlineStr">
        <is>
          <t>TS EN 12056-2</t>
        </is>
      </c>
    </row>
    <row r="28">
      <c r="A28" s="584" t="inlineStr">
        <is>
          <t>Debi</t>
        </is>
      </c>
      <c r="B28" s="585">
        <f>B27*3.6</f>
        <v/>
      </c>
      <c r="C28" s="586" t="inlineStr">
        <is>
          <t>m³/h</t>
        </is>
      </c>
      <c r="D28" s="584" t="inlineStr"/>
    </row>
    <row r="29">
      <c r="A29" s="584" t="inlineStr">
        <is>
          <t>Çukur taban kotu</t>
        </is>
      </c>
      <c r="B29" s="585" t="n">
        <v>-7</v>
      </c>
      <c r="C29" s="586" t="inlineStr">
        <is>
          <t>m</t>
        </is>
      </c>
      <c r="D29" s="584" t="inlineStr"/>
    </row>
    <row r="30">
      <c r="A30" s="584" t="inlineStr">
        <is>
          <t>Basma hattı çıkış kotu (R1 girişi)</t>
        </is>
      </c>
      <c r="B30" s="585" t="n">
        <v>-0.6</v>
      </c>
      <c r="C30" s="586" t="inlineStr">
        <is>
          <t>m</t>
        </is>
      </c>
      <c r="D30" s="584" t="inlineStr"/>
    </row>
    <row r="31">
      <c r="A31" s="584" t="inlineStr">
        <is>
          <t>Statik yükseklik</t>
        </is>
      </c>
      <c r="B31" s="585">
        <f>B30-B29</f>
        <v/>
      </c>
      <c r="C31" s="586" t="inlineStr">
        <is>
          <t>mSS</t>
        </is>
      </c>
      <c r="D31" s="584" t="inlineStr"/>
    </row>
    <row r="32">
      <c r="A32" s="584" t="inlineStr">
        <is>
          <t>Boru + çek valf + vana kayıpları</t>
        </is>
      </c>
      <c r="B32" s="585" t="n">
        <v>2.5</v>
      </c>
      <c r="C32" s="586" t="inlineStr">
        <is>
          <t>mSS</t>
        </is>
      </c>
      <c r="D32" s="584" t="inlineStr"/>
    </row>
    <row r="33">
      <c r="A33" s="584" t="inlineStr">
        <is>
          <t>Pompa basma yüksekliği H</t>
        </is>
      </c>
      <c r="B33" s="585">
        <f>B31+B32</f>
        <v/>
      </c>
      <c r="C33" s="586" t="inlineStr">
        <is>
          <t>mSS</t>
        </is>
      </c>
      <c r="D33" s="584" t="inlineStr"/>
    </row>
    <row r="34">
      <c r="A34" s="584" t="inlineStr">
        <is>
          <t>Faydalı çukur hacmi (pompa 10 dk debisinin 1/4ü, min 0,3 m³)</t>
        </is>
      </c>
      <c r="B34" s="585">
        <f>MAX(0.3,B28*10/60/4)</f>
        <v/>
      </c>
      <c r="C34" s="586" t="inlineStr">
        <is>
          <t>m³</t>
        </is>
      </c>
      <c r="D34" s="584" t="inlineStr">
        <is>
          <t>100x100x120 cm çukur</t>
        </is>
      </c>
    </row>
    <row r="35">
      <c r="A35" s="584" t="inlineStr">
        <is>
          <t>SEÇİM</t>
        </is>
      </c>
      <c r="B35" s="585">
        <f>"2 adet (1+1) dalgıç pis su pompası Q="&amp;TEXT(B28,"0.0")&amp;" m³/h H="&amp;TEXT(B33,"0.0")&amp;" mSS"</f>
        <v/>
      </c>
      <c r="C35" s="586" t="inlineStr"/>
      <c r="D35" s="584" t="inlineStr"/>
    </row>
  </sheetData>
  <mergeCells count="7">
    <mergeCell ref="A1:D1"/>
    <mergeCell ref="A9:D9"/>
    <mergeCell ref="A6:D6"/>
    <mergeCell ref="A4:D4"/>
    <mergeCell ref="A3:D3"/>
    <mergeCell ref="A25:D25"/>
    <mergeCell ref="A2:D2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46" customWidth="1" style="244" min="1" max="1"/>
    <col width="14" customWidth="1" style="244" min="2" max="2"/>
    <col width="10" customWidth="1" style="244" min="3" max="3"/>
    <col width="30" customWidth="1" style="244" min="4" max="4"/>
  </cols>
  <sheetData>
    <row r="1">
      <c r="A1" s="580" t="inlineStr">
        <is>
          <t>YAĞMUR SUYU İNİŞ BORUSU ÇAP HESABI</t>
        </is>
      </c>
    </row>
    <row r="2">
      <c r="A2" s="581" t="inlineStr">
        <is>
          <t>ROTAŞ yöntemi: S = P x 0,75 ; A = S / f ; D = 1,13 x √A</t>
        </is>
      </c>
    </row>
    <row r="3">
      <c r="A3" s="582" t="inlineStr">
        <is>
          <t>PROJE : SİNEM TURHAN'A AİT 3 BAĞIMSIZ BÖLÜMLÜ MESKEN (SERDİVAN 13748 PARSEL)</t>
        </is>
      </c>
    </row>
    <row r="4">
      <c r="A4" s="582" t="inlineStr">
        <is>
          <t>ROTAŞ MÜHENDİSLİK - Mak. Müh. Bayram GENÇ</t>
        </is>
      </c>
    </row>
    <row r="6">
      <c r="A6" s="584" t="inlineStr">
        <is>
          <t>P = Çatı (+ balkon) yatay izdüşüm alanı</t>
        </is>
      </c>
      <c r="B6" s="585" t="n">
        <v>164</v>
      </c>
      <c r="C6" s="586" t="inlineStr">
        <is>
          <t>m²</t>
        </is>
      </c>
    </row>
    <row r="7">
      <c r="A7" s="584" t="inlineStr">
        <is>
          <t>S = P x 0,75 / 1</t>
        </is>
      </c>
      <c r="B7" s="585">
        <f>B6*0.75</f>
        <v/>
      </c>
      <c r="C7" s="586" t="inlineStr">
        <is>
          <t>cm²</t>
        </is>
      </c>
    </row>
    <row r="8">
      <c r="A8" s="584" t="inlineStr">
        <is>
          <t>f = Yağmur iniş borusu adedi</t>
        </is>
      </c>
      <c r="B8" s="585" t="n">
        <v>4</v>
      </c>
      <c r="C8" s="586" t="inlineStr">
        <is>
          <t>adet</t>
        </is>
      </c>
    </row>
    <row r="9">
      <c r="A9" s="584" t="inlineStr">
        <is>
          <t>A = S / f</t>
        </is>
      </c>
      <c r="B9" s="585">
        <f>B7/B8</f>
        <v/>
      </c>
      <c r="C9" s="586" t="inlineStr">
        <is>
          <t>cm²</t>
        </is>
      </c>
    </row>
    <row r="10">
      <c r="A10" s="584" t="inlineStr">
        <is>
          <t>D = 1,13 x √A</t>
        </is>
      </c>
      <c r="B10" s="585">
        <f>1.13*SQRT(B9)</f>
        <v/>
      </c>
      <c r="C10" s="586" t="inlineStr">
        <is>
          <t>cm</t>
        </is>
      </c>
    </row>
    <row r="11">
      <c r="A11" s="584" t="inlineStr">
        <is>
          <t>SEÇİLEN BORU</t>
        </is>
      </c>
      <c r="B11" s="585">
        <f>IF(B10&lt;=7,"Ø70 YETERLİDİR - PROJEDE Ø100 KULLANILMIŞTIR","Ø100 UYGUNDUR")</f>
        <v/>
      </c>
      <c r="C11" s="586" t="inlineStr"/>
    </row>
    <row r="13">
      <c r="A13" s="582" t="inlineStr">
        <is>
          <t>Not: Yağmur suları pis su hattına bağlanmayacak, yağmur suyu kanalına verilecektir.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workbookViewId="0">
      <selection activeCell="A1" sqref="A1"/>
    </sheetView>
  </sheetViews>
  <sheetFormatPr baseColWidth="8" defaultRowHeight="15"/>
  <cols>
    <col width="18" customWidth="1" style="244" min="1" max="1"/>
    <col width="10" customWidth="1" style="244" min="2" max="2"/>
    <col width="10" customWidth="1" style="244" min="3" max="3"/>
    <col width="11" customWidth="1" style="244" min="4" max="4"/>
    <col width="9" customWidth="1" style="244" min="5" max="5"/>
    <col width="12" customWidth="1" style="244" min="6" max="6"/>
    <col width="12" customWidth="1" style="244" min="7" max="7"/>
    <col width="11" customWidth="1" style="244" min="8" max="8"/>
    <col width="8" customWidth="1" style="244" min="9" max="9"/>
    <col width="11" customWidth="1" style="244" min="10" max="10"/>
    <col width="9" customWidth="1" style="244" min="11" max="11"/>
    <col width="14" customWidth="1" style="244" min="12" max="12"/>
  </cols>
  <sheetData>
    <row r="1">
      <c r="A1" s="580" t="inlineStr">
        <is>
          <t>KOMBİ POMPASI, GENLEŞME TANKI VE PEX KANGAL KONTROLÜ</t>
        </is>
      </c>
    </row>
    <row r="2">
      <c r="A2" s="581" t="inlineStr">
        <is>
          <t>Pompa: H = Δp(en uzun devre, Churchill, yerel kayıp x1,3) + kollektör 5 kPa ;  Genleşme: Vmin = (P2+1,013)/(P2-P1) x (0,01 V + ΔV) , 10→50 °C</t>
        </is>
      </c>
    </row>
    <row r="3">
      <c r="A3" s="582" t="inlineStr">
        <is>
          <t>PROJE : SİNEM TURHAN'A AİT 3 BAĞIMSIZ BÖLÜMLÜ MESKEN (SERDİVAN 13748 PARSEL)</t>
        </is>
      </c>
    </row>
    <row r="4">
      <c r="A4" s="582" t="inlineStr">
        <is>
          <t>ROTAŞ MÜHENDİSLİK - Mak. Müh. Bayram GENÇ</t>
        </is>
      </c>
    </row>
    <row r="6">
      <c r="A6" s="587" t="inlineStr">
        <is>
          <t>DAİRE</t>
        </is>
      </c>
      <c r="B6" s="587" t="inlineStr">
        <is>
          <t>YÜK (W)</t>
        </is>
      </c>
      <c r="C6" s="587" t="inlineStr">
        <is>
          <t>DEBİ (l/h)</t>
        </is>
      </c>
      <c r="D6" s="587" t="inlineStr">
        <is>
          <t>Δp maks (kPa)</t>
        </is>
      </c>
      <c r="E6" s="587" t="inlineStr">
        <is>
          <t>H (kPa)</t>
        </is>
      </c>
      <c r="F6" s="587" t="inlineStr">
        <is>
          <t>Kombi pompası (kPa)</t>
        </is>
      </c>
      <c r="G6" s="587" t="inlineStr">
        <is>
          <t>POMPA</t>
        </is>
      </c>
      <c r="H6" s="587" t="inlineStr">
        <is>
          <t>Sistem suyu (l)</t>
        </is>
      </c>
      <c r="I6" s="587" t="inlineStr">
        <is>
          <t>ΔV (l)</t>
        </is>
      </c>
      <c r="J6" s="587" t="inlineStr">
        <is>
          <t>P1 / P2 (bar)</t>
        </is>
      </c>
      <c r="K6" s="587" t="inlineStr">
        <is>
          <t>Vmin (l)</t>
        </is>
      </c>
      <c r="L6" s="587" t="inlineStr">
        <is>
          <t>TANK (kombi 8 l)</t>
        </is>
      </c>
    </row>
    <row r="7">
      <c r="A7" s="586" t="inlineStr">
        <is>
          <t>BODRUM DAİRE 1</t>
        </is>
      </c>
      <c r="B7" s="586" t="n">
        <v>4222</v>
      </c>
      <c r="C7" s="586" t="n">
        <v>363</v>
      </c>
      <c r="D7" s="585" t="n">
        <v>1.44</v>
      </c>
      <c r="E7" s="585">
        <f>D7+5</f>
        <v/>
      </c>
      <c r="F7" s="586" t="n">
        <v>25</v>
      </c>
      <c r="G7" s="586">
        <f>IF(E7&lt;=F7,"UYGUN","POMPA GRUBU")</f>
        <v/>
      </c>
      <c r="H7" s="586" t="n">
        <v>68.2</v>
      </c>
      <c r="I7" s="585" t="n">
        <v>0.8</v>
      </c>
      <c r="J7" s="586" t="inlineStr">
        <is>
          <t>0.5 / 2.5</t>
        </is>
      </c>
      <c r="K7" s="585">
        <f>(2.5+1.013)/(2.5-0.5)*(0.01*H7+I7)</f>
        <v/>
      </c>
      <c r="L7" s="586">
        <f>IF(K7&lt;=8,"YETERLİ","İLAVE TANK")</f>
        <v/>
      </c>
    </row>
    <row r="8">
      <c r="A8" s="586" t="inlineStr">
        <is>
          <t>ZEMİN DAİRE 2</t>
        </is>
      </c>
      <c r="B8" s="586" t="n">
        <v>3791</v>
      </c>
      <c r="C8" s="586" t="n">
        <v>326</v>
      </c>
      <c r="D8" s="585" t="n">
        <v>1.3</v>
      </c>
      <c r="E8" s="585">
        <f>D8+5</f>
        <v/>
      </c>
      <c r="F8" s="586" t="n">
        <v>25</v>
      </c>
      <c r="G8" s="586">
        <f>IF(E8&lt;=F8,"UYGUN","POMPA GRUBU")</f>
        <v/>
      </c>
      <c r="H8" s="586" t="n">
        <v>68.2</v>
      </c>
      <c r="I8" s="585" t="n">
        <v>0.8</v>
      </c>
      <c r="J8" s="586" t="inlineStr">
        <is>
          <t>0.5 / 2.5</t>
        </is>
      </c>
      <c r="K8" s="585">
        <f>(2.5+1.013)/(2.5-0.5)*(0.01*H8+I8)</f>
        <v/>
      </c>
      <c r="L8" s="586">
        <f>IF(K8&lt;=8,"YETERLİ","İLAVE TANK")</f>
        <v/>
      </c>
    </row>
    <row r="9">
      <c r="A9" s="586" t="inlineStr">
        <is>
          <t>1 NK DAİRE 3</t>
        </is>
      </c>
      <c r="B9" s="586" t="n">
        <v>4302</v>
      </c>
      <c r="C9" s="586" t="n">
        <v>370</v>
      </c>
      <c r="D9" s="585" t="n">
        <v>1.48</v>
      </c>
      <c r="E9" s="585">
        <f>D9+5</f>
        <v/>
      </c>
      <c r="F9" s="586" t="n">
        <v>25</v>
      </c>
      <c r="G9" s="586">
        <f>IF(E9&lt;=F9,"UYGUN","POMPA GRUBU")</f>
        <v/>
      </c>
      <c r="H9" s="586" t="n">
        <v>68.2</v>
      </c>
      <c r="I9" s="585" t="n">
        <v>0.8</v>
      </c>
      <c r="J9" s="586" t="inlineStr">
        <is>
          <t>0.5 / 2.5</t>
        </is>
      </c>
      <c r="K9" s="585">
        <f>(2.5+1.013)/(2.5-0.5)*(0.01*H9+I9)</f>
        <v/>
      </c>
      <c r="L9" s="586">
        <f>IF(K9&lt;=8,"YETERLİ","İLAVE TANK")</f>
        <v/>
      </c>
    </row>
    <row r="11">
      <c r="A11" s="588" t="inlineStr">
        <is>
          <t>PEX 16x2,0 KANGAL METRAJI (devre ortasında ek yapılmaz)</t>
        </is>
      </c>
    </row>
    <row r="12">
      <c r="A12" s="587" t="inlineStr">
        <is>
          <t>DAİRE</t>
        </is>
      </c>
      <c r="B12" s="587" t="inlineStr">
        <is>
          <t>TOPLAM (m)</t>
        </is>
      </c>
      <c r="C12" s="587" t="inlineStr">
        <is>
          <t>200 m kangal</t>
        </is>
      </c>
      <c r="D12" s="587" t="inlineStr">
        <is>
          <t>500 m kangal</t>
        </is>
      </c>
    </row>
    <row r="13">
      <c r="A13" s="586" t="inlineStr">
        <is>
          <t>BODRUM DAİRE 1</t>
        </is>
      </c>
      <c r="B13" s="586" t="n">
        <v>558.8</v>
      </c>
      <c r="C13" s="586" t="n">
        <v>1</v>
      </c>
      <c r="D13" s="586" t="n">
        <v>1</v>
      </c>
    </row>
    <row r="14">
      <c r="A14" s="586" t="inlineStr">
        <is>
          <t>ZEMİN DAİRE 2</t>
        </is>
      </c>
      <c r="B14" s="586" t="n">
        <v>558.8</v>
      </c>
      <c r="C14" s="586" t="n">
        <v>1</v>
      </c>
      <c r="D14" s="586" t="n">
        <v>1</v>
      </c>
    </row>
    <row r="15">
      <c r="A15" s="586" t="inlineStr">
        <is>
          <t>1 NK DAİRE 3</t>
        </is>
      </c>
      <c r="B15" s="586" t="n">
        <v>558.8</v>
      </c>
      <c r="C15" s="586" t="n">
        <v>1</v>
      </c>
      <c r="D15" s="586" t="n">
        <v>1</v>
      </c>
    </row>
    <row r="17">
      <c r="A17" s="582" t="inlineStr">
        <is>
          <t>Kombi pompasının kullanılabilir basma yüksekliği (25 kPa) seçilen kombinin kataloğundan teyit edilecektir.</t>
        </is>
      </c>
    </row>
    <row r="18">
      <c r="A18" s="582" t="inlineStr">
        <is>
          <t>Kombi içi genleşme tankı 8 l, emniyet ventili 3 bar, ilk dolum basıncı 1,0-1,5 bar alınmıştır.</t>
        </is>
      </c>
    </row>
    <row r="19">
      <c r="A19" s="582" t="inlineStr">
        <is>
          <t>Devre debileri kollektördeki debimetreli reglaj vanaları ile ayarlanacaktır.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SILA</dc:creator>
  <dc:language xmlns:dc="http://purl.org/dc/elements/1.1/">en-US</dc:language>
  <dcterms:created xmlns:dcterms="http://purl.org/dc/terms/" xmlns:xsi="http://www.w3.org/2001/XMLSchema-instance" xsi:type="dcterms:W3CDTF">2003-04-27T12:58:31Z</dcterms:created>
  <dcterms:modified xmlns:dcterms="http://purl.org/dc/terms/" xmlns:xsi="http://www.w3.org/2001/XMLSchema-instance" xsi:type="dcterms:W3CDTF">2026-10-11T19:30:46Z</dcterms:modified>
  <cp:lastModifiedBy>Can Özkaya</cp:lastModifiedBy>
  <cp:revision>0</cp:revision>
  <cp:lastPrinted>2022-06-03T11:29:57Z</cp:lastPrinted>
</cp:coreProperties>
</file>